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28680" yWindow="15" windowWidth="29040" windowHeight="15720" firstSheet="0" activeTab="0"/>
  </bookViews>
  <sheets>
    <sheet sheetId="1" name="Planning" state="visible" r:id="rId4"/>
    <sheet sheetId="2" name="Patterns" state="visible" r:id="rId5"/>
    <sheet sheetId="3" name="SD" state="visible" r:id="rId6"/>
    <sheet sheetId="4" name="APP-SUP" state="visible" r:id="rId7"/>
    <sheet sheetId="5" name="PROX-MOB-MDM-VC" state="visible" r:id="rId8"/>
    <sheet sheetId="6" name="Workstation" state="visible" r:id="rId9"/>
    <sheet sheetId="7" name="LSA" state="visible" r:id="rId10"/>
    <sheet sheetId="8" name="Config" state="visible" r:id="rId11"/>
  </sheets>
  <definedNames>
    <definedName name="listof_Patterns">Patterns!$A$3:$A$45</definedName>
    <definedName name="patt_APP_lux2bru_shift_early">Patterns!$B$30:$EP$30</definedName>
    <definedName name="patt_APP_lux2bru_shift_late">Patterns!$B$31:$EP$31</definedName>
    <definedName name="patt_APP_lux2str_shift_early">Patterns!$B$28:$EP$28</definedName>
    <definedName name="patt_APP_lux2str_shift_late">Patterns!$B$29:$EP$29</definedName>
    <definedName name="patt_Blank">Planning!$A$154</definedName>
    <definedName name="patt_BO_bru2str_norm_early">Patterns!$B$38:$EP$38</definedName>
    <definedName name="patt_BO_bru2str_norm_late">Patterns!$B$39:$EP$39</definedName>
    <definedName name="patt_BO_bru2str_shortfri_early">Patterns!$B$40:$EP$40</definedName>
    <definedName name="patt_BO_bru2str_shortfri_late">Patterns!$B$41:$EP$41</definedName>
    <definedName name="patt_BO_lux2str_norm_early">Patterns!$B$42:$EP$42</definedName>
    <definedName name="patt_BO_lux2str_norm_late">Patterns!$B$43:$EP$43</definedName>
    <definedName name="patt_BO_lux2str_shortfri_early">Patterns!$B$44:$EP$44</definedName>
    <definedName name="patt_BO_lux2str_shortfri_late">Patterns!$B$45:$EP$45</definedName>
    <definedName name="patt_Closed">Planning!$A$155</definedName>
    <definedName name="patt_ExtTraining">Planning!$A$152</definedName>
    <definedName name="patt_Holiday">Planning!$A$149</definedName>
    <definedName name="patt_Holiday_day">Patterns!$B$46:$AD$46</definedName>
    <definedName name="patt_Holiday_week">Patterns!$B$46:$EP$46</definedName>
    <definedName name="patt_IntTraining">Planning!$A$141</definedName>
    <definedName name="patt_Late">Planning!$A$151</definedName>
    <definedName name="patt_Mission">Planning!$A$139</definedName>
    <definedName name="patt_MOB_2str_8h30to19h30">Patterns!$B$35:$EP$35</definedName>
    <definedName name="patt_MOB_2str_8to19">Patterns!$B$34:$EP$34</definedName>
    <definedName name="patt_MOB_2str_9to20">Patterns!$B$36:$EP$36</definedName>
    <definedName name="patt_p10to19_13brk">Patterns!$B$24:$EP$24</definedName>
    <definedName name="patt_p10to19_14brk">Patterns!$B$25:$EP$25</definedName>
    <definedName name="patt_p11to20_13brk">Patterns!$B$26:$EP$26</definedName>
    <definedName name="patt_p11to20_14brk">Patterns!$B$27:$EP$27</definedName>
    <definedName name="patt_p8h30to17h30_12brk">Patterns!$B$10:$EP$10</definedName>
    <definedName name="patt_p8h30to17h30_12h30brk">Patterns!$B$11:$EP$11</definedName>
    <definedName name="patt_p8h30to17h30_13brk">Patterns!$B$12:$EP$12</definedName>
    <definedName name="patt_p8h30to18_12brk_fri8to14">Patterns!$B$14:$EP$14</definedName>
    <definedName name="patt_p8h30to18_12h30longbrk">Patterns!$B$13:$EP$13</definedName>
    <definedName name="patt_p8h30to18_13brk_fri8to14">Patterns!$B$15:$EP$15</definedName>
    <definedName name="patt_p8h30to18h30_13brk_fri8to12">Patterns!$B$16:$EP$16</definedName>
    <definedName name="patt_p8h30to18h30_13brk_fri9h30">Patterns!$B$18:$EP$18</definedName>
    <definedName name="patt_p8h30to18h30_13brk_fri9to13">Patterns!$B$17:$EP$17</definedName>
    <definedName name="patt_p8to17_12brk">Patterns!$B$3:$EP$3</definedName>
    <definedName name="patt_p8to17_12brk_tw_monfri">Patterns!$B$5:$EP$5</definedName>
    <definedName name="patt_p8to17_13brk">Patterns!$B$4:$EP$4</definedName>
    <definedName name="patt_p8to17h30_12brk_fri8to14">Patterns!$B$6:$EP$6</definedName>
    <definedName name="patt_p8to17h30_13brk_fri8to14">Patterns!$B$7:$EP$7</definedName>
    <definedName name="patt_p8to18_12brk_fri8to12">Patterns!$B$8:$EP$8</definedName>
    <definedName name="patt_p8to18_13brk_fri8to12">Patterns!$B$9:$EP$9</definedName>
    <definedName name="patt_p9h30to18h30_12brk">Patterns!$B$21:$EP$21</definedName>
    <definedName name="patt_p9h30to18h30_13brk">Patterns!$B$22:$EP$22</definedName>
    <definedName name="patt_p9h30to18h30_14brk">Patterns!$B$23:$EP$23</definedName>
    <definedName name="patt_p9to18_12brk">Patterns!$B$19:$EP$19</definedName>
    <definedName name="patt_p9to18_13brk">Patterns!$B$20:$EP$20</definedName>
    <definedName name="patt_Present">Planning!$A$137</definedName>
    <definedName name="patt_PRX_2str_vls">Patterns!$B$33:$EP$33</definedName>
    <definedName name="patt_PRX_bru2str_late">Patterns!$B$32:$EP$32</definedName>
    <definedName name="patt_Sickness">Planning!$A$150</definedName>
    <definedName name="patt_Sickness_day">Patterns!$B$47:$AD$47</definedName>
    <definedName name="patt_Sickness_week">Patterns!$B$47:$EP$47</definedName>
    <definedName name="patt_Telework">Planning!$A$138</definedName>
    <definedName name="patt_Travel">Planning!$A$140</definedName>
    <definedName name="patt_VC_str">Patterns!$B$37:$EP$37</definedName>
    <definedName name="patts_absences">Planning!$R$2:$R$6,Planning!$W$2:$W$3,Planning!$AU$2:$AU$6,Planning!$AZ$2:$AZ$3,Planning!$BX$2:$BX$6,Planning!$CC$2:$CC$3,Planning!$DA$2:$DA$6,Planning!$DF$2:$DF$3,Planning!$ED$2:$ED$6,Planning!$EI$2:$EI$3,Planning!$FG$2:$FG$6,Planning!$FL$2:$FL$3,Planning!$GJ$2:$GJ$6,Planning!$GO$2:$GO$3,Planning!$HP$2:$HP$6,Planning!$HU$2:$HU$3,Planning!$IS$2:$IS$6,Planning!$IX$2:$IX$3,Planning!$JV$2:$JV$6,Planning!$KA$2:$KA$3,Planning!$KY$2:$KY$6,Planning!$LD$2:$LD$3,Planning!$MB$2:$MB$6,Planning!$MG$2:$MG$3,Planning!$NE$2:$NE$6,Planning!$NJ$2:$NJ$3,Planning!$OH$2:$OH$6,Planning!$OM$2:$OM$3,Planning!$PN$2:$PN$6,Planning!$PS$2:$PS$3,Planning!$QQ$2:$QQ$6,Planning!$QV$2:$QV$3,Planning!$RT$2:$RT$6,Planning!$RY$2:$RY$3,Planning!$SW$2:$SW$6,Planning!$TB$2:$TB$3,Planning!$TZ$2:$TZ$6,Planning!$UE$2:$UE$3,Planning!$VC$2:$VC$6,Planning!$VH$2:$VH$3,Planning!$WF$2:$WF$6,Planning!$WK$2:$WK$3,Planning!$XL$2:$XL$6,Planning!$XQ$2:$XQ$3,Planning!$YO$2:$YO$6,Planning!$YT$2:$YT$3,Planning!$ZR$2:$ZR$6,Planning!$ZW$2:$ZW$3,Planning!$AAU$2:$AAU$6,Planning!$AAZ$2:$AAZ$3,Planning!$ABX$2:$ABX$6,Planning!$ACC$2:$ACC$3,Planning!$ADA$2:$ADA$6,Planning!$ADF$2:$ADF$3,Planning!$AED$2:$AED$6,Planning!$AEI$2:$AEI$3,Planning!$AFJ$2:$AFJ$6,Planning!$AFO$2:$AFO$3,Planning!$AGM$2:$AGM$6,Planning!$AGR$2:$AGR$3,Planning!$AHP$2:$AHP$6,Planning!$AHU$2:$AHU$3,Planning!$AIS$2:$AIS$6,Planning!$AIX$2:$AIX$3,Planning!$AJV$2:$AJV$6,Planning!$AKA$2:$AKA$3,Planning!$AKY$2:$AKY$6,Planning!$ALD$2:$ALD$3,Planning!$AMB$2:$AMB$6,Planning!$AMG$2:$AMG$3,Planning!$A$149:$A$155</definedName>
    <definedName name="patts_presences">Planning!$F$2:$F$6,Planning!$K$2:$K$6,Planning!$AI$2:$AI$6,Planning!$AN$2:$AN$6,Planning!$BL$2:$BL$6,Planning!$BQ$2:$BQ$6,Planning!$CO$2:$CO$6,Planning!$CT$2:$CT$6,Planning!$DR$2:$DR$6,Planning!$DW$2:$DW$6,Planning!$EU$2:$EU$6,Planning!$EZ$2:$EZ$6,Planning!$FX$2:$FX$6,Planning!$GC$2:$GC$6,Planning!$HD$2:$HD$6,Planning!$HI$2:$HI$6,Planning!$IG$2:$IG$6,Planning!$IL$2:$IL$6,Planning!$JJ$2:$JJ$6,Planning!$JO$2:$JO$6,Planning!$KM$2:$KM$6,Planning!$KR$2:$KR$6,Planning!$LP$2:$LP$6,Planning!$LU$2:$LU$6,Planning!$MS$2:$MS$6,Planning!$MX$2:$MX$6,Planning!$NV$2:$NV$6,Planning!$OA$2:$OA$6,Planning!$PB$2:$PB$6,Planning!$PG$2:$PG$6,Planning!$QE$2:$QE$6,Planning!$QJ$2:$QJ$6,Planning!$RH$2:$RH$6,Planning!$RM$2:$RM$6,Planning!$SK$2:$SK$6,Planning!$SP$2:$SP$6,Planning!$TN$2:$TN$6,Planning!$TS$2:$TS$6,Planning!$UQ$2:$UQ$6,Planning!$UV$2:$UV$6,Planning!$VT$2:$VT$6,Planning!$VY$2:$VY$6,Planning!$WZ$2:$WZ$6,Planning!$XE$2:$XE$6,Planning!$YC$2:$YC$6,Planning!$YH$2:$YH$6,Planning!$ZF$2:$ZF$6,Planning!$ZK$2:$ZK$6,Planning!$AAI$2:$AAI$6,Planning!$AAN$2:$AAN$6,Planning!$ABL$2:$ABL$6,Planning!$ABQ$2:$ABQ$6,Planning!$ACO$2:$ACO$6,Planning!$ACT$2:$ACT$6,Planning!$ADR$2:$ADR$6,Planning!$ADW$2:$ADW$6,Planning!$AEX$2:$AEX$6,Planning!$AFC$2:$AFC$6,Planning!$AGA$2:$AGA$6,Planning!$AGF$2:$AGF$6,Planning!$AHD$2:$AHD$6,Planning!$AHI$2:$AHI$6,Planning!$AIG$2:$AIG$6,Planning!$AIL$2:$AIL$6,Planning!$AJJ$2:$AJJ$6,Planning!$AJO$2:$AJO$6,Planning!$AKM$2:$AKM$6,Planning!$AKR$2:$AKR$6,Planning!$ALP$2:$ALP$6,Planning!$ALU$2:$ALU$6,Planning!$A$137:$A$146</definedName>
    <definedName name="patts_xhours">Planning!$AD$2:$AF$6,Planning!$BG$2:$BI$6,Planning!$CJ$2:$CL$6,Planning!$DM$2:$DO$6,Planning!$EP$2:$ER$6,Planning!$FS$2:$FU$6,Planning!$GV$2:$GX$6,Planning!$IB$2:$ID$6,Planning!$JE$2:$JG$6,Planning!$KH$2:$KJ$6,Planning!$LK$2:$LM$6,Planning!$MN$2:$MP$6,Planning!$NQ$2:$NS$6,Planning!$OT$2:$OV$6,Planning!$PZ$2:$QB$6,Planning!$RC$2:$RE$6,Planning!$SF$2:$SH$6,Planning!$TI$2:$TK$6,Planning!$UL$2:$UN$6,Planning!$VO$2:$VQ$6,Planning!$WR$2:$WT$6,Planning!$XX$2:$XZ$6,Planning!$ZA$2:$ZC$6,Planning!$AAD$2:$AAF$6,Planning!$ABG$2:$ABI$6,Planning!$ACJ$2:$ACL$6,Planning!$ADM$2:$ADO$6,Planning!$AEP$2:$AER$6,Planning!$AFV$2:$AFX$6,Planning!$AGY$2:$AHA$6,Planning!$AIB$2:$AID$6,Planning!$AJE$2:$AJG$6,Planning!$AKH$2:$AKJ$6,Planning!$ALK$2:$ALM$6,Planning!$AMN$2:$AMP$6</definedName>
  </definedNames>
  <calcPr calcId="171027"/>
</workbook>
</file>

<file path=xl/sharedStrings.xml><?xml version="1.0" encoding="utf-8"?>
<sst xmlns="http://schemas.openxmlformats.org/spreadsheetml/2006/main" count="6068" uniqueCount="259">
  <si>
    <t>January 2026</t>
  </si>
  <si>
    <t>&lt; 8h or &gt; 20h only</t>
  </si>
  <si>
    <t>Present</t>
  </si>
  <si>
    <t>WD Spinelli</t>
  </si>
  <si>
    <t>H</t>
  </si>
  <si>
    <t>Holidays</t>
  </si>
  <si>
    <t>Absent</t>
  </si>
  <si>
    <t>Telework</t>
  </si>
  <si>
    <t>WD Kohl</t>
  </si>
  <si>
    <t>S</t>
  </si>
  <si>
    <t>Sickness</t>
  </si>
  <si>
    <t>EP closed</t>
  </si>
  <si>
    <t>Mission</t>
  </si>
  <si>
    <t>WD Martens</t>
  </si>
  <si>
    <t>L</t>
  </si>
  <si>
    <t>Late</t>
  </si>
  <si>
    <t>Travel</t>
  </si>
  <si>
    <t>WD LUX/STR</t>
  </si>
  <si>
    <t>E</t>
  </si>
  <si>
    <t>Ext. training</t>
  </si>
  <si>
    <t>Int. training</t>
  </si>
  <si>
    <t>Serv. phone</t>
  </si>
  <si>
    <t>C</t>
  </si>
  <si>
    <t>Comp. leave</t>
  </si>
  <si>
    <t>Service Desk</t>
  </si>
  <si>
    <t>Site</t>
  </si>
  <si>
    <t>Agents</t>
  </si>
  <si>
    <t>Function</t>
  </si>
  <si>
    <t>&lt; 7h</t>
  </si>
  <si>
    <t xml:space="preserve">7h-
8h</t>
  </si>
  <si>
    <t xml:space="preserve">8h-
9h</t>
  </si>
  <si>
    <t xml:space="preserve">9h-
10h</t>
  </si>
  <si>
    <t xml:space="preserve">10h-
11h</t>
  </si>
  <si>
    <t xml:space="preserve">11h-
12h</t>
  </si>
  <si>
    <t xml:space="preserve">12h-
13h</t>
  </si>
  <si>
    <t xml:space="preserve">13h-
14h</t>
  </si>
  <si>
    <t xml:space="preserve">14h-
15h</t>
  </si>
  <si>
    <t xml:space="preserve">15h-
16h</t>
  </si>
  <si>
    <t xml:space="preserve">16h-
17h</t>
  </si>
  <si>
    <t xml:space="preserve">17h-
18h</t>
  </si>
  <si>
    <t xml:space="preserve">18h-
19h</t>
  </si>
  <si>
    <t xml:space="preserve">19h-
20h</t>
  </si>
  <si>
    <t xml:space="preserve">20h-
22h</t>
  </si>
  <si>
    <t>&gt; 22h</t>
  </si>
  <si>
    <t>TOT</t>
  </si>
  <si>
    <t>Presence</t>
  </si>
  <si>
    <t>Absence</t>
  </si>
  <si>
    <t>TOTAL</t>
  </si>
  <si>
    <t>LUX</t>
  </si>
  <si>
    <t>RUPE Terence</t>
  </si>
  <si>
    <t>TTL</t>
  </si>
  <si>
    <t>KOUGOUE Adrien</t>
  </si>
  <si>
    <t>SDO</t>
  </si>
  <si>
    <t>NASSAI Samir</t>
  </si>
  <si>
    <t>RADUCAN Ruxandra</t>
  </si>
  <si>
    <t>CA</t>
  </si>
  <si>
    <t>STR</t>
  </si>
  <si>
    <t>ADAM Philippe</t>
  </si>
  <si>
    <t>ALLENSPACH Jean</t>
  </si>
  <si>
    <t>BECKER Samuel</t>
  </si>
  <si>
    <t>CORBION Nicolas</t>
  </si>
  <si>
    <t>FLORIAN Arnaud</t>
  </si>
  <si>
    <t>GENY-LIST Ludan</t>
  </si>
  <si>
    <t>GOEBELS Pierre</t>
  </si>
  <si>
    <t>IORDACHE Roxana</t>
  </si>
  <si>
    <t>KUMAR Rahul</t>
  </si>
  <si>
    <t>MAIETTI Florian</t>
  </si>
  <si>
    <t>MOUSAVIKIA Behnam</t>
  </si>
  <si>
    <t>ORIBI Walid</t>
  </si>
  <si>
    <t>RADULESCU Sabin</t>
  </si>
  <si>
    <t>SAADE Henri</t>
  </si>
  <si>
    <t>STEPHEN Guillaume</t>
  </si>
  <si>
    <t>WEISS Benoit</t>
  </si>
  <si>
    <t>Nb :</t>
  </si>
  <si>
    <t>FTE</t>
  </si>
  <si>
    <t>Application Support</t>
  </si>
  <si>
    <t>AFFOGNON Aurélien</t>
  </si>
  <si>
    <t>ANDRE Timothée</t>
  </si>
  <si>
    <t>BOUKARY-MORY Hervé</t>
  </si>
  <si>
    <t>BROGIALDI Frédéric</t>
  </si>
  <si>
    <t>DALOZE Michel</t>
  </si>
  <si>
    <t>ITSS</t>
  </si>
  <si>
    <t>GATELIER Benoit</t>
  </si>
  <si>
    <t>HENGEN Olivier</t>
  </si>
  <si>
    <t>KLEIN Jean-Luc</t>
  </si>
  <si>
    <t>KOFFERSCHLAGER Thierry</t>
  </si>
  <si>
    <t>LAZAR Raluca</t>
  </si>
  <si>
    <t>MUKIZA Antoine</t>
  </si>
  <si>
    <t>SAUNIER Jean-Yves</t>
  </si>
  <si>
    <t>SIMION Nicoleta</t>
  </si>
  <si>
    <t>VOLPI Jocelyn</t>
  </si>
  <si>
    <t>Proximity - Mobility - MDM - VC</t>
  </si>
  <si>
    <t xml:space="preserve">Role
/
Site</t>
  </si>
  <si>
    <t>BRU</t>
  </si>
  <si>
    <t>ALLOUANI Aziz</t>
  </si>
  <si>
    <t>BIGI Francesco</t>
  </si>
  <si>
    <t>BILJAL Kadir</t>
  </si>
  <si>
    <t>CHRISTIANSEN Carlos</t>
  </si>
  <si>
    <t>DESMAE Nathalie</t>
  </si>
  <si>
    <t>DIOSES Juan</t>
  </si>
  <si>
    <t xml:space="preserve">DOUCHAMPS Clément </t>
  </si>
  <si>
    <t>OF</t>
  </si>
  <si>
    <t xml:space="preserve">EL IDRISSI Marouane </t>
  </si>
  <si>
    <t>GARRIDO Santiago</t>
  </si>
  <si>
    <t>GASHI Rrahim</t>
  </si>
  <si>
    <t>JOLLES Lionel</t>
  </si>
  <si>
    <t>JUROMITO Alexandre</t>
  </si>
  <si>
    <t>KAISER Markus</t>
  </si>
  <si>
    <t>KENZARI Ziad</t>
  </si>
  <si>
    <t>LALIEU Philippe</t>
  </si>
  <si>
    <t>LAWSON Jean-Claude</t>
  </si>
  <si>
    <t xml:space="preserve">TOHALA John </t>
  </si>
  <si>
    <t>MARTIROSYAN Valery</t>
  </si>
  <si>
    <t>M'NOUAR Sammy</t>
  </si>
  <si>
    <t>NAJI Youssef</t>
  </si>
  <si>
    <t>NOUWYNCK Vincent</t>
  </si>
  <si>
    <t>OUAKRIM Mohammed</t>
  </si>
  <si>
    <t xml:space="preserve">SEFGJINI Ergys  </t>
  </si>
  <si>
    <t>SKEVOFYLAX Panagiotis</t>
  </si>
  <si>
    <t>SOHNLE Michael</t>
  </si>
  <si>
    <t>VOSSEN Jan</t>
  </si>
  <si>
    <t>VURAN Yasin</t>
  </si>
  <si>
    <t>ZWICK Hervé</t>
  </si>
  <si>
    <t>TA</t>
  </si>
  <si>
    <t>BELOVSKI Yuliyan</t>
  </si>
  <si>
    <t>BONALDO Frédéric</t>
  </si>
  <si>
    <t>FALEH Zied</t>
  </si>
  <si>
    <t>FEDELI Sami</t>
  </si>
  <si>
    <t>MAUJOL François</t>
  </si>
  <si>
    <t>MAVROEIDAKOS Angelos</t>
  </si>
  <si>
    <t>MAZIZ Samir</t>
  </si>
  <si>
    <t>STEPHAN William</t>
  </si>
  <si>
    <t>VOSS Alexandre</t>
  </si>
  <si>
    <t>YABALKOV Tsvetoslav</t>
  </si>
  <si>
    <t>CASSAN Erwan</t>
  </si>
  <si>
    <t>GIANNOUDAS Konstantinos</t>
  </si>
  <si>
    <t>VISCA Jason</t>
  </si>
  <si>
    <t>Workstation</t>
  </si>
  <si>
    <t xml:space="preserve">WKS
BRU</t>
  </si>
  <si>
    <t>ALLEMAN Yves</t>
  </si>
  <si>
    <t>OAE</t>
  </si>
  <si>
    <t>CIOARA Viorel</t>
  </si>
  <si>
    <t>ELEK Amir</t>
  </si>
  <si>
    <t>GREAB Bogdan</t>
  </si>
  <si>
    <t>INDINO Giuseppe</t>
  </si>
  <si>
    <t>JOVANOVIC Rastko</t>
  </si>
  <si>
    <t>PEETERS Olivier</t>
  </si>
  <si>
    <t>ALSTEENS Thomas</t>
  </si>
  <si>
    <t xml:space="preserve">MDM
BRU</t>
  </si>
  <si>
    <t>BOUAOUD Azedine</t>
  </si>
  <si>
    <t>TOTAJ Aurel</t>
  </si>
  <si>
    <t>LUETZEN Jens</t>
  </si>
  <si>
    <t>RADHZA Abid</t>
  </si>
  <si>
    <t>LSA</t>
  </si>
  <si>
    <t>ALARDIN Gerald</t>
  </si>
  <si>
    <t>GEORGAKOPOULOS Ilias</t>
  </si>
  <si>
    <t>GONZALEZ Dimitry</t>
  </si>
  <si>
    <t>HADNAN Khalid</t>
  </si>
  <si>
    <t>KHALIFA Soulaimane</t>
  </si>
  <si>
    <t>MIKLASZEWSKI Adam</t>
  </si>
  <si>
    <t>PAKLEDINAC Zoran</t>
  </si>
  <si>
    <t>SOUDANS Olivier</t>
  </si>
  <si>
    <t>TLILI Thabet</t>
  </si>
  <si>
    <t>OETTINGER Denis</t>
  </si>
  <si>
    <t>GER  German langage ability</t>
  </si>
  <si>
    <t>Types of presence</t>
  </si>
  <si>
    <t>Present as usual</t>
  </si>
  <si>
    <t>Teleworking</t>
  </si>
  <si>
    <t>Internal training</t>
  </si>
  <si>
    <t>Welcome Desk BRU/Spinelli</t>
  </si>
  <si>
    <t>Welcome Desk BRU/Kohl</t>
  </si>
  <si>
    <t>Welcome Desk BRU/Martens</t>
  </si>
  <si>
    <t>Welcome Desk LUX</t>
  </si>
  <si>
    <t>Absences</t>
  </si>
  <si>
    <t>External training</t>
  </si>
  <si>
    <t>Compensatory leave</t>
  </si>
  <si>
    <t>Absence requested by EP</t>
  </si>
  <si>
    <t>Public holidays &amp; Office closing days</t>
  </si>
  <si>
    <t>0,5 hour onsite</t>
  </si>
  <si>
    <t>0,25 hour onsite</t>
  </si>
  <si>
    <t>0,5 hour teleworking</t>
  </si>
  <si>
    <t>0,25 hour teleworking</t>
  </si>
  <si>
    <t>Monday</t>
  </si>
  <si>
    <t>Tuesday</t>
  </si>
  <si>
    <t>Wednesday</t>
  </si>
  <si>
    <t>Thursday</t>
  </si>
  <si>
    <t>Friday</t>
  </si>
  <si>
    <t xml:space="preserve">OPMAN+
Planning Patterns</t>
  </si>
  <si>
    <t>p8to17_12brk</t>
  </si>
  <si>
    <t>p8to17_13brk</t>
  </si>
  <si>
    <t>p8to17_12brk_tw_monfri</t>
  </si>
  <si>
    <t>p8to17h30_12brk_fri8to14</t>
  </si>
  <si>
    <t>p8to17h30_13brk_fri8to14</t>
  </si>
  <si>
    <t>p8to18_12brk_fri8to12</t>
  </si>
  <si>
    <t>p8to18_13brk_fri8to12</t>
  </si>
  <si>
    <t>p8h30to17h30_12brk</t>
  </si>
  <si>
    <t>p8h30to17h30_12h30brk</t>
  </si>
  <si>
    <t>p8h30to17h30_13brk</t>
  </si>
  <si>
    <t>p8h30to18_12h30longbrk</t>
  </si>
  <si>
    <t>p8h30to18_12brk_fri8to14</t>
  </si>
  <si>
    <t>p8h30to18_13brk_fri8to14</t>
  </si>
  <si>
    <t>p8h30to18h30_13brk_fri8to12</t>
  </si>
  <si>
    <t>p8h30to18h30_13brk_fri9to13</t>
  </si>
  <si>
    <t>p8h30to18h30_13brk_fri9h30</t>
  </si>
  <si>
    <t>p9to18_12brk</t>
  </si>
  <si>
    <t>p9to18_13brk</t>
  </si>
  <si>
    <t>p9h30to18h30_12brk</t>
  </si>
  <si>
    <t>p9h30to18h30_13brk</t>
  </si>
  <si>
    <t>p9h30to18h30_14brk</t>
  </si>
  <si>
    <t>p10to19_13brk</t>
  </si>
  <si>
    <t>p10to19_14brk</t>
  </si>
  <si>
    <t>p11to20_13brk</t>
  </si>
  <si>
    <t>p11to20_14brk</t>
  </si>
  <si>
    <t>APP_lux2str_shift_early</t>
  </si>
  <si>
    <t>APP_lux2str_shift_late</t>
  </si>
  <si>
    <t>APP_lux2bru_shift_early</t>
  </si>
  <si>
    <t>APP_lux2bru_shift_late</t>
  </si>
  <si>
    <t>PRX_bru2str_late</t>
  </si>
  <si>
    <t>PRX_2str_vls</t>
  </si>
  <si>
    <t>MOB_2str_8to19</t>
  </si>
  <si>
    <t>MOB_2str_8h30to19h30</t>
  </si>
  <si>
    <t>MOB_2str_9to20</t>
  </si>
  <si>
    <t>VC_str</t>
  </si>
  <si>
    <t>BO_bru2str_norm_early</t>
  </si>
  <si>
    <t>BO_bru2str_norm_late</t>
  </si>
  <si>
    <t>BO_bru2str_shortfri_early</t>
  </si>
  <si>
    <t>BO_bru2str_shortfri_late</t>
  </si>
  <si>
    <t>BO_lux2str_norm_early</t>
  </si>
  <si>
    <t>BO_lux2str_norm_late</t>
  </si>
  <si>
    <t>BO_lux2str_shortfri_early</t>
  </si>
  <si>
    <t>BO_lux2str_shortfri_late</t>
  </si>
  <si>
    <t>Holiday</t>
  </si>
  <si>
    <t>tm</t>
  </si>
  <si>
    <t>n</t>
  </si>
  <si>
    <t>testtest</t>
  </si>
  <si>
    <t xml:space="preserve">Service Desk
Standard hours (P1)</t>
  </si>
  <si>
    <t xml:space="preserve">Total
hours</t>
  </si>
  <si>
    <t xml:space="preserve">Service Desk
Hours &lt; 8 am or &gt; 8 pm
on open days (P2)</t>
  </si>
  <si>
    <t xml:space="preserve">Service Desk
Hours on closed
days (P4)</t>
  </si>
  <si>
    <t xml:space="preserve">APP-SUP
Standard hours (P1)</t>
  </si>
  <si>
    <t xml:space="preserve">APP-SUP
Hours &lt; 8 am or &gt; 8 pm
on open days (P2)</t>
  </si>
  <si>
    <t xml:space="preserve">APP-SUP
Hours on closed
days (P4)</t>
  </si>
  <si>
    <t xml:space="preserve">PROX-MOB-MDM-VC
Standard hours (P1)</t>
  </si>
  <si>
    <t xml:space="preserve">PROX-MOB-MDM-VC
Hours &lt; 8 am or &gt; 8 pm
on open days (P2)</t>
  </si>
  <si>
    <t xml:space="preserve">PROX-MOB-MDM-VC
Hours on closed
days (P4)</t>
  </si>
  <si>
    <t xml:space="preserve">Workstation
Standard hours (P1)</t>
  </si>
  <si>
    <t xml:space="preserve">Workstation
Hours &lt; 8 am or &gt; 8 pm
on open days (P2)</t>
  </si>
  <si>
    <t xml:space="preserve">Workstation
Hours on closed
days (P4)</t>
  </si>
  <si>
    <t xml:space="preserve">LSA
Standard hours (P1)</t>
  </si>
  <si>
    <t xml:space="preserve">LSA
Hours &lt; 8 am or &gt; 8 pm
on open days (P2)</t>
  </si>
  <si>
    <t xml:space="preserve">LSA
Hours on closed
days (P4)</t>
  </si>
  <si>
    <t>Week</t>
  </si>
  <si>
    <t>Dates</t>
  </si>
  <si>
    <t>Nr of days</t>
  </si>
  <si>
    <t>Sunday</t>
  </si>
  <si>
    <t>Normal</t>
  </si>
  <si>
    <t>Saturday</t>
  </si>
  <si>
    <t>Pre-Session</t>
  </si>
  <si>
    <t>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</si>
</sst>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w&quot;0"/>
    <numFmt numFmtId="165" formatCode="0.0"/>
    <numFmt numFmtId="166" formatCode="&quot;Week&quot; 0"/>
    <numFmt numFmtId="167" formatCode="&quot;WEEK&quot; 0"/>
    <numFmt numFmtId="168" formatCode="0 &quot;days&quot;"/>
    <numFmt numFmtId="169" formatCode="0 &quot;days/month&quot;"/>
  </numFmts>
  <fonts count="50" x14ac:knownFonts="1">
    <font>
      <color theme="1"/>
      <family val="2"/>
      <scheme val="minor"/>
      <sz val="11"/>
      <name val="Calibri"/>
    </font>
    <font>
      <color theme="8" tint="-0.499984740745262"/>
      <family val="1"/>
      <sz val="24"/>
      <name val="Bookman Old Style"/>
    </font>
    <font>
      <color theme="1"/>
      <family val="2"/>
      <scheme val="minor"/>
      <sz val="8"/>
      <name val="Calibri"/>
    </font>
    <font>
      <b/>
      <color theme="1"/>
      <family val="2"/>
      <scheme val="minor"/>
      <sz val="14"/>
      <name val="Calibri"/>
    </font>
    <font>
      <color theme="1"/>
      <family val="2"/>
      <scheme val="minor"/>
      <sz val="10"/>
      <name val="Calibri"/>
    </font>
    <font>
      <color rgb="FFFF66FF"/>
      <sz val="1"/>
      <name val="Calibri"/>
    </font>
    <font>
      <color rgb="FFFF66FF"/>
      <family val="2"/>
      <scheme val="minor"/>
      <sz val="1"/>
      <name val="Calibri"/>
    </font>
    <font>
      <sz val="10"/>
      <name val="Calibri"/>
    </font>
    <font>
      <color rgb="FF339933"/>
      <family val="2"/>
      <scheme val="minor"/>
      <sz val="1"/>
      <name val="Calibri"/>
    </font>
    <font>
      <color rgb="FF6699FF"/>
      <family val="2"/>
      <scheme val="minor"/>
      <sz val="1"/>
      <name val="Calibri"/>
    </font>
    <font>
      <color rgb="FFFFFF00"/>
      <family val="2"/>
      <scheme val="minor"/>
      <sz val="8"/>
      <name val="Calibri"/>
    </font>
    <font>
      <color rgb="FFFF7C80"/>
      <family val="2"/>
      <scheme val="minor"/>
      <sz val="1"/>
      <name val="Calibri"/>
    </font>
    <font>
      <family val="2"/>
      <scheme val="minor"/>
      <sz val="10"/>
      <name val="Calibri"/>
    </font>
    <font>
      <color rgb="FF92D050"/>
      <family val="2"/>
      <scheme val="minor"/>
      <sz val="8"/>
      <name val="Calibri"/>
    </font>
    <font>
      <color rgb="FFCC9900"/>
      <family val="2"/>
      <scheme val="minor"/>
      <sz val="8"/>
      <name val="Calibri"/>
    </font>
    <font>
      <color rgb="FF9966FF"/>
      <family val="2"/>
      <scheme val="minor"/>
      <sz val="1"/>
      <name val="Calibri"/>
    </font>
    <font>
      <color rgb="FFFCE4D6"/>
      <family val="2"/>
      <scheme val="minor"/>
      <sz val="8"/>
      <name val="Calibri"/>
    </font>
    <font>
      <color rgb="FF00FF00"/>
      <family val="2"/>
      <scheme val="minor"/>
      <sz val="1"/>
      <name val="Calibri"/>
    </font>
    <font>
      <b/>
      <color theme="1"/>
      <family val="2"/>
      <scheme val="minor"/>
      <sz val="12"/>
      <name val="Calibri"/>
    </font>
    <font>
      <color theme="1"/>
      <family val="2"/>
      <scheme val="minor"/>
      <sz val="14"/>
      <name val="Calibri"/>
    </font>
    <font>
      <color theme="1"/>
      <family val="2"/>
      <scheme val="minor"/>
      <sz val="16"/>
      <name val="Calibri"/>
    </font>
    <font>
      <b/>
      <family val="2"/>
      <scheme val="minor"/>
      <sz val="16"/>
      <name val="Calibri"/>
    </font>
    <font>
      <b/>
      <color rgb="FFFF0000"/>
      <family val="2"/>
      <scheme val="minor"/>
      <sz val="16"/>
      <name val="Calibri"/>
    </font>
    <font>
      <b/>
      <color theme="8" tint="0.3999755851924192"/>
      <family val="2"/>
      <scheme val="minor"/>
      <sz val="16"/>
      <name val="Calibri"/>
    </font>
    <font>
      <b/>
      <color theme="1"/>
      <family val="2"/>
      <scheme val="minor"/>
      <sz val="16"/>
      <name val="Calibri"/>
    </font>
    <font>
      <color theme="1"/>
      <family val="2"/>
      <scheme val="minor"/>
      <sz val="18"/>
      <name val="Calibri"/>
    </font>
    <font>
      <family val="2"/>
      <scheme val="minor"/>
      <sz val="16"/>
      <name val="Calibri"/>
    </font>
    <font>
      <b/>
      <color theme="8" tint="0.3999755851924192"/>
      <family val="2"/>
      <scheme val="minor"/>
      <sz val="18"/>
      <name val="Calibri"/>
    </font>
    <font>
      <b/>
      <color theme="1"/>
      <family val="2"/>
      <scheme val="minor"/>
      <sz val="18"/>
      <name val="Calibri"/>
    </font>
    <font>
      <b/>
      <family val="2"/>
      <scheme val="minor"/>
      <sz val="18"/>
      <name val="Calibri"/>
    </font>
    <font>
      <b/>
      <color rgb="FFFF0000"/>
      <family val="2"/>
      <scheme val="minor"/>
      <sz val="18"/>
      <name val="Calibri"/>
    </font>
    <font>
      <color theme="1"/>
      <family val="2"/>
      <scheme val="minor"/>
      <sz val="12"/>
      <name val="Calibri"/>
    </font>
    <font>
      <color theme="1"/>
      <family val="2"/>
      <scheme val="minor"/>
      <sz val="9"/>
      <name val="Calibri"/>
    </font>
    <font>
      <family val="2"/>
      <scheme val="minor"/>
      <sz val="12"/>
      <name val="Calibri"/>
    </font>
    <font>
      <color rgb="FF92D050"/>
      <sz val="1"/>
      <name val="Calibri"/>
    </font>
    <font>
      <color rgb="FF92D050"/>
      <family val="2"/>
      <scheme val="minor"/>
      <sz val="1"/>
      <name val="Calibri"/>
    </font>
    <font>
      <color rgb="FF00B050"/>
      <family val="2"/>
      <scheme val="minor"/>
      <sz val="8"/>
      <name val="Calibri"/>
    </font>
    <font>
      <color rgb="FF339933"/>
      <family val="2"/>
      <scheme val="minor"/>
      <sz val="8"/>
      <name val="Calibri"/>
    </font>
    <font>
      <family val="2"/>
      <scheme val="minor"/>
      <sz val="11"/>
      <name val="Calibri"/>
    </font>
    <font>
      <b/>
      <color theme="1"/>
      <family val="2"/>
      <scheme val="minor"/>
      <sz val="10"/>
      <name val="Calibri"/>
    </font>
    <font>
      <b/>
      <color theme="1"/>
      <family val="2"/>
      <scheme val="minor"/>
      <sz val="11"/>
      <name val="Calibri"/>
    </font>
    <font>
      <color theme="8" tint="-0.499984740745262"/>
      <family val="2"/>
      <scheme val="minor"/>
      <sz val="12"/>
      <name val="Calibri"/>
    </font>
    <font>
      <color rgb="FF000000"/>
      <family val="2"/>
      <scheme val="minor"/>
      <sz val="11"/>
      <name val="Calibri"/>
    </font>
    <font>
      <color rgb="FFFF7C80"/>
      <sz val="1"/>
      <name val="Calibri"/>
    </font>
    <font>
      <color rgb="FF000000"/>
      <family val="2"/>
      <scheme val="minor"/>
      <sz val="10"/>
      <name val="Calibri"/>
    </font>
    <font>
      <u/>
      <color theme="1"/>
      <family val="2"/>
      <scheme val="minor"/>
      <sz val="11"/>
      <name val="Calibri"/>
    </font>
    <font>
      <color rgb="FFFCE4D6"/>
      <family val="2"/>
      <scheme val="minor"/>
      <sz val="10"/>
      <name val="Calibri"/>
    </font>
    <font>
      <color theme="1"/>
      <family val="2"/>
      <scheme val="minor"/>
      <sz val="20"/>
      <name val="Calibri"/>
    </font>
    <font>
      <color theme="0"/>
      <family val="2"/>
      <scheme val="minor"/>
      <sz val="11"/>
      <name val="Calibri"/>
    </font>
    <font>
      <color theme="0" tint="-0.1499984740745262"/>
      <family val="2"/>
      <scheme val="minor"/>
      <sz val="11"/>
      <name val="Calibri"/>
    </font>
  </fonts>
  <fills count="37">
    <fill>
      <patternFill patternType="none"/>
    </fill>
    <fill>
      <patternFill patternType="gray125"/>
    </fill>
    <fill>
      <patternFill/>
    </fill>
    <fill>
      <patternFill patternType="solid">
        <fgColor rgb="FFF8F8F8"/>
        <bgColor indexed="64"/>
      </patternFill>
    </fill>
    <fill>
      <patternFill patternType="solid">
        <fgColor rgb="FFFF66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6699FF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FF7C80"/>
      </patternFill>
    </fill>
    <fill>
      <patternFill patternType="solid">
        <fgColor rgb="FFCEB8FA"/>
        <bgColor indexed="64"/>
      </patternFill>
    </fill>
    <fill>
      <patternFill patternType="solid">
        <fgColor rgb="FFC6E6A2"/>
        <bgColor indexed="64"/>
      </patternFill>
    </fill>
    <fill>
      <gradientFill degree="90">
        <stop position="0">
          <color theme="0"/>
        </stop>
        <stop position="1">
          <color theme="8" tint="0.8000122074037904"/>
        </stop>
      </gradientFill>
    </fill>
    <fill>
      <patternFill patternType="solid">
        <fgColor rgb="FFFEFEFE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"/>
        <bgColor indexed="64"/>
      </patternFill>
    </fill>
  </fills>
  <borders count="17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indexed="64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 tint="-0.3499862666707358"/>
      </top>
      <bottom/>
      <diagonal/>
    </border>
    <border>
      <left style="thin">
        <color theme="0" tint="-0.3499862666707358"/>
      </left>
      <right/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/>
      <diagonal/>
    </border>
    <border>
      <left style="medium">
        <color indexed="64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6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/>
      <bottom style="thin">
        <color theme="6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/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6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6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indexed="64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rgb="FFC00000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theme="5" tint="-0.249946592608417"/>
      </bottom>
      <diagonal/>
    </border>
    <border>
      <left/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>
        <color theme="0" tint="-0.3499862666707358"/>
      </left>
      <right style="thin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46592608417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/>
      <diagonal/>
    </border>
    <border>
      <left style="thin"/>
      <right style="medium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medium">
        <color indexed="64"/>
      </bottom>
      <diagonal/>
    </border>
    <border>
      <left/>
      <right style="thin">
        <color theme="0" tint="-0.3499862666707358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46592608417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indexed="64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/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medium">
        <color indexed="64"/>
      </bottom>
      <diagonal/>
    </border>
    <border>
      <left style="thin">
        <color theme="0" tint="-0.3499862666707358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/>
      <top style="medium">
        <color indexed="64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9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/>
    <xf numFmtId="17" fontId="1" fillId="3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 applyProtection="1">
      <alignment horizontal="center" vertical="center"/>
      <protection locked="0"/>
    </xf>
    <xf numFmtId="165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2" borderId="0" xfId="0" applyNumberFormat="1" applyFont="1" applyFill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49" fontId="1" fillId="3" borderId="0" xfId="0" applyNumberFormat="1" applyFont="1" applyFill="1" applyAlignment="1" applyProtection="1">
      <alignment horizontal="center" vertical="top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9" fillId="8" borderId="3" xfId="0" applyFont="1" applyFill="1" applyBorder="1" applyAlignment="1" applyProtection="1">
      <alignment horizontal="center" vertical="center"/>
      <protection locked="0"/>
    </xf>
    <xf numFmtId="0" fontId="4" fillId="9" borderId="3" xfId="0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10" fillId="6" borderId="5" xfId="0" applyFont="1" applyFill="1" applyBorder="1" applyAlignment="1" applyProtection="1">
      <alignment horizontal="center" vertical="center"/>
      <protection locked="0"/>
    </xf>
    <xf numFmtId="0" fontId="11" fillId="11" borderId="3" xfId="0" applyFont="1" applyFill="1" applyBorder="1" applyAlignment="1" applyProtection="1">
      <alignment horizontal="center" vertical="center"/>
      <protection locked="0"/>
    </xf>
    <xf numFmtId="0" fontId="12" fillId="12" borderId="3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14" fillId="13" borderId="5" xfId="0" applyFont="1" applyFill="1" applyBorder="1" applyAlignment="1" applyProtection="1">
      <alignment horizontal="center" vertical="center"/>
      <protection locked="0"/>
    </xf>
    <xf numFmtId="0" fontId="15" fillId="14" borderId="3" xfId="0" applyFont="1" applyFill="1" applyBorder="1" applyAlignment="1" applyProtection="1">
      <alignment horizontal="center" vertical="center"/>
      <protection locked="0"/>
    </xf>
    <xf numFmtId="0" fontId="12" fillId="15" borderId="3" xfId="0" applyFont="1" applyFill="1" applyBorder="1" applyAlignment="1" applyProtection="1">
      <alignment horizontal="center" vertical="center"/>
      <protection locked="0"/>
    </xf>
    <xf numFmtId="0" fontId="16" fillId="15" borderId="3" xfId="0" applyFont="1" applyFill="1" applyBorder="1" applyAlignment="1" applyProtection="1">
      <alignment horizontal="center" vertical="center"/>
      <protection locked="0"/>
    </xf>
    <xf numFmtId="0" fontId="17" fillId="16" borderId="3" xfId="0" applyFont="1" applyFill="1" applyBorder="1" applyAlignment="1" applyProtection="1">
      <alignment horizontal="center" vertical="center"/>
      <protection locked="0"/>
    </xf>
    <xf numFmtId="0" fontId="12" fillId="17" borderId="3" xfId="0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18" fillId="2" borderId="6" xfId="0" applyFont="1" applyFill="1" applyBorder="1" applyAlignment="1" applyProtection="1">
      <alignment horizontal="center" vertical="center"/>
      <protection locked="0"/>
    </xf>
    <xf numFmtId="0" fontId="19" fillId="2" borderId="0" xfId="0" applyFont="1" applyFill="1"/>
    <xf numFmtId="166" fontId="20" fillId="15" borderId="0" xfId="0" applyNumberFormat="1" applyFont="1" applyFill="1" applyAlignment="1" applyProtection="1">
      <alignment horizontal="center"/>
      <protection locked="0"/>
    </xf>
    <xf numFmtId="167" fontId="3" fillId="15" borderId="1" xfId="0" applyNumberFormat="1" applyFont="1" applyFill="1" applyBorder="1" applyAlignment="1" applyProtection="1">
      <alignment horizontal="center"/>
      <protection locked="0"/>
    </xf>
    <xf numFmtId="166" fontId="20" fillId="5" borderId="0" xfId="0" applyNumberFormat="1" applyFont="1" applyFill="1" applyAlignment="1" applyProtection="1">
      <alignment horizontal="center"/>
      <protection locked="0"/>
    </xf>
    <xf numFmtId="167" fontId="3" fillId="5" borderId="1" xfId="0" applyNumberFormat="1" applyFont="1" applyFill="1" applyBorder="1" applyAlignment="1" applyProtection="1">
      <alignment horizontal="center"/>
      <protection locked="0"/>
    </xf>
    <xf numFmtId="166" fontId="20" fillId="15" borderId="7" xfId="0" applyNumberFormat="1" applyFont="1" applyFill="1" applyBorder="1" applyAlignment="1" applyProtection="1">
      <alignment horizontal="center"/>
      <protection locked="0"/>
    </xf>
    <xf numFmtId="166" fontId="19" fillId="15" borderId="0" xfId="0" applyNumberFormat="1" applyFont="1" applyFill="1" applyAlignment="1" applyProtection="1">
      <alignment horizontal="center"/>
      <protection locked="0"/>
    </xf>
    <xf numFmtId="0" fontId="20" fillId="2" borderId="0" xfId="0" applyFont="1" applyFill="1" applyProtection="1"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vertical="center"/>
      <protection locked="0"/>
    </xf>
    <xf numFmtId="14" fontId="22" fillId="2" borderId="0" xfId="0" applyNumberFormat="1" applyFont="1" applyFill="1" applyAlignment="1" applyProtection="1">
      <alignment horizontal="left" vertical="center"/>
      <protection locked="0"/>
    </xf>
    <xf numFmtId="0" fontId="23" fillId="2" borderId="0" xfId="0" applyFont="1" applyFill="1" applyAlignment="1" applyProtection="1">
      <alignment horizontal="center" vertical="center"/>
      <protection locked="0"/>
    </xf>
    <xf numFmtId="14" fontId="21" fillId="2" borderId="0" xfId="0" applyNumberFormat="1" applyFont="1" applyFill="1" applyAlignment="1" applyProtection="1">
      <alignment horizontal="left" vertical="center"/>
      <protection locked="0"/>
    </xf>
    <xf numFmtId="14" fontId="24" fillId="2" borderId="0" xfId="0" applyNumberFormat="1" applyFont="1" applyFill="1" applyAlignment="1" applyProtection="1">
      <alignment horizontal="left" vertical="center"/>
      <protection locked="0"/>
    </xf>
    <xf numFmtId="0" fontId="21" fillId="18" borderId="0" xfId="0" applyFont="1" applyFill="1" applyAlignment="1" applyProtection="1">
      <alignment horizontal="center" vertical="center"/>
      <protection locked="0"/>
    </xf>
    <xf numFmtId="0" fontId="25" fillId="2" borderId="0" xfId="0" applyFont="1" applyFill="1" applyAlignment="1" applyProtection="1">
      <alignment vertical="center"/>
      <protection locked="0"/>
    </xf>
    <xf numFmtId="0" fontId="25" fillId="2" borderId="1" xfId="0" applyFont="1" applyFill="1" applyBorder="1" applyAlignment="1" applyProtection="1">
      <alignment vertical="center"/>
      <protection locked="0"/>
    </xf>
    <xf numFmtId="0" fontId="20" fillId="2" borderId="0" xfId="0" applyFont="1" applyFill="1" applyAlignment="1" applyProtection="1">
      <alignment vertical="center"/>
      <protection locked="0"/>
    </xf>
    <xf numFmtId="0" fontId="24" fillId="2" borderId="0" xfId="0" applyFont="1" applyFill="1" applyAlignment="1" applyProtection="1">
      <alignment vertical="center"/>
      <protection locked="0"/>
    </xf>
    <xf numFmtId="0" fontId="26" fillId="2" borderId="0" xfId="0" applyFont="1" applyFill="1" applyProtection="1">
      <protection locked="0"/>
    </xf>
    <xf numFmtId="0" fontId="27" fillId="2" borderId="0" xfId="0" applyFont="1" applyFill="1" applyAlignment="1" applyProtection="1">
      <alignment horizontal="center" vertical="center"/>
      <protection locked="0"/>
    </xf>
    <xf numFmtId="14" fontId="28" fillId="2" borderId="0" xfId="0" applyNumberFormat="1" applyFont="1" applyFill="1" applyAlignment="1" applyProtection="1">
      <alignment horizontal="left" vertic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29" fillId="2" borderId="0" xfId="0" applyFont="1" applyFill="1" applyAlignment="1" applyProtection="1">
      <alignment horizontal="right" vertical="center"/>
      <protection locked="0"/>
    </xf>
    <xf numFmtId="14" fontId="29" fillId="2" borderId="0" xfId="0" applyNumberFormat="1" applyFont="1" applyFill="1" applyAlignment="1" applyProtection="1">
      <alignment horizontal="left" vertical="center"/>
      <protection locked="0"/>
    </xf>
    <xf numFmtId="14" fontId="30" fillId="2" borderId="0" xfId="0" applyNumberFormat="1" applyFont="1" applyFill="1" applyAlignment="1" applyProtection="1">
      <alignment horizontal="left" vertical="center"/>
      <protection locked="0"/>
    </xf>
    <xf numFmtId="0" fontId="30" fillId="2" borderId="0" xfId="0" applyFont="1" applyFill="1" applyAlignment="1" applyProtection="1">
      <alignment horizontal="right" vertical="center"/>
      <protection locked="0"/>
    </xf>
    <xf numFmtId="0" fontId="28" fillId="2" borderId="0" xfId="0" applyFont="1" applyFill="1" applyAlignment="1" applyProtection="1">
      <alignment vertical="center"/>
      <protection locked="0"/>
    </xf>
    <xf numFmtId="0" fontId="0" fillId="19" borderId="0" xfId="0" applyFill="1"/>
    <xf numFmtId="0" fontId="3" fillId="19" borderId="0" xfId="0" applyFont="1" applyFill="1" applyAlignment="1" applyProtection="1">
      <alignment horizontal="left"/>
      <protection locked="0"/>
    </xf>
    <xf numFmtId="0" fontId="0" fillId="19" borderId="0" xfId="0" applyFill="1" applyAlignment="1" applyProtection="1">
      <alignment horizontal="center"/>
      <protection locked="0"/>
    </xf>
    <xf numFmtId="0" fontId="0" fillId="19" borderId="1" xfId="0" applyFill="1" applyBorder="1" applyProtection="1">
      <protection locked="0"/>
    </xf>
    <xf numFmtId="0" fontId="4" fillId="2" borderId="0" xfId="0" applyFont="1" applyFill="1"/>
    <xf numFmtId="0" fontId="18" fillId="20" borderId="8" xfId="0" applyFont="1" applyFill="1" applyBorder="1" applyAlignment="1" applyProtection="1">
      <alignment horizontal="center" vertical="center"/>
      <protection locked="0"/>
    </xf>
    <xf numFmtId="0" fontId="28" fillId="20" borderId="9" xfId="0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 textRotation="90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Protection="1">
      <protection locked="0"/>
    </xf>
    <xf numFmtId="0" fontId="0" fillId="2" borderId="9" xfId="0" applyFill="1" applyBorder="1" applyAlignment="1" applyProtection="1">
      <alignment horizontal="center" vertical="center" wrapText="1"/>
      <protection locked="0"/>
    </xf>
    <xf numFmtId="0" fontId="0" fillId="20" borderId="9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4" fillId="9" borderId="10" xfId="0" applyFont="1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 wrapText="1"/>
      <protection locked="0"/>
    </xf>
    <xf numFmtId="0" fontId="31" fillId="21" borderId="8" xfId="0" applyFont="1" applyFill="1" applyBorder="1" applyAlignment="1" applyProtection="1">
      <alignment horizontal="center" vertical="center" textRotation="90"/>
      <protection locked="0"/>
    </xf>
    <xf numFmtId="0" fontId="31" fillId="5" borderId="9" xfId="0" applyFont="1" applyFill="1" applyBorder="1" applyAlignment="1" applyProtection="1">
      <alignment horizontal="center" vertical="center" textRotation="90"/>
      <protection locked="0"/>
    </xf>
    <xf numFmtId="0" fontId="18" fillId="22" borderId="10" xfId="0" applyFont="1" applyFill="1" applyBorder="1" applyAlignment="1" applyProtection="1">
      <alignment horizontal="center" vertical="center" textRotation="90"/>
      <protection locked="0"/>
    </xf>
    <xf numFmtId="0" fontId="32" fillId="2" borderId="8" xfId="0" applyFont="1" applyFill="1" applyBorder="1" applyAlignment="1" applyProtection="1">
      <alignment horizontal="center" vertical="center"/>
      <protection locked="0"/>
    </xf>
    <xf numFmtId="0" fontId="33" fillId="23" borderId="14" xfId="0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Protection="1">
      <protection locked="0"/>
    </xf>
    <xf numFmtId="0" fontId="4" fillId="2" borderId="16" xfId="0" applyFont="1" applyFill="1" applyBorder="1" applyAlignment="1" applyProtection="1">
      <alignment horizontal="center"/>
      <protection locked="0"/>
    </xf>
    <xf numFmtId="0" fontId="2" fillId="10" borderId="14" xfId="0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0" fontId="2" fillId="10" borderId="17" xfId="0" applyFont="1" applyFill="1" applyBorder="1" applyAlignment="1" applyProtection="1">
      <alignment horizontal="center" vertical="center"/>
      <protection locked="0"/>
    </xf>
    <xf numFmtId="0" fontId="2" fillId="10" borderId="18" xfId="0" applyFont="1" applyFill="1" applyBorder="1" applyAlignment="1" applyProtection="1">
      <alignment horizontal="center" vertical="center"/>
      <protection locked="0"/>
    </xf>
    <xf numFmtId="0" fontId="2" fillId="10" borderId="19" xfId="0" applyFont="1" applyFill="1" applyBorder="1" applyAlignment="1" applyProtection="1">
      <alignment horizontal="center" vertical="center"/>
      <protection locked="0"/>
    </xf>
    <xf numFmtId="0" fontId="2" fillId="10" borderId="20" xfId="0" applyFont="1" applyFill="1" applyBorder="1" applyAlignment="1" applyProtection="1">
      <alignment horizontal="center" vertical="center"/>
      <protection locked="0"/>
    </xf>
    <xf numFmtId="0" fontId="2" fillId="10" borderId="21" xfId="0" applyFont="1" applyFill="1" applyBorder="1" applyAlignment="1" applyProtection="1">
      <alignment horizontal="center" vertical="center"/>
      <protection locked="0"/>
    </xf>
    <xf numFmtId="0" fontId="2" fillId="10" borderId="22" xfId="0" applyFont="1" applyFill="1" applyBorder="1" applyAlignment="1" applyProtection="1">
      <alignment horizontal="center" vertical="center"/>
      <protection locked="0"/>
    </xf>
    <xf numFmtId="0" fontId="2" fillId="10" borderId="23" xfId="0" applyFont="1" applyFill="1" applyBorder="1" applyAlignment="1" applyProtection="1">
      <alignment horizontal="center" vertical="center"/>
      <protection locked="0"/>
    </xf>
    <xf numFmtId="165" fontId="0" fillId="2" borderId="16" xfId="0" applyNumberFormat="1" applyFill="1" applyBorder="1" applyAlignment="1" applyProtection="1">
      <alignment horizontal="center"/>
      <protection locked="0"/>
    </xf>
    <xf numFmtId="0" fontId="2" fillId="10" borderId="24" xfId="0" applyFont="1" applyFill="1" applyBorder="1" applyAlignment="1" applyProtection="1">
      <alignment horizontal="center" vertical="center"/>
      <protection locked="0"/>
    </xf>
    <xf numFmtId="165" fontId="0" fillId="2" borderId="14" xfId="0" applyNumberForma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13" fillId="24" borderId="18" xfId="0" applyFont="1" applyFill="1" applyBorder="1" applyAlignment="1" applyProtection="1">
      <alignment horizontal="center" vertical="center"/>
      <protection locked="0"/>
    </xf>
    <xf numFmtId="0" fontId="13" fillId="24" borderId="19" xfId="0" applyFont="1" applyFill="1" applyBorder="1" applyAlignment="1" applyProtection="1">
      <alignment horizontal="center" vertical="center"/>
      <protection locked="0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0" fontId="13" fillId="24" borderId="21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0" fillId="2" borderId="2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4" fillId="2" borderId="26" xfId="0" applyFont="1" applyFill="1" applyBorder="1" applyAlignment="1" applyProtection="1">
      <alignment horizontal="center"/>
      <protection locked="0"/>
    </xf>
    <xf numFmtId="0" fontId="2" fillId="10" borderId="27" xfId="0" applyFont="1" applyFill="1" applyBorder="1" applyAlignment="1" applyProtection="1">
      <alignment horizontal="center" vertical="center"/>
      <protection locked="0"/>
    </xf>
    <xf numFmtId="0" fontId="2" fillId="10" borderId="28" xfId="0" applyFont="1" applyFill="1" applyBorder="1" applyAlignment="1" applyProtection="1">
      <alignment horizontal="center" vertical="center"/>
      <protection locked="0"/>
    </xf>
    <xf numFmtId="0" fontId="2" fillId="10" borderId="29" xfId="0" applyFont="1" applyFill="1" applyBorder="1" applyAlignment="1" applyProtection="1">
      <alignment horizontal="center" vertical="center"/>
      <protection locked="0"/>
    </xf>
    <xf numFmtId="0" fontId="2" fillId="10" borderId="3" xfId="0" applyFont="1" applyFill="1" applyBorder="1" applyAlignment="1" applyProtection="1">
      <alignment horizontal="center" vertical="center"/>
      <protection locked="0"/>
    </xf>
    <xf numFmtId="0" fontId="2" fillId="10" borderId="30" xfId="0" applyFont="1" applyFill="1" applyBorder="1" applyAlignment="1" applyProtection="1">
      <alignment horizontal="center" vertical="center"/>
      <protection locked="0"/>
    </xf>
    <xf numFmtId="0" fontId="2" fillId="10" borderId="31" xfId="0" applyFont="1" applyFill="1" applyBorder="1" applyAlignment="1" applyProtection="1">
      <alignment horizontal="center" vertical="center"/>
      <protection locked="0"/>
    </xf>
    <xf numFmtId="0" fontId="2" fillId="10" borderId="32" xfId="0" applyFont="1" applyFill="1" applyBorder="1" applyAlignment="1" applyProtection="1">
      <alignment horizontal="center" vertical="center"/>
      <protection locked="0"/>
    </xf>
    <xf numFmtId="0" fontId="2" fillId="10" borderId="33" xfId="0" applyFont="1" applyFill="1" applyBorder="1" applyAlignment="1" applyProtection="1">
      <alignment horizontal="center" vertical="center"/>
      <protection locked="0"/>
    </xf>
    <xf numFmtId="0" fontId="2" fillId="10" borderId="34" xfId="0" applyFont="1" applyFill="1" applyBorder="1" applyAlignment="1" applyProtection="1">
      <alignment horizontal="center" vertical="center"/>
      <protection locked="0"/>
    </xf>
    <xf numFmtId="165" fontId="0" fillId="2" borderId="35" xfId="0" applyNumberFormat="1" applyFill="1" applyBorder="1" applyAlignment="1" applyProtection="1">
      <alignment horizontal="center"/>
      <protection locked="0"/>
    </xf>
    <xf numFmtId="165" fontId="0" fillId="2" borderId="26" xfId="0" applyNumberFormat="1" applyFill="1" applyBorder="1" applyAlignment="1" applyProtection="1">
      <alignment horizontal="center"/>
      <protection locked="0"/>
    </xf>
    <xf numFmtId="165" fontId="0" fillId="2" borderId="36" xfId="0" applyNumberFormat="1" applyFill="1" applyBorder="1" applyAlignment="1" applyProtection="1">
      <alignment horizontal="center"/>
      <protection locked="0"/>
    </xf>
    <xf numFmtId="165" fontId="0" fillId="2" borderId="37" xfId="0" applyNumberFormat="1" applyFill="1" applyBorder="1" applyAlignment="1" applyProtection="1">
      <alignment horizont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13" fillId="24" borderId="3" xfId="0" applyFont="1" applyFill="1" applyBorder="1" applyAlignment="1" applyProtection="1">
      <alignment horizontal="center" vertical="center"/>
      <protection locked="0"/>
    </xf>
    <xf numFmtId="0" fontId="13" fillId="24" borderId="30" xfId="0" applyFont="1" applyFill="1" applyBorder="1" applyAlignment="1" applyProtection="1">
      <alignment horizontal="center" vertical="center"/>
      <protection locked="0"/>
    </xf>
    <xf numFmtId="0" fontId="13" fillId="24" borderId="31" xfId="0" applyFont="1" applyFill="1" applyBorder="1" applyAlignment="1" applyProtection="1">
      <alignment horizontal="center" vertical="center"/>
      <protection locked="0"/>
    </xf>
    <xf numFmtId="0" fontId="2" fillId="2" borderId="32" xfId="0" applyFont="1" applyFill="1" applyBorder="1" applyAlignment="1" applyProtection="1">
      <alignment horizontal="center" vertical="center"/>
      <protection locked="0"/>
    </xf>
    <xf numFmtId="0" fontId="13" fillId="24" borderId="29" xfId="0" applyFont="1" applyFill="1" applyBorder="1" applyAlignment="1" applyProtection="1">
      <alignment horizontal="center" vertical="center"/>
      <protection locked="0"/>
    </xf>
    <xf numFmtId="0" fontId="34" fillId="25" borderId="3" xfId="0" applyFont="1" applyFill="1" applyBorder="1" applyAlignment="1" applyProtection="1">
      <alignment horizontal="center" vertical="center"/>
      <protection locked="0"/>
    </xf>
    <xf numFmtId="0" fontId="35" fillId="24" borderId="33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36" fillId="2" borderId="31" xfId="0" applyFont="1" applyFill="1" applyBorder="1" applyAlignment="1" applyProtection="1">
      <alignment horizontal="center" vertical="center"/>
      <protection locked="0"/>
    </xf>
    <xf numFmtId="0" fontId="36" fillId="2" borderId="3" xfId="0" applyFont="1" applyFill="1" applyBorder="1" applyAlignment="1" applyProtection="1">
      <alignment horizontal="center" vertical="center"/>
      <protection locked="0"/>
    </xf>
    <xf numFmtId="0" fontId="13" fillId="24" borderId="32" xfId="0" applyFont="1" applyFill="1" applyBorder="1" applyAlignment="1" applyProtection="1">
      <alignment horizontal="center" vertical="center"/>
      <protection locked="0"/>
    </xf>
    <xf numFmtId="165" fontId="0" fillId="2" borderId="38" xfId="0" applyNumberFormat="1" applyFill="1" applyBorder="1" applyAlignment="1" applyProtection="1">
      <alignment horizontal="center"/>
      <protection locked="0"/>
    </xf>
    <xf numFmtId="0" fontId="2" fillId="10" borderId="39" xfId="0" applyFont="1" applyFill="1" applyBorder="1" applyAlignment="1" applyProtection="1">
      <alignment horizontal="center" vertical="center"/>
      <protection locked="0"/>
    </xf>
    <xf numFmtId="0" fontId="2" fillId="2" borderId="39" xfId="0" applyFont="1" applyFill="1" applyBorder="1" applyAlignment="1" applyProtection="1">
      <alignment horizontal="center" vertical="center"/>
      <protection locked="0"/>
    </xf>
    <xf numFmtId="0" fontId="2" fillId="2" borderId="30" xfId="0" applyFont="1" applyFill="1" applyBorder="1" applyAlignment="1" applyProtection="1">
      <alignment horizontal="center" vertical="center"/>
      <protection locked="0"/>
    </xf>
    <xf numFmtId="0" fontId="34" fillId="25" borderId="30" xfId="0" applyFont="1" applyFill="1" applyBorder="1" applyAlignment="1" applyProtection="1">
      <alignment horizontal="center" vertical="center"/>
      <protection locked="0"/>
    </xf>
    <xf numFmtId="0" fontId="2" fillId="2" borderId="31" xfId="0" applyFont="1" applyFill="1" applyBorder="1" applyAlignment="1" applyProtection="1">
      <alignment horizontal="center" vertical="center"/>
      <protection locked="0"/>
    </xf>
    <xf numFmtId="0" fontId="0" fillId="2" borderId="40" xfId="0" applyFill="1" applyBorder="1" applyProtection="1">
      <protection locked="0"/>
    </xf>
    <xf numFmtId="0" fontId="0" fillId="26" borderId="41" xfId="0" applyFill="1" applyBorder="1" applyProtection="1">
      <protection locked="0"/>
    </xf>
    <xf numFmtId="0" fontId="4" fillId="26" borderId="42" xfId="0" applyFont="1" applyFill="1" applyBorder="1" applyAlignment="1" applyProtection="1">
      <alignment horizontal="center"/>
      <protection locked="0"/>
    </xf>
    <xf numFmtId="0" fontId="2" fillId="10" borderId="40" xfId="0" applyFont="1" applyFill="1" applyBorder="1" applyAlignment="1" applyProtection="1">
      <alignment horizontal="center" vertical="center"/>
      <protection locked="0"/>
    </xf>
    <xf numFmtId="0" fontId="2" fillId="10" borderId="41" xfId="0" applyFont="1" applyFill="1" applyBorder="1" applyAlignment="1" applyProtection="1">
      <alignment horizontal="center" vertical="center"/>
      <protection locked="0"/>
    </xf>
    <xf numFmtId="0" fontId="2" fillId="10" borderId="43" xfId="0" applyFont="1" applyFill="1" applyBorder="1" applyAlignment="1" applyProtection="1">
      <alignment horizontal="center" vertical="center"/>
      <protection locked="0"/>
    </xf>
    <xf numFmtId="0" fontId="2" fillId="10" borderId="44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0" fontId="2" fillId="10" borderId="46" xfId="0" applyFont="1" applyFill="1" applyBorder="1" applyAlignment="1" applyProtection="1">
      <alignment horizontal="center" vertical="center"/>
      <protection locked="0"/>
    </xf>
    <xf numFmtId="0" fontId="2" fillId="10" borderId="47" xfId="0" applyFont="1" applyFill="1" applyBorder="1" applyAlignment="1" applyProtection="1">
      <alignment horizontal="center" vertical="center"/>
      <protection locked="0"/>
    </xf>
    <xf numFmtId="0" fontId="2" fillId="10" borderId="48" xfId="0" applyFont="1" applyFill="1" applyBorder="1" applyAlignment="1" applyProtection="1">
      <alignment horizontal="center" vertical="center"/>
      <protection locked="0"/>
    </xf>
    <xf numFmtId="0" fontId="2" fillId="10" borderId="49" xfId="0" applyFont="1" applyFill="1" applyBorder="1" applyAlignment="1" applyProtection="1">
      <alignment horizontal="center" vertical="center"/>
      <protection locked="0"/>
    </xf>
    <xf numFmtId="0" fontId="2" fillId="10" borderId="50" xfId="0" applyFont="1" applyFill="1" applyBorder="1" applyAlignment="1" applyProtection="1">
      <alignment horizontal="center" vertical="center"/>
      <protection locked="0"/>
    </xf>
    <xf numFmtId="165" fontId="0" fillId="2" borderId="42" xfId="0" applyNumberFormat="1" applyFill="1" applyBorder="1" applyAlignment="1" applyProtection="1">
      <alignment horizontal="center"/>
      <protection locked="0"/>
    </xf>
    <xf numFmtId="165" fontId="0" fillId="2" borderId="51" xfId="0" applyNumberFormat="1" applyFill="1" applyBorder="1" applyAlignment="1" applyProtection="1">
      <alignment horizontal="center"/>
      <protection locked="0"/>
    </xf>
    <xf numFmtId="165" fontId="0" fillId="2" borderId="40" xfId="0" applyNumberFormat="1" applyFill="1" applyBorder="1" applyAlignment="1" applyProtection="1">
      <alignment horizontal="center"/>
      <protection locked="0"/>
    </xf>
    <xf numFmtId="165" fontId="0" fillId="2" borderId="41" xfId="0" applyNumberFormat="1" applyFill="1" applyBorder="1" applyAlignment="1" applyProtection="1">
      <alignment horizontal="center"/>
      <protection locked="0"/>
    </xf>
    <xf numFmtId="0" fontId="2" fillId="2" borderId="40" xfId="0" applyFont="1" applyFill="1" applyBorder="1" applyAlignment="1" applyProtection="1">
      <alignment horizontal="center" vertical="center"/>
      <protection locked="0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37" fillId="7" borderId="43" xfId="0" applyFont="1" applyFill="1" applyBorder="1" applyAlignment="1" applyProtection="1">
      <alignment horizontal="center" vertical="center"/>
      <protection locked="0"/>
    </xf>
    <xf numFmtId="0" fontId="37" fillId="7" borderId="44" xfId="0" applyFont="1" applyFill="1" applyBorder="1" applyAlignment="1" applyProtection="1">
      <alignment horizontal="center" vertical="center"/>
      <protection locked="0"/>
    </xf>
    <xf numFmtId="0" fontId="37" fillId="7" borderId="45" xfId="0" applyFont="1" applyFill="1" applyBorder="1" applyAlignment="1" applyProtection="1">
      <alignment horizontal="center" vertical="center"/>
      <protection locked="0"/>
    </xf>
    <xf numFmtId="0" fontId="36" fillId="2" borderId="46" xfId="0" applyFont="1" applyFill="1" applyBorder="1" applyAlignment="1" applyProtection="1">
      <alignment horizontal="center" vertical="center"/>
      <protection locked="0"/>
    </xf>
    <xf numFmtId="0" fontId="36" fillId="2" borderId="44" xfId="0" applyFont="1" applyFill="1" applyBorder="1" applyAlignment="1" applyProtection="1">
      <alignment horizontal="center" vertical="center"/>
      <protection locked="0"/>
    </xf>
    <xf numFmtId="0" fontId="37" fillId="7" borderId="47" xfId="0" applyFont="1" applyFill="1" applyBorder="1" applyAlignment="1" applyProtection="1">
      <alignment horizontal="center" vertical="center"/>
      <protection locked="0"/>
    </xf>
    <xf numFmtId="0" fontId="2" fillId="2" borderId="44" xfId="0" applyFont="1" applyFill="1" applyBorder="1" applyAlignment="1" applyProtection="1">
      <alignment horizontal="center" vertical="center"/>
      <protection locked="0"/>
    </xf>
    <xf numFmtId="0" fontId="2" fillId="2" borderId="48" xfId="0" applyFont="1" applyFill="1" applyBorder="1" applyAlignment="1" applyProtection="1">
      <alignment horizontal="center" vertical="center"/>
      <protection locked="0"/>
    </xf>
    <xf numFmtId="0" fontId="2" fillId="2" borderId="49" xfId="0" applyFont="1" applyFill="1" applyBorder="1" applyAlignment="1" applyProtection="1">
      <alignment horizontal="center" vertical="center"/>
      <protection locked="0"/>
    </xf>
    <xf numFmtId="0" fontId="13" fillId="24" borderId="43" xfId="0" applyFont="1" applyFill="1" applyBorder="1" applyAlignment="1" applyProtection="1">
      <alignment horizontal="center" vertical="center"/>
      <protection locked="0"/>
    </xf>
    <xf numFmtId="0" fontId="13" fillId="24" borderId="44" xfId="0" applyFont="1" applyFill="1" applyBorder="1" applyAlignment="1" applyProtection="1">
      <alignment horizontal="center" vertical="center"/>
      <protection locked="0"/>
    </xf>
    <xf numFmtId="0" fontId="13" fillId="24" borderId="45" xfId="0" applyFont="1" applyFill="1" applyBorder="1" applyAlignment="1" applyProtection="1">
      <alignment horizontal="center" vertical="center"/>
      <protection locked="0"/>
    </xf>
    <xf numFmtId="0" fontId="13" fillId="24" borderId="47" xfId="0" applyFont="1" applyFill="1" applyBorder="1" applyAlignment="1" applyProtection="1">
      <alignment horizontal="center" vertical="center"/>
      <protection locked="0"/>
    </xf>
    <xf numFmtId="0" fontId="36" fillId="2" borderId="52" xfId="0" applyFont="1" applyFill="1" applyBorder="1" applyAlignment="1" applyProtection="1">
      <alignment horizontal="center" vertical="center"/>
      <protection locked="0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165" fontId="0" fillId="2" borderId="53" xfId="0" applyNumberFormat="1" applyFill="1" applyBorder="1" applyAlignment="1" applyProtection="1">
      <alignment horizontal="center"/>
      <protection locked="0"/>
    </xf>
    <xf numFmtId="0" fontId="33" fillId="23" borderId="54" xfId="0" applyFont="1" applyFill="1" applyBorder="1" applyAlignment="1" applyProtection="1">
      <alignment horizontal="center" vertical="center"/>
      <protection locked="0"/>
    </xf>
    <xf numFmtId="0" fontId="0" fillId="2" borderId="37" xfId="0" applyFill="1" applyBorder="1" applyProtection="1">
      <protection locked="0"/>
    </xf>
    <xf numFmtId="0" fontId="4" fillId="2" borderId="35" xfId="0" applyFont="1" applyFill="1" applyBorder="1" applyAlignment="1" applyProtection="1">
      <alignment horizontal="center"/>
      <protection locked="0"/>
    </xf>
    <xf numFmtId="0" fontId="2" fillId="10" borderId="55" xfId="0" applyFont="1" applyFill="1" applyBorder="1" applyAlignment="1" applyProtection="1">
      <alignment horizontal="center" vertical="center"/>
      <protection locked="0"/>
    </xf>
    <xf numFmtId="0" fontId="2" fillId="10" borderId="56" xfId="0" applyFont="1" applyFill="1" applyBorder="1" applyAlignment="1" applyProtection="1">
      <alignment horizontal="center" vertical="center"/>
      <protection locked="0"/>
    </xf>
    <xf numFmtId="0" fontId="2" fillId="10" borderId="5" xfId="0" applyFont="1" applyFill="1" applyBorder="1" applyAlignment="1" applyProtection="1">
      <alignment horizontal="center" vertical="center"/>
      <protection locked="0"/>
    </xf>
    <xf numFmtId="0" fontId="2" fillId="10" borderId="57" xfId="0" applyFont="1" applyFill="1" applyBorder="1" applyAlignment="1" applyProtection="1">
      <alignment horizontal="center" vertical="center"/>
      <protection locked="0"/>
    </xf>
    <xf numFmtId="0" fontId="2" fillId="10" borderId="58" xfId="0" applyFont="1" applyFill="1" applyBorder="1" applyAlignment="1" applyProtection="1">
      <alignment horizontal="center" vertical="center"/>
      <protection locked="0"/>
    </xf>
    <xf numFmtId="0" fontId="2" fillId="10" borderId="59" xfId="0" applyFont="1" applyFill="1" applyBorder="1" applyAlignment="1" applyProtection="1">
      <alignment horizontal="center" vertical="center"/>
      <protection locked="0"/>
    </xf>
    <xf numFmtId="0" fontId="2" fillId="10" borderId="60" xfId="0" applyFont="1" applyFill="1" applyBorder="1" applyAlignment="1" applyProtection="1">
      <alignment horizontal="center" vertical="center"/>
      <protection locked="0"/>
    </xf>
    <xf numFmtId="0" fontId="2" fillId="2" borderId="55" xfId="0" applyFont="1" applyFill="1" applyBorder="1" applyAlignment="1" applyProtection="1">
      <alignment horizontal="center" vertical="center"/>
      <protection locked="0"/>
    </xf>
    <xf numFmtId="0" fontId="2" fillId="2" borderId="56" xfId="0" applyFont="1" applyFill="1" applyBorder="1" applyAlignment="1" applyProtection="1">
      <alignment horizontal="center" vertical="center"/>
      <protection locked="0"/>
    </xf>
    <xf numFmtId="0" fontId="8" fillId="7" borderId="56" xfId="0" applyFont="1" applyFill="1" applyBorder="1" applyAlignment="1" applyProtection="1">
      <alignment horizontal="center" vertical="center"/>
      <protection locked="0"/>
    </xf>
    <xf numFmtId="0" fontId="37" fillId="7" borderId="5" xfId="0" applyFont="1" applyFill="1" applyBorder="1" applyAlignment="1" applyProtection="1">
      <alignment horizontal="center" vertical="center"/>
      <protection locked="0"/>
    </xf>
    <xf numFmtId="0" fontId="37" fillId="7" borderId="56" xfId="0" applyFont="1" applyFill="1" applyBorder="1" applyAlignment="1" applyProtection="1">
      <alignment horizontal="center" vertical="center"/>
      <protection locked="0"/>
    </xf>
    <xf numFmtId="0" fontId="37" fillId="7" borderId="57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58" xfId="0" applyFont="1" applyFill="1" applyBorder="1" applyAlignment="1" applyProtection="1">
      <alignment horizontal="center" vertical="center"/>
      <protection locked="0"/>
    </xf>
    <xf numFmtId="0" fontId="2" fillId="2" borderId="59" xfId="0" applyFont="1" applyFill="1" applyBorder="1" applyAlignment="1" applyProtection="1">
      <alignment horizontal="center"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0" fontId="35" fillId="24" borderId="56" xfId="0" applyFont="1" applyFill="1" applyBorder="1" applyAlignment="1" applyProtection="1">
      <alignment horizontal="center" vertical="center"/>
      <protection locked="0"/>
    </xf>
    <xf numFmtId="0" fontId="13" fillId="24" borderId="5" xfId="0" applyFont="1" applyFill="1" applyBorder="1" applyAlignment="1" applyProtection="1">
      <alignment horizontal="center" vertical="center"/>
      <protection locked="0"/>
    </xf>
    <xf numFmtId="0" fontId="13" fillId="24" borderId="56" xfId="0" applyFont="1" applyFill="1" applyBorder="1" applyAlignment="1" applyProtection="1">
      <alignment horizontal="center" vertical="center"/>
      <protection locked="0"/>
    </xf>
    <xf numFmtId="0" fontId="13" fillId="24" borderId="57" xfId="0" applyFont="1" applyFill="1" applyBorder="1" applyAlignment="1" applyProtection="1">
      <alignment horizontal="center" vertical="center"/>
      <protection locked="0"/>
    </xf>
    <xf numFmtId="0" fontId="13" fillId="24" borderId="61" xfId="0" applyFont="1" applyFill="1" applyBorder="1" applyAlignment="1" applyProtection="1">
      <alignment horizontal="center" vertical="center"/>
      <protection locked="0"/>
    </xf>
    <xf numFmtId="0" fontId="37" fillId="7" borderId="3" xfId="0" applyFont="1" applyFill="1" applyBorder="1" applyAlignment="1" applyProtection="1">
      <alignment horizontal="center" vertical="center"/>
      <protection locked="0"/>
    </xf>
    <xf numFmtId="0" fontId="37" fillId="7" borderId="30" xfId="0" applyFont="1" applyFill="1" applyBorder="1" applyAlignment="1" applyProtection="1">
      <alignment horizontal="center" vertical="center"/>
      <protection locked="0"/>
    </xf>
    <xf numFmtId="0" fontId="37" fillId="7" borderId="31" xfId="0" applyFont="1" applyFill="1" applyBorder="1" applyAlignment="1" applyProtection="1">
      <alignment horizontal="center" vertical="center"/>
      <protection locked="0"/>
    </xf>
    <xf numFmtId="0" fontId="37" fillId="7" borderId="29" xfId="0" applyFont="1" applyFill="1" applyBorder="1" applyAlignment="1" applyProtection="1">
      <alignment horizontal="center" vertical="center"/>
      <protection locked="0"/>
    </xf>
    <xf numFmtId="0" fontId="8" fillId="7" borderId="3" xfId="0" applyFont="1" applyFill="1" applyBorder="1" applyAlignment="1" applyProtection="1">
      <alignment horizontal="center" vertical="center"/>
      <protection locked="0"/>
    </xf>
    <xf numFmtId="0" fontId="8" fillId="7" borderId="33" xfId="0" applyFont="1" applyFill="1" applyBorder="1" applyAlignment="1" applyProtection="1">
      <alignment horizontal="center" vertical="center"/>
      <protection locked="0"/>
    </xf>
    <xf numFmtId="0" fontId="4" fillId="5" borderId="30" xfId="0" applyFont="1" applyFill="1" applyBorder="1" applyAlignment="1" applyProtection="1">
      <alignment horizontal="center" vertical="center"/>
      <protection locked="0"/>
    </xf>
    <xf numFmtId="0" fontId="4" fillId="5" borderId="31" xfId="0" applyFont="1" applyFill="1" applyBorder="1" applyAlignment="1" applyProtection="1">
      <alignment horizontal="center" vertical="center"/>
      <protection locked="0"/>
    </xf>
    <xf numFmtId="0" fontId="4" fillId="5" borderId="32" xfId="0" applyFont="1" applyFill="1" applyBorder="1" applyAlignment="1" applyProtection="1">
      <alignment horizontal="center" vertical="center"/>
      <protection locked="0"/>
    </xf>
    <xf numFmtId="0" fontId="4" fillId="5" borderId="29" xfId="0" applyFont="1" applyFill="1" applyBorder="1" applyAlignment="1" applyProtection="1">
      <alignment horizontal="center" vertical="center"/>
      <protection locked="0"/>
    </xf>
    <xf numFmtId="0" fontId="37" fillId="7" borderId="32" xfId="0" applyFont="1" applyFill="1" applyBorder="1" applyAlignment="1" applyProtection="1">
      <alignment horizontal="center" vertical="center"/>
      <protection locked="0"/>
    </xf>
    <xf numFmtId="0" fontId="8" fillId="7" borderId="30" xfId="0" applyFont="1" applyFill="1" applyBorder="1" applyAlignment="1" applyProtection="1">
      <alignment horizontal="center" vertical="center"/>
      <protection locked="0"/>
    </xf>
    <xf numFmtId="0" fontId="0" fillId="26" borderId="37" xfId="0" applyFill="1" applyBorder="1" applyProtection="1">
      <protection locked="0"/>
    </xf>
    <xf numFmtId="0" fontId="4" fillId="26" borderId="35" xfId="0" applyFont="1" applyFill="1" applyBorder="1" applyAlignment="1" applyProtection="1">
      <alignment horizontal="center"/>
      <protection locked="0"/>
    </xf>
    <xf numFmtId="0" fontId="0" fillId="26" borderId="4" xfId="0" applyFill="1" applyBorder="1" applyProtection="1">
      <protection locked="0"/>
    </xf>
    <xf numFmtId="0" fontId="4" fillId="26" borderId="26" xfId="0" applyFont="1" applyFill="1" applyBorder="1" applyAlignment="1" applyProtection="1">
      <alignment horizontal="center"/>
      <protection locked="0"/>
    </xf>
    <xf numFmtId="0" fontId="0" fillId="2" borderId="54" xfId="0" applyFill="1" applyBorder="1" applyProtection="1">
      <protection locked="0"/>
    </xf>
    <xf numFmtId="0" fontId="38" fillId="2" borderId="62" xfId="0" applyFont="1" applyFill="1" applyBorder="1" applyProtection="1">
      <protection locked="0"/>
    </xf>
    <xf numFmtId="0" fontId="4" fillId="2" borderId="63" xfId="0" applyFont="1" applyFill="1" applyBorder="1" applyAlignment="1" applyProtection="1">
      <alignment horizontal="center"/>
      <protection locked="0"/>
    </xf>
    <xf numFmtId="0" fontId="2" fillId="10" borderId="54" xfId="0" applyFont="1" applyFill="1" applyBorder="1" applyAlignment="1" applyProtection="1">
      <alignment horizontal="center" vertical="center"/>
      <protection locked="0"/>
    </xf>
    <xf numFmtId="0" fontId="2" fillId="10" borderId="64" xfId="0" applyFont="1" applyFill="1" applyBorder="1" applyAlignment="1" applyProtection="1">
      <alignment horizontal="center" vertical="center"/>
      <protection locked="0"/>
    </xf>
    <xf numFmtId="0" fontId="2" fillId="10" borderId="65" xfId="0" applyFont="1" applyFill="1" applyBorder="1" applyAlignment="1" applyProtection="1">
      <alignment horizontal="center" vertical="center"/>
      <protection locked="0"/>
    </xf>
    <xf numFmtId="0" fontId="2" fillId="10" borderId="66" xfId="0" applyFont="1" applyFill="1" applyBorder="1" applyAlignment="1" applyProtection="1">
      <alignment horizontal="center" vertical="center"/>
      <protection locked="0"/>
    </xf>
    <xf numFmtId="0" fontId="2" fillId="10" borderId="67" xfId="0" applyFont="1" applyFill="1" applyBorder="1" applyAlignment="1" applyProtection="1">
      <alignment horizontal="center" vertical="center"/>
      <protection locked="0"/>
    </xf>
    <xf numFmtId="0" fontId="2" fillId="10" borderId="68" xfId="0" applyFont="1" applyFill="1" applyBorder="1" applyAlignment="1" applyProtection="1">
      <alignment horizontal="center" vertical="center"/>
      <protection locked="0"/>
    </xf>
    <xf numFmtId="0" fontId="2" fillId="10" borderId="69" xfId="0" applyFont="1" applyFill="1" applyBorder="1" applyAlignment="1" applyProtection="1">
      <alignment horizontal="center" vertical="center"/>
      <protection locked="0"/>
    </xf>
    <xf numFmtId="0" fontId="2" fillId="10" borderId="70" xfId="0" applyFont="1" applyFill="1" applyBorder="1" applyAlignment="1" applyProtection="1">
      <alignment horizontal="center" vertical="center"/>
      <protection locked="0"/>
    </xf>
    <xf numFmtId="0" fontId="2" fillId="10" borderId="71" xfId="0" applyFont="1" applyFill="1" applyBorder="1" applyAlignment="1" applyProtection="1">
      <alignment horizontal="center" vertical="center"/>
      <protection locked="0"/>
    </xf>
    <xf numFmtId="165" fontId="0" fillId="2" borderId="63" xfId="0" applyNumberFormat="1" applyFill="1" applyBorder="1" applyAlignment="1" applyProtection="1">
      <alignment horizontal="center"/>
      <protection locked="0"/>
    </xf>
    <xf numFmtId="165" fontId="0" fillId="2" borderId="54" xfId="0" applyNumberFormat="1" applyFill="1" applyBorder="1" applyAlignment="1" applyProtection="1">
      <alignment horizontal="center"/>
      <protection locked="0"/>
    </xf>
    <xf numFmtId="165" fontId="0" fillId="2" borderId="64" xfId="0" applyNumberFormat="1" applyFill="1" applyBorder="1" applyAlignment="1" applyProtection="1">
      <alignment horizontal="center"/>
      <protection locked="0"/>
    </xf>
    <xf numFmtId="165" fontId="0" fillId="2" borderId="72" xfId="0" applyNumberFormat="1" applyFill="1" applyBorder="1" applyAlignment="1" applyProtection="1">
      <alignment horizont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0" fontId="2" fillId="2" borderId="64" xfId="0" applyFont="1" applyFill="1" applyBorder="1" applyAlignment="1" applyProtection="1">
      <alignment horizontal="center" vertical="center"/>
      <protection locked="0"/>
    </xf>
    <xf numFmtId="0" fontId="2" fillId="2" borderId="65" xfId="0" applyFont="1" applyFill="1" applyBorder="1" applyAlignment="1" applyProtection="1">
      <alignment horizontal="center" vertical="center"/>
      <protection locked="0"/>
    </xf>
    <xf numFmtId="0" fontId="2" fillId="2" borderId="66" xfId="0" applyFont="1" applyFill="1" applyBorder="1" applyAlignment="1" applyProtection="1">
      <alignment horizontal="center" vertical="center"/>
      <protection locked="0"/>
    </xf>
    <xf numFmtId="0" fontId="8" fillId="7" borderId="66" xfId="0" applyFont="1" applyFill="1" applyBorder="1" applyAlignment="1" applyProtection="1">
      <alignment horizontal="center" vertical="center"/>
      <protection locked="0"/>
    </xf>
    <xf numFmtId="0" fontId="37" fillId="7" borderId="67" xfId="0" applyFont="1" applyFill="1" applyBorder="1" applyAlignment="1" applyProtection="1">
      <alignment horizontal="center" vertical="center"/>
      <protection locked="0"/>
    </xf>
    <xf numFmtId="0" fontId="37" fillId="7" borderId="66" xfId="0" applyFont="1" applyFill="1" applyBorder="1" applyAlignment="1" applyProtection="1">
      <alignment horizontal="center" vertical="center"/>
      <protection locked="0"/>
    </xf>
    <xf numFmtId="0" fontId="37" fillId="7" borderId="68" xfId="0" applyFont="1" applyFill="1" applyBorder="1" applyAlignment="1" applyProtection="1">
      <alignment horizontal="center" vertical="center"/>
      <protection locked="0"/>
    </xf>
    <xf numFmtId="0" fontId="2" fillId="2" borderId="67" xfId="0" applyFont="1" applyFill="1" applyBorder="1" applyAlignment="1" applyProtection="1">
      <alignment horizontal="center" vertic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2" fillId="2" borderId="70" xfId="0" applyFont="1" applyFill="1" applyBorder="1" applyAlignment="1" applyProtection="1">
      <alignment horizontal="center" vertical="center"/>
      <protection locked="0"/>
    </xf>
    <xf numFmtId="0" fontId="2" fillId="2" borderId="71" xfId="0" applyFont="1" applyFill="1" applyBorder="1" applyAlignment="1" applyProtection="1">
      <alignment horizontal="center" vertical="center"/>
      <protection locked="0"/>
    </xf>
    <xf numFmtId="0" fontId="35" fillId="24" borderId="66" xfId="0" applyFont="1" applyFill="1" applyBorder="1" applyAlignment="1" applyProtection="1">
      <alignment horizontal="center" vertical="center"/>
      <protection locked="0"/>
    </xf>
    <xf numFmtId="0" fontId="13" fillId="24" borderId="67" xfId="0" applyFont="1" applyFill="1" applyBorder="1" applyAlignment="1" applyProtection="1">
      <alignment horizontal="center" vertical="center"/>
      <protection locked="0"/>
    </xf>
    <xf numFmtId="0" fontId="13" fillId="24" borderId="66" xfId="0" applyFont="1" applyFill="1" applyBorder="1" applyAlignment="1" applyProtection="1">
      <alignment horizontal="center" vertical="center"/>
      <protection locked="0"/>
    </xf>
    <xf numFmtId="0" fontId="13" fillId="24" borderId="68" xfId="0" applyFont="1" applyFill="1" applyBorder="1" applyAlignment="1" applyProtection="1">
      <alignment horizontal="center" vertical="center"/>
      <protection locked="0"/>
    </xf>
    <xf numFmtId="165" fontId="0" fillId="2" borderId="73" xfId="0" applyNumberFormat="1" applyFill="1" applyBorder="1" applyAlignment="1" applyProtection="1">
      <alignment horizont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13" fillId="24" borderId="69" xfId="0" applyFont="1" applyFill="1" applyBorder="1" applyAlignment="1" applyProtection="1">
      <alignment horizontal="center" vertical="center"/>
      <protection locked="0"/>
    </xf>
    <xf numFmtId="0" fontId="37" fillId="7" borderId="69" xfId="0" applyFont="1" applyFill="1" applyBorder="1" applyAlignment="1" applyProtection="1">
      <alignment horizontal="center" vertical="center"/>
      <protection locked="0"/>
    </xf>
    <xf numFmtId="0" fontId="39" fillId="2" borderId="0" xfId="0" applyFont="1" applyFill="1" applyAlignment="1" applyProtection="1">
      <alignment horizontal="right"/>
      <protection locked="0"/>
    </xf>
    <xf numFmtId="0" fontId="39" fillId="2" borderId="0" xfId="0" applyFont="1" applyFill="1" applyAlignment="1" applyProtection="1">
      <alignment horizontal="center"/>
      <protection locked="0"/>
    </xf>
    <xf numFmtId="168" fontId="40" fillId="2" borderId="0" xfId="0" applyNumberFormat="1" applyFont="1" applyFill="1" applyAlignment="1" applyProtection="1">
      <alignment horizontal="center" vertical="center"/>
      <protection locked="0"/>
    </xf>
    <xf numFmtId="0" fontId="39" fillId="2" borderId="37" xfId="0" applyFont="1" applyFill="1" applyBorder="1" applyAlignment="1" applyProtection="1">
      <alignment horizontal="center"/>
      <protection locked="0"/>
    </xf>
    <xf numFmtId="0" fontId="0" fillId="2" borderId="74" xfId="0" applyFill="1" applyBorder="1" applyProtection="1">
      <protection locked="0"/>
    </xf>
    <xf numFmtId="168" fontId="40" fillId="23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1" fillId="2" borderId="0" xfId="0" applyFont="1" applyFill="1" applyAlignment="1" applyProtection="1">
      <alignment horizontal="center" vertical="center"/>
      <protection locked="0"/>
    </xf>
    <xf numFmtId="0" fontId="41" fillId="2" borderId="0" xfId="0" applyFont="1" applyFill="1" applyAlignment="1" applyProtection="1">
      <alignment vertic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0" fontId="40" fillId="27" borderId="75" xfId="0" applyFont="1" applyFill="1" applyBorder="1" applyAlignment="1" applyProtection="1">
      <alignment horizontal="center"/>
      <protection locked="0"/>
    </xf>
    <xf numFmtId="0" fontId="0" fillId="2" borderId="75" xfId="0" applyFill="1" applyBorder="1" applyProtection="1">
      <protection locked="0"/>
    </xf>
    <xf numFmtId="165" fontId="40" fillId="27" borderId="75" xfId="0" applyNumberFormat="1" applyFont="1" applyFill="1" applyBorder="1" applyAlignment="1" applyProtection="1">
      <alignment horizontal="center"/>
      <protection locked="0"/>
    </xf>
    <xf numFmtId="0" fontId="40" fillId="2" borderId="1" xfId="0" applyFont="1" applyFill="1" applyBorder="1" applyAlignment="1" applyProtection="1">
      <alignment horizontal="center"/>
      <protection locked="0"/>
    </xf>
    <xf numFmtId="165" fontId="0" fillId="2" borderId="0" xfId="0" applyNumberFormat="1" applyFill="1" applyAlignment="1" applyProtection="1">
      <alignment horizontal="center"/>
      <protection locked="0"/>
    </xf>
    <xf numFmtId="0" fontId="0" fillId="20" borderId="0" xfId="0" applyFill="1"/>
    <xf numFmtId="0" fontId="3" fillId="20" borderId="0" xfId="0" applyFont="1" applyFill="1" applyAlignment="1" applyProtection="1">
      <alignment horizontal="left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20" borderId="1" xfId="0" applyFill="1" applyBorder="1" applyProtection="1"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0" fontId="33" fillId="23" borderId="8" xfId="0" applyFont="1" applyFill="1" applyBorder="1" applyAlignment="1" applyProtection="1">
      <alignment horizontal="center" vertical="center"/>
      <protection locked="0"/>
    </xf>
    <xf numFmtId="0" fontId="0" fillId="26" borderId="35" xfId="0" applyFill="1" applyBorder="1" applyAlignment="1" applyProtection="1">
      <alignment horizontal="center"/>
      <protection locked="0"/>
    </xf>
    <xf numFmtId="0" fontId="2" fillId="10" borderId="76" xfId="0" applyFont="1" applyFill="1" applyBorder="1" applyAlignment="1" applyProtection="1">
      <alignment horizontal="center" vertical="center"/>
      <protection locked="0"/>
    </xf>
    <xf numFmtId="0" fontId="2" fillId="10" borderId="77" xfId="0" applyFont="1" applyFill="1" applyBorder="1" applyAlignment="1" applyProtection="1">
      <alignment horizontal="center" vertical="center"/>
      <protection locked="0"/>
    </xf>
    <xf numFmtId="0" fontId="2" fillId="10" borderId="78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 applyProtection="1">
      <alignment horizontal="center" vertical="center"/>
      <protection locked="0"/>
    </xf>
    <xf numFmtId="0" fontId="2" fillId="2" borderId="57" xfId="0" applyFont="1" applyFill="1" applyBorder="1" applyAlignment="1" applyProtection="1">
      <alignment horizontal="center" vertical="center"/>
      <protection locked="0"/>
    </xf>
    <xf numFmtId="0" fontId="13" fillId="24" borderId="58" xfId="0" applyFont="1" applyFill="1" applyBorder="1" applyAlignment="1" applyProtection="1">
      <alignment horizontal="center" vertical="center"/>
      <protection locked="0"/>
    </xf>
    <xf numFmtId="0" fontId="13" fillId="24" borderId="78" xfId="0" applyFont="1" applyFill="1" applyBorder="1" applyAlignment="1" applyProtection="1">
      <alignment horizontal="center" vertical="center"/>
      <protection locked="0"/>
    </xf>
    <xf numFmtId="0" fontId="0" fillId="26" borderId="26" xfId="0" applyFill="1" applyBorder="1" applyAlignment="1" applyProtection="1">
      <alignment horizontal="center"/>
      <protection locked="0"/>
    </xf>
    <xf numFmtId="0" fontId="2" fillId="10" borderId="79" xfId="0" applyFont="1" applyFill="1" applyBorder="1" applyAlignment="1" applyProtection="1">
      <alignment horizontal="center" vertical="center"/>
      <protection locked="0"/>
    </xf>
    <xf numFmtId="0" fontId="2" fillId="10" borderId="80" xfId="0" applyFon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/>
      <protection locked="0"/>
    </xf>
    <xf numFmtId="0" fontId="2" fillId="2" borderId="79" xfId="0" applyFont="1" applyFill="1" applyBorder="1" applyAlignment="1" applyProtection="1">
      <alignment horizontal="center" vertical="center"/>
      <protection locked="0"/>
    </xf>
    <xf numFmtId="0" fontId="2" fillId="2" borderId="80" xfId="0" applyFont="1" applyFill="1" applyBorder="1" applyAlignment="1" applyProtection="1">
      <alignment horizontal="center" vertical="center"/>
      <protection locked="0"/>
    </xf>
    <xf numFmtId="0" fontId="36" fillId="2" borderId="32" xfId="0" applyFont="1" applyFill="1" applyBorder="1" applyAlignment="1" applyProtection="1">
      <alignment horizontal="center" vertical="center"/>
      <protection locked="0"/>
    </xf>
    <xf numFmtId="0" fontId="14" fillId="13" borderId="29" xfId="0" applyFont="1" applyFill="1" applyBorder="1" applyAlignment="1" applyProtection="1">
      <alignment horizontal="center" vertical="center"/>
      <protection locked="0"/>
    </xf>
    <xf numFmtId="0" fontId="14" fillId="13" borderId="3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30" xfId="0" applyFont="1" applyFill="1" applyBorder="1" applyAlignment="1" applyProtection="1">
      <alignment horizontal="center" vertical="center"/>
      <protection locked="0"/>
    </xf>
    <xf numFmtId="165" fontId="4" fillId="6" borderId="80" xfId="0" applyNumberFormat="1" applyFont="1" applyFill="1" applyBorder="1" applyAlignment="1" applyProtection="1">
      <alignment horizontal="center" vertical="center"/>
      <protection locked="0"/>
    </xf>
    <xf numFmtId="165" fontId="4" fillId="6" borderId="39" xfId="0" applyNumberFormat="1" applyFont="1" applyFill="1" applyBorder="1" applyAlignment="1" applyProtection="1">
      <alignment horizontal="center" vertical="center"/>
      <protection locked="0"/>
    </xf>
    <xf numFmtId="0" fontId="10" fillId="6" borderId="32" xfId="0" applyFont="1" applyFill="1" applyBorder="1" applyAlignment="1" applyProtection="1">
      <alignment horizontal="center" vertical="center"/>
      <protection locked="0"/>
    </xf>
    <xf numFmtId="0" fontId="10" fillId="6" borderId="29" xfId="0" applyFont="1" applyFill="1" applyBorder="1" applyAlignment="1" applyProtection="1">
      <alignment horizontal="center" vertical="center"/>
      <protection locked="0"/>
    </xf>
    <xf numFmtId="0" fontId="14" fillId="13" borderId="30" xfId="0" applyFont="1" applyFill="1" applyBorder="1" applyAlignment="1" applyProtection="1">
      <alignment horizontal="center" vertical="center"/>
      <protection locked="0"/>
    </xf>
    <xf numFmtId="0" fontId="12" fillId="17" borderId="29" xfId="0" applyFont="1" applyFill="1" applyBorder="1" applyAlignment="1" applyProtection="1">
      <alignment horizontal="center" vertical="center"/>
      <protection locked="0"/>
    </xf>
    <xf numFmtId="0" fontId="12" fillId="17" borderId="30" xfId="0" applyFont="1" applyFill="1" applyBorder="1" applyAlignment="1" applyProtection="1">
      <alignment horizontal="center" vertical="center"/>
      <protection locked="0"/>
    </xf>
    <xf numFmtId="0" fontId="12" fillId="17" borderId="31" xfId="0" applyFont="1" applyFill="1" applyBorder="1" applyAlignment="1" applyProtection="1">
      <alignment horizontal="center" vertical="center"/>
      <protection locked="0"/>
    </xf>
    <xf numFmtId="0" fontId="12" fillId="17" borderId="32" xfId="0" applyFont="1" applyFill="1" applyBorder="1" applyAlignment="1" applyProtection="1">
      <alignment horizontal="center" vertical="center"/>
      <protection locked="0"/>
    </xf>
    <xf numFmtId="0" fontId="14" fillId="13" borderId="31" xfId="0" applyFont="1" applyFill="1" applyBorder="1" applyAlignment="1" applyProtection="1">
      <alignment horizontal="center" vertical="center"/>
      <protection locked="0"/>
    </xf>
    <xf numFmtId="0" fontId="10" fillId="6" borderId="31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165" fontId="4" fillId="6" borderId="28" xfId="0" applyNumberFormat="1" applyFont="1" applyFill="1" applyBorder="1" applyAlignment="1" applyProtection="1">
      <alignment horizontal="center" vertical="center"/>
      <protection locked="0"/>
    </xf>
    <xf numFmtId="0" fontId="4" fillId="2" borderId="32" xfId="0" applyFont="1" applyFill="1" applyBorder="1" applyAlignment="1" applyProtection="1">
      <alignment horizontal="center" vertical="center"/>
      <protection locked="0"/>
    </xf>
    <xf numFmtId="165" fontId="0" fillId="2" borderId="81" xfId="0" applyNumberFormat="1" applyFill="1" applyBorder="1" applyAlignment="1" applyProtection="1">
      <alignment horizontal="center"/>
      <protection locked="0"/>
    </xf>
    <xf numFmtId="165" fontId="0" fillId="2" borderId="82" xfId="0" applyNumberFormat="1" applyFill="1" applyBorder="1" applyAlignment="1" applyProtection="1">
      <alignment horizontal="center"/>
      <protection locked="0"/>
    </xf>
    <xf numFmtId="0" fontId="13" fillId="24" borderId="83" xfId="0" applyFont="1" applyFill="1" applyBorder="1" applyAlignment="1" applyProtection="1">
      <alignment horizontal="center" vertical="center"/>
      <protection locked="0"/>
    </xf>
    <xf numFmtId="0" fontId="13" fillId="24" borderId="84" xfId="0" applyFont="1" applyFill="1" applyBorder="1" applyAlignment="1" applyProtection="1">
      <alignment horizontal="center" vertical="center"/>
      <protection locked="0"/>
    </xf>
    <xf numFmtId="0" fontId="13" fillId="24" borderId="85" xfId="0" applyFont="1" applyFill="1" applyBorder="1" applyAlignment="1" applyProtection="1">
      <alignment horizontal="center" vertical="center"/>
      <protection locked="0"/>
    </xf>
    <xf numFmtId="0" fontId="13" fillId="24" borderId="52" xfId="0" applyFont="1" applyFill="1" applyBorder="1" applyAlignment="1" applyProtection="1">
      <alignment horizontal="center" vertical="center"/>
      <protection locked="0"/>
    </xf>
    <xf numFmtId="0" fontId="13" fillId="24" borderId="86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84" xfId="0" applyFont="1" applyFill="1" applyBorder="1" applyAlignment="1" applyProtection="1">
      <alignment horizontal="center" vertical="center"/>
      <protection locked="0"/>
    </xf>
    <xf numFmtId="0" fontId="2" fillId="2" borderId="87" xfId="0" applyFont="1" applyFill="1" applyBorder="1" applyAlignment="1" applyProtection="1">
      <alignment horizontal="center" vertical="center"/>
      <protection locked="0"/>
    </xf>
    <xf numFmtId="0" fontId="36" fillId="2" borderId="85" xfId="0" applyFont="1" applyFill="1" applyBorder="1" applyAlignment="1" applyProtection="1">
      <alignment horizontal="center" vertical="center"/>
      <protection locked="0"/>
    </xf>
    <xf numFmtId="0" fontId="36" fillId="2" borderId="86" xfId="0" applyFont="1" applyFill="1" applyBorder="1" applyAlignment="1" applyProtection="1">
      <alignment horizontal="center" vertical="center"/>
      <protection locked="0"/>
    </xf>
    <xf numFmtId="0" fontId="2" fillId="2" borderId="52" xfId="0" applyFont="1" applyFill="1" applyBorder="1" applyAlignment="1" applyProtection="1">
      <alignment horizontal="center" vertical="center"/>
      <protection locked="0"/>
    </xf>
    <xf numFmtId="0" fontId="2" fillId="2" borderId="85" xfId="0" applyFont="1" applyFill="1" applyBorder="1" applyAlignment="1" applyProtection="1">
      <alignment horizontal="center" vertical="center"/>
      <protection locked="0"/>
    </xf>
    <xf numFmtId="0" fontId="13" fillId="24" borderId="39" xfId="0" applyFont="1" applyFill="1" applyBorder="1" applyAlignment="1" applyProtection="1">
      <alignment horizontal="center" vertical="center"/>
      <protection locked="0"/>
    </xf>
    <xf numFmtId="0" fontId="34" fillId="25" borderId="29" xfId="0" applyFont="1" applyFill="1" applyBorder="1" applyAlignment="1" applyProtection="1">
      <alignment horizontal="center" vertical="center"/>
      <protection locked="0"/>
    </xf>
    <xf numFmtId="0" fontId="34" fillId="25" borderId="32" xfId="0" applyFont="1" applyFill="1" applyBorder="1" applyAlignment="1" applyProtection="1">
      <alignment horizontal="center" vertical="center"/>
      <protection locked="0"/>
    </xf>
    <xf numFmtId="0" fontId="13" fillId="24" borderId="88" xfId="0" applyFont="1" applyFill="1" applyBorder="1" applyAlignment="1" applyProtection="1">
      <alignment horizontal="center" vertical="center"/>
      <protection locked="0"/>
    </xf>
    <xf numFmtId="0" fontId="0" fillId="26" borderId="62" xfId="0" applyFill="1" applyBorder="1" applyProtection="1">
      <protection locked="0"/>
    </xf>
    <xf numFmtId="0" fontId="0" fillId="26" borderId="72" xfId="0" applyFill="1" applyBorder="1" applyAlignment="1" applyProtection="1">
      <alignment horizontal="center"/>
      <protection locked="0"/>
    </xf>
    <xf numFmtId="0" fontId="2" fillId="10" borderId="89" xfId="0" applyFont="1" applyFill="1" applyBorder="1" applyAlignment="1" applyProtection="1">
      <alignment horizontal="center" vertical="center"/>
      <protection locked="0"/>
    </xf>
    <xf numFmtId="0" fontId="2" fillId="10" borderId="90" xfId="0" applyFont="1" applyFill="1" applyBorder="1" applyAlignment="1" applyProtection="1">
      <alignment horizontal="center" vertical="center"/>
      <protection locked="0"/>
    </xf>
    <xf numFmtId="0" fontId="2" fillId="10" borderId="91" xfId="0" applyFont="1" applyFill="1" applyBorder="1" applyAlignment="1" applyProtection="1">
      <alignment horizontal="center" vertical="center"/>
      <protection locked="0"/>
    </xf>
    <xf numFmtId="165" fontId="0" fillId="2" borderId="62" xfId="0" applyNumberFormat="1" applyFill="1" applyBorder="1" applyAlignment="1" applyProtection="1">
      <alignment horizontal="center"/>
      <protection locked="0"/>
    </xf>
    <xf numFmtId="0" fontId="2" fillId="2" borderId="89" xfId="0" applyFont="1" applyFill="1" applyBorder="1" applyAlignment="1" applyProtection="1">
      <alignment horizontal="center" vertical="center"/>
      <protection locked="0"/>
    </xf>
    <xf numFmtId="0" fontId="2" fillId="2" borderId="90" xfId="0" applyFont="1" applyFill="1" applyBorder="1" applyAlignment="1" applyProtection="1">
      <alignment horizontal="center" vertical="center"/>
      <protection locked="0"/>
    </xf>
    <xf numFmtId="0" fontId="2" fillId="2" borderId="91" xfId="0" applyFont="1" applyFill="1" applyBorder="1" applyAlignment="1" applyProtection="1">
      <alignment horizontal="center" vertical="center"/>
      <protection locked="0"/>
    </xf>
    <xf numFmtId="0" fontId="13" fillId="24" borderId="91" xfId="0" applyFont="1" applyFill="1" applyBorder="1" applyAlignment="1" applyProtection="1">
      <alignment horizontal="center" vertical="center"/>
      <protection locked="0"/>
    </xf>
    <xf numFmtId="0" fontId="4" fillId="5" borderId="67" xfId="0" applyFont="1" applyFill="1" applyBorder="1" applyAlignment="1" applyProtection="1">
      <alignment horizontal="center" vertical="center"/>
      <protection locked="0"/>
    </xf>
    <xf numFmtId="0" fontId="4" fillId="5" borderId="66" xfId="0" applyFont="1" applyFill="1" applyBorder="1" applyAlignment="1" applyProtection="1">
      <alignment horizontal="center" vertical="center"/>
      <protection locked="0"/>
    </xf>
    <xf numFmtId="0" fontId="4" fillId="5" borderId="69" xfId="0" applyFont="1" applyFill="1" applyBorder="1" applyAlignment="1" applyProtection="1">
      <alignment horizontal="center" vertical="center"/>
      <protection locked="0"/>
    </xf>
    <xf numFmtId="0" fontId="4" fillId="5" borderId="91" xfId="0" applyFont="1" applyFill="1" applyBorder="1" applyAlignment="1" applyProtection="1">
      <alignment horizontal="center" vertical="center"/>
      <protection locked="0"/>
    </xf>
    <xf numFmtId="0" fontId="36" fillId="2" borderId="67" xfId="0" applyFont="1" applyFill="1" applyBorder="1" applyAlignment="1" applyProtection="1">
      <alignment horizontal="center" vertical="center"/>
      <protection locked="0"/>
    </xf>
    <xf numFmtId="0" fontId="36" fillId="2" borderId="69" xfId="0" applyFont="1" applyFill="1" applyBorder="1" applyAlignment="1" applyProtection="1">
      <alignment horizontal="center" vertic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33" fillId="2" borderId="0" xfId="0" applyFont="1" applyFill="1" applyAlignment="1" applyProtection="1">
      <alignment horizontal="center" vertical="center"/>
      <protection locked="0"/>
    </xf>
    <xf numFmtId="0" fontId="33" fillId="2" borderId="0" xfId="0" applyFont="1" applyFill="1" applyAlignment="1" applyProtection="1">
      <alignment vertical="center"/>
      <protection locked="0"/>
    </xf>
    <xf numFmtId="0" fontId="0" fillId="15" borderId="0" xfId="0" applyFill="1"/>
    <xf numFmtId="0" fontId="3" fillId="15" borderId="0" xfId="0" applyFont="1" applyFill="1" applyAlignment="1" applyProtection="1">
      <alignment horizontal="left"/>
      <protection locked="0"/>
    </xf>
    <xf numFmtId="0" fontId="0" fillId="15" borderId="1" xfId="0" applyFill="1" applyBorder="1" applyProtection="1">
      <protection locked="0"/>
    </xf>
    <xf numFmtId="0" fontId="18" fillId="20" borderId="8" xfId="0" applyFont="1" applyFill="1" applyBorder="1" applyAlignment="1" applyProtection="1">
      <alignment horizontal="center" vertical="center" wrapText="1"/>
      <protection locked="0"/>
    </xf>
    <xf numFmtId="0" fontId="31" fillId="2" borderId="14" xfId="0" applyFont="1" applyFill="1" applyBorder="1" applyAlignment="1" applyProtection="1">
      <alignment horizontal="center" vertical="center" wrapText="1"/>
      <protection locked="0"/>
    </xf>
    <xf numFmtId="0" fontId="42" fillId="26" borderId="37" xfId="0" applyFont="1" applyFill="1" applyBorder="1" applyAlignment="1" applyProtection="1">
      <alignment horizontal="left"/>
      <protection locked="0"/>
    </xf>
    <xf numFmtId="165" fontId="0" fillId="2" borderId="92" xfId="0" applyNumberFormat="1" applyFill="1" applyBorder="1" applyAlignment="1" applyProtection="1">
      <alignment horizontal="center"/>
      <protection locked="0"/>
    </xf>
    <xf numFmtId="0" fontId="4" fillId="9" borderId="5" xfId="0" applyFont="1" applyFill="1" applyBorder="1" applyAlignment="1" applyProtection="1">
      <alignment horizontal="center" vertical="center"/>
      <protection locked="0"/>
    </xf>
    <xf numFmtId="0" fontId="4" fillId="9" borderId="56" xfId="0" applyFont="1" applyFill="1" applyBorder="1" applyAlignment="1" applyProtection="1">
      <alignment horizontal="center" vertical="center"/>
      <protection locked="0"/>
    </xf>
    <xf numFmtId="0" fontId="4" fillId="9" borderId="57" xfId="0" applyFont="1" applyFill="1" applyBorder="1" applyAlignment="1" applyProtection="1">
      <alignment horizontal="center" vertical="center"/>
      <protection locked="0"/>
    </xf>
    <xf numFmtId="0" fontId="4" fillId="9" borderId="58" xfId="0" applyFont="1" applyFill="1" applyBorder="1" applyAlignment="1" applyProtection="1">
      <alignment horizontal="center" vertical="center"/>
      <protection locked="0"/>
    </xf>
    <xf numFmtId="0" fontId="4" fillId="9" borderId="78" xfId="0" applyFont="1" applyFill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/>
      <protection locked="0"/>
    </xf>
    <xf numFmtId="0" fontId="4" fillId="2" borderId="28" xfId="0" applyFont="1" applyFill="1" applyBorder="1" applyAlignment="1" applyProtection="1">
      <alignment horizontal="center" vertical="center"/>
      <protection locked="0"/>
    </xf>
    <xf numFmtId="0" fontId="34" fillId="25" borderId="5" xfId="0" applyFont="1" applyFill="1" applyBorder="1" applyAlignment="1" applyProtection="1">
      <alignment horizontal="center" vertical="center"/>
      <protection locked="0"/>
    </xf>
    <xf numFmtId="0" fontId="43" fillId="28" borderId="3" xfId="0" applyFont="1" applyFill="1" applyBorder="1" applyAlignment="1" applyProtection="1">
      <alignment horizontal="center" vertical="center"/>
      <protection locked="0"/>
    </xf>
    <xf numFmtId="0" fontId="34" fillId="25" borderId="58" xfId="0" applyFont="1" applyFill="1" applyBorder="1" applyAlignment="1" applyProtection="1">
      <alignment horizontal="center" vertical="center"/>
      <protection locked="0"/>
    </xf>
    <xf numFmtId="0" fontId="7" fillId="2" borderId="56" xfId="0" applyFont="1" applyFill="1" applyBorder="1" applyAlignment="1" applyProtection="1">
      <alignment horizontal="center" vertical="center"/>
      <protection locked="0"/>
    </xf>
    <xf numFmtId="0" fontId="4" fillId="2" borderId="55" xfId="0" applyFont="1" applyFill="1" applyBorder="1" applyAlignment="1" applyProtection="1">
      <alignment horizontal="center" vertical="center"/>
      <protection locked="0"/>
    </xf>
    <xf numFmtId="0" fontId="4" fillId="5" borderId="57" xfId="0" applyFont="1" applyFill="1" applyBorder="1" applyAlignment="1" applyProtection="1">
      <alignment horizontal="center" vertical="center"/>
      <protection locked="0"/>
    </xf>
    <xf numFmtId="0" fontId="4" fillId="5" borderId="58" xfId="0" applyFont="1" applyFill="1" applyBorder="1" applyAlignment="1" applyProtection="1">
      <alignment horizontal="center" vertical="center"/>
      <protection locked="0"/>
    </xf>
    <xf numFmtId="0" fontId="4" fillId="5" borderId="78" xfId="0" applyFont="1" applyFill="1" applyBorder="1" applyAlignment="1" applyProtection="1">
      <alignment horizontal="center" vertical="center"/>
      <protection locked="0"/>
    </xf>
    <xf numFmtId="0" fontId="14" fillId="13" borderId="56" xfId="0" applyFont="1" applyFill="1" applyBorder="1" applyAlignment="1" applyProtection="1">
      <alignment horizontal="center" vertical="center"/>
      <protection locked="0"/>
    </xf>
    <xf numFmtId="0" fontId="14" fillId="13" borderId="57" xfId="0" applyFont="1" applyFill="1" applyBorder="1" applyAlignment="1" applyProtection="1">
      <alignment horizontal="center" vertical="center"/>
      <protection locked="0"/>
    </xf>
    <xf numFmtId="0" fontId="14" fillId="13" borderId="58" xfId="0" applyFont="1" applyFill="1" applyBorder="1" applyAlignment="1" applyProtection="1">
      <alignment horizontal="center" vertical="center"/>
      <protection locked="0"/>
    </xf>
    <xf numFmtId="0" fontId="10" fillId="6" borderId="78" xfId="0" applyFont="1" applyFill="1" applyBorder="1" applyAlignment="1" applyProtection="1">
      <alignment horizontal="center" vertical="center"/>
      <protection locked="0"/>
    </xf>
    <xf numFmtId="0" fontId="10" fillId="6" borderId="56" xfId="0" applyFont="1" applyFill="1" applyBorder="1" applyAlignment="1" applyProtection="1">
      <alignment horizontal="center" vertical="center"/>
      <protection locked="0"/>
    </xf>
    <xf numFmtId="0" fontId="10" fillId="6" borderId="58" xfId="0" applyFont="1" applyFill="1" applyBorder="1" applyAlignment="1" applyProtection="1">
      <alignment horizontal="center" vertical="center"/>
      <protection locked="0"/>
    </xf>
    <xf numFmtId="0" fontId="10" fillId="6" borderId="57" xfId="0" applyFont="1" applyFill="1" applyBorder="1" applyAlignment="1" applyProtection="1">
      <alignment horizontal="center" vertical="center"/>
      <protection locked="0"/>
    </xf>
    <xf numFmtId="0" fontId="14" fillId="13" borderId="78" xfId="0" applyFont="1" applyFill="1" applyBorder="1" applyAlignment="1" applyProtection="1">
      <alignment horizontal="center" vertical="center"/>
      <protection locked="0"/>
    </xf>
    <xf numFmtId="0" fontId="4" fillId="2" borderId="58" xfId="0" applyFont="1" applyFill="1" applyBorder="1" applyAlignment="1" applyProtection="1">
      <alignment horizontal="center" vertical="center"/>
      <protection locked="0"/>
    </xf>
    <xf numFmtId="0" fontId="9" fillId="8" borderId="5" xfId="0" applyFont="1" applyFill="1" applyBorder="1" applyAlignment="1" applyProtection="1">
      <alignment horizontal="center" vertical="center"/>
      <protection locked="0"/>
    </xf>
    <xf numFmtId="0" fontId="9" fillId="8" borderId="56" xfId="0" applyFont="1" applyFill="1" applyBorder="1" applyAlignment="1" applyProtection="1">
      <alignment horizontal="center" vertical="center"/>
      <protection locked="0"/>
    </xf>
    <xf numFmtId="0" fontId="9" fillId="8" borderId="57" xfId="0" applyFont="1" applyFill="1" applyBorder="1" applyAlignment="1" applyProtection="1">
      <alignment horizontal="center" vertical="center"/>
      <protection locked="0"/>
    </xf>
    <xf numFmtId="0" fontId="9" fillId="8" borderId="78" xfId="0" applyFont="1" applyFill="1" applyBorder="1" applyAlignment="1" applyProtection="1">
      <alignment horizontal="center" vertical="center"/>
      <protection locked="0"/>
    </xf>
    <xf numFmtId="0" fontId="42" fillId="26" borderId="6" xfId="0" applyFont="1" applyFill="1" applyBorder="1" applyAlignment="1" applyProtection="1">
      <alignment horizontal="left"/>
      <protection locked="0"/>
    </xf>
    <xf numFmtId="0" fontId="17" fillId="16" borderId="78" xfId="0" applyFont="1" applyFill="1" applyBorder="1" applyAlignment="1" applyProtection="1">
      <alignment horizontal="center" vertical="center"/>
      <protection locked="0"/>
    </xf>
    <xf numFmtId="0" fontId="17" fillId="16" borderId="5" xfId="0" applyFont="1" applyFill="1" applyBorder="1" applyAlignment="1" applyProtection="1">
      <alignment horizontal="center" vertical="center"/>
      <protection locked="0"/>
    </xf>
    <xf numFmtId="0" fontId="17" fillId="16" borderId="56" xfId="0" applyFont="1" applyFill="1" applyBorder="1" applyAlignment="1" applyProtection="1">
      <alignment horizontal="center" vertical="center"/>
      <protection locked="0"/>
    </xf>
    <xf numFmtId="0" fontId="17" fillId="16" borderId="57" xfId="0" applyFont="1" applyFill="1" applyBorder="1" applyAlignment="1" applyProtection="1">
      <alignment horizontal="center" vertical="center"/>
      <protection locked="0"/>
    </xf>
    <xf numFmtId="0" fontId="17" fillId="16" borderId="58" xfId="0" applyFont="1" applyFill="1" applyBorder="1" applyAlignment="1" applyProtection="1">
      <alignment horizontal="center" vertical="center"/>
      <protection locked="0"/>
    </xf>
    <xf numFmtId="0" fontId="42" fillId="26" borderId="4" xfId="0" applyFont="1" applyFill="1" applyBorder="1" applyAlignment="1" applyProtection="1">
      <alignment horizontal="left"/>
      <protection locked="0"/>
    </xf>
    <xf numFmtId="0" fontId="35" fillId="24" borderId="31" xfId="0" applyFont="1" applyFill="1" applyBorder="1" applyAlignment="1" applyProtection="1">
      <alignment horizontal="center" vertical="center"/>
      <protection locked="0"/>
    </xf>
    <xf numFmtId="0" fontId="6" fillId="4" borderId="29" xfId="0" applyFont="1" applyFill="1" applyBorder="1" applyAlignment="1" applyProtection="1">
      <alignment horizontal="center" vertical="center"/>
      <protection locked="0"/>
    </xf>
    <xf numFmtId="0" fontId="6" fillId="4" borderId="30" xfId="0" applyFont="1" applyFill="1" applyBorder="1" applyAlignment="1" applyProtection="1">
      <alignment horizontal="center" vertical="center"/>
      <protection locked="0"/>
    </xf>
    <xf numFmtId="0" fontId="4" fillId="2" borderId="80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4" fillId="9" borderId="30" xfId="0" applyFont="1" applyFill="1" applyBorder="1" applyAlignment="1" applyProtection="1">
      <alignment horizontal="center" vertical="center"/>
      <protection locked="0"/>
    </xf>
    <xf numFmtId="0" fontId="4" fillId="9" borderId="31" xfId="0" applyFont="1" applyFill="1" applyBorder="1" applyAlignment="1" applyProtection="1">
      <alignment horizontal="center" vertical="center"/>
      <protection locked="0"/>
    </xf>
    <xf numFmtId="0" fontId="4" fillId="9" borderId="29" xfId="0" applyFont="1" applyFill="1" applyBorder="1" applyAlignment="1" applyProtection="1">
      <alignment horizontal="center" vertical="center"/>
      <protection locked="0"/>
    </xf>
    <xf numFmtId="0" fontId="7" fillId="2" borderId="31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6" fillId="4" borderId="32" xfId="0" applyFont="1" applyFill="1" applyBorder="1" applyAlignment="1" applyProtection="1">
      <alignment horizontal="center" vertical="center"/>
      <protection locked="0"/>
    </xf>
    <xf numFmtId="0" fontId="14" fillId="13" borderId="32" xfId="0" applyFont="1" applyFill="1" applyBorder="1" applyAlignment="1" applyProtection="1">
      <alignment horizontal="center" vertical="center"/>
      <protection locked="0"/>
    </xf>
    <xf numFmtId="0" fontId="42" fillId="2" borderId="4" xfId="0" applyFont="1" applyFill="1" applyBorder="1" applyAlignment="1" applyProtection="1">
      <alignment horizontal="left"/>
      <protection locked="0"/>
    </xf>
    <xf numFmtId="0" fontId="9" fillId="8" borderId="30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29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0" fillId="23" borderId="35" xfId="0" applyFill="1" applyBorder="1" applyAlignment="1" applyProtection="1">
      <alignment horizontal="center"/>
      <protection locked="0"/>
    </xf>
    <xf numFmtId="0" fontId="38" fillId="26" borderId="4" xfId="0" applyFont="1" applyFill="1" applyBorder="1" applyAlignment="1" applyProtection="1">
      <alignment horizontal="left"/>
      <protection locked="0"/>
    </xf>
    <xf numFmtId="0" fontId="35" fillId="24" borderId="57" xfId="0" applyFont="1" applyFill="1" applyBorder="1" applyAlignment="1" applyProtection="1">
      <alignment horizontal="center" vertical="center"/>
      <protection locked="0"/>
    </xf>
    <xf numFmtId="0" fontId="8" fillId="7" borderId="57" xfId="0" applyFont="1" applyFill="1" applyBorder="1" applyAlignment="1" applyProtection="1">
      <alignment horizontal="center" vertical="center"/>
      <protection locked="0"/>
    </xf>
    <xf numFmtId="0" fontId="8" fillId="7" borderId="78" xfId="0" applyFont="1" applyFill="1" applyBorder="1" applyAlignment="1" applyProtection="1">
      <alignment horizontal="center" vertical="center"/>
      <protection locked="0"/>
    </xf>
    <xf numFmtId="0" fontId="8" fillId="7" borderId="31" xfId="0" applyFont="1" applyFill="1" applyBorder="1" applyAlignment="1" applyProtection="1">
      <alignment horizontal="center" vertical="center"/>
      <protection locked="0"/>
    </xf>
    <xf numFmtId="0" fontId="8" fillId="7" borderId="29" xfId="0" applyFont="1" applyFill="1" applyBorder="1" applyAlignment="1" applyProtection="1">
      <alignment horizontal="center" vertical="center"/>
      <protection locked="0"/>
    </xf>
    <xf numFmtId="0" fontId="8" fillId="7" borderId="32" xfId="0" applyFont="1" applyFill="1" applyBorder="1" applyAlignment="1" applyProtection="1">
      <alignment horizontal="center" vertical="center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0" fontId="6" fillId="4" borderId="56" xfId="0" applyFont="1" applyFill="1" applyBorder="1" applyAlignment="1" applyProtection="1">
      <alignment horizontal="center" vertical="center"/>
      <protection locked="0"/>
    </xf>
    <xf numFmtId="0" fontId="6" fillId="4" borderId="31" xfId="0" applyFont="1" applyFill="1" applyBorder="1" applyAlignment="1" applyProtection="1">
      <alignment horizontal="center" vertical="center"/>
      <protection locked="0"/>
    </xf>
    <xf numFmtId="0" fontId="11" fillId="11" borderId="29" xfId="0" applyFont="1" applyFill="1" applyBorder="1" applyAlignment="1" applyProtection="1">
      <alignment horizontal="center" vertical="center"/>
      <protection locked="0"/>
    </xf>
    <xf numFmtId="0" fontId="2" fillId="10" borderId="93" xfId="0" applyFont="1" applyFill="1" applyBorder="1" applyAlignment="1" applyProtection="1">
      <alignment horizontal="center" vertical="center"/>
      <protection locked="0"/>
    </xf>
    <xf numFmtId="0" fontId="2" fillId="10" borderId="94" xfId="0" applyFont="1" applyFill="1" applyBorder="1" applyAlignment="1" applyProtection="1">
      <alignment horizontal="center" vertical="center"/>
      <protection locked="0"/>
    </xf>
    <xf numFmtId="0" fontId="2" fillId="10" borderId="95" xfId="0" applyFont="1" applyFill="1" applyBorder="1" applyAlignment="1" applyProtection="1">
      <alignment horizontal="center" vertical="center"/>
      <protection locked="0"/>
    </xf>
    <xf numFmtId="0" fontId="2" fillId="10" borderId="96" xfId="0" applyFont="1" applyFill="1" applyBorder="1" applyAlignment="1" applyProtection="1">
      <alignment horizontal="center" vertical="center"/>
      <protection locked="0"/>
    </xf>
    <xf numFmtId="0" fontId="2" fillId="10" borderId="97" xfId="0" applyFont="1" applyFill="1" applyBorder="1" applyAlignment="1" applyProtection="1">
      <alignment horizontal="center" vertical="center"/>
      <protection locked="0"/>
    </xf>
    <xf numFmtId="0" fontId="2" fillId="10" borderId="98" xfId="0" applyFont="1" applyFill="1" applyBorder="1" applyAlignment="1" applyProtection="1">
      <alignment horizontal="center" vertical="center"/>
      <protection locked="0"/>
    </xf>
    <xf numFmtId="0" fontId="2" fillId="10" borderId="99" xfId="0" applyFont="1" applyFill="1" applyBorder="1" applyAlignment="1" applyProtection="1">
      <alignment horizontal="center" vertical="center"/>
      <protection locked="0"/>
    </xf>
    <xf numFmtId="0" fontId="2" fillId="10" borderId="100" xfId="0" applyFont="1" applyFill="1" applyBorder="1" applyAlignment="1" applyProtection="1">
      <alignment horizontal="center" vertical="center"/>
      <protection locked="0"/>
    </xf>
    <xf numFmtId="0" fontId="2" fillId="10" borderId="101" xfId="0" applyFont="1" applyFill="1" applyBorder="1" applyAlignment="1" applyProtection="1">
      <alignment horizontal="center" vertical="center"/>
      <protection locked="0"/>
    </xf>
    <xf numFmtId="165" fontId="0" fillId="2" borderId="102" xfId="0" applyNumberFormat="1" applyFill="1" applyBorder="1" applyAlignment="1" applyProtection="1">
      <alignment horizontal="center"/>
      <protection locked="0"/>
    </xf>
    <xf numFmtId="0" fontId="4" fillId="2" borderId="93" xfId="0" applyFont="1" applyFill="1" applyBorder="1" applyAlignment="1" applyProtection="1">
      <alignment horizontal="center" vertical="center"/>
      <protection locked="0"/>
    </xf>
    <xf numFmtId="0" fontId="4" fillId="2" borderId="94" xfId="0" applyFont="1" applyFill="1" applyBorder="1" applyAlignment="1" applyProtection="1">
      <alignment horizontal="center" vertical="center"/>
      <protection locked="0"/>
    </xf>
    <xf numFmtId="0" fontId="4" fillId="2" borderId="95" xfId="0" applyFont="1" applyFill="1" applyBorder="1" applyAlignment="1" applyProtection="1">
      <alignment horizontal="center" vertical="center"/>
      <protection locked="0"/>
    </xf>
    <xf numFmtId="0" fontId="6" fillId="4" borderId="96" xfId="0" applyFont="1" applyFill="1" applyBorder="1" applyAlignment="1" applyProtection="1">
      <alignment horizontal="center" vertical="center"/>
      <protection locked="0"/>
    </xf>
    <xf numFmtId="0" fontId="6" fillId="4" borderId="97" xfId="0" applyFont="1" applyFill="1" applyBorder="1" applyAlignment="1" applyProtection="1">
      <alignment horizontal="center" vertical="center"/>
      <protection locked="0"/>
    </xf>
    <xf numFmtId="0" fontId="6" fillId="4" borderId="98" xfId="0" applyFont="1" applyFill="1" applyBorder="1" applyAlignment="1" applyProtection="1">
      <alignment horizontal="center" vertical="center"/>
      <protection locked="0"/>
    </xf>
    <xf numFmtId="0" fontId="4" fillId="2" borderId="96" xfId="0" applyFont="1" applyFill="1" applyBorder="1" applyAlignment="1" applyProtection="1">
      <alignment horizontal="center" vertical="center"/>
      <protection locked="0"/>
    </xf>
    <xf numFmtId="0" fontId="4" fillId="2" borderId="99" xfId="0" applyFont="1" applyFill="1" applyBorder="1" applyAlignment="1" applyProtection="1">
      <alignment horizontal="center" vertical="center"/>
      <protection locked="0"/>
    </xf>
    <xf numFmtId="0" fontId="6" fillId="4" borderId="95" xfId="0" applyFont="1" applyFill="1" applyBorder="1" applyAlignment="1" applyProtection="1">
      <alignment horizontal="center" vertical="center"/>
      <protection locked="0"/>
    </xf>
    <xf numFmtId="0" fontId="4" fillId="2" borderId="97" xfId="0" applyFont="1" applyFill="1" applyBorder="1" applyAlignment="1" applyProtection="1">
      <alignment horizontal="center" vertical="center"/>
      <protection locked="0"/>
    </xf>
    <xf numFmtId="0" fontId="4" fillId="2" borderId="100" xfId="0" applyFont="1" applyFill="1" applyBorder="1" applyAlignment="1" applyProtection="1">
      <alignment horizontal="center" vertical="center"/>
      <protection locked="0"/>
    </xf>
    <xf numFmtId="0" fontId="4" fillId="2" borderId="103" xfId="0" applyFont="1" applyFill="1" applyBorder="1" applyAlignment="1" applyProtection="1">
      <alignment horizontal="center" vertical="center"/>
      <protection locked="0"/>
    </xf>
    <xf numFmtId="0" fontId="4" fillId="2" borderId="101" xfId="0" applyFont="1" applyFill="1" applyBorder="1" applyAlignment="1" applyProtection="1">
      <alignment horizontal="center" vertical="center"/>
      <protection locked="0"/>
    </xf>
    <xf numFmtId="0" fontId="2" fillId="2" borderId="93" xfId="0" applyFont="1" applyFill="1" applyBorder="1" applyAlignment="1" applyProtection="1">
      <alignment horizontal="center" vertical="center"/>
      <protection locked="0"/>
    </xf>
    <xf numFmtId="0" fontId="2" fillId="2" borderId="94" xfId="0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 applyProtection="1">
      <alignment horizontal="center" vertical="center"/>
      <protection locked="0"/>
    </xf>
    <xf numFmtId="0" fontId="4" fillId="5" borderId="96" xfId="0" applyFont="1" applyFill="1" applyBorder="1" applyAlignment="1" applyProtection="1">
      <alignment horizontal="center" vertical="center"/>
      <protection locked="0"/>
    </xf>
    <xf numFmtId="0" fontId="4" fillId="5" borderId="97" xfId="0" applyFont="1" applyFill="1" applyBorder="1" applyAlignment="1" applyProtection="1">
      <alignment horizontal="center" vertical="center"/>
      <protection locked="0"/>
    </xf>
    <xf numFmtId="0" fontId="4" fillId="5" borderId="98" xfId="0" applyFont="1" applyFill="1" applyBorder="1" applyAlignment="1" applyProtection="1">
      <alignment horizontal="center" vertical="center"/>
      <protection locked="0"/>
    </xf>
    <xf numFmtId="0" fontId="2" fillId="2" borderId="96" xfId="0" applyFont="1" applyFill="1" applyBorder="1" applyAlignment="1" applyProtection="1">
      <alignment horizontal="center" vertical="center"/>
      <protection locked="0"/>
    </xf>
    <xf numFmtId="0" fontId="4" fillId="5" borderId="99" xfId="0" applyFont="1" applyFill="1" applyBorder="1" applyAlignment="1" applyProtection="1">
      <alignment horizontal="center" vertical="center"/>
      <protection locked="0"/>
    </xf>
    <xf numFmtId="0" fontId="4" fillId="5" borderId="95" xfId="0" applyFont="1" applyFill="1" applyBorder="1" applyAlignment="1" applyProtection="1">
      <alignment horizontal="center" vertical="center"/>
      <protection locked="0"/>
    </xf>
    <xf numFmtId="0" fontId="2" fillId="2" borderId="97" xfId="0" applyFont="1" applyFill="1" applyBorder="1" applyAlignment="1" applyProtection="1">
      <alignment horizontal="center" vertical="center"/>
      <protection locked="0"/>
    </xf>
    <xf numFmtId="0" fontId="2" fillId="2" borderId="100" xfId="0" applyFont="1" applyFill="1" applyBorder="1" applyAlignment="1" applyProtection="1">
      <alignment horizontal="center" vertical="center"/>
      <protection locked="0"/>
    </xf>
    <xf numFmtId="0" fontId="2" fillId="2" borderId="101" xfId="0" applyFont="1" applyFill="1" applyBorder="1" applyAlignment="1" applyProtection="1">
      <alignment horizontal="center" vertical="center"/>
      <protection locked="0"/>
    </xf>
    <xf numFmtId="0" fontId="4" fillId="2" borderId="104" xfId="0" applyFont="1" applyFill="1" applyBorder="1" applyAlignment="1" applyProtection="1">
      <alignment horizontal="center" vertical="center"/>
      <protection locked="0"/>
    </xf>
    <xf numFmtId="0" fontId="2" fillId="10" borderId="104" xfId="0" applyFont="1" applyFill="1" applyBorder="1" applyAlignment="1" applyProtection="1">
      <alignment horizontal="center" vertical="center"/>
      <protection locked="0"/>
    </xf>
    <xf numFmtId="0" fontId="4" fillId="2" borderId="98" xfId="0" applyFont="1" applyFill="1" applyBorder="1" applyAlignment="1" applyProtection="1">
      <alignment horizontal="center" vertical="center"/>
      <protection locked="0"/>
    </xf>
    <xf numFmtId="0" fontId="6" fillId="4" borderId="99" xfId="0" applyFont="1" applyFill="1" applyBorder="1" applyAlignment="1" applyProtection="1">
      <alignment horizontal="center" vertical="center"/>
      <protection locked="0"/>
    </xf>
    <xf numFmtId="0" fontId="35" fillId="24" borderId="95" xfId="0" applyFont="1" applyFill="1" applyBorder="1" applyAlignment="1" applyProtection="1">
      <alignment horizontal="center" vertical="center"/>
      <protection locked="0"/>
    </xf>
    <xf numFmtId="0" fontId="35" fillId="24" borderId="96" xfId="0" applyFont="1" applyFill="1" applyBorder="1" applyAlignment="1" applyProtection="1">
      <alignment horizontal="center" vertical="center"/>
      <protection locked="0"/>
    </xf>
    <xf numFmtId="0" fontId="35" fillId="24" borderId="97" xfId="0" applyFont="1" applyFill="1" applyBorder="1" applyAlignment="1" applyProtection="1">
      <alignment horizontal="center" vertical="center"/>
      <protection locked="0"/>
    </xf>
    <xf numFmtId="0" fontId="35" fillId="24" borderId="99" xfId="0" applyFont="1" applyFill="1" applyBorder="1" applyAlignment="1" applyProtection="1">
      <alignment horizontal="center" vertical="center"/>
      <protection locked="0"/>
    </xf>
    <xf numFmtId="0" fontId="42" fillId="26" borderId="105" xfId="0" applyFont="1" applyFill="1" applyBorder="1" applyAlignment="1" applyProtection="1">
      <alignment horizontal="left"/>
      <protection locked="0"/>
    </xf>
    <xf numFmtId="0" fontId="0" fillId="26" borderId="106" xfId="0" applyFill="1" applyBorder="1" applyAlignment="1" applyProtection="1">
      <alignment horizontal="center"/>
      <protection locked="0"/>
    </xf>
    <xf numFmtId="0" fontId="2" fillId="10" borderId="107" xfId="0" applyFont="1" applyFill="1" applyBorder="1" applyAlignment="1" applyProtection="1">
      <alignment horizontal="center" vertical="center"/>
      <protection locked="0"/>
    </xf>
    <xf numFmtId="0" fontId="2" fillId="10" borderId="108" xfId="0" applyFont="1" applyFill="1" applyBorder="1" applyAlignment="1" applyProtection="1">
      <alignment horizontal="center" vertical="center"/>
      <protection locked="0"/>
    </xf>
    <xf numFmtId="0" fontId="2" fillId="10" borderId="109" xfId="0" applyFont="1" applyFill="1" applyBorder="1" applyAlignment="1" applyProtection="1">
      <alignment horizontal="center" vertical="center"/>
      <protection locked="0"/>
    </xf>
    <xf numFmtId="0" fontId="2" fillId="10" borderId="103" xfId="0" applyFont="1" applyFill="1" applyBorder="1" applyAlignment="1" applyProtection="1">
      <alignment horizontal="center" vertical="center"/>
      <protection locked="0"/>
    </xf>
    <xf numFmtId="0" fontId="2" fillId="10" borderId="110" xfId="0" applyFont="1" applyFill="1" applyBorder="1" applyAlignment="1" applyProtection="1">
      <alignment horizontal="center" vertical="center"/>
      <protection locked="0"/>
    </xf>
    <xf numFmtId="0" fontId="2" fillId="10" borderId="111" xfId="0" applyFont="1" applyFill="1" applyBorder="1" applyAlignment="1" applyProtection="1">
      <alignment horizontal="center" vertical="center"/>
      <protection locked="0"/>
    </xf>
    <xf numFmtId="0" fontId="2" fillId="10" borderId="112" xfId="0" applyFont="1" applyFill="1" applyBorder="1" applyAlignment="1" applyProtection="1">
      <alignment horizontal="center" vertical="center"/>
      <protection locked="0"/>
    </xf>
    <xf numFmtId="0" fontId="2" fillId="10" borderId="113" xfId="0" applyFont="1" applyFill="1" applyBorder="1" applyAlignment="1" applyProtection="1">
      <alignment horizontal="center" vertical="center"/>
      <protection locked="0"/>
    </xf>
    <xf numFmtId="0" fontId="2" fillId="10" borderId="114" xfId="0" applyFont="1" applyFill="1" applyBorder="1" applyAlignment="1" applyProtection="1">
      <alignment horizontal="center" vertical="center"/>
      <protection locked="0"/>
    </xf>
    <xf numFmtId="0" fontId="2" fillId="10" borderId="115" xfId="0" applyFont="1" applyFill="1" applyBorder="1" applyAlignment="1" applyProtection="1">
      <alignment horizontal="center" vertical="center"/>
      <protection locked="0"/>
    </xf>
    <xf numFmtId="0" fontId="2" fillId="10" borderId="116" xfId="0" applyFont="1" applyFill="1" applyBorder="1" applyAlignment="1" applyProtection="1">
      <alignment horizontal="center" vertical="center"/>
      <protection locked="0"/>
    </xf>
    <xf numFmtId="0" fontId="2" fillId="10" borderId="117" xfId="0" applyFont="1" applyFill="1" applyBorder="1" applyAlignment="1" applyProtection="1">
      <alignment horizontal="center" vertical="center"/>
      <protection locked="0"/>
    </xf>
    <xf numFmtId="0" fontId="2" fillId="10" borderId="118" xfId="0" applyFont="1" applyFill="1" applyBorder="1" applyAlignment="1" applyProtection="1">
      <alignment horizontal="center" vertical="center"/>
      <protection locked="0"/>
    </xf>
    <xf numFmtId="165" fontId="0" fillId="2" borderId="106" xfId="0" applyNumberFormat="1" applyFill="1" applyBorder="1" applyAlignment="1" applyProtection="1">
      <alignment horizontal="center"/>
      <protection locked="0"/>
    </xf>
    <xf numFmtId="0" fontId="2" fillId="10" borderId="119" xfId="0" applyFont="1" applyFill="1" applyBorder="1" applyAlignment="1" applyProtection="1">
      <alignment horizontal="center" vertical="center"/>
      <protection locked="0"/>
    </xf>
    <xf numFmtId="165" fontId="0" fillId="2" borderId="120" xfId="0" applyNumberFormat="1" applyFill="1" applyBorder="1" applyAlignment="1" applyProtection="1">
      <alignment horizontal="center"/>
      <protection locked="0"/>
    </xf>
    <xf numFmtId="165" fontId="0" fillId="2" borderId="121" xfId="0" applyNumberFormat="1" applyFill="1" applyBorder="1" applyAlignment="1" applyProtection="1">
      <alignment horizontal="center"/>
      <protection locked="0"/>
    </xf>
    <xf numFmtId="0" fontId="4" fillId="2" borderId="110" xfId="0" applyFont="1" applyFill="1" applyBorder="1" applyAlignment="1" applyProtection="1">
      <alignment horizontal="center" vertical="center"/>
      <protection locked="0"/>
    </xf>
    <xf numFmtId="0" fontId="4" fillId="2" borderId="111" xfId="0" applyFont="1" applyFill="1" applyBorder="1" applyAlignment="1" applyProtection="1">
      <alignment horizontal="center" vertical="center"/>
      <protection locked="0"/>
    </xf>
    <xf numFmtId="0" fontId="4" fillId="2" borderId="112" xfId="0" applyFont="1" applyFill="1" applyBorder="1" applyAlignment="1" applyProtection="1">
      <alignment horizontal="center" vertical="center"/>
      <protection locked="0"/>
    </xf>
    <xf numFmtId="0" fontId="6" fillId="4" borderId="113" xfId="0" applyFont="1" applyFill="1" applyBorder="1" applyAlignment="1" applyProtection="1">
      <alignment horizontal="center" vertical="center"/>
      <protection locked="0"/>
    </xf>
    <xf numFmtId="0" fontId="6" fillId="4" borderId="114" xfId="0" applyFont="1" applyFill="1" applyBorder="1" applyAlignment="1" applyProtection="1">
      <alignment horizontal="center" vertical="center"/>
      <protection locked="0"/>
    </xf>
    <xf numFmtId="0" fontId="4" fillId="2" borderId="115" xfId="0" applyFont="1" applyFill="1" applyBorder="1" applyAlignment="1" applyProtection="1">
      <alignment horizontal="center" vertical="center"/>
      <protection locked="0"/>
    </xf>
    <xf numFmtId="0" fontId="4" fillId="2" borderId="113" xfId="0" applyFont="1" applyFill="1" applyBorder="1" applyAlignment="1" applyProtection="1">
      <alignment horizontal="center" vertical="center"/>
      <protection locked="0"/>
    </xf>
    <xf numFmtId="0" fontId="6" fillId="4" borderId="116" xfId="0" applyFont="1" applyFill="1" applyBorder="1" applyAlignment="1" applyProtection="1">
      <alignment horizontal="center" vertical="center"/>
      <protection locked="0"/>
    </xf>
    <xf numFmtId="0" fontId="6" fillId="4" borderId="112" xfId="0" applyFont="1" applyFill="1" applyBorder="1" applyAlignment="1" applyProtection="1">
      <alignment horizontal="center" vertical="center"/>
      <protection locked="0"/>
    </xf>
    <xf numFmtId="0" fontId="4" fillId="2" borderId="114" xfId="0" applyFont="1" applyFill="1" applyBorder="1" applyAlignment="1" applyProtection="1">
      <alignment horizontal="center" vertical="center"/>
      <protection locked="0"/>
    </xf>
    <xf numFmtId="0" fontId="4" fillId="2" borderId="117" xfId="0" applyFont="1" applyFill="1" applyBorder="1" applyAlignment="1" applyProtection="1">
      <alignment horizontal="center" vertical="center"/>
      <protection locked="0"/>
    </xf>
    <xf numFmtId="0" fontId="4" fillId="2" borderId="119" xfId="0" applyFont="1" applyFill="1" applyBorder="1" applyAlignment="1" applyProtection="1">
      <alignment horizontal="center" vertical="center"/>
      <protection locked="0"/>
    </xf>
    <xf numFmtId="0" fontId="4" fillId="5" borderId="113" xfId="0" applyFont="1" applyFill="1" applyBorder="1" applyAlignment="1" applyProtection="1">
      <alignment horizontal="center" vertical="center"/>
      <protection locked="0"/>
    </xf>
    <xf numFmtId="0" fontId="4" fillId="5" borderId="114" xfId="0" applyFont="1" applyFill="1" applyBorder="1" applyAlignment="1" applyProtection="1">
      <alignment horizontal="center" vertical="center"/>
      <protection locked="0"/>
    </xf>
    <xf numFmtId="0" fontId="4" fillId="5" borderId="116" xfId="0" applyFont="1" applyFill="1" applyBorder="1" applyAlignment="1" applyProtection="1">
      <alignment horizontal="center" vertical="center"/>
      <protection locked="0"/>
    </xf>
    <xf numFmtId="0" fontId="4" fillId="5" borderId="112" xfId="0" applyFont="1" applyFill="1" applyBorder="1" applyAlignment="1" applyProtection="1">
      <alignment horizontal="center" vertical="center"/>
      <protection locked="0"/>
    </xf>
    <xf numFmtId="0" fontId="0" fillId="2" borderId="122" xfId="0" applyFill="1" applyBorder="1" applyProtection="1">
      <protection locked="0"/>
    </xf>
    <xf numFmtId="0" fontId="0" fillId="2" borderId="123" xfId="0" applyFill="1" applyBorder="1" applyAlignment="1" applyProtection="1">
      <alignment horizontal="center"/>
      <protection locked="0"/>
    </xf>
    <xf numFmtId="0" fontId="0" fillId="2" borderId="123" xfId="0" applyFill="1" applyBorder="1" applyProtection="1">
      <protection locked="0"/>
    </xf>
    <xf numFmtId="0" fontId="0" fillId="2" borderId="124" xfId="0" applyFill="1" applyBorder="1" applyProtection="1">
      <protection locked="0"/>
    </xf>
    <xf numFmtId="0" fontId="0" fillId="2" borderId="124" xfId="0" applyFill="1" applyBorder="1" applyAlignment="1" applyProtection="1">
      <alignment horizontal="center"/>
      <protection locked="0"/>
    </xf>
    <xf numFmtId="0" fontId="31" fillId="2" borderId="125" xfId="0" applyFont="1" applyFill="1" applyBorder="1" applyAlignment="1" applyProtection="1">
      <alignment horizontal="center" vertical="center" wrapText="1"/>
      <protection locked="0"/>
    </xf>
    <xf numFmtId="0" fontId="42" fillId="26" borderId="126" xfId="0" applyFont="1" applyFill="1" applyBorder="1" applyAlignment="1" applyProtection="1">
      <alignment horizontal="left"/>
      <protection locked="0"/>
    </xf>
    <xf numFmtId="0" fontId="0" fillId="26" borderId="127" xfId="0" applyFill="1" applyBorder="1" applyAlignment="1" applyProtection="1">
      <alignment horizontal="center"/>
      <protection locked="0"/>
    </xf>
    <xf numFmtId="0" fontId="2" fillId="10" borderId="128" xfId="0" applyFont="1" applyFill="1" applyBorder="1" applyAlignment="1" applyProtection="1">
      <alignment horizontal="center" vertical="center"/>
      <protection locked="0"/>
    </xf>
    <xf numFmtId="0" fontId="2" fillId="10" borderId="129" xfId="0" applyFont="1" applyFill="1" applyBorder="1" applyAlignment="1" applyProtection="1">
      <alignment horizontal="center" vertical="center"/>
      <protection locked="0"/>
    </xf>
    <xf numFmtId="0" fontId="2" fillId="10" borderId="130" xfId="0" applyFont="1" applyFill="1" applyBorder="1" applyAlignment="1" applyProtection="1">
      <alignment horizontal="center" vertical="center"/>
      <protection locked="0"/>
    </xf>
    <xf numFmtId="0" fontId="2" fillId="10" borderId="131" xfId="0" applyFont="1" applyFill="1" applyBorder="1" applyAlignment="1" applyProtection="1">
      <alignment horizontal="center" vertical="center"/>
      <protection locked="0"/>
    </xf>
    <xf numFmtId="0" fontId="2" fillId="10" borderId="132" xfId="0" applyFont="1" applyFill="1" applyBorder="1" applyAlignment="1" applyProtection="1">
      <alignment horizontal="center" vertical="center"/>
      <protection locked="0"/>
    </xf>
    <xf numFmtId="0" fontId="2" fillId="10" borderId="133" xfId="0" applyFont="1" applyFill="1" applyBorder="1" applyAlignment="1" applyProtection="1">
      <alignment horizontal="center" vertical="center"/>
      <protection locked="0"/>
    </xf>
    <xf numFmtId="0" fontId="2" fillId="10" borderId="134" xfId="0" applyFont="1" applyFill="1" applyBorder="1" applyAlignment="1" applyProtection="1">
      <alignment horizontal="center" vertical="center"/>
      <protection locked="0"/>
    </xf>
    <xf numFmtId="165" fontId="0" fillId="2" borderId="127" xfId="0" applyNumberFormat="1" applyFill="1" applyBorder="1" applyAlignment="1" applyProtection="1">
      <alignment horizontal="center"/>
      <protection locked="0"/>
    </xf>
    <xf numFmtId="165" fontId="0" fillId="2" borderId="135" xfId="0" applyNumberFormat="1" applyFill="1" applyBorder="1" applyAlignment="1" applyProtection="1">
      <alignment horizontal="center"/>
      <protection locked="0"/>
    </xf>
    <xf numFmtId="165" fontId="0" fillId="2" borderId="136" xfId="0" applyNumberFormat="1" applyFill="1" applyBorder="1" applyAlignment="1" applyProtection="1">
      <alignment horizontal="center"/>
      <protection locked="0"/>
    </xf>
    <xf numFmtId="165" fontId="0" fillId="2" borderId="126" xfId="0" applyNumberFormat="1" applyFill="1" applyBorder="1" applyAlignment="1" applyProtection="1">
      <alignment horizontal="center"/>
      <protection locked="0"/>
    </xf>
    <xf numFmtId="0" fontId="2" fillId="2" borderId="128" xfId="0" applyFont="1" applyFill="1" applyBorder="1" applyAlignment="1" applyProtection="1">
      <alignment horizontal="center" vertical="center"/>
      <protection locked="0"/>
    </xf>
    <xf numFmtId="0" fontId="2" fillId="2" borderId="129" xfId="0" applyFont="1" applyFill="1" applyBorder="1" applyAlignment="1" applyProtection="1">
      <alignment horizontal="center" vertical="center"/>
      <protection locked="0"/>
    </xf>
    <xf numFmtId="0" fontId="35" fillId="24" borderId="130" xfId="0" applyFont="1" applyFill="1" applyBorder="1" applyAlignment="1" applyProtection="1">
      <alignment horizontal="center" vertical="center"/>
      <protection locked="0"/>
    </xf>
    <xf numFmtId="0" fontId="15" fillId="14" borderId="131" xfId="0" applyFont="1" applyFill="1" applyBorder="1" applyAlignment="1" applyProtection="1">
      <alignment horizontal="center" vertical="center"/>
      <protection locked="0"/>
    </xf>
    <xf numFmtId="0" fontId="15" fillId="14" borderId="132" xfId="0" applyFont="1" applyFill="1" applyBorder="1" applyAlignment="1" applyProtection="1">
      <alignment horizontal="center" vertical="center"/>
      <protection locked="0"/>
    </xf>
    <xf numFmtId="0" fontId="15" fillId="14" borderId="133" xfId="0" applyFont="1" applyFill="1" applyBorder="1" applyAlignment="1" applyProtection="1">
      <alignment horizontal="center" vertical="center"/>
      <protection locked="0"/>
    </xf>
    <xf numFmtId="0" fontId="2" fillId="2" borderId="131" xfId="0" applyFont="1" applyFill="1" applyBorder="1" applyAlignment="1" applyProtection="1">
      <alignment horizontal="center" vertical="center"/>
      <protection locked="0"/>
    </xf>
    <xf numFmtId="0" fontId="2" fillId="2" borderId="134" xfId="0" applyFont="1" applyFill="1" applyBorder="1" applyAlignment="1" applyProtection="1">
      <alignment horizontal="center" vertical="center"/>
      <protection locked="0"/>
    </xf>
    <xf numFmtId="0" fontId="13" fillId="24" borderId="130" xfId="0" applyFont="1" applyFill="1" applyBorder="1" applyAlignment="1" applyProtection="1">
      <alignment horizontal="center" vertical="center"/>
      <protection locked="0"/>
    </xf>
    <xf numFmtId="0" fontId="13" fillId="24" borderId="131" xfId="0" applyFont="1" applyFill="1" applyBorder="1" applyAlignment="1" applyProtection="1">
      <alignment horizontal="center" vertical="center"/>
      <protection locked="0"/>
    </xf>
    <xf numFmtId="0" fontId="35" fillId="24" borderId="131" xfId="0" applyFont="1" applyFill="1" applyBorder="1" applyAlignment="1" applyProtection="1">
      <alignment horizontal="center" vertical="center"/>
      <protection locked="0"/>
    </xf>
    <xf numFmtId="0" fontId="2" fillId="2" borderId="132" xfId="0" applyFont="1" applyFill="1" applyBorder="1" applyAlignment="1" applyProtection="1">
      <alignment horizontal="center" vertical="center"/>
      <protection locked="0"/>
    </xf>
    <xf numFmtId="0" fontId="2" fillId="2" borderId="137" xfId="0" applyFont="1" applyFill="1" applyBorder="1" applyAlignment="1" applyProtection="1">
      <alignment horizontal="center" vertical="center"/>
      <protection locked="0"/>
    </xf>
    <xf numFmtId="0" fontId="2" fillId="2" borderId="133" xfId="0" applyFont="1" applyFill="1" applyBorder="1" applyAlignment="1" applyProtection="1">
      <alignment horizontal="center" vertical="center"/>
      <protection locked="0"/>
    </xf>
    <xf numFmtId="0" fontId="12" fillId="17" borderId="130" xfId="0" applyFont="1" applyFill="1" applyBorder="1" applyAlignment="1" applyProtection="1">
      <alignment horizontal="center" vertical="center"/>
      <protection locked="0"/>
    </xf>
    <xf numFmtId="0" fontId="12" fillId="17" borderId="131" xfId="0" applyFont="1" applyFill="1" applyBorder="1" applyAlignment="1" applyProtection="1">
      <alignment horizontal="center" vertical="center"/>
      <protection locked="0"/>
    </xf>
    <xf numFmtId="0" fontId="12" fillId="17" borderId="132" xfId="0" applyFont="1" applyFill="1" applyBorder="1" applyAlignment="1" applyProtection="1">
      <alignment horizontal="center" vertical="center"/>
      <protection locked="0"/>
    </xf>
    <xf numFmtId="0" fontId="12" fillId="17" borderId="133" xfId="0" applyFont="1" applyFill="1" applyBorder="1" applyAlignment="1" applyProtection="1">
      <alignment horizontal="center" vertical="center"/>
      <protection locked="0"/>
    </xf>
    <xf numFmtId="0" fontId="2" fillId="2" borderId="130" xfId="0" applyFont="1" applyFill="1" applyBorder="1" applyAlignment="1" applyProtection="1">
      <alignment horizontal="center" vertical="center"/>
      <protection locked="0"/>
    </xf>
    <xf numFmtId="0" fontId="13" fillId="24" borderId="132" xfId="0" applyFont="1" applyFill="1" applyBorder="1" applyAlignment="1" applyProtection="1">
      <alignment horizontal="center" vertical="center"/>
      <protection locked="0"/>
    </xf>
    <xf numFmtId="0" fontId="13" fillId="24" borderId="134" xfId="0" applyFont="1" applyFill="1" applyBorder="1" applyAlignment="1" applyProtection="1">
      <alignment horizontal="center" vertical="center"/>
      <protection locked="0"/>
    </xf>
    <xf numFmtId="0" fontId="15" fillId="14" borderId="134" xfId="0" applyFont="1" applyFill="1" applyBorder="1" applyAlignment="1" applyProtection="1">
      <alignment horizontal="center" vertical="center"/>
      <protection locked="0"/>
    </xf>
    <xf numFmtId="0" fontId="15" fillId="14" borderId="130" xfId="0" applyFont="1" applyFill="1" applyBorder="1" applyAlignment="1" applyProtection="1">
      <alignment horizontal="center" vertical="center"/>
      <protection locked="0"/>
    </xf>
    <xf numFmtId="0" fontId="13" fillId="24" borderId="133" xfId="0" applyFont="1" applyFill="1" applyBorder="1" applyAlignment="1" applyProtection="1">
      <alignment horizontal="center" vertical="center"/>
      <protection locked="0"/>
    </xf>
    <xf numFmtId="0" fontId="15" fillId="14" borderId="30" xfId="0" applyFont="1" applyFill="1" applyBorder="1" applyAlignment="1" applyProtection="1">
      <alignment horizontal="center" vertical="center"/>
      <protection locked="0"/>
    </xf>
    <xf numFmtId="0" fontId="15" fillId="14" borderId="31" xfId="0" applyFont="1" applyFill="1" applyBorder="1" applyAlignment="1" applyProtection="1">
      <alignment horizontal="center" vertical="center"/>
      <protection locked="0"/>
    </xf>
    <xf numFmtId="0" fontId="15" fillId="14" borderId="32" xfId="0" applyFont="1" applyFill="1" applyBorder="1" applyAlignment="1" applyProtection="1">
      <alignment horizontal="center" vertical="center"/>
      <protection locked="0"/>
    </xf>
    <xf numFmtId="0" fontId="15" fillId="14" borderId="29" xfId="0" applyFont="1" applyFill="1" applyBorder="1" applyAlignment="1" applyProtection="1">
      <alignment horizontal="center" vertical="center"/>
      <protection locked="0"/>
    </xf>
    <xf numFmtId="0" fontId="15" fillId="14" borderId="5" xfId="0" applyFont="1" applyFill="1" applyBorder="1" applyAlignment="1" applyProtection="1">
      <alignment horizontal="center" vertical="center"/>
      <protection locked="0"/>
    </xf>
    <xf numFmtId="0" fontId="15" fillId="14" borderId="56" xfId="0" applyFont="1" applyFill="1" applyBorder="1" applyAlignment="1" applyProtection="1">
      <alignment horizontal="center" vertical="center"/>
      <protection locked="0"/>
    </xf>
    <xf numFmtId="0" fontId="15" fillId="14" borderId="57" xfId="0" applyFont="1" applyFill="1" applyBorder="1" applyAlignment="1" applyProtection="1">
      <alignment horizontal="center" vertical="center"/>
      <protection locked="0"/>
    </xf>
    <xf numFmtId="0" fontId="15" fillId="14" borderId="58" xfId="0" applyFont="1" applyFill="1" applyBorder="1" applyAlignment="1" applyProtection="1">
      <alignment horizontal="center" vertical="center"/>
      <protection locked="0"/>
    </xf>
    <xf numFmtId="0" fontId="15" fillId="14" borderId="78" xfId="0" applyFont="1" applyFill="1" applyBorder="1" applyAlignment="1" applyProtection="1">
      <alignment horizontal="center" vertical="center"/>
      <protection locked="0"/>
    </xf>
    <xf numFmtId="0" fontId="42" fillId="2" borderId="37" xfId="0" applyFont="1" applyFill="1" applyBorder="1" applyAlignment="1" applyProtection="1">
      <alignment horizontal="left"/>
      <protection locked="0"/>
    </xf>
    <xf numFmtId="0" fontId="42" fillId="26" borderId="138" xfId="0" applyFont="1" applyFill="1" applyBorder="1" applyAlignment="1" applyProtection="1">
      <alignment horizontal="left"/>
      <protection locked="0"/>
    </xf>
    <xf numFmtId="0" fontId="0" fillId="26" borderId="139" xfId="0" applyFill="1" applyBorder="1" applyAlignment="1" applyProtection="1">
      <alignment horizontal="center"/>
      <protection locked="0"/>
    </xf>
    <xf numFmtId="0" fontId="2" fillId="10" borderId="140" xfId="0" applyFont="1" applyFill="1" applyBorder="1" applyAlignment="1" applyProtection="1">
      <alignment horizontal="center" vertical="center"/>
      <protection locked="0"/>
    </xf>
    <xf numFmtId="0" fontId="2" fillId="10" borderId="141" xfId="0" applyFont="1" applyFill="1" applyBorder="1" applyAlignment="1" applyProtection="1">
      <alignment horizontal="center" vertical="center"/>
      <protection locked="0"/>
    </xf>
    <xf numFmtId="0" fontId="2" fillId="10" borderId="142" xfId="0" applyFont="1" applyFill="1" applyBorder="1" applyAlignment="1" applyProtection="1">
      <alignment horizontal="center" vertical="center"/>
      <protection locked="0"/>
    </xf>
    <xf numFmtId="0" fontId="2" fillId="10" borderId="143" xfId="0" applyFont="1" applyFill="1" applyBorder="1" applyAlignment="1" applyProtection="1">
      <alignment horizontal="center" vertical="center"/>
      <protection locked="0"/>
    </xf>
    <xf numFmtId="0" fontId="2" fillId="10" borderId="144" xfId="0" applyFont="1" applyFill="1" applyBorder="1" applyAlignment="1" applyProtection="1">
      <alignment horizontal="center" vertical="center"/>
      <protection locked="0"/>
    </xf>
    <xf numFmtId="0" fontId="2" fillId="10" borderId="145" xfId="0" applyFont="1" applyFill="1" applyBorder="1" applyAlignment="1" applyProtection="1">
      <alignment horizontal="center" vertical="center"/>
      <protection locked="0"/>
    </xf>
    <xf numFmtId="0" fontId="2" fillId="10" borderId="146" xfId="0" applyFont="1" applyFill="1" applyBorder="1" applyAlignment="1" applyProtection="1">
      <alignment horizontal="center" vertical="center"/>
      <protection locked="0"/>
    </xf>
    <xf numFmtId="165" fontId="0" fillId="2" borderId="147" xfId="0" applyNumberFormat="1" applyFill="1" applyBorder="1" applyAlignment="1" applyProtection="1">
      <alignment horizontal="center"/>
      <protection locked="0"/>
    </xf>
    <xf numFmtId="165" fontId="0" fillId="2" borderId="148" xfId="0" applyNumberFormat="1" applyFill="1" applyBorder="1" applyAlignment="1" applyProtection="1">
      <alignment horizontal="center"/>
      <protection locked="0"/>
    </xf>
    <xf numFmtId="165" fontId="0" fillId="2" borderId="138" xfId="0" applyNumberFormat="1" applyFill="1" applyBorder="1" applyAlignment="1" applyProtection="1">
      <alignment horizontal="center"/>
      <protection locked="0"/>
    </xf>
    <xf numFmtId="0" fontId="2" fillId="2" borderId="140" xfId="0" applyFont="1" applyFill="1" applyBorder="1" applyAlignment="1" applyProtection="1">
      <alignment horizontal="center" vertical="center"/>
      <protection locked="0"/>
    </xf>
    <xf numFmtId="0" fontId="2" fillId="2" borderId="141" xfId="0" applyFont="1" applyFill="1" applyBorder="1" applyAlignment="1" applyProtection="1">
      <alignment horizontal="center" vertical="center"/>
      <protection locked="0"/>
    </xf>
    <xf numFmtId="0" fontId="2" fillId="2" borderId="142" xfId="0" applyFont="1" applyFill="1" applyBorder="1" applyAlignment="1" applyProtection="1">
      <alignment horizontal="center" vertical="center"/>
      <protection locked="0"/>
    </xf>
    <xf numFmtId="0" fontId="35" fillId="24" borderId="142" xfId="0" applyFont="1" applyFill="1" applyBorder="1" applyAlignment="1" applyProtection="1">
      <alignment horizontal="center" vertical="center"/>
      <protection locked="0"/>
    </xf>
    <xf numFmtId="0" fontId="13" fillId="24" borderId="142" xfId="0" applyFont="1" applyFill="1" applyBorder="1" applyAlignment="1" applyProtection="1">
      <alignment horizontal="center" vertical="center"/>
      <protection locked="0"/>
    </xf>
    <xf numFmtId="0" fontId="13" fillId="24" borderId="143" xfId="0" applyFont="1" applyFill="1" applyBorder="1" applyAlignment="1" applyProtection="1">
      <alignment horizontal="center" vertical="center"/>
      <protection locked="0"/>
    </xf>
    <xf numFmtId="0" fontId="2" fillId="2" borderId="144" xfId="0" applyFont="1" applyFill="1" applyBorder="1" applyAlignment="1" applyProtection="1">
      <alignment horizontal="center" vertical="center"/>
      <protection locked="0"/>
    </xf>
    <xf numFmtId="0" fontId="13" fillId="24" borderId="145" xfId="0" applyFont="1" applyFill="1" applyBorder="1" applyAlignment="1" applyProtection="1">
      <alignment horizontal="center" vertical="center"/>
      <protection locked="0"/>
    </xf>
    <xf numFmtId="0" fontId="13" fillId="24" borderId="141" xfId="0" applyFont="1" applyFill="1" applyBorder="1" applyAlignment="1" applyProtection="1">
      <alignment horizontal="center" vertical="center"/>
      <protection locked="0"/>
    </xf>
    <xf numFmtId="0" fontId="2" fillId="2" borderId="143" xfId="0" applyFont="1" applyFill="1" applyBorder="1" applyAlignment="1" applyProtection="1">
      <alignment horizontal="center" vertical="center"/>
      <protection locked="0"/>
    </xf>
    <xf numFmtId="0" fontId="2" fillId="2" borderId="146" xfId="0" applyFont="1" applyFill="1" applyBorder="1" applyAlignment="1" applyProtection="1">
      <alignment horizontal="center" vertical="center"/>
      <protection locked="0"/>
    </xf>
    <xf numFmtId="0" fontId="4" fillId="5" borderId="142" xfId="0" applyFont="1" applyFill="1" applyBorder="1" applyAlignment="1" applyProtection="1">
      <alignment horizontal="center" vertical="center"/>
      <protection locked="0"/>
    </xf>
    <xf numFmtId="0" fontId="4" fillId="5" borderId="143" xfId="0" applyFont="1" applyFill="1" applyBorder="1" applyAlignment="1" applyProtection="1">
      <alignment horizontal="center" vertical="center"/>
      <protection locked="0"/>
    </xf>
    <xf numFmtId="0" fontId="4" fillId="5" borderId="144" xfId="0" applyFont="1" applyFill="1" applyBorder="1" applyAlignment="1" applyProtection="1">
      <alignment horizontal="center" vertical="center"/>
      <protection locked="0"/>
    </xf>
    <xf numFmtId="0" fontId="4" fillId="5" borderId="145" xfId="0" applyFont="1" applyFill="1" applyBorder="1" applyAlignment="1" applyProtection="1">
      <alignment horizontal="center" vertical="center"/>
      <protection locked="0"/>
    </xf>
    <xf numFmtId="0" fontId="4" fillId="5" borderId="141" xfId="0" applyFont="1" applyFill="1" applyBorder="1" applyAlignment="1" applyProtection="1">
      <alignment horizontal="center" vertical="center"/>
      <protection locked="0"/>
    </xf>
    <xf numFmtId="0" fontId="35" fillId="24" borderId="141" xfId="0" applyFont="1" applyFill="1" applyBorder="1" applyAlignment="1" applyProtection="1">
      <alignment horizontal="center" vertical="center"/>
      <protection locked="0"/>
    </xf>
    <xf numFmtId="0" fontId="13" fillId="24" borderId="144" xfId="0" applyFont="1" applyFill="1" applyBorder="1" applyAlignment="1" applyProtection="1">
      <alignment horizontal="center" vertical="center"/>
      <protection locked="0"/>
    </xf>
    <xf numFmtId="0" fontId="2" fillId="2" borderId="145" xfId="0" applyFont="1" applyFill="1" applyBorder="1" applyAlignment="1" applyProtection="1">
      <alignment horizontal="center" vertical="center"/>
      <protection locked="0"/>
    </xf>
    <xf numFmtId="165" fontId="0" fillId="2" borderId="149" xfId="0" applyNumberFormat="1" applyFill="1" applyBorder="1" applyAlignment="1" applyProtection="1">
      <alignment horizontal="center"/>
      <protection locked="0"/>
    </xf>
    <xf numFmtId="0" fontId="42" fillId="2" borderId="62" xfId="0" applyFont="1" applyFill="1" applyBorder="1" applyAlignment="1" applyProtection="1">
      <alignment horizontal="left"/>
      <protection locked="0"/>
    </xf>
    <xf numFmtId="0" fontId="0" fillId="2" borderId="72" xfId="0" applyFill="1" applyBorder="1" applyAlignment="1" applyProtection="1">
      <alignment horizontal="center"/>
      <protection locked="0"/>
    </xf>
    <xf numFmtId="0" fontId="35" fillId="24" borderId="67" xfId="0" applyFont="1" applyFill="1" applyBorder="1" applyAlignment="1" applyProtection="1">
      <alignment horizontal="center" vertical="center"/>
      <protection locked="0"/>
    </xf>
    <xf numFmtId="0" fontId="15" fillId="14" borderId="67" xfId="0" applyFont="1" applyFill="1" applyBorder="1" applyAlignment="1" applyProtection="1">
      <alignment horizontal="center" vertical="center"/>
      <protection locked="0"/>
    </xf>
    <xf numFmtId="0" fontId="15" fillId="14" borderId="69" xfId="0" applyFont="1" applyFill="1" applyBorder="1" applyAlignment="1" applyProtection="1">
      <alignment horizontal="center" vertical="center"/>
      <protection locked="0"/>
    </xf>
    <xf numFmtId="0" fontId="15" fillId="14" borderId="91" xfId="0" applyFont="1" applyFill="1" applyBorder="1" applyAlignment="1" applyProtection="1">
      <alignment horizontal="center" vertical="center"/>
      <protection locked="0"/>
    </xf>
    <xf numFmtId="0" fontId="35" fillId="24" borderId="91" xfId="0" applyFont="1" applyFill="1" applyBorder="1" applyAlignment="1" applyProtection="1">
      <alignment horizontal="center" vertical="center"/>
      <protection locked="0"/>
    </xf>
    <xf numFmtId="0" fontId="15" fillId="14" borderId="66" xfId="0" applyFont="1" applyFill="1" applyBorder="1" applyAlignment="1" applyProtection="1">
      <alignment horizontal="center" vertical="center"/>
      <protection locked="0"/>
    </xf>
    <xf numFmtId="0" fontId="15" fillId="14" borderId="68" xfId="0" applyFont="1" applyFill="1" applyBorder="1" applyAlignment="1" applyProtection="1">
      <alignment horizontal="center" vertical="center"/>
      <protection locked="0"/>
    </xf>
    <xf numFmtId="0" fontId="0" fillId="29" borderId="0" xfId="0" applyFill="1"/>
    <xf numFmtId="0" fontId="3" fillId="29" borderId="0" xfId="0" applyFont="1" applyFill="1" applyAlignment="1" applyProtection="1">
      <alignment horizontal="left"/>
      <protection locked="0"/>
    </xf>
    <xf numFmtId="0" fontId="0" fillId="29" borderId="0" xfId="0" applyFill="1" applyAlignment="1" applyProtection="1">
      <alignment horizontal="center"/>
      <protection locked="0"/>
    </xf>
    <xf numFmtId="0" fontId="0" fillId="29" borderId="1" xfId="0" applyFill="1" applyBorder="1" applyProtection="1">
      <protection locked="0"/>
    </xf>
    <xf numFmtId="0" fontId="33" fillId="2" borderId="14" xfId="0" applyFont="1" applyFill="1" applyBorder="1" applyAlignment="1" applyProtection="1">
      <alignment horizontal="center" vertical="center" wrapText="1"/>
      <protection locked="0"/>
    </xf>
    <xf numFmtId="0" fontId="36" fillId="2" borderId="57" xfId="0" applyFont="1" applyFill="1" applyBorder="1" applyAlignment="1" applyProtection="1">
      <alignment horizontal="center" vertical="center"/>
      <protection locked="0"/>
    </xf>
    <xf numFmtId="0" fontId="36" fillId="2" borderId="5" xfId="0" applyFont="1" applyFill="1" applyBorder="1" applyAlignment="1" applyProtection="1">
      <alignment horizontal="center" vertical="center"/>
      <protection locked="0"/>
    </xf>
    <xf numFmtId="0" fontId="37" fillId="7" borderId="78" xfId="0" applyFont="1" applyFill="1" applyBorder="1" applyAlignment="1" applyProtection="1">
      <alignment horizontal="center" vertical="center"/>
      <protection locked="0"/>
    </xf>
    <xf numFmtId="0" fontId="37" fillId="7" borderId="58" xfId="0" applyFont="1" applyFill="1" applyBorder="1" applyAlignment="1" applyProtection="1">
      <alignment horizontal="center" vertical="center"/>
      <protection locked="0"/>
    </xf>
    <xf numFmtId="0" fontId="36" fillId="2" borderId="58" xfId="0" applyFont="1" applyFill="1" applyBorder="1" applyAlignment="1" applyProtection="1">
      <alignment horizontal="center" vertical="center"/>
      <protection locked="0"/>
    </xf>
    <xf numFmtId="0" fontId="36" fillId="2" borderId="29" xfId="0" applyFont="1" applyFill="1" applyBorder="1" applyAlignment="1" applyProtection="1">
      <alignment horizontal="center" vertical="center"/>
      <protection locked="0"/>
    </xf>
    <xf numFmtId="0" fontId="8" fillId="7" borderId="58" xfId="0" applyFont="1" applyFill="1" applyBorder="1" applyAlignment="1" applyProtection="1">
      <alignment horizontal="center" vertical="center"/>
      <protection locked="0"/>
    </xf>
    <xf numFmtId="0" fontId="42" fillId="2" borderId="138" xfId="0" applyFont="1" applyFill="1" applyBorder="1" applyAlignment="1" applyProtection="1">
      <alignment horizontal="left"/>
      <protection locked="0"/>
    </xf>
    <xf numFmtId="0" fontId="0" fillId="2" borderId="147" xfId="0" applyFill="1" applyBorder="1" applyAlignment="1" applyProtection="1">
      <alignment horizontal="center"/>
      <protection locked="0"/>
    </xf>
    <xf numFmtId="0" fontId="36" fillId="2" borderId="144" xfId="0" applyFont="1" applyFill="1" applyBorder="1" applyAlignment="1" applyProtection="1">
      <alignment horizontal="center" vertical="center"/>
      <protection locked="0"/>
    </xf>
    <xf numFmtId="0" fontId="36" fillId="2" borderId="142" xfId="0" applyFont="1" applyFill="1" applyBorder="1" applyAlignment="1" applyProtection="1">
      <alignment horizontal="center" vertical="center"/>
      <protection locked="0"/>
    </xf>
    <xf numFmtId="0" fontId="37" fillId="7" borderId="141" xfId="0" applyFont="1" applyFill="1" applyBorder="1" applyAlignment="1" applyProtection="1">
      <alignment horizontal="center" vertical="center"/>
      <protection locked="0"/>
    </xf>
    <xf numFmtId="0" fontId="37" fillId="7" borderId="142" xfId="0" applyFont="1" applyFill="1" applyBorder="1" applyAlignment="1" applyProtection="1">
      <alignment horizontal="center" vertical="center"/>
      <protection locked="0"/>
    </xf>
    <xf numFmtId="0" fontId="37" fillId="7" borderId="143" xfId="0" applyFont="1" applyFill="1" applyBorder="1" applyAlignment="1" applyProtection="1">
      <alignment horizontal="center" vertical="center"/>
      <protection locked="0"/>
    </xf>
    <xf numFmtId="0" fontId="37" fillId="7" borderId="145" xfId="0" applyFont="1" applyFill="1" applyBorder="1" applyAlignment="1" applyProtection="1">
      <alignment horizontal="center" vertical="center"/>
      <protection locked="0"/>
    </xf>
    <xf numFmtId="0" fontId="4" fillId="9" borderId="142" xfId="0" applyFont="1" applyFill="1" applyBorder="1" applyAlignment="1" applyProtection="1">
      <alignment horizontal="center" vertical="center"/>
      <protection locked="0"/>
    </xf>
    <xf numFmtId="0" fontId="4" fillId="9" borderId="143" xfId="0" applyFont="1" applyFill="1" applyBorder="1" applyAlignment="1" applyProtection="1">
      <alignment horizontal="center" vertical="center"/>
      <protection locked="0"/>
    </xf>
    <xf numFmtId="0" fontId="4" fillId="9" borderId="144" xfId="0" applyFont="1" applyFill="1" applyBorder="1" applyAlignment="1" applyProtection="1">
      <alignment horizontal="center" vertical="center"/>
      <protection locked="0"/>
    </xf>
    <xf numFmtId="0" fontId="4" fillId="9" borderId="145" xfId="0" applyFont="1" applyFill="1" applyBorder="1" applyAlignment="1" applyProtection="1">
      <alignment horizontal="center" vertical="center"/>
      <protection locked="0"/>
    </xf>
    <xf numFmtId="0" fontId="4" fillId="9" borderId="141" xfId="0" applyFont="1" applyFill="1" applyBorder="1" applyAlignment="1" applyProtection="1">
      <alignment horizontal="center" vertical="center"/>
      <protection locked="0"/>
    </xf>
    <xf numFmtId="0" fontId="2" fillId="10" borderId="25" xfId="0" applyFont="1" applyFill="1" applyBorder="1" applyAlignment="1" applyProtection="1">
      <alignment horizontal="center" vertical="center"/>
      <protection locked="0"/>
    </xf>
    <xf numFmtId="0" fontId="2" fillId="10" borderId="6" xfId="0" applyFont="1" applyFill="1" applyBorder="1" applyAlignment="1" applyProtection="1">
      <alignment horizontal="center" vertical="center"/>
      <protection locked="0"/>
    </xf>
    <xf numFmtId="0" fontId="2" fillId="10" borderId="150" xfId="0" applyFont="1" applyFill="1" applyBorder="1" applyAlignment="1" applyProtection="1">
      <alignment horizontal="center" vertical="center"/>
      <protection locked="0"/>
    </xf>
    <xf numFmtId="0" fontId="2" fillId="10" borderId="85" xfId="0" applyFont="1" applyFill="1" applyBorder="1" applyAlignment="1" applyProtection="1">
      <alignment horizontal="center" vertical="center"/>
      <protection locked="0"/>
    </xf>
    <xf numFmtId="0" fontId="2" fillId="10" borderId="84" xfId="0" applyFont="1" applyFill="1" applyBorder="1" applyAlignment="1" applyProtection="1">
      <alignment horizontal="center" vertical="center"/>
      <protection locked="0"/>
    </xf>
    <xf numFmtId="0" fontId="2" fillId="10" borderId="52" xfId="0" applyFont="1" applyFill="1" applyBorder="1" applyAlignment="1" applyProtection="1">
      <alignment horizontal="center" vertical="center"/>
      <protection locked="0"/>
    </xf>
    <xf numFmtId="0" fontId="2" fillId="10" borderId="86" xfId="0" applyFont="1" applyFill="1" applyBorder="1" applyAlignment="1" applyProtection="1">
      <alignment horizontal="center" vertical="center"/>
      <protection locked="0"/>
    </xf>
    <xf numFmtId="0" fontId="2" fillId="10" borderId="83" xfId="0" applyFont="1" applyFill="1" applyBorder="1" applyAlignment="1" applyProtection="1">
      <alignment horizontal="center" vertical="center"/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13" fillId="24" borderId="150" xfId="0" applyFont="1" applyFill="1" applyBorder="1" applyAlignment="1" applyProtection="1">
      <alignment horizontal="center" vertical="center"/>
      <protection locked="0"/>
    </xf>
    <xf numFmtId="0" fontId="0" fillId="26" borderId="147" xfId="0" applyFill="1" applyBorder="1" applyAlignment="1" applyProtection="1">
      <alignment horizontal="center"/>
      <protection locked="0"/>
    </xf>
    <xf numFmtId="0" fontId="35" fillId="24" borderId="145" xfId="0" applyFont="1" applyFill="1" applyBorder="1" applyAlignment="1" applyProtection="1">
      <alignment horizontal="center" vertical="center"/>
      <protection locked="0"/>
    </xf>
    <xf numFmtId="0" fontId="33" fillId="2" borderId="151" xfId="0" applyFont="1" applyFill="1" applyBorder="1" applyAlignment="1" applyProtection="1">
      <alignment horizontal="center" vertical="center"/>
      <protection locked="0"/>
    </xf>
    <xf numFmtId="0" fontId="38" fillId="26" borderId="62" xfId="0" applyFont="1" applyFill="1" applyBorder="1" applyAlignment="1" applyProtection="1">
      <alignment horizontal="left"/>
      <protection locked="0"/>
    </xf>
    <xf numFmtId="0" fontId="2" fillId="10" borderId="152" xfId="0" applyFont="1" applyFill="1" applyBorder="1" applyAlignment="1" applyProtection="1">
      <alignment horizontal="center" vertical="center"/>
      <protection locked="0"/>
    </xf>
    <xf numFmtId="0" fontId="36" fillId="2" borderId="68" xfId="0" applyFont="1" applyFill="1" applyBorder="1" applyAlignment="1" applyProtection="1">
      <alignment horizontal="center" vertical="center"/>
      <protection locked="0"/>
    </xf>
    <xf numFmtId="0" fontId="2" fillId="2" borderId="152" xfId="0" applyFont="1" applyFill="1" applyBorder="1" applyAlignment="1" applyProtection="1">
      <alignment horizontal="center" vertical="center"/>
      <protection locked="0"/>
    </xf>
    <xf numFmtId="0" fontId="8" fillId="7" borderId="91" xfId="0" applyFont="1" applyFill="1" applyBorder="1" applyAlignment="1" applyProtection="1">
      <alignment horizontal="center" vertical="center"/>
      <protection locked="0"/>
    </xf>
    <xf numFmtId="0" fontId="8" fillId="7" borderId="67" xfId="0" applyFont="1" applyFill="1" applyBorder="1" applyAlignment="1" applyProtection="1">
      <alignment horizontal="center" vertical="center"/>
      <protection locked="0"/>
    </xf>
    <xf numFmtId="0" fontId="37" fillId="7" borderId="91" xfId="0" applyFont="1" applyFill="1" applyBorder="1" applyAlignment="1" applyProtection="1">
      <alignment horizontal="center" vertical="center"/>
      <protection locked="0"/>
    </xf>
    <xf numFmtId="0" fontId="37" fillId="7" borderId="153" xfId="0" applyFont="1" applyFill="1" applyBorder="1" applyAlignment="1" applyProtection="1">
      <alignment horizontal="center" vertical="center"/>
      <protection locked="0"/>
    </xf>
    <xf numFmtId="0" fontId="37" fillId="7" borderId="154" xfId="0" applyFont="1" applyFill="1" applyBorder="1" applyAlignment="1" applyProtection="1">
      <alignment horizontal="center" vertical="center"/>
      <protection locked="0"/>
    </xf>
    <xf numFmtId="0" fontId="8" fillId="7" borderId="153" xfId="0" applyFont="1" applyFill="1" applyBorder="1" applyAlignment="1" applyProtection="1">
      <alignment horizontal="center" vertical="center"/>
      <protection locked="0"/>
    </xf>
    <xf numFmtId="0" fontId="8" fillId="7" borderId="154" xfId="0" applyFont="1" applyFill="1" applyBorder="1" applyAlignment="1" applyProtection="1">
      <alignment horizontal="center" vertical="center"/>
      <protection locked="0"/>
    </xf>
    <xf numFmtId="0" fontId="8" fillId="7" borderId="69" xfId="0" applyFont="1" applyFill="1" applyBorder="1" applyAlignment="1" applyProtection="1">
      <alignment horizontal="center" vertical="center"/>
      <protection locked="0"/>
    </xf>
    <xf numFmtId="0" fontId="44" fillId="2" borderId="0" xfId="0" applyFont="1" applyFill="1" applyAlignment="1" applyProtection="1">
      <alignment horizontal="left"/>
      <protection locked="0"/>
    </xf>
    <xf numFmtId="0" fontId="44" fillId="2" borderId="74" xfId="0" applyFont="1" applyFill="1" applyBorder="1" applyAlignment="1" applyProtection="1">
      <alignment horizontal="left"/>
      <protection locked="0"/>
    </xf>
    <xf numFmtId="0" fontId="44" fillId="2" borderId="1" xfId="0" applyFont="1" applyFill="1" applyBorder="1" applyAlignment="1" applyProtection="1">
      <alignment horizontal="left"/>
      <protection locked="0"/>
    </xf>
    <xf numFmtId="0" fontId="0" fillId="30" borderId="0" xfId="0" applyFill="1"/>
    <xf numFmtId="0" fontId="3" fillId="30" borderId="0" xfId="0" applyFont="1" applyFill="1" applyAlignment="1" applyProtection="1">
      <alignment horizontal="left"/>
      <protection locked="0"/>
    </xf>
    <xf numFmtId="0" fontId="0" fillId="30" borderId="0" xfId="0" applyFill="1" applyAlignment="1" applyProtection="1">
      <alignment horizontal="center"/>
      <protection locked="0"/>
    </xf>
    <xf numFmtId="0" fontId="0" fillId="30" borderId="1" xfId="0" applyFill="1" applyBorder="1" applyProtection="1">
      <protection locked="0"/>
    </xf>
    <xf numFmtId="0" fontId="33" fillId="2" borderId="155" xfId="0" applyFont="1" applyFill="1" applyBorder="1" applyAlignment="1" applyProtection="1">
      <alignment horizontal="center" vertical="center"/>
      <protection locked="0"/>
    </xf>
    <xf numFmtId="0" fontId="0" fillId="2" borderId="155" xfId="0" applyFill="1" applyBorder="1" applyProtection="1">
      <protection locked="0"/>
    </xf>
    <xf numFmtId="0" fontId="8" fillId="7" borderId="142" xfId="0" applyFont="1" applyFill="1" applyBorder="1" applyAlignment="1" applyProtection="1">
      <alignment horizontal="center" vertical="center"/>
      <protection locked="0"/>
    </xf>
    <xf numFmtId="0" fontId="37" fillId="7" borderId="144" xfId="0" applyFont="1" applyFill="1" applyBorder="1" applyAlignment="1" applyProtection="1">
      <alignment horizontal="center" vertical="center"/>
      <protection locked="0"/>
    </xf>
    <xf numFmtId="0" fontId="33" fillId="2" borderId="54" xfId="0" applyFont="1" applyFill="1" applyBorder="1" applyAlignment="1" applyProtection="1">
      <alignment horizontal="center" vertical="center"/>
      <protection locked="0"/>
    </xf>
    <xf numFmtId="0" fontId="38" fillId="2" borderId="62" xfId="0" applyFont="1" applyFill="1" applyBorder="1" applyAlignment="1" applyProtection="1">
      <alignment horizontal="left"/>
      <protection locked="0"/>
    </xf>
    <xf numFmtId="0" fontId="40" fillId="2" borderId="0" xfId="0" applyFont="1" applyFill="1" applyProtection="1">
      <protection locked="0"/>
    </xf>
    <xf numFmtId="0" fontId="45" fillId="2" borderId="0" xfId="0" applyFont="1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35" fillId="7" borderId="5" xfId="0" applyFont="1" applyFill="1" applyBorder="1" applyAlignment="1" applyProtection="1">
      <alignment horizontal="center" vertical="center"/>
      <protection locked="0"/>
    </xf>
    <xf numFmtId="0" fontId="14" fillId="13" borderId="0" xfId="0" applyFont="1" applyFill="1" applyAlignment="1" applyProtection="1">
      <alignment horizontal="center" vertical="center"/>
      <protection locked="0"/>
    </xf>
    <xf numFmtId="0" fontId="46" fillId="15" borderId="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1" fillId="11" borderId="0" xfId="0" applyFont="1" applyFill="1" applyAlignment="1" applyProtection="1">
      <alignment horizontal="center" vertical="center"/>
      <protection locked="0"/>
    </xf>
    <xf numFmtId="0" fontId="15" fillId="14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47" fillId="2" borderId="0" xfId="0" applyFont="1" applyFill="1" applyAlignment="1" applyProtection="1">
      <alignment horizontal="center" vertical="center"/>
      <protection locked="0"/>
    </xf>
    <xf numFmtId="0" fontId="28" fillId="31" borderId="156" xfId="0" applyFont="1" applyFill="1" applyBorder="1" applyAlignment="1" applyProtection="1">
      <alignment horizontal="center" vertical="center"/>
      <protection locked="0"/>
    </xf>
    <xf numFmtId="0" fontId="0" fillId="2" borderId="156" xfId="0" applyFill="1" applyBorder="1" applyProtection="1">
      <protection locked="0"/>
    </xf>
    <xf numFmtId="0" fontId="28" fillId="31" borderId="0" xfId="0" applyFont="1" applyFill="1" applyAlignment="1" applyProtection="1">
      <alignment horizontal="center" vertical="center"/>
      <protection locked="0"/>
    </xf>
    <xf numFmtId="0" fontId="25" fillId="2" borderId="157" xfId="0" applyFont="1" applyFill="1" applyBorder="1" applyAlignment="1" applyProtection="1">
      <alignment horizontal="center" vertical="top" wrapText="1"/>
      <protection locked="0"/>
    </xf>
    <xf numFmtId="0" fontId="31" fillId="2" borderId="158" xfId="0" applyFont="1" applyFill="1" applyBorder="1" applyAlignment="1" applyProtection="1">
      <alignment vertical="center"/>
      <protection locked="0"/>
    </xf>
    <xf numFmtId="0" fontId="13" fillId="24" borderId="159" xfId="0" applyFont="1" applyFill="1" applyBorder="1" applyAlignment="1" applyProtection="1">
      <alignment horizontal="center" vertical="center"/>
      <protection locked="0"/>
    </xf>
    <xf numFmtId="0" fontId="13" fillId="24" borderId="160" xfId="0" applyFont="1" applyFill="1" applyBorder="1" applyAlignment="1" applyProtection="1">
      <alignment horizontal="center" vertical="center"/>
      <protection locked="0"/>
    </xf>
    <xf numFmtId="0" fontId="13" fillId="24" borderId="161" xfId="0" applyFont="1" applyFill="1" applyBorder="1" applyAlignment="1" applyProtection="1">
      <alignment horizontal="center" vertical="center"/>
      <protection locked="0"/>
    </xf>
    <xf numFmtId="0" fontId="36" fillId="2" borderId="162" xfId="0" applyFont="1" applyFill="1" applyBorder="1" applyAlignment="1" applyProtection="1">
      <alignment horizontal="center" vertical="center"/>
      <protection locked="0"/>
    </xf>
    <xf numFmtId="0" fontId="36" fillId="2" borderId="160" xfId="0" applyFont="1" applyFill="1" applyBorder="1" applyAlignment="1" applyProtection="1">
      <alignment horizontal="center" vertical="center"/>
      <protection locked="0"/>
    </xf>
    <xf numFmtId="0" fontId="13" fillId="24" borderId="163" xfId="0" applyFont="1" applyFill="1" applyBorder="1" applyAlignment="1" applyProtection="1">
      <alignment horizontal="center" vertical="center"/>
      <protection locked="0"/>
    </xf>
    <xf numFmtId="0" fontId="2" fillId="2" borderId="160" xfId="0" applyFont="1" applyFill="1" applyBorder="1" applyAlignment="1" applyProtection="1">
      <alignment horizontal="center" vertical="center"/>
      <protection locked="0"/>
    </xf>
    <xf numFmtId="0" fontId="2" fillId="2" borderId="164" xfId="0" applyFont="1" applyFill="1" applyBorder="1" applyAlignment="1" applyProtection="1">
      <alignment horizontal="center" vertical="center"/>
      <protection locked="0"/>
    </xf>
    <xf numFmtId="0" fontId="2" fillId="2" borderId="165" xfId="0" applyFont="1" applyFill="1" applyBorder="1" applyAlignment="1" applyProtection="1">
      <alignment horizontal="center" vertical="center"/>
      <protection locked="0"/>
    </xf>
    <xf numFmtId="165" fontId="0" fillId="2" borderId="166" xfId="0" applyNumberFormat="1" applyFill="1" applyBorder="1" applyAlignment="1" applyProtection="1">
      <alignment horizontal="center"/>
      <protection locked="0"/>
    </xf>
    <xf numFmtId="0" fontId="2" fillId="2" borderId="161" xfId="0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Protection="1">
      <protection locked="0"/>
    </xf>
    <xf numFmtId="0" fontId="31" fillId="2" borderId="167" xfId="0" applyFont="1" applyFill="1" applyBorder="1" applyAlignment="1" applyProtection="1">
      <alignment vertical="center"/>
      <protection locked="0"/>
    </xf>
    <xf numFmtId="0" fontId="35" fillId="24" borderId="55" xfId="0" applyFont="1" applyFill="1" applyBorder="1" applyAlignment="1" applyProtection="1">
      <alignment horizontal="center" vertical="center"/>
      <protection locked="0"/>
    </xf>
    <xf numFmtId="0" fontId="35" fillId="24" borderId="150" xfId="0" applyFont="1" applyFill="1" applyBorder="1" applyAlignment="1" applyProtection="1">
      <alignment horizontal="center" vertical="center"/>
      <protection locked="0"/>
    </xf>
    <xf numFmtId="0" fontId="35" fillId="24" borderId="84" xfId="0" applyFont="1" applyFill="1" applyBorder="1" applyAlignment="1" applyProtection="1">
      <alignment horizontal="center" vertical="center"/>
      <protection locked="0"/>
    </xf>
    <xf numFmtId="0" fontId="35" fillId="24" borderId="85" xfId="0" applyFont="1" applyFill="1" applyBorder="1" applyAlignment="1" applyProtection="1">
      <alignment horizontal="center" vertical="center"/>
      <protection locked="0"/>
    </xf>
    <xf numFmtId="0" fontId="35" fillId="24" borderId="52" xfId="0" applyFont="1" applyFill="1" applyBorder="1" applyAlignment="1" applyProtection="1">
      <alignment horizontal="center" vertical="center"/>
      <protection locked="0"/>
    </xf>
    <xf numFmtId="0" fontId="35" fillId="24" borderId="86" xfId="0" applyFont="1" applyFill="1" applyBorder="1" applyAlignment="1" applyProtection="1">
      <alignment horizontal="center" vertical="center"/>
      <protection locked="0"/>
    </xf>
    <xf numFmtId="0" fontId="2" fillId="2" borderId="150" xfId="0" applyFont="1" applyFill="1" applyBorder="1" applyAlignment="1" applyProtection="1">
      <alignment horizontal="center" vertical="center"/>
      <protection locked="0"/>
    </xf>
    <xf numFmtId="0" fontId="2" fillId="2" borderId="86" xfId="0" applyFont="1" applyFill="1" applyBorder="1" applyAlignment="1" applyProtection="1">
      <alignment horizontal="center" vertical="center"/>
      <protection locked="0"/>
    </xf>
    <xf numFmtId="0" fontId="31" fillId="2" borderId="168" xfId="0" applyFont="1" applyFill="1" applyBorder="1" applyAlignment="1" applyProtection="1">
      <alignment vertical="center"/>
      <protection locked="0"/>
    </xf>
    <xf numFmtId="0" fontId="13" fillId="24" borderId="169" xfId="0" applyFont="1" applyFill="1" applyBorder="1" applyAlignment="1" applyProtection="1">
      <alignment horizontal="center" vertical="center"/>
      <protection locked="0"/>
    </xf>
    <xf numFmtId="0" fontId="13" fillId="24" borderId="170" xfId="0" applyFont="1" applyFill="1" applyBorder="1" applyAlignment="1" applyProtection="1">
      <alignment horizontal="center" vertical="center"/>
      <protection locked="0"/>
    </xf>
    <xf numFmtId="0" fontId="2" fillId="2" borderId="169" xfId="0" applyFont="1" applyFill="1" applyBorder="1" applyAlignment="1" applyProtection="1">
      <alignment horizontal="center" vertical="center"/>
      <protection locked="0"/>
    </xf>
    <xf numFmtId="0" fontId="35" fillId="24" borderId="169" xfId="0" applyFont="1" applyFill="1" applyBorder="1" applyAlignment="1" applyProtection="1">
      <alignment horizontal="center" vertical="center"/>
      <protection locked="0"/>
    </xf>
    <xf numFmtId="0" fontId="35" fillId="24" borderId="70" xfId="0" applyFont="1" applyFill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165" fontId="4" fillId="6" borderId="77" xfId="0" applyNumberFormat="1" applyFont="1" applyFill="1" applyBorder="1" applyAlignment="1" applyProtection="1">
      <alignment horizontal="center" vertical="center"/>
      <protection locked="0"/>
    </xf>
    <xf numFmtId="0" fontId="10" fillId="6" borderId="33" xfId="0" applyFont="1" applyFill="1" applyBorder="1" applyAlignment="1" applyProtection="1">
      <alignment horizontal="center" vertical="center"/>
      <protection locked="0"/>
    </xf>
    <xf numFmtId="165" fontId="4" fillId="2" borderId="39" xfId="0" applyNumberFormat="1" applyFont="1" applyFill="1" applyBorder="1" applyAlignment="1" applyProtection="1">
      <alignment horizontal="center" vertical="center"/>
      <protection locked="0"/>
    </xf>
    <xf numFmtId="0" fontId="13" fillId="2" borderId="85" xfId="0" applyFont="1" applyFill="1" applyBorder="1" applyAlignment="1" applyProtection="1">
      <alignment horizontal="center" vertical="center"/>
      <protection locked="0"/>
    </xf>
    <xf numFmtId="0" fontId="13" fillId="2" borderId="84" xfId="0" applyFont="1" applyFill="1" applyBorder="1" applyAlignment="1" applyProtection="1">
      <alignment horizontal="center" vertical="center"/>
      <protection locked="0"/>
    </xf>
    <xf numFmtId="165" fontId="4" fillId="2" borderId="80" xfId="0" applyNumberFormat="1" applyFont="1" applyFill="1" applyBorder="1" applyAlignment="1" applyProtection="1">
      <alignment horizontal="center" vertical="center"/>
      <protection locked="0"/>
    </xf>
    <xf numFmtId="0" fontId="10" fillId="2" borderId="30" xfId="0" applyFont="1" applyFill="1" applyBorder="1" applyAlignment="1" applyProtection="1">
      <alignment horizontal="center" vertical="center"/>
      <protection locked="0"/>
    </xf>
    <xf numFmtId="0" fontId="10" fillId="2" borderId="33" xfId="0" applyFont="1" applyFill="1" applyBorder="1" applyAlignment="1" applyProtection="1">
      <alignment horizontal="center" vertical="center"/>
      <protection locked="0"/>
    </xf>
    <xf numFmtId="0" fontId="10" fillId="2" borderId="5" xfId="0" applyFont="1" applyFill="1" applyBorder="1" applyAlignment="1" applyProtection="1">
      <alignment horizontal="center" vertical="center"/>
      <protection locked="0"/>
    </xf>
    <xf numFmtId="0" fontId="13" fillId="2" borderId="52" xfId="0" applyFont="1" applyFill="1" applyBorder="1" applyAlignment="1" applyProtection="1">
      <alignment horizontal="center" vertical="center"/>
      <protection locked="0"/>
    </xf>
    <xf numFmtId="0" fontId="2" fillId="2" borderId="159" xfId="0" applyFont="1" applyFill="1" applyBorder="1" applyAlignment="1" applyProtection="1">
      <alignment horizontal="center" vertical="center"/>
      <protection locked="0"/>
    </xf>
    <xf numFmtId="0" fontId="4" fillId="5" borderId="161" xfId="0" applyFont="1" applyFill="1" applyBorder="1" applyAlignment="1" applyProtection="1">
      <alignment horizontal="center" vertical="center"/>
      <protection locked="0"/>
    </xf>
    <xf numFmtId="0" fontId="4" fillId="5" borderId="160" xfId="0" applyFont="1" applyFill="1" applyBorder="1" applyAlignment="1" applyProtection="1">
      <alignment horizontal="center" vertical="center"/>
      <protection locked="0"/>
    </xf>
    <xf numFmtId="0" fontId="4" fillId="5" borderId="162" xfId="0" applyFont="1" applyFill="1" applyBorder="1" applyAlignment="1" applyProtection="1">
      <alignment horizontal="center" vertical="center"/>
      <protection locked="0"/>
    </xf>
    <xf numFmtId="0" fontId="4" fillId="5" borderId="163" xfId="0" applyFont="1" applyFill="1" applyBorder="1" applyAlignment="1" applyProtection="1">
      <alignment horizontal="center" vertical="center"/>
      <protection locked="0"/>
    </xf>
    <xf numFmtId="0" fontId="4" fillId="5" borderId="159" xfId="0" applyFont="1" applyFill="1" applyBorder="1" applyAlignment="1" applyProtection="1">
      <alignment horizontal="center" vertical="center"/>
      <protection locked="0"/>
    </xf>
    <xf numFmtId="165" fontId="0" fillId="2" borderId="171" xfId="0" applyNumberFormat="1" applyFill="1" applyBorder="1" applyAlignment="1" applyProtection="1">
      <alignment horizontal="center"/>
      <protection locked="0"/>
    </xf>
    <xf numFmtId="0" fontId="2" fillId="2" borderId="172" xfId="0" applyFont="1" applyFill="1" applyBorder="1" applyAlignment="1" applyProtection="1">
      <alignment horizontal="center" vertical="center"/>
      <protection locked="0"/>
    </xf>
    <xf numFmtId="0" fontId="4" fillId="5" borderId="173" xfId="0" applyFont="1" applyFill="1" applyBorder="1" applyAlignment="1" applyProtection="1">
      <alignment horizontal="center" vertical="center"/>
      <protection locked="0"/>
    </xf>
    <xf numFmtId="0" fontId="4" fillId="5" borderId="174" xfId="0" applyFont="1" applyFill="1" applyBorder="1" applyAlignment="1" applyProtection="1">
      <alignment horizontal="center" vertical="center"/>
      <protection locked="0"/>
    </xf>
    <xf numFmtId="0" fontId="4" fillId="5" borderId="175" xfId="0" applyFont="1" applyFill="1" applyBorder="1" applyAlignment="1" applyProtection="1">
      <alignment horizontal="center" vertical="center"/>
      <protection locked="0"/>
    </xf>
    <xf numFmtId="0" fontId="2" fillId="2" borderId="174" xfId="0" applyFont="1" applyFill="1" applyBorder="1" applyAlignment="1" applyProtection="1">
      <alignment horizontal="center" vertical="center"/>
      <protection locked="0"/>
    </xf>
    <xf numFmtId="0" fontId="4" fillId="5" borderId="176" xfId="0" applyFont="1" applyFill="1" applyBorder="1" applyAlignment="1" applyProtection="1">
      <alignment horizontal="center" vertical="center"/>
      <protection locked="0"/>
    </xf>
    <xf numFmtId="0" fontId="2" fillId="2" borderId="173" xfId="0" applyFont="1" applyFill="1" applyBorder="1" applyAlignment="1" applyProtection="1">
      <alignment horizontal="center" vertical="center"/>
      <protection locked="0"/>
    </xf>
    <xf numFmtId="0" fontId="4" fillId="9" borderId="66" xfId="0" applyFont="1" applyFill="1" applyBorder="1" applyAlignment="1" applyProtection="1">
      <alignment horizontal="center" vertical="center"/>
      <protection locked="0"/>
    </xf>
    <xf numFmtId="0" fontId="4" fillId="9" borderId="169" xfId="0" applyFont="1" applyFill="1" applyBorder="1" applyAlignment="1" applyProtection="1">
      <alignment horizontal="center" vertical="center"/>
      <protection locked="0"/>
    </xf>
    <xf numFmtId="0" fontId="4" fillId="9" borderId="170" xfId="0" applyFont="1" applyFill="1" applyBorder="1" applyAlignment="1" applyProtection="1">
      <alignment horizontal="center" vertical="center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 vertical="center"/>
      <protection locked="0"/>
    </xf>
    <xf numFmtId="0" fontId="4" fillId="9" borderId="152" xfId="0" applyFont="1" applyFill="1" applyBorder="1" applyAlignment="1" applyProtection="1">
      <alignment horizontal="center" vertical="center"/>
      <protection locked="0"/>
    </xf>
    <xf numFmtId="0" fontId="4" fillId="9" borderId="67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4" fillId="2" borderId="177" xfId="0" applyFont="1" applyFill="1" applyBorder="1" applyAlignment="1" applyProtection="1">
      <alignment horizontal="center"/>
      <protection locked="0"/>
    </xf>
    <xf numFmtId="165" fontId="40" fillId="2" borderId="36" xfId="0" applyNumberFormat="1" applyFont="1" applyFill="1" applyBorder="1" applyAlignment="1" applyProtection="1">
      <alignment horizontal="center"/>
      <protection locked="0"/>
    </xf>
    <xf numFmtId="0" fontId="4" fillId="32" borderId="30" xfId="0" applyFont="1" applyFill="1" applyBorder="1" applyAlignment="1" applyProtection="1">
      <alignment horizontal="center" vertical="center"/>
      <protection locked="0"/>
    </xf>
    <xf numFmtId="0" fontId="4" fillId="32" borderId="3" xfId="0" applyFont="1" applyFill="1" applyBorder="1" applyAlignment="1" applyProtection="1">
      <alignment horizontal="center" vertical="center"/>
      <protection locked="0"/>
    </xf>
    <xf numFmtId="0" fontId="4" fillId="32" borderId="3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textRotation="90"/>
    </xf>
    <xf numFmtId="0" fontId="48" fillId="2" borderId="0" xfId="0" applyFont="1" applyFill="1" applyAlignment="1" applyProtection="1">
      <alignment textRotation="91"/>
      <protection locked="0"/>
    </xf>
    <xf numFmtId="0" fontId="0" fillId="2" borderId="0" xfId="0" applyFill="1" applyAlignment="1">
      <alignment vertical="center" textRotation="90"/>
    </xf>
    <xf numFmtId="0" fontId="25" fillId="33" borderId="0" xfId="0" applyFont="1" applyFill="1" applyAlignment="1" applyProtection="1">
      <alignment horizontal="center" vertical="center" wrapText="1"/>
      <protection locked="0"/>
    </xf>
    <xf numFmtId="0" fontId="25" fillId="2" borderId="0" xfId="0" applyFont="1" applyFill="1" applyAlignment="1" applyProtection="1">
      <alignment horizontal="center" vertical="center" wrapText="1"/>
      <protection locked="0"/>
    </xf>
    <xf numFmtId="14" fontId="31" fillId="2" borderId="0" xfId="0" applyNumberFormat="1" applyFont="1" applyFill="1" applyAlignment="1" applyProtection="1">
      <alignment horizontal="center" vertical="center" textRotation="90"/>
      <protection locked="0"/>
    </xf>
    <xf numFmtId="0" fontId="31" fillId="2" borderId="0" xfId="0" applyFont="1" applyFill="1" applyAlignment="1" applyProtection="1">
      <alignment horizontal="center" vertical="center" wrapText="1"/>
      <protection locked="0"/>
    </xf>
    <xf numFmtId="14" fontId="31" fillId="2" borderId="0" xfId="0" applyNumberFormat="1" applyFont="1" applyFill="1" applyAlignment="1" applyProtection="1">
      <alignment vertical="center" textRotation="90"/>
      <protection locked="0"/>
    </xf>
    <xf numFmtId="2" fontId="0" fillId="34" borderId="4" xfId="0" applyNumberFormat="1" applyFill="1" applyBorder="1" applyAlignment="1" applyProtection="1">
      <alignment horizontal="center"/>
      <protection locked="0"/>
    </xf>
    <xf numFmtId="2" fontId="49" fillId="35" borderId="4" xfId="0" applyNumberFormat="1" applyFont="1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  <protection locked="0"/>
    </xf>
    <xf numFmtId="2" fontId="0" fillId="35" borderId="4" xfId="0" applyNumberFormat="1" applyFill="1" applyBorder="1" applyAlignment="1" applyProtection="1">
      <alignment horizontal="center"/>
      <protection locked="0"/>
    </xf>
    <xf numFmtId="0" fontId="48" fillId="2" borderId="0" xfId="0" applyFont="1" applyFill="1" applyProtection="1">
      <protection locked="0"/>
    </xf>
    <xf numFmtId="0" fontId="31" fillId="2" borderId="0" xfId="0" applyFont="1" applyFill="1" applyAlignment="1" applyProtection="1">
      <alignment vertical="center" textRotation="90"/>
      <protection locked="0"/>
    </xf>
    <xf numFmtId="2" fontId="49" fillId="34" borderId="4" xfId="0" applyNumberFormat="1" applyFont="1" applyFill="1" applyBorder="1" applyAlignment="1" applyProtection="1">
      <alignment horizontal="center"/>
      <protection locked="0"/>
    </xf>
    <xf numFmtId="49" fontId="3" fillId="36" borderId="0" xfId="0" applyNumberFormat="1" applyFont="1" applyFill="1" applyAlignment="1" applyProtection="1">
      <alignment horizontal="center" vertical="center"/>
      <protection locked="0"/>
    </xf>
    <xf numFmtId="0" fontId="40" fillId="15" borderId="2" xfId="0" applyFont="1" applyFill="1" applyBorder="1" applyAlignment="1" applyProtection="1">
      <alignment horizontal="center"/>
      <protection locked="0"/>
    </xf>
    <xf numFmtId="0" fontId="40" fillId="15" borderId="0" xfId="0" applyFont="1" applyFill="1" applyAlignment="1" applyProtection="1">
      <alignment horizontal="center"/>
      <protection locked="0"/>
    </xf>
    <xf numFmtId="0" fontId="0" fillId="9" borderId="2" xfId="0" applyFill="1" applyBorder="1" applyProtection="1">
      <protection locked="0"/>
    </xf>
    <xf numFmtId="14" fontId="0" fillId="9" borderId="2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25" fillId="2" borderId="0" xfId="0" applyFont="1" applyFill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/>
      <protection locked="0"/>
    </xf>
    <xf numFmtId="0" fontId="25" fillId="2" borderId="75" xfId="0" applyFont="1" applyFill="1" applyBorder="1" applyAlignment="1" applyProtection="1">
      <alignment horizontal="center" vertical="center"/>
      <protection locked="0"/>
    </xf>
    <xf numFmtId="0" fontId="0" fillId="9" borderId="0" xfId="0" applyFill="1" applyProtection="1">
      <protection locked="0"/>
    </xf>
    <xf numFmtId="14" fontId="0" fillId="9" borderId="0" xfId="0" applyNumberFormat="1" applyFill="1" applyAlignment="1" applyProtection="1">
      <alignment horizontal="center"/>
      <protection locked="0"/>
    </xf>
    <xf numFmtId="169" fontId="4" fillId="2" borderId="0" xfId="0" applyNumberFormat="1" applyFont="1" applyFill="1" applyAlignment="1" applyProtection="1">
      <alignment horizontal="center"/>
      <protection locked="0"/>
    </xf>
  </cellXfs>
  <cellStyles count="1">
    <cellStyle name="Normal" xfId="0" builtinId="0"/>
  </cellStyles>
  <dxfs count="5179"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outlinePr summaryBelow="1" summaryRight="1"/>
  </sheetPr>
  <dimension ref="A1:ASU164"/>
  <sheetViews>
    <sheetView workbookViewId="0" showGridLines="0" zoomScale="80" zoomScaleNormal="80">
      <pane xSplit="3" ySplit="9" topLeftCell="OR61" activePane="bottomRight" state="frozen"/>
      <selection pane="bottomRight" activeCell="PA63" sqref="PA63"/>
    </sheetView>
  </sheetViews>
  <sheetFormatPr defaultRowHeight="15" outlineLevelRow="0" outlineLevelCol="0" x14ac:dyDescent="0" defaultColWidth="11"/>
  <cols>
    <col min="1" max="1" width="8.85546875" customWidth="1"/>
    <col min="2" max="2" width="40.85546875" customWidth="1"/>
    <col min="3" max="3" width="6.85546875" customWidth="1"/>
    <col min="4" max="5" width="5.85546875" customWidth="1"/>
    <col min="6" max="29" width="3" style="1" customWidth="1"/>
    <col min="30" max="31" width="5.85546875" style="1" customWidth="1"/>
    <col min="32" max="34" width="5.85546875" customWidth="1"/>
    <col min="35" max="58" width="3" style="1" customWidth="1"/>
    <col min="59" max="60" width="5.85546875" style="1" customWidth="1"/>
    <col min="61" max="63" width="5.85546875" customWidth="1"/>
    <col min="64" max="87" width="3" style="1" customWidth="1"/>
    <col min="88" max="89" width="5.85546875" style="1" customWidth="1"/>
    <col min="90" max="92" width="5.85546875" customWidth="1"/>
    <col min="93" max="116" width="3" style="1" customWidth="1"/>
    <col min="117" max="118" width="5.85546875" style="1" customWidth="1"/>
    <col min="119" max="121" width="5.85546875" customWidth="1"/>
    <col min="122" max="145" width="3" style="1" customWidth="1"/>
    <col min="146" max="147" width="5.85546875" style="1" customWidth="1"/>
    <col min="148" max="150" width="5.85546875" customWidth="1"/>
    <col min="151" max="174" width="3" style="1" customWidth="1"/>
    <col min="175" max="176" width="5.85546875" style="1" customWidth="1"/>
    <col min="177" max="179" width="5.85546875" customWidth="1"/>
    <col min="180" max="203" width="3" style="1" customWidth="1"/>
    <col min="204" max="205" width="5.85546875" style="1" customWidth="1"/>
    <col min="206" max="208" width="5.85546875" customWidth="1"/>
    <col min="209" max="209" width="5.85546875" style="2" customWidth="1"/>
    <col min="210" max="211" width="5.85546875" customWidth="1"/>
    <col min="212" max="235" width="3" customWidth="1"/>
    <col min="236" max="240" width="5.85546875" customWidth="1"/>
    <col min="241" max="264" width="3" customWidth="1"/>
    <col min="265" max="269" width="5.85546875" customWidth="1"/>
    <col min="270" max="293" width="3" customWidth="1"/>
    <col min="294" max="298" width="5.85546875" customWidth="1"/>
    <col min="299" max="322" width="3" customWidth="1"/>
    <col min="323" max="327" width="5.85546875" customWidth="1"/>
    <col min="328" max="351" width="3" customWidth="1"/>
    <col min="352" max="356" width="5.85546875" customWidth="1"/>
    <col min="357" max="380" width="3" style="1" customWidth="1"/>
    <col min="381" max="382" width="5.85546875" style="1" customWidth="1"/>
    <col min="383" max="385" width="5.85546875" customWidth="1"/>
    <col min="386" max="409" width="3" style="1" customWidth="1"/>
    <col min="410" max="411" width="5.85546875" style="1" customWidth="1"/>
    <col min="412" max="414" width="5.85546875" customWidth="1"/>
    <col min="415" max="415" width="5.85546875" style="2" customWidth="1"/>
    <col min="416" max="417" width="5.85546875" customWidth="1"/>
    <col min="418" max="441" width="3" customWidth="1"/>
    <col min="442" max="446" width="5.85546875" customWidth="1"/>
    <col min="447" max="470" width="3" customWidth="1"/>
    <col min="471" max="475" width="5.85546875" customWidth="1"/>
    <col min="476" max="499" width="3" customWidth="1"/>
    <col min="500" max="504" width="5.85546875" customWidth="1"/>
    <col min="505" max="528" width="3" customWidth="1"/>
    <col min="529" max="533" width="5.85546875" customWidth="1"/>
    <col min="534" max="557" width="3" customWidth="1"/>
    <col min="558" max="562" width="5.85546875" customWidth="1"/>
    <col min="563" max="586" width="3" style="1" customWidth="1"/>
    <col min="587" max="588" width="5.85546875" style="1" customWidth="1"/>
    <col min="589" max="591" width="5.85546875" customWidth="1"/>
    <col min="592" max="615" width="3" style="1" customWidth="1"/>
    <col min="616" max="617" width="5.85546875" style="1" customWidth="1"/>
    <col min="618" max="620" width="5.85546875" customWidth="1"/>
    <col min="621" max="621" width="5.85546875" style="2" customWidth="1"/>
    <col min="622" max="623" width="5.85546875" customWidth="1"/>
    <col min="624" max="647" width="3" customWidth="1"/>
    <col min="648" max="652" width="5.85546875" customWidth="1"/>
    <col min="653" max="676" width="3" customWidth="1"/>
    <col min="677" max="681" width="5.85546875" customWidth="1"/>
    <col min="682" max="705" width="3" customWidth="1"/>
    <col min="706" max="710" width="5.85546875" customWidth="1"/>
    <col min="711" max="734" width="3" customWidth="1"/>
    <col min="735" max="739" width="5.85546875" customWidth="1"/>
    <col min="740" max="763" width="3" customWidth="1"/>
    <col min="764" max="768" width="5.85546875" customWidth="1"/>
    <col min="769" max="792" width="3" style="1" customWidth="1"/>
    <col min="793" max="794" width="5.85546875" style="1" customWidth="1"/>
    <col min="795" max="797" width="5.85546875" customWidth="1"/>
    <col min="798" max="821" width="3" style="1" customWidth="1"/>
    <col min="822" max="823" width="5.85546875" style="1" customWidth="1"/>
    <col min="824" max="826" width="5.85546875" customWidth="1"/>
    <col min="827" max="827" width="5.85546875" style="2" customWidth="1"/>
    <col min="828" max="829" width="5.85546875" customWidth="1"/>
    <col min="830" max="853" width="3" customWidth="1"/>
    <col min="854" max="858" width="5.85546875" customWidth="1"/>
    <col min="859" max="882" width="3" customWidth="1"/>
    <col min="883" max="887" width="5.85546875" customWidth="1"/>
    <col min="888" max="911" width="3" customWidth="1"/>
    <col min="912" max="916" width="5.85546875" customWidth="1"/>
    <col min="917" max="940" width="3" customWidth="1"/>
    <col min="941" max="945" width="5.85546875" customWidth="1"/>
    <col min="946" max="969" width="3" customWidth="1"/>
    <col min="970" max="974" width="5.85546875" customWidth="1"/>
    <col min="975" max="998" width="3" style="1" customWidth="1"/>
    <col min="999" max="1000" width="5.85546875" style="1" customWidth="1"/>
    <col min="1001" max="1003" width="5.85546875" customWidth="1"/>
    <col min="1004" max="1027" width="3" style="1" customWidth="1"/>
    <col min="1028" max="1029" width="5.85546875" style="1" customWidth="1"/>
    <col min="1030" max="1032" width="5.85546875" customWidth="1"/>
    <col min="1033" max="1033" width="5.85546875" style="2" customWidth="1"/>
    <col min="1034" max="1048" width="5.85546875" customWidth="1"/>
    <col min="1049" max="1049" width="6.85546875" customWidth="1"/>
    <col min="1050" max="1050" width="7.85546875" customWidth="1"/>
    <col min="1051" max="1051" width="6.85546875" customWidth="1"/>
    <col min="1052" max="1052" width="9.85546875" customWidth="1"/>
  </cols>
  <sheetData>
    <row r="1" ht="15" customHeight="1" spans="1:1191" x14ac:dyDescent="0.25">
      <c r="A1" s="3" t="s">
        <v>0</v>
      </c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6" t="s">
        <v>1</v>
      </c>
      <c r="AE1" s="7"/>
      <c r="AF1" s="7"/>
      <c r="AG1" s="8"/>
      <c r="AH1" s="5"/>
      <c r="AI1" s="4"/>
      <c r="AJ1" s="4"/>
      <c r="AK1" s="4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6" t="s">
        <v>1</v>
      </c>
      <c r="BH1" s="7"/>
      <c r="BI1" s="7"/>
      <c r="BJ1" s="9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6" t="s">
        <v>1</v>
      </c>
      <c r="CK1" s="7"/>
      <c r="CL1" s="7"/>
      <c r="CM1" s="9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6" t="s">
        <v>1</v>
      </c>
      <c r="DN1" s="7"/>
      <c r="DO1" s="7"/>
      <c r="DP1" s="9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6" t="s">
        <v>1</v>
      </c>
      <c r="EQ1" s="7"/>
      <c r="ER1" s="7"/>
      <c r="ES1" s="9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6" t="s">
        <v>1</v>
      </c>
      <c r="FT1" s="7"/>
      <c r="FU1" s="7"/>
      <c r="FV1" s="9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6" t="s">
        <v>1</v>
      </c>
      <c r="GW1" s="7"/>
      <c r="GX1" s="7"/>
      <c r="GY1" s="5"/>
      <c r="GZ1" s="5"/>
      <c r="HA1" s="10"/>
      <c r="HB1" s="11"/>
      <c r="HC1" s="5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6" t="s">
        <v>1</v>
      </c>
      <c r="IC1" s="7"/>
      <c r="ID1" s="7"/>
      <c r="IE1" s="9"/>
      <c r="IF1" s="5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6" t="s">
        <v>1</v>
      </c>
      <c r="JF1" s="7"/>
      <c r="JG1" s="7"/>
      <c r="JH1" s="9"/>
      <c r="JI1" s="5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6" t="s">
        <v>1</v>
      </c>
      <c r="KI1" s="7"/>
      <c r="KJ1" s="7"/>
      <c r="KK1" s="9"/>
      <c r="KL1" s="5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6" t="s">
        <v>1</v>
      </c>
      <c r="LL1" s="7"/>
      <c r="LM1" s="7"/>
      <c r="LN1" s="9"/>
      <c r="LO1" s="5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6" t="s">
        <v>1</v>
      </c>
      <c r="MO1" s="7"/>
      <c r="MP1" s="7"/>
      <c r="MQ1" s="9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6" t="s">
        <v>1</v>
      </c>
      <c r="NR1" s="7"/>
      <c r="NS1" s="7"/>
      <c r="NT1" s="9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6" t="s">
        <v>1</v>
      </c>
      <c r="OU1" s="7"/>
      <c r="OV1" s="7"/>
      <c r="OW1" s="8"/>
      <c r="OX1" s="4"/>
      <c r="OY1" s="12"/>
      <c r="OZ1" s="13"/>
      <c r="PA1" s="5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6" t="s">
        <v>1</v>
      </c>
      <c r="QA1" s="7"/>
      <c r="QB1" s="7"/>
      <c r="QC1" s="9"/>
      <c r="QD1" s="5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6" t="s">
        <v>1</v>
      </c>
      <c r="RD1" s="7"/>
      <c r="RE1" s="7"/>
      <c r="RF1" s="9"/>
      <c r="RG1" s="5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6" t="s">
        <v>1</v>
      </c>
      <c r="SG1" s="7"/>
      <c r="SH1" s="7"/>
      <c r="SI1" s="9"/>
      <c r="SJ1" s="5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6" t="s">
        <v>1</v>
      </c>
      <c r="TJ1" s="7"/>
      <c r="TK1" s="7"/>
      <c r="TL1" s="9"/>
      <c r="TM1" s="5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  <c r="UB1" s="13"/>
      <c r="UC1" s="13"/>
      <c r="UD1" s="13"/>
      <c r="UE1" s="13"/>
      <c r="UF1" s="13"/>
      <c r="UG1" s="13"/>
      <c r="UH1" s="13"/>
      <c r="UI1" s="13"/>
      <c r="UJ1" s="13"/>
      <c r="UK1" s="13"/>
      <c r="UL1" s="6" t="s">
        <v>1</v>
      </c>
      <c r="UM1" s="7"/>
      <c r="UN1" s="7"/>
      <c r="UO1" s="9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6" t="s">
        <v>1</v>
      </c>
      <c r="VP1" s="7"/>
      <c r="VQ1" s="7"/>
      <c r="VR1" s="9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6" t="s">
        <v>1</v>
      </c>
      <c r="WS1" s="7"/>
      <c r="WT1" s="7"/>
      <c r="WU1" s="13"/>
      <c r="WV1" s="13"/>
      <c r="WW1" s="14"/>
      <c r="WX1" s="11"/>
      <c r="WY1" s="5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6" t="s">
        <v>1</v>
      </c>
      <c r="XY1" s="7"/>
      <c r="XZ1" s="7"/>
      <c r="YA1" s="9"/>
      <c r="YB1" s="5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6" t="s">
        <v>1</v>
      </c>
      <c r="ZB1" s="7"/>
      <c r="ZC1" s="7"/>
      <c r="ZD1" s="9"/>
      <c r="ZE1" s="5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  <c r="AAA1" s="11"/>
      <c r="AAB1" s="11"/>
      <c r="AAC1" s="11"/>
      <c r="AAD1" s="6" t="s">
        <v>1</v>
      </c>
      <c r="AAE1" s="7"/>
      <c r="AAF1" s="7"/>
      <c r="AAG1" s="9"/>
      <c r="AAH1" s="5"/>
      <c r="AAI1" s="11"/>
      <c r="AAJ1" s="11"/>
      <c r="AAK1" s="11"/>
      <c r="AAL1" s="11"/>
      <c r="AAM1" s="11"/>
      <c r="AAN1" s="11"/>
      <c r="AAO1" s="11"/>
      <c r="AAP1" s="11"/>
      <c r="AAQ1" s="11"/>
      <c r="AAR1" s="11"/>
      <c r="AAS1" s="11"/>
      <c r="AAT1" s="11"/>
      <c r="AAU1" s="11"/>
      <c r="AAV1" s="11"/>
      <c r="AAW1" s="11"/>
      <c r="AAX1" s="11"/>
      <c r="AAY1" s="11"/>
      <c r="AAZ1" s="11"/>
      <c r="ABA1" s="11"/>
      <c r="ABB1" s="11"/>
      <c r="ABC1" s="11"/>
      <c r="ABD1" s="11"/>
      <c r="ABE1" s="11"/>
      <c r="ABF1" s="11"/>
      <c r="ABG1" s="6" t="s">
        <v>1</v>
      </c>
      <c r="ABH1" s="7"/>
      <c r="ABI1" s="7"/>
      <c r="ABJ1" s="9"/>
      <c r="ABK1" s="5"/>
      <c r="ABL1" s="11"/>
      <c r="ABM1" s="11"/>
      <c r="ABN1" s="11"/>
      <c r="ABO1" s="11"/>
      <c r="ABP1" s="11"/>
      <c r="ABQ1" s="11"/>
      <c r="ABR1" s="11"/>
      <c r="ABS1" s="11"/>
      <c r="ABT1" s="11"/>
      <c r="ABU1" s="11"/>
      <c r="ABV1" s="11"/>
      <c r="ABW1" s="11"/>
      <c r="ABX1" s="11"/>
      <c r="ABY1" s="11"/>
      <c r="ABZ1" s="11"/>
      <c r="ACA1" s="11"/>
      <c r="ACB1" s="11"/>
      <c r="ACC1" s="11"/>
      <c r="ACD1" s="11"/>
      <c r="ACE1" s="11"/>
      <c r="ACF1" s="11"/>
      <c r="ACG1" s="11"/>
      <c r="ACH1" s="11"/>
      <c r="ACI1" s="11"/>
      <c r="ACJ1" s="6" t="s">
        <v>1</v>
      </c>
      <c r="ACK1" s="7"/>
      <c r="ACL1" s="7"/>
      <c r="ACM1" s="9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6" t="s">
        <v>1</v>
      </c>
      <c r="ADN1" s="7"/>
      <c r="ADO1" s="7"/>
      <c r="ADP1" s="9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6" t="s">
        <v>1</v>
      </c>
      <c r="AEQ1" s="7"/>
      <c r="AER1" s="7"/>
      <c r="AES1" s="11"/>
      <c r="AET1" s="11"/>
      <c r="AEU1" s="12"/>
      <c r="AEV1" s="11"/>
      <c r="AEW1" s="5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1"/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6" t="s">
        <v>1</v>
      </c>
      <c r="AFW1" s="7"/>
      <c r="AFX1" s="7"/>
      <c r="AFY1" s="9"/>
      <c r="AFZ1" s="5"/>
      <c r="AGA1" s="11"/>
      <c r="AGB1" s="11"/>
      <c r="AGC1" s="11"/>
      <c r="AGD1" s="11"/>
      <c r="AGE1" s="11"/>
      <c r="AGF1" s="11"/>
      <c r="AGG1" s="11"/>
      <c r="AGH1" s="11"/>
      <c r="AGI1" s="11"/>
      <c r="AGJ1" s="11"/>
      <c r="AGK1" s="11"/>
      <c r="AGL1" s="11"/>
      <c r="AGM1" s="11"/>
      <c r="AGN1" s="11"/>
      <c r="AGO1" s="11"/>
      <c r="AGP1" s="11"/>
      <c r="AGQ1" s="11"/>
      <c r="AGR1" s="11"/>
      <c r="AGS1" s="11"/>
      <c r="AGT1" s="11"/>
      <c r="AGU1" s="11"/>
      <c r="AGV1" s="11"/>
      <c r="AGW1" s="11"/>
      <c r="AGX1" s="11"/>
      <c r="AGY1" s="6" t="s">
        <v>1</v>
      </c>
      <c r="AGZ1" s="7"/>
      <c r="AHA1" s="7"/>
      <c r="AHB1" s="9"/>
      <c r="AHC1" s="5"/>
      <c r="AHD1" s="11"/>
      <c r="AHE1" s="11"/>
      <c r="AHF1" s="11"/>
      <c r="AHG1" s="11"/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6" t="s">
        <v>1</v>
      </c>
      <c r="AIC1" s="7"/>
      <c r="AID1" s="7"/>
      <c r="AIE1" s="9"/>
      <c r="AIF1" s="5"/>
      <c r="AIG1" s="11"/>
      <c r="AIH1" s="11"/>
      <c r="AII1" s="11"/>
      <c r="AIJ1" s="11"/>
      <c r="AIK1" s="11"/>
      <c r="AIL1" s="11"/>
      <c r="AIM1" s="11"/>
      <c r="AIN1" s="11"/>
      <c r="AIO1" s="11"/>
      <c r="AIP1" s="11"/>
      <c r="AIQ1" s="11"/>
      <c r="AIR1" s="11"/>
      <c r="AIS1" s="11"/>
      <c r="AIT1" s="11"/>
      <c r="AIU1" s="11"/>
      <c r="AIV1" s="11"/>
      <c r="AIW1" s="11"/>
      <c r="AIX1" s="11"/>
      <c r="AIY1" s="11"/>
      <c r="AIZ1" s="11"/>
      <c r="AJA1" s="11"/>
      <c r="AJB1" s="11"/>
      <c r="AJC1" s="11"/>
      <c r="AJD1" s="11"/>
      <c r="AJE1" s="6" t="s">
        <v>1</v>
      </c>
      <c r="AJF1" s="7"/>
      <c r="AJG1" s="7"/>
      <c r="AJH1" s="9"/>
      <c r="AJI1" s="5"/>
      <c r="AJJ1" s="11"/>
      <c r="AJK1" s="11"/>
      <c r="AJL1" s="11"/>
      <c r="AJM1" s="11"/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6" t="s">
        <v>1</v>
      </c>
      <c r="AKI1" s="7"/>
      <c r="AKJ1" s="7"/>
      <c r="AKK1" s="9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6" t="s">
        <v>1</v>
      </c>
      <c r="ALL1" s="7"/>
      <c r="ALM1" s="7"/>
      <c r="ALN1" s="9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6" t="s">
        <v>1</v>
      </c>
      <c r="AMO1" s="7"/>
      <c r="AMP1" s="7"/>
      <c r="AMQ1" s="11"/>
      <c r="AMR1" s="11"/>
      <c r="AMS1" s="12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</row>
    <row r="2" ht="15" customHeight="1" spans="1:1191" x14ac:dyDescent="0.25">
      <c r="A2" s="4"/>
      <c r="B2" s="4"/>
      <c r="C2" s="4"/>
      <c r="D2" s="5"/>
      <c r="E2" s="5"/>
      <c r="F2" s="15">
        <v>0.5</v>
      </c>
      <c r="G2" s="16" t="s">
        <v>2</v>
      </c>
      <c r="H2" s="5"/>
      <c r="I2" s="5"/>
      <c r="J2" s="5"/>
      <c r="K2" s="17">
        <v>0.5</v>
      </c>
      <c r="L2" s="16" t="s">
        <v>3</v>
      </c>
      <c r="M2" s="5"/>
      <c r="N2" s="5"/>
      <c r="O2" s="5"/>
      <c r="P2" s="5"/>
      <c r="Q2" s="5"/>
      <c r="R2" s="18" t="s">
        <v>4</v>
      </c>
      <c r="S2" s="16" t="s">
        <v>5</v>
      </c>
      <c r="T2" s="5"/>
      <c r="U2" s="5"/>
      <c r="V2" s="5"/>
      <c r="W2" s="19"/>
      <c r="X2" s="16" t="s">
        <v>6</v>
      </c>
      <c r="Y2" s="5"/>
      <c r="Z2" s="5"/>
      <c r="AA2" s="5"/>
      <c r="AB2" s="5"/>
      <c r="AC2" s="5"/>
      <c r="AD2" s="20">
        <v>0.5</v>
      </c>
      <c r="AE2" s="20">
        <v>3</v>
      </c>
      <c r="AF2" s="20">
        <v>5.5</v>
      </c>
      <c r="AG2" s="5"/>
      <c r="AH2" s="5"/>
      <c r="AI2" s="15">
        <v>0.5</v>
      </c>
      <c r="AJ2" s="16" t="s">
        <v>2</v>
      </c>
      <c r="AK2" s="5"/>
      <c r="AL2" s="5"/>
      <c r="AM2" s="5"/>
      <c r="AN2" s="17">
        <v>0.5</v>
      </c>
      <c r="AO2" s="16" t="s">
        <v>3</v>
      </c>
      <c r="AP2" s="5"/>
      <c r="AQ2" s="5"/>
      <c r="AR2" s="5"/>
      <c r="AS2" s="5"/>
      <c r="AT2" s="5"/>
      <c r="AU2" s="18" t="s">
        <v>4</v>
      </c>
      <c r="AV2" s="16" t="s">
        <v>5</v>
      </c>
      <c r="AW2" s="5"/>
      <c r="AX2" s="5"/>
      <c r="AY2" s="5"/>
      <c r="AZ2" s="19"/>
      <c r="BA2" s="16" t="s">
        <v>6</v>
      </c>
      <c r="BB2" s="5"/>
      <c r="BC2" s="5"/>
      <c r="BD2" s="5"/>
      <c r="BE2" s="5"/>
      <c r="BF2" s="5"/>
      <c r="BG2" s="20">
        <v>0.5</v>
      </c>
      <c r="BH2" s="20">
        <v>3</v>
      </c>
      <c r="BI2" s="20">
        <v>5.5</v>
      </c>
      <c r="BJ2" s="21"/>
      <c r="BK2" s="5"/>
      <c r="BL2" s="15">
        <v>0.5</v>
      </c>
      <c r="BM2" s="16" t="s">
        <v>2</v>
      </c>
      <c r="BN2" s="5"/>
      <c r="BO2" s="5"/>
      <c r="BP2" s="5"/>
      <c r="BQ2" s="17">
        <v>0.5</v>
      </c>
      <c r="BR2" s="16" t="s">
        <v>3</v>
      </c>
      <c r="BS2" s="5"/>
      <c r="BT2" s="5"/>
      <c r="BU2" s="5"/>
      <c r="BV2" s="5"/>
      <c r="BW2" s="5"/>
      <c r="BX2" s="18" t="s">
        <v>4</v>
      </c>
      <c r="BY2" s="16" t="s">
        <v>5</v>
      </c>
      <c r="BZ2" s="5"/>
      <c r="CA2" s="5"/>
      <c r="CB2" s="5"/>
      <c r="CC2" s="19"/>
      <c r="CD2" s="16" t="s">
        <v>6</v>
      </c>
      <c r="CE2" s="5"/>
      <c r="CF2" s="5"/>
      <c r="CG2" s="5"/>
      <c r="CH2" s="5"/>
      <c r="CI2" s="5"/>
      <c r="CJ2" s="20">
        <v>0.5</v>
      </c>
      <c r="CK2" s="20">
        <v>3</v>
      </c>
      <c r="CL2" s="20">
        <v>5.5</v>
      </c>
      <c r="CM2" s="21"/>
      <c r="CN2" s="5"/>
      <c r="CO2" s="15">
        <v>0.5</v>
      </c>
      <c r="CP2" s="16" t="s">
        <v>2</v>
      </c>
      <c r="CQ2" s="5"/>
      <c r="CR2" s="5"/>
      <c r="CS2" s="5"/>
      <c r="CT2" s="17">
        <v>0.5</v>
      </c>
      <c r="CU2" s="16" t="s">
        <v>3</v>
      </c>
      <c r="CV2" s="5"/>
      <c r="CW2" s="5"/>
      <c r="CX2" s="5"/>
      <c r="CY2" s="5"/>
      <c r="CZ2" s="5"/>
      <c r="DA2" s="18" t="s">
        <v>4</v>
      </c>
      <c r="DB2" s="16" t="s">
        <v>5</v>
      </c>
      <c r="DC2" s="5"/>
      <c r="DD2" s="5"/>
      <c r="DE2" s="5"/>
      <c r="DF2" s="19"/>
      <c r="DG2" s="16" t="s">
        <v>6</v>
      </c>
      <c r="DH2" s="5"/>
      <c r="DI2" s="5"/>
      <c r="DJ2" s="5"/>
      <c r="DK2" s="5"/>
      <c r="DL2" s="5"/>
      <c r="DM2" s="20">
        <v>0.5</v>
      </c>
      <c r="DN2" s="20">
        <v>3</v>
      </c>
      <c r="DO2" s="20">
        <v>5.5</v>
      </c>
      <c r="DP2" s="21"/>
      <c r="DQ2" s="5"/>
      <c r="DR2" s="15">
        <v>0.5</v>
      </c>
      <c r="DS2" s="16" t="s">
        <v>2</v>
      </c>
      <c r="DT2" s="5"/>
      <c r="DU2" s="5"/>
      <c r="DV2" s="5"/>
      <c r="DW2" s="17">
        <v>0.5</v>
      </c>
      <c r="DX2" s="16" t="s">
        <v>3</v>
      </c>
      <c r="DY2" s="5"/>
      <c r="DZ2" s="5"/>
      <c r="EA2" s="5"/>
      <c r="EB2" s="5"/>
      <c r="EC2" s="5"/>
      <c r="ED2" s="18" t="s">
        <v>4</v>
      </c>
      <c r="EE2" s="16" t="s">
        <v>5</v>
      </c>
      <c r="EF2" s="5"/>
      <c r="EG2" s="5"/>
      <c r="EH2" s="5"/>
      <c r="EI2" s="19"/>
      <c r="EJ2" s="16" t="s">
        <v>6</v>
      </c>
      <c r="EK2" s="5"/>
      <c r="EL2" s="5"/>
      <c r="EM2" s="5"/>
      <c r="EN2" s="5"/>
      <c r="EO2" s="5"/>
      <c r="EP2" s="20">
        <v>0.5</v>
      </c>
      <c r="EQ2" s="20">
        <v>3</v>
      </c>
      <c r="ER2" s="20">
        <v>5.5</v>
      </c>
      <c r="ES2" s="21"/>
      <c r="ET2" s="5"/>
      <c r="EU2" s="15">
        <v>0.5</v>
      </c>
      <c r="EV2" s="16" t="s">
        <v>2</v>
      </c>
      <c r="EW2" s="5"/>
      <c r="EX2" s="5"/>
      <c r="EY2" s="5"/>
      <c r="EZ2" s="17">
        <v>0.5</v>
      </c>
      <c r="FA2" s="16" t="s">
        <v>3</v>
      </c>
      <c r="FB2" s="5"/>
      <c r="FC2" s="5"/>
      <c r="FD2" s="5"/>
      <c r="FE2" s="5"/>
      <c r="FF2" s="5"/>
      <c r="FG2" s="18" t="s">
        <v>4</v>
      </c>
      <c r="FH2" s="16" t="s">
        <v>5</v>
      </c>
      <c r="FI2" s="5"/>
      <c r="FJ2" s="5"/>
      <c r="FK2" s="5"/>
      <c r="FL2" s="19"/>
      <c r="FM2" s="16" t="s">
        <v>6</v>
      </c>
      <c r="FN2" s="5"/>
      <c r="FO2" s="5"/>
      <c r="FP2" s="5"/>
      <c r="FQ2" s="5"/>
      <c r="FR2" s="5"/>
      <c r="FS2" s="20">
        <v>0.5</v>
      </c>
      <c r="FT2" s="20">
        <v>3</v>
      </c>
      <c r="FU2" s="20">
        <v>5.5</v>
      </c>
      <c r="FV2" s="21"/>
      <c r="FW2" s="5"/>
      <c r="FX2" s="15">
        <v>0.5</v>
      </c>
      <c r="FY2" s="16" t="s">
        <v>2</v>
      </c>
      <c r="FZ2" s="5"/>
      <c r="GA2" s="5"/>
      <c r="GB2" s="5"/>
      <c r="GC2" s="17">
        <v>0.5</v>
      </c>
      <c r="GD2" s="16" t="s">
        <v>3</v>
      </c>
      <c r="GE2" s="5"/>
      <c r="GF2" s="5"/>
      <c r="GG2" s="5"/>
      <c r="GH2" s="5"/>
      <c r="GI2" s="5"/>
      <c r="GJ2" s="18" t="s">
        <v>4</v>
      </c>
      <c r="GK2" s="16" t="s">
        <v>5</v>
      </c>
      <c r="GL2" s="5"/>
      <c r="GM2" s="5"/>
      <c r="GN2" s="5"/>
      <c r="GO2" s="19"/>
      <c r="GP2" s="16" t="s">
        <v>6</v>
      </c>
      <c r="GQ2" s="5"/>
      <c r="GR2" s="5"/>
      <c r="GS2" s="5"/>
      <c r="GT2" s="5"/>
      <c r="GU2" s="5"/>
      <c r="GV2" s="20">
        <v>0.5</v>
      </c>
      <c r="GW2" s="20">
        <v>3</v>
      </c>
      <c r="GX2" s="20">
        <v>5.5</v>
      </c>
      <c r="GY2" s="5"/>
      <c r="GZ2" s="5"/>
      <c r="HA2" s="22"/>
      <c r="HB2" s="11"/>
      <c r="HC2" s="5"/>
      <c r="HD2" s="15">
        <v>0.5</v>
      </c>
      <c r="HE2" s="16" t="s">
        <v>2</v>
      </c>
      <c r="HF2" s="5"/>
      <c r="HG2" s="5"/>
      <c r="HH2" s="5"/>
      <c r="HI2" s="17">
        <v>0.5</v>
      </c>
      <c r="HJ2" s="16" t="s">
        <v>3</v>
      </c>
      <c r="HK2" s="5"/>
      <c r="HL2" s="5"/>
      <c r="HM2" s="5"/>
      <c r="HN2" s="5"/>
      <c r="HO2" s="5"/>
      <c r="HP2" s="18" t="s">
        <v>4</v>
      </c>
      <c r="HQ2" s="16" t="s">
        <v>5</v>
      </c>
      <c r="HR2" s="5"/>
      <c r="HS2" s="5"/>
      <c r="HT2" s="5"/>
      <c r="HU2" s="19"/>
      <c r="HV2" s="16" t="s">
        <v>6</v>
      </c>
      <c r="HW2" s="11"/>
      <c r="HX2" s="11"/>
      <c r="HY2" s="11"/>
      <c r="HZ2" s="11"/>
      <c r="IA2" s="11"/>
      <c r="IB2" s="20">
        <v>0.5</v>
      </c>
      <c r="IC2" s="20">
        <v>3</v>
      </c>
      <c r="ID2" s="20">
        <v>5.5</v>
      </c>
      <c r="IE2" s="21"/>
      <c r="IF2" s="5"/>
      <c r="IG2" s="15">
        <v>0.5</v>
      </c>
      <c r="IH2" s="16" t="s">
        <v>2</v>
      </c>
      <c r="II2" s="5"/>
      <c r="IJ2" s="5"/>
      <c r="IK2" s="5"/>
      <c r="IL2" s="17">
        <v>0.5</v>
      </c>
      <c r="IM2" s="16" t="s">
        <v>3</v>
      </c>
      <c r="IN2" s="5"/>
      <c r="IO2" s="5"/>
      <c r="IP2" s="5"/>
      <c r="IQ2" s="5"/>
      <c r="IR2" s="5"/>
      <c r="IS2" s="18" t="s">
        <v>4</v>
      </c>
      <c r="IT2" s="16" t="s">
        <v>5</v>
      </c>
      <c r="IU2" s="5"/>
      <c r="IV2" s="5"/>
      <c r="IW2" s="5"/>
      <c r="IX2" s="19"/>
      <c r="IY2" s="16" t="s">
        <v>6</v>
      </c>
      <c r="IZ2" s="11"/>
      <c r="JA2" s="11"/>
      <c r="JB2" s="11"/>
      <c r="JC2" s="11"/>
      <c r="JD2" s="11"/>
      <c r="JE2" s="20">
        <v>0.5</v>
      </c>
      <c r="JF2" s="20">
        <v>3</v>
      </c>
      <c r="JG2" s="20">
        <v>5.5</v>
      </c>
      <c r="JH2" s="21"/>
      <c r="JI2" s="5"/>
      <c r="JJ2" s="15">
        <v>0.5</v>
      </c>
      <c r="JK2" s="16" t="s">
        <v>2</v>
      </c>
      <c r="JL2" s="5"/>
      <c r="JM2" s="5"/>
      <c r="JN2" s="5"/>
      <c r="JO2" s="17">
        <v>0.5</v>
      </c>
      <c r="JP2" s="16" t="s">
        <v>3</v>
      </c>
      <c r="JQ2" s="5"/>
      <c r="JR2" s="5"/>
      <c r="JS2" s="5"/>
      <c r="JT2" s="5"/>
      <c r="JU2" s="5"/>
      <c r="JV2" s="18" t="s">
        <v>4</v>
      </c>
      <c r="JW2" s="16" t="s">
        <v>5</v>
      </c>
      <c r="JX2" s="5"/>
      <c r="JY2" s="5"/>
      <c r="JZ2" s="5"/>
      <c r="KA2" s="19"/>
      <c r="KB2" s="16" t="s">
        <v>6</v>
      </c>
      <c r="KC2" s="11"/>
      <c r="KD2" s="11"/>
      <c r="KE2" s="11"/>
      <c r="KF2" s="11"/>
      <c r="KG2" s="11"/>
      <c r="KH2" s="20">
        <v>0.5</v>
      </c>
      <c r="KI2" s="20">
        <v>3</v>
      </c>
      <c r="KJ2" s="20">
        <v>5.5</v>
      </c>
      <c r="KK2" s="21"/>
      <c r="KL2" s="5"/>
      <c r="KM2" s="15">
        <v>0.5</v>
      </c>
      <c r="KN2" s="16" t="s">
        <v>2</v>
      </c>
      <c r="KO2" s="5"/>
      <c r="KP2" s="5"/>
      <c r="KQ2" s="5"/>
      <c r="KR2" s="17">
        <v>0.5</v>
      </c>
      <c r="KS2" s="16" t="s">
        <v>3</v>
      </c>
      <c r="KT2" s="5"/>
      <c r="KU2" s="5"/>
      <c r="KV2" s="5"/>
      <c r="KW2" s="5"/>
      <c r="KX2" s="5"/>
      <c r="KY2" s="18" t="s">
        <v>4</v>
      </c>
      <c r="KZ2" s="16" t="s">
        <v>5</v>
      </c>
      <c r="LA2" s="5"/>
      <c r="LB2" s="5"/>
      <c r="LC2" s="5"/>
      <c r="LD2" s="19"/>
      <c r="LE2" s="16" t="s">
        <v>6</v>
      </c>
      <c r="LF2" s="11"/>
      <c r="LG2" s="11"/>
      <c r="LH2" s="11"/>
      <c r="LI2" s="11"/>
      <c r="LJ2" s="11"/>
      <c r="LK2" s="20">
        <v>0.5</v>
      </c>
      <c r="LL2" s="20">
        <v>3</v>
      </c>
      <c r="LM2" s="20">
        <v>5.5</v>
      </c>
      <c r="LN2" s="21"/>
      <c r="LO2" s="5"/>
      <c r="LP2" s="15">
        <v>0.5</v>
      </c>
      <c r="LQ2" s="16" t="s">
        <v>2</v>
      </c>
      <c r="LR2" s="5"/>
      <c r="LS2" s="5"/>
      <c r="LT2" s="5"/>
      <c r="LU2" s="17">
        <v>0.5</v>
      </c>
      <c r="LV2" s="16" t="s">
        <v>3</v>
      </c>
      <c r="LW2" s="5"/>
      <c r="LX2" s="5"/>
      <c r="LY2" s="5"/>
      <c r="LZ2" s="5"/>
      <c r="MA2" s="5"/>
      <c r="MB2" s="18" t="s">
        <v>4</v>
      </c>
      <c r="MC2" s="16" t="s">
        <v>5</v>
      </c>
      <c r="MD2" s="5"/>
      <c r="ME2" s="5"/>
      <c r="MF2" s="5"/>
      <c r="MG2" s="19"/>
      <c r="MH2" s="16" t="s">
        <v>6</v>
      </c>
      <c r="MI2" s="11"/>
      <c r="MJ2" s="11"/>
      <c r="MK2" s="11"/>
      <c r="ML2" s="11"/>
      <c r="MM2" s="11"/>
      <c r="MN2" s="20">
        <v>0.5</v>
      </c>
      <c r="MO2" s="20">
        <v>3</v>
      </c>
      <c r="MP2" s="20">
        <v>5.5</v>
      </c>
      <c r="MQ2" s="21"/>
      <c r="MR2" s="5"/>
      <c r="MS2" s="15">
        <v>0.5</v>
      </c>
      <c r="MT2" s="16" t="s">
        <v>2</v>
      </c>
      <c r="MU2" s="5"/>
      <c r="MV2" s="5"/>
      <c r="MW2" s="5"/>
      <c r="MX2" s="17">
        <v>0.5</v>
      </c>
      <c r="MY2" s="16" t="s">
        <v>3</v>
      </c>
      <c r="MZ2" s="5"/>
      <c r="NA2" s="5"/>
      <c r="NB2" s="5"/>
      <c r="NC2" s="5"/>
      <c r="ND2" s="5"/>
      <c r="NE2" s="18" t="s">
        <v>4</v>
      </c>
      <c r="NF2" s="16" t="s">
        <v>5</v>
      </c>
      <c r="NG2" s="5"/>
      <c r="NH2" s="5"/>
      <c r="NI2" s="5"/>
      <c r="NJ2" s="19"/>
      <c r="NK2" s="16" t="s">
        <v>6</v>
      </c>
      <c r="NL2" s="5"/>
      <c r="NM2" s="5"/>
      <c r="NN2" s="5"/>
      <c r="NO2" s="5"/>
      <c r="NP2" s="5"/>
      <c r="NQ2" s="20">
        <v>0.5</v>
      </c>
      <c r="NR2" s="20">
        <v>3</v>
      </c>
      <c r="NS2" s="20">
        <v>5.5</v>
      </c>
      <c r="NT2" s="21"/>
      <c r="NU2" s="5"/>
      <c r="NV2" s="15">
        <v>0.5</v>
      </c>
      <c r="NW2" s="16" t="s">
        <v>2</v>
      </c>
      <c r="NX2" s="5"/>
      <c r="NY2" s="5"/>
      <c r="NZ2" s="5"/>
      <c r="OA2" s="17">
        <v>0.5</v>
      </c>
      <c r="OB2" s="16" t="s">
        <v>3</v>
      </c>
      <c r="OC2" s="5"/>
      <c r="OD2" s="5"/>
      <c r="OE2" s="5"/>
      <c r="OF2" s="5"/>
      <c r="OG2" s="5"/>
      <c r="OH2" s="18" t="s">
        <v>4</v>
      </c>
      <c r="OI2" s="16" t="s">
        <v>5</v>
      </c>
      <c r="OJ2" s="5"/>
      <c r="OK2" s="5"/>
      <c r="OL2" s="5"/>
      <c r="OM2" s="19"/>
      <c r="ON2" s="16" t="s">
        <v>6</v>
      </c>
      <c r="OO2" s="5"/>
      <c r="OP2" s="5"/>
      <c r="OQ2" s="5"/>
      <c r="OR2" s="5"/>
      <c r="OS2" s="5"/>
      <c r="OT2" s="20">
        <v>0.5</v>
      </c>
      <c r="OU2" s="20">
        <v>3</v>
      </c>
      <c r="OV2" s="20">
        <v>5.5</v>
      </c>
      <c r="OW2" s="11"/>
      <c r="OX2" s="11"/>
      <c r="OY2" s="12"/>
      <c r="OZ2" s="13"/>
      <c r="PA2" s="5"/>
      <c r="PB2" s="15">
        <v>0.5</v>
      </c>
      <c r="PC2" s="16" t="s">
        <v>2</v>
      </c>
      <c r="PD2" s="5"/>
      <c r="PE2" s="5"/>
      <c r="PF2" s="5"/>
      <c r="PG2" s="17">
        <v>0.5</v>
      </c>
      <c r="PH2" s="16" t="s">
        <v>3</v>
      </c>
      <c r="PI2" s="5"/>
      <c r="PJ2" s="5"/>
      <c r="PK2" s="5"/>
      <c r="PL2" s="5"/>
      <c r="PM2" s="5"/>
      <c r="PN2" s="18" t="s">
        <v>4</v>
      </c>
      <c r="PO2" s="16" t="s">
        <v>5</v>
      </c>
      <c r="PP2" s="5"/>
      <c r="PQ2" s="5"/>
      <c r="PR2" s="5"/>
      <c r="PS2" s="19"/>
      <c r="PT2" s="16" t="s">
        <v>6</v>
      </c>
      <c r="PU2" s="13"/>
      <c r="PV2" s="13"/>
      <c r="PW2" s="13"/>
      <c r="PX2" s="13"/>
      <c r="PY2" s="13"/>
      <c r="PZ2" s="20">
        <v>0.5</v>
      </c>
      <c r="QA2" s="20">
        <v>3</v>
      </c>
      <c r="QB2" s="20">
        <v>5.5</v>
      </c>
      <c r="QC2" s="21"/>
      <c r="QD2" s="5"/>
      <c r="QE2" s="15">
        <v>0.5</v>
      </c>
      <c r="QF2" s="16" t="s">
        <v>2</v>
      </c>
      <c r="QG2" s="5"/>
      <c r="QH2" s="5"/>
      <c r="QI2" s="5"/>
      <c r="QJ2" s="17">
        <v>0.5</v>
      </c>
      <c r="QK2" s="16" t="s">
        <v>3</v>
      </c>
      <c r="QL2" s="5"/>
      <c r="QM2" s="5"/>
      <c r="QN2" s="5"/>
      <c r="QO2" s="5"/>
      <c r="QP2" s="5"/>
      <c r="QQ2" s="18" t="s">
        <v>4</v>
      </c>
      <c r="QR2" s="16" t="s">
        <v>5</v>
      </c>
      <c r="QS2" s="5"/>
      <c r="QT2" s="5"/>
      <c r="QU2" s="5"/>
      <c r="QV2" s="19"/>
      <c r="QW2" s="16" t="s">
        <v>6</v>
      </c>
      <c r="QX2" s="13"/>
      <c r="QY2" s="13"/>
      <c r="QZ2" s="13"/>
      <c r="RA2" s="13"/>
      <c r="RB2" s="13"/>
      <c r="RC2" s="20">
        <v>0.5</v>
      </c>
      <c r="RD2" s="20">
        <v>3</v>
      </c>
      <c r="RE2" s="20">
        <v>5.5</v>
      </c>
      <c r="RF2" s="21"/>
      <c r="RG2" s="5"/>
      <c r="RH2" s="15">
        <v>0.5</v>
      </c>
      <c r="RI2" s="16" t="s">
        <v>2</v>
      </c>
      <c r="RJ2" s="5"/>
      <c r="RK2" s="5"/>
      <c r="RL2" s="5"/>
      <c r="RM2" s="17">
        <v>0.5</v>
      </c>
      <c r="RN2" s="16" t="s">
        <v>3</v>
      </c>
      <c r="RO2" s="5"/>
      <c r="RP2" s="5"/>
      <c r="RQ2" s="5"/>
      <c r="RR2" s="5"/>
      <c r="RS2" s="5"/>
      <c r="RT2" s="18" t="s">
        <v>4</v>
      </c>
      <c r="RU2" s="16" t="s">
        <v>5</v>
      </c>
      <c r="RV2" s="5"/>
      <c r="RW2" s="5"/>
      <c r="RX2" s="5"/>
      <c r="RY2" s="19"/>
      <c r="RZ2" s="16" t="s">
        <v>6</v>
      </c>
      <c r="SA2" s="13"/>
      <c r="SB2" s="13"/>
      <c r="SC2" s="13"/>
      <c r="SD2" s="13"/>
      <c r="SE2" s="13"/>
      <c r="SF2" s="20">
        <v>0.5</v>
      </c>
      <c r="SG2" s="20">
        <v>3</v>
      </c>
      <c r="SH2" s="20">
        <v>5.5</v>
      </c>
      <c r="SI2" s="21"/>
      <c r="SJ2" s="5"/>
      <c r="SK2" s="15">
        <v>0.5</v>
      </c>
      <c r="SL2" s="16" t="s">
        <v>2</v>
      </c>
      <c r="SM2" s="5"/>
      <c r="SN2" s="5"/>
      <c r="SO2" s="5"/>
      <c r="SP2" s="17">
        <v>0.5</v>
      </c>
      <c r="SQ2" s="16" t="s">
        <v>3</v>
      </c>
      <c r="SR2" s="5"/>
      <c r="SS2" s="5"/>
      <c r="ST2" s="5"/>
      <c r="SU2" s="5"/>
      <c r="SV2" s="5"/>
      <c r="SW2" s="18" t="s">
        <v>4</v>
      </c>
      <c r="SX2" s="16" t="s">
        <v>5</v>
      </c>
      <c r="SY2" s="5"/>
      <c r="SZ2" s="5"/>
      <c r="TA2" s="5"/>
      <c r="TB2" s="19"/>
      <c r="TC2" s="16" t="s">
        <v>6</v>
      </c>
      <c r="TD2" s="13"/>
      <c r="TE2" s="13"/>
      <c r="TF2" s="13"/>
      <c r="TG2" s="13"/>
      <c r="TH2" s="13"/>
      <c r="TI2" s="20">
        <v>0.5</v>
      </c>
      <c r="TJ2" s="20">
        <v>3</v>
      </c>
      <c r="TK2" s="20">
        <v>5.5</v>
      </c>
      <c r="TL2" s="21"/>
      <c r="TM2" s="5"/>
      <c r="TN2" s="15">
        <v>0.5</v>
      </c>
      <c r="TO2" s="16" t="s">
        <v>2</v>
      </c>
      <c r="TP2" s="5"/>
      <c r="TQ2" s="5"/>
      <c r="TR2" s="5"/>
      <c r="TS2" s="17">
        <v>0.5</v>
      </c>
      <c r="TT2" s="16" t="s">
        <v>3</v>
      </c>
      <c r="TU2" s="5"/>
      <c r="TV2" s="5"/>
      <c r="TW2" s="5"/>
      <c r="TX2" s="5"/>
      <c r="TY2" s="5"/>
      <c r="TZ2" s="18" t="s">
        <v>4</v>
      </c>
      <c r="UA2" s="16" t="s">
        <v>5</v>
      </c>
      <c r="UB2" s="5"/>
      <c r="UC2" s="5"/>
      <c r="UD2" s="5"/>
      <c r="UE2" s="19"/>
      <c r="UF2" s="16" t="s">
        <v>6</v>
      </c>
      <c r="UG2" s="13"/>
      <c r="UH2" s="13"/>
      <c r="UI2" s="13"/>
      <c r="UJ2" s="13"/>
      <c r="UK2" s="13"/>
      <c r="UL2" s="20">
        <v>0.5</v>
      </c>
      <c r="UM2" s="20">
        <v>3</v>
      </c>
      <c r="UN2" s="20">
        <v>5.5</v>
      </c>
      <c r="UO2" s="21"/>
      <c r="UP2" s="5"/>
      <c r="UQ2" s="15">
        <v>0.5</v>
      </c>
      <c r="UR2" s="16" t="s">
        <v>2</v>
      </c>
      <c r="US2" s="5"/>
      <c r="UT2" s="5"/>
      <c r="UU2" s="5"/>
      <c r="UV2" s="17">
        <v>0.5</v>
      </c>
      <c r="UW2" s="16" t="s">
        <v>3</v>
      </c>
      <c r="UX2" s="5"/>
      <c r="UY2" s="5"/>
      <c r="UZ2" s="5"/>
      <c r="VA2" s="5"/>
      <c r="VB2" s="5"/>
      <c r="VC2" s="18" t="s">
        <v>4</v>
      </c>
      <c r="VD2" s="16" t="s">
        <v>5</v>
      </c>
      <c r="VE2" s="5"/>
      <c r="VF2" s="5"/>
      <c r="VG2" s="5"/>
      <c r="VH2" s="19"/>
      <c r="VI2" s="16" t="s">
        <v>6</v>
      </c>
      <c r="VJ2" s="5"/>
      <c r="VK2" s="5"/>
      <c r="VL2" s="5"/>
      <c r="VM2" s="5"/>
      <c r="VN2" s="5"/>
      <c r="VO2" s="20">
        <v>0.5</v>
      </c>
      <c r="VP2" s="20">
        <v>3</v>
      </c>
      <c r="VQ2" s="20">
        <v>5.5</v>
      </c>
      <c r="VR2" s="21"/>
      <c r="VS2" s="5"/>
      <c r="VT2" s="15">
        <v>0.5</v>
      </c>
      <c r="VU2" s="16" t="s">
        <v>2</v>
      </c>
      <c r="VV2" s="5"/>
      <c r="VW2" s="5"/>
      <c r="VX2" s="5"/>
      <c r="VY2" s="17">
        <v>0.5</v>
      </c>
      <c r="VZ2" s="16" t="s">
        <v>3</v>
      </c>
      <c r="WA2" s="5"/>
      <c r="WB2" s="5"/>
      <c r="WC2" s="5"/>
      <c r="WD2" s="5"/>
      <c r="WE2" s="5"/>
      <c r="WF2" s="18" t="s">
        <v>4</v>
      </c>
      <c r="WG2" s="16" t="s">
        <v>5</v>
      </c>
      <c r="WH2" s="5"/>
      <c r="WI2" s="5"/>
      <c r="WJ2" s="5"/>
      <c r="WK2" s="19"/>
      <c r="WL2" s="16" t="s">
        <v>6</v>
      </c>
      <c r="WM2" s="5"/>
      <c r="WN2" s="5"/>
      <c r="WO2" s="5"/>
      <c r="WP2" s="5"/>
      <c r="WQ2" s="5"/>
      <c r="WR2" s="20">
        <v>0.5</v>
      </c>
      <c r="WS2" s="20">
        <v>3</v>
      </c>
      <c r="WT2" s="20">
        <v>5.5</v>
      </c>
      <c r="WU2" s="13"/>
      <c r="WV2" s="13"/>
      <c r="WW2" s="14"/>
      <c r="WX2" s="11"/>
      <c r="WY2" s="5"/>
      <c r="WZ2" s="15">
        <v>0.5</v>
      </c>
      <c r="XA2" s="16" t="s">
        <v>2</v>
      </c>
      <c r="XB2" s="5"/>
      <c r="XC2" s="5"/>
      <c r="XD2" s="5"/>
      <c r="XE2" s="17">
        <v>0.5</v>
      </c>
      <c r="XF2" s="16" t="s">
        <v>3</v>
      </c>
      <c r="XG2" s="5"/>
      <c r="XH2" s="5"/>
      <c r="XI2" s="5"/>
      <c r="XJ2" s="5"/>
      <c r="XK2" s="5"/>
      <c r="XL2" s="18" t="s">
        <v>4</v>
      </c>
      <c r="XM2" s="16" t="s">
        <v>5</v>
      </c>
      <c r="XN2" s="5"/>
      <c r="XO2" s="5"/>
      <c r="XP2" s="5"/>
      <c r="XQ2" s="19"/>
      <c r="XR2" s="16" t="s">
        <v>6</v>
      </c>
      <c r="XS2" s="11"/>
      <c r="XT2" s="11"/>
      <c r="XU2" s="11"/>
      <c r="XV2" s="11"/>
      <c r="XW2" s="11"/>
      <c r="XX2" s="20">
        <v>0.5</v>
      </c>
      <c r="XY2" s="20">
        <v>3</v>
      </c>
      <c r="XZ2" s="20">
        <v>5.5</v>
      </c>
      <c r="YA2" s="21"/>
      <c r="YB2" s="5"/>
      <c r="YC2" s="15">
        <v>0.5</v>
      </c>
      <c r="YD2" s="16" t="s">
        <v>2</v>
      </c>
      <c r="YE2" s="5"/>
      <c r="YF2" s="5"/>
      <c r="YG2" s="5"/>
      <c r="YH2" s="17">
        <v>0.5</v>
      </c>
      <c r="YI2" s="16" t="s">
        <v>3</v>
      </c>
      <c r="YJ2" s="5"/>
      <c r="YK2" s="5"/>
      <c r="YL2" s="5"/>
      <c r="YM2" s="5"/>
      <c r="YN2" s="5"/>
      <c r="YO2" s="18" t="s">
        <v>4</v>
      </c>
      <c r="YP2" s="16" t="s">
        <v>5</v>
      </c>
      <c r="YQ2" s="5"/>
      <c r="YR2" s="5"/>
      <c r="YS2" s="5"/>
      <c r="YT2" s="19"/>
      <c r="YU2" s="16" t="s">
        <v>6</v>
      </c>
      <c r="YV2" s="11"/>
      <c r="YW2" s="11"/>
      <c r="YX2" s="11"/>
      <c r="YY2" s="11"/>
      <c r="YZ2" s="11"/>
      <c r="ZA2" s="20">
        <v>0.5</v>
      </c>
      <c r="ZB2" s="20">
        <v>3</v>
      </c>
      <c r="ZC2" s="20">
        <v>5.5</v>
      </c>
      <c r="ZD2" s="21"/>
      <c r="ZE2" s="5"/>
      <c r="ZF2" s="15">
        <v>0.5</v>
      </c>
      <c r="ZG2" s="16" t="s">
        <v>2</v>
      </c>
      <c r="ZH2" s="5"/>
      <c r="ZI2" s="5"/>
      <c r="ZJ2" s="5"/>
      <c r="ZK2" s="17">
        <v>0.5</v>
      </c>
      <c r="ZL2" s="16" t="s">
        <v>3</v>
      </c>
      <c r="ZM2" s="5"/>
      <c r="ZN2" s="5"/>
      <c r="ZO2" s="5"/>
      <c r="ZP2" s="5"/>
      <c r="ZQ2" s="5"/>
      <c r="ZR2" s="18" t="s">
        <v>4</v>
      </c>
      <c r="ZS2" s="16" t="s">
        <v>5</v>
      </c>
      <c r="ZT2" s="5"/>
      <c r="ZU2" s="5"/>
      <c r="ZV2" s="5"/>
      <c r="ZW2" s="19"/>
      <c r="ZX2" s="16" t="s">
        <v>6</v>
      </c>
      <c r="ZY2" s="11"/>
      <c r="ZZ2" s="11"/>
      <c r="AAA2" s="11"/>
      <c r="AAB2" s="11"/>
      <c r="AAC2" s="11"/>
      <c r="AAD2" s="20">
        <v>0.5</v>
      </c>
      <c r="AAE2" s="20">
        <v>3</v>
      </c>
      <c r="AAF2" s="20">
        <v>5.5</v>
      </c>
      <c r="AAG2" s="21"/>
      <c r="AAH2" s="5"/>
      <c r="AAI2" s="15">
        <v>0.5</v>
      </c>
      <c r="AAJ2" s="16" t="s">
        <v>2</v>
      </c>
      <c r="AAK2" s="5"/>
      <c r="AAL2" s="5"/>
      <c r="AAM2" s="5"/>
      <c r="AAN2" s="17">
        <v>0.5</v>
      </c>
      <c r="AAO2" s="16" t="s">
        <v>3</v>
      </c>
      <c r="AAP2" s="5"/>
      <c r="AAQ2" s="5"/>
      <c r="AAR2" s="5"/>
      <c r="AAS2" s="5"/>
      <c r="AAT2" s="5"/>
      <c r="AAU2" s="18" t="s">
        <v>4</v>
      </c>
      <c r="AAV2" s="16" t="s">
        <v>5</v>
      </c>
      <c r="AAW2" s="5"/>
      <c r="AAX2" s="5"/>
      <c r="AAY2" s="5"/>
      <c r="AAZ2" s="19"/>
      <c r="ABA2" s="16" t="s">
        <v>6</v>
      </c>
      <c r="ABB2" s="11"/>
      <c r="ABC2" s="11"/>
      <c r="ABD2" s="11"/>
      <c r="ABE2" s="11"/>
      <c r="ABF2" s="11"/>
      <c r="ABG2" s="20">
        <v>0.5</v>
      </c>
      <c r="ABH2" s="20">
        <v>3</v>
      </c>
      <c r="ABI2" s="20">
        <v>5.5</v>
      </c>
      <c r="ABJ2" s="21"/>
      <c r="ABK2" s="5"/>
      <c r="ABL2" s="15">
        <v>0.5</v>
      </c>
      <c r="ABM2" s="16" t="s">
        <v>2</v>
      </c>
      <c r="ABN2" s="5"/>
      <c r="ABO2" s="5"/>
      <c r="ABP2" s="5"/>
      <c r="ABQ2" s="17">
        <v>0.5</v>
      </c>
      <c r="ABR2" s="16" t="s">
        <v>3</v>
      </c>
      <c r="ABS2" s="5"/>
      <c r="ABT2" s="5"/>
      <c r="ABU2" s="5"/>
      <c r="ABV2" s="5"/>
      <c r="ABW2" s="5"/>
      <c r="ABX2" s="18" t="s">
        <v>4</v>
      </c>
      <c r="ABY2" s="16" t="s">
        <v>5</v>
      </c>
      <c r="ABZ2" s="5"/>
      <c r="ACA2" s="5"/>
      <c r="ACB2" s="5"/>
      <c r="ACC2" s="19"/>
      <c r="ACD2" s="16" t="s">
        <v>6</v>
      </c>
      <c r="ACE2" s="11"/>
      <c r="ACF2" s="11"/>
      <c r="ACG2" s="11"/>
      <c r="ACH2" s="11"/>
      <c r="ACI2" s="11"/>
      <c r="ACJ2" s="20">
        <v>0.5</v>
      </c>
      <c r="ACK2" s="20">
        <v>3</v>
      </c>
      <c r="ACL2" s="20">
        <v>5.5</v>
      </c>
      <c r="ACM2" s="21"/>
      <c r="ACN2" s="5"/>
      <c r="ACO2" s="15">
        <v>0.5</v>
      </c>
      <c r="ACP2" s="16" t="s">
        <v>2</v>
      </c>
      <c r="ACQ2" s="5"/>
      <c r="ACR2" s="5"/>
      <c r="ACS2" s="5"/>
      <c r="ACT2" s="17">
        <v>0.5</v>
      </c>
      <c r="ACU2" s="16" t="s">
        <v>3</v>
      </c>
      <c r="ACV2" s="5"/>
      <c r="ACW2" s="5"/>
      <c r="ACX2" s="5"/>
      <c r="ACY2" s="5"/>
      <c r="ACZ2" s="5"/>
      <c r="ADA2" s="18" t="s">
        <v>4</v>
      </c>
      <c r="ADB2" s="16" t="s">
        <v>5</v>
      </c>
      <c r="ADC2" s="5"/>
      <c r="ADD2" s="5"/>
      <c r="ADE2" s="5"/>
      <c r="ADF2" s="19"/>
      <c r="ADG2" s="16" t="s">
        <v>6</v>
      </c>
      <c r="ADH2" s="5"/>
      <c r="ADI2" s="5"/>
      <c r="ADJ2" s="5"/>
      <c r="ADK2" s="5"/>
      <c r="ADL2" s="5"/>
      <c r="ADM2" s="20">
        <v>0.5</v>
      </c>
      <c r="ADN2" s="20">
        <v>3</v>
      </c>
      <c r="ADO2" s="20">
        <v>5.5</v>
      </c>
      <c r="ADP2" s="21"/>
      <c r="ADQ2" s="5"/>
      <c r="ADR2" s="15">
        <v>0.5</v>
      </c>
      <c r="ADS2" s="16" t="s">
        <v>2</v>
      </c>
      <c r="ADT2" s="5"/>
      <c r="ADU2" s="5"/>
      <c r="ADV2" s="5"/>
      <c r="ADW2" s="17">
        <v>0.5</v>
      </c>
      <c r="ADX2" s="16" t="s">
        <v>3</v>
      </c>
      <c r="ADY2" s="5"/>
      <c r="ADZ2" s="5"/>
      <c r="AEA2" s="5"/>
      <c r="AEB2" s="5"/>
      <c r="AEC2" s="5"/>
      <c r="AED2" s="18" t="s">
        <v>4</v>
      </c>
      <c r="AEE2" s="16" t="s">
        <v>5</v>
      </c>
      <c r="AEF2" s="5"/>
      <c r="AEG2" s="5"/>
      <c r="AEH2" s="5"/>
      <c r="AEI2" s="19"/>
      <c r="AEJ2" s="16" t="s">
        <v>6</v>
      </c>
      <c r="AEK2" s="5"/>
      <c r="AEL2" s="5"/>
      <c r="AEM2" s="5"/>
      <c r="AEN2" s="5"/>
      <c r="AEO2" s="5"/>
      <c r="AEP2" s="20">
        <v>0.5</v>
      </c>
      <c r="AEQ2" s="20">
        <v>3</v>
      </c>
      <c r="AER2" s="20">
        <v>5.5</v>
      </c>
      <c r="AES2" s="11"/>
      <c r="AET2" s="11"/>
      <c r="AEU2" s="12"/>
      <c r="AEV2" s="11"/>
      <c r="AEW2" s="5"/>
      <c r="AEX2" s="15">
        <v>0.5</v>
      </c>
      <c r="AEY2" s="16" t="s">
        <v>2</v>
      </c>
      <c r="AEZ2" s="5"/>
      <c r="AFA2" s="5"/>
      <c r="AFB2" s="5"/>
      <c r="AFC2" s="17">
        <v>0.5</v>
      </c>
      <c r="AFD2" s="16" t="s">
        <v>3</v>
      </c>
      <c r="AFE2" s="5"/>
      <c r="AFF2" s="5"/>
      <c r="AFG2" s="5"/>
      <c r="AFH2" s="5"/>
      <c r="AFI2" s="5"/>
      <c r="AFJ2" s="18" t="s">
        <v>4</v>
      </c>
      <c r="AFK2" s="16" t="s">
        <v>5</v>
      </c>
      <c r="AFL2" s="5"/>
      <c r="AFM2" s="5"/>
      <c r="AFN2" s="5"/>
      <c r="AFO2" s="19"/>
      <c r="AFP2" s="16" t="s">
        <v>6</v>
      </c>
      <c r="AFQ2" s="11"/>
      <c r="AFR2" s="11"/>
      <c r="AFS2" s="11"/>
      <c r="AFT2" s="11"/>
      <c r="AFU2" s="11"/>
      <c r="AFV2" s="20">
        <v>0.5</v>
      </c>
      <c r="AFW2" s="20">
        <v>3</v>
      </c>
      <c r="AFX2" s="20">
        <v>5.5</v>
      </c>
      <c r="AFY2" s="21"/>
      <c r="AFZ2" s="5"/>
      <c r="AGA2" s="15">
        <v>0.5</v>
      </c>
      <c r="AGB2" s="16" t="s">
        <v>2</v>
      </c>
      <c r="AGC2" s="5"/>
      <c r="AGD2" s="5"/>
      <c r="AGE2" s="5"/>
      <c r="AGF2" s="17">
        <v>0.5</v>
      </c>
      <c r="AGG2" s="16" t="s">
        <v>3</v>
      </c>
      <c r="AGH2" s="5"/>
      <c r="AGI2" s="5"/>
      <c r="AGJ2" s="5"/>
      <c r="AGK2" s="5"/>
      <c r="AGL2" s="5"/>
      <c r="AGM2" s="18" t="s">
        <v>4</v>
      </c>
      <c r="AGN2" s="16" t="s">
        <v>5</v>
      </c>
      <c r="AGO2" s="5"/>
      <c r="AGP2" s="5"/>
      <c r="AGQ2" s="5"/>
      <c r="AGR2" s="19"/>
      <c r="AGS2" s="16" t="s">
        <v>6</v>
      </c>
      <c r="AGT2" s="11"/>
      <c r="AGU2" s="11"/>
      <c r="AGV2" s="11"/>
      <c r="AGW2" s="11"/>
      <c r="AGX2" s="11"/>
      <c r="AGY2" s="20">
        <v>0.5</v>
      </c>
      <c r="AGZ2" s="20">
        <v>3</v>
      </c>
      <c r="AHA2" s="20">
        <v>5.5</v>
      </c>
      <c r="AHB2" s="21"/>
      <c r="AHC2" s="5"/>
      <c r="AHD2" s="15">
        <v>0.5</v>
      </c>
      <c r="AHE2" s="16" t="s">
        <v>2</v>
      </c>
      <c r="AHF2" s="5"/>
      <c r="AHG2" s="5"/>
      <c r="AHH2" s="5"/>
      <c r="AHI2" s="17">
        <v>0.5</v>
      </c>
      <c r="AHJ2" s="16" t="s">
        <v>3</v>
      </c>
      <c r="AHK2" s="5"/>
      <c r="AHL2" s="5"/>
      <c r="AHM2" s="5"/>
      <c r="AHN2" s="5"/>
      <c r="AHO2" s="5"/>
      <c r="AHP2" s="18" t="s">
        <v>4</v>
      </c>
      <c r="AHQ2" s="16" t="s">
        <v>5</v>
      </c>
      <c r="AHR2" s="5"/>
      <c r="AHS2" s="5"/>
      <c r="AHT2" s="5"/>
      <c r="AHU2" s="19"/>
      <c r="AHV2" s="16" t="s">
        <v>6</v>
      </c>
      <c r="AHW2" s="11"/>
      <c r="AHX2" s="11"/>
      <c r="AHY2" s="11"/>
      <c r="AHZ2" s="11"/>
      <c r="AIA2" s="11"/>
      <c r="AIB2" s="20">
        <v>0.5</v>
      </c>
      <c r="AIC2" s="20">
        <v>3</v>
      </c>
      <c r="AID2" s="20">
        <v>5.5</v>
      </c>
      <c r="AIE2" s="21"/>
      <c r="AIF2" s="5"/>
      <c r="AIG2" s="15">
        <v>0.5</v>
      </c>
      <c r="AIH2" s="16" t="s">
        <v>2</v>
      </c>
      <c r="AII2" s="5"/>
      <c r="AIJ2" s="5"/>
      <c r="AIK2" s="5"/>
      <c r="AIL2" s="17">
        <v>0.5</v>
      </c>
      <c r="AIM2" s="16" t="s">
        <v>3</v>
      </c>
      <c r="AIN2" s="5"/>
      <c r="AIO2" s="5"/>
      <c r="AIP2" s="5"/>
      <c r="AIQ2" s="5"/>
      <c r="AIR2" s="5"/>
      <c r="AIS2" s="18" t="s">
        <v>4</v>
      </c>
      <c r="AIT2" s="16" t="s">
        <v>5</v>
      </c>
      <c r="AIU2" s="5"/>
      <c r="AIV2" s="5"/>
      <c r="AIW2" s="5"/>
      <c r="AIX2" s="19"/>
      <c r="AIY2" s="16" t="s">
        <v>6</v>
      </c>
      <c r="AIZ2" s="11"/>
      <c r="AJA2" s="11"/>
      <c r="AJB2" s="11"/>
      <c r="AJC2" s="11"/>
      <c r="AJD2" s="11"/>
      <c r="AJE2" s="20">
        <v>0.5</v>
      </c>
      <c r="AJF2" s="20">
        <v>3</v>
      </c>
      <c r="AJG2" s="20">
        <v>5.5</v>
      </c>
      <c r="AJH2" s="21"/>
      <c r="AJI2" s="5"/>
      <c r="AJJ2" s="15">
        <v>0.5</v>
      </c>
      <c r="AJK2" s="16" t="s">
        <v>2</v>
      </c>
      <c r="AJL2" s="5"/>
      <c r="AJM2" s="5"/>
      <c r="AJN2" s="5"/>
      <c r="AJO2" s="17">
        <v>0.5</v>
      </c>
      <c r="AJP2" s="16" t="s">
        <v>3</v>
      </c>
      <c r="AJQ2" s="5"/>
      <c r="AJR2" s="5"/>
      <c r="AJS2" s="5"/>
      <c r="AJT2" s="5"/>
      <c r="AJU2" s="5"/>
      <c r="AJV2" s="18" t="s">
        <v>4</v>
      </c>
      <c r="AJW2" s="16" t="s">
        <v>5</v>
      </c>
      <c r="AJX2" s="5"/>
      <c r="AJY2" s="5"/>
      <c r="AJZ2" s="5"/>
      <c r="AKA2" s="19"/>
      <c r="AKB2" s="16" t="s">
        <v>6</v>
      </c>
      <c r="AKC2" s="11"/>
      <c r="AKD2" s="11"/>
      <c r="AKE2" s="11"/>
      <c r="AKF2" s="11"/>
      <c r="AKG2" s="11"/>
      <c r="AKH2" s="20">
        <v>0.5</v>
      </c>
      <c r="AKI2" s="20">
        <v>3</v>
      </c>
      <c r="AKJ2" s="20">
        <v>5.5</v>
      </c>
      <c r="AKK2" s="21"/>
      <c r="AKL2" s="5"/>
      <c r="AKM2" s="15">
        <v>0.5</v>
      </c>
      <c r="AKN2" s="16" t="s">
        <v>2</v>
      </c>
      <c r="AKO2" s="5"/>
      <c r="AKP2" s="5"/>
      <c r="AKQ2" s="5"/>
      <c r="AKR2" s="17">
        <v>0.5</v>
      </c>
      <c r="AKS2" s="16" t="s">
        <v>3</v>
      </c>
      <c r="AKT2" s="5"/>
      <c r="AKU2" s="5"/>
      <c r="AKV2" s="5"/>
      <c r="AKW2" s="5"/>
      <c r="AKX2" s="5"/>
      <c r="AKY2" s="18" t="s">
        <v>4</v>
      </c>
      <c r="AKZ2" s="16" t="s">
        <v>5</v>
      </c>
      <c r="ALA2" s="5"/>
      <c r="ALB2" s="5"/>
      <c r="ALC2" s="5"/>
      <c r="ALD2" s="19"/>
      <c r="ALE2" s="16" t="s">
        <v>6</v>
      </c>
      <c r="ALF2" s="5"/>
      <c r="ALG2" s="5"/>
      <c r="ALH2" s="5"/>
      <c r="ALI2" s="5"/>
      <c r="ALJ2" s="5"/>
      <c r="ALK2" s="20">
        <v>0.5</v>
      </c>
      <c r="ALL2" s="20">
        <v>3</v>
      </c>
      <c r="ALM2" s="20">
        <v>5.5</v>
      </c>
      <c r="ALN2" s="21"/>
      <c r="ALO2" s="5"/>
      <c r="ALP2" s="15">
        <v>0.5</v>
      </c>
      <c r="ALQ2" s="16" t="s">
        <v>2</v>
      </c>
      <c r="ALR2" s="5"/>
      <c r="ALS2" s="5"/>
      <c r="ALT2" s="5"/>
      <c r="ALU2" s="17">
        <v>0.5</v>
      </c>
      <c r="ALV2" s="16" t="s">
        <v>3</v>
      </c>
      <c r="ALW2" s="5"/>
      <c r="ALX2" s="5"/>
      <c r="ALY2" s="5"/>
      <c r="ALZ2" s="5"/>
      <c r="AMA2" s="5"/>
      <c r="AMB2" s="18" t="s">
        <v>4</v>
      </c>
      <c r="AMC2" s="16" t="s">
        <v>5</v>
      </c>
      <c r="AMD2" s="5"/>
      <c r="AME2" s="5"/>
      <c r="AMF2" s="5"/>
      <c r="AMG2" s="19"/>
      <c r="AMH2" s="16" t="s">
        <v>6</v>
      </c>
      <c r="AMI2" s="5"/>
      <c r="AMJ2" s="5"/>
      <c r="AMK2" s="5"/>
      <c r="AML2" s="5"/>
      <c r="AMM2" s="5"/>
      <c r="AMN2" s="20">
        <v>0.5</v>
      </c>
      <c r="AMO2" s="20">
        <v>3</v>
      </c>
      <c r="AMP2" s="20">
        <v>5.5</v>
      </c>
      <c r="AMQ2" s="11"/>
      <c r="AMR2" s="11"/>
      <c r="AMS2" s="12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</row>
    <row r="3" ht="15" customHeight="1" spans="1:1191" x14ac:dyDescent="0.25">
      <c r="A3" s="23"/>
      <c r="B3" s="4"/>
      <c r="C3" s="4"/>
      <c r="D3" s="5"/>
      <c r="E3" s="5"/>
      <c r="F3" s="24">
        <v>0.5</v>
      </c>
      <c r="G3" s="16" t="s">
        <v>7</v>
      </c>
      <c r="H3" s="5"/>
      <c r="I3" s="5"/>
      <c r="J3" s="5"/>
      <c r="K3" s="25">
        <v>0.5</v>
      </c>
      <c r="L3" s="16" t="s">
        <v>8</v>
      </c>
      <c r="M3" s="5"/>
      <c r="N3" s="5"/>
      <c r="O3" s="5"/>
      <c r="P3" s="5"/>
      <c r="Q3" s="5"/>
      <c r="R3" s="26" t="s">
        <v>9</v>
      </c>
      <c r="S3" s="16" t="s">
        <v>10</v>
      </c>
      <c r="T3" s="5"/>
      <c r="U3" s="5"/>
      <c r="V3" s="5"/>
      <c r="W3" s="27"/>
      <c r="X3" s="16" t="s">
        <v>11</v>
      </c>
      <c r="Y3" s="5"/>
      <c r="Z3" s="5"/>
      <c r="AA3" s="5"/>
      <c r="AB3" s="5"/>
      <c r="AC3" s="5"/>
      <c r="AD3" s="20">
        <v>1</v>
      </c>
      <c r="AE3" s="20">
        <v>3.5</v>
      </c>
      <c r="AF3" s="20">
        <v>6</v>
      </c>
      <c r="AG3" s="5"/>
      <c r="AH3" s="5"/>
      <c r="AI3" s="24">
        <v>0.5</v>
      </c>
      <c r="AJ3" s="16" t="s">
        <v>7</v>
      </c>
      <c r="AK3" s="5"/>
      <c r="AL3" s="5"/>
      <c r="AM3" s="5"/>
      <c r="AN3" s="25">
        <v>0.5</v>
      </c>
      <c r="AO3" s="16" t="s">
        <v>8</v>
      </c>
      <c r="AP3" s="5"/>
      <c r="AQ3" s="5"/>
      <c r="AR3" s="5"/>
      <c r="AS3" s="5"/>
      <c r="AT3" s="5"/>
      <c r="AU3" s="26" t="s">
        <v>9</v>
      </c>
      <c r="AV3" s="16" t="s">
        <v>10</v>
      </c>
      <c r="AW3" s="5"/>
      <c r="AX3" s="5"/>
      <c r="AY3" s="5"/>
      <c r="AZ3" s="27"/>
      <c r="BA3" s="16" t="s">
        <v>11</v>
      </c>
      <c r="BB3" s="5"/>
      <c r="BC3" s="5"/>
      <c r="BD3" s="5"/>
      <c r="BE3" s="5"/>
      <c r="BF3" s="5"/>
      <c r="BG3" s="20">
        <v>1</v>
      </c>
      <c r="BH3" s="20">
        <v>3.5</v>
      </c>
      <c r="BI3" s="20">
        <v>6</v>
      </c>
      <c r="BJ3" s="21"/>
      <c r="BK3" s="5"/>
      <c r="BL3" s="24">
        <v>0.5</v>
      </c>
      <c r="BM3" s="16" t="s">
        <v>7</v>
      </c>
      <c r="BN3" s="5"/>
      <c r="BO3" s="5"/>
      <c r="BP3" s="5"/>
      <c r="BQ3" s="25">
        <v>0.5</v>
      </c>
      <c r="BR3" s="16" t="s">
        <v>8</v>
      </c>
      <c r="BS3" s="5"/>
      <c r="BT3" s="5"/>
      <c r="BU3" s="5"/>
      <c r="BV3" s="5"/>
      <c r="BW3" s="5"/>
      <c r="BX3" s="26" t="s">
        <v>9</v>
      </c>
      <c r="BY3" s="16" t="s">
        <v>10</v>
      </c>
      <c r="BZ3" s="5"/>
      <c r="CA3" s="5"/>
      <c r="CB3" s="5"/>
      <c r="CC3" s="27"/>
      <c r="CD3" s="16" t="s">
        <v>11</v>
      </c>
      <c r="CE3" s="5"/>
      <c r="CF3" s="5"/>
      <c r="CG3" s="5"/>
      <c r="CH3" s="5"/>
      <c r="CI3" s="5"/>
      <c r="CJ3" s="20">
        <v>1</v>
      </c>
      <c r="CK3" s="20">
        <v>3.5</v>
      </c>
      <c r="CL3" s="20">
        <v>6</v>
      </c>
      <c r="CM3" s="21"/>
      <c r="CN3" s="5"/>
      <c r="CO3" s="24">
        <v>0.5</v>
      </c>
      <c r="CP3" s="16" t="s">
        <v>7</v>
      </c>
      <c r="CQ3" s="5"/>
      <c r="CR3" s="5"/>
      <c r="CS3" s="5"/>
      <c r="CT3" s="25">
        <v>0.5</v>
      </c>
      <c r="CU3" s="16" t="s">
        <v>8</v>
      </c>
      <c r="CV3" s="5"/>
      <c r="CW3" s="5"/>
      <c r="CX3" s="5"/>
      <c r="CY3" s="5"/>
      <c r="CZ3" s="5"/>
      <c r="DA3" s="26" t="s">
        <v>9</v>
      </c>
      <c r="DB3" s="16" t="s">
        <v>10</v>
      </c>
      <c r="DC3" s="5"/>
      <c r="DD3" s="5"/>
      <c r="DE3" s="5"/>
      <c r="DF3" s="27"/>
      <c r="DG3" s="16" t="s">
        <v>11</v>
      </c>
      <c r="DH3" s="5"/>
      <c r="DI3" s="5"/>
      <c r="DJ3" s="5"/>
      <c r="DK3" s="5"/>
      <c r="DL3" s="5"/>
      <c r="DM3" s="20">
        <v>1</v>
      </c>
      <c r="DN3" s="20">
        <v>3.5</v>
      </c>
      <c r="DO3" s="20">
        <v>6</v>
      </c>
      <c r="DP3" s="21"/>
      <c r="DQ3" s="5"/>
      <c r="DR3" s="24">
        <v>0.5</v>
      </c>
      <c r="DS3" s="16" t="s">
        <v>7</v>
      </c>
      <c r="DT3" s="5"/>
      <c r="DU3" s="5"/>
      <c r="DV3" s="5"/>
      <c r="DW3" s="25">
        <v>0.5</v>
      </c>
      <c r="DX3" s="16" t="s">
        <v>8</v>
      </c>
      <c r="DY3" s="5"/>
      <c r="DZ3" s="5"/>
      <c r="EA3" s="5"/>
      <c r="EB3" s="5"/>
      <c r="EC3" s="5"/>
      <c r="ED3" s="26" t="s">
        <v>9</v>
      </c>
      <c r="EE3" s="16" t="s">
        <v>10</v>
      </c>
      <c r="EF3" s="5"/>
      <c r="EG3" s="5"/>
      <c r="EH3" s="5"/>
      <c r="EI3" s="27"/>
      <c r="EJ3" s="16" t="s">
        <v>11</v>
      </c>
      <c r="EK3" s="5"/>
      <c r="EL3" s="5"/>
      <c r="EM3" s="5"/>
      <c r="EN3" s="5"/>
      <c r="EO3" s="5"/>
      <c r="EP3" s="20">
        <v>1</v>
      </c>
      <c r="EQ3" s="20">
        <v>3.5</v>
      </c>
      <c r="ER3" s="20">
        <v>6</v>
      </c>
      <c r="ES3" s="21"/>
      <c r="ET3" s="5"/>
      <c r="EU3" s="24">
        <v>0.5</v>
      </c>
      <c r="EV3" s="16" t="s">
        <v>7</v>
      </c>
      <c r="EW3" s="5"/>
      <c r="EX3" s="5"/>
      <c r="EY3" s="5"/>
      <c r="EZ3" s="25">
        <v>0.5</v>
      </c>
      <c r="FA3" s="16" t="s">
        <v>8</v>
      </c>
      <c r="FB3" s="5"/>
      <c r="FC3" s="5"/>
      <c r="FD3" s="5"/>
      <c r="FE3" s="5"/>
      <c r="FF3" s="5"/>
      <c r="FG3" s="26" t="s">
        <v>9</v>
      </c>
      <c r="FH3" s="16" t="s">
        <v>10</v>
      </c>
      <c r="FI3" s="5"/>
      <c r="FJ3" s="5"/>
      <c r="FK3" s="5"/>
      <c r="FL3" s="27"/>
      <c r="FM3" s="16" t="s">
        <v>11</v>
      </c>
      <c r="FN3" s="5"/>
      <c r="FO3" s="5"/>
      <c r="FP3" s="5"/>
      <c r="FQ3" s="5"/>
      <c r="FR3" s="5"/>
      <c r="FS3" s="20">
        <v>1</v>
      </c>
      <c r="FT3" s="20">
        <v>3.5</v>
      </c>
      <c r="FU3" s="20">
        <v>6</v>
      </c>
      <c r="FV3" s="21"/>
      <c r="FW3" s="5"/>
      <c r="FX3" s="24">
        <v>0.5</v>
      </c>
      <c r="FY3" s="16" t="s">
        <v>7</v>
      </c>
      <c r="FZ3" s="5"/>
      <c r="GA3" s="5"/>
      <c r="GB3" s="5"/>
      <c r="GC3" s="25">
        <v>0.5</v>
      </c>
      <c r="GD3" s="16" t="s">
        <v>8</v>
      </c>
      <c r="GE3" s="5"/>
      <c r="GF3" s="5"/>
      <c r="GG3" s="5"/>
      <c r="GH3" s="5"/>
      <c r="GI3" s="5"/>
      <c r="GJ3" s="26" t="s">
        <v>9</v>
      </c>
      <c r="GK3" s="16" t="s">
        <v>10</v>
      </c>
      <c r="GL3" s="5"/>
      <c r="GM3" s="5"/>
      <c r="GN3" s="5"/>
      <c r="GO3" s="27"/>
      <c r="GP3" s="16" t="s">
        <v>11</v>
      </c>
      <c r="GQ3" s="5"/>
      <c r="GR3" s="5"/>
      <c r="GS3" s="5"/>
      <c r="GT3" s="5"/>
      <c r="GU3" s="5"/>
      <c r="GV3" s="20">
        <v>1</v>
      </c>
      <c r="GW3" s="20">
        <v>3.5</v>
      </c>
      <c r="GX3" s="20">
        <v>6</v>
      </c>
      <c r="GY3" s="5"/>
      <c r="GZ3" s="5"/>
      <c r="HA3" s="22"/>
      <c r="HB3" s="11"/>
      <c r="HC3" s="5"/>
      <c r="HD3" s="24">
        <v>0.5</v>
      </c>
      <c r="HE3" s="16" t="s">
        <v>7</v>
      </c>
      <c r="HF3" s="5"/>
      <c r="HG3" s="5"/>
      <c r="HH3" s="5"/>
      <c r="HI3" s="25">
        <v>0.5</v>
      </c>
      <c r="HJ3" s="16" t="s">
        <v>8</v>
      </c>
      <c r="HK3" s="5"/>
      <c r="HL3" s="5"/>
      <c r="HM3" s="5"/>
      <c r="HN3" s="5"/>
      <c r="HO3" s="5"/>
      <c r="HP3" s="26" t="s">
        <v>9</v>
      </c>
      <c r="HQ3" s="16" t="s">
        <v>10</v>
      </c>
      <c r="HR3" s="5"/>
      <c r="HS3" s="5"/>
      <c r="HT3" s="5"/>
      <c r="HU3" s="27"/>
      <c r="HV3" s="16" t="s">
        <v>11</v>
      </c>
      <c r="HW3" s="11"/>
      <c r="HX3" s="11"/>
      <c r="HY3" s="11"/>
      <c r="HZ3" s="11"/>
      <c r="IA3" s="11"/>
      <c r="IB3" s="20">
        <v>1</v>
      </c>
      <c r="IC3" s="20">
        <v>3.5</v>
      </c>
      <c r="ID3" s="20">
        <v>6</v>
      </c>
      <c r="IE3" s="21"/>
      <c r="IF3" s="5"/>
      <c r="IG3" s="24">
        <v>0.5</v>
      </c>
      <c r="IH3" s="16" t="s">
        <v>7</v>
      </c>
      <c r="II3" s="5"/>
      <c r="IJ3" s="5"/>
      <c r="IK3" s="5"/>
      <c r="IL3" s="25">
        <v>0.5</v>
      </c>
      <c r="IM3" s="16" t="s">
        <v>8</v>
      </c>
      <c r="IN3" s="5"/>
      <c r="IO3" s="5"/>
      <c r="IP3" s="5"/>
      <c r="IQ3" s="5"/>
      <c r="IR3" s="5"/>
      <c r="IS3" s="26" t="s">
        <v>9</v>
      </c>
      <c r="IT3" s="16" t="s">
        <v>10</v>
      </c>
      <c r="IU3" s="5"/>
      <c r="IV3" s="5"/>
      <c r="IW3" s="5"/>
      <c r="IX3" s="27"/>
      <c r="IY3" s="16" t="s">
        <v>11</v>
      </c>
      <c r="IZ3" s="11"/>
      <c r="JA3" s="11"/>
      <c r="JB3" s="11"/>
      <c r="JC3" s="11"/>
      <c r="JD3" s="11"/>
      <c r="JE3" s="20">
        <v>1</v>
      </c>
      <c r="JF3" s="20">
        <v>3.5</v>
      </c>
      <c r="JG3" s="20">
        <v>6</v>
      </c>
      <c r="JH3" s="21"/>
      <c r="JI3" s="5"/>
      <c r="JJ3" s="24">
        <v>0.5</v>
      </c>
      <c r="JK3" s="16" t="s">
        <v>7</v>
      </c>
      <c r="JL3" s="5"/>
      <c r="JM3" s="5"/>
      <c r="JN3" s="5"/>
      <c r="JO3" s="25">
        <v>0.5</v>
      </c>
      <c r="JP3" s="16" t="s">
        <v>8</v>
      </c>
      <c r="JQ3" s="5"/>
      <c r="JR3" s="5"/>
      <c r="JS3" s="5"/>
      <c r="JT3" s="5"/>
      <c r="JU3" s="5"/>
      <c r="JV3" s="26" t="s">
        <v>9</v>
      </c>
      <c r="JW3" s="16" t="s">
        <v>10</v>
      </c>
      <c r="JX3" s="5"/>
      <c r="JY3" s="5"/>
      <c r="JZ3" s="5"/>
      <c r="KA3" s="27"/>
      <c r="KB3" s="16" t="s">
        <v>11</v>
      </c>
      <c r="KC3" s="11"/>
      <c r="KD3" s="11"/>
      <c r="KE3" s="11"/>
      <c r="KF3" s="11"/>
      <c r="KG3" s="11"/>
      <c r="KH3" s="20">
        <v>1</v>
      </c>
      <c r="KI3" s="20">
        <v>3.5</v>
      </c>
      <c r="KJ3" s="20">
        <v>6</v>
      </c>
      <c r="KK3" s="21"/>
      <c r="KL3" s="5"/>
      <c r="KM3" s="24">
        <v>0.5</v>
      </c>
      <c r="KN3" s="16" t="s">
        <v>7</v>
      </c>
      <c r="KO3" s="5"/>
      <c r="KP3" s="5"/>
      <c r="KQ3" s="5"/>
      <c r="KR3" s="25">
        <v>0.5</v>
      </c>
      <c r="KS3" s="16" t="s">
        <v>8</v>
      </c>
      <c r="KT3" s="5"/>
      <c r="KU3" s="5"/>
      <c r="KV3" s="5"/>
      <c r="KW3" s="5"/>
      <c r="KX3" s="5"/>
      <c r="KY3" s="26" t="s">
        <v>9</v>
      </c>
      <c r="KZ3" s="16" t="s">
        <v>10</v>
      </c>
      <c r="LA3" s="5"/>
      <c r="LB3" s="5"/>
      <c r="LC3" s="5"/>
      <c r="LD3" s="27"/>
      <c r="LE3" s="16" t="s">
        <v>11</v>
      </c>
      <c r="LF3" s="11"/>
      <c r="LG3" s="11"/>
      <c r="LH3" s="11"/>
      <c r="LI3" s="11"/>
      <c r="LJ3" s="11"/>
      <c r="LK3" s="20">
        <v>1</v>
      </c>
      <c r="LL3" s="20">
        <v>3.5</v>
      </c>
      <c r="LM3" s="20">
        <v>6</v>
      </c>
      <c r="LN3" s="21"/>
      <c r="LO3" s="5"/>
      <c r="LP3" s="24">
        <v>0.5</v>
      </c>
      <c r="LQ3" s="16" t="s">
        <v>7</v>
      </c>
      <c r="LR3" s="5"/>
      <c r="LS3" s="5"/>
      <c r="LT3" s="5"/>
      <c r="LU3" s="25">
        <v>0.5</v>
      </c>
      <c r="LV3" s="16" t="s">
        <v>8</v>
      </c>
      <c r="LW3" s="5"/>
      <c r="LX3" s="5"/>
      <c r="LY3" s="5"/>
      <c r="LZ3" s="5"/>
      <c r="MA3" s="5"/>
      <c r="MB3" s="26" t="s">
        <v>9</v>
      </c>
      <c r="MC3" s="16" t="s">
        <v>10</v>
      </c>
      <c r="MD3" s="5"/>
      <c r="ME3" s="5"/>
      <c r="MF3" s="5"/>
      <c r="MG3" s="27"/>
      <c r="MH3" s="16" t="s">
        <v>11</v>
      </c>
      <c r="MI3" s="11"/>
      <c r="MJ3" s="11"/>
      <c r="MK3" s="11"/>
      <c r="ML3" s="11"/>
      <c r="MM3" s="11"/>
      <c r="MN3" s="20">
        <v>1</v>
      </c>
      <c r="MO3" s="20">
        <v>3.5</v>
      </c>
      <c r="MP3" s="20">
        <v>6</v>
      </c>
      <c r="MQ3" s="21"/>
      <c r="MR3" s="5"/>
      <c r="MS3" s="24">
        <v>0.5</v>
      </c>
      <c r="MT3" s="16" t="s">
        <v>7</v>
      </c>
      <c r="MU3" s="5"/>
      <c r="MV3" s="5"/>
      <c r="MW3" s="5"/>
      <c r="MX3" s="25">
        <v>0.5</v>
      </c>
      <c r="MY3" s="16" t="s">
        <v>8</v>
      </c>
      <c r="MZ3" s="5"/>
      <c r="NA3" s="5"/>
      <c r="NB3" s="5"/>
      <c r="NC3" s="5"/>
      <c r="ND3" s="5"/>
      <c r="NE3" s="26" t="s">
        <v>9</v>
      </c>
      <c r="NF3" s="16" t="s">
        <v>10</v>
      </c>
      <c r="NG3" s="5"/>
      <c r="NH3" s="5"/>
      <c r="NI3" s="5"/>
      <c r="NJ3" s="27"/>
      <c r="NK3" s="16" t="s">
        <v>11</v>
      </c>
      <c r="NL3" s="5"/>
      <c r="NM3" s="5"/>
      <c r="NN3" s="5"/>
      <c r="NO3" s="5"/>
      <c r="NP3" s="5"/>
      <c r="NQ3" s="20">
        <v>1</v>
      </c>
      <c r="NR3" s="20">
        <v>3.5</v>
      </c>
      <c r="NS3" s="20">
        <v>6</v>
      </c>
      <c r="NT3" s="21"/>
      <c r="NU3" s="5"/>
      <c r="NV3" s="24">
        <v>0.5</v>
      </c>
      <c r="NW3" s="16" t="s">
        <v>7</v>
      </c>
      <c r="NX3" s="5"/>
      <c r="NY3" s="5"/>
      <c r="NZ3" s="5"/>
      <c r="OA3" s="25">
        <v>0.5</v>
      </c>
      <c r="OB3" s="16" t="s">
        <v>8</v>
      </c>
      <c r="OC3" s="5"/>
      <c r="OD3" s="5"/>
      <c r="OE3" s="5"/>
      <c r="OF3" s="5"/>
      <c r="OG3" s="5"/>
      <c r="OH3" s="26" t="s">
        <v>9</v>
      </c>
      <c r="OI3" s="16" t="s">
        <v>10</v>
      </c>
      <c r="OJ3" s="5"/>
      <c r="OK3" s="5"/>
      <c r="OL3" s="5"/>
      <c r="OM3" s="27"/>
      <c r="ON3" s="16" t="s">
        <v>11</v>
      </c>
      <c r="OO3" s="5"/>
      <c r="OP3" s="5"/>
      <c r="OQ3" s="5"/>
      <c r="OR3" s="5"/>
      <c r="OS3" s="5"/>
      <c r="OT3" s="20">
        <v>1</v>
      </c>
      <c r="OU3" s="20">
        <v>3.5</v>
      </c>
      <c r="OV3" s="20">
        <v>6</v>
      </c>
      <c r="OW3" s="11"/>
      <c r="OX3" s="11"/>
      <c r="OY3" s="12"/>
      <c r="OZ3" s="13"/>
      <c r="PA3" s="5"/>
      <c r="PB3" s="24">
        <v>0.5</v>
      </c>
      <c r="PC3" s="16" t="s">
        <v>7</v>
      </c>
      <c r="PD3" s="5"/>
      <c r="PE3" s="5"/>
      <c r="PF3" s="5"/>
      <c r="PG3" s="25">
        <v>0.5</v>
      </c>
      <c r="PH3" s="16" t="s">
        <v>8</v>
      </c>
      <c r="PI3" s="5"/>
      <c r="PJ3" s="5"/>
      <c r="PK3" s="5"/>
      <c r="PL3" s="5"/>
      <c r="PM3" s="5"/>
      <c r="PN3" s="26" t="s">
        <v>9</v>
      </c>
      <c r="PO3" s="16" t="s">
        <v>10</v>
      </c>
      <c r="PP3" s="5"/>
      <c r="PQ3" s="5"/>
      <c r="PR3" s="5"/>
      <c r="PS3" s="27"/>
      <c r="PT3" s="16" t="s">
        <v>11</v>
      </c>
      <c r="PU3" s="13"/>
      <c r="PV3" s="13"/>
      <c r="PW3" s="13"/>
      <c r="PX3" s="13"/>
      <c r="PY3" s="13"/>
      <c r="PZ3" s="20">
        <v>1</v>
      </c>
      <c r="QA3" s="20">
        <v>3.5</v>
      </c>
      <c r="QB3" s="20">
        <v>6</v>
      </c>
      <c r="QC3" s="21"/>
      <c r="QD3" s="5"/>
      <c r="QE3" s="24">
        <v>0.5</v>
      </c>
      <c r="QF3" s="16" t="s">
        <v>7</v>
      </c>
      <c r="QG3" s="5"/>
      <c r="QH3" s="5"/>
      <c r="QI3" s="5"/>
      <c r="QJ3" s="25">
        <v>0.5</v>
      </c>
      <c r="QK3" s="16" t="s">
        <v>8</v>
      </c>
      <c r="QL3" s="5"/>
      <c r="QM3" s="5"/>
      <c r="QN3" s="5"/>
      <c r="QO3" s="5"/>
      <c r="QP3" s="5"/>
      <c r="QQ3" s="26" t="s">
        <v>9</v>
      </c>
      <c r="QR3" s="16" t="s">
        <v>10</v>
      </c>
      <c r="QS3" s="5"/>
      <c r="QT3" s="5"/>
      <c r="QU3" s="5"/>
      <c r="QV3" s="27"/>
      <c r="QW3" s="16" t="s">
        <v>11</v>
      </c>
      <c r="QX3" s="13"/>
      <c r="QY3" s="13"/>
      <c r="QZ3" s="13"/>
      <c r="RA3" s="13"/>
      <c r="RB3" s="13"/>
      <c r="RC3" s="20">
        <v>1</v>
      </c>
      <c r="RD3" s="20">
        <v>3.5</v>
      </c>
      <c r="RE3" s="20">
        <v>6</v>
      </c>
      <c r="RF3" s="21"/>
      <c r="RG3" s="5"/>
      <c r="RH3" s="24">
        <v>0.5</v>
      </c>
      <c r="RI3" s="16" t="s">
        <v>7</v>
      </c>
      <c r="RJ3" s="5"/>
      <c r="RK3" s="5"/>
      <c r="RL3" s="5"/>
      <c r="RM3" s="25">
        <v>0.5</v>
      </c>
      <c r="RN3" s="16" t="s">
        <v>8</v>
      </c>
      <c r="RO3" s="5"/>
      <c r="RP3" s="5"/>
      <c r="RQ3" s="5"/>
      <c r="RR3" s="5"/>
      <c r="RS3" s="5"/>
      <c r="RT3" s="26" t="s">
        <v>9</v>
      </c>
      <c r="RU3" s="16" t="s">
        <v>10</v>
      </c>
      <c r="RV3" s="5"/>
      <c r="RW3" s="5"/>
      <c r="RX3" s="5"/>
      <c r="RY3" s="27"/>
      <c r="RZ3" s="16" t="s">
        <v>11</v>
      </c>
      <c r="SA3" s="13"/>
      <c r="SB3" s="13"/>
      <c r="SC3" s="13"/>
      <c r="SD3" s="13"/>
      <c r="SE3" s="13"/>
      <c r="SF3" s="20">
        <v>1</v>
      </c>
      <c r="SG3" s="20">
        <v>3.5</v>
      </c>
      <c r="SH3" s="20">
        <v>6</v>
      </c>
      <c r="SI3" s="21"/>
      <c r="SJ3" s="5"/>
      <c r="SK3" s="24">
        <v>0.5</v>
      </c>
      <c r="SL3" s="16" t="s">
        <v>7</v>
      </c>
      <c r="SM3" s="5"/>
      <c r="SN3" s="5"/>
      <c r="SO3" s="5"/>
      <c r="SP3" s="25">
        <v>0.5</v>
      </c>
      <c r="SQ3" s="16" t="s">
        <v>8</v>
      </c>
      <c r="SR3" s="5"/>
      <c r="SS3" s="5"/>
      <c r="ST3" s="5"/>
      <c r="SU3" s="5"/>
      <c r="SV3" s="5"/>
      <c r="SW3" s="26" t="s">
        <v>9</v>
      </c>
      <c r="SX3" s="16" t="s">
        <v>10</v>
      </c>
      <c r="SY3" s="5"/>
      <c r="SZ3" s="5"/>
      <c r="TA3" s="5"/>
      <c r="TB3" s="27"/>
      <c r="TC3" s="16" t="s">
        <v>11</v>
      </c>
      <c r="TD3" s="13"/>
      <c r="TE3" s="13"/>
      <c r="TF3" s="13"/>
      <c r="TG3" s="13"/>
      <c r="TH3" s="13"/>
      <c r="TI3" s="20">
        <v>1</v>
      </c>
      <c r="TJ3" s="20">
        <v>3.5</v>
      </c>
      <c r="TK3" s="20">
        <v>6</v>
      </c>
      <c r="TL3" s="21"/>
      <c r="TM3" s="5"/>
      <c r="TN3" s="24">
        <v>0.5</v>
      </c>
      <c r="TO3" s="16" t="s">
        <v>7</v>
      </c>
      <c r="TP3" s="5"/>
      <c r="TQ3" s="5"/>
      <c r="TR3" s="5"/>
      <c r="TS3" s="25">
        <v>0.5</v>
      </c>
      <c r="TT3" s="16" t="s">
        <v>8</v>
      </c>
      <c r="TU3" s="5"/>
      <c r="TV3" s="5"/>
      <c r="TW3" s="5"/>
      <c r="TX3" s="5"/>
      <c r="TY3" s="5"/>
      <c r="TZ3" s="26" t="s">
        <v>9</v>
      </c>
      <c r="UA3" s="16" t="s">
        <v>10</v>
      </c>
      <c r="UB3" s="5"/>
      <c r="UC3" s="5"/>
      <c r="UD3" s="5"/>
      <c r="UE3" s="27"/>
      <c r="UF3" s="16" t="s">
        <v>11</v>
      </c>
      <c r="UG3" s="13"/>
      <c r="UH3" s="13"/>
      <c r="UI3" s="13"/>
      <c r="UJ3" s="13"/>
      <c r="UK3" s="13"/>
      <c r="UL3" s="20">
        <v>1</v>
      </c>
      <c r="UM3" s="20">
        <v>3.5</v>
      </c>
      <c r="UN3" s="20">
        <v>6</v>
      </c>
      <c r="UO3" s="21"/>
      <c r="UP3" s="5"/>
      <c r="UQ3" s="24">
        <v>0.5</v>
      </c>
      <c r="UR3" s="16" t="s">
        <v>7</v>
      </c>
      <c r="US3" s="5"/>
      <c r="UT3" s="5"/>
      <c r="UU3" s="5"/>
      <c r="UV3" s="25">
        <v>0.5</v>
      </c>
      <c r="UW3" s="16" t="s">
        <v>8</v>
      </c>
      <c r="UX3" s="5"/>
      <c r="UY3" s="5"/>
      <c r="UZ3" s="5"/>
      <c r="VA3" s="5"/>
      <c r="VB3" s="5"/>
      <c r="VC3" s="26" t="s">
        <v>9</v>
      </c>
      <c r="VD3" s="16" t="s">
        <v>10</v>
      </c>
      <c r="VE3" s="5"/>
      <c r="VF3" s="5"/>
      <c r="VG3" s="5"/>
      <c r="VH3" s="27"/>
      <c r="VI3" s="16" t="s">
        <v>11</v>
      </c>
      <c r="VJ3" s="5"/>
      <c r="VK3" s="5"/>
      <c r="VL3" s="5"/>
      <c r="VM3" s="5"/>
      <c r="VN3" s="5"/>
      <c r="VO3" s="20">
        <v>1</v>
      </c>
      <c r="VP3" s="20">
        <v>3.5</v>
      </c>
      <c r="VQ3" s="20">
        <v>6</v>
      </c>
      <c r="VR3" s="21"/>
      <c r="VS3" s="5"/>
      <c r="VT3" s="24">
        <v>0.5</v>
      </c>
      <c r="VU3" s="16" t="s">
        <v>7</v>
      </c>
      <c r="VV3" s="5"/>
      <c r="VW3" s="5"/>
      <c r="VX3" s="5"/>
      <c r="VY3" s="25">
        <v>0.5</v>
      </c>
      <c r="VZ3" s="16" t="s">
        <v>8</v>
      </c>
      <c r="WA3" s="5"/>
      <c r="WB3" s="5"/>
      <c r="WC3" s="5"/>
      <c r="WD3" s="5"/>
      <c r="WE3" s="5"/>
      <c r="WF3" s="26" t="s">
        <v>9</v>
      </c>
      <c r="WG3" s="16" t="s">
        <v>10</v>
      </c>
      <c r="WH3" s="5"/>
      <c r="WI3" s="5"/>
      <c r="WJ3" s="5"/>
      <c r="WK3" s="27"/>
      <c r="WL3" s="16" t="s">
        <v>11</v>
      </c>
      <c r="WM3" s="5"/>
      <c r="WN3" s="5"/>
      <c r="WO3" s="5"/>
      <c r="WP3" s="5"/>
      <c r="WQ3" s="5"/>
      <c r="WR3" s="20">
        <v>1</v>
      </c>
      <c r="WS3" s="20">
        <v>3.5</v>
      </c>
      <c r="WT3" s="20">
        <v>6</v>
      </c>
      <c r="WU3" s="13"/>
      <c r="WV3" s="13"/>
      <c r="WW3" s="14"/>
      <c r="WX3" s="11"/>
      <c r="WY3" s="5"/>
      <c r="WZ3" s="24">
        <v>0.5</v>
      </c>
      <c r="XA3" s="16" t="s">
        <v>7</v>
      </c>
      <c r="XB3" s="5"/>
      <c r="XC3" s="5"/>
      <c r="XD3" s="5"/>
      <c r="XE3" s="25">
        <v>0.5</v>
      </c>
      <c r="XF3" s="16" t="s">
        <v>8</v>
      </c>
      <c r="XG3" s="5"/>
      <c r="XH3" s="5"/>
      <c r="XI3" s="5"/>
      <c r="XJ3" s="5"/>
      <c r="XK3" s="5"/>
      <c r="XL3" s="26" t="s">
        <v>9</v>
      </c>
      <c r="XM3" s="16" t="s">
        <v>10</v>
      </c>
      <c r="XN3" s="5"/>
      <c r="XO3" s="5"/>
      <c r="XP3" s="5"/>
      <c r="XQ3" s="27"/>
      <c r="XR3" s="16" t="s">
        <v>11</v>
      </c>
      <c r="XS3" s="11"/>
      <c r="XT3" s="11"/>
      <c r="XU3" s="11"/>
      <c r="XV3" s="11"/>
      <c r="XW3" s="11"/>
      <c r="XX3" s="20">
        <v>1</v>
      </c>
      <c r="XY3" s="20">
        <v>3.5</v>
      </c>
      <c r="XZ3" s="20">
        <v>6</v>
      </c>
      <c r="YA3" s="21"/>
      <c r="YB3" s="5"/>
      <c r="YC3" s="24">
        <v>0.5</v>
      </c>
      <c r="YD3" s="16" t="s">
        <v>7</v>
      </c>
      <c r="YE3" s="5"/>
      <c r="YF3" s="5"/>
      <c r="YG3" s="5"/>
      <c r="YH3" s="25">
        <v>0.5</v>
      </c>
      <c r="YI3" s="16" t="s">
        <v>8</v>
      </c>
      <c r="YJ3" s="5"/>
      <c r="YK3" s="5"/>
      <c r="YL3" s="5"/>
      <c r="YM3" s="5"/>
      <c r="YN3" s="5"/>
      <c r="YO3" s="26" t="s">
        <v>9</v>
      </c>
      <c r="YP3" s="16" t="s">
        <v>10</v>
      </c>
      <c r="YQ3" s="5"/>
      <c r="YR3" s="5"/>
      <c r="YS3" s="5"/>
      <c r="YT3" s="27"/>
      <c r="YU3" s="16" t="s">
        <v>11</v>
      </c>
      <c r="YV3" s="11"/>
      <c r="YW3" s="11"/>
      <c r="YX3" s="11"/>
      <c r="YY3" s="11"/>
      <c r="YZ3" s="11"/>
      <c r="ZA3" s="20">
        <v>1</v>
      </c>
      <c r="ZB3" s="20">
        <v>3.5</v>
      </c>
      <c r="ZC3" s="20">
        <v>6</v>
      </c>
      <c r="ZD3" s="21"/>
      <c r="ZE3" s="5"/>
      <c r="ZF3" s="24">
        <v>0.5</v>
      </c>
      <c r="ZG3" s="16" t="s">
        <v>7</v>
      </c>
      <c r="ZH3" s="5"/>
      <c r="ZI3" s="5"/>
      <c r="ZJ3" s="5"/>
      <c r="ZK3" s="25">
        <v>0.5</v>
      </c>
      <c r="ZL3" s="16" t="s">
        <v>8</v>
      </c>
      <c r="ZM3" s="5"/>
      <c r="ZN3" s="5"/>
      <c r="ZO3" s="5"/>
      <c r="ZP3" s="5"/>
      <c r="ZQ3" s="5"/>
      <c r="ZR3" s="26" t="s">
        <v>9</v>
      </c>
      <c r="ZS3" s="16" t="s">
        <v>10</v>
      </c>
      <c r="ZT3" s="5"/>
      <c r="ZU3" s="5"/>
      <c r="ZV3" s="5"/>
      <c r="ZW3" s="27"/>
      <c r="ZX3" s="16" t="s">
        <v>11</v>
      </c>
      <c r="ZY3" s="11"/>
      <c r="ZZ3" s="11"/>
      <c r="AAA3" s="11"/>
      <c r="AAB3" s="11"/>
      <c r="AAC3" s="11"/>
      <c r="AAD3" s="20">
        <v>1</v>
      </c>
      <c r="AAE3" s="20">
        <v>3.5</v>
      </c>
      <c r="AAF3" s="20">
        <v>6</v>
      </c>
      <c r="AAG3" s="21"/>
      <c r="AAH3" s="5"/>
      <c r="AAI3" s="24">
        <v>0.5</v>
      </c>
      <c r="AAJ3" s="16" t="s">
        <v>7</v>
      </c>
      <c r="AAK3" s="5"/>
      <c r="AAL3" s="5"/>
      <c r="AAM3" s="5"/>
      <c r="AAN3" s="25">
        <v>0.5</v>
      </c>
      <c r="AAO3" s="16" t="s">
        <v>8</v>
      </c>
      <c r="AAP3" s="5"/>
      <c r="AAQ3" s="5"/>
      <c r="AAR3" s="5"/>
      <c r="AAS3" s="5"/>
      <c r="AAT3" s="5"/>
      <c r="AAU3" s="26" t="s">
        <v>9</v>
      </c>
      <c r="AAV3" s="16" t="s">
        <v>10</v>
      </c>
      <c r="AAW3" s="5"/>
      <c r="AAX3" s="5"/>
      <c r="AAY3" s="5"/>
      <c r="AAZ3" s="27"/>
      <c r="ABA3" s="16" t="s">
        <v>11</v>
      </c>
      <c r="ABB3" s="11"/>
      <c r="ABC3" s="11"/>
      <c r="ABD3" s="11"/>
      <c r="ABE3" s="11"/>
      <c r="ABF3" s="11"/>
      <c r="ABG3" s="20">
        <v>1</v>
      </c>
      <c r="ABH3" s="20">
        <v>3.5</v>
      </c>
      <c r="ABI3" s="20">
        <v>6</v>
      </c>
      <c r="ABJ3" s="21"/>
      <c r="ABK3" s="5"/>
      <c r="ABL3" s="24">
        <v>0.5</v>
      </c>
      <c r="ABM3" s="16" t="s">
        <v>7</v>
      </c>
      <c r="ABN3" s="5"/>
      <c r="ABO3" s="5"/>
      <c r="ABP3" s="5"/>
      <c r="ABQ3" s="25">
        <v>0.5</v>
      </c>
      <c r="ABR3" s="16" t="s">
        <v>8</v>
      </c>
      <c r="ABS3" s="5"/>
      <c r="ABT3" s="5"/>
      <c r="ABU3" s="5"/>
      <c r="ABV3" s="5"/>
      <c r="ABW3" s="5"/>
      <c r="ABX3" s="26" t="s">
        <v>9</v>
      </c>
      <c r="ABY3" s="16" t="s">
        <v>10</v>
      </c>
      <c r="ABZ3" s="5"/>
      <c r="ACA3" s="5"/>
      <c r="ACB3" s="5"/>
      <c r="ACC3" s="27"/>
      <c r="ACD3" s="16" t="s">
        <v>11</v>
      </c>
      <c r="ACE3" s="11"/>
      <c r="ACF3" s="11"/>
      <c r="ACG3" s="11"/>
      <c r="ACH3" s="11"/>
      <c r="ACI3" s="11"/>
      <c r="ACJ3" s="20">
        <v>1</v>
      </c>
      <c r="ACK3" s="20">
        <v>3.5</v>
      </c>
      <c r="ACL3" s="20">
        <v>6</v>
      </c>
      <c r="ACM3" s="21"/>
      <c r="ACN3" s="5"/>
      <c r="ACO3" s="24">
        <v>0.5</v>
      </c>
      <c r="ACP3" s="16" t="s">
        <v>7</v>
      </c>
      <c r="ACQ3" s="5"/>
      <c r="ACR3" s="5"/>
      <c r="ACS3" s="5"/>
      <c r="ACT3" s="25">
        <v>0.5</v>
      </c>
      <c r="ACU3" s="16" t="s">
        <v>8</v>
      </c>
      <c r="ACV3" s="5"/>
      <c r="ACW3" s="5"/>
      <c r="ACX3" s="5"/>
      <c r="ACY3" s="5"/>
      <c r="ACZ3" s="5"/>
      <c r="ADA3" s="26" t="s">
        <v>9</v>
      </c>
      <c r="ADB3" s="16" t="s">
        <v>10</v>
      </c>
      <c r="ADC3" s="5"/>
      <c r="ADD3" s="5"/>
      <c r="ADE3" s="5"/>
      <c r="ADF3" s="27"/>
      <c r="ADG3" s="16" t="s">
        <v>11</v>
      </c>
      <c r="ADH3" s="5"/>
      <c r="ADI3" s="5"/>
      <c r="ADJ3" s="5"/>
      <c r="ADK3" s="5"/>
      <c r="ADL3" s="5"/>
      <c r="ADM3" s="20">
        <v>1</v>
      </c>
      <c r="ADN3" s="20">
        <v>3.5</v>
      </c>
      <c r="ADO3" s="20">
        <v>6</v>
      </c>
      <c r="ADP3" s="21"/>
      <c r="ADQ3" s="5"/>
      <c r="ADR3" s="24">
        <v>0.5</v>
      </c>
      <c r="ADS3" s="16" t="s">
        <v>7</v>
      </c>
      <c r="ADT3" s="5"/>
      <c r="ADU3" s="5"/>
      <c r="ADV3" s="5"/>
      <c r="ADW3" s="25">
        <v>0.5</v>
      </c>
      <c r="ADX3" s="16" t="s">
        <v>8</v>
      </c>
      <c r="ADY3" s="5"/>
      <c r="ADZ3" s="5"/>
      <c r="AEA3" s="5"/>
      <c r="AEB3" s="5"/>
      <c r="AEC3" s="5"/>
      <c r="AED3" s="26" t="s">
        <v>9</v>
      </c>
      <c r="AEE3" s="16" t="s">
        <v>10</v>
      </c>
      <c r="AEF3" s="5"/>
      <c r="AEG3" s="5"/>
      <c r="AEH3" s="5"/>
      <c r="AEI3" s="27"/>
      <c r="AEJ3" s="16" t="s">
        <v>11</v>
      </c>
      <c r="AEK3" s="5"/>
      <c r="AEL3" s="5"/>
      <c r="AEM3" s="5"/>
      <c r="AEN3" s="5"/>
      <c r="AEO3" s="5"/>
      <c r="AEP3" s="20">
        <v>1</v>
      </c>
      <c r="AEQ3" s="20">
        <v>3.5</v>
      </c>
      <c r="AER3" s="20">
        <v>6</v>
      </c>
      <c r="AES3" s="11"/>
      <c r="AET3" s="11"/>
      <c r="AEU3" s="12"/>
      <c r="AEV3" s="11"/>
      <c r="AEW3" s="5"/>
      <c r="AEX3" s="24">
        <v>0.5</v>
      </c>
      <c r="AEY3" s="16" t="s">
        <v>7</v>
      </c>
      <c r="AEZ3" s="5"/>
      <c r="AFA3" s="5"/>
      <c r="AFB3" s="5"/>
      <c r="AFC3" s="25">
        <v>0.5</v>
      </c>
      <c r="AFD3" s="16" t="s">
        <v>8</v>
      </c>
      <c r="AFE3" s="5"/>
      <c r="AFF3" s="5"/>
      <c r="AFG3" s="5"/>
      <c r="AFH3" s="5"/>
      <c r="AFI3" s="5"/>
      <c r="AFJ3" s="26" t="s">
        <v>9</v>
      </c>
      <c r="AFK3" s="16" t="s">
        <v>10</v>
      </c>
      <c r="AFL3" s="5"/>
      <c r="AFM3" s="5"/>
      <c r="AFN3" s="5"/>
      <c r="AFO3" s="27"/>
      <c r="AFP3" s="16" t="s">
        <v>11</v>
      </c>
      <c r="AFQ3" s="11"/>
      <c r="AFR3" s="11"/>
      <c r="AFS3" s="11"/>
      <c r="AFT3" s="11"/>
      <c r="AFU3" s="11"/>
      <c r="AFV3" s="20">
        <v>1</v>
      </c>
      <c r="AFW3" s="20">
        <v>3.5</v>
      </c>
      <c r="AFX3" s="20">
        <v>6</v>
      </c>
      <c r="AFY3" s="21"/>
      <c r="AFZ3" s="5"/>
      <c r="AGA3" s="24">
        <v>0.5</v>
      </c>
      <c r="AGB3" s="16" t="s">
        <v>7</v>
      </c>
      <c r="AGC3" s="5"/>
      <c r="AGD3" s="5"/>
      <c r="AGE3" s="5"/>
      <c r="AGF3" s="25">
        <v>0.5</v>
      </c>
      <c r="AGG3" s="16" t="s">
        <v>8</v>
      </c>
      <c r="AGH3" s="5"/>
      <c r="AGI3" s="5"/>
      <c r="AGJ3" s="5"/>
      <c r="AGK3" s="5"/>
      <c r="AGL3" s="5"/>
      <c r="AGM3" s="26" t="s">
        <v>9</v>
      </c>
      <c r="AGN3" s="16" t="s">
        <v>10</v>
      </c>
      <c r="AGO3" s="5"/>
      <c r="AGP3" s="5"/>
      <c r="AGQ3" s="5"/>
      <c r="AGR3" s="27"/>
      <c r="AGS3" s="16" t="s">
        <v>11</v>
      </c>
      <c r="AGT3" s="11"/>
      <c r="AGU3" s="11"/>
      <c r="AGV3" s="11"/>
      <c r="AGW3" s="11"/>
      <c r="AGX3" s="11"/>
      <c r="AGY3" s="20">
        <v>1</v>
      </c>
      <c r="AGZ3" s="20">
        <v>3.5</v>
      </c>
      <c r="AHA3" s="20">
        <v>6</v>
      </c>
      <c r="AHB3" s="21"/>
      <c r="AHC3" s="5"/>
      <c r="AHD3" s="24">
        <v>0.5</v>
      </c>
      <c r="AHE3" s="16" t="s">
        <v>7</v>
      </c>
      <c r="AHF3" s="5"/>
      <c r="AHG3" s="5"/>
      <c r="AHH3" s="5"/>
      <c r="AHI3" s="25">
        <v>0.5</v>
      </c>
      <c r="AHJ3" s="16" t="s">
        <v>8</v>
      </c>
      <c r="AHK3" s="5"/>
      <c r="AHL3" s="5"/>
      <c r="AHM3" s="5"/>
      <c r="AHN3" s="5"/>
      <c r="AHO3" s="5"/>
      <c r="AHP3" s="26" t="s">
        <v>9</v>
      </c>
      <c r="AHQ3" s="16" t="s">
        <v>10</v>
      </c>
      <c r="AHR3" s="5"/>
      <c r="AHS3" s="5"/>
      <c r="AHT3" s="5"/>
      <c r="AHU3" s="27"/>
      <c r="AHV3" s="16" t="s">
        <v>11</v>
      </c>
      <c r="AHW3" s="11"/>
      <c r="AHX3" s="11"/>
      <c r="AHY3" s="11"/>
      <c r="AHZ3" s="11"/>
      <c r="AIA3" s="11"/>
      <c r="AIB3" s="20">
        <v>1</v>
      </c>
      <c r="AIC3" s="20">
        <v>3.5</v>
      </c>
      <c r="AID3" s="20">
        <v>6</v>
      </c>
      <c r="AIE3" s="21"/>
      <c r="AIF3" s="5"/>
      <c r="AIG3" s="24">
        <v>0.5</v>
      </c>
      <c r="AIH3" s="16" t="s">
        <v>7</v>
      </c>
      <c r="AII3" s="5"/>
      <c r="AIJ3" s="5"/>
      <c r="AIK3" s="5"/>
      <c r="AIL3" s="25">
        <v>0.5</v>
      </c>
      <c r="AIM3" s="16" t="s">
        <v>8</v>
      </c>
      <c r="AIN3" s="5"/>
      <c r="AIO3" s="5"/>
      <c r="AIP3" s="5"/>
      <c r="AIQ3" s="5"/>
      <c r="AIR3" s="5"/>
      <c r="AIS3" s="26" t="s">
        <v>9</v>
      </c>
      <c r="AIT3" s="16" t="s">
        <v>10</v>
      </c>
      <c r="AIU3" s="5"/>
      <c r="AIV3" s="5"/>
      <c r="AIW3" s="5"/>
      <c r="AIX3" s="27"/>
      <c r="AIY3" s="16" t="s">
        <v>11</v>
      </c>
      <c r="AIZ3" s="11"/>
      <c r="AJA3" s="11"/>
      <c r="AJB3" s="11"/>
      <c r="AJC3" s="11"/>
      <c r="AJD3" s="11"/>
      <c r="AJE3" s="20">
        <v>1</v>
      </c>
      <c r="AJF3" s="20">
        <v>3.5</v>
      </c>
      <c r="AJG3" s="20">
        <v>6</v>
      </c>
      <c r="AJH3" s="21"/>
      <c r="AJI3" s="5"/>
      <c r="AJJ3" s="24">
        <v>0.5</v>
      </c>
      <c r="AJK3" s="16" t="s">
        <v>7</v>
      </c>
      <c r="AJL3" s="5"/>
      <c r="AJM3" s="5"/>
      <c r="AJN3" s="5"/>
      <c r="AJO3" s="25">
        <v>0.5</v>
      </c>
      <c r="AJP3" s="16" t="s">
        <v>8</v>
      </c>
      <c r="AJQ3" s="5"/>
      <c r="AJR3" s="5"/>
      <c r="AJS3" s="5"/>
      <c r="AJT3" s="5"/>
      <c r="AJU3" s="5"/>
      <c r="AJV3" s="26" t="s">
        <v>9</v>
      </c>
      <c r="AJW3" s="16" t="s">
        <v>10</v>
      </c>
      <c r="AJX3" s="5"/>
      <c r="AJY3" s="5"/>
      <c r="AJZ3" s="5"/>
      <c r="AKA3" s="27"/>
      <c r="AKB3" s="16" t="s">
        <v>11</v>
      </c>
      <c r="AKC3" s="11"/>
      <c r="AKD3" s="11"/>
      <c r="AKE3" s="11"/>
      <c r="AKF3" s="11"/>
      <c r="AKG3" s="11"/>
      <c r="AKH3" s="20">
        <v>1</v>
      </c>
      <c r="AKI3" s="20">
        <v>3.5</v>
      </c>
      <c r="AKJ3" s="20">
        <v>6</v>
      </c>
      <c r="AKK3" s="21"/>
      <c r="AKL3" s="5"/>
      <c r="AKM3" s="24">
        <v>0.5</v>
      </c>
      <c r="AKN3" s="16" t="s">
        <v>7</v>
      </c>
      <c r="AKO3" s="5"/>
      <c r="AKP3" s="5"/>
      <c r="AKQ3" s="5"/>
      <c r="AKR3" s="25">
        <v>0.5</v>
      </c>
      <c r="AKS3" s="16" t="s">
        <v>8</v>
      </c>
      <c r="AKT3" s="5"/>
      <c r="AKU3" s="5"/>
      <c r="AKV3" s="5"/>
      <c r="AKW3" s="5"/>
      <c r="AKX3" s="5"/>
      <c r="AKY3" s="26" t="s">
        <v>9</v>
      </c>
      <c r="AKZ3" s="16" t="s">
        <v>10</v>
      </c>
      <c r="ALA3" s="5"/>
      <c r="ALB3" s="5"/>
      <c r="ALC3" s="5"/>
      <c r="ALD3" s="27"/>
      <c r="ALE3" s="16" t="s">
        <v>11</v>
      </c>
      <c r="ALF3" s="5"/>
      <c r="ALG3" s="5"/>
      <c r="ALH3" s="5"/>
      <c r="ALI3" s="5"/>
      <c r="ALJ3" s="5"/>
      <c r="ALK3" s="20">
        <v>1</v>
      </c>
      <c r="ALL3" s="20">
        <v>3.5</v>
      </c>
      <c r="ALM3" s="20">
        <v>6</v>
      </c>
      <c r="ALN3" s="21"/>
      <c r="ALO3" s="5"/>
      <c r="ALP3" s="24">
        <v>0.5</v>
      </c>
      <c r="ALQ3" s="16" t="s">
        <v>7</v>
      </c>
      <c r="ALR3" s="5"/>
      <c r="ALS3" s="5"/>
      <c r="ALT3" s="5"/>
      <c r="ALU3" s="25">
        <v>0.5</v>
      </c>
      <c r="ALV3" s="16" t="s">
        <v>8</v>
      </c>
      <c r="ALW3" s="5"/>
      <c r="ALX3" s="5"/>
      <c r="ALY3" s="5"/>
      <c r="ALZ3" s="5"/>
      <c r="AMA3" s="5"/>
      <c r="AMB3" s="26" t="s">
        <v>9</v>
      </c>
      <c r="AMC3" s="16" t="s">
        <v>10</v>
      </c>
      <c r="AMD3" s="5"/>
      <c r="AME3" s="5"/>
      <c r="AMF3" s="5"/>
      <c r="AMG3" s="27"/>
      <c r="AMH3" s="16" t="s">
        <v>11</v>
      </c>
      <c r="AMI3" s="5"/>
      <c r="AMJ3" s="5"/>
      <c r="AMK3" s="5"/>
      <c r="AML3" s="5"/>
      <c r="AMM3" s="5"/>
      <c r="AMN3" s="20">
        <v>1</v>
      </c>
      <c r="AMO3" s="20">
        <v>3.5</v>
      </c>
      <c r="AMP3" s="20">
        <v>6</v>
      </c>
      <c r="AMQ3" s="11"/>
      <c r="AMR3" s="11"/>
      <c r="AMS3" s="12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28"/>
    </row>
    <row r="4" ht="15" customHeight="1" spans="1:1191" x14ac:dyDescent="0.25">
      <c r="A4" s="4"/>
      <c r="B4" s="4"/>
      <c r="C4" s="4"/>
      <c r="D4" s="5"/>
      <c r="E4" s="5"/>
      <c r="F4" s="29">
        <v>0.5</v>
      </c>
      <c r="G4" s="16" t="s">
        <v>12</v>
      </c>
      <c r="H4" s="5"/>
      <c r="I4" s="5"/>
      <c r="J4" s="5"/>
      <c r="K4" s="30">
        <v>0.5</v>
      </c>
      <c r="L4" s="16" t="s">
        <v>13</v>
      </c>
      <c r="M4" s="5"/>
      <c r="N4" s="5"/>
      <c r="O4" s="5"/>
      <c r="P4" s="5"/>
      <c r="Q4" s="5"/>
      <c r="R4" s="31" t="s">
        <v>14</v>
      </c>
      <c r="S4" s="16" t="s">
        <v>15</v>
      </c>
      <c r="T4" s="5"/>
      <c r="U4" s="5"/>
      <c r="V4" s="5"/>
      <c r="W4" s="5"/>
      <c r="X4" s="5"/>
      <c r="Y4" s="5"/>
      <c r="Z4" s="5"/>
      <c r="AA4" s="5"/>
      <c r="AB4" s="5"/>
      <c r="AC4" s="5"/>
      <c r="AD4" s="20">
        <v>1.5</v>
      </c>
      <c r="AE4" s="20">
        <v>4</v>
      </c>
      <c r="AF4" s="20">
        <v>6.5</v>
      </c>
      <c r="AG4" s="5"/>
      <c r="AH4" s="5"/>
      <c r="AI4" s="29">
        <v>0.5</v>
      </c>
      <c r="AJ4" s="16" t="s">
        <v>12</v>
      </c>
      <c r="AK4" s="5"/>
      <c r="AL4" s="5"/>
      <c r="AM4" s="5"/>
      <c r="AN4" s="30">
        <v>0.5</v>
      </c>
      <c r="AO4" s="16" t="s">
        <v>13</v>
      </c>
      <c r="AP4" s="5"/>
      <c r="AQ4" s="5"/>
      <c r="AR4" s="5"/>
      <c r="AS4" s="5"/>
      <c r="AT4" s="5"/>
      <c r="AU4" s="31" t="s">
        <v>14</v>
      </c>
      <c r="AV4" s="16" t="s">
        <v>15</v>
      </c>
      <c r="AW4" s="5"/>
      <c r="AX4" s="5"/>
      <c r="AY4" s="5"/>
      <c r="AZ4" s="5"/>
      <c r="BA4" s="5"/>
      <c r="BB4" s="5"/>
      <c r="BC4" s="5"/>
      <c r="BD4" s="5"/>
      <c r="BE4" s="32"/>
      <c r="BF4" s="5"/>
      <c r="BG4" s="20">
        <v>1.5</v>
      </c>
      <c r="BH4" s="20">
        <v>4</v>
      </c>
      <c r="BI4" s="20">
        <v>6.5</v>
      </c>
      <c r="BJ4" s="21"/>
      <c r="BK4" s="5"/>
      <c r="BL4" s="29">
        <v>0.5</v>
      </c>
      <c r="BM4" s="16" t="s">
        <v>12</v>
      </c>
      <c r="BN4" s="5"/>
      <c r="BO4" s="5"/>
      <c r="BP4" s="5"/>
      <c r="BQ4" s="30">
        <v>0.5</v>
      </c>
      <c r="BR4" s="16" t="s">
        <v>13</v>
      </c>
      <c r="BS4" s="5"/>
      <c r="BT4" s="5"/>
      <c r="BU4" s="5"/>
      <c r="BV4" s="5"/>
      <c r="BW4" s="5"/>
      <c r="BX4" s="31" t="s">
        <v>14</v>
      </c>
      <c r="BY4" s="16" t="s">
        <v>15</v>
      </c>
      <c r="BZ4" s="5"/>
      <c r="CA4" s="5"/>
      <c r="CB4" s="5"/>
      <c r="CC4" s="5"/>
      <c r="CD4" s="5"/>
      <c r="CE4" s="5"/>
      <c r="CF4" s="5"/>
      <c r="CG4" s="5"/>
      <c r="CH4" s="5"/>
      <c r="CI4" s="5"/>
      <c r="CJ4" s="20">
        <v>1.5</v>
      </c>
      <c r="CK4" s="20">
        <v>4</v>
      </c>
      <c r="CL4" s="20">
        <v>6.5</v>
      </c>
      <c r="CM4" s="21"/>
      <c r="CN4" s="5"/>
      <c r="CO4" s="29">
        <v>0.5</v>
      </c>
      <c r="CP4" s="16" t="s">
        <v>12</v>
      </c>
      <c r="CQ4" s="5"/>
      <c r="CR4" s="5"/>
      <c r="CS4" s="5"/>
      <c r="CT4" s="30">
        <v>0.5</v>
      </c>
      <c r="CU4" s="16" t="s">
        <v>13</v>
      </c>
      <c r="CV4" s="5"/>
      <c r="CW4" s="5"/>
      <c r="CX4" s="5"/>
      <c r="CY4" s="5"/>
      <c r="CZ4" s="5"/>
      <c r="DA4" s="31" t="s">
        <v>14</v>
      </c>
      <c r="DB4" s="16" t="s">
        <v>15</v>
      </c>
      <c r="DC4" s="5"/>
      <c r="DD4" s="5"/>
      <c r="DE4" s="5"/>
      <c r="DF4" s="5"/>
      <c r="DG4" s="5"/>
      <c r="DH4" s="5"/>
      <c r="DI4" s="5"/>
      <c r="DJ4" s="5"/>
      <c r="DK4" s="5"/>
      <c r="DL4" s="5"/>
      <c r="DM4" s="20">
        <v>1.5</v>
      </c>
      <c r="DN4" s="20">
        <v>4</v>
      </c>
      <c r="DO4" s="20">
        <v>6.5</v>
      </c>
      <c r="DP4" s="21"/>
      <c r="DQ4" s="5"/>
      <c r="DR4" s="29">
        <v>0.5</v>
      </c>
      <c r="DS4" s="16" t="s">
        <v>12</v>
      </c>
      <c r="DT4" s="5"/>
      <c r="DU4" s="5"/>
      <c r="DV4" s="5"/>
      <c r="DW4" s="30">
        <v>0.5</v>
      </c>
      <c r="DX4" s="16" t="s">
        <v>13</v>
      </c>
      <c r="DY4" s="5"/>
      <c r="DZ4" s="5"/>
      <c r="EA4" s="5"/>
      <c r="EB4" s="5"/>
      <c r="EC4" s="5"/>
      <c r="ED4" s="31" t="s">
        <v>14</v>
      </c>
      <c r="EE4" s="16" t="s">
        <v>15</v>
      </c>
      <c r="EF4" s="5"/>
      <c r="EG4" s="5"/>
      <c r="EH4" s="5"/>
      <c r="EI4" s="5"/>
      <c r="EJ4" s="5"/>
      <c r="EK4" s="5"/>
      <c r="EL4" s="5"/>
      <c r="EM4" s="5"/>
      <c r="EN4" s="5"/>
      <c r="EO4" s="5"/>
      <c r="EP4" s="20">
        <v>1.5</v>
      </c>
      <c r="EQ4" s="20">
        <v>4</v>
      </c>
      <c r="ER4" s="20">
        <v>6.5</v>
      </c>
      <c r="ES4" s="21"/>
      <c r="ET4" s="5"/>
      <c r="EU4" s="29">
        <v>0.5</v>
      </c>
      <c r="EV4" s="16" t="s">
        <v>12</v>
      </c>
      <c r="EW4" s="5"/>
      <c r="EX4" s="5"/>
      <c r="EY4" s="5"/>
      <c r="EZ4" s="30">
        <v>0.5</v>
      </c>
      <c r="FA4" s="16" t="s">
        <v>13</v>
      </c>
      <c r="FB4" s="5"/>
      <c r="FC4" s="5"/>
      <c r="FD4" s="5"/>
      <c r="FE4" s="5"/>
      <c r="FF4" s="5"/>
      <c r="FG4" s="31" t="s">
        <v>14</v>
      </c>
      <c r="FH4" s="16" t="s">
        <v>15</v>
      </c>
      <c r="FI4" s="5"/>
      <c r="FJ4" s="5"/>
      <c r="FK4" s="5"/>
      <c r="FL4" s="5"/>
      <c r="FM4" s="5"/>
      <c r="FN4" s="5"/>
      <c r="FO4" s="5"/>
      <c r="FP4" s="5"/>
      <c r="FQ4" s="5"/>
      <c r="FR4" s="5"/>
      <c r="FS4" s="20">
        <v>1.5</v>
      </c>
      <c r="FT4" s="20">
        <v>4</v>
      </c>
      <c r="FU4" s="20">
        <v>6.5</v>
      </c>
      <c r="FV4" s="21"/>
      <c r="FW4" s="5"/>
      <c r="FX4" s="29">
        <v>0.5</v>
      </c>
      <c r="FY4" s="16" t="s">
        <v>12</v>
      </c>
      <c r="FZ4" s="5"/>
      <c r="GA4" s="5"/>
      <c r="GB4" s="5"/>
      <c r="GC4" s="30">
        <v>0.5</v>
      </c>
      <c r="GD4" s="16" t="s">
        <v>13</v>
      </c>
      <c r="GE4" s="5"/>
      <c r="GF4" s="5"/>
      <c r="GG4" s="5"/>
      <c r="GH4" s="5"/>
      <c r="GI4" s="5"/>
      <c r="GJ4" s="31" t="s">
        <v>14</v>
      </c>
      <c r="GK4" s="16" t="s">
        <v>15</v>
      </c>
      <c r="GL4" s="5"/>
      <c r="GM4" s="5"/>
      <c r="GN4" s="5"/>
      <c r="GO4" s="5"/>
      <c r="GP4" s="5"/>
      <c r="GQ4" s="5"/>
      <c r="GR4" s="5"/>
      <c r="GS4" s="5"/>
      <c r="GT4" s="5"/>
      <c r="GU4" s="5"/>
      <c r="GV4" s="20">
        <v>1.5</v>
      </c>
      <c r="GW4" s="20">
        <v>4</v>
      </c>
      <c r="GX4" s="20">
        <v>6.5</v>
      </c>
      <c r="GY4" s="5"/>
      <c r="GZ4" s="5"/>
      <c r="HA4" s="22"/>
      <c r="HB4" s="11"/>
      <c r="HC4" s="5"/>
      <c r="HD4" s="29">
        <v>0.5</v>
      </c>
      <c r="HE4" s="16" t="s">
        <v>12</v>
      </c>
      <c r="HF4" s="5"/>
      <c r="HG4" s="5"/>
      <c r="HH4" s="5"/>
      <c r="HI4" s="30">
        <v>0.5</v>
      </c>
      <c r="HJ4" s="16" t="s">
        <v>13</v>
      </c>
      <c r="HK4" s="5"/>
      <c r="HL4" s="5"/>
      <c r="HM4" s="5"/>
      <c r="HN4" s="5"/>
      <c r="HO4" s="5"/>
      <c r="HP4" s="31" t="s">
        <v>14</v>
      </c>
      <c r="HQ4" s="16" t="s">
        <v>15</v>
      </c>
      <c r="HR4" s="5"/>
      <c r="HS4" s="5"/>
      <c r="HT4" s="5"/>
      <c r="HU4" s="5"/>
      <c r="HV4" s="5"/>
      <c r="HW4" s="11"/>
      <c r="HX4" s="11"/>
      <c r="HY4" s="11"/>
      <c r="HZ4" s="11"/>
      <c r="IA4" s="11"/>
      <c r="IB4" s="20">
        <v>1.5</v>
      </c>
      <c r="IC4" s="20">
        <v>4</v>
      </c>
      <c r="ID4" s="20">
        <v>6.5</v>
      </c>
      <c r="IE4" s="21"/>
      <c r="IF4" s="5"/>
      <c r="IG4" s="29">
        <v>0.5</v>
      </c>
      <c r="IH4" s="16" t="s">
        <v>12</v>
      </c>
      <c r="II4" s="5"/>
      <c r="IJ4" s="5"/>
      <c r="IK4" s="5"/>
      <c r="IL4" s="30">
        <v>0.5</v>
      </c>
      <c r="IM4" s="16" t="s">
        <v>13</v>
      </c>
      <c r="IN4" s="5"/>
      <c r="IO4" s="5"/>
      <c r="IP4" s="5"/>
      <c r="IQ4" s="5"/>
      <c r="IR4" s="5"/>
      <c r="IS4" s="31" t="s">
        <v>14</v>
      </c>
      <c r="IT4" s="16" t="s">
        <v>15</v>
      </c>
      <c r="IU4" s="5"/>
      <c r="IV4" s="5"/>
      <c r="IW4" s="5"/>
      <c r="IX4" s="5"/>
      <c r="IY4" s="5"/>
      <c r="IZ4" s="11"/>
      <c r="JA4" s="11"/>
      <c r="JB4" s="11"/>
      <c r="JC4" s="11"/>
      <c r="JD4" s="11"/>
      <c r="JE4" s="20">
        <v>1.5</v>
      </c>
      <c r="JF4" s="20">
        <v>4</v>
      </c>
      <c r="JG4" s="20">
        <v>6.5</v>
      </c>
      <c r="JH4" s="21"/>
      <c r="JI4" s="5"/>
      <c r="JJ4" s="29">
        <v>0.5</v>
      </c>
      <c r="JK4" s="16" t="s">
        <v>12</v>
      </c>
      <c r="JL4" s="5"/>
      <c r="JM4" s="5"/>
      <c r="JN4" s="5"/>
      <c r="JO4" s="30">
        <v>0.5</v>
      </c>
      <c r="JP4" s="16" t="s">
        <v>13</v>
      </c>
      <c r="JQ4" s="5"/>
      <c r="JR4" s="5"/>
      <c r="JS4" s="5"/>
      <c r="JT4" s="5"/>
      <c r="JU4" s="5"/>
      <c r="JV4" s="31" t="s">
        <v>14</v>
      </c>
      <c r="JW4" s="16" t="s">
        <v>15</v>
      </c>
      <c r="JX4" s="5"/>
      <c r="JY4" s="5"/>
      <c r="JZ4" s="5"/>
      <c r="KA4" s="5"/>
      <c r="KB4" s="5"/>
      <c r="KC4" s="11"/>
      <c r="KD4" s="11"/>
      <c r="KE4" s="11"/>
      <c r="KF4" s="11"/>
      <c r="KG4" s="11"/>
      <c r="KH4" s="20">
        <v>1.5</v>
      </c>
      <c r="KI4" s="20">
        <v>4</v>
      </c>
      <c r="KJ4" s="20">
        <v>6.5</v>
      </c>
      <c r="KK4" s="21"/>
      <c r="KL4" s="5"/>
      <c r="KM4" s="29">
        <v>0.5</v>
      </c>
      <c r="KN4" s="16" t="s">
        <v>12</v>
      </c>
      <c r="KO4" s="5"/>
      <c r="KP4" s="5"/>
      <c r="KQ4" s="5"/>
      <c r="KR4" s="30">
        <v>0.5</v>
      </c>
      <c r="KS4" s="16" t="s">
        <v>13</v>
      </c>
      <c r="KT4" s="5"/>
      <c r="KU4" s="5"/>
      <c r="KV4" s="5"/>
      <c r="KW4" s="5"/>
      <c r="KX4" s="5"/>
      <c r="KY4" s="31" t="s">
        <v>14</v>
      </c>
      <c r="KZ4" s="16" t="s">
        <v>15</v>
      </c>
      <c r="LA4" s="5"/>
      <c r="LB4" s="5"/>
      <c r="LC4" s="5"/>
      <c r="LD4" s="5"/>
      <c r="LE4" s="5"/>
      <c r="LF4" s="11"/>
      <c r="LG4" s="11"/>
      <c r="LH4" s="11"/>
      <c r="LI4" s="11"/>
      <c r="LJ4" s="11"/>
      <c r="LK4" s="20">
        <v>1.5</v>
      </c>
      <c r="LL4" s="20">
        <v>4</v>
      </c>
      <c r="LM4" s="20">
        <v>6.5</v>
      </c>
      <c r="LN4" s="21"/>
      <c r="LO4" s="5"/>
      <c r="LP4" s="29">
        <v>0.5</v>
      </c>
      <c r="LQ4" s="16" t="s">
        <v>12</v>
      </c>
      <c r="LR4" s="5"/>
      <c r="LS4" s="5"/>
      <c r="LT4" s="5"/>
      <c r="LU4" s="30">
        <v>0.5</v>
      </c>
      <c r="LV4" s="16" t="s">
        <v>13</v>
      </c>
      <c r="LW4" s="5"/>
      <c r="LX4" s="5"/>
      <c r="LY4" s="5"/>
      <c r="LZ4" s="5"/>
      <c r="MA4" s="5"/>
      <c r="MB4" s="31" t="s">
        <v>14</v>
      </c>
      <c r="MC4" s="16" t="s">
        <v>15</v>
      </c>
      <c r="MD4" s="5"/>
      <c r="ME4" s="5"/>
      <c r="MF4" s="5"/>
      <c r="MG4" s="5"/>
      <c r="MH4" s="5"/>
      <c r="MI4" s="11"/>
      <c r="MJ4" s="11"/>
      <c r="MK4" s="11"/>
      <c r="ML4" s="11"/>
      <c r="MM4" s="11"/>
      <c r="MN4" s="20">
        <v>1.5</v>
      </c>
      <c r="MO4" s="20">
        <v>4</v>
      </c>
      <c r="MP4" s="20">
        <v>6.5</v>
      </c>
      <c r="MQ4" s="21"/>
      <c r="MR4" s="5"/>
      <c r="MS4" s="29">
        <v>0.5</v>
      </c>
      <c r="MT4" s="16" t="s">
        <v>12</v>
      </c>
      <c r="MU4" s="5"/>
      <c r="MV4" s="5"/>
      <c r="MW4" s="5"/>
      <c r="MX4" s="30">
        <v>0.5</v>
      </c>
      <c r="MY4" s="16" t="s">
        <v>13</v>
      </c>
      <c r="MZ4" s="5"/>
      <c r="NA4" s="5"/>
      <c r="NB4" s="5"/>
      <c r="NC4" s="5"/>
      <c r="ND4" s="5"/>
      <c r="NE4" s="31" t="s">
        <v>14</v>
      </c>
      <c r="NF4" s="16" t="s">
        <v>15</v>
      </c>
      <c r="NG4" s="5"/>
      <c r="NH4" s="5"/>
      <c r="NI4" s="5"/>
      <c r="NJ4" s="5"/>
      <c r="NK4" s="5"/>
      <c r="NL4" s="5"/>
      <c r="NM4" s="5"/>
      <c r="NN4" s="5"/>
      <c r="NO4" s="5"/>
      <c r="NP4" s="5"/>
      <c r="NQ4" s="20">
        <v>1.5</v>
      </c>
      <c r="NR4" s="20">
        <v>4</v>
      </c>
      <c r="NS4" s="20">
        <v>6.5</v>
      </c>
      <c r="NT4" s="21"/>
      <c r="NU4" s="5"/>
      <c r="NV4" s="29">
        <v>0.5</v>
      </c>
      <c r="NW4" s="16" t="s">
        <v>12</v>
      </c>
      <c r="NX4" s="5"/>
      <c r="NY4" s="5"/>
      <c r="NZ4" s="5"/>
      <c r="OA4" s="30">
        <v>0.5</v>
      </c>
      <c r="OB4" s="16" t="s">
        <v>13</v>
      </c>
      <c r="OC4" s="5"/>
      <c r="OD4" s="5"/>
      <c r="OE4" s="5"/>
      <c r="OF4" s="5"/>
      <c r="OG4" s="5"/>
      <c r="OH4" s="31" t="s">
        <v>14</v>
      </c>
      <c r="OI4" s="16" t="s">
        <v>15</v>
      </c>
      <c r="OJ4" s="5"/>
      <c r="OK4" s="5"/>
      <c r="OL4" s="5"/>
      <c r="OM4" s="5"/>
      <c r="ON4" s="5"/>
      <c r="OO4" s="5"/>
      <c r="OP4" s="5"/>
      <c r="OQ4" s="5"/>
      <c r="OR4" s="5"/>
      <c r="OS4" s="5"/>
      <c r="OT4" s="20">
        <v>1.5</v>
      </c>
      <c r="OU4" s="20">
        <v>4</v>
      </c>
      <c r="OV4" s="20">
        <v>6.5</v>
      </c>
      <c r="OW4" s="11"/>
      <c r="OX4" s="11"/>
      <c r="OY4" s="12"/>
      <c r="OZ4" s="13"/>
      <c r="PA4" s="5"/>
      <c r="PB4" s="29">
        <v>0.5</v>
      </c>
      <c r="PC4" s="16" t="s">
        <v>12</v>
      </c>
      <c r="PD4" s="5"/>
      <c r="PE4" s="5"/>
      <c r="PF4" s="5"/>
      <c r="PG4" s="30">
        <v>0.5</v>
      </c>
      <c r="PH4" s="16" t="s">
        <v>13</v>
      </c>
      <c r="PI4" s="5"/>
      <c r="PJ4" s="5"/>
      <c r="PK4" s="5"/>
      <c r="PL4" s="5"/>
      <c r="PM4" s="5"/>
      <c r="PN4" s="31" t="s">
        <v>14</v>
      </c>
      <c r="PO4" s="16" t="s">
        <v>15</v>
      </c>
      <c r="PP4" s="5"/>
      <c r="PQ4" s="5"/>
      <c r="PR4" s="5"/>
      <c r="PS4" s="5"/>
      <c r="PT4" s="5"/>
      <c r="PU4" s="13"/>
      <c r="PV4" s="13"/>
      <c r="PW4" s="13"/>
      <c r="PX4" s="13"/>
      <c r="PY4" s="13"/>
      <c r="PZ4" s="20">
        <v>1.5</v>
      </c>
      <c r="QA4" s="20">
        <v>4</v>
      </c>
      <c r="QB4" s="20">
        <v>6.5</v>
      </c>
      <c r="QC4" s="21"/>
      <c r="QD4" s="5"/>
      <c r="QE4" s="29">
        <v>0.5</v>
      </c>
      <c r="QF4" s="16" t="s">
        <v>12</v>
      </c>
      <c r="QG4" s="5"/>
      <c r="QH4" s="5"/>
      <c r="QI4" s="5"/>
      <c r="QJ4" s="30">
        <v>0.5</v>
      </c>
      <c r="QK4" s="16" t="s">
        <v>13</v>
      </c>
      <c r="QL4" s="5"/>
      <c r="QM4" s="5"/>
      <c r="QN4" s="5"/>
      <c r="QO4" s="5"/>
      <c r="QP4" s="5"/>
      <c r="QQ4" s="31" t="s">
        <v>14</v>
      </c>
      <c r="QR4" s="16" t="s">
        <v>15</v>
      </c>
      <c r="QS4" s="5"/>
      <c r="QT4" s="5"/>
      <c r="QU4" s="5"/>
      <c r="QV4" s="5"/>
      <c r="QW4" s="5"/>
      <c r="QX4" s="13"/>
      <c r="QY4" s="13"/>
      <c r="QZ4" s="13"/>
      <c r="RA4" s="13"/>
      <c r="RB4" s="13"/>
      <c r="RC4" s="20">
        <v>1.5</v>
      </c>
      <c r="RD4" s="20">
        <v>4</v>
      </c>
      <c r="RE4" s="20">
        <v>6.5</v>
      </c>
      <c r="RF4" s="21"/>
      <c r="RG4" s="5"/>
      <c r="RH4" s="29">
        <v>0.5</v>
      </c>
      <c r="RI4" s="16" t="s">
        <v>12</v>
      </c>
      <c r="RJ4" s="5"/>
      <c r="RK4" s="5"/>
      <c r="RL4" s="5"/>
      <c r="RM4" s="30">
        <v>0.5</v>
      </c>
      <c r="RN4" s="16" t="s">
        <v>13</v>
      </c>
      <c r="RO4" s="5"/>
      <c r="RP4" s="5"/>
      <c r="RQ4" s="5"/>
      <c r="RR4" s="5"/>
      <c r="RS4" s="5"/>
      <c r="RT4" s="31" t="s">
        <v>14</v>
      </c>
      <c r="RU4" s="16" t="s">
        <v>15</v>
      </c>
      <c r="RV4" s="5"/>
      <c r="RW4" s="5"/>
      <c r="RX4" s="5"/>
      <c r="RY4" s="5"/>
      <c r="RZ4" s="5"/>
      <c r="SA4" s="13"/>
      <c r="SB4" s="13"/>
      <c r="SC4" s="13"/>
      <c r="SD4" s="13"/>
      <c r="SE4" s="13"/>
      <c r="SF4" s="20">
        <v>1.5</v>
      </c>
      <c r="SG4" s="20">
        <v>4</v>
      </c>
      <c r="SH4" s="20">
        <v>6.5</v>
      </c>
      <c r="SI4" s="21"/>
      <c r="SJ4" s="5"/>
      <c r="SK4" s="29">
        <v>0.5</v>
      </c>
      <c r="SL4" s="16" t="s">
        <v>12</v>
      </c>
      <c r="SM4" s="5"/>
      <c r="SN4" s="5"/>
      <c r="SO4" s="5"/>
      <c r="SP4" s="30">
        <v>0.5</v>
      </c>
      <c r="SQ4" s="16" t="s">
        <v>13</v>
      </c>
      <c r="SR4" s="5"/>
      <c r="SS4" s="5"/>
      <c r="ST4" s="5"/>
      <c r="SU4" s="5"/>
      <c r="SV4" s="5"/>
      <c r="SW4" s="31" t="s">
        <v>14</v>
      </c>
      <c r="SX4" s="16" t="s">
        <v>15</v>
      </c>
      <c r="SY4" s="5"/>
      <c r="SZ4" s="5"/>
      <c r="TA4" s="5"/>
      <c r="TB4" s="5"/>
      <c r="TC4" s="5"/>
      <c r="TD4" s="13"/>
      <c r="TE4" s="13"/>
      <c r="TF4" s="13"/>
      <c r="TG4" s="13"/>
      <c r="TH4" s="13"/>
      <c r="TI4" s="20">
        <v>1.5</v>
      </c>
      <c r="TJ4" s="20">
        <v>4</v>
      </c>
      <c r="TK4" s="20">
        <v>6.5</v>
      </c>
      <c r="TL4" s="21"/>
      <c r="TM4" s="5"/>
      <c r="TN4" s="29">
        <v>0.5</v>
      </c>
      <c r="TO4" s="16" t="s">
        <v>12</v>
      </c>
      <c r="TP4" s="5"/>
      <c r="TQ4" s="5"/>
      <c r="TR4" s="5"/>
      <c r="TS4" s="30">
        <v>0.5</v>
      </c>
      <c r="TT4" s="16" t="s">
        <v>13</v>
      </c>
      <c r="TU4" s="5"/>
      <c r="TV4" s="5"/>
      <c r="TW4" s="5"/>
      <c r="TX4" s="5"/>
      <c r="TY4" s="5"/>
      <c r="TZ4" s="31" t="s">
        <v>14</v>
      </c>
      <c r="UA4" s="16" t="s">
        <v>15</v>
      </c>
      <c r="UB4" s="5"/>
      <c r="UC4" s="5"/>
      <c r="UD4" s="5"/>
      <c r="UE4" s="5"/>
      <c r="UF4" s="5"/>
      <c r="UG4" s="13"/>
      <c r="UH4" s="13"/>
      <c r="UI4" s="13"/>
      <c r="UJ4" s="13"/>
      <c r="UK4" s="13"/>
      <c r="UL4" s="20">
        <v>1.5</v>
      </c>
      <c r="UM4" s="20">
        <v>4</v>
      </c>
      <c r="UN4" s="20">
        <v>6.5</v>
      </c>
      <c r="UO4" s="21"/>
      <c r="UP4" s="5"/>
      <c r="UQ4" s="29">
        <v>0.5</v>
      </c>
      <c r="UR4" s="16" t="s">
        <v>12</v>
      </c>
      <c r="US4" s="5"/>
      <c r="UT4" s="5"/>
      <c r="UU4" s="5"/>
      <c r="UV4" s="30">
        <v>0.5</v>
      </c>
      <c r="UW4" s="16" t="s">
        <v>13</v>
      </c>
      <c r="UX4" s="5"/>
      <c r="UY4" s="5"/>
      <c r="UZ4" s="5"/>
      <c r="VA4" s="5"/>
      <c r="VB4" s="5"/>
      <c r="VC4" s="31" t="s">
        <v>14</v>
      </c>
      <c r="VD4" s="16" t="s">
        <v>15</v>
      </c>
      <c r="VE4" s="5"/>
      <c r="VF4" s="5"/>
      <c r="VG4" s="5"/>
      <c r="VH4" s="5"/>
      <c r="VI4" s="5"/>
      <c r="VJ4" s="5"/>
      <c r="VK4" s="5"/>
      <c r="VL4" s="5"/>
      <c r="VM4" s="5"/>
      <c r="VN4" s="5"/>
      <c r="VO4" s="20">
        <v>1.5</v>
      </c>
      <c r="VP4" s="20">
        <v>4</v>
      </c>
      <c r="VQ4" s="20">
        <v>6.5</v>
      </c>
      <c r="VR4" s="21"/>
      <c r="VS4" s="5"/>
      <c r="VT4" s="29">
        <v>0.5</v>
      </c>
      <c r="VU4" s="16" t="s">
        <v>12</v>
      </c>
      <c r="VV4" s="5"/>
      <c r="VW4" s="5"/>
      <c r="VX4" s="5"/>
      <c r="VY4" s="30">
        <v>0.5</v>
      </c>
      <c r="VZ4" s="16" t="s">
        <v>13</v>
      </c>
      <c r="WA4" s="5"/>
      <c r="WB4" s="5"/>
      <c r="WC4" s="5"/>
      <c r="WD4" s="5"/>
      <c r="WE4" s="5"/>
      <c r="WF4" s="31" t="s">
        <v>14</v>
      </c>
      <c r="WG4" s="16" t="s">
        <v>15</v>
      </c>
      <c r="WH4" s="5"/>
      <c r="WI4" s="5"/>
      <c r="WJ4" s="5"/>
      <c r="WK4" s="5"/>
      <c r="WL4" s="5"/>
      <c r="WM4" s="5"/>
      <c r="WN4" s="5"/>
      <c r="WO4" s="5"/>
      <c r="WP4" s="5"/>
      <c r="WQ4" s="5"/>
      <c r="WR4" s="20">
        <v>1.5</v>
      </c>
      <c r="WS4" s="20">
        <v>4</v>
      </c>
      <c r="WT4" s="20">
        <v>6.5</v>
      </c>
      <c r="WU4" s="13"/>
      <c r="WV4" s="13"/>
      <c r="WW4" s="14"/>
      <c r="WX4" s="11"/>
      <c r="WY4" s="5"/>
      <c r="WZ4" s="29">
        <v>0.5</v>
      </c>
      <c r="XA4" s="16" t="s">
        <v>12</v>
      </c>
      <c r="XB4" s="5"/>
      <c r="XC4" s="5"/>
      <c r="XD4" s="5"/>
      <c r="XE4" s="30">
        <v>0.5</v>
      </c>
      <c r="XF4" s="16" t="s">
        <v>13</v>
      </c>
      <c r="XG4" s="5"/>
      <c r="XH4" s="5"/>
      <c r="XI4" s="5"/>
      <c r="XJ4" s="5"/>
      <c r="XK4" s="5"/>
      <c r="XL4" s="31" t="s">
        <v>14</v>
      </c>
      <c r="XM4" s="16" t="s">
        <v>15</v>
      </c>
      <c r="XN4" s="5"/>
      <c r="XO4" s="5"/>
      <c r="XP4" s="5"/>
      <c r="XQ4" s="5"/>
      <c r="XR4" s="5"/>
      <c r="XS4" s="11"/>
      <c r="XT4" s="11"/>
      <c r="XU4" s="11"/>
      <c r="XV4" s="11"/>
      <c r="XW4" s="11"/>
      <c r="XX4" s="20">
        <v>1.5</v>
      </c>
      <c r="XY4" s="20">
        <v>4</v>
      </c>
      <c r="XZ4" s="20">
        <v>6.5</v>
      </c>
      <c r="YA4" s="21"/>
      <c r="YB4" s="5"/>
      <c r="YC4" s="29">
        <v>0.5</v>
      </c>
      <c r="YD4" s="16" t="s">
        <v>12</v>
      </c>
      <c r="YE4" s="5"/>
      <c r="YF4" s="5"/>
      <c r="YG4" s="5"/>
      <c r="YH4" s="30">
        <v>0.5</v>
      </c>
      <c r="YI4" s="16" t="s">
        <v>13</v>
      </c>
      <c r="YJ4" s="5"/>
      <c r="YK4" s="5"/>
      <c r="YL4" s="5"/>
      <c r="YM4" s="5"/>
      <c r="YN4" s="5"/>
      <c r="YO4" s="31" t="s">
        <v>14</v>
      </c>
      <c r="YP4" s="16" t="s">
        <v>15</v>
      </c>
      <c r="YQ4" s="5"/>
      <c r="YR4" s="5"/>
      <c r="YS4" s="5"/>
      <c r="YT4" s="5"/>
      <c r="YU4" s="5"/>
      <c r="YV4" s="11"/>
      <c r="YW4" s="11"/>
      <c r="YX4" s="11"/>
      <c r="YY4" s="11"/>
      <c r="YZ4" s="11"/>
      <c r="ZA4" s="20">
        <v>1.5</v>
      </c>
      <c r="ZB4" s="20">
        <v>4</v>
      </c>
      <c r="ZC4" s="20">
        <v>6.5</v>
      </c>
      <c r="ZD4" s="21"/>
      <c r="ZE4" s="5"/>
      <c r="ZF4" s="29">
        <v>0.5</v>
      </c>
      <c r="ZG4" s="16" t="s">
        <v>12</v>
      </c>
      <c r="ZH4" s="5"/>
      <c r="ZI4" s="5"/>
      <c r="ZJ4" s="5"/>
      <c r="ZK4" s="30">
        <v>0.5</v>
      </c>
      <c r="ZL4" s="16" t="s">
        <v>13</v>
      </c>
      <c r="ZM4" s="5"/>
      <c r="ZN4" s="5"/>
      <c r="ZO4" s="5"/>
      <c r="ZP4" s="5"/>
      <c r="ZQ4" s="5"/>
      <c r="ZR4" s="31" t="s">
        <v>14</v>
      </c>
      <c r="ZS4" s="16" t="s">
        <v>15</v>
      </c>
      <c r="ZT4" s="5"/>
      <c r="ZU4" s="5"/>
      <c r="ZV4" s="5"/>
      <c r="ZW4" s="5"/>
      <c r="ZX4" s="5"/>
      <c r="ZY4" s="11"/>
      <c r="ZZ4" s="11"/>
      <c r="AAA4" s="11"/>
      <c r="AAB4" s="11"/>
      <c r="AAC4" s="11"/>
      <c r="AAD4" s="20">
        <v>1.5</v>
      </c>
      <c r="AAE4" s="20">
        <v>4</v>
      </c>
      <c r="AAF4" s="20">
        <v>6.5</v>
      </c>
      <c r="AAG4" s="21"/>
      <c r="AAH4" s="5"/>
      <c r="AAI4" s="29">
        <v>0.5</v>
      </c>
      <c r="AAJ4" s="16" t="s">
        <v>12</v>
      </c>
      <c r="AAK4" s="5"/>
      <c r="AAL4" s="5"/>
      <c r="AAM4" s="5"/>
      <c r="AAN4" s="30">
        <v>0.5</v>
      </c>
      <c r="AAO4" s="16" t="s">
        <v>13</v>
      </c>
      <c r="AAP4" s="5"/>
      <c r="AAQ4" s="5"/>
      <c r="AAR4" s="5"/>
      <c r="AAS4" s="5"/>
      <c r="AAT4" s="5"/>
      <c r="AAU4" s="31" t="s">
        <v>14</v>
      </c>
      <c r="AAV4" s="16" t="s">
        <v>15</v>
      </c>
      <c r="AAW4" s="5"/>
      <c r="AAX4" s="5"/>
      <c r="AAY4" s="5"/>
      <c r="AAZ4" s="5"/>
      <c r="ABA4" s="5"/>
      <c r="ABB4" s="11"/>
      <c r="ABC4" s="11"/>
      <c r="ABD4" s="11"/>
      <c r="ABE4" s="11"/>
      <c r="ABF4" s="11"/>
      <c r="ABG4" s="20">
        <v>1.5</v>
      </c>
      <c r="ABH4" s="20">
        <v>4</v>
      </c>
      <c r="ABI4" s="20">
        <v>6.5</v>
      </c>
      <c r="ABJ4" s="21"/>
      <c r="ABK4" s="5"/>
      <c r="ABL4" s="29">
        <v>0.5</v>
      </c>
      <c r="ABM4" s="16" t="s">
        <v>12</v>
      </c>
      <c r="ABN4" s="5"/>
      <c r="ABO4" s="5"/>
      <c r="ABP4" s="5"/>
      <c r="ABQ4" s="30">
        <v>0.5</v>
      </c>
      <c r="ABR4" s="16" t="s">
        <v>13</v>
      </c>
      <c r="ABS4" s="5"/>
      <c r="ABT4" s="5"/>
      <c r="ABU4" s="5"/>
      <c r="ABV4" s="5"/>
      <c r="ABW4" s="5"/>
      <c r="ABX4" s="31" t="s">
        <v>14</v>
      </c>
      <c r="ABY4" s="16" t="s">
        <v>15</v>
      </c>
      <c r="ABZ4" s="5"/>
      <c r="ACA4" s="5"/>
      <c r="ACB4" s="5"/>
      <c r="ACC4" s="5"/>
      <c r="ACD4" s="5"/>
      <c r="ACE4" s="11"/>
      <c r="ACF4" s="11"/>
      <c r="ACG4" s="11"/>
      <c r="ACH4" s="11"/>
      <c r="ACI4" s="11"/>
      <c r="ACJ4" s="20">
        <v>1.5</v>
      </c>
      <c r="ACK4" s="20">
        <v>4</v>
      </c>
      <c r="ACL4" s="20">
        <v>6.5</v>
      </c>
      <c r="ACM4" s="21"/>
      <c r="ACN4" s="5"/>
      <c r="ACO4" s="29">
        <v>0.5</v>
      </c>
      <c r="ACP4" s="16" t="s">
        <v>12</v>
      </c>
      <c r="ACQ4" s="5"/>
      <c r="ACR4" s="5"/>
      <c r="ACS4" s="5"/>
      <c r="ACT4" s="30">
        <v>0.5</v>
      </c>
      <c r="ACU4" s="16" t="s">
        <v>13</v>
      </c>
      <c r="ACV4" s="5"/>
      <c r="ACW4" s="5"/>
      <c r="ACX4" s="5"/>
      <c r="ACY4" s="5"/>
      <c r="ACZ4" s="5"/>
      <c r="ADA4" s="31" t="s">
        <v>14</v>
      </c>
      <c r="ADB4" s="16" t="s">
        <v>15</v>
      </c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20">
        <v>1.5</v>
      </c>
      <c r="ADN4" s="20">
        <v>4</v>
      </c>
      <c r="ADO4" s="20">
        <v>6.5</v>
      </c>
      <c r="ADP4" s="21"/>
      <c r="ADQ4" s="5"/>
      <c r="ADR4" s="29">
        <v>0.5</v>
      </c>
      <c r="ADS4" s="16" t="s">
        <v>12</v>
      </c>
      <c r="ADT4" s="5"/>
      <c r="ADU4" s="5"/>
      <c r="ADV4" s="5"/>
      <c r="ADW4" s="30">
        <v>0.5</v>
      </c>
      <c r="ADX4" s="16" t="s">
        <v>13</v>
      </c>
      <c r="ADY4" s="5"/>
      <c r="ADZ4" s="5"/>
      <c r="AEA4" s="5"/>
      <c r="AEB4" s="5"/>
      <c r="AEC4" s="5"/>
      <c r="AED4" s="31" t="s">
        <v>14</v>
      </c>
      <c r="AEE4" s="16" t="s">
        <v>15</v>
      </c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20">
        <v>1.5</v>
      </c>
      <c r="AEQ4" s="20">
        <v>4</v>
      </c>
      <c r="AER4" s="20">
        <v>6.5</v>
      </c>
      <c r="AES4" s="11"/>
      <c r="AET4" s="11"/>
      <c r="AEU4" s="12"/>
      <c r="AEV4" s="11"/>
      <c r="AEW4" s="5"/>
      <c r="AEX4" s="29">
        <v>0.5</v>
      </c>
      <c r="AEY4" s="16" t="s">
        <v>12</v>
      </c>
      <c r="AEZ4" s="5"/>
      <c r="AFA4" s="5"/>
      <c r="AFB4" s="5"/>
      <c r="AFC4" s="30">
        <v>0.5</v>
      </c>
      <c r="AFD4" s="16" t="s">
        <v>13</v>
      </c>
      <c r="AFE4" s="5"/>
      <c r="AFF4" s="5"/>
      <c r="AFG4" s="5"/>
      <c r="AFH4" s="5"/>
      <c r="AFI4" s="5"/>
      <c r="AFJ4" s="31" t="s">
        <v>14</v>
      </c>
      <c r="AFK4" s="16" t="s">
        <v>15</v>
      </c>
      <c r="AFL4" s="5"/>
      <c r="AFM4" s="5"/>
      <c r="AFN4" s="5"/>
      <c r="AFO4" s="5"/>
      <c r="AFP4" s="5"/>
      <c r="AFQ4" s="11"/>
      <c r="AFR4" s="11"/>
      <c r="AFS4" s="11"/>
      <c r="AFT4" s="11"/>
      <c r="AFU4" s="11"/>
      <c r="AFV4" s="20">
        <v>1.5</v>
      </c>
      <c r="AFW4" s="20">
        <v>4</v>
      </c>
      <c r="AFX4" s="20">
        <v>6.5</v>
      </c>
      <c r="AFY4" s="21"/>
      <c r="AFZ4" s="5"/>
      <c r="AGA4" s="29">
        <v>0.5</v>
      </c>
      <c r="AGB4" s="16" t="s">
        <v>12</v>
      </c>
      <c r="AGC4" s="5"/>
      <c r="AGD4" s="5"/>
      <c r="AGE4" s="5"/>
      <c r="AGF4" s="30">
        <v>0.5</v>
      </c>
      <c r="AGG4" s="16" t="s">
        <v>13</v>
      </c>
      <c r="AGH4" s="5"/>
      <c r="AGI4" s="5"/>
      <c r="AGJ4" s="5"/>
      <c r="AGK4" s="5"/>
      <c r="AGL4" s="5"/>
      <c r="AGM4" s="31" t="s">
        <v>14</v>
      </c>
      <c r="AGN4" s="16" t="s">
        <v>15</v>
      </c>
      <c r="AGO4" s="5"/>
      <c r="AGP4" s="5"/>
      <c r="AGQ4" s="5"/>
      <c r="AGR4" s="5"/>
      <c r="AGS4" s="5"/>
      <c r="AGT4" s="11"/>
      <c r="AGU4" s="11"/>
      <c r="AGV4" s="11"/>
      <c r="AGW4" s="11"/>
      <c r="AGX4" s="11"/>
      <c r="AGY4" s="20">
        <v>1.5</v>
      </c>
      <c r="AGZ4" s="20">
        <v>4</v>
      </c>
      <c r="AHA4" s="20">
        <v>6.5</v>
      </c>
      <c r="AHB4" s="21"/>
      <c r="AHC4" s="5"/>
      <c r="AHD4" s="29">
        <v>0.5</v>
      </c>
      <c r="AHE4" s="16" t="s">
        <v>12</v>
      </c>
      <c r="AHF4" s="5"/>
      <c r="AHG4" s="5"/>
      <c r="AHH4" s="5"/>
      <c r="AHI4" s="30">
        <v>0.5</v>
      </c>
      <c r="AHJ4" s="16" t="s">
        <v>13</v>
      </c>
      <c r="AHK4" s="5"/>
      <c r="AHL4" s="5"/>
      <c r="AHM4" s="5"/>
      <c r="AHN4" s="5"/>
      <c r="AHO4" s="5"/>
      <c r="AHP4" s="31" t="s">
        <v>14</v>
      </c>
      <c r="AHQ4" s="16" t="s">
        <v>15</v>
      </c>
      <c r="AHR4" s="5"/>
      <c r="AHS4" s="5"/>
      <c r="AHT4" s="5"/>
      <c r="AHU4" s="5"/>
      <c r="AHV4" s="5"/>
      <c r="AHW4" s="11"/>
      <c r="AHX4" s="11"/>
      <c r="AHY4" s="11"/>
      <c r="AHZ4" s="11"/>
      <c r="AIA4" s="11"/>
      <c r="AIB4" s="20">
        <v>1.5</v>
      </c>
      <c r="AIC4" s="20">
        <v>4</v>
      </c>
      <c r="AID4" s="20">
        <v>6.5</v>
      </c>
      <c r="AIE4" s="21"/>
      <c r="AIF4" s="5"/>
      <c r="AIG4" s="29">
        <v>0.5</v>
      </c>
      <c r="AIH4" s="16" t="s">
        <v>12</v>
      </c>
      <c r="AII4" s="5"/>
      <c r="AIJ4" s="5"/>
      <c r="AIK4" s="5"/>
      <c r="AIL4" s="30">
        <v>0.5</v>
      </c>
      <c r="AIM4" s="16" t="s">
        <v>13</v>
      </c>
      <c r="AIN4" s="5"/>
      <c r="AIO4" s="5"/>
      <c r="AIP4" s="5"/>
      <c r="AIQ4" s="5"/>
      <c r="AIR4" s="5"/>
      <c r="AIS4" s="31" t="s">
        <v>14</v>
      </c>
      <c r="AIT4" s="16" t="s">
        <v>15</v>
      </c>
      <c r="AIU4" s="5"/>
      <c r="AIV4" s="5"/>
      <c r="AIW4" s="5"/>
      <c r="AIX4" s="5"/>
      <c r="AIY4" s="5"/>
      <c r="AIZ4" s="11"/>
      <c r="AJA4" s="11"/>
      <c r="AJB4" s="11"/>
      <c r="AJC4" s="11"/>
      <c r="AJD4" s="11"/>
      <c r="AJE4" s="20">
        <v>1.5</v>
      </c>
      <c r="AJF4" s="20">
        <v>4</v>
      </c>
      <c r="AJG4" s="20">
        <v>6.5</v>
      </c>
      <c r="AJH4" s="21"/>
      <c r="AJI4" s="5"/>
      <c r="AJJ4" s="29">
        <v>0.5</v>
      </c>
      <c r="AJK4" s="16" t="s">
        <v>12</v>
      </c>
      <c r="AJL4" s="5"/>
      <c r="AJM4" s="5"/>
      <c r="AJN4" s="5"/>
      <c r="AJO4" s="30">
        <v>0.5</v>
      </c>
      <c r="AJP4" s="16" t="s">
        <v>13</v>
      </c>
      <c r="AJQ4" s="5"/>
      <c r="AJR4" s="5"/>
      <c r="AJS4" s="5"/>
      <c r="AJT4" s="5"/>
      <c r="AJU4" s="5"/>
      <c r="AJV4" s="31" t="s">
        <v>14</v>
      </c>
      <c r="AJW4" s="16" t="s">
        <v>15</v>
      </c>
      <c r="AJX4" s="5"/>
      <c r="AJY4" s="5"/>
      <c r="AJZ4" s="5"/>
      <c r="AKA4" s="5"/>
      <c r="AKB4" s="5"/>
      <c r="AKC4" s="11"/>
      <c r="AKD4" s="11"/>
      <c r="AKE4" s="11"/>
      <c r="AKF4" s="11"/>
      <c r="AKG4" s="11"/>
      <c r="AKH4" s="20">
        <v>1.5</v>
      </c>
      <c r="AKI4" s="20">
        <v>4</v>
      </c>
      <c r="AKJ4" s="20">
        <v>6.5</v>
      </c>
      <c r="AKK4" s="21"/>
      <c r="AKL4" s="5"/>
      <c r="AKM4" s="29">
        <v>0.5</v>
      </c>
      <c r="AKN4" s="16" t="s">
        <v>12</v>
      </c>
      <c r="AKO4" s="5"/>
      <c r="AKP4" s="5"/>
      <c r="AKQ4" s="5"/>
      <c r="AKR4" s="30">
        <v>0.5</v>
      </c>
      <c r="AKS4" s="16" t="s">
        <v>13</v>
      </c>
      <c r="AKT4" s="5"/>
      <c r="AKU4" s="5"/>
      <c r="AKV4" s="5"/>
      <c r="AKW4" s="5"/>
      <c r="AKX4" s="5"/>
      <c r="AKY4" s="31" t="s">
        <v>14</v>
      </c>
      <c r="AKZ4" s="16" t="s">
        <v>15</v>
      </c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20">
        <v>1.5</v>
      </c>
      <c r="ALL4" s="20">
        <v>4</v>
      </c>
      <c r="ALM4" s="20">
        <v>6.5</v>
      </c>
      <c r="ALN4" s="21"/>
      <c r="ALO4" s="5"/>
      <c r="ALP4" s="29">
        <v>0.5</v>
      </c>
      <c r="ALQ4" s="16" t="s">
        <v>12</v>
      </c>
      <c r="ALR4" s="5"/>
      <c r="ALS4" s="5"/>
      <c r="ALT4" s="5"/>
      <c r="ALU4" s="30">
        <v>0.5</v>
      </c>
      <c r="ALV4" s="16" t="s">
        <v>13</v>
      </c>
      <c r="ALW4" s="5"/>
      <c r="ALX4" s="5"/>
      <c r="ALY4" s="5"/>
      <c r="ALZ4" s="5"/>
      <c r="AMA4" s="5"/>
      <c r="AMB4" s="31" t="s">
        <v>14</v>
      </c>
      <c r="AMC4" s="16" t="s">
        <v>15</v>
      </c>
      <c r="AMD4" s="5"/>
      <c r="AME4" s="5"/>
      <c r="AMF4" s="5"/>
      <c r="AMG4" s="5"/>
      <c r="AMH4" s="5"/>
      <c r="AMI4" s="5"/>
      <c r="AMJ4" s="5"/>
      <c r="AMK4" s="5"/>
      <c r="AML4" s="5"/>
      <c r="AMM4" s="5"/>
      <c r="AMN4" s="20">
        <v>1.5</v>
      </c>
      <c r="AMO4" s="20">
        <v>4</v>
      </c>
      <c r="AMP4" s="20">
        <v>6.5</v>
      </c>
      <c r="AMQ4" s="11"/>
      <c r="AMR4" s="11"/>
      <c r="AMS4" s="12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</row>
    <row r="5" ht="15" customHeight="1" spans="1:1191" x14ac:dyDescent="0.25">
      <c r="A5" s="4"/>
      <c r="B5" s="4"/>
      <c r="C5" s="4"/>
      <c r="D5" s="5"/>
      <c r="E5" s="5"/>
      <c r="F5" s="33">
        <v>0.5</v>
      </c>
      <c r="G5" s="16" t="s">
        <v>16</v>
      </c>
      <c r="H5" s="5"/>
      <c r="I5" s="5"/>
      <c r="J5" s="5"/>
      <c r="K5" s="34">
        <v>0.5</v>
      </c>
      <c r="L5" s="16" t="s">
        <v>17</v>
      </c>
      <c r="M5" s="5"/>
      <c r="N5" s="5"/>
      <c r="O5" s="5"/>
      <c r="P5" s="5"/>
      <c r="Q5" s="5"/>
      <c r="R5" s="35" t="s">
        <v>18</v>
      </c>
      <c r="S5" s="16" t="s">
        <v>19</v>
      </c>
      <c r="T5" s="5"/>
      <c r="U5" s="5"/>
      <c r="V5" s="5"/>
      <c r="W5" s="5"/>
      <c r="X5" s="5"/>
      <c r="Y5" s="5"/>
      <c r="Z5" s="5"/>
      <c r="AA5" s="5"/>
      <c r="AB5" s="5"/>
      <c r="AC5" s="5"/>
      <c r="AD5" s="20">
        <v>2</v>
      </c>
      <c r="AE5" s="20">
        <v>4.5</v>
      </c>
      <c r="AF5" s="20">
        <v>7</v>
      </c>
      <c r="AG5" s="5"/>
      <c r="AH5" s="5"/>
      <c r="AI5" s="33">
        <v>0.5</v>
      </c>
      <c r="AJ5" s="16" t="s">
        <v>16</v>
      </c>
      <c r="AK5" s="5"/>
      <c r="AL5" s="5"/>
      <c r="AM5" s="5"/>
      <c r="AN5" s="34">
        <v>0.5</v>
      </c>
      <c r="AO5" s="16" t="s">
        <v>17</v>
      </c>
      <c r="AP5" s="5"/>
      <c r="AQ5" s="5"/>
      <c r="AR5" s="5"/>
      <c r="AS5" s="5"/>
      <c r="AT5" s="5"/>
      <c r="AU5" s="35" t="s">
        <v>18</v>
      </c>
      <c r="AV5" s="16" t="s">
        <v>19</v>
      </c>
      <c r="AW5" s="5"/>
      <c r="AX5" s="5"/>
      <c r="AY5" s="5"/>
      <c r="AZ5" s="5"/>
      <c r="BA5" s="5"/>
      <c r="BB5" s="5"/>
      <c r="BC5" s="5"/>
      <c r="BD5" s="5"/>
      <c r="BE5" s="5"/>
      <c r="BF5" s="5"/>
      <c r="BG5" s="20">
        <v>2</v>
      </c>
      <c r="BH5" s="20">
        <v>4.5</v>
      </c>
      <c r="BI5" s="20">
        <v>7</v>
      </c>
      <c r="BJ5" s="21"/>
      <c r="BK5" s="5"/>
      <c r="BL5" s="33">
        <v>0.5</v>
      </c>
      <c r="BM5" s="16" t="s">
        <v>16</v>
      </c>
      <c r="BN5" s="5"/>
      <c r="BO5" s="5"/>
      <c r="BP5" s="5"/>
      <c r="BQ5" s="34">
        <v>0.5</v>
      </c>
      <c r="BR5" s="16" t="s">
        <v>17</v>
      </c>
      <c r="BS5" s="5"/>
      <c r="BT5" s="5"/>
      <c r="BU5" s="5"/>
      <c r="BV5" s="5"/>
      <c r="BW5" s="5"/>
      <c r="BX5" s="35" t="s">
        <v>18</v>
      </c>
      <c r="BY5" s="16" t="s">
        <v>19</v>
      </c>
      <c r="BZ5" s="5"/>
      <c r="CA5" s="5"/>
      <c r="CB5" s="5"/>
      <c r="CC5" s="5"/>
      <c r="CD5" s="5"/>
      <c r="CE5" s="5"/>
      <c r="CF5" s="5"/>
      <c r="CG5" s="5"/>
      <c r="CH5" s="5"/>
      <c r="CI5" s="5"/>
      <c r="CJ5" s="20">
        <v>2</v>
      </c>
      <c r="CK5" s="20">
        <v>4.5</v>
      </c>
      <c r="CL5" s="20">
        <v>7</v>
      </c>
      <c r="CM5" s="21"/>
      <c r="CN5" s="5"/>
      <c r="CO5" s="33">
        <v>0.5</v>
      </c>
      <c r="CP5" s="16" t="s">
        <v>16</v>
      </c>
      <c r="CQ5" s="5"/>
      <c r="CR5" s="5"/>
      <c r="CS5" s="5"/>
      <c r="CT5" s="34">
        <v>0.5</v>
      </c>
      <c r="CU5" s="16" t="s">
        <v>17</v>
      </c>
      <c r="CV5" s="5"/>
      <c r="CW5" s="5"/>
      <c r="CX5" s="5"/>
      <c r="CY5" s="5"/>
      <c r="CZ5" s="5"/>
      <c r="DA5" s="35" t="s">
        <v>18</v>
      </c>
      <c r="DB5" s="16" t="s">
        <v>19</v>
      </c>
      <c r="DC5" s="5"/>
      <c r="DD5" s="5"/>
      <c r="DE5" s="5"/>
      <c r="DF5" s="5"/>
      <c r="DG5" s="5"/>
      <c r="DH5" s="5"/>
      <c r="DI5" s="5"/>
      <c r="DJ5" s="5"/>
      <c r="DK5" s="5"/>
      <c r="DL5" s="5"/>
      <c r="DM5" s="20">
        <v>2</v>
      </c>
      <c r="DN5" s="20">
        <v>4.5</v>
      </c>
      <c r="DO5" s="20">
        <v>7</v>
      </c>
      <c r="DP5" s="21"/>
      <c r="DQ5" s="5"/>
      <c r="DR5" s="33">
        <v>0.5</v>
      </c>
      <c r="DS5" s="16" t="s">
        <v>16</v>
      </c>
      <c r="DT5" s="5"/>
      <c r="DU5" s="5"/>
      <c r="DV5" s="5"/>
      <c r="DW5" s="34">
        <v>0.5</v>
      </c>
      <c r="DX5" s="16" t="s">
        <v>17</v>
      </c>
      <c r="DY5" s="5"/>
      <c r="DZ5" s="5"/>
      <c r="EA5" s="5"/>
      <c r="EB5" s="5"/>
      <c r="EC5" s="5"/>
      <c r="ED5" s="35" t="s">
        <v>18</v>
      </c>
      <c r="EE5" s="16" t="s">
        <v>19</v>
      </c>
      <c r="EF5" s="5"/>
      <c r="EG5" s="5"/>
      <c r="EH5" s="5"/>
      <c r="EI5" s="5"/>
      <c r="EJ5" s="5"/>
      <c r="EK5" s="5"/>
      <c r="EL5" s="5"/>
      <c r="EM5" s="5"/>
      <c r="EN5" s="5"/>
      <c r="EO5" s="5"/>
      <c r="EP5" s="20">
        <v>2</v>
      </c>
      <c r="EQ5" s="20">
        <v>4.5</v>
      </c>
      <c r="ER5" s="20">
        <v>7</v>
      </c>
      <c r="ES5" s="21"/>
      <c r="ET5" s="5"/>
      <c r="EU5" s="33">
        <v>0.5</v>
      </c>
      <c r="EV5" s="16" t="s">
        <v>16</v>
      </c>
      <c r="EW5" s="5"/>
      <c r="EX5" s="5"/>
      <c r="EY5" s="5"/>
      <c r="EZ5" s="34">
        <v>0.5</v>
      </c>
      <c r="FA5" s="16" t="s">
        <v>17</v>
      </c>
      <c r="FB5" s="5"/>
      <c r="FC5" s="5"/>
      <c r="FD5" s="5"/>
      <c r="FE5" s="5"/>
      <c r="FF5" s="5"/>
      <c r="FG5" s="35" t="s">
        <v>18</v>
      </c>
      <c r="FH5" s="16" t="s">
        <v>19</v>
      </c>
      <c r="FI5" s="5"/>
      <c r="FJ5" s="5"/>
      <c r="FK5" s="5"/>
      <c r="FL5" s="5"/>
      <c r="FM5" s="5"/>
      <c r="FN5" s="5"/>
      <c r="FO5" s="5"/>
      <c r="FP5" s="5"/>
      <c r="FQ5" s="5"/>
      <c r="FR5" s="5"/>
      <c r="FS5" s="20">
        <v>2</v>
      </c>
      <c r="FT5" s="20">
        <v>4.5</v>
      </c>
      <c r="FU5" s="20">
        <v>7</v>
      </c>
      <c r="FV5" s="21"/>
      <c r="FW5" s="5"/>
      <c r="FX5" s="33">
        <v>0.5</v>
      </c>
      <c r="FY5" s="16" t="s">
        <v>16</v>
      </c>
      <c r="FZ5" s="5"/>
      <c r="GA5" s="5"/>
      <c r="GB5" s="5"/>
      <c r="GC5" s="34">
        <v>0.5</v>
      </c>
      <c r="GD5" s="16" t="s">
        <v>17</v>
      </c>
      <c r="GE5" s="5"/>
      <c r="GF5" s="5"/>
      <c r="GG5" s="5"/>
      <c r="GH5" s="5"/>
      <c r="GI5" s="5"/>
      <c r="GJ5" s="35" t="s">
        <v>18</v>
      </c>
      <c r="GK5" s="16" t="s">
        <v>19</v>
      </c>
      <c r="GL5" s="5"/>
      <c r="GM5" s="5"/>
      <c r="GN5" s="5"/>
      <c r="GO5" s="5"/>
      <c r="GP5" s="5"/>
      <c r="GQ5" s="5"/>
      <c r="GR5" s="5"/>
      <c r="GS5" s="5"/>
      <c r="GT5" s="5"/>
      <c r="GU5" s="5"/>
      <c r="GV5" s="20">
        <v>2</v>
      </c>
      <c r="GW5" s="20">
        <v>4.5</v>
      </c>
      <c r="GX5" s="20">
        <v>7</v>
      </c>
      <c r="GY5" s="5"/>
      <c r="GZ5" s="5"/>
      <c r="HA5" s="22"/>
      <c r="HB5" s="11"/>
      <c r="HC5" s="5"/>
      <c r="HD5" s="33">
        <v>0.5</v>
      </c>
      <c r="HE5" s="16" t="s">
        <v>16</v>
      </c>
      <c r="HF5" s="5"/>
      <c r="HG5" s="5"/>
      <c r="HH5" s="5"/>
      <c r="HI5" s="34">
        <v>0.5</v>
      </c>
      <c r="HJ5" s="16" t="s">
        <v>17</v>
      </c>
      <c r="HK5" s="5"/>
      <c r="HL5" s="5"/>
      <c r="HM5" s="5"/>
      <c r="HN5" s="5"/>
      <c r="HO5" s="5"/>
      <c r="HP5" s="35" t="s">
        <v>18</v>
      </c>
      <c r="HQ5" s="16" t="s">
        <v>19</v>
      </c>
      <c r="HR5" s="5"/>
      <c r="HS5" s="5"/>
      <c r="HT5" s="5"/>
      <c r="HU5" s="5"/>
      <c r="HV5" s="5"/>
      <c r="HW5" s="11"/>
      <c r="HX5" s="11"/>
      <c r="HY5" s="11"/>
      <c r="HZ5" s="11"/>
      <c r="IA5" s="11"/>
      <c r="IB5" s="20">
        <v>2</v>
      </c>
      <c r="IC5" s="20">
        <v>4.5</v>
      </c>
      <c r="ID5" s="20">
        <v>7</v>
      </c>
      <c r="IE5" s="21"/>
      <c r="IF5" s="5"/>
      <c r="IG5" s="33">
        <v>0.5</v>
      </c>
      <c r="IH5" s="16" t="s">
        <v>16</v>
      </c>
      <c r="II5" s="5"/>
      <c r="IJ5" s="5"/>
      <c r="IK5" s="5"/>
      <c r="IL5" s="34">
        <v>0.5</v>
      </c>
      <c r="IM5" s="16" t="s">
        <v>17</v>
      </c>
      <c r="IN5" s="5"/>
      <c r="IO5" s="5"/>
      <c r="IP5" s="5"/>
      <c r="IQ5" s="5"/>
      <c r="IR5" s="5"/>
      <c r="IS5" s="35" t="s">
        <v>18</v>
      </c>
      <c r="IT5" s="16" t="s">
        <v>19</v>
      </c>
      <c r="IU5" s="5"/>
      <c r="IV5" s="5"/>
      <c r="IW5" s="5"/>
      <c r="IX5" s="5"/>
      <c r="IY5" s="5"/>
      <c r="IZ5" s="11"/>
      <c r="JA5" s="11"/>
      <c r="JB5" s="11"/>
      <c r="JC5" s="11"/>
      <c r="JD5" s="11"/>
      <c r="JE5" s="20">
        <v>2</v>
      </c>
      <c r="JF5" s="20">
        <v>4.5</v>
      </c>
      <c r="JG5" s="20">
        <v>7</v>
      </c>
      <c r="JH5" s="21"/>
      <c r="JI5" s="5"/>
      <c r="JJ5" s="33">
        <v>0.5</v>
      </c>
      <c r="JK5" s="16" t="s">
        <v>16</v>
      </c>
      <c r="JL5" s="5"/>
      <c r="JM5" s="5"/>
      <c r="JN5" s="5"/>
      <c r="JO5" s="34">
        <v>0.5</v>
      </c>
      <c r="JP5" s="16" t="s">
        <v>17</v>
      </c>
      <c r="JQ5" s="5"/>
      <c r="JR5" s="5"/>
      <c r="JS5" s="5"/>
      <c r="JT5" s="5"/>
      <c r="JU5" s="5"/>
      <c r="JV5" s="35" t="s">
        <v>18</v>
      </c>
      <c r="JW5" s="16" t="s">
        <v>19</v>
      </c>
      <c r="JX5" s="5"/>
      <c r="JY5" s="5"/>
      <c r="JZ5" s="5"/>
      <c r="KA5" s="5"/>
      <c r="KB5" s="5"/>
      <c r="KC5" s="11"/>
      <c r="KD5" s="11"/>
      <c r="KE5" s="11"/>
      <c r="KF5" s="11"/>
      <c r="KG5" s="11"/>
      <c r="KH5" s="20">
        <v>2</v>
      </c>
      <c r="KI5" s="20">
        <v>4.5</v>
      </c>
      <c r="KJ5" s="20">
        <v>7</v>
      </c>
      <c r="KK5" s="21"/>
      <c r="KL5" s="5"/>
      <c r="KM5" s="33">
        <v>0.5</v>
      </c>
      <c r="KN5" s="16" t="s">
        <v>16</v>
      </c>
      <c r="KO5" s="5"/>
      <c r="KP5" s="5"/>
      <c r="KQ5" s="5"/>
      <c r="KR5" s="34">
        <v>0.5</v>
      </c>
      <c r="KS5" s="16" t="s">
        <v>17</v>
      </c>
      <c r="KT5" s="5"/>
      <c r="KU5" s="5"/>
      <c r="KV5" s="5"/>
      <c r="KW5" s="5"/>
      <c r="KX5" s="5"/>
      <c r="KY5" s="35" t="s">
        <v>18</v>
      </c>
      <c r="KZ5" s="16" t="s">
        <v>19</v>
      </c>
      <c r="LA5" s="5"/>
      <c r="LB5" s="5"/>
      <c r="LC5" s="5"/>
      <c r="LD5" s="5"/>
      <c r="LE5" s="5"/>
      <c r="LF5" s="11"/>
      <c r="LG5" s="11"/>
      <c r="LH5" s="11"/>
      <c r="LI5" s="11"/>
      <c r="LJ5" s="11"/>
      <c r="LK5" s="20">
        <v>2</v>
      </c>
      <c r="LL5" s="20">
        <v>4.5</v>
      </c>
      <c r="LM5" s="20">
        <v>7</v>
      </c>
      <c r="LN5" s="21"/>
      <c r="LO5" s="5"/>
      <c r="LP5" s="33">
        <v>0.5</v>
      </c>
      <c r="LQ5" s="16" t="s">
        <v>16</v>
      </c>
      <c r="LR5" s="5"/>
      <c r="LS5" s="5"/>
      <c r="LT5" s="5"/>
      <c r="LU5" s="34">
        <v>0.5</v>
      </c>
      <c r="LV5" s="16" t="s">
        <v>17</v>
      </c>
      <c r="LW5" s="5"/>
      <c r="LX5" s="5"/>
      <c r="LY5" s="5"/>
      <c r="LZ5" s="5"/>
      <c r="MA5" s="5"/>
      <c r="MB5" s="35" t="s">
        <v>18</v>
      </c>
      <c r="MC5" s="16" t="s">
        <v>19</v>
      </c>
      <c r="MD5" s="5"/>
      <c r="ME5" s="5"/>
      <c r="MF5" s="5"/>
      <c r="MG5" s="5"/>
      <c r="MH5" s="5"/>
      <c r="MI5" s="11"/>
      <c r="MJ5" s="11"/>
      <c r="MK5" s="11"/>
      <c r="ML5" s="11"/>
      <c r="MM5" s="11"/>
      <c r="MN5" s="20">
        <v>2</v>
      </c>
      <c r="MO5" s="20">
        <v>4.5</v>
      </c>
      <c r="MP5" s="20">
        <v>7</v>
      </c>
      <c r="MQ5" s="21"/>
      <c r="MR5" s="5"/>
      <c r="MS5" s="33">
        <v>0.5</v>
      </c>
      <c r="MT5" s="16" t="s">
        <v>16</v>
      </c>
      <c r="MU5" s="5"/>
      <c r="MV5" s="5"/>
      <c r="MW5" s="5"/>
      <c r="MX5" s="34">
        <v>0.5</v>
      </c>
      <c r="MY5" s="16" t="s">
        <v>17</v>
      </c>
      <c r="MZ5" s="5"/>
      <c r="NA5" s="5"/>
      <c r="NB5" s="5"/>
      <c r="NC5" s="5"/>
      <c r="ND5" s="5"/>
      <c r="NE5" s="35" t="s">
        <v>18</v>
      </c>
      <c r="NF5" s="16" t="s">
        <v>19</v>
      </c>
      <c r="NG5" s="5"/>
      <c r="NH5" s="5"/>
      <c r="NI5" s="5"/>
      <c r="NJ5" s="5"/>
      <c r="NK5" s="5"/>
      <c r="NL5" s="5"/>
      <c r="NM5" s="5"/>
      <c r="NN5" s="5"/>
      <c r="NO5" s="5"/>
      <c r="NP5" s="5"/>
      <c r="NQ5" s="20">
        <v>2</v>
      </c>
      <c r="NR5" s="20">
        <v>4.5</v>
      </c>
      <c r="NS5" s="20">
        <v>7</v>
      </c>
      <c r="NT5" s="21"/>
      <c r="NU5" s="5"/>
      <c r="NV5" s="33">
        <v>0.5</v>
      </c>
      <c r="NW5" s="16" t="s">
        <v>16</v>
      </c>
      <c r="NX5" s="5"/>
      <c r="NY5" s="5"/>
      <c r="NZ5" s="5"/>
      <c r="OA5" s="34">
        <v>0.5</v>
      </c>
      <c r="OB5" s="16" t="s">
        <v>17</v>
      </c>
      <c r="OC5" s="5"/>
      <c r="OD5" s="5"/>
      <c r="OE5" s="5"/>
      <c r="OF5" s="5"/>
      <c r="OG5" s="5"/>
      <c r="OH5" s="35" t="s">
        <v>18</v>
      </c>
      <c r="OI5" s="16" t="s">
        <v>19</v>
      </c>
      <c r="OJ5" s="5"/>
      <c r="OK5" s="5"/>
      <c r="OL5" s="5"/>
      <c r="OM5" s="5"/>
      <c r="ON5" s="5"/>
      <c r="OO5" s="5"/>
      <c r="OP5" s="5"/>
      <c r="OQ5" s="5"/>
      <c r="OR5" s="5"/>
      <c r="OS5" s="5"/>
      <c r="OT5" s="20">
        <v>2</v>
      </c>
      <c r="OU5" s="20">
        <v>4.5</v>
      </c>
      <c r="OV5" s="20">
        <v>7</v>
      </c>
      <c r="OW5" s="11"/>
      <c r="OX5" s="11"/>
      <c r="OY5" s="12"/>
      <c r="OZ5" s="13"/>
      <c r="PA5" s="5"/>
      <c r="PB5" s="33">
        <v>0.5</v>
      </c>
      <c r="PC5" s="16" t="s">
        <v>16</v>
      </c>
      <c r="PD5" s="5"/>
      <c r="PE5" s="5"/>
      <c r="PF5" s="5"/>
      <c r="PG5" s="34">
        <v>0.5</v>
      </c>
      <c r="PH5" s="16" t="s">
        <v>17</v>
      </c>
      <c r="PI5" s="5"/>
      <c r="PJ5" s="5"/>
      <c r="PK5" s="5"/>
      <c r="PL5" s="5"/>
      <c r="PM5" s="5"/>
      <c r="PN5" s="35" t="s">
        <v>18</v>
      </c>
      <c r="PO5" s="16" t="s">
        <v>19</v>
      </c>
      <c r="PP5" s="5"/>
      <c r="PQ5" s="5"/>
      <c r="PR5" s="5"/>
      <c r="PS5" s="5"/>
      <c r="PT5" s="5"/>
      <c r="PU5" s="13"/>
      <c r="PV5" s="13"/>
      <c r="PW5" s="13"/>
      <c r="PX5" s="13"/>
      <c r="PY5" s="13"/>
      <c r="PZ5" s="20">
        <v>2</v>
      </c>
      <c r="QA5" s="20">
        <v>4.5</v>
      </c>
      <c r="QB5" s="20">
        <v>7</v>
      </c>
      <c r="QC5" s="21"/>
      <c r="QD5" s="5"/>
      <c r="QE5" s="33">
        <v>0.5</v>
      </c>
      <c r="QF5" s="16" t="s">
        <v>16</v>
      </c>
      <c r="QG5" s="5"/>
      <c r="QH5" s="5"/>
      <c r="QI5" s="5"/>
      <c r="QJ5" s="34">
        <v>0.5</v>
      </c>
      <c r="QK5" s="16" t="s">
        <v>17</v>
      </c>
      <c r="QL5" s="5"/>
      <c r="QM5" s="5"/>
      <c r="QN5" s="5"/>
      <c r="QO5" s="5"/>
      <c r="QP5" s="5"/>
      <c r="QQ5" s="35" t="s">
        <v>18</v>
      </c>
      <c r="QR5" s="16" t="s">
        <v>19</v>
      </c>
      <c r="QS5" s="5"/>
      <c r="QT5" s="5"/>
      <c r="QU5" s="5"/>
      <c r="QV5" s="5"/>
      <c r="QW5" s="5"/>
      <c r="QX5" s="13"/>
      <c r="QY5" s="13"/>
      <c r="QZ5" s="13"/>
      <c r="RA5" s="13"/>
      <c r="RB5" s="13"/>
      <c r="RC5" s="20">
        <v>2</v>
      </c>
      <c r="RD5" s="20">
        <v>4.5</v>
      </c>
      <c r="RE5" s="20">
        <v>7</v>
      </c>
      <c r="RF5" s="21"/>
      <c r="RG5" s="5"/>
      <c r="RH5" s="33">
        <v>0.5</v>
      </c>
      <c r="RI5" s="16" t="s">
        <v>16</v>
      </c>
      <c r="RJ5" s="5"/>
      <c r="RK5" s="5"/>
      <c r="RL5" s="5"/>
      <c r="RM5" s="34">
        <v>0.5</v>
      </c>
      <c r="RN5" s="16" t="s">
        <v>17</v>
      </c>
      <c r="RO5" s="5"/>
      <c r="RP5" s="5"/>
      <c r="RQ5" s="5"/>
      <c r="RR5" s="5"/>
      <c r="RS5" s="5"/>
      <c r="RT5" s="35" t="s">
        <v>18</v>
      </c>
      <c r="RU5" s="16" t="s">
        <v>19</v>
      </c>
      <c r="RV5" s="5"/>
      <c r="RW5" s="5"/>
      <c r="RX5" s="5"/>
      <c r="RY5" s="5"/>
      <c r="RZ5" s="5"/>
      <c r="SA5" s="13"/>
      <c r="SB5" s="13"/>
      <c r="SC5" s="13"/>
      <c r="SD5" s="13"/>
      <c r="SE5" s="13"/>
      <c r="SF5" s="20">
        <v>2</v>
      </c>
      <c r="SG5" s="20">
        <v>4.5</v>
      </c>
      <c r="SH5" s="20">
        <v>7</v>
      </c>
      <c r="SI5" s="21"/>
      <c r="SJ5" s="5"/>
      <c r="SK5" s="33">
        <v>0.5</v>
      </c>
      <c r="SL5" s="16" t="s">
        <v>16</v>
      </c>
      <c r="SM5" s="5"/>
      <c r="SN5" s="5"/>
      <c r="SO5" s="5"/>
      <c r="SP5" s="34">
        <v>0.5</v>
      </c>
      <c r="SQ5" s="16" t="s">
        <v>17</v>
      </c>
      <c r="SR5" s="5"/>
      <c r="SS5" s="5"/>
      <c r="ST5" s="5"/>
      <c r="SU5" s="5"/>
      <c r="SV5" s="5"/>
      <c r="SW5" s="35" t="s">
        <v>18</v>
      </c>
      <c r="SX5" s="16" t="s">
        <v>19</v>
      </c>
      <c r="SY5" s="5"/>
      <c r="SZ5" s="5"/>
      <c r="TA5" s="5"/>
      <c r="TB5" s="5"/>
      <c r="TC5" s="5"/>
      <c r="TD5" s="13"/>
      <c r="TE5" s="13"/>
      <c r="TF5" s="13"/>
      <c r="TG5" s="13"/>
      <c r="TH5" s="13"/>
      <c r="TI5" s="20">
        <v>2</v>
      </c>
      <c r="TJ5" s="20">
        <v>4.5</v>
      </c>
      <c r="TK5" s="20">
        <v>7</v>
      </c>
      <c r="TL5" s="21"/>
      <c r="TM5" s="5"/>
      <c r="TN5" s="33">
        <v>0.5</v>
      </c>
      <c r="TO5" s="16" t="s">
        <v>16</v>
      </c>
      <c r="TP5" s="5"/>
      <c r="TQ5" s="5"/>
      <c r="TR5" s="5"/>
      <c r="TS5" s="34">
        <v>0.5</v>
      </c>
      <c r="TT5" s="16" t="s">
        <v>17</v>
      </c>
      <c r="TU5" s="5"/>
      <c r="TV5" s="5"/>
      <c r="TW5" s="5"/>
      <c r="TX5" s="5"/>
      <c r="TY5" s="5"/>
      <c r="TZ5" s="35" t="s">
        <v>18</v>
      </c>
      <c r="UA5" s="16" t="s">
        <v>19</v>
      </c>
      <c r="UB5" s="5"/>
      <c r="UC5" s="5"/>
      <c r="UD5" s="5"/>
      <c r="UE5" s="5"/>
      <c r="UF5" s="5"/>
      <c r="UG5" s="13"/>
      <c r="UH5" s="13"/>
      <c r="UI5" s="13"/>
      <c r="UJ5" s="13"/>
      <c r="UK5" s="13"/>
      <c r="UL5" s="20">
        <v>2</v>
      </c>
      <c r="UM5" s="20">
        <v>4.5</v>
      </c>
      <c r="UN5" s="20">
        <v>7</v>
      </c>
      <c r="UO5" s="21"/>
      <c r="UP5" s="5"/>
      <c r="UQ5" s="33">
        <v>0.5</v>
      </c>
      <c r="UR5" s="16" t="s">
        <v>16</v>
      </c>
      <c r="US5" s="5"/>
      <c r="UT5" s="5"/>
      <c r="UU5" s="5"/>
      <c r="UV5" s="34">
        <v>0.5</v>
      </c>
      <c r="UW5" s="16" t="s">
        <v>17</v>
      </c>
      <c r="UX5" s="5"/>
      <c r="UY5" s="5"/>
      <c r="UZ5" s="5"/>
      <c r="VA5" s="5"/>
      <c r="VB5" s="5"/>
      <c r="VC5" s="35" t="s">
        <v>18</v>
      </c>
      <c r="VD5" s="16" t="s">
        <v>19</v>
      </c>
      <c r="VE5" s="5"/>
      <c r="VF5" s="5"/>
      <c r="VG5" s="5"/>
      <c r="VH5" s="5"/>
      <c r="VI5" s="5"/>
      <c r="VJ5" s="5"/>
      <c r="VK5" s="5"/>
      <c r="VL5" s="5"/>
      <c r="VM5" s="5"/>
      <c r="VN5" s="5"/>
      <c r="VO5" s="20">
        <v>2</v>
      </c>
      <c r="VP5" s="20">
        <v>4.5</v>
      </c>
      <c r="VQ5" s="20">
        <v>7</v>
      </c>
      <c r="VR5" s="21"/>
      <c r="VS5" s="5"/>
      <c r="VT5" s="33">
        <v>0.5</v>
      </c>
      <c r="VU5" s="16" t="s">
        <v>16</v>
      </c>
      <c r="VV5" s="5"/>
      <c r="VW5" s="5"/>
      <c r="VX5" s="5"/>
      <c r="VY5" s="34">
        <v>0.5</v>
      </c>
      <c r="VZ5" s="16" t="s">
        <v>17</v>
      </c>
      <c r="WA5" s="5"/>
      <c r="WB5" s="5"/>
      <c r="WC5" s="5"/>
      <c r="WD5" s="5"/>
      <c r="WE5" s="5"/>
      <c r="WF5" s="35" t="s">
        <v>18</v>
      </c>
      <c r="WG5" s="16" t="s">
        <v>19</v>
      </c>
      <c r="WH5" s="5"/>
      <c r="WI5" s="5"/>
      <c r="WJ5" s="5"/>
      <c r="WK5" s="5"/>
      <c r="WL5" s="5"/>
      <c r="WM5" s="5"/>
      <c r="WN5" s="5"/>
      <c r="WO5" s="5"/>
      <c r="WP5" s="5"/>
      <c r="WQ5" s="5"/>
      <c r="WR5" s="20">
        <v>2</v>
      </c>
      <c r="WS5" s="20">
        <v>4.5</v>
      </c>
      <c r="WT5" s="20">
        <v>7</v>
      </c>
      <c r="WU5" s="13"/>
      <c r="WV5" s="13"/>
      <c r="WW5" s="14"/>
      <c r="WX5" s="11"/>
      <c r="WY5" s="5"/>
      <c r="WZ5" s="33">
        <v>0.5</v>
      </c>
      <c r="XA5" s="16" t="s">
        <v>16</v>
      </c>
      <c r="XB5" s="5"/>
      <c r="XC5" s="5"/>
      <c r="XD5" s="5"/>
      <c r="XE5" s="34">
        <v>0.5</v>
      </c>
      <c r="XF5" s="16" t="s">
        <v>17</v>
      </c>
      <c r="XG5" s="5"/>
      <c r="XH5" s="5"/>
      <c r="XI5" s="5"/>
      <c r="XJ5" s="5"/>
      <c r="XK5" s="5"/>
      <c r="XL5" s="35" t="s">
        <v>18</v>
      </c>
      <c r="XM5" s="16" t="s">
        <v>19</v>
      </c>
      <c r="XN5" s="5"/>
      <c r="XO5" s="5"/>
      <c r="XP5" s="5"/>
      <c r="XQ5" s="5"/>
      <c r="XR5" s="5"/>
      <c r="XS5" s="11"/>
      <c r="XT5" s="11"/>
      <c r="XU5" s="11"/>
      <c r="XV5" s="11"/>
      <c r="XW5" s="11"/>
      <c r="XX5" s="20">
        <v>2</v>
      </c>
      <c r="XY5" s="20">
        <v>4.5</v>
      </c>
      <c r="XZ5" s="20">
        <v>7</v>
      </c>
      <c r="YA5" s="21"/>
      <c r="YB5" s="5"/>
      <c r="YC5" s="33">
        <v>0.5</v>
      </c>
      <c r="YD5" s="16" t="s">
        <v>16</v>
      </c>
      <c r="YE5" s="5"/>
      <c r="YF5" s="5"/>
      <c r="YG5" s="5"/>
      <c r="YH5" s="34">
        <v>0.5</v>
      </c>
      <c r="YI5" s="16" t="s">
        <v>17</v>
      </c>
      <c r="YJ5" s="5"/>
      <c r="YK5" s="5"/>
      <c r="YL5" s="5"/>
      <c r="YM5" s="5"/>
      <c r="YN5" s="5"/>
      <c r="YO5" s="35" t="s">
        <v>18</v>
      </c>
      <c r="YP5" s="16" t="s">
        <v>19</v>
      </c>
      <c r="YQ5" s="5"/>
      <c r="YR5" s="5"/>
      <c r="YS5" s="5"/>
      <c r="YT5" s="5"/>
      <c r="YU5" s="5"/>
      <c r="YV5" s="11"/>
      <c r="YW5" s="11"/>
      <c r="YX5" s="11"/>
      <c r="YY5" s="11"/>
      <c r="YZ5" s="11"/>
      <c r="ZA5" s="20">
        <v>2</v>
      </c>
      <c r="ZB5" s="20">
        <v>4.5</v>
      </c>
      <c r="ZC5" s="20">
        <v>7</v>
      </c>
      <c r="ZD5" s="21"/>
      <c r="ZE5" s="5"/>
      <c r="ZF5" s="33">
        <v>0.5</v>
      </c>
      <c r="ZG5" s="16" t="s">
        <v>16</v>
      </c>
      <c r="ZH5" s="5"/>
      <c r="ZI5" s="5"/>
      <c r="ZJ5" s="5"/>
      <c r="ZK5" s="34">
        <v>0.5</v>
      </c>
      <c r="ZL5" s="16" t="s">
        <v>17</v>
      </c>
      <c r="ZM5" s="5"/>
      <c r="ZN5" s="5"/>
      <c r="ZO5" s="5"/>
      <c r="ZP5" s="5"/>
      <c r="ZQ5" s="5"/>
      <c r="ZR5" s="35" t="s">
        <v>18</v>
      </c>
      <c r="ZS5" s="16" t="s">
        <v>19</v>
      </c>
      <c r="ZT5" s="5"/>
      <c r="ZU5" s="5"/>
      <c r="ZV5" s="5"/>
      <c r="ZW5" s="5"/>
      <c r="ZX5" s="5"/>
      <c r="ZY5" s="11"/>
      <c r="ZZ5" s="11"/>
      <c r="AAA5" s="11"/>
      <c r="AAB5" s="11"/>
      <c r="AAC5" s="11"/>
      <c r="AAD5" s="20">
        <v>2</v>
      </c>
      <c r="AAE5" s="20">
        <v>4.5</v>
      </c>
      <c r="AAF5" s="20">
        <v>7</v>
      </c>
      <c r="AAG5" s="21"/>
      <c r="AAH5" s="5"/>
      <c r="AAI5" s="33">
        <v>0.5</v>
      </c>
      <c r="AAJ5" s="16" t="s">
        <v>16</v>
      </c>
      <c r="AAK5" s="5"/>
      <c r="AAL5" s="5"/>
      <c r="AAM5" s="5"/>
      <c r="AAN5" s="34">
        <v>0.5</v>
      </c>
      <c r="AAO5" s="16" t="s">
        <v>17</v>
      </c>
      <c r="AAP5" s="5"/>
      <c r="AAQ5" s="5"/>
      <c r="AAR5" s="5"/>
      <c r="AAS5" s="5"/>
      <c r="AAT5" s="5"/>
      <c r="AAU5" s="35" t="s">
        <v>18</v>
      </c>
      <c r="AAV5" s="16" t="s">
        <v>19</v>
      </c>
      <c r="AAW5" s="5"/>
      <c r="AAX5" s="5"/>
      <c r="AAY5" s="5"/>
      <c r="AAZ5" s="5"/>
      <c r="ABA5" s="5"/>
      <c r="ABB5" s="11"/>
      <c r="ABC5" s="11"/>
      <c r="ABD5" s="11"/>
      <c r="ABE5" s="11"/>
      <c r="ABF5" s="11"/>
      <c r="ABG5" s="20">
        <v>2</v>
      </c>
      <c r="ABH5" s="20">
        <v>4.5</v>
      </c>
      <c r="ABI5" s="20">
        <v>7</v>
      </c>
      <c r="ABJ5" s="21"/>
      <c r="ABK5" s="5"/>
      <c r="ABL5" s="33">
        <v>0.5</v>
      </c>
      <c r="ABM5" s="16" t="s">
        <v>16</v>
      </c>
      <c r="ABN5" s="5"/>
      <c r="ABO5" s="5"/>
      <c r="ABP5" s="5"/>
      <c r="ABQ5" s="34">
        <v>0.5</v>
      </c>
      <c r="ABR5" s="16" t="s">
        <v>17</v>
      </c>
      <c r="ABS5" s="5"/>
      <c r="ABT5" s="5"/>
      <c r="ABU5" s="5"/>
      <c r="ABV5" s="5"/>
      <c r="ABW5" s="5"/>
      <c r="ABX5" s="35" t="s">
        <v>18</v>
      </c>
      <c r="ABY5" s="16" t="s">
        <v>19</v>
      </c>
      <c r="ABZ5" s="5"/>
      <c r="ACA5" s="5"/>
      <c r="ACB5" s="5"/>
      <c r="ACC5" s="5"/>
      <c r="ACD5" s="5"/>
      <c r="ACE5" s="11"/>
      <c r="ACF5" s="11"/>
      <c r="ACG5" s="11"/>
      <c r="ACH5" s="11"/>
      <c r="ACI5" s="11"/>
      <c r="ACJ5" s="20">
        <v>2</v>
      </c>
      <c r="ACK5" s="20">
        <v>4.5</v>
      </c>
      <c r="ACL5" s="20">
        <v>7</v>
      </c>
      <c r="ACM5" s="21"/>
      <c r="ACN5" s="5"/>
      <c r="ACO5" s="33">
        <v>0.5</v>
      </c>
      <c r="ACP5" s="16" t="s">
        <v>16</v>
      </c>
      <c r="ACQ5" s="5"/>
      <c r="ACR5" s="5"/>
      <c r="ACS5" s="5"/>
      <c r="ACT5" s="34">
        <v>0.5</v>
      </c>
      <c r="ACU5" s="16" t="s">
        <v>17</v>
      </c>
      <c r="ACV5" s="5"/>
      <c r="ACW5" s="5"/>
      <c r="ACX5" s="5"/>
      <c r="ACY5" s="5"/>
      <c r="ACZ5" s="5"/>
      <c r="ADA5" s="35" t="s">
        <v>18</v>
      </c>
      <c r="ADB5" s="16" t="s">
        <v>19</v>
      </c>
      <c r="ADC5" s="5"/>
      <c r="ADD5" s="5"/>
      <c r="ADE5" s="5"/>
      <c r="ADF5" s="5"/>
      <c r="ADG5" s="5"/>
      <c r="ADH5" s="5"/>
      <c r="ADI5" s="5"/>
      <c r="ADJ5" s="5"/>
      <c r="ADK5" s="5"/>
      <c r="ADL5" s="5"/>
      <c r="ADM5" s="20">
        <v>2</v>
      </c>
      <c r="ADN5" s="20">
        <v>4.5</v>
      </c>
      <c r="ADO5" s="20">
        <v>7</v>
      </c>
      <c r="ADP5" s="21"/>
      <c r="ADQ5" s="5"/>
      <c r="ADR5" s="33">
        <v>0.5</v>
      </c>
      <c r="ADS5" s="16" t="s">
        <v>16</v>
      </c>
      <c r="ADT5" s="5"/>
      <c r="ADU5" s="5"/>
      <c r="ADV5" s="5"/>
      <c r="ADW5" s="34">
        <v>0.5</v>
      </c>
      <c r="ADX5" s="16" t="s">
        <v>17</v>
      </c>
      <c r="ADY5" s="5"/>
      <c r="ADZ5" s="5"/>
      <c r="AEA5" s="5"/>
      <c r="AEB5" s="5"/>
      <c r="AEC5" s="5"/>
      <c r="AED5" s="35" t="s">
        <v>18</v>
      </c>
      <c r="AEE5" s="16" t="s">
        <v>19</v>
      </c>
      <c r="AEF5" s="5"/>
      <c r="AEG5" s="5"/>
      <c r="AEH5" s="5"/>
      <c r="AEI5" s="5"/>
      <c r="AEJ5" s="5"/>
      <c r="AEK5" s="5"/>
      <c r="AEL5" s="5"/>
      <c r="AEM5" s="5"/>
      <c r="AEN5" s="5"/>
      <c r="AEO5" s="5"/>
      <c r="AEP5" s="20">
        <v>2</v>
      </c>
      <c r="AEQ5" s="20">
        <v>4.5</v>
      </c>
      <c r="AER5" s="20">
        <v>7</v>
      </c>
      <c r="AES5" s="11"/>
      <c r="AET5" s="11"/>
      <c r="AEU5" s="12"/>
      <c r="AEV5" s="11"/>
      <c r="AEW5" s="5"/>
      <c r="AEX5" s="33">
        <v>0.5</v>
      </c>
      <c r="AEY5" s="16" t="s">
        <v>16</v>
      </c>
      <c r="AEZ5" s="5"/>
      <c r="AFA5" s="5"/>
      <c r="AFB5" s="5"/>
      <c r="AFC5" s="34">
        <v>0.5</v>
      </c>
      <c r="AFD5" s="16" t="s">
        <v>17</v>
      </c>
      <c r="AFE5" s="5"/>
      <c r="AFF5" s="5"/>
      <c r="AFG5" s="5"/>
      <c r="AFH5" s="5"/>
      <c r="AFI5" s="5"/>
      <c r="AFJ5" s="35" t="s">
        <v>18</v>
      </c>
      <c r="AFK5" s="16" t="s">
        <v>19</v>
      </c>
      <c r="AFL5" s="5"/>
      <c r="AFM5" s="5"/>
      <c r="AFN5" s="5"/>
      <c r="AFO5" s="5"/>
      <c r="AFP5" s="5"/>
      <c r="AFQ5" s="11"/>
      <c r="AFR5" s="11"/>
      <c r="AFS5" s="11"/>
      <c r="AFT5" s="11"/>
      <c r="AFU5" s="11"/>
      <c r="AFV5" s="20">
        <v>2</v>
      </c>
      <c r="AFW5" s="20">
        <v>4.5</v>
      </c>
      <c r="AFX5" s="20">
        <v>7</v>
      </c>
      <c r="AFY5" s="21"/>
      <c r="AFZ5" s="5"/>
      <c r="AGA5" s="33">
        <v>0.5</v>
      </c>
      <c r="AGB5" s="16" t="s">
        <v>16</v>
      </c>
      <c r="AGC5" s="5"/>
      <c r="AGD5" s="5"/>
      <c r="AGE5" s="5"/>
      <c r="AGF5" s="34">
        <v>0.5</v>
      </c>
      <c r="AGG5" s="16" t="s">
        <v>17</v>
      </c>
      <c r="AGH5" s="5"/>
      <c r="AGI5" s="5"/>
      <c r="AGJ5" s="5"/>
      <c r="AGK5" s="5"/>
      <c r="AGL5" s="5"/>
      <c r="AGM5" s="35" t="s">
        <v>18</v>
      </c>
      <c r="AGN5" s="16" t="s">
        <v>19</v>
      </c>
      <c r="AGO5" s="5"/>
      <c r="AGP5" s="5"/>
      <c r="AGQ5" s="5"/>
      <c r="AGR5" s="5"/>
      <c r="AGS5" s="5"/>
      <c r="AGT5" s="11"/>
      <c r="AGU5" s="11"/>
      <c r="AGV5" s="11"/>
      <c r="AGW5" s="11"/>
      <c r="AGX5" s="11"/>
      <c r="AGY5" s="20">
        <v>2</v>
      </c>
      <c r="AGZ5" s="20">
        <v>4.5</v>
      </c>
      <c r="AHA5" s="20">
        <v>7</v>
      </c>
      <c r="AHB5" s="21"/>
      <c r="AHC5" s="5"/>
      <c r="AHD5" s="33">
        <v>0.5</v>
      </c>
      <c r="AHE5" s="16" t="s">
        <v>16</v>
      </c>
      <c r="AHF5" s="5"/>
      <c r="AHG5" s="5"/>
      <c r="AHH5" s="5"/>
      <c r="AHI5" s="34">
        <v>0.5</v>
      </c>
      <c r="AHJ5" s="16" t="s">
        <v>17</v>
      </c>
      <c r="AHK5" s="5"/>
      <c r="AHL5" s="5"/>
      <c r="AHM5" s="5"/>
      <c r="AHN5" s="5"/>
      <c r="AHO5" s="5"/>
      <c r="AHP5" s="35" t="s">
        <v>18</v>
      </c>
      <c r="AHQ5" s="16" t="s">
        <v>19</v>
      </c>
      <c r="AHR5" s="5"/>
      <c r="AHS5" s="5"/>
      <c r="AHT5" s="5"/>
      <c r="AHU5" s="5"/>
      <c r="AHV5" s="5"/>
      <c r="AHW5" s="11"/>
      <c r="AHX5" s="11"/>
      <c r="AHY5" s="11"/>
      <c r="AHZ5" s="11"/>
      <c r="AIA5" s="11"/>
      <c r="AIB5" s="20">
        <v>2</v>
      </c>
      <c r="AIC5" s="20">
        <v>4.5</v>
      </c>
      <c r="AID5" s="20">
        <v>7</v>
      </c>
      <c r="AIE5" s="21"/>
      <c r="AIF5" s="5"/>
      <c r="AIG5" s="33">
        <v>0.5</v>
      </c>
      <c r="AIH5" s="16" t="s">
        <v>16</v>
      </c>
      <c r="AII5" s="5"/>
      <c r="AIJ5" s="5"/>
      <c r="AIK5" s="5"/>
      <c r="AIL5" s="34">
        <v>0.5</v>
      </c>
      <c r="AIM5" s="16" t="s">
        <v>17</v>
      </c>
      <c r="AIN5" s="5"/>
      <c r="AIO5" s="5"/>
      <c r="AIP5" s="5"/>
      <c r="AIQ5" s="5"/>
      <c r="AIR5" s="5"/>
      <c r="AIS5" s="35" t="s">
        <v>18</v>
      </c>
      <c r="AIT5" s="16" t="s">
        <v>19</v>
      </c>
      <c r="AIU5" s="5"/>
      <c r="AIV5" s="5"/>
      <c r="AIW5" s="5"/>
      <c r="AIX5" s="5"/>
      <c r="AIY5" s="5"/>
      <c r="AIZ5" s="11"/>
      <c r="AJA5" s="11"/>
      <c r="AJB5" s="11"/>
      <c r="AJC5" s="11"/>
      <c r="AJD5" s="11"/>
      <c r="AJE5" s="20">
        <v>2</v>
      </c>
      <c r="AJF5" s="20">
        <v>4.5</v>
      </c>
      <c r="AJG5" s="20">
        <v>7</v>
      </c>
      <c r="AJH5" s="21"/>
      <c r="AJI5" s="5"/>
      <c r="AJJ5" s="33">
        <v>0.5</v>
      </c>
      <c r="AJK5" s="16" t="s">
        <v>16</v>
      </c>
      <c r="AJL5" s="5"/>
      <c r="AJM5" s="5"/>
      <c r="AJN5" s="5"/>
      <c r="AJO5" s="34">
        <v>0.5</v>
      </c>
      <c r="AJP5" s="16" t="s">
        <v>17</v>
      </c>
      <c r="AJQ5" s="5"/>
      <c r="AJR5" s="5"/>
      <c r="AJS5" s="5"/>
      <c r="AJT5" s="5"/>
      <c r="AJU5" s="5"/>
      <c r="AJV5" s="35" t="s">
        <v>18</v>
      </c>
      <c r="AJW5" s="16" t="s">
        <v>19</v>
      </c>
      <c r="AJX5" s="5"/>
      <c r="AJY5" s="5"/>
      <c r="AJZ5" s="5"/>
      <c r="AKA5" s="5"/>
      <c r="AKB5" s="5"/>
      <c r="AKC5" s="11"/>
      <c r="AKD5" s="11"/>
      <c r="AKE5" s="11"/>
      <c r="AKF5" s="11"/>
      <c r="AKG5" s="11"/>
      <c r="AKH5" s="20">
        <v>2</v>
      </c>
      <c r="AKI5" s="20">
        <v>4.5</v>
      </c>
      <c r="AKJ5" s="20">
        <v>7</v>
      </c>
      <c r="AKK5" s="21"/>
      <c r="AKL5" s="5"/>
      <c r="AKM5" s="33">
        <v>0.5</v>
      </c>
      <c r="AKN5" s="16" t="s">
        <v>16</v>
      </c>
      <c r="AKO5" s="5"/>
      <c r="AKP5" s="5"/>
      <c r="AKQ5" s="5"/>
      <c r="AKR5" s="34">
        <v>0.5</v>
      </c>
      <c r="AKS5" s="16" t="s">
        <v>17</v>
      </c>
      <c r="AKT5" s="5"/>
      <c r="AKU5" s="5"/>
      <c r="AKV5" s="5"/>
      <c r="AKW5" s="5"/>
      <c r="AKX5" s="5"/>
      <c r="AKY5" s="35" t="s">
        <v>18</v>
      </c>
      <c r="AKZ5" s="16" t="s">
        <v>19</v>
      </c>
      <c r="ALA5" s="5"/>
      <c r="ALB5" s="5"/>
      <c r="ALC5" s="5"/>
      <c r="ALD5" s="5"/>
      <c r="ALE5" s="5"/>
      <c r="ALF5" s="5"/>
      <c r="ALG5" s="5"/>
      <c r="ALH5" s="5"/>
      <c r="ALI5" s="5"/>
      <c r="ALJ5" s="5"/>
      <c r="ALK5" s="20">
        <v>2</v>
      </c>
      <c r="ALL5" s="20">
        <v>4.5</v>
      </c>
      <c r="ALM5" s="20">
        <v>7</v>
      </c>
      <c r="ALN5" s="21"/>
      <c r="ALO5" s="5"/>
      <c r="ALP5" s="33">
        <v>0.5</v>
      </c>
      <c r="ALQ5" s="16" t="s">
        <v>16</v>
      </c>
      <c r="ALR5" s="5"/>
      <c r="ALS5" s="5"/>
      <c r="ALT5" s="5"/>
      <c r="ALU5" s="34">
        <v>0.5</v>
      </c>
      <c r="ALV5" s="16" t="s">
        <v>17</v>
      </c>
      <c r="ALW5" s="5"/>
      <c r="ALX5" s="5"/>
      <c r="ALY5" s="5"/>
      <c r="ALZ5" s="5"/>
      <c r="AMA5" s="5"/>
      <c r="AMB5" s="35" t="s">
        <v>18</v>
      </c>
      <c r="AMC5" s="16" t="s">
        <v>19</v>
      </c>
      <c r="AMD5" s="5"/>
      <c r="AME5" s="5"/>
      <c r="AMF5" s="5"/>
      <c r="AMG5" s="5"/>
      <c r="AMH5" s="5"/>
      <c r="AMI5" s="5"/>
      <c r="AMJ5" s="5"/>
      <c r="AMK5" s="5"/>
      <c r="AML5" s="5"/>
      <c r="AMM5" s="5"/>
      <c r="AMN5" s="20">
        <v>2</v>
      </c>
      <c r="AMO5" s="20">
        <v>4.5</v>
      </c>
      <c r="AMP5" s="20">
        <v>7</v>
      </c>
      <c r="AMQ5" s="11"/>
      <c r="AMR5" s="11"/>
      <c r="AMS5" s="12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</row>
    <row r="6" ht="15" customHeight="1" spans="1:1191" x14ac:dyDescent="0.25">
      <c r="A6" s="4"/>
      <c r="B6" s="4"/>
      <c r="C6" s="4"/>
      <c r="D6" s="5"/>
      <c r="E6" s="4"/>
      <c r="F6" s="36">
        <v>0.5</v>
      </c>
      <c r="G6" s="16" t="s">
        <v>20</v>
      </c>
      <c r="H6" s="5"/>
      <c r="I6" s="5"/>
      <c r="J6" s="5"/>
      <c r="K6" s="37">
        <v>0.5</v>
      </c>
      <c r="L6" s="16" t="s">
        <v>21</v>
      </c>
      <c r="M6" s="5"/>
      <c r="N6" s="5"/>
      <c r="O6" s="5"/>
      <c r="P6" s="5"/>
      <c r="Q6" s="5"/>
      <c r="R6" s="38" t="s">
        <v>22</v>
      </c>
      <c r="S6" s="16" t="s">
        <v>23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20">
        <v>2.5</v>
      </c>
      <c r="AE6" s="20">
        <v>5</v>
      </c>
      <c r="AF6" s="20">
        <v>7.5</v>
      </c>
      <c r="AG6" s="5"/>
      <c r="AH6" s="5"/>
      <c r="AI6" s="36">
        <v>0.5</v>
      </c>
      <c r="AJ6" s="16" t="s">
        <v>20</v>
      </c>
      <c r="AK6" s="5"/>
      <c r="AL6" s="5"/>
      <c r="AM6" s="5"/>
      <c r="AN6" s="37">
        <v>0.5</v>
      </c>
      <c r="AO6" s="16" t="s">
        <v>21</v>
      </c>
      <c r="AP6" s="5"/>
      <c r="AQ6" s="5"/>
      <c r="AR6" s="5"/>
      <c r="AS6" s="5"/>
      <c r="AT6" s="5"/>
      <c r="AU6" s="38" t="s">
        <v>22</v>
      </c>
      <c r="AV6" s="16" t="s">
        <v>23</v>
      </c>
      <c r="AW6" s="5"/>
      <c r="AX6" s="5"/>
      <c r="AY6" s="5"/>
      <c r="AZ6" s="5"/>
      <c r="BA6" s="5"/>
      <c r="BB6" s="5"/>
      <c r="BC6" s="5"/>
      <c r="BD6" s="5"/>
      <c r="BE6" s="5"/>
      <c r="BF6" s="5"/>
      <c r="BG6" s="20">
        <v>2.5</v>
      </c>
      <c r="BH6" s="20">
        <v>5</v>
      </c>
      <c r="BI6" s="20">
        <v>7.5</v>
      </c>
      <c r="BJ6" s="21"/>
      <c r="BK6" s="5"/>
      <c r="BL6" s="36">
        <v>0.5</v>
      </c>
      <c r="BM6" s="16" t="s">
        <v>20</v>
      </c>
      <c r="BN6" s="5"/>
      <c r="BO6" s="5"/>
      <c r="BP6" s="5"/>
      <c r="BQ6" s="37">
        <v>0.5</v>
      </c>
      <c r="BR6" s="16" t="s">
        <v>21</v>
      </c>
      <c r="BS6" s="5"/>
      <c r="BT6" s="5"/>
      <c r="BU6" s="5"/>
      <c r="BV6" s="5"/>
      <c r="BW6" s="5"/>
      <c r="BX6" s="38" t="s">
        <v>22</v>
      </c>
      <c r="BY6" s="16" t="s">
        <v>23</v>
      </c>
      <c r="BZ6" s="5"/>
      <c r="CA6" s="5"/>
      <c r="CB6" s="5"/>
      <c r="CC6" s="5"/>
      <c r="CD6" s="5"/>
      <c r="CE6" s="5"/>
      <c r="CF6" s="5"/>
      <c r="CG6" s="5"/>
      <c r="CH6" s="5"/>
      <c r="CI6" s="5"/>
      <c r="CJ6" s="20">
        <v>2.5</v>
      </c>
      <c r="CK6" s="20">
        <v>5</v>
      </c>
      <c r="CL6" s="20">
        <v>7.5</v>
      </c>
      <c r="CM6" s="21"/>
      <c r="CN6" s="5"/>
      <c r="CO6" s="36">
        <v>0.5</v>
      </c>
      <c r="CP6" s="16" t="s">
        <v>20</v>
      </c>
      <c r="CQ6" s="5"/>
      <c r="CR6" s="5"/>
      <c r="CS6" s="5"/>
      <c r="CT6" s="37">
        <v>0.5</v>
      </c>
      <c r="CU6" s="16" t="s">
        <v>21</v>
      </c>
      <c r="CV6" s="5"/>
      <c r="CW6" s="5"/>
      <c r="CX6" s="5"/>
      <c r="CY6" s="5"/>
      <c r="CZ6" s="5"/>
      <c r="DA6" s="38" t="s">
        <v>22</v>
      </c>
      <c r="DB6" s="16" t="s">
        <v>23</v>
      </c>
      <c r="DC6" s="5"/>
      <c r="DD6" s="5"/>
      <c r="DE6" s="5"/>
      <c r="DF6" s="5"/>
      <c r="DG6" s="5"/>
      <c r="DH6" s="5"/>
      <c r="DI6" s="5"/>
      <c r="DJ6" s="5"/>
      <c r="DK6" s="5"/>
      <c r="DL6" s="5"/>
      <c r="DM6" s="20">
        <v>2.5</v>
      </c>
      <c r="DN6" s="20">
        <v>5</v>
      </c>
      <c r="DO6" s="20">
        <v>7.5</v>
      </c>
      <c r="DP6" s="21"/>
      <c r="DQ6" s="5"/>
      <c r="DR6" s="36">
        <v>0.5</v>
      </c>
      <c r="DS6" s="16" t="s">
        <v>20</v>
      </c>
      <c r="DT6" s="5"/>
      <c r="DU6" s="5"/>
      <c r="DV6" s="5"/>
      <c r="DW6" s="37">
        <v>0.5</v>
      </c>
      <c r="DX6" s="16" t="s">
        <v>21</v>
      </c>
      <c r="DY6" s="5"/>
      <c r="DZ6" s="5"/>
      <c r="EA6" s="5"/>
      <c r="EB6" s="5"/>
      <c r="EC6" s="5"/>
      <c r="ED6" s="38" t="s">
        <v>22</v>
      </c>
      <c r="EE6" s="16" t="s">
        <v>23</v>
      </c>
      <c r="EF6" s="5"/>
      <c r="EG6" s="5"/>
      <c r="EH6" s="5"/>
      <c r="EI6" s="5"/>
      <c r="EJ6" s="5"/>
      <c r="EK6" s="5"/>
      <c r="EL6" s="5"/>
      <c r="EM6" s="5"/>
      <c r="EN6" s="5"/>
      <c r="EO6" s="5"/>
      <c r="EP6" s="20">
        <v>2.5</v>
      </c>
      <c r="EQ6" s="20">
        <v>5</v>
      </c>
      <c r="ER6" s="20">
        <v>7.5</v>
      </c>
      <c r="ES6" s="21"/>
      <c r="ET6" s="5"/>
      <c r="EU6" s="36">
        <v>0.5</v>
      </c>
      <c r="EV6" s="16" t="s">
        <v>20</v>
      </c>
      <c r="EW6" s="5"/>
      <c r="EX6" s="5"/>
      <c r="EY6" s="5"/>
      <c r="EZ6" s="37">
        <v>0.5</v>
      </c>
      <c r="FA6" s="16" t="s">
        <v>21</v>
      </c>
      <c r="FB6" s="5"/>
      <c r="FC6" s="5"/>
      <c r="FD6" s="5"/>
      <c r="FE6" s="5"/>
      <c r="FF6" s="5"/>
      <c r="FG6" s="38" t="s">
        <v>22</v>
      </c>
      <c r="FH6" s="16" t="s">
        <v>23</v>
      </c>
      <c r="FI6" s="5"/>
      <c r="FJ6" s="5"/>
      <c r="FK6" s="5"/>
      <c r="FL6" s="5"/>
      <c r="FM6" s="5"/>
      <c r="FN6" s="5"/>
      <c r="FO6" s="5"/>
      <c r="FP6" s="5"/>
      <c r="FQ6" s="5"/>
      <c r="FR6" s="5"/>
      <c r="FS6" s="20">
        <v>2.5</v>
      </c>
      <c r="FT6" s="20">
        <v>5</v>
      </c>
      <c r="FU6" s="20">
        <v>7.5</v>
      </c>
      <c r="FV6" s="21"/>
      <c r="FW6" s="5"/>
      <c r="FX6" s="36">
        <v>0.5</v>
      </c>
      <c r="FY6" s="16" t="s">
        <v>20</v>
      </c>
      <c r="FZ6" s="5"/>
      <c r="GA6" s="5"/>
      <c r="GB6" s="5"/>
      <c r="GC6" s="37">
        <v>0.5</v>
      </c>
      <c r="GD6" s="16" t="s">
        <v>21</v>
      </c>
      <c r="GE6" s="5"/>
      <c r="GF6" s="5"/>
      <c r="GG6" s="5"/>
      <c r="GH6" s="5"/>
      <c r="GI6" s="5"/>
      <c r="GJ6" s="38" t="s">
        <v>22</v>
      </c>
      <c r="GK6" s="16" t="s">
        <v>23</v>
      </c>
      <c r="GL6" s="5"/>
      <c r="GM6" s="5"/>
      <c r="GN6" s="5"/>
      <c r="GO6" s="5"/>
      <c r="GP6" s="5"/>
      <c r="GQ6" s="5"/>
      <c r="GR6" s="5"/>
      <c r="GS6" s="5"/>
      <c r="GT6" s="5"/>
      <c r="GU6" s="5"/>
      <c r="GV6" s="20">
        <v>2.5</v>
      </c>
      <c r="GW6" s="20">
        <v>5</v>
      </c>
      <c r="GX6" s="20">
        <v>7.5</v>
      </c>
      <c r="GY6" s="5"/>
      <c r="GZ6" s="5"/>
      <c r="HA6" s="22"/>
      <c r="HB6" s="11"/>
      <c r="HC6" s="5"/>
      <c r="HD6" s="36">
        <v>0.5</v>
      </c>
      <c r="HE6" s="16" t="s">
        <v>20</v>
      </c>
      <c r="HF6" s="5"/>
      <c r="HG6" s="5"/>
      <c r="HH6" s="5"/>
      <c r="HI6" s="37">
        <v>0.5</v>
      </c>
      <c r="HJ6" s="16" t="s">
        <v>21</v>
      </c>
      <c r="HK6" s="5"/>
      <c r="HL6" s="5"/>
      <c r="HM6" s="5"/>
      <c r="HN6" s="5"/>
      <c r="HO6" s="5"/>
      <c r="HP6" s="38" t="s">
        <v>22</v>
      </c>
      <c r="HQ6" s="16" t="s">
        <v>23</v>
      </c>
      <c r="HR6" s="5"/>
      <c r="HS6" s="5"/>
      <c r="HT6" s="5"/>
      <c r="HU6" s="5"/>
      <c r="HV6" s="5"/>
      <c r="HW6" s="11"/>
      <c r="HX6" s="11"/>
      <c r="HY6" s="11"/>
      <c r="HZ6" s="11"/>
      <c r="IA6" s="11"/>
      <c r="IB6" s="20">
        <v>2.5</v>
      </c>
      <c r="IC6" s="20">
        <v>5</v>
      </c>
      <c r="ID6" s="20">
        <v>7.5</v>
      </c>
      <c r="IE6" s="21"/>
      <c r="IF6" s="5"/>
      <c r="IG6" s="36">
        <v>0.5</v>
      </c>
      <c r="IH6" s="16" t="s">
        <v>20</v>
      </c>
      <c r="II6" s="5"/>
      <c r="IJ6" s="5"/>
      <c r="IK6" s="5"/>
      <c r="IL6" s="37">
        <v>0.5</v>
      </c>
      <c r="IM6" s="16" t="s">
        <v>21</v>
      </c>
      <c r="IN6" s="5"/>
      <c r="IO6" s="5"/>
      <c r="IP6" s="5"/>
      <c r="IQ6" s="5"/>
      <c r="IR6" s="5"/>
      <c r="IS6" s="38" t="s">
        <v>22</v>
      </c>
      <c r="IT6" s="16" t="s">
        <v>23</v>
      </c>
      <c r="IU6" s="5"/>
      <c r="IV6" s="5"/>
      <c r="IW6" s="5"/>
      <c r="IX6" s="5"/>
      <c r="IY6" s="5"/>
      <c r="IZ6" s="11"/>
      <c r="JA6" s="11"/>
      <c r="JB6" s="11"/>
      <c r="JC6" s="11"/>
      <c r="JD6" s="11"/>
      <c r="JE6" s="20">
        <v>2.5</v>
      </c>
      <c r="JF6" s="20">
        <v>5</v>
      </c>
      <c r="JG6" s="20">
        <v>7.5</v>
      </c>
      <c r="JH6" s="21"/>
      <c r="JI6" s="5"/>
      <c r="JJ6" s="36">
        <v>0.5</v>
      </c>
      <c r="JK6" s="16" t="s">
        <v>20</v>
      </c>
      <c r="JL6" s="5"/>
      <c r="JM6" s="5"/>
      <c r="JN6" s="5"/>
      <c r="JO6" s="37">
        <v>0.5</v>
      </c>
      <c r="JP6" s="16" t="s">
        <v>21</v>
      </c>
      <c r="JQ6" s="5"/>
      <c r="JR6" s="5"/>
      <c r="JS6" s="5"/>
      <c r="JT6" s="5"/>
      <c r="JU6" s="5"/>
      <c r="JV6" s="38" t="s">
        <v>22</v>
      </c>
      <c r="JW6" s="16" t="s">
        <v>23</v>
      </c>
      <c r="JX6" s="5"/>
      <c r="JY6" s="5"/>
      <c r="JZ6" s="5"/>
      <c r="KA6" s="5"/>
      <c r="KB6" s="5"/>
      <c r="KC6" s="11"/>
      <c r="KD6" s="11"/>
      <c r="KE6" s="11"/>
      <c r="KF6" s="11"/>
      <c r="KG6" s="11"/>
      <c r="KH6" s="20">
        <v>2.5</v>
      </c>
      <c r="KI6" s="20">
        <v>5</v>
      </c>
      <c r="KJ6" s="20">
        <v>7.5</v>
      </c>
      <c r="KK6" s="21"/>
      <c r="KL6" s="5"/>
      <c r="KM6" s="36">
        <v>0.5</v>
      </c>
      <c r="KN6" s="16" t="s">
        <v>20</v>
      </c>
      <c r="KO6" s="5"/>
      <c r="KP6" s="5"/>
      <c r="KQ6" s="5"/>
      <c r="KR6" s="37">
        <v>0.5</v>
      </c>
      <c r="KS6" s="16" t="s">
        <v>21</v>
      </c>
      <c r="KT6" s="5"/>
      <c r="KU6" s="5"/>
      <c r="KV6" s="5"/>
      <c r="KW6" s="5"/>
      <c r="KX6" s="5"/>
      <c r="KY6" s="38" t="s">
        <v>22</v>
      </c>
      <c r="KZ6" s="16" t="s">
        <v>23</v>
      </c>
      <c r="LA6" s="5"/>
      <c r="LB6" s="5"/>
      <c r="LC6" s="5"/>
      <c r="LD6" s="5"/>
      <c r="LE6" s="5"/>
      <c r="LF6" s="11"/>
      <c r="LG6" s="11"/>
      <c r="LH6" s="11"/>
      <c r="LI6" s="11"/>
      <c r="LJ6" s="11"/>
      <c r="LK6" s="20">
        <v>2.5</v>
      </c>
      <c r="LL6" s="20">
        <v>5</v>
      </c>
      <c r="LM6" s="20">
        <v>7.5</v>
      </c>
      <c r="LN6" s="21"/>
      <c r="LO6" s="5"/>
      <c r="LP6" s="36">
        <v>0.5</v>
      </c>
      <c r="LQ6" s="16" t="s">
        <v>20</v>
      </c>
      <c r="LR6" s="5"/>
      <c r="LS6" s="5"/>
      <c r="LT6" s="5"/>
      <c r="LU6" s="37">
        <v>0.5</v>
      </c>
      <c r="LV6" s="16" t="s">
        <v>21</v>
      </c>
      <c r="LW6" s="5"/>
      <c r="LX6" s="5"/>
      <c r="LY6" s="5"/>
      <c r="LZ6" s="5"/>
      <c r="MA6" s="5"/>
      <c r="MB6" s="38" t="s">
        <v>22</v>
      </c>
      <c r="MC6" s="16" t="s">
        <v>23</v>
      </c>
      <c r="MD6" s="5"/>
      <c r="ME6" s="5"/>
      <c r="MF6" s="5"/>
      <c r="MG6" s="5"/>
      <c r="MH6" s="5"/>
      <c r="MI6" s="11"/>
      <c r="MJ6" s="11"/>
      <c r="MK6" s="11"/>
      <c r="ML6" s="11"/>
      <c r="MM6" s="11"/>
      <c r="MN6" s="20">
        <v>2.5</v>
      </c>
      <c r="MO6" s="20">
        <v>5</v>
      </c>
      <c r="MP6" s="20">
        <v>7.5</v>
      </c>
      <c r="MQ6" s="21"/>
      <c r="MR6" s="5"/>
      <c r="MS6" s="36">
        <v>0.5</v>
      </c>
      <c r="MT6" s="16" t="s">
        <v>20</v>
      </c>
      <c r="MU6" s="5"/>
      <c r="MV6" s="5"/>
      <c r="MW6" s="5"/>
      <c r="MX6" s="37">
        <v>0.5</v>
      </c>
      <c r="MY6" s="16" t="s">
        <v>21</v>
      </c>
      <c r="MZ6" s="5"/>
      <c r="NA6" s="5"/>
      <c r="NB6" s="5"/>
      <c r="NC6" s="5"/>
      <c r="ND6" s="5"/>
      <c r="NE6" s="38" t="s">
        <v>22</v>
      </c>
      <c r="NF6" s="16" t="s">
        <v>23</v>
      </c>
      <c r="NG6" s="5"/>
      <c r="NH6" s="5"/>
      <c r="NI6" s="5"/>
      <c r="NJ6" s="5"/>
      <c r="NK6" s="5"/>
      <c r="NL6" s="5"/>
      <c r="NM6" s="5"/>
      <c r="NN6" s="5"/>
      <c r="NO6" s="5"/>
      <c r="NP6" s="5"/>
      <c r="NQ6" s="20">
        <v>2.5</v>
      </c>
      <c r="NR6" s="20">
        <v>5</v>
      </c>
      <c r="NS6" s="20">
        <v>7.5</v>
      </c>
      <c r="NT6" s="21"/>
      <c r="NU6" s="5"/>
      <c r="NV6" s="36">
        <v>0.5</v>
      </c>
      <c r="NW6" s="16" t="s">
        <v>20</v>
      </c>
      <c r="NX6" s="5"/>
      <c r="NY6" s="5"/>
      <c r="NZ6" s="5"/>
      <c r="OA6" s="37">
        <v>0.5</v>
      </c>
      <c r="OB6" s="16" t="s">
        <v>21</v>
      </c>
      <c r="OC6" s="5"/>
      <c r="OD6" s="5"/>
      <c r="OE6" s="5"/>
      <c r="OF6" s="5"/>
      <c r="OG6" s="5"/>
      <c r="OH6" s="38" t="s">
        <v>22</v>
      </c>
      <c r="OI6" s="16" t="s">
        <v>23</v>
      </c>
      <c r="OJ6" s="5"/>
      <c r="OK6" s="5"/>
      <c r="OL6" s="5"/>
      <c r="OM6" s="5"/>
      <c r="ON6" s="5"/>
      <c r="OO6" s="5"/>
      <c r="OP6" s="5"/>
      <c r="OQ6" s="5"/>
      <c r="OR6" s="5"/>
      <c r="OS6" s="5"/>
      <c r="OT6" s="20">
        <v>2.5</v>
      </c>
      <c r="OU6" s="20">
        <v>5</v>
      </c>
      <c r="OV6" s="20">
        <v>7.5</v>
      </c>
      <c r="OW6" s="11"/>
      <c r="OX6" s="11"/>
      <c r="OY6" s="12"/>
      <c r="OZ6" s="13"/>
      <c r="PA6" s="5"/>
      <c r="PB6" s="36">
        <v>0.5</v>
      </c>
      <c r="PC6" s="16" t="s">
        <v>20</v>
      </c>
      <c r="PD6" s="5"/>
      <c r="PE6" s="5"/>
      <c r="PF6" s="5"/>
      <c r="PG6" s="37">
        <v>0.5</v>
      </c>
      <c r="PH6" s="16" t="s">
        <v>21</v>
      </c>
      <c r="PI6" s="5"/>
      <c r="PJ6" s="5"/>
      <c r="PK6" s="5"/>
      <c r="PL6" s="5"/>
      <c r="PM6" s="5"/>
      <c r="PN6" s="38" t="s">
        <v>22</v>
      </c>
      <c r="PO6" s="16" t="s">
        <v>23</v>
      </c>
      <c r="PP6" s="5"/>
      <c r="PQ6" s="5"/>
      <c r="PR6" s="5"/>
      <c r="PS6" s="5"/>
      <c r="PT6" s="5"/>
      <c r="PU6" s="13"/>
      <c r="PV6" s="13"/>
      <c r="PW6" s="13"/>
      <c r="PX6" s="13"/>
      <c r="PY6" s="13"/>
      <c r="PZ6" s="20">
        <v>2.5</v>
      </c>
      <c r="QA6" s="20">
        <v>5</v>
      </c>
      <c r="QB6" s="20">
        <v>7.5</v>
      </c>
      <c r="QC6" s="21"/>
      <c r="QD6" s="5"/>
      <c r="QE6" s="36">
        <v>0.5</v>
      </c>
      <c r="QF6" s="16" t="s">
        <v>20</v>
      </c>
      <c r="QG6" s="5"/>
      <c r="QH6" s="5"/>
      <c r="QI6" s="5"/>
      <c r="QJ6" s="37">
        <v>0.5</v>
      </c>
      <c r="QK6" s="16" t="s">
        <v>21</v>
      </c>
      <c r="QL6" s="5"/>
      <c r="QM6" s="5"/>
      <c r="QN6" s="5"/>
      <c r="QO6" s="5"/>
      <c r="QP6" s="5"/>
      <c r="QQ6" s="38" t="s">
        <v>22</v>
      </c>
      <c r="QR6" s="16" t="s">
        <v>23</v>
      </c>
      <c r="QS6" s="5"/>
      <c r="QT6" s="5"/>
      <c r="QU6" s="5"/>
      <c r="QV6" s="5"/>
      <c r="QW6" s="5"/>
      <c r="QX6" s="13"/>
      <c r="QY6" s="13"/>
      <c r="QZ6" s="13"/>
      <c r="RA6" s="13"/>
      <c r="RB6" s="13"/>
      <c r="RC6" s="20">
        <v>2.5</v>
      </c>
      <c r="RD6" s="20">
        <v>5</v>
      </c>
      <c r="RE6" s="20">
        <v>7.5</v>
      </c>
      <c r="RF6" s="21"/>
      <c r="RG6" s="5"/>
      <c r="RH6" s="36">
        <v>0.5</v>
      </c>
      <c r="RI6" s="16" t="s">
        <v>20</v>
      </c>
      <c r="RJ6" s="5"/>
      <c r="RK6" s="5"/>
      <c r="RL6" s="5"/>
      <c r="RM6" s="37">
        <v>0.5</v>
      </c>
      <c r="RN6" s="16" t="s">
        <v>21</v>
      </c>
      <c r="RO6" s="5"/>
      <c r="RP6" s="5"/>
      <c r="RQ6" s="5"/>
      <c r="RR6" s="5"/>
      <c r="RS6" s="5"/>
      <c r="RT6" s="38" t="s">
        <v>22</v>
      </c>
      <c r="RU6" s="16" t="s">
        <v>23</v>
      </c>
      <c r="RV6" s="5"/>
      <c r="RW6" s="5"/>
      <c r="RX6" s="5"/>
      <c r="RY6" s="5"/>
      <c r="RZ6" s="5"/>
      <c r="SA6" s="13"/>
      <c r="SB6" s="13"/>
      <c r="SC6" s="13"/>
      <c r="SD6" s="13"/>
      <c r="SE6" s="13"/>
      <c r="SF6" s="20">
        <v>2.5</v>
      </c>
      <c r="SG6" s="20">
        <v>5</v>
      </c>
      <c r="SH6" s="20">
        <v>7.5</v>
      </c>
      <c r="SI6" s="21"/>
      <c r="SJ6" s="5"/>
      <c r="SK6" s="36">
        <v>0.5</v>
      </c>
      <c r="SL6" s="16" t="s">
        <v>20</v>
      </c>
      <c r="SM6" s="5"/>
      <c r="SN6" s="5"/>
      <c r="SO6" s="5"/>
      <c r="SP6" s="37">
        <v>0.5</v>
      </c>
      <c r="SQ6" s="16" t="s">
        <v>21</v>
      </c>
      <c r="SR6" s="5"/>
      <c r="SS6" s="5"/>
      <c r="ST6" s="5"/>
      <c r="SU6" s="5"/>
      <c r="SV6" s="5"/>
      <c r="SW6" s="38" t="s">
        <v>22</v>
      </c>
      <c r="SX6" s="16" t="s">
        <v>23</v>
      </c>
      <c r="SY6" s="5"/>
      <c r="SZ6" s="5"/>
      <c r="TA6" s="5"/>
      <c r="TB6" s="5"/>
      <c r="TC6" s="5"/>
      <c r="TD6" s="13"/>
      <c r="TE6" s="13"/>
      <c r="TF6" s="13"/>
      <c r="TG6" s="13"/>
      <c r="TH6" s="13"/>
      <c r="TI6" s="20">
        <v>2.5</v>
      </c>
      <c r="TJ6" s="20">
        <v>5</v>
      </c>
      <c r="TK6" s="20">
        <v>7.5</v>
      </c>
      <c r="TL6" s="21"/>
      <c r="TM6" s="5"/>
      <c r="TN6" s="36">
        <v>0.5</v>
      </c>
      <c r="TO6" s="16" t="s">
        <v>20</v>
      </c>
      <c r="TP6" s="5"/>
      <c r="TQ6" s="5"/>
      <c r="TR6" s="5"/>
      <c r="TS6" s="37">
        <v>0.5</v>
      </c>
      <c r="TT6" s="16" t="s">
        <v>21</v>
      </c>
      <c r="TU6" s="5"/>
      <c r="TV6" s="5"/>
      <c r="TW6" s="5"/>
      <c r="TX6" s="5"/>
      <c r="TY6" s="5"/>
      <c r="TZ6" s="38" t="s">
        <v>22</v>
      </c>
      <c r="UA6" s="16" t="s">
        <v>23</v>
      </c>
      <c r="UB6" s="5"/>
      <c r="UC6" s="5"/>
      <c r="UD6" s="5"/>
      <c r="UE6" s="5"/>
      <c r="UF6" s="5"/>
      <c r="UG6" s="13"/>
      <c r="UH6" s="13"/>
      <c r="UI6" s="13"/>
      <c r="UJ6" s="13"/>
      <c r="UK6" s="13"/>
      <c r="UL6" s="20">
        <v>2.5</v>
      </c>
      <c r="UM6" s="20">
        <v>5</v>
      </c>
      <c r="UN6" s="20">
        <v>7.5</v>
      </c>
      <c r="UO6" s="21"/>
      <c r="UP6" s="5"/>
      <c r="UQ6" s="36">
        <v>0.5</v>
      </c>
      <c r="UR6" s="16" t="s">
        <v>20</v>
      </c>
      <c r="US6" s="5"/>
      <c r="UT6" s="5"/>
      <c r="UU6" s="5"/>
      <c r="UV6" s="37">
        <v>0.5</v>
      </c>
      <c r="UW6" s="16" t="s">
        <v>21</v>
      </c>
      <c r="UX6" s="5"/>
      <c r="UY6" s="5"/>
      <c r="UZ6" s="5"/>
      <c r="VA6" s="5"/>
      <c r="VB6" s="5"/>
      <c r="VC6" s="38" t="s">
        <v>22</v>
      </c>
      <c r="VD6" s="16" t="s">
        <v>23</v>
      </c>
      <c r="VE6" s="5"/>
      <c r="VF6" s="5"/>
      <c r="VG6" s="5"/>
      <c r="VH6" s="5"/>
      <c r="VI6" s="5"/>
      <c r="VJ6" s="5"/>
      <c r="VK6" s="5"/>
      <c r="VL6" s="5"/>
      <c r="VM6" s="5"/>
      <c r="VN6" s="5"/>
      <c r="VO6" s="20">
        <v>2.5</v>
      </c>
      <c r="VP6" s="20">
        <v>5</v>
      </c>
      <c r="VQ6" s="20">
        <v>7.5</v>
      </c>
      <c r="VR6" s="21"/>
      <c r="VS6" s="5"/>
      <c r="VT6" s="36">
        <v>0.5</v>
      </c>
      <c r="VU6" s="16" t="s">
        <v>20</v>
      </c>
      <c r="VV6" s="5"/>
      <c r="VW6" s="5"/>
      <c r="VX6" s="5"/>
      <c r="VY6" s="37">
        <v>0.5</v>
      </c>
      <c r="VZ6" s="16" t="s">
        <v>21</v>
      </c>
      <c r="WA6" s="5"/>
      <c r="WB6" s="5"/>
      <c r="WC6" s="5"/>
      <c r="WD6" s="5"/>
      <c r="WE6" s="5"/>
      <c r="WF6" s="38" t="s">
        <v>22</v>
      </c>
      <c r="WG6" s="16" t="s">
        <v>23</v>
      </c>
      <c r="WH6" s="5"/>
      <c r="WI6" s="5"/>
      <c r="WJ6" s="5"/>
      <c r="WK6" s="5"/>
      <c r="WL6" s="5"/>
      <c r="WM6" s="5"/>
      <c r="WN6" s="5"/>
      <c r="WO6" s="5"/>
      <c r="WP6" s="5"/>
      <c r="WQ6" s="5"/>
      <c r="WR6" s="20">
        <v>2.5</v>
      </c>
      <c r="WS6" s="20">
        <v>5</v>
      </c>
      <c r="WT6" s="20">
        <v>7.5</v>
      </c>
      <c r="WU6" s="13"/>
      <c r="WV6" s="13"/>
      <c r="WW6" s="14"/>
      <c r="WX6" s="11"/>
      <c r="WY6" s="5"/>
      <c r="WZ6" s="36">
        <v>0.5</v>
      </c>
      <c r="XA6" s="16" t="s">
        <v>20</v>
      </c>
      <c r="XB6" s="5"/>
      <c r="XC6" s="5"/>
      <c r="XD6" s="5"/>
      <c r="XE6" s="37">
        <v>0.5</v>
      </c>
      <c r="XF6" s="16" t="s">
        <v>21</v>
      </c>
      <c r="XG6" s="5"/>
      <c r="XH6" s="5"/>
      <c r="XI6" s="5"/>
      <c r="XJ6" s="5"/>
      <c r="XK6" s="5"/>
      <c r="XL6" s="38" t="s">
        <v>22</v>
      </c>
      <c r="XM6" s="16" t="s">
        <v>23</v>
      </c>
      <c r="XN6" s="5"/>
      <c r="XO6" s="5"/>
      <c r="XP6" s="5"/>
      <c r="XQ6" s="5"/>
      <c r="XR6" s="5"/>
      <c r="XS6" s="11"/>
      <c r="XT6" s="11"/>
      <c r="XU6" s="11"/>
      <c r="XV6" s="11"/>
      <c r="XW6" s="11"/>
      <c r="XX6" s="20">
        <v>2.5</v>
      </c>
      <c r="XY6" s="20">
        <v>5</v>
      </c>
      <c r="XZ6" s="20">
        <v>7.5</v>
      </c>
      <c r="YA6" s="21"/>
      <c r="YB6" s="5"/>
      <c r="YC6" s="36">
        <v>0.5</v>
      </c>
      <c r="YD6" s="16" t="s">
        <v>20</v>
      </c>
      <c r="YE6" s="5"/>
      <c r="YF6" s="5"/>
      <c r="YG6" s="5"/>
      <c r="YH6" s="37">
        <v>0.5</v>
      </c>
      <c r="YI6" s="16" t="s">
        <v>21</v>
      </c>
      <c r="YJ6" s="5"/>
      <c r="YK6" s="5"/>
      <c r="YL6" s="5"/>
      <c r="YM6" s="5"/>
      <c r="YN6" s="5"/>
      <c r="YO6" s="38" t="s">
        <v>22</v>
      </c>
      <c r="YP6" s="16" t="s">
        <v>23</v>
      </c>
      <c r="YQ6" s="5"/>
      <c r="YR6" s="5"/>
      <c r="YS6" s="5"/>
      <c r="YT6" s="5"/>
      <c r="YU6" s="5"/>
      <c r="YV6" s="11"/>
      <c r="YW6" s="11"/>
      <c r="YX6" s="11"/>
      <c r="YY6" s="11"/>
      <c r="YZ6" s="11"/>
      <c r="ZA6" s="20">
        <v>2.5</v>
      </c>
      <c r="ZB6" s="20">
        <v>5</v>
      </c>
      <c r="ZC6" s="20">
        <v>7.5</v>
      </c>
      <c r="ZD6" s="21"/>
      <c r="ZE6" s="5"/>
      <c r="ZF6" s="36">
        <v>0.5</v>
      </c>
      <c r="ZG6" s="16" t="s">
        <v>20</v>
      </c>
      <c r="ZH6" s="5"/>
      <c r="ZI6" s="5"/>
      <c r="ZJ6" s="5"/>
      <c r="ZK6" s="37">
        <v>0.5</v>
      </c>
      <c r="ZL6" s="16" t="s">
        <v>21</v>
      </c>
      <c r="ZM6" s="5"/>
      <c r="ZN6" s="5"/>
      <c r="ZO6" s="5"/>
      <c r="ZP6" s="5"/>
      <c r="ZQ6" s="5"/>
      <c r="ZR6" s="38" t="s">
        <v>22</v>
      </c>
      <c r="ZS6" s="16" t="s">
        <v>23</v>
      </c>
      <c r="ZT6" s="5"/>
      <c r="ZU6" s="5"/>
      <c r="ZV6" s="5"/>
      <c r="ZW6" s="5"/>
      <c r="ZX6" s="5"/>
      <c r="ZY6" s="11"/>
      <c r="ZZ6" s="11"/>
      <c r="AAA6" s="11"/>
      <c r="AAB6" s="11"/>
      <c r="AAC6" s="11"/>
      <c r="AAD6" s="20">
        <v>2.5</v>
      </c>
      <c r="AAE6" s="20">
        <v>5</v>
      </c>
      <c r="AAF6" s="20">
        <v>7.5</v>
      </c>
      <c r="AAG6" s="21"/>
      <c r="AAH6" s="5"/>
      <c r="AAI6" s="36">
        <v>0.5</v>
      </c>
      <c r="AAJ6" s="16" t="s">
        <v>20</v>
      </c>
      <c r="AAK6" s="5"/>
      <c r="AAL6" s="5"/>
      <c r="AAM6" s="5"/>
      <c r="AAN6" s="37">
        <v>0.5</v>
      </c>
      <c r="AAO6" s="16" t="s">
        <v>21</v>
      </c>
      <c r="AAP6" s="5"/>
      <c r="AAQ6" s="5"/>
      <c r="AAR6" s="5"/>
      <c r="AAS6" s="5"/>
      <c r="AAT6" s="5"/>
      <c r="AAU6" s="38" t="s">
        <v>22</v>
      </c>
      <c r="AAV6" s="16" t="s">
        <v>23</v>
      </c>
      <c r="AAW6" s="5"/>
      <c r="AAX6" s="5"/>
      <c r="AAY6" s="5"/>
      <c r="AAZ6" s="5"/>
      <c r="ABA6" s="5"/>
      <c r="ABB6" s="11"/>
      <c r="ABC6" s="11"/>
      <c r="ABD6" s="11"/>
      <c r="ABE6" s="11"/>
      <c r="ABF6" s="11"/>
      <c r="ABG6" s="20">
        <v>2.5</v>
      </c>
      <c r="ABH6" s="20">
        <v>5</v>
      </c>
      <c r="ABI6" s="20">
        <v>7.5</v>
      </c>
      <c r="ABJ6" s="21"/>
      <c r="ABK6" s="5"/>
      <c r="ABL6" s="36">
        <v>0.5</v>
      </c>
      <c r="ABM6" s="16" t="s">
        <v>20</v>
      </c>
      <c r="ABN6" s="5"/>
      <c r="ABO6" s="5"/>
      <c r="ABP6" s="5"/>
      <c r="ABQ6" s="37">
        <v>0.5</v>
      </c>
      <c r="ABR6" s="16" t="s">
        <v>21</v>
      </c>
      <c r="ABS6" s="5"/>
      <c r="ABT6" s="5"/>
      <c r="ABU6" s="5"/>
      <c r="ABV6" s="5"/>
      <c r="ABW6" s="5"/>
      <c r="ABX6" s="38" t="s">
        <v>22</v>
      </c>
      <c r="ABY6" s="16" t="s">
        <v>23</v>
      </c>
      <c r="ABZ6" s="5"/>
      <c r="ACA6" s="5"/>
      <c r="ACB6" s="5"/>
      <c r="ACC6" s="5"/>
      <c r="ACD6" s="5"/>
      <c r="ACE6" s="11"/>
      <c r="ACF6" s="11"/>
      <c r="ACG6" s="11"/>
      <c r="ACH6" s="11"/>
      <c r="ACI6" s="11"/>
      <c r="ACJ6" s="20">
        <v>2.5</v>
      </c>
      <c r="ACK6" s="20">
        <v>5</v>
      </c>
      <c r="ACL6" s="20">
        <v>7.5</v>
      </c>
      <c r="ACM6" s="21"/>
      <c r="ACN6" s="5"/>
      <c r="ACO6" s="36">
        <v>0.5</v>
      </c>
      <c r="ACP6" s="16" t="s">
        <v>20</v>
      </c>
      <c r="ACQ6" s="5"/>
      <c r="ACR6" s="5"/>
      <c r="ACS6" s="5"/>
      <c r="ACT6" s="37">
        <v>0.5</v>
      </c>
      <c r="ACU6" s="16" t="s">
        <v>21</v>
      </c>
      <c r="ACV6" s="5"/>
      <c r="ACW6" s="5"/>
      <c r="ACX6" s="5"/>
      <c r="ACY6" s="5"/>
      <c r="ACZ6" s="5"/>
      <c r="ADA6" s="38" t="s">
        <v>22</v>
      </c>
      <c r="ADB6" s="16" t="s">
        <v>23</v>
      </c>
      <c r="ADC6" s="5"/>
      <c r="ADD6" s="5"/>
      <c r="ADE6" s="5"/>
      <c r="ADF6" s="5"/>
      <c r="ADG6" s="5"/>
      <c r="ADH6" s="5"/>
      <c r="ADI6" s="5"/>
      <c r="ADJ6" s="5"/>
      <c r="ADK6" s="5"/>
      <c r="ADL6" s="5"/>
      <c r="ADM6" s="20">
        <v>2.5</v>
      </c>
      <c r="ADN6" s="20">
        <v>5</v>
      </c>
      <c r="ADO6" s="20">
        <v>7.5</v>
      </c>
      <c r="ADP6" s="21"/>
      <c r="ADQ6" s="5"/>
      <c r="ADR6" s="36">
        <v>0.5</v>
      </c>
      <c r="ADS6" s="16" t="s">
        <v>20</v>
      </c>
      <c r="ADT6" s="5"/>
      <c r="ADU6" s="5"/>
      <c r="ADV6" s="5"/>
      <c r="ADW6" s="37">
        <v>0.5</v>
      </c>
      <c r="ADX6" s="16" t="s">
        <v>21</v>
      </c>
      <c r="ADY6" s="5"/>
      <c r="ADZ6" s="5"/>
      <c r="AEA6" s="5"/>
      <c r="AEB6" s="5"/>
      <c r="AEC6" s="5"/>
      <c r="AED6" s="38" t="s">
        <v>22</v>
      </c>
      <c r="AEE6" s="16" t="s">
        <v>23</v>
      </c>
      <c r="AEF6" s="5"/>
      <c r="AEG6" s="5"/>
      <c r="AEH6" s="5"/>
      <c r="AEI6" s="5"/>
      <c r="AEJ6" s="5"/>
      <c r="AEK6" s="5"/>
      <c r="AEL6" s="5"/>
      <c r="AEM6" s="5"/>
      <c r="AEN6" s="5"/>
      <c r="AEO6" s="5"/>
      <c r="AEP6" s="20">
        <v>2.5</v>
      </c>
      <c r="AEQ6" s="20">
        <v>5</v>
      </c>
      <c r="AER6" s="20">
        <v>7.5</v>
      </c>
      <c r="AES6" s="11"/>
      <c r="AET6" s="11"/>
      <c r="AEU6" s="12"/>
      <c r="AEV6" s="11"/>
      <c r="AEW6" s="5"/>
      <c r="AEX6" s="36">
        <v>0.5</v>
      </c>
      <c r="AEY6" s="16" t="s">
        <v>20</v>
      </c>
      <c r="AEZ6" s="5"/>
      <c r="AFA6" s="5"/>
      <c r="AFB6" s="5"/>
      <c r="AFC6" s="37">
        <v>0.5</v>
      </c>
      <c r="AFD6" s="16" t="s">
        <v>21</v>
      </c>
      <c r="AFE6" s="5"/>
      <c r="AFF6" s="5"/>
      <c r="AFG6" s="5"/>
      <c r="AFH6" s="5"/>
      <c r="AFI6" s="5"/>
      <c r="AFJ6" s="38" t="s">
        <v>22</v>
      </c>
      <c r="AFK6" s="16" t="s">
        <v>23</v>
      </c>
      <c r="AFL6" s="5"/>
      <c r="AFM6" s="5"/>
      <c r="AFN6" s="5"/>
      <c r="AFO6" s="5"/>
      <c r="AFP6" s="5"/>
      <c r="AFQ6" s="11"/>
      <c r="AFR6" s="11"/>
      <c r="AFS6" s="11"/>
      <c r="AFT6" s="11"/>
      <c r="AFU6" s="11"/>
      <c r="AFV6" s="20">
        <v>2.5</v>
      </c>
      <c r="AFW6" s="20">
        <v>5</v>
      </c>
      <c r="AFX6" s="20">
        <v>7.5</v>
      </c>
      <c r="AFY6" s="21"/>
      <c r="AFZ6" s="5"/>
      <c r="AGA6" s="36">
        <v>0.5</v>
      </c>
      <c r="AGB6" s="16" t="s">
        <v>20</v>
      </c>
      <c r="AGC6" s="5"/>
      <c r="AGD6" s="5"/>
      <c r="AGE6" s="5"/>
      <c r="AGF6" s="37">
        <v>0.5</v>
      </c>
      <c r="AGG6" s="16" t="s">
        <v>21</v>
      </c>
      <c r="AGH6" s="5"/>
      <c r="AGI6" s="5"/>
      <c r="AGJ6" s="5"/>
      <c r="AGK6" s="5"/>
      <c r="AGL6" s="5"/>
      <c r="AGM6" s="38" t="s">
        <v>22</v>
      </c>
      <c r="AGN6" s="16" t="s">
        <v>23</v>
      </c>
      <c r="AGO6" s="5"/>
      <c r="AGP6" s="5"/>
      <c r="AGQ6" s="5"/>
      <c r="AGR6" s="5"/>
      <c r="AGS6" s="5"/>
      <c r="AGT6" s="11"/>
      <c r="AGU6" s="11"/>
      <c r="AGV6" s="11"/>
      <c r="AGW6" s="11"/>
      <c r="AGX6" s="11"/>
      <c r="AGY6" s="20">
        <v>2.5</v>
      </c>
      <c r="AGZ6" s="20">
        <v>5</v>
      </c>
      <c r="AHA6" s="20">
        <v>7.5</v>
      </c>
      <c r="AHB6" s="21"/>
      <c r="AHC6" s="5"/>
      <c r="AHD6" s="36">
        <v>0.5</v>
      </c>
      <c r="AHE6" s="16" t="s">
        <v>20</v>
      </c>
      <c r="AHF6" s="5"/>
      <c r="AHG6" s="5"/>
      <c r="AHH6" s="5"/>
      <c r="AHI6" s="37">
        <v>0.5</v>
      </c>
      <c r="AHJ6" s="16" t="s">
        <v>21</v>
      </c>
      <c r="AHK6" s="5"/>
      <c r="AHL6" s="5"/>
      <c r="AHM6" s="5"/>
      <c r="AHN6" s="5"/>
      <c r="AHO6" s="5"/>
      <c r="AHP6" s="38" t="s">
        <v>22</v>
      </c>
      <c r="AHQ6" s="16" t="s">
        <v>23</v>
      </c>
      <c r="AHR6" s="5"/>
      <c r="AHS6" s="5"/>
      <c r="AHT6" s="5"/>
      <c r="AHU6" s="5"/>
      <c r="AHV6" s="5"/>
      <c r="AHW6" s="11"/>
      <c r="AHX6" s="11"/>
      <c r="AHY6" s="11"/>
      <c r="AHZ6" s="11"/>
      <c r="AIA6" s="11"/>
      <c r="AIB6" s="20">
        <v>2.5</v>
      </c>
      <c r="AIC6" s="20">
        <v>5</v>
      </c>
      <c r="AID6" s="20">
        <v>7.5</v>
      </c>
      <c r="AIE6" s="21"/>
      <c r="AIF6" s="5"/>
      <c r="AIG6" s="36">
        <v>0.5</v>
      </c>
      <c r="AIH6" s="16" t="s">
        <v>20</v>
      </c>
      <c r="AII6" s="5"/>
      <c r="AIJ6" s="5"/>
      <c r="AIK6" s="5"/>
      <c r="AIL6" s="37">
        <v>0.5</v>
      </c>
      <c r="AIM6" s="16" t="s">
        <v>21</v>
      </c>
      <c r="AIN6" s="5"/>
      <c r="AIO6" s="5"/>
      <c r="AIP6" s="5"/>
      <c r="AIQ6" s="5"/>
      <c r="AIR6" s="5"/>
      <c r="AIS6" s="38" t="s">
        <v>22</v>
      </c>
      <c r="AIT6" s="16" t="s">
        <v>23</v>
      </c>
      <c r="AIU6" s="5"/>
      <c r="AIV6" s="5"/>
      <c r="AIW6" s="5"/>
      <c r="AIX6" s="5"/>
      <c r="AIY6" s="5"/>
      <c r="AIZ6" s="11"/>
      <c r="AJA6" s="11"/>
      <c r="AJB6" s="11"/>
      <c r="AJC6" s="11"/>
      <c r="AJD6" s="11"/>
      <c r="AJE6" s="20">
        <v>2.5</v>
      </c>
      <c r="AJF6" s="20">
        <v>5</v>
      </c>
      <c r="AJG6" s="20">
        <v>7.5</v>
      </c>
      <c r="AJH6" s="21"/>
      <c r="AJI6" s="5"/>
      <c r="AJJ6" s="36">
        <v>0.5</v>
      </c>
      <c r="AJK6" s="16" t="s">
        <v>20</v>
      </c>
      <c r="AJL6" s="5"/>
      <c r="AJM6" s="5"/>
      <c r="AJN6" s="5"/>
      <c r="AJO6" s="37">
        <v>0.5</v>
      </c>
      <c r="AJP6" s="16" t="s">
        <v>21</v>
      </c>
      <c r="AJQ6" s="5"/>
      <c r="AJR6" s="5"/>
      <c r="AJS6" s="5"/>
      <c r="AJT6" s="5"/>
      <c r="AJU6" s="5"/>
      <c r="AJV6" s="38" t="s">
        <v>22</v>
      </c>
      <c r="AJW6" s="16" t="s">
        <v>23</v>
      </c>
      <c r="AJX6" s="5"/>
      <c r="AJY6" s="5"/>
      <c r="AJZ6" s="5"/>
      <c r="AKA6" s="5"/>
      <c r="AKB6" s="5"/>
      <c r="AKC6" s="11"/>
      <c r="AKD6" s="11"/>
      <c r="AKE6" s="11"/>
      <c r="AKF6" s="11"/>
      <c r="AKG6" s="11"/>
      <c r="AKH6" s="20">
        <v>2.5</v>
      </c>
      <c r="AKI6" s="20">
        <v>5</v>
      </c>
      <c r="AKJ6" s="20">
        <v>7.5</v>
      </c>
      <c r="AKK6" s="21"/>
      <c r="AKL6" s="5"/>
      <c r="AKM6" s="36">
        <v>0.5</v>
      </c>
      <c r="AKN6" s="16" t="s">
        <v>20</v>
      </c>
      <c r="AKO6" s="5"/>
      <c r="AKP6" s="5"/>
      <c r="AKQ6" s="5"/>
      <c r="AKR6" s="37">
        <v>0.5</v>
      </c>
      <c r="AKS6" s="16" t="s">
        <v>21</v>
      </c>
      <c r="AKT6" s="5"/>
      <c r="AKU6" s="5"/>
      <c r="AKV6" s="5"/>
      <c r="AKW6" s="5"/>
      <c r="AKX6" s="5"/>
      <c r="AKY6" s="38" t="s">
        <v>22</v>
      </c>
      <c r="AKZ6" s="16" t="s">
        <v>23</v>
      </c>
      <c r="ALA6" s="5"/>
      <c r="ALB6" s="5"/>
      <c r="ALC6" s="5"/>
      <c r="ALD6" s="5"/>
      <c r="ALE6" s="5"/>
      <c r="ALF6" s="5"/>
      <c r="ALG6" s="5"/>
      <c r="ALH6" s="5"/>
      <c r="ALI6" s="5"/>
      <c r="ALJ6" s="5"/>
      <c r="ALK6" s="20">
        <v>2.5</v>
      </c>
      <c r="ALL6" s="20">
        <v>5</v>
      </c>
      <c r="ALM6" s="20">
        <v>7.5</v>
      </c>
      <c r="ALN6" s="21"/>
      <c r="ALO6" s="5"/>
      <c r="ALP6" s="36">
        <v>0.5</v>
      </c>
      <c r="ALQ6" s="16" t="s">
        <v>20</v>
      </c>
      <c r="ALR6" s="5"/>
      <c r="ALS6" s="5"/>
      <c r="ALT6" s="5"/>
      <c r="ALU6" s="37">
        <v>0.5</v>
      </c>
      <c r="ALV6" s="16" t="s">
        <v>21</v>
      </c>
      <c r="ALW6" s="5"/>
      <c r="ALX6" s="5"/>
      <c r="ALY6" s="5"/>
      <c r="ALZ6" s="5"/>
      <c r="AMA6" s="5"/>
      <c r="AMB6" s="38" t="s">
        <v>22</v>
      </c>
      <c r="AMC6" s="16" t="s">
        <v>23</v>
      </c>
      <c r="AMD6" s="5"/>
      <c r="AME6" s="5"/>
      <c r="AMF6" s="5"/>
      <c r="AMG6" s="5"/>
      <c r="AMH6" s="5"/>
      <c r="AMI6" s="5"/>
      <c r="AMJ6" s="5"/>
      <c r="AMK6" s="5"/>
      <c r="AML6" s="5"/>
      <c r="AMM6" s="5"/>
      <c r="AMN6" s="20">
        <v>2.5</v>
      </c>
      <c r="AMO6" s="20">
        <v>5</v>
      </c>
      <c r="AMP6" s="20">
        <v>7.5</v>
      </c>
      <c r="AMQ6" s="11"/>
      <c r="AMR6" s="11"/>
      <c r="AMS6" s="12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</row>
    <row r="7" ht="15" customHeight="1" spans="1:1191" x14ac:dyDescent="0.25">
      <c r="A7" s="4"/>
      <c r="B7" s="4"/>
      <c r="C7" s="4"/>
      <c r="D7" s="39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0"/>
      <c r="HB7" s="41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0"/>
      <c r="OZ7" s="41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0"/>
      <c r="WX7" s="41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0"/>
      <c r="AEV7" s="41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0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</row>
    <row r="8" ht="18" customHeight="1" spans="1:1191" s="42" customFormat="1" x14ac:dyDescent="0.25">
      <c r="A8" s="4"/>
      <c r="B8" s="4"/>
      <c r="C8" s="4"/>
      <c r="D8" s="43">
        <f>Config!C3</f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3">
        <f>Config!C3</f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3">
        <f>Config!C3</f>
      </c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3">
        <f>Config!C3</f>
      </c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3">
        <f>Config!C3</f>
      </c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3">
        <f>Config!C3</f>
      </c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3">
        <f>Config!C3</f>
      </c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4"/>
      <c r="GZ8" s="4"/>
      <c r="HA8" s="40"/>
      <c r="HB8" s="45">
        <f>Config!C10</f>
      </c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5">
        <f>Config!C10</f>
      </c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5">
        <f>Config!C10</f>
      </c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5">
        <f>Config!C10</f>
      </c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5">
        <f>Config!C10</f>
      </c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5">
        <f>Config!C10</f>
      </c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5">
        <f>Config!C10</f>
      </c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6"/>
      <c r="OX8" s="4"/>
      <c r="OY8" s="40"/>
      <c r="OZ8" s="47">
        <f>Config!C17</f>
      </c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3">
        <f>Config!C17</f>
      </c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3">
        <f>Config!C17</f>
      </c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3">
        <f>Config!C17</f>
      </c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3">
        <f>Config!C17</f>
      </c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3">
        <f>Config!C17</f>
      </c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3">
        <f>Config!C17</f>
      </c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4"/>
      <c r="WV8" s="4"/>
      <c r="WW8" s="40"/>
      <c r="WX8" s="45">
        <f>Config!C24</f>
      </c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5">
        <f>Config!C24</f>
      </c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5">
        <f>Config!C24</f>
      </c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5">
        <f>Config!C24</f>
      </c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5">
        <f>Config!C24</f>
      </c>
      <c r="ABK8" s="4"/>
      <c r="ABL8" s="4"/>
      <c r="ABM8" s="4"/>
      <c r="ABN8" s="4"/>
      <c r="ABO8" s="4"/>
      <c r="ABP8" s="4"/>
      <c r="ABQ8" s="4"/>
      <c r="ABR8" s="4"/>
      <c r="ABS8" s="4"/>
      <c r="ABT8" s="4"/>
      <c r="ABU8" s="4"/>
      <c r="ABV8" s="4"/>
      <c r="ABW8" s="4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5">
        <f>Config!C24</f>
      </c>
      <c r="ACN8" s="4"/>
      <c r="ACO8" s="4"/>
      <c r="ACP8" s="4"/>
      <c r="ACQ8" s="4"/>
      <c r="ACR8" s="4"/>
      <c r="ACS8" s="4"/>
      <c r="ACT8" s="4"/>
      <c r="ACU8" s="4"/>
      <c r="ACV8" s="4"/>
      <c r="ACW8" s="4"/>
      <c r="ACX8" s="4"/>
      <c r="ACY8" s="4"/>
      <c r="ACZ8" s="4"/>
      <c r="ADA8" s="4"/>
      <c r="ADB8" s="4"/>
      <c r="ADC8" s="4"/>
      <c r="ADD8" s="4"/>
      <c r="ADE8" s="4"/>
      <c r="ADF8" s="4"/>
      <c r="ADG8" s="4"/>
      <c r="ADH8" s="4"/>
      <c r="ADI8" s="4"/>
      <c r="ADJ8" s="4"/>
      <c r="ADK8" s="4"/>
      <c r="ADL8" s="4"/>
      <c r="ADM8" s="4"/>
      <c r="ADN8" s="4"/>
      <c r="ADO8" s="4"/>
      <c r="ADP8" s="45">
        <f>Config!C24</f>
      </c>
      <c r="ADQ8" s="4"/>
      <c r="ADR8" s="4"/>
      <c r="ADS8" s="4"/>
      <c r="ADT8" s="4"/>
      <c r="ADU8" s="4"/>
      <c r="ADV8" s="4"/>
      <c r="ADW8" s="4"/>
      <c r="ADX8" s="4"/>
      <c r="ADY8" s="4"/>
      <c r="ADZ8" s="4"/>
      <c r="AEA8" s="4"/>
      <c r="AEB8" s="4"/>
      <c r="AEC8" s="4"/>
      <c r="AED8" s="4"/>
      <c r="AEE8" s="4"/>
      <c r="AEF8" s="4"/>
      <c r="AEG8" s="4"/>
      <c r="AEH8" s="4"/>
      <c r="AEI8" s="4"/>
      <c r="AEJ8" s="4"/>
      <c r="AEK8" s="4"/>
      <c r="AEL8" s="4"/>
      <c r="AEM8" s="4"/>
      <c r="AEN8" s="4"/>
      <c r="AEO8" s="4"/>
      <c r="AEP8" s="4"/>
      <c r="AEQ8" s="4"/>
      <c r="AER8" s="4"/>
      <c r="AES8" s="46"/>
      <c r="AET8" s="4"/>
      <c r="AEU8" s="40"/>
      <c r="AEV8" s="43">
        <f>Config!C31</f>
      </c>
      <c r="AEW8" s="4"/>
      <c r="AEX8" s="4"/>
      <c r="AEY8" s="4"/>
      <c r="AEZ8" s="4"/>
      <c r="AFA8" s="4"/>
      <c r="AFB8" s="4"/>
      <c r="AFC8" s="4"/>
      <c r="AFD8" s="4"/>
      <c r="AFE8" s="4"/>
      <c r="AFF8" s="4"/>
      <c r="AFG8" s="4"/>
      <c r="AFH8" s="4"/>
      <c r="AFI8" s="4"/>
      <c r="AFJ8" s="4"/>
      <c r="AFK8" s="4"/>
      <c r="AFL8" s="4"/>
      <c r="AFM8" s="4"/>
      <c r="AFN8" s="4"/>
      <c r="AFO8" s="4"/>
      <c r="AFP8" s="4"/>
      <c r="AFQ8" s="4"/>
      <c r="AFR8" s="4"/>
      <c r="AFS8" s="4"/>
      <c r="AFT8" s="4"/>
      <c r="AFU8" s="4"/>
      <c r="AFV8" s="4"/>
      <c r="AFW8" s="4"/>
      <c r="AFX8" s="4"/>
      <c r="AFY8" s="43">
        <f>Config!C31</f>
      </c>
      <c r="AFZ8" s="4"/>
      <c r="AGA8" s="4"/>
      <c r="AGB8" s="4"/>
      <c r="AGC8" s="4"/>
      <c r="AGD8" s="4"/>
      <c r="AGE8" s="4"/>
      <c r="AGF8" s="4"/>
      <c r="AGG8" s="4"/>
      <c r="AGH8" s="4"/>
      <c r="AGI8" s="4"/>
      <c r="AGJ8" s="4"/>
      <c r="AGK8" s="4"/>
      <c r="AGL8" s="4"/>
      <c r="AGM8" s="4"/>
      <c r="AGN8" s="4"/>
      <c r="AGO8" s="4"/>
      <c r="AGP8" s="4"/>
      <c r="AGQ8" s="4"/>
      <c r="AGR8" s="4"/>
      <c r="AGS8" s="4"/>
      <c r="AGT8" s="4"/>
      <c r="AGU8" s="4"/>
      <c r="AGV8" s="4"/>
      <c r="AGW8" s="4"/>
      <c r="AGX8" s="4"/>
      <c r="AGY8" s="4"/>
      <c r="AGZ8" s="4"/>
      <c r="AHA8" s="4"/>
      <c r="AHB8" s="43">
        <f>Config!C31</f>
      </c>
      <c r="AHC8" s="4"/>
      <c r="AHD8" s="4"/>
      <c r="AHE8" s="4"/>
      <c r="AHF8" s="4"/>
      <c r="AHG8" s="4"/>
      <c r="AHH8" s="4"/>
      <c r="AHI8" s="4"/>
      <c r="AHJ8" s="4"/>
      <c r="AHK8" s="4"/>
      <c r="AHL8" s="4"/>
      <c r="AHM8" s="4"/>
      <c r="AHN8" s="4"/>
      <c r="AHO8" s="4"/>
      <c r="AHP8" s="4"/>
      <c r="AHQ8" s="4"/>
      <c r="AHR8" s="4"/>
      <c r="AHS8" s="4"/>
      <c r="AHT8" s="4"/>
      <c r="AHU8" s="4"/>
      <c r="AHV8" s="4"/>
      <c r="AHW8" s="4"/>
      <c r="AHX8" s="4"/>
      <c r="AHY8" s="4"/>
      <c r="AHZ8" s="4"/>
      <c r="AIA8" s="4"/>
      <c r="AIB8" s="4"/>
      <c r="AIC8" s="4"/>
      <c r="AID8" s="4"/>
      <c r="AIE8" s="43">
        <f>Config!C31</f>
      </c>
      <c r="AIF8" s="4"/>
      <c r="AIG8" s="4"/>
      <c r="AIH8" s="4"/>
      <c r="AII8" s="4"/>
      <c r="AIJ8" s="4"/>
      <c r="AIK8" s="4"/>
      <c r="AIL8" s="4"/>
      <c r="AIM8" s="4"/>
      <c r="AIN8" s="4"/>
      <c r="AIO8" s="4"/>
      <c r="AIP8" s="4"/>
      <c r="AIQ8" s="4"/>
      <c r="AIR8" s="4"/>
      <c r="AIS8" s="4"/>
      <c r="AIT8" s="4"/>
      <c r="AIU8" s="4"/>
      <c r="AIV8" s="4"/>
      <c r="AIW8" s="4"/>
      <c r="AIX8" s="4"/>
      <c r="AIY8" s="4"/>
      <c r="AIZ8" s="4"/>
      <c r="AJA8" s="4"/>
      <c r="AJB8" s="4"/>
      <c r="AJC8" s="4"/>
      <c r="AJD8" s="4"/>
      <c r="AJE8" s="4"/>
      <c r="AJF8" s="4"/>
      <c r="AJG8" s="4"/>
      <c r="AJH8" s="43">
        <f>Config!C31</f>
      </c>
      <c r="AJI8" s="4"/>
      <c r="AJJ8" s="4"/>
      <c r="AJK8" s="4"/>
      <c r="AJL8" s="4"/>
      <c r="AJM8" s="4"/>
      <c r="AJN8" s="4"/>
      <c r="AJO8" s="4"/>
      <c r="AJP8" s="4"/>
      <c r="AJQ8" s="4"/>
      <c r="AJR8" s="4"/>
      <c r="AJS8" s="4"/>
      <c r="AJT8" s="4"/>
      <c r="AJU8" s="4"/>
      <c r="AJV8" s="4"/>
      <c r="AJW8" s="4"/>
      <c r="AJX8" s="4"/>
      <c r="AJY8" s="4"/>
      <c r="AJZ8" s="4"/>
      <c r="AKA8" s="4"/>
      <c r="AKB8" s="4"/>
      <c r="AKC8" s="4"/>
      <c r="AKD8" s="4"/>
      <c r="AKE8" s="4"/>
      <c r="AKF8" s="4"/>
      <c r="AKG8" s="4"/>
      <c r="AKH8" s="4"/>
      <c r="AKI8" s="4"/>
      <c r="AKJ8" s="4"/>
      <c r="AKK8" s="43">
        <f>Config!C31</f>
      </c>
      <c r="AKL8" s="4"/>
      <c r="AKM8" s="4"/>
      <c r="AKN8" s="4"/>
      <c r="AKO8" s="4"/>
      <c r="AKP8" s="4"/>
      <c r="AKQ8" s="4"/>
      <c r="AKR8" s="4"/>
      <c r="AKS8" s="4"/>
      <c r="AKT8" s="4"/>
      <c r="AKU8" s="4"/>
      <c r="AKV8" s="4"/>
      <c r="AKW8" s="4"/>
      <c r="AKX8" s="4"/>
      <c r="AKY8" s="4"/>
      <c r="AKZ8" s="4"/>
      <c r="ALA8" s="4"/>
      <c r="ALB8" s="4"/>
      <c r="ALC8" s="4"/>
      <c r="ALD8" s="4"/>
      <c r="ALE8" s="4"/>
      <c r="ALF8" s="4"/>
      <c r="ALG8" s="4"/>
      <c r="ALH8" s="4"/>
      <c r="ALI8" s="4"/>
      <c r="ALJ8" s="4"/>
      <c r="ALK8" s="4"/>
      <c r="ALL8" s="4"/>
      <c r="ALM8" s="4"/>
      <c r="ALN8" s="48">
        <f>Config!C31</f>
      </c>
      <c r="ALO8" s="4"/>
      <c r="ALP8" s="4"/>
      <c r="ALQ8" s="4"/>
      <c r="ALR8" s="4"/>
      <c r="ALS8" s="4"/>
      <c r="ALT8" s="4"/>
      <c r="ALU8" s="4"/>
      <c r="ALV8" s="4"/>
      <c r="ALW8" s="4"/>
      <c r="ALX8" s="4"/>
      <c r="ALY8" s="4"/>
      <c r="ALZ8" s="4"/>
      <c r="AMA8" s="4"/>
      <c r="AMB8" s="4"/>
      <c r="AMC8" s="4"/>
      <c r="AMD8" s="4"/>
      <c r="AME8" s="4"/>
      <c r="AMF8" s="4"/>
      <c r="AMG8" s="4"/>
      <c r="AMH8" s="4"/>
      <c r="AMI8" s="4"/>
      <c r="AMJ8" s="4"/>
      <c r="AMK8" s="4"/>
      <c r="AML8" s="4"/>
      <c r="AMM8" s="4"/>
      <c r="AMN8" s="4"/>
      <c r="AMO8" s="4"/>
      <c r="AMP8" s="4"/>
      <c r="AMQ8" s="44"/>
      <c r="AMR8" s="4"/>
      <c r="AMS8" s="40"/>
      <c r="AMT8" s="4"/>
      <c r="AMU8" s="4"/>
      <c r="AMV8" s="4"/>
      <c r="AMW8" s="4"/>
      <c r="AMX8" s="4"/>
      <c r="AMY8" s="4"/>
      <c r="AMZ8" s="4"/>
      <c r="ANA8" s="4"/>
      <c r="ANB8" s="4"/>
      <c r="ANC8" s="4"/>
      <c r="AND8" s="4"/>
      <c r="ANE8" s="4"/>
      <c r="ANF8" s="4"/>
      <c r="ANG8" s="4"/>
      <c r="ANH8" s="4"/>
      <c r="ANI8" s="4"/>
      <c r="ANJ8" s="4"/>
      <c r="ANK8" s="4"/>
      <c r="ANL8" s="4"/>
      <c r="ANM8" s="4"/>
      <c r="ANN8" s="4"/>
      <c r="ANO8" s="4"/>
      <c r="ANP8" s="4"/>
      <c r="ANQ8" s="4"/>
      <c r="ANR8" s="4"/>
      <c r="ANS8" s="5"/>
      <c r="ANT8" s="5"/>
      <c r="ANU8" s="5"/>
      <c r="ANV8" s="4"/>
      <c r="ANW8" s="4"/>
      <c r="ANX8" s="4"/>
      <c r="ANY8" s="4"/>
      <c r="ANZ8" s="4"/>
      <c r="AOA8" s="4"/>
      <c r="AOB8" s="4"/>
      <c r="AOC8" s="4"/>
      <c r="AOD8" s="4"/>
      <c r="AOE8" s="4"/>
      <c r="AOF8" s="4"/>
      <c r="AOG8" s="4"/>
      <c r="AOH8" s="4"/>
      <c r="AOI8" s="4"/>
      <c r="AOJ8" s="4"/>
      <c r="AOK8" s="4"/>
      <c r="AOL8" s="4"/>
      <c r="AOM8" s="4"/>
      <c r="AON8" s="4"/>
      <c r="AOO8" s="4"/>
      <c r="AOP8" s="4"/>
      <c r="AOQ8" s="4"/>
      <c r="AOR8" s="4"/>
      <c r="AOS8" s="4"/>
      <c r="AOT8" s="4"/>
      <c r="AOU8" s="4"/>
      <c r="AOV8" s="4"/>
      <c r="AOW8" s="4"/>
      <c r="AOX8" s="4"/>
      <c r="AOY8" s="4"/>
      <c r="AOZ8" s="4"/>
      <c r="APA8" s="4"/>
      <c r="APB8" s="4"/>
      <c r="APC8" s="4"/>
      <c r="APD8" s="4"/>
      <c r="APE8" s="4"/>
      <c r="APF8" s="4"/>
      <c r="APG8" s="4"/>
      <c r="APH8" s="4"/>
      <c r="API8" s="4"/>
      <c r="APJ8" s="4"/>
      <c r="APK8" s="4"/>
      <c r="APL8" s="4"/>
      <c r="APM8" s="4"/>
      <c r="APN8" s="4"/>
      <c r="APO8" s="4"/>
      <c r="APP8" s="4"/>
      <c r="APQ8" s="4"/>
      <c r="APR8" s="4"/>
      <c r="APS8" s="4"/>
      <c r="APT8" s="4"/>
      <c r="APU8" s="4"/>
      <c r="APV8" s="4"/>
      <c r="APW8" s="4"/>
      <c r="APX8" s="4"/>
      <c r="APY8" s="4"/>
      <c r="APZ8" s="4"/>
      <c r="AQA8" s="4"/>
      <c r="AQB8" s="4"/>
      <c r="AQC8" s="4"/>
      <c r="AQD8" s="4"/>
      <c r="AQE8" s="4"/>
      <c r="AQF8" s="4"/>
      <c r="AQG8" s="4"/>
      <c r="AQH8" s="4"/>
      <c r="AQI8" s="4"/>
      <c r="AQJ8" s="4"/>
      <c r="AQK8" s="4"/>
      <c r="AQL8" s="4"/>
      <c r="AQM8" s="4"/>
      <c r="AQN8" s="4"/>
      <c r="AQO8" s="4"/>
      <c r="AQP8" s="4"/>
      <c r="AQQ8" s="4"/>
      <c r="AQR8" s="4"/>
      <c r="AQS8" s="4"/>
      <c r="AQT8" s="4"/>
      <c r="AQU8" s="4"/>
      <c r="AQV8" s="4"/>
      <c r="AQW8" s="4"/>
      <c r="AQX8" s="4"/>
      <c r="AQY8" s="4"/>
      <c r="AQZ8" s="4"/>
      <c r="ARA8" s="4"/>
      <c r="ARB8" s="4"/>
      <c r="ARC8" s="4"/>
      <c r="ARD8" s="4"/>
      <c r="ARE8" s="4"/>
      <c r="ARF8" s="4"/>
      <c r="ARG8" s="4"/>
      <c r="ARH8" s="4"/>
      <c r="ARI8" s="4"/>
      <c r="ARJ8" s="4"/>
      <c r="ARK8" s="4"/>
      <c r="ARL8" s="4"/>
      <c r="ARM8" s="4"/>
      <c r="ARN8" s="4"/>
      <c r="ARO8" s="4"/>
      <c r="ARP8" s="4"/>
      <c r="ARQ8" s="4"/>
      <c r="ARR8" s="4"/>
      <c r="ARS8" s="4"/>
      <c r="ART8" s="4"/>
      <c r="ARU8" s="4"/>
      <c r="ARV8" s="4"/>
      <c r="ARW8" s="4"/>
      <c r="ARX8" s="4"/>
      <c r="ARY8" s="4"/>
      <c r="ARZ8" s="4"/>
      <c r="ASA8" s="4"/>
      <c r="ASB8" s="4"/>
      <c r="ASC8" s="4"/>
      <c r="ASD8" s="4"/>
      <c r="ASE8" s="4"/>
      <c r="ASF8" s="4"/>
      <c r="ASG8" s="4"/>
      <c r="ASH8" s="4"/>
      <c r="ASI8" s="4"/>
      <c r="ASJ8" s="4"/>
      <c r="ASK8" s="4"/>
      <c r="ASL8" s="4"/>
      <c r="ASM8" s="4"/>
      <c r="ASN8" s="4"/>
      <c r="ASO8" s="4"/>
      <c r="ASP8" s="4"/>
      <c r="ASQ8" s="4"/>
      <c r="ASR8" s="4"/>
      <c r="ASS8" s="4"/>
      <c r="AST8" s="4"/>
      <c r="ASU8" s="4"/>
    </row>
    <row r="9" ht="20.25" customHeight="1" spans="1:1191" x14ac:dyDescent="0.25">
      <c r="A9" s="4"/>
      <c r="B9" s="4"/>
      <c r="C9" s="4"/>
      <c r="D9" s="49"/>
      <c r="E9" s="49"/>
      <c r="F9" s="50">
        <f>TEXT(Config!$D3,"dddd dd/mm/yyyy")</f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51"/>
      <c r="AE9" s="52"/>
      <c r="AF9" s="53"/>
      <c r="AG9" s="53"/>
      <c r="AH9" s="49"/>
      <c r="AI9" s="50">
        <f>TEXT(Config!$D4,"dddd dd/mm/yyyy")</f>
      </c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52"/>
      <c r="BH9" s="52"/>
      <c r="BI9" s="53"/>
      <c r="BJ9" s="53"/>
      <c r="BK9" s="49"/>
      <c r="BL9" s="50">
        <f>TEXT(Config!$D5,"dddd dd/mm/yyyy")</f>
      </c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54"/>
      <c r="CK9" s="54"/>
      <c r="CL9" s="53"/>
      <c r="CM9" s="53"/>
      <c r="CN9" s="49"/>
      <c r="CO9" s="50">
        <f>TEXT(Config!$D6,"dddd dd/mm/yyyy")</f>
      </c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55"/>
      <c r="DN9" s="55"/>
      <c r="DO9" s="53"/>
      <c r="DP9" s="53"/>
      <c r="DQ9" s="49"/>
      <c r="DR9" s="50">
        <f>TEXT(Config!$D7,"dddd dd/mm/yyyy")</f>
      </c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55"/>
      <c r="EQ9" s="55"/>
      <c r="ER9" s="53"/>
      <c r="ES9" s="53"/>
      <c r="ET9" s="49"/>
      <c r="EU9" s="56">
        <f>TEXT(Config!$D8,"dddd dd/mm/yyyy")</f>
      </c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55"/>
      <c r="FT9" s="55"/>
      <c r="FU9" s="53"/>
      <c r="FV9" s="53"/>
      <c r="FW9" s="49"/>
      <c r="FX9" s="56">
        <f>TEXT(Config!$D9,"dddd dd/mm/yyyy")</f>
      </c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55"/>
      <c r="GW9" s="55"/>
      <c r="GX9" s="53"/>
      <c r="GY9" s="57"/>
      <c r="GZ9" s="57"/>
      <c r="HA9" s="58"/>
      <c r="HB9" s="59"/>
      <c r="HC9" s="49"/>
      <c r="HD9" s="50">
        <f>TEXT(Config!$D10,"dddd dd/mm/yyyy")</f>
      </c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55"/>
      <c r="IC9" s="55"/>
      <c r="ID9" s="53"/>
      <c r="IE9" s="53"/>
      <c r="IF9" s="49"/>
      <c r="IG9" s="50">
        <f>TEXT(Config!$D11,"dddd dd/mm/yyyy")</f>
      </c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55"/>
      <c r="JF9" s="55"/>
      <c r="JG9" s="53"/>
      <c r="JH9" s="53"/>
      <c r="JI9" s="49"/>
      <c r="JJ9" s="50">
        <f>TEXT(Config!$D12,"dddd dd/mm/yyyy")</f>
      </c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60"/>
      <c r="KI9" s="60"/>
      <c r="KJ9" s="53"/>
      <c r="KK9" s="53"/>
      <c r="KL9" s="49"/>
      <c r="KM9" s="50">
        <f>TEXT(Config!$D13,"dddd dd/mm/yyyy")</f>
      </c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55"/>
      <c r="LL9" s="55"/>
      <c r="LM9" s="53"/>
      <c r="LN9" s="53"/>
      <c r="LO9" s="49"/>
      <c r="LP9" s="50">
        <f>TEXT(Config!$D14,"dddd dd/mm/yyyy")</f>
      </c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55"/>
      <c r="MO9" s="55"/>
      <c r="MP9" s="53"/>
      <c r="MQ9" s="53"/>
      <c r="MR9" s="49"/>
      <c r="MS9" s="56">
        <f>TEXT(Config!$D15,"dddd dd/mm/yyyy")</f>
      </c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55"/>
      <c r="NR9" s="55"/>
      <c r="NS9" s="53"/>
      <c r="NT9" s="53"/>
      <c r="NU9" s="49"/>
      <c r="NV9" s="56">
        <f>TEXT(Config!$D16,"dddd dd/mm/yyyy")</f>
      </c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55"/>
      <c r="OU9" s="55"/>
      <c r="OV9" s="53"/>
      <c r="OW9" s="57"/>
      <c r="OX9" s="57"/>
      <c r="OY9" s="58"/>
      <c r="OZ9" s="59"/>
      <c r="PA9" s="49"/>
      <c r="PB9" s="50">
        <f>TEXT(Config!$D17,"dddd dd/mm/yyyy")</f>
      </c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54"/>
      <c r="QA9" s="54"/>
      <c r="QB9" s="50"/>
      <c r="QC9" s="50"/>
      <c r="QD9" s="61"/>
      <c r="QE9" s="50">
        <f>TEXT(Config!$D18,"dddd dd/mm/yyyy")</f>
      </c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54"/>
      <c r="RD9" s="54"/>
      <c r="RE9" s="50"/>
      <c r="RF9" s="50"/>
      <c r="RG9" s="61"/>
      <c r="RH9" s="50">
        <f>TEXT(Config!$D19,"dddd dd/mm/yyyy")</f>
      </c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54"/>
      <c r="SG9" s="54"/>
      <c r="SH9" s="50"/>
      <c r="SI9" s="50"/>
      <c r="SJ9" s="61"/>
      <c r="SK9" s="50">
        <f>TEXT(Config!$D20,"dddd dd/mm/yyyy")</f>
      </c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55"/>
      <c r="TJ9" s="55"/>
      <c r="TK9" s="53"/>
      <c r="TL9" s="53"/>
      <c r="TM9" s="49"/>
      <c r="TN9" s="50">
        <f>TEXT(Config!$D21,"dddd dd/mm/yyyy")</f>
      </c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55"/>
      <c r="UM9" s="55"/>
      <c r="UN9" s="53"/>
      <c r="UO9" s="53"/>
      <c r="UP9" s="49"/>
      <c r="UQ9" s="56">
        <f>TEXT(Config!$D22,"dddd dd/mm/yyyy")</f>
      </c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55"/>
      <c r="VP9" s="55"/>
      <c r="VQ9" s="53"/>
      <c r="VR9" s="62"/>
      <c r="VS9" s="4"/>
      <c r="VT9" s="56">
        <f>TEXT(Config!$D23,"dddd dd/mm/yyyy")</f>
      </c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63"/>
      <c r="WS9" s="63"/>
      <c r="WT9" s="62"/>
      <c r="WU9" s="57"/>
      <c r="WV9" s="57"/>
      <c r="WW9" s="58"/>
      <c r="WX9" s="59"/>
      <c r="WY9" s="49"/>
      <c r="WZ9" s="64">
        <f>TEXT(Config!$D24,"dddd dd/mm/yyyy")</f>
      </c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55"/>
      <c r="XY9" s="55"/>
      <c r="XZ9" s="53"/>
      <c r="YA9" s="53"/>
      <c r="YB9" s="49"/>
      <c r="YC9" s="64">
        <f>TEXT(Config!$D25,"dddd dd/mm/yyyy")</f>
      </c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55"/>
      <c r="ZB9" s="55"/>
      <c r="ZC9" s="53"/>
      <c r="ZD9" s="53"/>
      <c r="ZE9" s="49"/>
      <c r="ZF9" s="64">
        <f>TEXT(Config!$D26,"dddd dd/mm/yyyy")</f>
      </c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55"/>
      <c r="AAE9" s="55"/>
      <c r="AAF9" s="53"/>
      <c r="AAG9" s="53"/>
      <c r="AAH9" s="49"/>
      <c r="AAI9" s="64">
        <f>TEXT(Config!$D27,"dddd dd/mm/yyyy")</f>
      </c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55"/>
      <c r="ABH9" s="55"/>
      <c r="ABI9" s="53"/>
      <c r="ABJ9" s="53"/>
      <c r="ABK9" s="49"/>
      <c r="ABL9" s="50">
        <f>TEXT(Config!$D28,"dddd dd/mm/yyyy")</f>
      </c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55"/>
      <c r="ACK9" s="55"/>
      <c r="ACL9" s="53"/>
      <c r="ACM9" s="53"/>
      <c r="ACN9" s="49"/>
      <c r="ACO9" s="56">
        <f>TEXT(Config!$D29,"dddd dd/mm/yyyy")</f>
      </c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55"/>
      <c r="ADN9" s="55"/>
      <c r="ADO9" s="53"/>
      <c r="ADP9" s="53"/>
      <c r="ADQ9" s="49"/>
      <c r="ADR9" s="56">
        <f>TEXT(Config!$D30,"dddd dd/mm/yyyy")</f>
      </c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55"/>
      <c r="AEQ9" s="55"/>
      <c r="AER9" s="53"/>
      <c r="AES9" s="57"/>
      <c r="AET9" s="57"/>
      <c r="AEU9" s="58"/>
      <c r="AEV9" s="59"/>
      <c r="AEW9" s="49"/>
      <c r="AEX9" s="50">
        <f>TEXT(Config!$D31,"dddd dd/mm/yyyy")</f>
      </c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55"/>
      <c r="AFW9" s="55"/>
      <c r="AFX9" s="53"/>
      <c r="AFY9" s="53"/>
      <c r="AFZ9" s="49"/>
      <c r="AGA9" s="64">
        <f>TEXT(Config!$D32,"dddd dd/mm/yyyy")</f>
      </c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54"/>
      <c r="AGZ9" s="54"/>
      <c r="AHA9" s="53"/>
      <c r="AHB9" s="53"/>
      <c r="AHC9" s="49"/>
      <c r="AHD9" s="50">
        <f>TEXT(Config!$D33,"dddd dd/mm/yyyy")</f>
      </c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54"/>
      <c r="AIC9" s="54"/>
      <c r="AID9" s="53"/>
      <c r="AIE9" s="53"/>
      <c r="AIF9" s="49"/>
      <c r="AIG9" s="50">
        <f>TEXT(Config!$D34,"dddd dd/mm/yyyy")</f>
      </c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54"/>
      <c r="AJF9" s="54"/>
      <c r="AJG9" s="53"/>
      <c r="AJH9" s="53"/>
      <c r="AJI9" s="49"/>
      <c r="AJJ9" s="50">
        <f>TEXT(Config!$D35,"dddd dd/mm/yyyy")</f>
      </c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54"/>
      <c r="AKI9" s="54"/>
      <c r="AKJ9" s="53"/>
      <c r="AKK9" s="53"/>
      <c r="AKL9" s="49"/>
      <c r="AKM9" s="56">
        <f>TEXT(Config!$D36,"dddd dd/mm/yyyy")</f>
      </c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55"/>
      <c r="ALL9" s="55"/>
      <c r="ALM9" s="53"/>
      <c r="ALN9" s="62"/>
      <c r="ALO9" s="4"/>
      <c r="ALP9" s="56">
        <f>TEXT(Config!$D37,"dddd dd/mm/yyyy")</f>
      </c>
      <c r="ALQ9" s="4"/>
      <c r="ALR9" s="4"/>
      <c r="ALS9" s="4"/>
      <c r="ALT9" s="4"/>
      <c r="ALU9" s="4"/>
      <c r="ALV9" s="4"/>
      <c r="ALW9" s="4"/>
      <c r="ALX9" s="4"/>
      <c r="ALY9" s="4"/>
      <c r="ALZ9" s="4"/>
      <c r="AMA9" s="4"/>
      <c r="AMB9" s="4"/>
      <c r="AMC9" s="4"/>
      <c r="AMD9" s="4"/>
      <c r="AME9" s="4"/>
      <c r="AMF9" s="4"/>
      <c r="AMG9" s="4"/>
      <c r="AMH9" s="4"/>
      <c r="AMI9" s="4"/>
      <c r="AMJ9" s="4"/>
      <c r="AMK9" s="4"/>
      <c r="AML9" s="4"/>
      <c r="AMM9" s="4"/>
      <c r="AMN9" s="63"/>
      <c r="AMO9" s="63"/>
      <c r="AMP9" s="62"/>
      <c r="AMQ9" s="4"/>
      <c r="AMR9" s="4"/>
      <c r="AMS9" s="4"/>
      <c r="AMT9" s="4"/>
      <c r="AMU9" s="4"/>
      <c r="AMV9" s="4"/>
      <c r="AMW9" s="5"/>
      <c r="AMX9" s="5"/>
      <c r="AMY9" s="5"/>
      <c r="AMZ9" s="5"/>
      <c r="ANA9" s="5"/>
      <c r="ANB9" s="5"/>
      <c r="ANC9" s="5"/>
      <c r="AND9" s="5"/>
      <c r="ANE9" s="5"/>
      <c r="ANF9" s="5"/>
      <c r="ANG9" s="5"/>
      <c r="ANH9" s="5"/>
      <c r="ANI9" s="5"/>
      <c r="ANJ9" s="5"/>
      <c r="ANK9" s="5"/>
      <c r="ANL9" s="5"/>
      <c r="ANM9" s="5"/>
      <c r="ANN9" s="5"/>
      <c r="ANO9" s="5"/>
      <c r="ANP9" s="5"/>
      <c r="ANQ9" s="5"/>
      <c r="ANR9" s="5"/>
      <c r="ANS9" s="5"/>
      <c r="ANT9" s="5"/>
      <c r="ANU9" s="4"/>
      <c r="ANV9" s="4"/>
      <c r="ANW9" s="4"/>
      <c r="ANX9" s="4"/>
      <c r="ANY9" s="4"/>
      <c r="ANZ9" s="4"/>
      <c r="AOA9" s="4"/>
      <c r="AOB9" s="4"/>
      <c r="AOC9" s="4"/>
      <c r="AOD9" s="4"/>
      <c r="AOE9" s="4"/>
      <c r="AOF9" s="4"/>
      <c r="AOG9" s="4"/>
      <c r="AOH9" s="4"/>
      <c r="AOI9" s="4"/>
      <c r="AOJ9" s="4"/>
      <c r="AOK9" s="4"/>
      <c r="AOL9" s="4"/>
      <c r="AOM9" s="4"/>
      <c r="AON9" s="4"/>
      <c r="AOO9" s="4"/>
      <c r="AOP9" s="4"/>
      <c r="AOQ9" s="4"/>
      <c r="AOR9" s="4"/>
      <c r="AOS9" s="4"/>
      <c r="AOT9" s="4"/>
      <c r="AOU9" s="4"/>
      <c r="AOV9" s="4"/>
      <c r="AOW9" s="4"/>
      <c r="AOX9" s="4"/>
      <c r="AOY9" s="4"/>
      <c r="AOZ9" s="4"/>
      <c r="APA9" s="4"/>
      <c r="APB9" s="4"/>
      <c r="APC9" s="4"/>
      <c r="APD9" s="4"/>
      <c r="APE9" s="4"/>
      <c r="APF9" s="4"/>
      <c r="APG9" s="4"/>
      <c r="APH9" s="4"/>
      <c r="API9" s="4"/>
      <c r="APJ9" s="4"/>
      <c r="APK9" s="4"/>
      <c r="APL9" s="4"/>
      <c r="APM9" s="4"/>
      <c r="APN9" s="4"/>
      <c r="APO9" s="4"/>
      <c r="APP9" s="4"/>
      <c r="APQ9" s="4"/>
      <c r="APR9" s="4"/>
      <c r="APS9" s="4"/>
      <c r="APT9" s="4"/>
      <c r="APU9" s="4"/>
      <c r="APV9" s="4"/>
      <c r="APW9" s="4"/>
      <c r="APX9" s="4"/>
      <c r="APY9" s="4"/>
      <c r="APZ9" s="4"/>
      <c r="AQA9" s="4"/>
      <c r="AQB9" s="4"/>
      <c r="AQC9" s="4"/>
      <c r="AQD9" s="4"/>
      <c r="AQE9" s="4"/>
      <c r="AQF9" s="4"/>
      <c r="AQG9" s="4"/>
      <c r="AQH9" s="4"/>
      <c r="AQI9" s="4"/>
      <c r="AQJ9" s="4"/>
      <c r="AQK9" s="4"/>
      <c r="AQL9" s="4"/>
      <c r="AQM9" s="4"/>
      <c r="AQN9" s="4"/>
      <c r="AQO9" s="4"/>
      <c r="AQP9" s="4"/>
      <c r="AQQ9" s="4"/>
      <c r="AQR9" s="4"/>
      <c r="AQS9" s="4"/>
      <c r="AQT9" s="4"/>
      <c r="AQU9" s="4"/>
      <c r="AQV9" s="4"/>
      <c r="AQW9" s="4"/>
      <c r="AQX9" s="4"/>
      <c r="AQY9" s="4"/>
      <c r="AQZ9" s="4"/>
      <c r="ARA9" s="4"/>
      <c r="ARB9" s="4"/>
      <c r="ARC9" s="4"/>
      <c r="ARD9" s="4"/>
      <c r="ARE9" s="4"/>
      <c r="ARF9" s="4"/>
      <c r="ARG9" s="4"/>
      <c r="ARH9" s="4"/>
      <c r="ARI9" s="4"/>
      <c r="ARJ9" s="4"/>
      <c r="ARK9" s="4"/>
      <c r="ARL9" s="4"/>
      <c r="ARM9" s="4"/>
      <c r="ARN9" s="4"/>
      <c r="ARO9" s="4"/>
      <c r="ARP9" s="4"/>
      <c r="ARQ9" s="4"/>
      <c r="ARR9" s="4"/>
      <c r="ARS9" s="4"/>
      <c r="ART9" s="4"/>
      <c r="ARU9" s="4"/>
      <c r="ARV9" s="4"/>
      <c r="ARW9" s="4"/>
      <c r="ARX9" s="4"/>
      <c r="ARY9" s="4"/>
      <c r="ARZ9" s="4"/>
      <c r="ASA9" s="4"/>
      <c r="ASB9" s="4"/>
      <c r="ASC9" s="4"/>
      <c r="ASD9" s="4"/>
      <c r="ASE9" s="4"/>
      <c r="ASF9" s="4"/>
      <c r="ASG9" s="4"/>
      <c r="ASH9" s="4"/>
      <c r="ASI9" s="4"/>
      <c r="ASJ9" s="4"/>
      <c r="ASK9" s="4"/>
      <c r="ASL9" s="4"/>
      <c r="ASM9" s="4"/>
      <c r="ASN9" s="4"/>
      <c r="ASO9" s="4"/>
      <c r="ASP9" s="4"/>
      <c r="ASQ9" s="4"/>
      <c r="ASR9" s="4"/>
      <c r="ASS9" s="4"/>
      <c r="AST9" s="4"/>
      <c r="ASU9" s="4"/>
    </row>
    <row r="10" ht="15" customHeight="1" spans="1:1191" x14ac:dyDescent="0.25">
      <c r="A10" s="8"/>
      <c r="B10" s="8"/>
      <c r="C10" s="8"/>
      <c r="D10" s="4"/>
      <c r="E10" s="4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7"/>
      <c r="AE10" s="67"/>
      <c r="AF10" s="62"/>
      <c r="AG10" s="62"/>
      <c r="AH10" s="4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7"/>
      <c r="BH10" s="67"/>
      <c r="BI10" s="62"/>
      <c r="BJ10" s="62"/>
      <c r="BK10" s="4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2"/>
      <c r="CM10" s="62"/>
      <c r="CN10" s="4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2"/>
      <c r="DP10" s="62"/>
      <c r="DQ10" s="4"/>
      <c r="DR10" s="65"/>
      <c r="DS10" s="65"/>
      <c r="DT10" s="65"/>
      <c r="DU10" s="65"/>
      <c r="DV10" s="65"/>
      <c r="DW10" s="65"/>
      <c r="DX10" s="65"/>
      <c r="DY10" s="65"/>
      <c r="DZ10" s="65"/>
      <c r="EA10" s="65"/>
      <c r="EB10" s="65"/>
      <c r="EC10" s="65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  <c r="EO10" s="63"/>
      <c r="EP10" s="63"/>
      <c r="EQ10" s="63"/>
      <c r="ER10" s="62"/>
      <c r="ES10" s="62"/>
      <c r="ET10" s="4"/>
      <c r="EU10" s="65"/>
      <c r="EV10" s="65"/>
      <c r="EW10" s="65"/>
      <c r="EX10" s="65"/>
      <c r="EY10" s="65"/>
      <c r="EZ10" s="65"/>
      <c r="FA10" s="65"/>
      <c r="FB10" s="65"/>
      <c r="FC10" s="65"/>
      <c r="FD10" s="65"/>
      <c r="FE10" s="65"/>
      <c r="FF10" s="65"/>
      <c r="FG10" s="63"/>
      <c r="FH10" s="63"/>
      <c r="FI10" s="63"/>
      <c r="FJ10" s="63"/>
      <c r="FK10" s="63"/>
      <c r="FL10" s="63"/>
      <c r="FM10" s="63"/>
      <c r="FN10" s="63"/>
      <c r="FO10" s="63"/>
      <c r="FP10" s="63"/>
      <c r="FQ10" s="63"/>
      <c r="FR10" s="63"/>
      <c r="FS10" s="63"/>
      <c r="FT10" s="63"/>
      <c r="FU10" s="62"/>
      <c r="FV10" s="62"/>
      <c r="FW10" s="4"/>
      <c r="FX10" s="65"/>
      <c r="FY10" s="65"/>
      <c r="FZ10" s="65"/>
      <c r="GA10" s="65"/>
      <c r="GB10" s="65"/>
      <c r="GC10" s="65"/>
      <c r="GD10" s="65"/>
      <c r="GE10" s="65"/>
      <c r="GF10" s="65"/>
      <c r="GG10" s="65"/>
      <c r="GH10" s="65"/>
      <c r="GI10" s="65"/>
      <c r="GJ10" s="63"/>
      <c r="GK10" s="63"/>
      <c r="GL10" s="63"/>
      <c r="GM10" s="63"/>
      <c r="GN10" s="63"/>
      <c r="GO10" s="63"/>
      <c r="GP10" s="63"/>
      <c r="GQ10" s="63"/>
      <c r="GR10" s="63"/>
      <c r="GS10" s="63"/>
      <c r="GT10" s="63"/>
      <c r="GU10" s="63"/>
      <c r="GV10" s="63"/>
      <c r="GW10" s="63"/>
      <c r="GX10" s="62"/>
      <c r="GY10" s="57"/>
      <c r="GZ10" s="57"/>
      <c r="HA10" s="58"/>
      <c r="HB10" s="57"/>
      <c r="HC10" s="4"/>
      <c r="HD10" s="65"/>
      <c r="HE10" s="65"/>
      <c r="HF10" s="65"/>
      <c r="HG10" s="65"/>
      <c r="HH10" s="65"/>
      <c r="HI10" s="65"/>
      <c r="HJ10" s="65"/>
      <c r="HK10" s="65"/>
      <c r="HL10" s="65"/>
      <c r="HM10" s="65"/>
      <c r="HN10" s="65"/>
      <c r="HO10" s="65"/>
      <c r="HP10" s="63"/>
      <c r="HQ10" s="63"/>
      <c r="HR10" s="63"/>
      <c r="HS10" s="63"/>
      <c r="HT10" s="63"/>
      <c r="HU10" s="63"/>
      <c r="HV10" s="63"/>
      <c r="HW10" s="63"/>
      <c r="HX10" s="63"/>
      <c r="HY10" s="63"/>
      <c r="HZ10" s="63"/>
      <c r="IA10" s="63"/>
      <c r="IB10" s="63"/>
      <c r="IC10" s="63"/>
      <c r="ID10" s="62"/>
      <c r="IE10" s="62"/>
      <c r="IF10" s="4"/>
      <c r="IG10" s="65"/>
      <c r="IH10" s="65"/>
      <c r="II10" s="65"/>
      <c r="IJ10" s="65"/>
      <c r="IK10" s="65"/>
      <c r="IL10" s="65"/>
      <c r="IM10" s="65"/>
      <c r="IN10" s="65"/>
      <c r="IO10" s="65"/>
      <c r="IP10" s="65"/>
      <c r="IQ10" s="65"/>
      <c r="IR10" s="65"/>
      <c r="IS10" s="63"/>
      <c r="IT10" s="63"/>
      <c r="IU10" s="63"/>
      <c r="IV10" s="63"/>
      <c r="IW10" s="63"/>
      <c r="IX10" s="63"/>
      <c r="IY10" s="63"/>
      <c r="IZ10" s="63"/>
      <c r="JA10" s="63"/>
      <c r="JB10" s="63"/>
      <c r="JC10" s="63"/>
      <c r="JD10" s="63"/>
      <c r="JE10" s="63"/>
      <c r="JF10" s="63"/>
      <c r="JG10" s="62"/>
      <c r="JH10" s="62"/>
      <c r="JI10" s="4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7"/>
      <c r="JW10" s="67"/>
      <c r="JX10" s="67"/>
      <c r="JY10" s="67"/>
      <c r="JZ10" s="67"/>
      <c r="KA10" s="67"/>
      <c r="KB10" s="67"/>
      <c r="KC10" s="67"/>
      <c r="KD10" s="67"/>
      <c r="KE10" s="67"/>
      <c r="KF10" s="67"/>
      <c r="KG10" s="69"/>
      <c r="KH10" s="69"/>
      <c r="KI10" s="69"/>
      <c r="KJ10" s="62"/>
      <c r="KK10" s="62"/>
      <c r="KL10" s="4"/>
      <c r="KM10" s="68"/>
      <c r="KN10" s="68"/>
      <c r="KO10" s="68"/>
      <c r="KP10" s="68"/>
      <c r="KQ10" s="68"/>
      <c r="KR10" s="68"/>
      <c r="KS10" s="68"/>
      <c r="KT10" s="68"/>
      <c r="KU10" s="68"/>
      <c r="KV10" s="68"/>
      <c r="KW10" s="68"/>
      <c r="KX10" s="68"/>
      <c r="KY10" s="67"/>
      <c r="KZ10" s="67"/>
      <c r="LA10" s="67"/>
      <c r="LB10" s="67"/>
      <c r="LC10" s="67"/>
      <c r="LD10" s="67"/>
      <c r="LE10" s="67"/>
      <c r="LF10" s="67"/>
      <c r="LG10" s="67"/>
      <c r="LH10" s="67"/>
      <c r="LI10" s="67"/>
      <c r="LJ10" s="67"/>
      <c r="LK10" s="63"/>
      <c r="LL10" s="63"/>
      <c r="LM10" s="62"/>
      <c r="LN10" s="62"/>
      <c r="LO10" s="4"/>
      <c r="LP10" s="65"/>
      <c r="LQ10" s="65"/>
      <c r="LR10" s="65"/>
      <c r="LS10" s="65"/>
      <c r="LT10" s="65"/>
      <c r="LU10" s="65"/>
      <c r="LV10" s="65"/>
      <c r="LW10" s="65"/>
      <c r="LX10" s="65"/>
      <c r="LY10" s="65"/>
      <c r="LZ10" s="65"/>
      <c r="MA10" s="65"/>
      <c r="MB10" s="63"/>
      <c r="MC10" s="63"/>
      <c r="MD10" s="63"/>
      <c r="ME10" s="63"/>
      <c r="MF10" s="63"/>
      <c r="MG10" s="63"/>
      <c r="MH10" s="63"/>
      <c r="MI10" s="63"/>
      <c r="MJ10" s="63"/>
      <c r="MK10" s="63"/>
      <c r="ML10" s="63"/>
      <c r="MM10" s="63"/>
      <c r="MN10" s="63"/>
      <c r="MO10" s="63"/>
      <c r="MP10" s="62"/>
      <c r="MQ10" s="62"/>
      <c r="MR10" s="4"/>
      <c r="MS10" s="65"/>
      <c r="MT10" s="65"/>
      <c r="MU10" s="65"/>
      <c r="MV10" s="65"/>
      <c r="MW10" s="65"/>
      <c r="MX10" s="65"/>
      <c r="MY10" s="65"/>
      <c r="MZ10" s="65"/>
      <c r="NA10" s="65"/>
      <c r="NB10" s="65"/>
      <c r="NC10" s="65"/>
      <c r="ND10" s="65"/>
      <c r="NE10" s="63"/>
      <c r="NF10" s="63"/>
      <c r="NG10" s="63"/>
      <c r="NH10" s="63"/>
      <c r="NI10" s="63"/>
      <c r="NJ10" s="63"/>
      <c r="NK10" s="63"/>
      <c r="NL10" s="63"/>
      <c r="NM10" s="63"/>
      <c r="NN10" s="63"/>
      <c r="NO10" s="63"/>
      <c r="NP10" s="63"/>
      <c r="NQ10" s="63"/>
      <c r="NR10" s="63"/>
      <c r="NS10" s="62"/>
      <c r="NT10" s="62"/>
      <c r="NU10" s="4"/>
      <c r="NV10" s="65"/>
      <c r="NW10" s="65"/>
      <c r="NX10" s="65"/>
      <c r="NY10" s="65"/>
      <c r="NZ10" s="65"/>
      <c r="OA10" s="65"/>
      <c r="OB10" s="65"/>
      <c r="OC10" s="65"/>
      <c r="OD10" s="65"/>
      <c r="OE10" s="65"/>
      <c r="OF10" s="65"/>
      <c r="OG10" s="65"/>
      <c r="OH10" s="63"/>
      <c r="OI10" s="63"/>
      <c r="OJ10" s="63"/>
      <c r="OK10" s="63"/>
      <c r="OL10" s="63"/>
      <c r="OM10" s="63"/>
      <c r="ON10" s="63"/>
      <c r="OO10" s="63"/>
      <c r="OP10" s="63"/>
      <c r="OQ10" s="63"/>
      <c r="OR10" s="63"/>
      <c r="OS10" s="63"/>
      <c r="OT10" s="63"/>
      <c r="OU10" s="63"/>
      <c r="OV10" s="62"/>
      <c r="OW10" s="57"/>
      <c r="OX10" s="57"/>
      <c r="OY10" s="58"/>
      <c r="OZ10" s="57"/>
      <c r="PA10" s="4"/>
      <c r="PB10" s="65"/>
      <c r="PC10" s="65"/>
      <c r="PD10" s="65"/>
      <c r="PE10" s="65"/>
      <c r="PF10" s="65"/>
      <c r="PG10" s="65"/>
      <c r="PH10" s="65"/>
      <c r="PI10" s="65"/>
      <c r="PJ10" s="65"/>
      <c r="PK10" s="65"/>
      <c r="PL10" s="65"/>
      <c r="PM10" s="65"/>
      <c r="PN10" s="63"/>
      <c r="PO10" s="63"/>
      <c r="PP10" s="63"/>
      <c r="PQ10" s="63"/>
      <c r="PR10" s="63"/>
      <c r="PS10" s="63"/>
      <c r="PT10" s="63"/>
      <c r="PU10" s="63"/>
      <c r="PV10" s="63"/>
      <c r="PW10" s="63"/>
      <c r="PX10" s="63"/>
      <c r="PY10" s="63"/>
      <c r="PZ10" s="63"/>
      <c r="QA10" s="63"/>
      <c r="QB10" s="62"/>
      <c r="QC10" s="62"/>
      <c r="QD10" s="4"/>
      <c r="QE10" s="65"/>
      <c r="QF10" s="65"/>
      <c r="QG10" s="65"/>
      <c r="QH10" s="65"/>
      <c r="QI10" s="65"/>
      <c r="QJ10" s="65"/>
      <c r="QK10" s="65"/>
      <c r="QL10" s="65"/>
      <c r="QM10" s="65"/>
      <c r="QN10" s="65"/>
      <c r="QO10" s="65"/>
      <c r="QP10" s="65"/>
      <c r="QQ10" s="63"/>
      <c r="QR10" s="63"/>
      <c r="QS10" s="63"/>
      <c r="QT10" s="63"/>
      <c r="QU10" s="63"/>
      <c r="QV10" s="63"/>
      <c r="QW10" s="63"/>
      <c r="QX10" s="63"/>
      <c r="QY10" s="63"/>
      <c r="QZ10" s="63"/>
      <c r="RA10" s="63"/>
      <c r="RB10" s="63"/>
      <c r="RC10" s="63"/>
      <c r="RD10" s="63"/>
      <c r="RE10" s="62"/>
      <c r="RF10" s="62"/>
      <c r="RG10" s="4"/>
      <c r="RH10" s="65"/>
      <c r="RI10" s="65"/>
      <c r="RJ10" s="65"/>
      <c r="RK10" s="65"/>
      <c r="RL10" s="65"/>
      <c r="RM10" s="65"/>
      <c r="RN10" s="65"/>
      <c r="RO10" s="65"/>
      <c r="RP10" s="65"/>
      <c r="RQ10" s="65"/>
      <c r="RR10" s="65"/>
      <c r="RS10" s="65"/>
      <c r="RT10" s="63"/>
      <c r="RU10" s="63"/>
      <c r="RV10" s="63"/>
      <c r="RW10" s="63"/>
      <c r="RX10" s="63"/>
      <c r="RY10" s="63"/>
      <c r="RZ10" s="63"/>
      <c r="SA10" s="63"/>
      <c r="SB10" s="63"/>
      <c r="SC10" s="63"/>
      <c r="SD10" s="63"/>
      <c r="SE10" s="63"/>
      <c r="SF10" s="63"/>
      <c r="SG10" s="63"/>
      <c r="SH10" s="62"/>
      <c r="SI10" s="62"/>
      <c r="SJ10" s="4"/>
      <c r="SK10" s="65"/>
      <c r="SL10" s="65"/>
      <c r="SM10" s="65"/>
      <c r="SN10" s="65"/>
      <c r="SO10" s="65"/>
      <c r="SP10" s="65"/>
      <c r="SQ10" s="65"/>
      <c r="SR10" s="65"/>
      <c r="SS10" s="65"/>
      <c r="ST10" s="65"/>
      <c r="SU10" s="65"/>
      <c r="SV10" s="65"/>
      <c r="SW10" s="63"/>
      <c r="SX10" s="63"/>
      <c r="SY10" s="63"/>
      <c r="SZ10" s="63"/>
      <c r="TA10" s="63"/>
      <c r="TB10" s="63"/>
      <c r="TC10" s="63"/>
      <c r="TD10" s="63"/>
      <c r="TE10" s="63"/>
      <c r="TF10" s="63"/>
      <c r="TG10" s="63"/>
      <c r="TH10" s="63"/>
      <c r="TI10" s="63"/>
      <c r="TJ10" s="63"/>
      <c r="TK10" s="62"/>
      <c r="TL10" s="62"/>
      <c r="TM10" s="4"/>
      <c r="TN10" s="65"/>
      <c r="TO10" s="65"/>
      <c r="TP10" s="65"/>
      <c r="TQ10" s="65"/>
      <c r="TR10" s="65"/>
      <c r="TS10" s="65"/>
      <c r="TT10" s="65"/>
      <c r="TU10" s="65"/>
      <c r="TV10" s="65"/>
      <c r="TW10" s="65"/>
      <c r="TX10" s="65"/>
      <c r="TY10" s="65"/>
      <c r="TZ10" s="63"/>
      <c r="UA10" s="63"/>
      <c r="UB10" s="63"/>
      <c r="UC10" s="63"/>
      <c r="UD10" s="63"/>
      <c r="UE10" s="63"/>
      <c r="UF10" s="63"/>
      <c r="UG10" s="63"/>
      <c r="UH10" s="63"/>
      <c r="UI10" s="63"/>
      <c r="UJ10" s="63"/>
      <c r="UK10" s="63"/>
      <c r="UL10" s="63"/>
      <c r="UM10" s="63"/>
      <c r="UN10" s="62"/>
      <c r="UO10" s="62"/>
      <c r="UP10" s="4"/>
      <c r="UQ10" s="65"/>
      <c r="UR10" s="65"/>
      <c r="US10" s="65"/>
      <c r="UT10" s="65"/>
      <c r="UU10" s="65"/>
      <c r="UV10" s="65"/>
      <c r="UW10" s="65"/>
      <c r="UX10" s="65"/>
      <c r="UY10" s="65"/>
      <c r="UZ10" s="65"/>
      <c r="VA10" s="65"/>
      <c r="VB10" s="65"/>
      <c r="VC10" s="63"/>
      <c r="VD10" s="63"/>
      <c r="VE10" s="63"/>
      <c r="VF10" s="63"/>
      <c r="VG10" s="63"/>
      <c r="VH10" s="63"/>
      <c r="VI10" s="63"/>
      <c r="VJ10" s="63"/>
      <c r="VK10" s="63"/>
      <c r="VL10" s="63"/>
      <c r="VM10" s="63"/>
      <c r="VN10" s="63"/>
      <c r="VO10" s="63"/>
      <c r="VP10" s="63"/>
      <c r="VQ10" s="62"/>
      <c r="VR10" s="62"/>
      <c r="VS10" s="4"/>
      <c r="VT10" s="65"/>
      <c r="VU10" s="65"/>
      <c r="VV10" s="65"/>
      <c r="VW10" s="65"/>
      <c r="VX10" s="65"/>
      <c r="VY10" s="65"/>
      <c r="VZ10" s="65"/>
      <c r="WA10" s="65"/>
      <c r="WB10" s="65"/>
      <c r="WC10" s="65"/>
      <c r="WD10" s="65"/>
      <c r="WE10" s="65"/>
      <c r="WF10" s="63"/>
      <c r="WG10" s="63"/>
      <c r="WH10" s="63"/>
      <c r="WI10" s="63"/>
      <c r="WJ10" s="63"/>
      <c r="WK10" s="63"/>
      <c r="WL10" s="63"/>
      <c r="WM10" s="63"/>
      <c r="WN10" s="63"/>
      <c r="WO10" s="63"/>
      <c r="WP10" s="63"/>
      <c r="WQ10" s="63"/>
      <c r="WR10" s="63"/>
      <c r="WS10" s="63"/>
      <c r="WT10" s="62"/>
      <c r="WU10" s="57"/>
      <c r="WV10" s="57"/>
      <c r="WW10" s="58"/>
      <c r="WX10" s="57"/>
      <c r="WY10" s="4"/>
      <c r="WZ10" s="68"/>
      <c r="XA10" s="68"/>
      <c r="XB10" s="68"/>
      <c r="XC10" s="68"/>
      <c r="XD10" s="68"/>
      <c r="XE10" s="68"/>
      <c r="XF10" s="68"/>
      <c r="XG10" s="68"/>
      <c r="XH10" s="68"/>
      <c r="XI10" s="68"/>
      <c r="XJ10" s="68"/>
      <c r="XK10" s="68"/>
      <c r="XL10" s="67"/>
      <c r="XM10" s="67"/>
      <c r="XN10" s="67"/>
      <c r="XO10" s="67"/>
      <c r="XP10" s="67"/>
      <c r="XQ10" s="67"/>
      <c r="XR10" s="67"/>
      <c r="XS10" s="67"/>
      <c r="XT10" s="67"/>
      <c r="XU10" s="67"/>
      <c r="XV10" s="67"/>
      <c r="XW10" s="67"/>
      <c r="XX10" s="63"/>
      <c r="XY10" s="63"/>
      <c r="XZ10" s="62"/>
      <c r="YA10" s="62"/>
      <c r="YB10" s="4"/>
      <c r="YC10" s="68"/>
      <c r="YD10" s="68"/>
      <c r="YE10" s="68"/>
      <c r="YF10" s="68"/>
      <c r="YG10" s="68"/>
      <c r="YH10" s="68"/>
      <c r="YI10" s="68"/>
      <c r="YJ10" s="68"/>
      <c r="YK10" s="68"/>
      <c r="YL10" s="68"/>
      <c r="YM10" s="68"/>
      <c r="YN10" s="68"/>
      <c r="YO10" s="67"/>
      <c r="YP10" s="67"/>
      <c r="YQ10" s="67"/>
      <c r="YR10" s="67"/>
      <c r="YS10" s="67"/>
      <c r="YT10" s="67"/>
      <c r="YU10" s="67"/>
      <c r="YV10" s="67"/>
      <c r="YW10" s="67"/>
      <c r="YX10" s="67"/>
      <c r="YY10" s="67"/>
      <c r="YZ10" s="67"/>
      <c r="ZA10" s="63"/>
      <c r="ZB10" s="63"/>
      <c r="ZC10" s="62"/>
      <c r="ZD10" s="62"/>
      <c r="ZE10" s="4"/>
      <c r="ZF10" s="68"/>
      <c r="ZG10" s="68"/>
      <c r="ZH10" s="68"/>
      <c r="ZI10" s="68"/>
      <c r="ZJ10" s="68"/>
      <c r="ZK10" s="68"/>
      <c r="ZL10" s="68"/>
      <c r="ZM10" s="68"/>
      <c r="ZN10" s="68"/>
      <c r="ZO10" s="68"/>
      <c r="ZP10" s="68"/>
      <c r="ZQ10" s="68"/>
      <c r="ZR10" s="67"/>
      <c r="ZS10" s="67"/>
      <c r="ZT10" s="67"/>
      <c r="ZU10" s="67"/>
      <c r="ZV10" s="67"/>
      <c r="ZW10" s="67"/>
      <c r="ZX10" s="67"/>
      <c r="ZY10" s="67"/>
      <c r="ZZ10" s="67"/>
      <c r="AAA10" s="67"/>
      <c r="AAB10" s="67"/>
      <c r="AAC10" s="67"/>
      <c r="AAD10" s="63"/>
      <c r="AAE10" s="63"/>
      <c r="AAF10" s="53"/>
      <c r="AAG10" s="53"/>
      <c r="AAH10" s="4"/>
      <c r="AAI10" s="68"/>
      <c r="AAJ10" s="68"/>
      <c r="AAK10" s="68"/>
      <c r="AAL10" s="68"/>
      <c r="AAM10" s="68"/>
      <c r="AAN10" s="68"/>
      <c r="AAO10" s="68"/>
      <c r="AAP10" s="68"/>
      <c r="AAQ10" s="68"/>
      <c r="AAR10" s="68"/>
      <c r="AAS10" s="68"/>
      <c r="AAT10" s="68"/>
      <c r="AAU10" s="67"/>
      <c r="AAV10" s="67"/>
      <c r="AAW10" s="67"/>
      <c r="AAX10" s="67"/>
      <c r="AAY10" s="67"/>
      <c r="AAZ10" s="67"/>
      <c r="ABA10" s="67"/>
      <c r="ABB10" s="67"/>
      <c r="ABC10" s="67"/>
      <c r="ABD10" s="67"/>
      <c r="ABE10" s="67"/>
      <c r="ABF10" s="67"/>
      <c r="ABG10" s="63"/>
      <c r="ABH10" s="63"/>
      <c r="ABI10" s="62"/>
      <c r="ABJ10" s="62"/>
      <c r="ABK10" s="4"/>
      <c r="ABL10" s="65"/>
      <c r="ABM10" s="65"/>
      <c r="ABN10" s="65"/>
      <c r="ABO10" s="65"/>
      <c r="ABP10" s="65"/>
      <c r="ABQ10" s="65"/>
      <c r="ABR10" s="65"/>
      <c r="ABS10" s="65"/>
      <c r="ABT10" s="65"/>
      <c r="ABU10" s="65"/>
      <c r="ABV10" s="65"/>
      <c r="ABW10" s="65"/>
      <c r="ABX10" s="63"/>
      <c r="ABY10" s="63"/>
      <c r="ABZ10" s="63"/>
      <c r="ACA10" s="63"/>
      <c r="ACB10" s="63"/>
      <c r="ACC10" s="63"/>
      <c r="ACD10" s="63"/>
      <c r="ACE10" s="63"/>
      <c r="ACF10" s="63"/>
      <c r="ACG10" s="63"/>
      <c r="ACH10" s="63"/>
      <c r="ACI10" s="63"/>
      <c r="ACJ10" s="63"/>
      <c r="ACK10" s="63"/>
      <c r="ACL10" s="62"/>
      <c r="ACM10" s="62"/>
      <c r="ACN10" s="4"/>
      <c r="ACO10" s="65"/>
      <c r="ACP10" s="65"/>
      <c r="ACQ10" s="65"/>
      <c r="ACR10" s="65"/>
      <c r="ACS10" s="65"/>
      <c r="ACT10" s="65"/>
      <c r="ACU10" s="65"/>
      <c r="ACV10" s="65"/>
      <c r="ACW10" s="65"/>
      <c r="ACX10" s="65"/>
      <c r="ACY10" s="65"/>
      <c r="ACZ10" s="65"/>
      <c r="ADA10" s="63"/>
      <c r="ADB10" s="63"/>
      <c r="ADC10" s="63"/>
      <c r="ADD10" s="63"/>
      <c r="ADE10" s="63"/>
      <c r="ADF10" s="63"/>
      <c r="ADG10" s="63"/>
      <c r="ADH10" s="63"/>
      <c r="ADI10" s="63"/>
      <c r="ADJ10" s="63"/>
      <c r="ADK10" s="63"/>
      <c r="ADL10" s="63"/>
      <c r="ADM10" s="63"/>
      <c r="ADN10" s="63"/>
      <c r="ADO10" s="62"/>
      <c r="ADP10" s="62"/>
      <c r="ADQ10" s="4"/>
      <c r="ADR10" s="65"/>
      <c r="ADS10" s="65"/>
      <c r="ADT10" s="65"/>
      <c r="ADU10" s="65"/>
      <c r="ADV10" s="65"/>
      <c r="ADW10" s="65"/>
      <c r="ADX10" s="65"/>
      <c r="ADY10" s="65"/>
      <c r="ADZ10" s="65"/>
      <c r="AEA10" s="65"/>
      <c r="AEB10" s="65"/>
      <c r="AEC10" s="65"/>
      <c r="AED10" s="63"/>
      <c r="AEE10" s="63"/>
      <c r="AEF10" s="63"/>
      <c r="AEG10" s="63"/>
      <c r="AEH10" s="63"/>
      <c r="AEI10" s="63"/>
      <c r="AEJ10" s="63"/>
      <c r="AEK10" s="63"/>
      <c r="AEL10" s="63"/>
      <c r="AEM10" s="63"/>
      <c r="AEN10" s="63"/>
      <c r="AEO10" s="63"/>
      <c r="AEP10" s="63"/>
      <c r="AEQ10" s="63"/>
      <c r="AER10" s="62"/>
      <c r="AES10" s="57"/>
      <c r="AET10" s="57"/>
      <c r="AEU10" s="58"/>
      <c r="AEV10" s="57"/>
      <c r="AEW10" s="4"/>
      <c r="AEX10" s="65"/>
      <c r="AEY10" s="65"/>
      <c r="AEZ10" s="65"/>
      <c r="AFA10" s="65"/>
      <c r="AFB10" s="65"/>
      <c r="AFC10" s="65"/>
      <c r="AFD10" s="65"/>
      <c r="AFE10" s="65"/>
      <c r="AFF10" s="65"/>
      <c r="AFG10" s="65"/>
      <c r="AFH10" s="65"/>
      <c r="AFI10" s="65"/>
      <c r="AFJ10" s="63"/>
      <c r="AFK10" s="63"/>
      <c r="AFL10" s="63"/>
      <c r="AFM10" s="63"/>
      <c r="AFN10" s="63"/>
      <c r="AFO10" s="63"/>
      <c r="AFP10" s="63"/>
      <c r="AFQ10" s="63"/>
      <c r="AFR10" s="63"/>
      <c r="AFS10" s="63"/>
      <c r="AFT10" s="63"/>
      <c r="AFU10" s="63"/>
      <c r="AFV10" s="63"/>
      <c r="AFW10" s="63"/>
      <c r="AFX10" s="62"/>
      <c r="AFY10" s="62"/>
      <c r="AFZ10" s="4"/>
      <c r="AGA10" s="65"/>
      <c r="AGB10" s="65"/>
      <c r="AGC10" s="65"/>
      <c r="AGD10" s="65"/>
      <c r="AGE10" s="65"/>
      <c r="AGF10" s="65"/>
      <c r="AGG10" s="65"/>
      <c r="AGH10" s="65"/>
      <c r="AGI10" s="65"/>
      <c r="AGJ10" s="65"/>
      <c r="AGK10" s="65"/>
      <c r="AGL10" s="65"/>
      <c r="AGM10" s="66"/>
      <c r="AGN10" s="66"/>
      <c r="AGO10" s="66"/>
      <c r="AGP10" s="66"/>
      <c r="AGQ10" s="66"/>
      <c r="AGR10" s="66"/>
      <c r="AGS10" s="66"/>
      <c r="AGT10" s="66"/>
      <c r="AGU10" s="66"/>
      <c r="AGV10" s="66"/>
      <c r="AGW10" s="66"/>
      <c r="AGX10" s="66"/>
      <c r="AGY10" s="66"/>
      <c r="AGZ10" s="66"/>
      <c r="AHA10" s="62"/>
      <c r="AHB10" s="62"/>
      <c r="AHC10" s="4"/>
      <c r="AHD10" s="65"/>
      <c r="AHE10" s="65"/>
      <c r="AHF10" s="65"/>
      <c r="AHG10" s="65"/>
      <c r="AHH10" s="65"/>
      <c r="AHI10" s="65"/>
      <c r="AHJ10" s="65"/>
      <c r="AHK10" s="65"/>
      <c r="AHL10" s="65"/>
      <c r="AHM10" s="65"/>
      <c r="AHN10" s="65"/>
      <c r="AHO10" s="65"/>
      <c r="AHP10" s="66"/>
      <c r="AHQ10" s="66"/>
      <c r="AHR10" s="66"/>
      <c r="AHS10" s="66"/>
      <c r="AHT10" s="66"/>
      <c r="AHU10" s="66"/>
      <c r="AHV10" s="66"/>
      <c r="AHW10" s="66"/>
      <c r="AHX10" s="66"/>
      <c r="AHY10" s="66"/>
      <c r="AHZ10" s="66"/>
      <c r="AIA10" s="66"/>
      <c r="AIB10" s="66"/>
      <c r="AIC10" s="66"/>
      <c r="AID10" s="62"/>
      <c r="AIE10" s="62"/>
      <c r="AIF10" s="4"/>
      <c r="AIG10" s="65"/>
      <c r="AIH10" s="65"/>
      <c r="AII10" s="65"/>
      <c r="AIJ10" s="65"/>
      <c r="AIK10" s="65"/>
      <c r="AIL10" s="65"/>
      <c r="AIM10" s="65"/>
      <c r="AIN10" s="65"/>
      <c r="AIO10" s="65"/>
      <c r="AIP10" s="65"/>
      <c r="AIQ10" s="65"/>
      <c r="AIR10" s="65"/>
      <c r="AIS10" s="66"/>
      <c r="AIT10" s="66"/>
      <c r="AIU10" s="66"/>
      <c r="AIV10" s="66"/>
      <c r="AIW10" s="66"/>
      <c r="AIX10" s="66"/>
      <c r="AIY10" s="66"/>
      <c r="AIZ10" s="66"/>
      <c r="AJA10" s="66"/>
      <c r="AJB10" s="66"/>
      <c r="AJC10" s="66"/>
      <c r="AJD10" s="66"/>
      <c r="AJE10" s="66"/>
      <c r="AJF10" s="66"/>
      <c r="AJG10" s="62"/>
      <c r="AJH10" s="62"/>
      <c r="AJI10" s="4"/>
      <c r="AJJ10" s="65"/>
      <c r="AJK10" s="65"/>
      <c r="AJL10" s="65"/>
      <c r="AJM10" s="65"/>
      <c r="AJN10" s="65"/>
      <c r="AJO10" s="65"/>
      <c r="AJP10" s="65"/>
      <c r="AJQ10" s="65"/>
      <c r="AJR10" s="65"/>
      <c r="AJS10" s="65"/>
      <c r="AJT10" s="65"/>
      <c r="AJU10" s="65"/>
      <c r="AJV10" s="66"/>
      <c r="AJW10" s="66"/>
      <c r="AJX10" s="66"/>
      <c r="AJY10" s="66"/>
      <c r="AJZ10" s="66"/>
      <c r="AKA10" s="66"/>
      <c r="AKB10" s="66"/>
      <c r="AKC10" s="66"/>
      <c r="AKD10" s="66"/>
      <c r="AKE10" s="66"/>
      <c r="AKF10" s="66"/>
      <c r="AKG10" s="66"/>
      <c r="AKH10" s="66"/>
      <c r="AKI10" s="66"/>
      <c r="AKJ10" s="62"/>
      <c r="AKK10" s="62"/>
      <c r="AKL10" s="4"/>
      <c r="AKM10" s="65"/>
      <c r="AKN10" s="65"/>
      <c r="AKO10" s="65"/>
      <c r="AKP10" s="65"/>
      <c r="AKQ10" s="65"/>
      <c r="AKR10" s="65"/>
      <c r="AKS10" s="65"/>
      <c r="AKT10" s="65"/>
      <c r="AKU10" s="65"/>
      <c r="AKV10" s="65"/>
      <c r="AKW10" s="65"/>
      <c r="AKX10" s="65"/>
      <c r="AKY10" s="63"/>
      <c r="AKZ10" s="63"/>
      <c r="ALA10" s="63"/>
      <c r="ALB10" s="63"/>
      <c r="ALC10" s="63"/>
      <c r="ALD10" s="63"/>
      <c r="ALE10" s="63"/>
      <c r="ALF10" s="63"/>
      <c r="ALG10" s="63"/>
      <c r="ALH10" s="63"/>
      <c r="ALI10" s="63"/>
      <c r="ALJ10" s="63"/>
      <c r="ALK10" s="63"/>
      <c r="ALL10" s="63"/>
      <c r="ALM10" s="62"/>
      <c r="ALN10" s="62"/>
      <c r="ALO10" s="4"/>
      <c r="ALP10" s="65"/>
      <c r="ALQ10" s="65"/>
      <c r="ALR10" s="65"/>
      <c r="ALS10" s="65"/>
      <c r="ALT10" s="65"/>
      <c r="ALU10" s="65"/>
      <c r="ALV10" s="65"/>
      <c r="ALW10" s="65"/>
      <c r="ALX10" s="65"/>
      <c r="ALY10" s="65"/>
      <c r="ALZ10" s="65"/>
      <c r="AMA10" s="65"/>
      <c r="AMB10" s="63"/>
      <c r="AMC10" s="63"/>
      <c r="AMD10" s="63"/>
      <c r="AME10" s="63"/>
      <c r="AMF10" s="63"/>
      <c r="AMG10" s="63"/>
      <c r="AMH10" s="63"/>
      <c r="AMI10" s="63"/>
      <c r="AMJ10" s="63"/>
      <c r="AMK10" s="63"/>
      <c r="AML10" s="63"/>
      <c r="AMM10" s="63"/>
      <c r="AMN10" s="63"/>
      <c r="AMO10" s="63"/>
      <c r="AMP10" s="62"/>
      <c r="AMQ10" s="4"/>
      <c r="AMR10" s="4"/>
      <c r="AMS10" s="4"/>
      <c r="AMT10" s="4"/>
      <c r="AMU10" s="4"/>
      <c r="AMV10" s="4"/>
      <c r="AMW10" s="5"/>
      <c r="AMX10" s="5"/>
      <c r="AMY10" s="5"/>
      <c r="AMZ10" s="5"/>
      <c r="ANA10" s="5"/>
      <c r="ANB10" s="5"/>
      <c r="ANC10" s="5"/>
      <c r="AND10" s="5"/>
      <c r="ANE10" s="5"/>
      <c r="ANF10" s="5"/>
      <c r="ANG10" s="5"/>
      <c r="ANH10" s="5"/>
      <c r="ANI10" s="5"/>
      <c r="ANJ10" s="5"/>
      <c r="ANK10" s="5"/>
      <c r="ANL10" s="5"/>
      <c r="ANM10" s="5"/>
      <c r="ANN10" s="5"/>
      <c r="ANO10" s="5"/>
      <c r="ANP10" s="5"/>
      <c r="ANQ10" s="5"/>
      <c r="ANR10" s="5"/>
      <c r="ANS10" s="5"/>
      <c r="ANT10" s="5"/>
      <c r="ANU10" s="4"/>
      <c r="ANV10" s="4"/>
      <c r="ANW10" s="4"/>
      <c r="ANX10" s="4"/>
      <c r="ANY10" s="4"/>
      <c r="ANZ10" s="4"/>
      <c r="AOA10" s="4"/>
      <c r="AOB10" s="4"/>
      <c r="AOC10" s="4"/>
      <c r="AOD10" s="4"/>
      <c r="AOE10" s="4"/>
      <c r="AOF10" s="4"/>
      <c r="AOG10" s="4"/>
      <c r="AOH10" s="4"/>
      <c r="AOI10" s="4"/>
      <c r="AOJ10" s="4"/>
      <c r="AOK10" s="4"/>
      <c r="AOL10" s="4"/>
      <c r="AOM10" s="4"/>
      <c r="AON10" s="4"/>
      <c r="AOO10" s="4"/>
      <c r="AOP10" s="4"/>
      <c r="AOQ10" s="4"/>
      <c r="AOR10" s="4"/>
      <c r="AOS10" s="4"/>
      <c r="AOT10" s="4"/>
      <c r="AOU10" s="4"/>
      <c r="AOV10" s="4"/>
      <c r="AOW10" s="4"/>
      <c r="AOX10" s="4"/>
      <c r="AOY10" s="4"/>
      <c r="AOZ10" s="4"/>
      <c r="APA10" s="4"/>
      <c r="APB10" s="4"/>
      <c r="APC10" s="4"/>
      <c r="APD10" s="4"/>
      <c r="APE10" s="4"/>
      <c r="APF10" s="4"/>
      <c r="APG10" s="4"/>
      <c r="APH10" s="4"/>
      <c r="API10" s="4"/>
      <c r="APJ10" s="4"/>
      <c r="APK10" s="4"/>
      <c r="APL10" s="4"/>
      <c r="APM10" s="4"/>
      <c r="APN10" s="4"/>
      <c r="APO10" s="4"/>
      <c r="APP10" s="4"/>
      <c r="APQ10" s="4"/>
      <c r="APR10" s="4"/>
      <c r="APS10" s="4"/>
      <c r="APT10" s="4"/>
      <c r="APU10" s="4"/>
      <c r="APV10" s="4"/>
      <c r="APW10" s="4"/>
      <c r="APX10" s="4"/>
      <c r="APY10" s="4"/>
      <c r="APZ10" s="4"/>
      <c r="AQA10" s="4"/>
      <c r="AQB10" s="4"/>
      <c r="AQC10" s="4"/>
      <c r="AQD10" s="4"/>
      <c r="AQE10" s="4"/>
      <c r="AQF10" s="4"/>
      <c r="AQG10" s="4"/>
      <c r="AQH10" s="4"/>
      <c r="AQI10" s="4"/>
      <c r="AQJ10" s="4"/>
      <c r="AQK10" s="4"/>
      <c r="AQL10" s="4"/>
      <c r="AQM10" s="4"/>
      <c r="AQN10" s="4"/>
      <c r="AQO10" s="4"/>
      <c r="AQP10" s="4"/>
      <c r="AQQ10" s="4"/>
      <c r="AQR10" s="4"/>
      <c r="AQS10" s="4"/>
      <c r="AQT10" s="4"/>
      <c r="AQU10" s="4"/>
      <c r="AQV10" s="4"/>
      <c r="AQW10" s="4"/>
      <c r="AQX10" s="4"/>
      <c r="AQY10" s="4"/>
      <c r="AQZ10" s="4"/>
      <c r="ARA10" s="4"/>
      <c r="ARB10" s="4"/>
      <c r="ARC10" s="4"/>
      <c r="ARD10" s="4"/>
      <c r="ARE10" s="4"/>
      <c r="ARF10" s="4"/>
      <c r="ARG10" s="4"/>
      <c r="ARH10" s="4"/>
      <c r="ARI10" s="4"/>
      <c r="ARJ10" s="4"/>
      <c r="ARK10" s="4"/>
      <c r="ARL10" s="4"/>
      <c r="ARM10" s="4"/>
      <c r="ARN10" s="4"/>
      <c r="ARO10" s="4"/>
      <c r="ARP10" s="4"/>
      <c r="ARQ10" s="4"/>
      <c r="ARR10" s="4"/>
      <c r="ARS10" s="4"/>
      <c r="ART10" s="4"/>
      <c r="ARU10" s="4"/>
      <c r="ARV10" s="4"/>
      <c r="ARW10" s="4"/>
      <c r="ARX10" s="4"/>
      <c r="ARY10" s="4"/>
      <c r="ARZ10" s="4"/>
      <c r="ASA10" s="4"/>
      <c r="ASB10" s="4"/>
      <c r="ASC10" s="4"/>
      <c r="ASD10" s="4"/>
      <c r="ASE10" s="4"/>
      <c r="ASF10" s="4"/>
      <c r="ASG10" s="4"/>
      <c r="ASH10" s="4"/>
      <c r="ASI10" s="4"/>
      <c r="ASJ10" s="4"/>
      <c r="ASK10" s="4"/>
      <c r="ASL10" s="4"/>
      <c r="ASM10" s="4"/>
      <c r="ASN10" s="4"/>
      <c r="ASO10" s="4"/>
      <c r="ASP10" s="4"/>
      <c r="ASQ10" s="4"/>
      <c r="ASR10" s="4"/>
      <c r="ASS10" s="4"/>
      <c r="AST10" s="4"/>
      <c r="ASU10" s="4"/>
    </row>
    <row r="11" ht="18" customHeight="1" spans="1:1191" s="70" customFormat="1" x14ac:dyDescent="0.25">
      <c r="A11" s="71" t="s">
        <v>24</v>
      </c>
      <c r="B11" s="4"/>
      <c r="C11" s="4"/>
      <c r="D11" s="4"/>
      <c r="E11" s="4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4"/>
      <c r="AG11" s="4"/>
      <c r="AH11" s="4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4"/>
      <c r="BJ11" s="4"/>
      <c r="BK11" s="4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4"/>
      <c r="CM11" s="4"/>
      <c r="CN11" s="4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  <c r="DA11" s="72"/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72"/>
      <c r="DM11" s="72"/>
      <c r="DN11" s="72"/>
      <c r="DO11" s="4"/>
      <c r="DP11" s="4"/>
      <c r="DQ11" s="4"/>
      <c r="DR11" s="72"/>
      <c r="DS11" s="72"/>
      <c r="DT11" s="72"/>
      <c r="DU11" s="72"/>
      <c r="DV11" s="72"/>
      <c r="DW11" s="72"/>
      <c r="DX11" s="72"/>
      <c r="DY11" s="72"/>
      <c r="DZ11" s="72"/>
      <c r="EA11" s="72"/>
      <c r="EB11" s="72"/>
      <c r="EC11" s="72"/>
      <c r="ED11" s="72"/>
      <c r="EE11" s="72"/>
      <c r="EF11" s="72"/>
      <c r="EG11" s="72"/>
      <c r="EH11" s="72"/>
      <c r="EI11" s="72"/>
      <c r="EJ11" s="72"/>
      <c r="EK11" s="72"/>
      <c r="EL11" s="72"/>
      <c r="EM11" s="72"/>
      <c r="EN11" s="72"/>
      <c r="EO11" s="72"/>
      <c r="EP11" s="72"/>
      <c r="EQ11" s="72"/>
      <c r="ER11" s="4"/>
      <c r="ES11" s="4"/>
      <c r="ET11" s="4"/>
      <c r="EU11" s="72"/>
      <c r="EV11" s="72"/>
      <c r="EW11" s="72"/>
      <c r="EX11" s="72"/>
      <c r="EY11" s="72"/>
      <c r="EZ11" s="72"/>
      <c r="FA11" s="72"/>
      <c r="FB11" s="72"/>
      <c r="FC11" s="72"/>
      <c r="FD11" s="72"/>
      <c r="FE11" s="72"/>
      <c r="FF11" s="72"/>
      <c r="FG11" s="72"/>
      <c r="FH11" s="72"/>
      <c r="FI11" s="72"/>
      <c r="FJ11" s="72"/>
      <c r="FK11" s="72"/>
      <c r="FL11" s="72"/>
      <c r="FM11" s="72"/>
      <c r="FN11" s="72"/>
      <c r="FO11" s="72"/>
      <c r="FP11" s="72"/>
      <c r="FQ11" s="72"/>
      <c r="FR11" s="72"/>
      <c r="FS11" s="72"/>
      <c r="FT11" s="72"/>
      <c r="FU11" s="4"/>
      <c r="FV11" s="4"/>
      <c r="FW11" s="4"/>
      <c r="FX11" s="72"/>
      <c r="FY11" s="72"/>
      <c r="FZ11" s="72"/>
      <c r="GA11" s="72"/>
      <c r="GB11" s="72"/>
      <c r="GC11" s="72"/>
      <c r="GD11" s="72"/>
      <c r="GE11" s="72"/>
      <c r="GF11" s="72"/>
      <c r="GG11" s="72"/>
      <c r="GH11" s="72"/>
      <c r="GI11" s="72"/>
      <c r="GJ11" s="72"/>
      <c r="GK11" s="72"/>
      <c r="GL11" s="72"/>
      <c r="GM11" s="72"/>
      <c r="GN11" s="72"/>
      <c r="GO11" s="72"/>
      <c r="GP11" s="72"/>
      <c r="GQ11" s="72"/>
      <c r="GR11" s="72"/>
      <c r="GS11" s="72"/>
      <c r="GT11" s="72"/>
      <c r="GU11" s="72"/>
      <c r="GV11" s="72"/>
      <c r="GW11" s="72"/>
      <c r="GX11" s="4"/>
      <c r="GY11" s="4"/>
      <c r="GZ11" s="4"/>
      <c r="HA11" s="73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72"/>
      <c r="MT11" s="72"/>
      <c r="MU11" s="72"/>
      <c r="MV11" s="72"/>
      <c r="MW11" s="72"/>
      <c r="MX11" s="72"/>
      <c r="MY11" s="72"/>
      <c r="MZ11" s="72"/>
      <c r="NA11" s="72"/>
      <c r="NB11" s="72"/>
      <c r="NC11" s="72"/>
      <c r="ND11" s="72"/>
      <c r="NE11" s="72"/>
      <c r="NF11" s="72"/>
      <c r="NG11" s="72"/>
      <c r="NH11" s="72"/>
      <c r="NI11" s="72"/>
      <c r="NJ11" s="72"/>
      <c r="NK11" s="72"/>
      <c r="NL11" s="72"/>
      <c r="NM11" s="72"/>
      <c r="NN11" s="72"/>
      <c r="NO11" s="72"/>
      <c r="NP11" s="72"/>
      <c r="NQ11" s="72"/>
      <c r="NR11" s="72"/>
      <c r="NS11" s="4"/>
      <c r="NT11" s="4"/>
      <c r="NU11" s="4"/>
      <c r="NV11" s="72"/>
      <c r="NW11" s="72"/>
      <c r="NX11" s="72"/>
      <c r="NY11" s="72"/>
      <c r="NZ11" s="72"/>
      <c r="OA11" s="72"/>
      <c r="OB11" s="72"/>
      <c r="OC11" s="72"/>
      <c r="OD11" s="72"/>
      <c r="OE11" s="72"/>
      <c r="OF11" s="72"/>
      <c r="OG11" s="72"/>
      <c r="OH11" s="72"/>
      <c r="OI11" s="72"/>
      <c r="OJ11" s="72"/>
      <c r="OK11" s="72"/>
      <c r="OL11" s="72"/>
      <c r="OM11" s="72"/>
      <c r="ON11" s="72"/>
      <c r="OO11" s="72"/>
      <c r="OP11" s="72"/>
      <c r="OQ11" s="72"/>
      <c r="OR11" s="72"/>
      <c r="OS11" s="72"/>
      <c r="OT11" s="72"/>
      <c r="OU11" s="72"/>
      <c r="OV11" s="4"/>
      <c r="OW11" s="4"/>
      <c r="OX11" s="4"/>
      <c r="OY11" s="73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72"/>
      <c r="UR11" s="72"/>
      <c r="US11" s="72"/>
      <c r="UT11" s="72"/>
      <c r="UU11" s="72"/>
      <c r="UV11" s="72"/>
      <c r="UW11" s="72"/>
      <c r="UX11" s="72"/>
      <c r="UY11" s="72"/>
      <c r="UZ11" s="72"/>
      <c r="VA11" s="72"/>
      <c r="VB11" s="72"/>
      <c r="VC11" s="72"/>
      <c r="VD11" s="72"/>
      <c r="VE11" s="72"/>
      <c r="VF11" s="72"/>
      <c r="VG11" s="72"/>
      <c r="VH11" s="72"/>
      <c r="VI11" s="72"/>
      <c r="VJ11" s="72"/>
      <c r="VK11" s="72"/>
      <c r="VL11" s="72"/>
      <c r="VM11" s="72"/>
      <c r="VN11" s="72"/>
      <c r="VO11" s="72"/>
      <c r="VP11" s="72"/>
      <c r="VQ11" s="4"/>
      <c r="VR11" s="4"/>
      <c r="VS11" s="4"/>
      <c r="VT11" s="72"/>
      <c r="VU11" s="72"/>
      <c r="VV11" s="72"/>
      <c r="VW11" s="72"/>
      <c r="VX11" s="72"/>
      <c r="VY11" s="72"/>
      <c r="VZ11" s="72"/>
      <c r="WA11" s="72"/>
      <c r="WB11" s="72"/>
      <c r="WC11" s="72"/>
      <c r="WD11" s="72"/>
      <c r="WE11" s="72"/>
      <c r="WF11" s="72"/>
      <c r="WG11" s="72"/>
      <c r="WH11" s="72"/>
      <c r="WI11" s="72"/>
      <c r="WJ11" s="72"/>
      <c r="WK11" s="72"/>
      <c r="WL11" s="72"/>
      <c r="WM11" s="72"/>
      <c r="WN11" s="72"/>
      <c r="WO11" s="72"/>
      <c r="WP11" s="72"/>
      <c r="WQ11" s="72"/>
      <c r="WR11" s="72"/>
      <c r="WS11" s="72"/>
      <c r="WT11" s="4"/>
      <c r="WU11" s="4"/>
      <c r="WV11" s="4"/>
      <c r="WW11" s="73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72"/>
      <c r="ACP11" s="72"/>
      <c r="ACQ11" s="72"/>
      <c r="ACR11" s="72"/>
      <c r="ACS11" s="72"/>
      <c r="ACT11" s="72"/>
      <c r="ACU11" s="72"/>
      <c r="ACV11" s="72"/>
      <c r="ACW11" s="72"/>
      <c r="ACX11" s="72"/>
      <c r="ACY11" s="72"/>
      <c r="ACZ11" s="72"/>
      <c r="ADA11" s="72"/>
      <c r="ADB11" s="72"/>
      <c r="ADC11" s="72"/>
      <c r="ADD11" s="72"/>
      <c r="ADE11" s="72"/>
      <c r="ADF11" s="72"/>
      <c r="ADG11" s="72"/>
      <c r="ADH11" s="72"/>
      <c r="ADI11" s="72"/>
      <c r="ADJ11" s="72"/>
      <c r="ADK11" s="72"/>
      <c r="ADL11" s="72"/>
      <c r="ADM11" s="72"/>
      <c r="ADN11" s="72"/>
      <c r="ADO11" s="4"/>
      <c r="ADP11" s="4"/>
      <c r="ADQ11" s="4"/>
      <c r="ADR11" s="72"/>
      <c r="ADS11" s="72"/>
      <c r="ADT11" s="72"/>
      <c r="ADU11" s="72"/>
      <c r="ADV11" s="72"/>
      <c r="ADW11" s="72"/>
      <c r="ADX11" s="72"/>
      <c r="ADY11" s="72"/>
      <c r="ADZ11" s="72"/>
      <c r="AEA11" s="72"/>
      <c r="AEB11" s="72"/>
      <c r="AEC11" s="72"/>
      <c r="AED11" s="72"/>
      <c r="AEE11" s="72"/>
      <c r="AEF11" s="72"/>
      <c r="AEG11" s="72"/>
      <c r="AEH11" s="72"/>
      <c r="AEI11" s="72"/>
      <c r="AEJ11" s="72"/>
      <c r="AEK11" s="72"/>
      <c r="AEL11" s="72"/>
      <c r="AEM11" s="72"/>
      <c r="AEN11" s="72"/>
      <c r="AEO11" s="72"/>
      <c r="AEP11" s="72"/>
      <c r="AEQ11" s="72"/>
      <c r="AER11" s="4"/>
      <c r="AES11" s="4"/>
      <c r="AET11" s="4"/>
      <c r="AEU11" s="73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72"/>
      <c r="AKN11" s="72"/>
      <c r="AKO11" s="72"/>
      <c r="AKP11" s="72"/>
      <c r="AKQ11" s="72"/>
      <c r="AKR11" s="72"/>
      <c r="AKS11" s="72"/>
      <c r="AKT11" s="72"/>
      <c r="AKU11" s="72"/>
      <c r="AKV11" s="72"/>
      <c r="AKW11" s="72"/>
      <c r="AKX11" s="72"/>
      <c r="AKY11" s="72"/>
      <c r="AKZ11" s="72"/>
      <c r="ALA11" s="72"/>
      <c r="ALB11" s="72"/>
      <c r="ALC11" s="72"/>
      <c r="ALD11" s="72"/>
      <c r="ALE11" s="72"/>
      <c r="ALF11" s="72"/>
      <c r="ALG11" s="72"/>
      <c r="ALH11" s="72"/>
      <c r="ALI11" s="72"/>
      <c r="ALJ11" s="72"/>
      <c r="ALK11" s="72"/>
      <c r="ALL11" s="72"/>
      <c r="ALM11" s="4"/>
      <c r="ALN11" s="4"/>
      <c r="ALO11" s="4"/>
      <c r="ALP11" s="72"/>
      <c r="ALQ11" s="72"/>
      <c r="ALR11" s="72"/>
      <c r="ALS11" s="72"/>
      <c r="ALT11" s="72"/>
      <c r="ALU11" s="72"/>
      <c r="ALV11" s="72"/>
      <c r="ALW11" s="72"/>
      <c r="ALX11" s="72"/>
      <c r="ALY11" s="72"/>
      <c r="ALZ11" s="72"/>
      <c r="AMA11" s="72"/>
      <c r="AMB11" s="72"/>
      <c r="AMC11" s="72"/>
      <c r="AMD11" s="72"/>
      <c r="AME11" s="72"/>
      <c r="AMF11" s="72"/>
      <c r="AMG11" s="72"/>
      <c r="AMH11" s="72"/>
      <c r="AMI11" s="72"/>
      <c r="AMJ11" s="72"/>
      <c r="AMK11" s="72"/>
      <c r="AML11" s="72"/>
      <c r="AMM11" s="72"/>
      <c r="AMN11" s="72"/>
      <c r="AMO11" s="72"/>
      <c r="AMP11" s="4"/>
      <c r="AMQ11" s="4"/>
      <c r="AMR11" s="4"/>
      <c r="AMS11" s="73"/>
      <c r="AMT11" s="4"/>
      <c r="AMU11" s="4"/>
      <c r="AMV11" s="4"/>
      <c r="AMW11" s="4"/>
      <c r="AMX11" s="4"/>
      <c r="AMY11" s="4"/>
      <c r="AMZ11" s="4"/>
      <c r="ANA11" s="4"/>
      <c r="ANB11" s="4"/>
      <c r="ANC11" s="4"/>
      <c r="AND11" s="4"/>
      <c r="ANE11" s="4"/>
      <c r="ANF11" s="4"/>
      <c r="ANG11" s="4"/>
      <c r="ANH11" s="4"/>
      <c r="ANI11" s="4"/>
      <c r="ANJ11" s="4"/>
      <c r="ANK11" s="4"/>
      <c r="ANL11" s="4"/>
      <c r="ANM11" s="4"/>
      <c r="ANN11" s="4"/>
      <c r="ANO11" s="4"/>
      <c r="ANP11" s="4"/>
      <c r="ANQ11" s="4"/>
      <c r="ANR11" s="4"/>
      <c r="ANS11" s="4"/>
      <c r="ANT11" s="4"/>
      <c r="ANU11" s="4"/>
      <c r="ANV11" s="4"/>
      <c r="ANW11" s="4"/>
      <c r="ANX11" s="4"/>
      <c r="ANY11" s="4"/>
      <c r="ANZ11" s="4"/>
      <c r="AOA11" s="4"/>
      <c r="AOB11" s="4"/>
      <c r="AOC11" s="4"/>
      <c r="AOD11" s="4"/>
      <c r="AOE11" s="4"/>
      <c r="AOF11" s="4"/>
      <c r="AOG11" s="4"/>
      <c r="AOH11" s="4"/>
      <c r="AOI11" s="4"/>
      <c r="AOJ11" s="4"/>
      <c r="AOK11" s="4"/>
      <c r="AOL11" s="4"/>
      <c r="AOM11" s="4"/>
      <c r="AON11" s="4"/>
      <c r="AOO11" s="4"/>
      <c r="AOP11" s="4"/>
      <c r="AOQ11" s="4"/>
      <c r="AOR11" s="4"/>
      <c r="AOS11" s="4"/>
      <c r="AOT11" s="4"/>
      <c r="AOU11" s="4"/>
      <c r="AOV11" s="4"/>
      <c r="AOW11" s="4"/>
      <c r="AOX11" s="4"/>
      <c r="AOY11" s="4"/>
      <c r="AOZ11" s="4"/>
      <c r="APA11" s="4"/>
      <c r="APB11" s="4"/>
      <c r="APC11" s="4"/>
      <c r="APD11" s="4"/>
      <c r="APE11" s="4"/>
      <c r="APF11" s="4"/>
      <c r="APG11" s="4"/>
      <c r="APH11" s="4"/>
      <c r="API11" s="4"/>
      <c r="APJ11" s="4"/>
      <c r="APK11" s="4"/>
      <c r="APL11" s="4"/>
      <c r="APM11" s="4"/>
      <c r="APN11" s="4"/>
      <c r="APO11" s="4"/>
      <c r="APP11" s="4"/>
      <c r="APQ11" s="4"/>
      <c r="APR11" s="4"/>
      <c r="APS11" s="4"/>
      <c r="APT11" s="4"/>
      <c r="APU11" s="4"/>
      <c r="APV11" s="4"/>
      <c r="APW11" s="4"/>
      <c r="APX11" s="4"/>
      <c r="APY11" s="4"/>
      <c r="APZ11" s="4"/>
      <c r="AQA11" s="4"/>
      <c r="AQB11" s="4"/>
      <c r="AQC11" s="4"/>
      <c r="AQD11" s="4"/>
      <c r="AQE11" s="4"/>
      <c r="AQF11" s="4"/>
      <c r="AQG11" s="4"/>
      <c r="AQH11" s="4"/>
      <c r="AQI11" s="4"/>
      <c r="AQJ11" s="4"/>
      <c r="AQK11" s="4"/>
      <c r="AQL11" s="4"/>
      <c r="AQM11" s="4"/>
      <c r="AQN11" s="4"/>
      <c r="AQO11" s="4"/>
      <c r="AQP11" s="4"/>
      <c r="AQQ11" s="4"/>
      <c r="AQR11" s="4"/>
      <c r="AQS11" s="4"/>
      <c r="AQT11" s="4"/>
      <c r="AQU11" s="4"/>
      <c r="AQV11" s="4"/>
      <c r="AQW11" s="4"/>
      <c r="AQX11" s="4"/>
      <c r="AQY11" s="4"/>
      <c r="AQZ11" s="4"/>
      <c r="ARA11" s="4"/>
      <c r="ARB11" s="4"/>
      <c r="ARC11" s="4"/>
      <c r="ARD11" s="4"/>
      <c r="ARE11" s="4"/>
      <c r="ARF11" s="4"/>
      <c r="ARG11" s="4"/>
      <c r="ARH11" s="4"/>
      <c r="ARI11" s="4"/>
      <c r="ARJ11" s="4"/>
      <c r="ARK11" s="4"/>
      <c r="ARL11" s="4"/>
      <c r="ARM11" s="4"/>
      <c r="ARN11" s="4"/>
      <c r="ARO11" s="4"/>
      <c r="ARP11" s="4"/>
      <c r="ARQ11" s="4"/>
      <c r="ARR11" s="4"/>
      <c r="ARS11" s="4"/>
      <c r="ART11" s="4"/>
      <c r="ARU11" s="4"/>
      <c r="ARV11" s="4"/>
      <c r="ARW11" s="4"/>
      <c r="ARX11" s="4"/>
      <c r="ARY11" s="4"/>
      <c r="ARZ11" s="4"/>
      <c r="ASA11" s="4"/>
      <c r="ASB11" s="4"/>
      <c r="ASC11" s="4"/>
      <c r="ASD11" s="4"/>
      <c r="ASE11" s="4"/>
      <c r="ASF11" s="4"/>
      <c r="ASG11" s="4"/>
      <c r="ASH11" s="4"/>
      <c r="ASI11" s="4"/>
      <c r="ASJ11" s="4"/>
      <c r="ASK11" s="4"/>
      <c r="ASL11" s="4"/>
      <c r="ASM11" s="4"/>
      <c r="ASN11" s="4"/>
      <c r="ASO11" s="4"/>
      <c r="ASP11" s="4"/>
      <c r="ASQ11" s="4"/>
      <c r="ASR11" s="4"/>
      <c r="ASS11" s="4"/>
      <c r="AST11" s="4"/>
      <c r="ASU11" s="4"/>
    </row>
    <row r="12" ht="80.25" customHeight="1" spans="1:1191" s="74" customFormat="1" x14ac:dyDescent="0.25">
      <c r="A12" s="75" t="s">
        <v>25</v>
      </c>
      <c r="B12" s="76" t="s">
        <v>26</v>
      </c>
      <c r="C12" s="77" t="s">
        <v>27</v>
      </c>
      <c r="D12" s="78" t="s">
        <v>28</v>
      </c>
      <c r="E12" s="79" t="s">
        <v>29</v>
      </c>
      <c r="F12" s="79" t="s">
        <v>30</v>
      </c>
      <c r="G12" s="80"/>
      <c r="H12" s="81" t="s">
        <v>31</v>
      </c>
      <c r="I12" s="80"/>
      <c r="J12" s="81" t="s">
        <v>32</v>
      </c>
      <c r="K12" s="80"/>
      <c r="L12" s="81" t="s">
        <v>33</v>
      </c>
      <c r="M12" s="80"/>
      <c r="N12" s="82" t="s">
        <v>34</v>
      </c>
      <c r="O12" s="80"/>
      <c r="P12" s="82" t="s">
        <v>35</v>
      </c>
      <c r="Q12" s="80"/>
      <c r="R12" s="81" t="s">
        <v>36</v>
      </c>
      <c r="S12" s="80"/>
      <c r="T12" s="81" t="s">
        <v>37</v>
      </c>
      <c r="U12" s="80"/>
      <c r="V12" s="81" t="s">
        <v>38</v>
      </c>
      <c r="W12" s="80"/>
      <c r="X12" s="81" t="s">
        <v>39</v>
      </c>
      <c r="Y12" s="80"/>
      <c r="Z12" s="81" t="s">
        <v>40</v>
      </c>
      <c r="AA12" s="80"/>
      <c r="AB12" s="81" t="s">
        <v>41</v>
      </c>
      <c r="AC12" s="80"/>
      <c r="AD12" s="83" t="s">
        <v>42</v>
      </c>
      <c r="AE12" s="84" t="s">
        <v>43</v>
      </c>
      <c r="AF12" s="85" t="s">
        <v>44</v>
      </c>
      <c r="AG12" s="78" t="s">
        <v>28</v>
      </c>
      <c r="AH12" s="79" t="s">
        <v>29</v>
      </c>
      <c r="AI12" s="79" t="s">
        <v>30</v>
      </c>
      <c r="AJ12" s="80"/>
      <c r="AK12" s="81" t="s">
        <v>31</v>
      </c>
      <c r="AL12" s="80"/>
      <c r="AM12" s="81" t="s">
        <v>32</v>
      </c>
      <c r="AN12" s="80"/>
      <c r="AO12" s="81" t="s">
        <v>33</v>
      </c>
      <c r="AP12" s="80"/>
      <c r="AQ12" s="82" t="s">
        <v>34</v>
      </c>
      <c r="AR12" s="80"/>
      <c r="AS12" s="82" t="s">
        <v>35</v>
      </c>
      <c r="AT12" s="80"/>
      <c r="AU12" s="81" t="s">
        <v>36</v>
      </c>
      <c r="AV12" s="80"/>
      <c r="AW12" s="81" t="s">
        <v>37</v>
      </c>
      <c r="AX12" s="80"/>
      <c r="AY12" s="81" t="s">
        <v>38</v>
      </c>
      <c r="AZ12" s="80"/>
      <c r="BA12" s="81" t="s">
        <v>39</v>
      </c>
      <c r="BB12" s="80"/>
      <c r="BC12" s="81" t="s">
        <v>40</v>
      </c>
      <c r="BD12" s="80"/>
      <c r="BE12" s="81" t="s">
        <v>41</v>
      </c>
      <c r="BF12" s="80"/>
      <c r="BG12" s="83" t="s">
        <v>42</v>
      </c>
      <c r="BH12" s="84" t="s">
        <v>43</v>
      </c>
      <c r="BI12" s="85" t="s">
        <v>44</v>
      </c>
      <c r="BJ12" s="78" t="s">
        <v>28</v>
      </c>
      <c r="BK12" s="79" t="s">
        <v>29</v>
      </c>
      <c r="BL12" s="79" t="s">
        <v>30</v>
      </c>
      <c r="BM12" s="80"/>
      <c r="BN12" s="81" t="s">
        <v>31</v>
      </c>
      <c r="BO12" s="80"/>
      <c r="BP12" s="81" t="s">
        <v>32</v>
      </c>
      <c r="BQ12" s="80"/>
      <c r="BR12" s="81" t="s">
        <v>33</v>
      </c>
      <c r="BS12" s="80"/>
      <c r="BT12" s="82" t="s">
        <v>34</v>
      </c>
      <c r="BU12" s="80"/>
      <c r="BV12" s="82" t="s">
        <v>35</v>
      </c>
      <c r="BW12" s="80"/>
      <c r="BX12" s="81" t="s">
        <v>36</v>
      </c>
      <c r="BY12" s="80"/>
      <c r="BZ12" s="81" t="s">
        <v>37</v>
      </c>
      <c r="CA12" s="80"/>
      <c r="CB12" s="81" t="s">
        <v>38</v>
      </c>
      <c r="CC12" s="80"/>
      <c r="CD12" s="81" t="s">
        <v>39</v>
      </c>
      <c r="CE12" s="80"/>
      <c r="CF12" s="81" t="s">
        <v>40</v>
      </c>
      <c r="CG12" s="80"/>
      <c r="CH12" s="81" t="s">
        <v>41</v>
      </c>
      <c r="CI12" s="80"/>
      <c r="CJ12" s="83" t="s">
        <v>42</v>
      </c>
      <c r="CK12" s="84" t="s">
        <v>43</v>
      </c>
      <c r="CL12" s="85" t="s">
        <v>44</v>
      </c>
      <c r="CM12" s="78" t="s">
        <v>28</v>
      </c>
      <c r="CN12" s="79" t="s">
        <v>29</v>
      </c>
      <c r="CO12" s="79" t="s">
        <v>30</v>
      </c>
      <c r="CP12" s="80"/>
      <c r="CQ12" s="81" t="s">
        <v>31</v>
      </c>
      <c r="CR12" s="80"/>
      <c r="CS12" s="81" t="s">
        <v>32</v>
      </c>
      <c r="CT12" s="80"/>
      <c r="CU12" s="81" t="s">
        <v>33</v>
      </c>
      <c r="CV12" s="80"/>
      <c r="CW12" s="82" t="s">
        <v>34</v>
      </c>
      <c r="CX12" s="80"/>
      <c r="CY12" s="82" t="s">
        <v>35</v>
      </c>
      <c r="CZ12" s="80"/>
      <c r="DA12" s="81" t="s">
        <v>36</v>
      </c>
      <c r="DB12" s="80"/>
      <c r="DC12" s="81" t="s">
        <v>37</v>
      </c>
      <c r="DD12" s="80"/>
      <c r="DE12" s="81" t="s">
        <v>38</v>
      </c>
      <c r="DF12" s="80"/>
      <c r="DG12" s="81" t="s">
        <v>39</v>
      </c>
      <c r="DH12" s="80"/>
      <c r="DI12" s="81" t="s">
        <v>40</v>
      </c>
      <c r="DJ12" s="80"/>
      <c r="DK12" s="81" t="s">
        <v>41</v>
      </c>
      <c r="DL12" s="80"/>
      <c r="DM12" s="83" t="s">
        <v>42</v>
      </c>
      <c r="DN12" s="84" t="s">
        <v>43</v>
      </c>
      <c r="DO12" s="85" t="s">
        <v>44</v>
      </c>
      <c r="DP12" s="78" t="s">
        <v>28</v>
      </c>
      <c r="DQ12" s="79" t="s">
        <v>29</v>
      </c>
      <c r="DR12" s="79" t="s">
        <v>30</v>
      </c>
      <c r="DS12" s="80"/>
      <c r="DT12" s="81" t="s">
        <v>31</v>
      </c>
      <c r="DU12" s="80"/>
      <c r="DV12" s="81" t="s">
        <v>32</v>
      </c>
      <c r="DW12" s="80"/>
      <c r="DX12" s="81" t="s">
        <v>33</v>
      </c>
      <c r="DY12" s="80"/>
      <c r="DZ12" s="82" t="s">
        <v>34</v>
      </c>
      <c r="EA12" s="80"/>
      <c r="EB12" s="82" t="s">
        <v>35</v>
      </c>
      <c r="EC12" s="80"/>
      <c r="ED12" s="81" t="s">
        <v>36</v>
      </c>
      <c r="EE12" s="80"/>
      <c r="EF12" s="81" t="s">
        <v>37</v>
      </c>
      <c r="EG12" s="80"/>
      <c r="EH12" s="81" t="s">
        <v>38</v>
      </c>
      <c r="EI12" s="80"/>
      <c r="EJ12" s="81" t="s">
        <v>39</v>
      </c>
      <c r="EK12" s="80"/>
      <c r="EL12" s="81" t="s">
        <v>40</v>
      </c>
      <c r="EM12" s="80"/>
      <c r="EN12" s="81" t="s">
        <v>41</v>
      </c>
      <c r="EO12" s="80"/>
      <c r="EP12" s="86" t="s">
        <v>42</v>
      </c>
      <c r="EQ12" s="84" t="s">
        <v>43</v>
      </c>
      <c r="ER12" s="85" t="s">
        <v>44</v>
      </c>
      <c r="ES12" s="78" t="s">
        <v>28</v>
      </c>
      <c r="ET12" s="79" t="s">
        <v>29</v>
      </c>
      <c r="EU12" s="81" t="s">
        <v>30</v>
      </c>
      <c r="EV12" s="80"/>
      <c r="EW12" s="81" t="s">
        <v>31</v>
      </c>
      <c r="EX12" s="80"/>
      <c r="EY12" s="81" t="s">
        <v>32</v>
      </c>
      <c r="EZ12" s="80"/>
      <c r="FA12" s="81" t="s">
        <v>33</v>
      </c>
      <c r="FB12" s="80"/>
      <c r="FC12" s="82" t="s">
        <v>34</v>
      </c>
      <c r="FD12" s="80"/>
      <c r="FE12" s="82" t="s">
        <v>35</v>
      </c>
      <c r="FF12" s="80"/>
      <c r="FG12" s="81" t="s">
        <v>36</v>
      </c>
      <c r="FH12" s="80"/>
      <c r="FI12" s="81" t="s">
        <v>37</v>
      </c>
      <c r="FJ12" s="80"/>
      <c r="FK12" s="81" t="s">
        <v>38</v>
      </c>
      <c r="FL12" s="80"/>
      <c r="FM12" s="81" t="s">
        <v>39</v>
      </c>
      <c r="FN12" s="80"/>
      <c r="FO12" s="81" t="s">
        <v>40</v>
      </c>
      <c r="FP12" s="80"/>
      <c r="FQ12" s="81" t="s">
        <v>41</v>
      </c>
      <c r="FR12" s="80"/>
      <c r="FS12" s="86" t="s">
        <v>42</v>
      </c>
      <c r="FT12" s="84" t="s">
        <v>43</v>
      </c>
      <c r="FU12" s="85" t="s">
        <v>44</v>
      </c>
      <c r="FV12" s="78" t="s">
        <v>28</v>
      </c>
      <c r="FW12" s="79" t="s">
        <v>29</v>
      </c>
      <c r="FX12" s="79" t="s">
        <v>30</v>
      </c>
      <c r="FY12" s="80"/>
      <c r="FZ12" s="81" t="s">
        <v>31</v>
      </c>
      <c r="GA12" s="80"/>
      <c r="GB12" s="81" t="s">
        <v>32</v>
      </c>
      <c r="GC12" s="80"/>
      <c r="GD12" s="81" t="s">
        <v>33</v>
      </c>
      <c r="GE12" s="80"/>
      <c r="GF12" s="82" t="s">
        <v>34</v>
      </c>
      <c r="GG12" s="80"/>
      <c r="GH12" s="82" t="s">
        <v>35</v>
      </c>
      <c r="GI12" s="80"/>
      <c r="GJ12" s="81" t="s">
        <v>36</v>
      </c>
      <c r="GK12" s="80"/>
      <c r="GL12" s="81" t="s">
        <v>37</v>
      </c>
      <c r="GM12" s="80"/>
      <c r="GN12" s="81" t="s">
        <v>38</v>
      </c>
      <c r="GO12" s="80"/>
      <c r="GP12" s="81" t="s">
        <v>39</v>
      </c>
      <c r="GQ12" s="80"/>
      <c r="GR12" s="81" t="s">
        <v>40</v>
      </c>
      <c r="GS12" s="80"/>
      <c r="GT12" s="81" t="s">
        <v>41</v>
      </c>
      <c r="GU12" s="80"/>
      <c r="GV12" s="86" t="s">
        <v>42</v>
      </c>
      <c r="GW12" s="84" t="s">
        <v>43</v>
      </c>
      <c r="GX12" s="85" t="s">
        <v>44</v>
      </c>
      <c r="GY12" s="87" t="s">
        <v>45</v>
      </c>
      <c r="GZ12" s="88" t="s">
        <v>46</v>
      </c>
      <c r="HA12" s="89" t="s">
        <v>47</v>
      </c>
      <c r="HB12" s="78" t="s">
        <v>28</v>
      </c>
      <c r="HC12" s="79" t="s">
        <v>29</v>
      </c>
      <c r="HD12" s="79" t="s">
        <v>30</v>
      </c>
      <c r="HE12" s="80"/>
      <c r="HF12" s="81" t="s">
        <v>31</v>
      </c>
      <c r="HG12" s="80"/>
      <c r="HH12" s="81" t="s">
        <v>32</v>
      </c>
      <c r="HI12" s="80"/>
      <c r="HJ12" s="81" t="s">
        <v>33</v>
      </c>
      <c r="HK12" s="80"/>
      <c r="HL12" s="82" t="s">
        <v>34</v>
      </c>
      <c r="HM12" s="80"/>
      <c r="HN12" s="82" t="s">
        <v>35</v>
      </c>
      <c r="HO12" s="80"/>
      <c r="HP12" s="81" t="s">
        <v>36</v>
      </c>
      <c r="HQ12" s="80"/>
      <c r="HR12" s="81" t="s">
        <v>37</v>
      </c>
      <c r="HS12" s="80"/>
      <c r="HT12" s="81" t="s">
        <v>38</v>
      </c>
      <c r="HU12" s="80"/>
      <c r="HV12" s="81" t="s">
        <v>39</v>
      </c>
      <c r="HW12" s="80"/>
      <c r="HX12" s="81" t="s">
        <v>40</v>
      </c>
      <c r="HY12" s="80"/>
      <c r="HZ12" s="81" t="s">
        <v>41</v>
      </c>
      <c r="IA12" s="80"/>
      <c r="IB12" s="83" t="s">
        <v>42</v>
      </c>
      <c r="IC12" s="84" t="s">
        <v>43</v>
      </c>
      <c r="ID12" s="85" t="s">
        <v>44</v>
      </c>
      <c r="IE12" s="78" t="s">
        <v>28</v>
      </c>
      <c r="IF12" s="79" t="s">
        <v>29</v>
      </c>
      <c r="IG12" s="79" t="s">
        <v>30</v>
      </c>
      <c r="IH12" s="80"/>
      <c r="II12" s="81" t="s">
        <v>31</v>
      </c>
      <c r="IJ12" s="80"/>
      <c r="IK12" s="81" t="s">
        <v>32</v>
      </c>
      <c r="IL12" s="80"/>
      <c r="IM12" s="81" t="s">
        <v>33</v>
      </c>
      <c r="IN12" s="80"/>
      <c r="IO12" s="82" t="s">
        <v>34</v>
      </c>
      <c r="IP12" s="80"/>
      <c r="IQ12" s="82" t="s">
        <v>35</v>
      </c>
      <c r="IR12" s="80"/>
      <c r="IS12" s="81" t="s">
        <v>36</v>
      </c>
      <c r="IT12" s="80"/>
      <c r="IU12" s="81" t="s">
        <v>37</v>
      </c>
      <c r="IV12" s="80"/>
      <c r="IW12" s="81" t="s">
        <v>38</v>
      </c>
      <c r="IX12" s="80"/>
      <c r="IY12" s="81" t="s">
        <v>39</v>
      </c>
      <c r="IZ12" s="80"/>
      <c r="JA12" s="81" t="s">
        <v>40</v>
      </c>
      <c r="JB12" s="80"/>
      <c r="JC12" s="81" t="s">
        <v>41</v>
      </c>
      <c r="JD12" s="80"/>
      <c r="JE12" s="83" t="s">
        <v>42</v>
      </c>
      <c r="JF12" s="84" t="s">
        <v>43</v>
      </c>
      <c r="JG12" s="85" t="s">
        <v>44</v>
      </c>
      <c r="JH12" s="78" t="s">
        <v>28</v>
      </c>
      <c r="JI12" s="79" t="s">
        <v>29</v>
      </c>
      <c r="JJ12" s="79" t="s">
        <v>30</v>
      </c>
      <c r="JK12" s="80"/>
      <c r="JL12" s="81" t="s">
        <v>31</v>
      </c>
      <c r="JM12" s="80"/>
      <c r="JN12" s="81" t="s">
        <v>32</v>
      </c>
      <c r="JO12" s="80"/>
      <c r="JP12" s="81" t="s">
        <v>33</v>
      </c>
      <c r="JQ12" s="80"/>
      <c r="JR12" s="82" t="s">
        <v>34</v>
      </c>
      <c r="JS12" s="80"/>
      <c r="JT12" s="82" t="s">
        <v>35</v>
      </c>
      <c r="JU12" s="80"/>
      <c r="JV12" s="81" t="s">
        <v>36</v>
      </c>
      <c r="JW12" s="80"/>
      <c r="JX12" s="81" t="s">
        <v>37</v>
      </c>
      <c r="JY12" s="80"/>
      <c r="JZ12" s="81" t="s">
        <v>38</v>
      </c>
      <c r="KA12" s="80"/>
      <c r="KB12" s="81" t="s">
        <v>39</v>
      </c>
      <c r="KC12" s="80"/>
      <c r="KD12" s="81" t="s">
        <v>40</v>
      </c>
      <c r="KE12" s="80"/>
      <c r="KF12" s="81" t="s">
        <v>41</v>
      </c>
      <c r="KG12" s="80"/>
      <c r="KH12" s="83" t="s">
        <v>42</v>
      </c>
      <c r="KI12" s="84" t="s">
        <v>43</v>
      </c>
      <c r="KJ12" s="85" t="s">
        <v>44</v>
      </c>
      <c r="KK12" s="78" t="s">
        <v>28</v>
      </c>
      <c r="KL12" s="79" t="s">
        <v>29</v>
      </c>
      <c r="KM12" s="79" t="s">
        <v>30</v>
      </c>
      <c r="KN12" s="80"/>
      <c r="KO12" s="81" t="s">
        <v>31</v>
      </c>
      <c r="KP12" s="80"/>
      <c r="KQ12" s="81" t="s">
        <v>32</v>
      </c>
      <c r="KR12" s="80"/>
      <c r="KS12" s="81" t="s">
        <v>33</v>
      </c>
      <c r="KT12" s="80"/>
      <c r="KU12" s="82" t="s">
        <v>34</v>
      </c>
      <c r="KV12" s="80"/>
      <c r="KW12" s="82" t="s">
        <v>35</v>
      </c>
      <c r="KX12" s="80"/>
      <c r="KY12" s="81" t="s">
        <v>36</v>
      </c>
      <c r="KZ12" s="80"/>
      <c r="LA12" s="81" t="s">
        <v>37</v>
      </c>
      <c r="LB12" s="80"/>
      <c r="LC12" s="81" t="s">
        <v>38</v>
      </c>
      <c r="LD12" s="80"/>
      <c r="LE12" s="81" t="s">
        <v>39</v>
      </c>
      <c r="LF12" s="80"/>
      <c r="LG12" s="81" t="s">
        <v>40</v>
      </c>
      <c r="LH12" s="80"/>
      <c r="LI12" s="81" t="s">
        <v>41</v>
      </c>
      <c r="LJ12" s="80"/>
      <c r="LK12" s="83" t="s">
        <v>42</v>
      </c>
      <c r="LL12" s="84" t="s">
        <v>43</v>
      </c>
      <c r="LM12" s="85" t="s">
        <v>44</v>
      </c>
      <c r="LN12" s="78" t="s">
        <v>28</v>
      </c>
      <c r="LO12" s="79" t="s">
        <v>29</v>
      </c>
      <c r="LP12" s="79" t="s">
        <v>30</v>
      </c>
      <c r="LQ12" s="80"/>
      <c r="LR12" s="81" t="s">
        <v>31</v>
      </c>
      <c r="LS12" s="80"/>
      <c r="LT12" s="81" t="s">
        <v>32</v>
      </c>
      <c r="LU12" s="80"/>
      <c r="LV12" s="81" t="s">
        <v>33</v>
      </c>
      <c r="LW12" s="80"/>
      <c r="LX12" s="82" t="s">
        <v>34</v>
      </c>
      <c r="LY12" s="80"/>
      <c r="LZ12" s="82" t="s">
        <v>35</v>
      </c>
      <c r="MA12" s="80"/>
      <c r="MB12" s="81" t="s">
        <v>36</v>
      </c>
      <c r="MC12" s="80"/>
      <c r="MD12" s="81" t="s">
        <v>37</v>
      </c>
      <c r="ME12" s="80"/>
      <c r="MF12" s="81" t="s">
        <v>38</v>
      </c>
      <c r="MG12" s="80"/>
      <c r="MH12" s="81" t="s">
        <v>39</v>
      </c>
      <c r="MI12" s="80"/>
      <c r="MJ12" s="81" t="s">
        <v>40</v>
      </c>
      <c r="MK12" s="80"/>
      <c r="ML12" s="81" t="s">
        <v>41</v>
      </c>
      <c r="MM12" s="80"/>
      <c r="MN12" s="86" t="s">
        <v>42</v>
      </c>
      <c r="MO12" s="84" t="s">
        <v>43</v>
      </c>
      <c r="MP12" s="85" t="s">
        <v>44</v>
      </c>
      <c r="MQ12" s="78" t="s">
        <v>28</v>
      </c>
      <c r="MR12" s="79" t="s">
        <v>29</v>
      </c>
      <c r="MS12" s="81" t="s">
        <v>30</v>
      </c>
      <c r="MT12" s="80"/>
      <c r="MU12" s="81" t="s">
        <v>31</v>
      </c>
      <c r="MV12" s="80"/>
      <c r="MW12" s="81" t="s">
        <v>32</v>
      </c>
      <c r="MX12" s="80"/>
      <c r="MY12" s="81" t="s">
        <v>33</v>
      </c>
      <c r="MZ12" s="80"/>
      <c r="NA12" s="82" t="s">
        <v>34</v>
      </c>
      <c r="NB12" s="80"/>
      <c r="NC12" s="82" t="s">
        <v>35</v>
      </c>
      <c r="ND12" s="80"/>
      <c r="NE12" s="81" t="s">
        <v>36</v>
      </c>
      <c r="NF12" s="80"/>
      <c r="NG12" s="81" t="s">
        <v>37</v>
      </c>
      <c r="NH12" s="80"/>
      <c r="NI12" s="81" t="s">
        <v>38</v>
      </c>
      <c r="NJ12" s="80"/>
      <c r="NK12" s="81" t="s">
        <v>39</v>
      </c>
      <c r="NL12" s="80"/>
      <c r="NM12" s="81" t="s">
        <v>40</v>
      </c>
      <c r="NN12" s="80"/>
      <c r="NO12" s="81" t="s">
        <v>41</v>
      </c>
      <c r="NP12" s="80"/>
      <c r="NQ12" s="86" t="s">
        <v>42</v>
      </c>
      <c r="NR12" s="84" t="s">
        <v>43</v>
      </c>
      <c r="NS12" s="85" t="s">
        <v>44</v>
      </c>
      <c r="NT12" s="78" t="s">
        <v>28</v>
      </c>
      <c r="NU12" s="79" t="s">
        <v>29</v>
      </c>
      <c r="NV12" s="79" t="s">
        <v>30</v>
      </c>
      <c r="NW12" s="80"/>
      <c r="NX12" s="81" t="s">
        <v>31</v>
      </c>
      <c r="NY12" s="80"/>
      <c r="NZ12" s="81" t="s">
        <v>32</v>
      </c>
      <c r="OA12" s="80"/>
      <c r="OB12" s="81" t="s">
        <v>33</v>
      </c>
      <c r="OC12" s="80"/>
      <c r="OD12" s="82" t="s">
        <v>34</v>
      </c>
      <c r="OE12" s="80"/>
      <c r="OF12" s="82" t="s">
        <v>35</v>
      </c>
      <c r="OG12" s="80"/>
      <c r="OH12" s="81" t="s">
        <v>36</v>
      </c>
      <c r="OI12" s="80"/>
      <c r="OJ12" s="81" t="s">
        <v>37</v>
      </c>
      <c r="OK12" s="80"/>
      <c r="OL12" s="81" t="s">
        <v>38</v>
      </c>
      <c r="OM12" s="80"/>
      <c r="ON12" s="81" t="s">
        <v>39</v>
      </c>
      <c r="OO12" s="80"/>
      <c r="OP12" s="81" t="s">
        <v>40</v>
      </c>
      <c r="OQ12" s="80"/>
      <c r="OR12" s="81" t="s">
        <v>41</v>
      </c>
      <c r="OS12" s="80"/>
      <c r="OT12" s="86" t="s">
        <v>42</v>
      </c>
      <c r="OU12" s="84" t="s">
        <v>43</v>
      </c>
      <c r="OV12" s="85" t="s">
        <v>44</v>
      </c>
      <c r="OW12" s="87" t="s">
        <v>45</v>
      </c>
      <c r="OX12" s="88" t="s">
        <v>46</v>
      </c>
      <c r="OY12" s="89" t="s">
        <v>47</v>
      </c>
      <c r="OZ12" s="78" t="s">
        <v>28</v>
      </c>
      <c r="PA12" s="79" t="s">
        <v>29</v>
      </c>
      <c r="PB12" s="79" t="s">
        <v>30</v>
      </c>
      <c r="PC12" s="80"/>
      <c r="PD12" s="81" t="s">
        <v>31</v>
      </c>
      <c r="PE12" s="80"/>
      <c r="PF12" s="81" t="s">
        <v>32</v>
      </c>
      <c r="PG12" s="80"/>
      <c r="PH12" s="81" t="s">
        <v>33</v>
      </c>
      <c r="PI12" s="80"/>
      <c r="PJ12" s="82" t="s">
        <v>34</v>
      </c>
      <c r="PK12" s="80"/>
      <c r="PL12" s="82" t="s">
        <v>35</v>
      </c>
      <c r="PM12" s="80"/>
      <c r="PN12" s="81" t="s">
        <v>36</v>
      </c>
      <c r="PO12" s="80"/>
      <c r="PP12" s="81" t="s">
        <v>37</v>
      </c>
      <c r="PQ12" s="80"/>
      <c r="PR12" s="81" t="s">
        <v>38</v>
      </c>
      <c r="PS12" s="80"/>
      <c r="PT12" s="81" t="s">
        <v>39</v>
      </c>
      <c r="PU12" s="80"/>
      <c r="PV12" s="81" t="s">
        <v>40</v>
      </c>
      <c r="PW12" s="80"/>
      <c r="PX12" s="81" t="s">
        <v>41</v>
      </c>
      <c r="PY12" s="80"/>
      <c r="PZ12" s="86" t="s">
        <v>42</v>
      </c>
      <c r="QA12" s="84" t="s">
        <v>43</v>
      </c>
      <c r="QB12" s="85" t="s">
        <v>44</v>
      </c>
      <c r="QC12" s="78" t="s">
        <v>28</v>
      </c>
      <c r="QD12" s="79" t="s">
        <v>29</v>
      </c>
      <c r="QE12" s="79" t="s">
        <v>30</v>
      </c>
      <c r="QF12" s="80"/>
      <c r="QG12" s="81" t="s">
        <v>31</v>
      </c>
      <c r="QH12" s="80"/>
      <c r="QI12" s="81" t="s">
        <v>32</v>
      </c>
      <c r="QJ12" s="80"/>
      <c r="QK12" s="81" t="s">
        <v>33</v>
      </c>
      <c r="QL12" s="80"/>
      <c r="QM12" s="82" t="s">
        <v>34</v>
      </c>
      <c r="QN12" s="80"/>
      <c r="QO12" s="82" t="s">
        <v>35</v>
      </c>
      <c r="QP12" s="80"/>
      <c r="QQ12" s="81" t="s">
        <v>36</v>
      </c>
      <c r="QR12" s="80"/>
      <c r="QS12" s="81" t="s">
        <v>37</v>
      </c>
      <c r="QT12" s="80"/>
      <c r="QU12" s="81" t="s">
        <v>38</v>
      </c>
      <c r="QV12" s="80"/>
      <c r="QW12" s="81" t="s">
        <v>39</v>
      </c>
      <c r="QX12" s="80"/>
      <c r="QY12" s="81" t="s">
        <v>40</v>
      </c>
      <c r="QZ12" s="80"/>
      <c r="RA12" s="81" t="s">
        <v>41</v>
      </c>
      <c r="RB12" s="80"/>
      <c r="RC12" s="86" t="s">
        <v>42</v>
      </c>
      <c r="RD12" s="84" t="s">
        <v>43</v>
      </c>
      <c r="RE12" s="85" t="s">
        <v>44</v>
      </c>
      <c r="RF12" s="78" t="s">
        <v>28</v>
      </c>
      <c r="RG12" s="79" t="s">
        <v>29</v>
      </c>
      <c r="RH12" s="79" t="s">
        <v>30</v>
      </c>
      <c r="RI12" s="80"/>
      <c r="RJ12" s="81" t="s">
        <v>31</v>
      </c>
      <c r="RK12" s="80"/>
      <c r="RL12" s="81" t="s">
        <v>32</v>
      </c>
      <c r="RM12" s="80"/>
      <c r="RN12" s="81" t="s">
        <v>33</v>
      </c>
      <c r="RO12" s="80"/>
      <c r="RP12" s="82" t="s">
        <v>34</v>
      </c>
      <c r="RQ12" s="80"/>
      <c r="RR12" s="82" t="s">
        <v>35</v>
      </c>
      <c r="RS12" s="80"/>
      <c r="RT12" s="81" t="s">
        <v>36</v>
      </c>
      <c r="RU12" s="80"/>
      <c r="RV12" s="81" t="s">
        <v>37</v>
      </c>
      <c r="RW12" s="80"/>
      <c r="RX12" s="81" t="s">
        <v>38</v>
      </c>
      <c r="RY12" s="80"/>
      <c r="RZ12" s="81" t="s">
        <v>39</v>
      </c>
      <c r="SA12" s="80"/>
      <c r="SB12" s="81" t="s">
        <v>40</v>
      </c>
      <c r="SC12" s="80"/>
      <c r="SD12" s="81" t="s">
        <v>41</v>
      </c>
      <c r="SE12" s="80"/>
      <c r="SF12" s="86" t="s">
        <v>42</v>
      </c>
      <c r="SG12" s="84" t="s">
        <v>43</v>
      </c>
      <c r="SH12" s="85" t="s">
        <v>44</v>
      </c>
      <c r="SI12" s="78" t="s">
        <v>28</v>
      </c>
      <c r="SJ12" s="79" t="s">
        <v>29</v>
      </c>
      <c r="SK12" s="79" t="s">
        <v>30</v>
      </c>
      <c r="SL12" s="80"/>
      <c r="SM12" s="81" t="s">
        <v>31</v>
      </c>
      <c r="SN12" s="80"/>
      <c r="SO12" s="81" t="s">
        <v>32</v>
      </c>
      <c r="SP12" s="80"/>
      <c r="SQ12" s="81" t="s">
        <v>33</v>
      </c>
      <c r="SR12" s="80"/>
      <c r="SS12" s="82" t="s">
        <v>34</v>
      </c>
      <c r="ST12" s="80"/>
      <c r="SU12" s="82" t="s">
        <v>35</v>
      </c>
      <c r="SV12" s="80"/>
      <c r="SW12" s="81" t="s">
        <v>36</v>
      </c>
      <c r="SX12" s="80"/>
      <c r="SY12" s="81" t="s">
        <v>37</v>
      </c>
      <c r="SZ12" s="80"/>
      <c r="TA12" s="81" t="s">
        <v>38</v>
      </c>
      <c r="TB12" s="80"/>
      <c r="TC12" s="81" t="s">
        <v>39</v>
      </c>
      <c r="TD12" s="80"/>
      <c r="TE12" s="81" t="s">
        <v>40</v>
      </c>
      <c r="TF12" s="80"/>
      <c r="TG12" s="81" t="s">
        <v>41</v>
      </c>
      <c r="TH12" s="80"/>
      <c r="TI12" s="86" t="s">
        <v>42</v>
      </c>
      <c r="TJ12" s="84" t="s">
        <v>43</v>
      </c>
      <c r="TK12" s="85" t="s">
        <v>44</v>
      </c>
      <c r="TL12" s="78" t="s">
        <v>28</v>
      </c>
      <c r="TM12" s="79" t="s">
        <v>29</v>
      </c>
      <c r="TN12" s="79" t="s">
        <v>30</v>
      </c>
      <c r="TO12" s="80"/>
      <c r="TP12" s="81" t="s">
        <v>31</v>
      </c>
      <c r="TQ12" s="80"/>
      <c r="TR12" s="81" t="s">
        <v>32</v>
      </c>
      <c r="TS12" s="80"/>
      <c r="TT12" s="81" t="s">
        <v>33</v>
      </c>
      <c r="TU12" s="80"/>
      <c r="TV12" s="82" t="s">
        <v>34</v>
      </c>
      <c r="TW12" s="80"/>
      <c r="TX12" s="82" t="s">
        <v>35</v>
      </c>
      <c r="TY12" s="80"/>
      <c r="TZ12" s="81" t="s">
        <v>36</v>
      </c>
      <c r="UA12" s="80"/>
      <c r="UB12" s="81" t="s">
        <v>37</v>
      </c>
      <c r="UC12" s="80"/>
      <c r="UD12" s="81" t="s">
        <v>38</v>
      </c>
      <c r="UE12" s="80"/>
      <c r="UF12" s="81" t="s">
        <v>39</v>
      </c>
      <c r="UG12" s="80"/>
      <c r="UH12" s="81" t="s">
        <v>40</v>
      </c>
      <c r="UI12" s="80"/>
      <c r="UJ12" s="81" t="s">
        <v>41</v>
      </c>
      <c r="UK12" s="80"/>
      <c r="UL12" s="86" t="s">
        <v>42</v>
      </c>
      <c r="UM12" s="84" t="s">
        <v>43</v>
      </c>
      <c r="UN12" s="85" t="s">
        <v>44</v>
      </c>
      <c r="UO12" s="78" t="s">
        <v>28</v>
      </c>
      <c r="UP12" s="79" t="s">
        <v>29</v>
      </c>
      <c r="UQ12" s="81" t="s">
        <v>30</v>
      </c>
      <c r="UR12" s="80"/>
      <c r="US12" s="81" t="s">
        <v>31</v>
      </c>
      <c r="UT12" s="80"/>
      <c r="UU12" s="81" t="s">
        <v>32</v>
      </c>
      <c r="UV12" s="80"/>
      <c r="UW12" s="81" t="s">
        <v>33</v>
      </c>
      <c r="UX12" s="80"/>
      <c r="UY12" s="82" t="s">
        <v>34</v>
      </c>
      <c r="UZ12" s="80"/>
      <c r="VA12" s="82" t="s">
        <v>35</v>
      </c>
      <c r="VB12" s="80"/>
      <c r="VC12" s="81" t="s">
        <v>36</v>
      </c>
      <c r="VD12" s="80"/>
      <c r="VE12" s="81" t="s">
        <v>37</v>
      </c>
      <c r="VF12" s="80"/>
      <c r="VG12" s="81" t="s">
        <v>38</v>
      </c>
      <c r="VH12" s="80"/>
      <c r="VI12" s="81" t="s">
        <v>39</v>
      </c>
      <c r="VJ12" s="80"/>
      <c r="VK12" s="81" t="s">
        <v>40</v>
      </c>
      <c r="VL12" s="80"/>
      <c r="VM12" s="81" t="s">
        <v>41</v>
      </c>
      <c r="VN12" s="80"/>
      <c r="VO12" s="86" t="s">
        <v>42</v>
      </c>
      <c r="VP12" s="84" t="s">
        <v>43</v>
      </c>
      <c r="VQ12" s="85" t="s">
        <v>44</v>
      </c>
      <c r="VR12" s="78" t="s">
        <v>28</v>
      </c>
      <c r="VS12" s="79" t="s">
        <v>29</v>
      </c>
      <c r="VT12" s="79" t="s">
        <v>30</v>
      </c>
      <c r="VU12" s="80"/>
      <c r="VV12" s="81" t="s">
        <v>31</v>
      </c>
      <c r="VW12" s="80"/>
      <c r="VX12" s="81" t="s">
        <v>32</v>
      </c>
      <c r="VY12" s="80"/>
      <c r="VZ12" s="81" t="s">
        <v>33</v>
      </c>
      <c r="WA12" s="80"/>
      <c r="WB12" s="82" t="s">
        <v>34</v>
      </c>
      <c r="WC12" s="80"/>
      <c r="WD12" s="82" t="s">
        <v>35</v>
      </c>
      <c r="WE12" s="80"/>
      <c r="WF12" s="81" t="s">
        <v>36</v>
      </c>
      <c r="WG12" s="80"/>
      <c r="WH12" s="81" t="s">
        <v>37</v>
      </c>
      <c r="WI12" s="80"/>
      <c r="WJ12" s="81" t="s">
        <v>38</v>
      </c>
      <c r="WK12" s="80"/>
      <c r="WL12" s="81" t="s">
        <v>39</v>
      </c>
      <c r="WM12" s="80"/>
      <c r="WN12" s="81" t="s">
        <v>40</v>
      </c>
      <c r="WO12" s="80"/>
      <c r="WP12" s="81" t="s">
        <v>41</v>
      </c>
      <c r="WQ12" s="80"/>
      <c r="WR12" s="86" t="s">
        <v>42</v>
      </c>
      <c r="WS12" s="84" t="s">
        <v>43</v>
      </c>
      <c r="WT12" s="85" t="s">
        <v>44</v>
      </c>
      <c r="WU12" s="87" t="s">
        <v>45</v>
      </c>
      <c r="WV12" s="88" t="s">
        <v>46</v>
      </c>
      <c r="WW12" s="89" t="s">
        <v>47</v>
      </c>
      <c r="WX12" s="90" t="s">
        <v>28</v>
      </c>
      <c r="WY12" s="79" t="s">
        <v>29</v>
      </c>
      <c r="WZ12" s="79" t="s">
        <v>30</v>
      </c>
      <c r="XA12" s="80"/>
      <c r="XB12" s="81" t="s">
        <v>31</v>
      </c>
      <c r="XC12" s="80"/>
      <c r="XD12" s="81" t="s">
        <v>32</v>
      </c>
      <c r="XE12" s="80"/>
      <c r="XF12" s="81" t="s">
        <v>33</v>
      </c>
      <c r="XG12" s="80"/>
      <c r="XH12" s="82" t="s">
        <v>34</v>
      </c>
      <c r="XI12" s="80"/>
      <c r="XJ12" s="82" t="s">
        <v>35</v>
      </c>
      <c r="XK12" s="80"/>
      <c r="XL12" s="81" t="s">
        <v>36</v>
      </c>
      <c r="XM12" s="80"/>
      <c r="XN12" s="81" t="s">
        <v>37</v>
      </c>
      <c r="XO12" s="80"/>
      <c r="XP12" s="81" t="s">
        <v>38</v>
      </c>
      <c r="XQ12" s="80"/>
      <c r="XR12" s="81" t="s">
        <v>39</v>
      </c>
      <c r="XS12" s="80"/>
      <c r="XT12" s="81" t="s">
        <v>40</v>
      </c>
      <c r="XU12" s="80"/>
      <c r="XV12" s="81" t="s">
        <v>41</v>
      </c>
      <c r="XW12" s="80"/>
      <c r="XX12" s="86" t="s">
        <v>42</v>
      </c>
      <c r="XY12" s="84" t="s">
        <v>43</v>
      </c>
      <c r="XZ12" s="85" t="s">
        <v>44</v>
      </c>
      <c r="YA12" s="78" t="s">
        <v>28</v>
      </c>
      <c r="YB12" s="79" t="s">
        <v>29</v>
      </c>
      <c r="YC12" s="79" t="s">
        <v>30</v>
      </c>
      <c r="YD12" s="80"/>
      <c r="YE12" s="81" t="s">
        <v>31</v>
      </c>
      <c r="YF12" s="80"/>
      <c r="YG12" s="81" t="s">
        <v>32</v>
      </c>
      <c r="YH12" s="80"/>
      <c r="YI12" s="81" t="s">
        <v>33</v>
      </c>
      <c r="YJ12" s="80"/>
      <c r="YK12" s="82" t="s">
        <v>34</v>
      </c>
      <c r="YL12" s="80"/>
      <c r="YM12" s="82" t="s">
        <v>35</v>
      </c>
      <c r="YN12" s="80"/>
      <c r="YO12" s="81" t="s">
        <v>36</v>
      </c>
      <c r="YP12" s="80"/>
      <c r="YQ12" s="81" t="s">
        <v>37</v>
      </c>
      <c r="YR12" s="80"/>
      <c r="YS12" s="81" t="s">
        <v>38</v>
      </c>
      <c r="YT12" s="80"/>
      <c r="YU12" s="81" t="s">
        <v>39</v>
      </c>
      <c r="YV12" s="80"/>
      <c r="YW12" s="81" t="s">
        <v>40</v>
      </c>
      <c r="YX12" s="80"/>
      <c r="YY12" s="81" t="s">
        <v>41</v>
      </c>
      <c r="YZ12" s="80"/>
      <c r="ZA12" s="86" t="s">
        <v>42</v>
      </c>
      <c r="ZB12" s="84" t="s">
        <v>43</v>
      </c>
      <c r="ZC12" s="85" t="s">
        <v>44</v>
      </c>
      <c r="ZD12" s="78" t="s">
        <v>28</v>
      </c>
      <c r="ZE12" s="79" t="s">
        <v>29</v>
      </c>
      <c r="ZF12" s="79" t="s">
        <v>30</v>
      </c>
      <c r="ZG12" s="80"/>
      <c r="ZH12" s="81" t="s">
        <v>31</v>
      </c>
      <c r="ZI12" s="80"/>
      <c r="ZJ12" s="81" t="s">
        <v>32</v>
      </c>
      <c r="ZK12" s="80"/>
      <c r="ZL12" s="81" t="s">
        <v>33</v>
      </c>
      <c r="ZM12" s="80"/>
      <c r="ZN12" s="82" t="s">
        <v>34</v>
      </c>
      <c r="ZO12" s="80"/>
      <c r="ZP12" s="82" t="s">
        <v>35</v>
      </c>
      <c r="ZQ12" s="80"/>
      <c r="ZR12" s="81" t="s">
        <v>36</v>
      </c>
      <c r="ZS12" s="80"/>
      <c r="ZT12" s="81" t="s">
        <v>37</v>
      </c>
      <c r="ZU12" s="80"/>
      <c r="ZV12" s="81" t="s">
        <v>38</v>
      </c>
      <c r="ZW12" s="80"/>
      <c r="ZX12" s="81" t="s">
        <v>39</v>
      </c>
      <c r="ZY12" s="80"/>
      <c r="ZZ12" s="81" t="s">
        <v>40</v>
      </c>
      <c r="AAA12" s="80"/>
      <c r="AAB12" s="81" t="s">
        <v>41</v>
      </c>
      <c r="AAC12" s="80"/>
      <c r="AAD12" s="86" t="s">
        <v>42</v>
      </c>
      <c r="AAE12" s="84" t="s">
        <v>43</v>
      </c>
      <c r="AAF12" s="85" t="s">
        <v>44</v>
      </c>
      <c r="AAG12" s="78" t="s">
        <v>28</v>
      </c>
      <c r="AAH12" s="79" t="s">
        <v>29</v>
      </c>
      <c r="AAI12" s="79" t="s">
        <v>30</v>
      </c>
      <c r="AAJ12" s="80"/>
      <c r="AAK12" s="81" t="s">
        <v>31</v>
      </c>
      <c r="AAL12" s="80"/>
      <c r="AAM12" s="81" t="s">
        <v>32</v>
      </c>
      <c r="AAN12" s="80"/>
      <c r="AAO12" s="81" t="s">
        <v>33</v>
      </c>
      <c r="AAP12" s="80"/>
      <c r="AAQ12" s="82" t="s">
        <v>34</v>
      </c>
      <c r="AAR12" s="80"/>
      <c r="AAS12" s="82" t="s">
        <v>35</v>
      </c>
      <c r="AAT12" s="80"/>
      <c r="AAU12" s="81" t="s">
        <v>36</v>
      </c>
      <c r="AAV12" s="80"/>
      <c r="AAW12" s="81" t="s">
        <v>37</v>
      </c>
      <c r="AAX12" s="80"/>
      <c r="AAY12" s="81" t="s">
        <v>38</v>
      </c>
      <c r="AAZ12" s="80"/>
      <c r="ABA12" s="81" t="s">
        <v>39</v>
      </c>
      <c r="ABB12" s="80"/>
      <c r="ABC12" s="81" t="s">
        <v>40</v>
      </c>
      <c r="ABD12" s="80"/>
      <c r="ABE12" s="81" t="s">
        <v>41</v>
      </c>
      <c r="ABF12" s="80"/>
      <c r="ABG12" s="86" t="s">
        <v>42</v>
      </c>
      <c r="ABH12" s="84" t="s">
        <v>43</v>
      </c>
      <c r="ABI12" s="85" t="s">
        <v>44</v>
      </c>
      <c r="ABJ12" s="78" t="s">
        <v>28</v>
      </c>
      <c r="ABK12" s="79" t="s">
        <v>29</v>
      </c>
      <c r="ABL12" s="79" t="s">
        <v>30</v>
      </c>
      <c r="ABM12" s="80"/>
      <c r="ABN12" s="81" t="s">
        <v>31</v>
      </c>
      <c r="ABO12" s="80"/>
      <c r="ABP12" s="81" t="s">
        <v>32</v>
      </c>
      <c r="ABQ12" s="80"/>
      <c r="ABR12" s="81" t="s">
        <v>33</v>
      </c>
      <c r="ABS12" s="80"/>
      <c r="ABT12" s="82" t="s">
        <v>34</v>
      </c>
      <c r="ABU12" s="80"/>
      <c r="ABV12" s="82" t="s">
        <v>35</v>
      </c>
      <c r="ABW12" s="80"/>
      <c r="ABX12" s="81" t="s">
        <v>36</v>
      </c>
      <c r="ABY12" s="80"/>
      <c r="ABZ12" s="81" t="s">
        <v>37</v>
      </c>
      <c r="ACA12" s="80"/>
      <c r="ACB12" s="81" t="s">
        <v>38</v>
      </c>
      <c r="ACC12" s="80"/>
      <c r="ACD12" s="81" t="s">
        <v>39</v>
      </c>
      <c r="ACE12" s="80"/>
      <c r="ACF12" s="81" t="s">
        <v>40</v>
      </c>
      <c r="ACG12" s="80"/>
      <c r="ACH12" s="81" t="s">
        <v>41</v>
      </c>
      <c r="ACI12" s="80"/>
      <c r="ACJ12" s="86" t="s">
        <v>42</v>
      </c>
      <c r="ACK12" s="84" t="s">
        <v>43</v>
      </c>
      <c r="ACL12" s="85" t="s">
        <v>44</v>
      </c>
      <c r="ACM12" s="78" t="s">
        <v>28</v>
      </c>
      <c r="ACN12" s="79" t="s">
        <v>29</v>
      </c>
      <c r="ACO12" s="81" t="s">
        <v>30</v>
      </c>
      <c r="ACP12" s="80"/>
      <c r="ACQ12" s="81" t="s">
        <v>31</v>
      </c>
      <c r="ACR12" s="80"/>
      <c r="ACS12" s="81" t="s">
        <v>32</v>
      </c>
      <c r="ACT12" s="80"/>
      <c r="ACU12" s="81" t="s">
        <v>33</v>
      </c>
      <c r="ACV12" s="80"/>
      <c r="ACW12" s="82" t="s">
        <v>34</v>
      </c>
      <c r="ACX12" s="80"/>
      <c r="ACY12" s="82" t="s">
        <v>35</v>
      </c>
      <c r="ACZ12" s="80"/>
      <c r="ADA12" s="81" t="s">
        <v>36</v>
      </c>
      <c r="ADB12" s="80"/>
      <c r="ADC12" s="81" t="s">
        <v>37</v>
      </c>
      <c r="ADD12" s="80"/>
      <c r="ADE12" s="81" t="s">
        <v>38</v>
      </c>
      <c r="ADF12" s="80"/>
      <c r="ADG12" s="81" t="s">
        <v>39</v>
      </c>
      <c r="ADH12" s="80"/>
      <c r="ADI12" s="81" t="s">
        <v>40</v>
      </c>
      <c r="ADJ12" s="80"/>
      <c r="ADK12" s="81" t="s">
        <v>41</v>
      </c>
      <c r="ADL12" s="80"/>
      <c r="ADM12" s="86" t="s">
        <v>42</v>
      </c>
      <c r="ADN12" s="84" t="s">
        <v>43</v>
      </c>
      <c r="ADO12" s="85" t="s">
        <v>44</v>
      </c>
      <c r="ADP12" s="78" t="s">
        <v>28</v>
      </c>
      <c r="ADQ12" s="79" t="s">
        <v>29</v>
      </c>
      <c r="ADR12" s="79" t="s">
        <v>30</v>
      </c>
      <c r="ADS12" s="80"/>
      <c r="ADT12" s="81" t="s">
        <v>31</v>
      </c>
      <c r="ADU12" s="80"/>
      <c r="ADV12" s="81" t="s">
        <v>32</v>
      </c>
      <c r="ADW12" s="80"/>
      <c r="ADX12" s="81" t="s">
        <v>33</v>
      </c>
      <c r="ADY12" s="80"/>
      <c r="ADZ12" s="82" t="s">
        <v>34</v>
      </c>
      <c r="AEA12" s="80"/>
      <c r="AEB12" s="82" t="s">
        <v>35</v>
      </c>
      <c r="AEC12" s="80"/>
      <c r="AED12" s="81" t="s">
        <v>36</v>
      </c>
      <c r="AEE12" s="80"/>
      <c r="AEF12" s="81" t="s">
        <v>37</v>
      </c>
      <c r="AEG12" s="80"/>
      <c r="AEH12" s="81" t="s">
        <v>38</v>
      </c>
      <c r="AEI12" s="80"/>
      <c r="AEJ12" s="81" t="s">
        <v>39</v>
      </c>
      <c r="AEK12" s="80"/>
      <c r="AEL12" s="81" t="s">
        <v>40</v>
      </c>
      <c r="AEM12" s="80"/>
      <c r="AEN12" s="81" t="s">
        <v>41</v>
      </c>
      <c r="AEO12" s="80"/>
      <c r="AEP12" s="86" t="s">
        <v>42</v>
      </c>
      <c r="AEQ12" s="84" t="s">
        <v>43</v>
      </c>
      <c r="AER12" s="85" t="s">
        <v>44</v>
      </c>
      <c r="AES12" s="87" t="s">
        <v>45</v>
      </c>
      <c r="AET12" s="88" t="s">
        <v>46</v>
      </c>
      <c r="AEU12" s="89" t="s">
        <v>47</v>
      </c>
      <c r="AEV12" s="78" t="s">
        <v>28</v>
      </c>
      <c r="AEW12" s="79" t="s">
        <v>29</v>
      </c>
      <c r="AEX12" s="79" t="s">
        <v>30</v>
      </c>
      <c r="AEY12" s="80"/>
      <c r="AEZ12" s="81" t="s">
        <v>31</v>
      </c>
      <c r="AFA12" s="80"/>
      <c r="AFB12" s="81" t="s">
        <v>32</v>
      </c>
      <c r="AFC12" s="80"/>
      <c r="AFD12" s="81" t="s">
        <v>33</v>
      </c>
      <c r="AFE12" s="80"/>
      <c r="AFF12" s="82" t="s">
        <v>34</v>
      </c>
      <c r="AFG12" s="80"/>
      <c r="AFH12" s="82" t="s">
        <v>35</v>
      </c>
      <c r="AFI12" s="80"/>
      <c r="AFJ12" s="81" t="s">
        <v>36</v>
      </c>
      <c r="AFK12" s="80"/>
      <c r="AFL12" s="81" t="s">
        <v>37</v>
      </c>
      <c r="AFM12" s="80"/>
      <c r="AFN12" s="81" t="s">
        <v>38</v>
      </c>
      <c r="AFO12" s="80"/>
      <c r="AFP12" s="81" t="s">
        <v>39</v>
      </c>
      <c r="AFQ12" s="80"/>
      <c r="AFR12" s="81" t="s">
        <v>40</v>
      </c>
      <c r="AFS12" s="80"/>
      <c r="AFT12" s="81" t="s">
        <v>41</v>
      </c>
      <c r="AFU12" s="80"/>
      <c r="AFV12" s="86" t="s">
        <v>42</v>
      </c>
      <c r="AFW12" s="84" t="s">
        <v>43</v>
      </c>
      <c r="AFX12" s="85" t="s">
        <v>44</v>
      </c>
      <c r="AFY12" s="78" t="s">
        <v>28</v>
      </c>
      <c r="AFZ12" s="79" t="s">
        <v>29</v>
      </c>
      <c r="AGA12" s="79" t="s">
        <v>30</v>
      </c>
      <c r="AGB12" s="80"/>
      <c r="AGC12" s="81" t="s">
        <v>31</v>
      </c>
      <c r="AGD12" s="80"/>
      <c r="AGE12" s="81" t="s">
        <v>32</v>
      </c>
      <c r="AGF12" s="80"/>
      <c r="AGG12" s="81" t="s">
        <v>33</v>
      </c>
      <c r="AGH12" s="80"/>
      <c r="AGI12" s="82" t="s">
        <v>34</v>
      </c>
      <c r="AGJ12" s="80"/>
      <c r="AGK12" s="82" t="s">
        <v>35</v>
      </c>
      <c r="AGL12" s="80"/>
      <c r="AGM12" s="81" t="s">
        <v>36</v>
      </c>
      <c r="AGN12" s="80"/>
      <c r="AGO12" s="81" t="s">
        <v>37</v>
      </c>
      <c r="AGP12" s="80"/>
      <c r="AGQ12" s="81" t="s">
        <v>38</v>
      </c>
      <c r="AGR12" s="80"/>
      <c r="AGS12" s="81" t="s">
        <v>39</v>
      </c>
      <c r="AGT12" s="80"/>
      <c r="AGU12" s="81" t="s">
        <v>40</v>
      </c>
      <c r="AGV12" s="80"/>
      <c r="AGW12" s="81" t="s">
        <v>41</v>
      </c>
      <c r="AGX12" s="80"/>
      <c r="AGY12" s="86" t="s">
        <v>42</v>
      </c>
      <c r="AGZ12" s="84" t="s">
        <v>43</v>
      </c>
      <c r="AHA12" s="85" t="s">
        <v>44</v>
      </c>
      <c r="AHB12" s="78" t="s">
        <v>28</v>
      </c>
      <c r="AHC12" s="79" t="s">
        <v>29</v>
      </c>
      <c r="AHD12" s="79" t="s">
        <v>30</v>
      </c>
      <c r="AHE12" s="80"/>
      <c r="AHF12" s="81" t="s">
        <v>31</v>
      </c>
      <c r="AHG12" s="80"/>
      <c r="AHH12" s="81" t="s">
        <v>32</v>
      </c>
      <c r="AHI12" s="80"/>
      <c r="AHJ12" s="81" t="s">
        <v>33</v>
      </c>
      <c r="AHK12" s="80"/>
      <c r="AHL12" s="82" t="s">
        <v>34</v>
      </c>
      <c r="AHM12" s="80"/>
      <c r="AHN12" s="82" t="s">
        <v>35</v>
      </c>
      <c r="AHO12" s="80"/>
      <c r="AHP12" s="81" t="s">
        <v>36</v>
      </c>
      <c r="AHQ12" s="80"/>
      <c r="AHR12" s="81" t="s">
        <v>37</v>
      </c>
      <c r="AHS12" s="80"/>
      <c r="AHT12" s="81" t="s">
        <v>38</v>
      </c>
      <c r="AHU12" s="80"/>
      <c r="AHV12" s="81" t="s">
        <v>39</v>
      </c>
      <c r="AHW12" s="80"/>
      <c r="AHX12" s="81" t="s">
        <v>40</v>
      </c>
      <c r="AHY12" s="80"/>
      <c r="AHZ12" s="81" t="s">
        <v>41</v>
      </c>
      <c r="AIA12" s="80"/>
      <c r="AIB12" s="86" t="s">
        <v>42</v>
      </c>
      <c r="AIC12" s="84" t="s">
        <v>43</v>
      </c>
      <c r="AID12" s="85" t="s">
        <v>44</v>
      </c>
      <c r="AIE12" s="78" t="s">
        <v>28</v>
      </c>
      <c r="AIF12" s="79" t="s">
        <v>29</v>
      </c>
      <c r="AIG12" s="79" t="s">
        <v>30</v>
      </c>
      <c r="AIH12" s="80"/>
      <c r="AII12" s="81" t="s">
        <v>31</v>
      </c>
      <c r="AIJ12" s="80"/>
      <c r="AIK12" s="81" t="s">
        <v>32</v>
      </c>
      <c r="AIL12" s="80"/>
      <c r="AIM12" s="81" t="s">
        <v>33</v>
      </c>
      <c r="AIN12" s="80"/>
      <c r="AIO12" s="82" t="s">
        <v>34</v>
      </c>
      <c r="AIP12" s="80"/>
      <c r="AIQ12" s="82" t="s">
        <v>35</v>
      </c>
      <c r="AIR12" s="80"/>
      <c r="AIS12" s="81" t="s">
        <v>36</v>
      </c>
      <c r="AIT12" s="80"/>
      <c r="AIU12" s="81" t="s">
        <v>37</v>
      </c>
      <c r="AIV12" s="80"/>
      <c r="AIW12" s="81" t="s">
        <v>38</v>
      </c>
      <c r="AIX12" s="80"/>
      <c r="AIY12" s="81" t="s">
        <v>39</v>
      </c>
      <c r="AIZ12" s="80"/>
      <c r="AJA12" s="81" t="s">
        <v>40</v>
      </c>
      <c r="AJB12" s="80"/>
      <c r="AJC12" s="81" t="s">
        <v>41</v>
      </c>
      <c r="AJD12" s="80"/>
      <c r="AJE12" s="86" t="s">
        <v>42</v>
      </c>
      <c r="AJF12" s="84" t="s">
        <v>43</v>
      </c>
      <c r="AJG12" s="85" t="s">
        <v>44</v>
      </c>
      <c r="AJH12" s="78" t="s">
        <v>28</v>
      </c>
      <c r="AJI12" s="79" t="s">
        <v>29</v>
      </c>
      <c r="AJJ12" s="79" t="s">
        <v>30</v>
      </c>
      <c r="AJK12" s="80"/>
      <c r="AJL12" s="81" t="s">
        <v>31</v>
      </c>
      <c r="AJM12" s="80"/>
      <c r="AJN12" s="81" t="s">
        <v>32</v>
      </c>
      <c r="AJO12" s="80"/>
      <c r="AJP12" s="81" t="s">
        <v>33</v>
      </c>
      <c r="AJQ12" s="80"/>
      <c r="AJR12" s="82" t="s">
        <v>34</v>
      </c>
      <c r="AJS12" s="80"/>
      <c r="AJT12" s="82" t="s">
        <v>35</v>
      </c>
      <c r="AJU12" s="80"/>
      <c r="AJV12" s="81" t="s">
        <v>36</v>
      </c>
      <c r="AJW12" s="80"/>
      <c r="AJX12" s="81" t="s">
        <v>37</v>
      </c>
      <c r="AJY12" s="80"/>
      <c r="AJZ12" s="81" t="s">
        <v>38</v>
      </c>
      <c r="AKA12" s="80"/>
      <c r="AKB12" s="81" t="s">
        <v>39</v>
      </c>
      <c r="AKC12" s="80"/>
      <c r="AKD12" s="81" t="s">
        <v>40</v>
      </c>
      <c r="AKE12" s="80"/>
      <c r="AKF12" s="81" t="s">
        <v>41</v>
      </c>
      <c r="AKG12" s="80"/>
      <c r="AKH12" s="86" t="s">
        <v>42</v>
      </c>
      <c r="AKI12" s="84" t="s">
        <v>43</v>
      </c>
      <c r="AKJ12" s="85" t="s">
        <v>44</v>
      </c>
      <c r="AKK12" s="78" t="s">
        <v>28</v>
      </c>
      <c r="AKL12" s="79" t="s">
        <v>29</v>
      </c>
      <c r="AKM12" s="81" t="s">
        <v>30</v>
      </c>
      <c r="AKN12" s="80"/>
      <c r="AKO12" s="81" t="s">
        <v>31</v>
      </c>
      <c r="AKP12" s="80"/>
      <c r="AKQ12" s="81" t="s">
        <v>32</v>
      </c>
      <c r="AKR12" s="80"/>
      <c r="AKS12" s="81" t="s">
        <v>33</v>
      </c>
      <c r="AKT12" s="80"/>
      <c r="AKU12" s="82" t="s">
        <v>34</v>
      </c>
      <c r="AKV12" s="80"/>
      <c r="AKW12" s="82" t="s">
        <v>35</v>
      </c>
      <c r="AKX12" s="80"/>
      <c r="AKY12" s="81" t="s">
        <v>36</v>
      </c>
      <c r="AKZ12" s="80"/>
      <c r="ALA12" s="81" t="s">
        <v>37</v>
      </c>
      <c r="ALB12" s="80"/>
      <c r="ALC12" s="81" t="s">
        <v>38</v>
      </c>
      <c r="ALD12" s="80"/>
      <c r="ALE12" s="81" t="s">
        <v>39</v>
      </c>
      <c r="ALF12" s="80"/>
      <c r="ALG12" s="81" t="s">
        <v>40</v>
      </c>
      <c r="ALH12" s="80"/>
      <c r="ALI12" s="81" t="s">
        <v>41</v>
      </c>
      <c r="ALJ12" s="80"/>
      <c r="ALK12" s="86" t="s">
        <v>42</v>
      </c>
      <c r="ALL12" s="84" t="s">
        <v>43</v>
      </c>
      <c r="ALM12" s="85" t="s">
        <v>44</v>
      </c>
      <c r="ALN12" s="78" t="s">
        <v>28</v>
      </c>
      <c r="ALO12" s="79" t="s">
        <v>29</v>
      </c>
      <c r="ALP12" s="79" t="s">
        <v>30</v>
      </c>
      <c r="ALQ12" s="80"/>
      <c r="ALR12" s="81" t="s">
        <v>31</v>
      </c>
      <c r="ALS12" s="80"/>
      <c r="ALT12" s="81" t="s">
        <v>32</v>
      </c>
      <c r="ALU12" s="80"/>
      <c r="ALV12" s="81" t="s">
        <v>33</v>
      </c>
      <c r="ALW12" s="80"/>
      <c r="ALX12" s="82" t="s">
        <v>34</v>
      </c>
      <c r="ALY12" s="80"/>
      <c r="ALZ12" s="82" t="s">
        <v>35</v>
      </c>
      <c r="AMA12" s="80"/>
      <c r="AMB12" s="81" t="s">
        <v>36</v>
      </c>
      <c r="AMC12" s="80"/>
      <c r="AMD12" s="81" t="s">
        <v>37</v>
      </c>
      <c r="AME12" s="80"/>
      <c r="AMF12" s="81" t="s">
        <v>38</v>
      </c>
      <c r="AMG12" s="80"/>
      <c r="AMH12" s="81" t="s">
        <v>39</v>
      </c>
      <c r="AMI12" s="80"/>
      <c r="AMJ12" s="81" t="s">
        <v>40</v>
      </c>
      <c r="AMK12" s="80"/>
      <c r="AML12" s="81" t="s">
        <v>41</v>
      </c>
      <c r="AMM12" s="80"/>
      <c r="AMN12" s="86" t="s">
        <v>42</v>
      </c>
      <c r="AMO12" s="84" t="s">
        <v>43</v>
      </c>
      <c r="AMP12" s="85" t="s">
        <v>44</v>
      </c>
      <c r="AMQ12" s="87" t="s">
        <v>45</v>
      </c>
      <c r="AMR12" s="88" t="s">
        <v>46</v>
      </c>
      <c r="AMS12" s="89" t="s">
        <v>47</v>
      </c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</row>
    <row r="13" ht="15" customHeight="1" spans="1:1191" x14ac:dyDescent="0.25">
      <c r="A13" s="91" t="s">
        <v>48</v>
      </c>
      <c r="B13" s="92" t="s">
        <v>49</v>
      </c>
      <c r="C13" s="93" t="s">
        <v>50</v>
      </c>
      <c r="D13" s="94"/>
      <c r="E13" s="95"/>
      <c r="F13" s="96"/>
      <c r="G13" s="97"/>
      <c r="H13" s="97"/>
      <c r="I13" s="97"/>
      <c r="J13" s="97"/>
      <c r="K13" s="97"/>
      <c r="L13" s="98"/>
      <c r="M13" s="97"/>
      <c r="N13" s="99"/>
      <c r="O13" s="98"/>
      <c r="P13" s="98"/>
      <c r="Q13" s="100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101"/>
      <c r="AD13" s="102"/>
      <c r="AE13" s="101"/>
      <c r="AF13" s="103">
        <f>SUM(D13:AE13)</f>
      </c>
      <c r="AG13" s="94"/>
      <c r="AH13" s="95"/>
      <c r="AI13" s="96"/>
      <c r="AJ13" s="97"/>
      <c r="AK13" s="97"/>
      <c r="AL13" s="97"/>
      <c r="AM13" s="97"/>
      <c r="AN13" s="97"/>
      <c r="AO13" s="98"/>
      <c r="AP13" s="97"/>
      <c r="AQ13" s="99"/>
      <c r="AR13" s="98"/>
      <c r="AS13" s="98"/>
      <c r="AT13" s="100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101"/>
      <c r="BG13" s="102"/>
      <c r="BH13" s="101"/>
      <c r="BI13" s="103">
        <f>SUM(AG13:BH13)</f>
      </c>
      <c r="BJ13" s="94"/>
      <c r="BK13" s="95"/>
      <c r="BL13" s="96"/>
      <c r="BM13" s="97"/>
      <c r="BN13" s="97"/>
      <c r="BO13" s="97"/>
      <c r="BP13" s="97"/>
      <c r="BQ13" s="97"/>
      <c r="BR13" s="98"/>
      <c r="BS13" s="97"/>
      <c r="BT13" s="99"/>
      <c r="BU13" s="98"/>
      <c r="BV13" s="98"/>
      <c r="BW13" s="100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101"/>
      <c r="CJ13" s="102"/>
      <c r="CK13" s="101"/>
      <c r="CL13" s="103">
        <f>SUM(BJ13:CK13)</f>
      </c>
      <c r="CM13" s="94"/>
      <c r="CN13" s="95"/>
      <c r="CO13" s="96"/>
      <c r="CP13" s="97"/>
      <c r="CQ13" s="97"/>
      <c r="CR13" s="97"/>
      <c r="CS13" s="97"/>
      <c r="CT13" s="97"/>
      <c r="CU13" s="98"/>
      <c r="CV13" s="97"/>
      <c r="CW13" s="99"/>
      <c r="CX13" s="98"/>
      <c r="CY13" s="98"/>
      <c r="CZ13" s="100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101"/>
      <c r="DM13" s="102"/>
      <c r="DN13" s="101"/>
      <c r="DO13" s="103">
        <f>SUM(CM13:DN13)</f>
      </c>
      <c r="DP13" s="94"/>
      <c r="DQ13" s="95"/>
      <c r="DR13" s="96"/>
      <c r="DS13" s="97"/>
      <c r="DT13" s="97"/>
      <c r="DU13" s="97"/>
      <c r="DV13" s="97"/>
      <c r="DW13" s="97"/>
      <c r="DX13" s="98"/>
      <c r="DY13" s="97"/>
      <c r="DZ13" s="99"/>
      <c r="EA13" s="98"/>
      <c r="EB13" s="98"/>
      <c r="EC13" s="100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101"/>
      <c r="EP13" s="102"/>
      <c r="EQ13" s="101"/>
      <c r="ER13" s="103">
        <f>SUM(DP13:EQ13)</f>
      </c>
      <c r="ES13" s="94"/>
      <c r="ET13" s="95"/>
      <c r="EU13" s="96"/>
      <c r="EV13" s="97"/>
      <c r="EW13" s="97"/>
      <c r="EX13" s="97"/>
      <c r="EY13" s="97"/>
      <c r="EZ13" s="97"/>
      <c r="FA13" s="98"/>
      <c r="FB13" s="97"/>
      <c r="FC13" s="99"/>
      <c r="FD13" s="98"/>
      <c r="FE13" s="98"/>
      <c r="FF13" s="100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101"/>
      <c r="FS13" s="102"/>
      <c r="FT13" s="101"/>
      <c r="FU13" s="103">
        <f>SUM(ES13:FT13)</f>
      </c>
      <c r="FV13" s="94"/>
      <c r="FW13" s="95"/>
      <c r="FX13" s="104"/>
      <c r="FY13" s="97"/>
      <c r="FZ13" s="97"/>
      <c r="GA13" s="97"/>
      <c r="GB13" s="97"/>
      <c r="GC13" s="97"/>
      <c r="GD13" s="98"/>
      <c r="GE13" s="97"/>
      <c r="GF13" s="99"/>
      <c r="GG13" s="98"/>
      <c r="GH13" s="98"/>
      <c r="GI13" s="100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101"/>
      <c r="GV13" s="102"/>
      <c r="GW13" s="101"/>
      <c r="GX13" s="103">
        <f>SUM(FV13:GW13)</f>
      </c>
      <c r="GY13" s="105">
        <f>AF13+BI13+CL13+DO13+ER13+FU13+GX13</f>
      </c>
      <c r="GZ13" s="106">
        <f>(COUNTIF(D13:GX13,"H")+COUNTIF(D13:GX13,"S")+COUNTIF(D13:GX13,"L")+COUNTIF(D13:GX13,"E")+COUNTIF(D13:GX13,"C"))/2</f>
      </c>
      <c r="HA13" s="103">
        <f>GY13+GZ13</f>
      </c>
      <c r="HB13" s="107"/>
      <c r="HC13" s="108"/>
      <c r="HD13" s="109"/>
      <c r="HE13" s="110">
        <v>0.5</v>
      </c>
      <c r="HF13" s="110">
        <v>0.5</v>
      </c>
      <c r="HG13" s="110">
        <v>0.5</v>
      </c>
      <c r="HH13" s="110">
        <v>0.5</v>
      </c>
      <c r="HI13" s="110">
        <v>0.5</v>
      </c>
      <c r="HJ13" s="111">
        <v>0.5</v>
      </c>
      <c r="HK13" s="110">
        <v>0.5</v>
      </c>
      <c r="HL13" s="112"/>
      <c r="HM13" s="113"/>
      <c r="HN13" s="111">
        <v>0.5</v>
      </c>
      <c r="HO13" s="114">
        <v>0.5</v>
      </c>
      <c r="HP13" s="110">
        <v>0.5</v>
      </c>
      <c r="HQ13" s="110">
        <v>0.5</v>
      </c>
      <c r="HR13" s="110">
        <v>0.5</v>
      </c>
      <c r="HS13" s="110">
        <v>0.5</v>
      </c>
      <c r="HT13" s="110">
        <v>0.5</v>
      </c>
      <c r="HU13" s="110">
        <v>0.5</v>
      </c>
      <c r="HV13" s="110">
        <v>0.5</v>
      </c>
      <c r="HW13" s="115"/>
      <c r="HX13" s="115"/>
      <c r="HY13" s="115"/>
      <c r="HZ13" s="115"/>
      <c r="IA13" s="116"/>
      <c r="IB13" s="117"/>
      <c r="IC13" s="116"/>
      <c r="ID13" s="103">
        <f>SUM(HB13:IC13)</f>
      </c>
      <c r="IE13" s="107"/>
      <c r="IF13" s="108"/>
      <c r="IG13" s="109"/>
      <c r="IH13" s="110">
        <v>0.5</v>
      </c>
      <c r="II13" s="110">
        <v>0.5</v>
      </c>
      <c r="IJ13" s="110">
        <v>0.5</v>
      </c>
      <c r="IK13" s="110">
        <v>0.5</v>
      </c>
      <c r="IL13" s="110">
        <v>0.5</v>
      </c>
      <c r="IM13" s="111">
        <v>0.5</v>
      </c>
      <c r="IN13" s="110">
        <v>0.5</v>
      </c>
      <c r="IO13" s="112"/>
      <c r="IP13" s="113"/>
      <c r="IQ13" s="111">
        <v>0.5</v>
      </c>
      <c r="IR13" s="114">
        <v>0.5</v>
      </c>
      <c r="IS13" s="110">
        <v>0.5</v>
      </c>
      <c r="IT13" s="110">
        <v>0.5</v>
      </c>
      <c r="IU13" s="110">
        <v>0.5</v>
      </c>
      <c r="IV13" s="110">
        <v>0.5</v>
      </c>
      <c r="IW13" s="110">
        <v>0.5</v>
      </c>
      <c r="IX13" s="110">
        <v>0.5</v>
      </c>
      <c r="IY13" s="110">
        <v>0.5</v>
      </c>
      <c r="IZ13" s="115"/>
      <c r="JA13" s="115"/>
      <c r="JB13" s="115"/>
      <c r="JC13" s="115"/>
      <c r="JD13" s="116"/>
      <c r="JE13" s="117"/>
      <c r="JF13" s="108"/>
      <c r="JG13" s="103">
        <f>SUM(IE13:JF13)</f>
      </c>
      <c r="JH13" s="107"/>
      <c r="JI13" s="108"/>
      <c r="JJ13" s="109"/>
      <c r="JK13" s="110">
        <v>0.5</v>
      </c>
      <c r="JL13" s="110">
        <v>0.5</v>
      </c>
      <c r="JM13" s="110">
        <v>0.5</v>
      </c>
      <c r="JN13" s="110">
        <v>0.5</v>
      </c>
      <c r="JO13" s="110">
        <v>0.5</v>
      </c>
      <c r="JP13" s="111">
        <v>0.5</v>
      </c>
      <c r="JQ13" s="110">
        <v>0.5</v>
      </c>
      <c r="JR13" s="112"/>
      <c r="JS13" s="113"/>
      <c r="JT13" s="111">
        <v>0.5</v>
      </c>
      <c r="JU13" s="114">
        <v>0.5</v>
      </c>
      <c r="JV13" s="110">
        <v>0.5</v>
      </c>
      <c r="JW13" s="110">
        <v>0.5</v>
      </c>
      <c r="JX13" s="110">
        <v>0.5</v>
      </c>
      <c r="JY13" s="110">
        <v>0.5</v>
      </c>
      <c r="JZ13" s="110">
        <v>0.5</v>
      </c>
      <c r="KA13" s="110">
        <v>0.5</v>
      </c>
      <c r="KB13" s="110">
        <v>0.5</v>
      </c>
      <c r="KC13" s="115"/>
      <c r="KD13" s="115"/>
      <c r="KE13" s="115"/>
      <c r="KF13" s="115"/>
      <c r="KG13" s="116"/>
      <c r="KH13" s="117"/>
      <c r="KI13" s="116"/>
      <c r="KJ13" s="103">
        <f>SUM(JH13:KI13)</f>
      </c>
      <c r="KK13" s="107"/>
      <c r="KL13" s="108"/>
      <c r="KM13" s="109"/>
      <c r="KN13" s="110">
        <v>0.5</v>
      </c>
      <c r="KO13" s="110">
        <v>0.5</v>
      </c>
      <c r="KP13" s="110">
        <v>0.5</v>
      </c>
      <c r="KQ13" s="110">
        <v>0.5</v>
      </c>
      <c r="KR13" s="110">
        <v>0.5</v>
      </c>
      <c r="KS13" s="111">
        <v>0.5</v>
      </c>
      <c r="KT13" s="110">
        <v>0.5</v>
      </c>
      <c r="KU13" s="112"/>
      <c r="KV13" s="113"/>
      <c r="KW13" s="111">
        <v>0.5</v>
      </c>
      <c r="KX13" s="114">
        <v>0.5</v>
      </c>
      <c r="KY13" s="110">
        <v>0.5</v>
      </c>
      <c r="KZ13" s="110">
        <v>0.5</v>
      </c>
      <c r="LA13" s="110">
        <v>0.5</v>
      </c>
      <c r="LB13" s="110">
        <v>0.5</v>
      </c>
      <c r="LC13" s="110">
        <v>0.5</v>
      </c>
      <c r="LD13" s="110">
        <v>0.5</v>
      </c>
      <c r="LE13" s="110">
        <v>0.5</v>
      </c>
      <c r="LF13" s="115"/>
      <c r="LG13" s="115"/>
      <c r="LH13" s="115"/>
      <c r="LI13" s="115"/>
      <c r="LJ13" s="116"/>
      <c r="LK13" s="117"/>
      <c r="LL13" s="116"/>
      <c r="LM13" s="103">
        <f>SUM(KK13:LL13)</f>
      </c>
      <c r="LN13" s="107"/>
      <c r="LO13" s="108"/>
      <c r="LP13" s="109"/>
      <c r="LQ13" s="110">
        <v>0.5</v>
      </c>
      <c r="LR13" s="110">
        <v>0.5</v>
      </c>
      <c r="LS13" s="110">
        <v>0.5</v>
      </c>
      <c r="LT13" s="110">
        <v>0.5</v>
      </c>
      <c r="LU13" s="110">
        <v>0.5</v>
      </c>
      <c r="LV13" s="111">
        <v>0.5</v>
      </c>
      <c r="LW13" s="114">
        <v>0.5</v>
      </c>
      <c r="LX13" s="112"/>
      <c r="LY13" s="113"/>
      <c r="LZ13" s="111">
        <v>0.5</v>
      </c>
      <c r="MA13" s="114">
        <v>0.5</v>
      </c>
      <c r="MB13" s="110">
        <v>0.5</v>
      </c>
      <c r="MC13" s="110">
        <v>0.5</v>
      </c>
      <c r="MD13" s="110">
        <v>0.5</v>
      </c>
      <c r="ME13" s="110">
        <v>0.5</v>
      </c>
      <c r="MF13" s="110">
        <v>0.5</v>
      </c>
      <c r="MG13" s="110">
        <v>0.5</v>
      </c>
      <c r="MH13" s="110">
        <v>0.5</v>
      </c>
      <c r="MI13" s="115"/>
      <c r="MJ13" s="115"/>
      <c r="MK13" s="115"/>
      <c r="ML13" s="115"/>
      <c r="MM13" s="116"/>
      <c r="MN13" s="117"/>
      <c r="MO13" s="116"/>
      <c r="MP13" s="103">
        <f>SUM(LN13:MO13)</f>
      </c>
      <c r="MQ13" s="94"/>
      <c r="MR13" s="95"/>
      <c r="MS13" s="96"/>
      <c r="MT13" s="97"/>
      <c r="MU13" s="97"/>
      <c r="MV13" s="97"/>
      <c r="MW13" s="97"/>
      <c r="MX13" s="97"/>
      <c r="MY13" s="98"/>
      <c r="MZ13" s="97"/>
      <c r="NA13" s="99"/>
      <c r="NB13" s="98"/>
      <c r="NC13" s="98"/>
      <c r="ND13" s="100"/>
      <c r="NE13" s="97"/>
      <c r="NF13" s="97"/>
      <c r="NG13" s="97"/>
      <c r="NH13" s="97"/>
      <c r="NI13" s="97"/>
      <c r="NJ13" s="97"/>
      <c r="NK13" s="97"/>
      <c r="NL13" s="97"/>
      <c r="NM13" s="97"/>
      <c r="NN13" s="97"/>
      <c r="NO13" s="97"/>
      <c r="NP13" s="101"/>
      <c r="NQ13" s="102"/>
      <c r="NR13" s="101"/>
      <c r="NS13" s="103">
        <f>SUM(MQ13:NR13)</f>
      </c>
      <c r="NT13" s="94"/>
      <c r="NU13" s="95"/>
      <c r="NV13" s="96"/>
      <c r="NW13" s="97"/>
      <c r="NX13" s="97"/>
      <c r="NY13" s="97"/>
      <c r="NZ13" s="97"/>
      <c r="OA13" s="97"/>
      <c r="OB13" s="98"/>
      <c r="OC13" s="97"/>
      <c r="OD13" s="99"/>
      <c r="OE13" s="98"/>
      <c r="OF13" s="98"/>
      <c r="OG13" s="100"/>
      <c r="OH13" s="97"/>
      <c r="OI13" s="97"/>
      <c r="OJ13" s="97"/>
      <c r="OK13" s="97"/>
      <c r="OL13" s="97"/>
      <c r="OM13" s="97"/>
      <c r="ON13" s="97"/>
      <c r="OO13" s="97"/>
      <c r="OP13" s="97"/>
      <c r="OQ13" s="97"/>
      <c r="OR13" s="97"/>
      <c r="OS13" s="101"/>
      <c r="OT13" s="102"/>
      <c r="OU13" s="101"/>
      <c r="OV13" s="103">
        <f>SUM(NT13:OU13)</f>
      </c>
      <c r="OW13" s="105">
        <f>ID13+JG13+KJ13+LM13+MP13+NS13+OV13</f>
      </c>
      <c r="OX13" s="106">
        <f>(COUNTIF(HB13:OV13,"H")+COUNTIF(HB13:OV13,"S")+COUNTIF(HB13:OV13,"L")+COUNTIF(HB13:OV13,"E")+COUNTIF(HB13:OV13,"C"))/2</f>
      </c>
      <c r="OY13" s="103">
        <f>OW13+OX13</f>
      </c>
      <c r="OZ13" s="107"/>
      <c r="PA13" s="108"/>
      <c r="PB13" s="109"/>
      <c r="PC13" s="110">
        <v>0.5</v>
      </c>
      <c r="PD13" s="110">
        <v>0.5</v>
      </c>
      <c r="PE13" s="110">
        <v>0.5</v>
      </c>
      <c r="PF13" s="110">
        <v>0.5</v>
      </c>
      <c r="PG13" s="110">
        <v>0.5</v>
      </c>
      <c r="PH13" s="111">
        <v>0.5</v>
      </c>
      <c r="PI13" s="110">
        <v>0.5</v>
      </c>
      <c r="PJ13" s="112"/>
      <c r="PK13" s="113"/>
      <c r="PL13" s="111">
        <v>0.5</v>
      </c>
      <c r="PM13" s="114">
        <v>0.5</v>
      </c>
      <c r="PN13" s="110">
        <v>0.5</v>
      </c>
      <c r="PO13" s="110">
        <v>0.5</v>
      </c>
      <c r="PP13" s="110">
        <v>0.5</v>
      </c>
      <c r="PQ13" s="110">
        <v>0.5</v>
      </c>
      <c r="PR13" s="110">
        <v>0.5</v>
      </c>
      <c r="PS13" s="110">
        <v>0.5</v>
      </c>
      <c r="PT13" s="110">
        <v>0.5</v>
      </c>
      <c r="PU13" s="115"/>
      <c r="PV13" s="115"/>
      <c r="PW13" s="115"/>
      <c r="PX13" s="115"/>
      <c r="PY13" s="116"/>
      <c r="PZ13" s="117"/>
      <c r="QA13" s="116"/>
      <c r="QB13" s="103">
        <f>SUM(OZ13:QA13)</f>
      </c>
      <c r="QC13" s="107"/>
      <c r="QD13" s="108"/>
      <c r="QE13" s="109"/>
      <c r="QF13" s="110">
        <v>0.5</v>
      </c>
      <c r="QG13" s="110">
        <v>0.5</v>
      </c>
      <c r="QH13" s="110">
        <v>0.5</v>
      </c>
      <c r="QI13" s="110">
        <v>0.5</v>
      </c>
      <c r="QJ13" s="110">
        <v>0.5</v>
      </c>
      <c r="QK13" s="111">
        <v>0.5</v>
      </c>
      <c r="QL13" s="110">
        <v>0.5</v>
      </c>
      <c r="QM13" s="112"/>
      <c r="QN13" s="113"/>
      <c r="QO13" s="111">
        <v>0.5</v>
      </c>
      <c r="QP13" s="114">
        <v>0.5</v>
      </c>
      <c r="QQ13" s="110">
        <v>0.5</v>
      </c>
      <c r="QR13" s="110">
        <v>0.5</v>
      </c>
      <c r="QS13" s="110">
        <v>0.5</v>
      </c>
      <c r="QT13" s="110">
        <v>0.5</v>
      </c>
      <c r="QU13" s="110">
        <v>0.5</v>
      </c>
      <c r="QV13" s="110">
        <v>0.5</v>
      </c>
      <c r="QW13" s="110">
        <v>0.5</v>
      </c>
      <c r="QX13" s="115"/>
      <c r="QY13" s="115"/>
      <c r="QZ13" s="115"/>
      <c r="RA13" s="115"/>
      <c r="RB13" s="116"/>
      <c r="RC13" s="117"/>
      <c r="RD13" s="116"/>
      <c r="RE13" s="103">
        <f>SUM(QC13:RD13)</f>
      </c>
      <c r="RF13" s="107"/>
      <c r="RG13" s="108"/>
      <c r="RH13" s="109"/>
      <c r="RI13" s="110">
        <v>0.5</v>
      </c>
      <c r="RJ13" s="110">
        <v>0.5</v>
      </c>
      <c r="RK13" s="110">
        <v>0.5</v>
      </c>
      <c r="RL13" s="110">
        <v>0.5</v>
      </c>
      <c r="RM13" s="110">
        <v>0.5</v>
      </c>
      <c r="RN13" s="111">
        <v>0.5</v>
      </c>
      <c r="RO13" s="114">
        <v>0.5</v>
      </c>
      <c r="RP13" s="112"/>
      <c r="RQ13" s="113"/>
      <c r="RR13" s="111">
        <v>0.5</v>
      </c>
      <c r="RS13" s="114">
        <v>0.5</v>
      </c>
      <c r="RT13" s="110">
        <v>0.5</v>
      </c>
      <c r="RU13" s="110">
        <v>0.5</v>
      </c>
      <c r="RV13" s="110">
        <v>0.5</v>
      </c>
      <c r="RW13" s="110">
        <v>0.5</v>
      </c>
      <c r="RX13" s="110">
        <v>0.5</v>
      </c>
      <c r="RY13" s="110">
        <v>0.5</v>
      </c>
      <c r="RZ13" s="110">
        <v>0.5</v>
      </c>
      <c r="SA13" s="115"/>
      <c r="SB13" s="115"/>
      <c r="SC13" s="115"/>
      <c r="SD13" s="115"/>
      <c r="SE13" s="116"/>
      <c r="SF13" s="117"/>
      <c r="SG13" s="116"/>
      <c r="SH13" s="103">
        <f>SUM(RF13:SG13)</f>
      </c>
      <c r="SI13" s="107"/>
      <c r="SJ13" s="108"/>
      <c r="SK13" s="109"/>
      <c r="SL13" s="110">
        <v>0.5</v>
      </c>
      <c r="SM13" s="110">
        <v>0.5</v>
      </c>
      <c r="SN13" s="110">
        <v>0.5</v>
      </c>
      <c r="SO13" s="110">
        <v>0.5</v>
      </c>
      <c r="SP13" s="110">
        <v>0.5</v>
      </c>
      <c r="SQ13" s="111">
        <v>0.5</v>
      </c>
      <c r="SR13" s="110">
        <v>0.5</v>
      </c>
      <c r="SS13" s="112"/>
      <c r="ST13" s="113"/>
      <c r="SU13" s="111">
        <v>0.5</v>
      </c>
      <c r="SV13" s="114">
        <v>0.5</v>
      </c>
      <c r="SW13" s="110">
        <v>0.5</v>
      </c>
      <c r="SX13" s="110">
        <v>0.5</v>
      </c>
      <c r="SY13" s="110">
        <v>0.5</v>
      </c>
      <c r="SZ13" s="110">
        <v>0.5</v>
      </c>
      <c r="TA13" s="110">
        <v>0.5</v>
      </c>
      <c r="TB13" s="110">
        <v>0.5</v>
      </c>
      <c r="TC13" s="110">
        <v>0.5</v>
      </c>
      <c r="TD13" s="115"/>
      <c r="TE13" s="115"/>
      <c r="TF13" s="115"/>
      <c r="TG13" s="115"/>
      <c r="TH13" s="116"/>
      <c r="TI13" s="117"/>
      <c r="TJ13" s="116"/>
      <c r="TK13" s="103">
        <f>SUM(SI13:TJ13)</f>
      </c>
      <c r="TL13" s="107"/>
      <c r="TM13" s="108"/>
      <c r="TN13" s="109"/>
      <c r="TO13" s="110">
        <v>0.5</v>
      </c>
      <c r="TP13" s="110">
        <v>0.5</v>
      </c>
      <c r="TQ13" s="110">
        <v>0.5</v>
      </c>
      <c r="TR13" s="110">
        <v>0.5</v>
      </c>
      <c r="TS13" s="110">
        <v>0.5</v>
      </c>
      <c r="TT13" s="111">
        <v>0.5</v>
      </c>
      <c r="TU13" s="110">
        <v>0.5</v>
      </c>
      <c r="TV13" s="112"/>
      <c r="TW13" s="113"/>
      <c r="TX13" s="111">
        <v>0.5</v>
      </c>
      <c r="TY13" s="114">
        <v>0.5</v>
      </c>
      <c r="TZ13" s="110">
        <v>0.5</v>
      </c>
      <c r="UA13" s="110">
        <v>0.5</v>
      </c>
      <c r="UB13" s="110">
        <v>0.5</v>
      </c>
      <c r="UC13" s="110">
        <v>0.5</v>
      </c>
      <c r="UD13" s="111">
        <v>0.5</v>
      </c>
      <c r="UE13" s="110">
        <v>0.5</v>
      </c>
      <c r="UF13" s="110">
        <v>0.5</v>
      </c>
      <c r="UG13" s="115"/>
      <c r="UH13" s="115"/>
      <c r="UI13" s="115"/>
      <c r="UJ13" s="115"/>
      <c r="UK13" s="116"/>
      <c r="UL13" s="117"/>
      <c r="UM13" s="116"/>
      <c r="UN13" s="103">
        <f>SUM(TL13:UM13)</f>
      </c>
      <c r="UO13" s="94"/>
      <c r="UP13" s="95"/>
      <c r="UQ13" s="96"/>
      <c r="UR13" s="97"/>
      <c r="US13" s="97"/>
      <c r="UT13" s="97"/>
      <c r="UU13" s="97"/>
      <c r="UV13" s="97"/>
      <c r="UW13" s="98"/>
      <c r="UX13" s="97"/>
      <c r="UY13" s="99"/>
      <c r="UZ13" s="98"/>
      <c r="VA13" s="98"/>
      <c r="VB13" s="100"/>
      <c r="VC13" s="97"/>
      <c r="VD13" s="97"/>
      <c r="VE13" s="97"/>
      <c r="VF13" s="97"/>
      <c r="VG13" s="97"/>
      <c r="VH13" s="97"/>
      <c r="VI13" s="97"/>
      <c r="VJ13" s="97"/>
      <c r="VK13" s="97"/>
      <c r="VL13" s="97"/>
      <c r="VM13" s="97"/>
      <c r="VN13" s="101"/>
      <c r="VO13" s="102"/>
      <c r="VP13" s="101"/>
      <c r="VQ13" s="103">
        <f>SUM(UO13:VP13)</f>
      </c>
      <c r="VR13" s="94"/>
      <c r="VS13" s="95"/>
      <c r="VT13" s="96"/>
      <c r="VU13" s="97"/>
      <c r="VV13" s="97"/>
      <c r="VW13" s="97"/>
      <c r="VX13" s="97"/>
      <c r="VY13" s="97"/>
      <c r="VZ13" s="98"/>
      <c r="WA13" s="97"/>
      <c r="WB13" s="99"/>
      <c r="WC13" s="98"/>
      <c r="WD13" s="98"/>
      <c r="WE13" s="100"/>
      <c r="WF13" s="97"/>
      <c r="WG13" s="97"/>
      <c r="WH13" s="97"/>
      <c r="WI13" s="97"/>
      <c r="WJ13" s="97"/>
      <c r="WK13" s="97"/>
      <c r="WL13" s="97"/>
      <c r="WM13" s="97"/>
      <c r="WN13" s="97"/>
      <c r="WO13" s="97"/>
      <c r="WP13" s="97"/>
      <c r="WQ13" s="101"/>
      <c r="WR13" s="102"/>
      <c r="WS13" s="101"/>
      <c r="WT13" s="103">
        <f>SUM(VR13:WS13)</f>
      </c>
      <c r="WU13" s="105">
        <f>QB13+RE13+SH13+TK13+UN13+VQ13+WT13</f>
      </c>
      <c r="WV13" s="106">
        <f>(COUNTIF(OZ13:WT13,"H")+COUNTIF(OZ13:WT13,"S")+COUNTIF(OZ13:WT13,"L")+COUNTIF(OZ13:WT13,"E")+COUNTIF(OZ13:WT13,"C"))/2</f>
      </c>
      <c r="WW13" s="103">
        <f>WU13+WV13</f>
      </c>
      <c r="WX13" s="107"/>
      <c r="WY13" s="108"/>
      <c r="WZ13" s="109"/>
      <c r="XA13" s="110">
        <v>0.5</v>
      </c>
      <c r="XB13" s="110">
        <v>0.5</v>
      </c>
      <c r="XC13" s="110">
        <v>0.5</v>
      </c>
      <c r="XD13" s="110">
        <v>0.5</v>
      </c>
      <c r="XE13" s="110">
        <v>0.5</v>
      </c>
      <c r="XF13" s="111">
        <v>0.5</v>
      </c>
      <c r="XG13" s="110">
        <v>0.5</v>
      </c>
      <c r="XH13" s="112"/>
      <c r="XI13" s="113"/>
      <c r="XJ13" s="111">
        <v>0.5</v>
      </c>
      <c r="XK13" s="114">
        <v>0.5</v>
      </c>
      <c r="XL13" s="110">
        <v>0.5</v>
      </c>
      <c r="XM13" s="110">
        <v>0.5</v>
      </c>
      <c r="XN13" s="110">
        <v>0.5</v>
      </c>
      <c r="XO13" s="110">
        <v>0.5</v>
      </c>
      <c r="XP13" s="110">
        <v>0.5</v>
      </c>
      <c r="XQ13" s="110">
        <v>0.5</v>
      </c>
      <c r="XR13" s="110">
        <v>0.5</v>
      </c>
      <c r="XS13" s="115"/>
      <c r="XT13" s="115"/>
      <c r="XU13" s="115"/>
      <c r="XV13" s="115"/>
      <c r="XW13" s="116"/>
      <c r="XX13" s="117"/>
      <c r="XY13" s="116"/>
      <c r="XZ13" s="103">
        <f>SUM(WX13:XY13)</f>
      </c>
      <c r="YA13" s="107"/>
      <c r="YB13" s="108"/>
      <c r="YC13" s="109"/>
      <c r="YD13" s="110">
        <v>0.5</v>
      </c>
      <c r="YE13" s="110">
        <v>0.5</v>
      </c>
      <c r="YF13" s="110">
        <v>0.5</v>
      </c>
      <c r="YG13" s="110">
        <v>0.5</v>
      </c>
      <c r="YH13" s="110">
        <v>0.5</v>
      </c>
      <c r="YI13" s="111">
        <v>0.5</v>
      </c>
      <c r="YJ13" s="110">
        <v>0.5</v>
      </c>
      <c r="YK13" s="112"/>
      <c r="YL13" s="113"/>
      <c r="YM13" s="111">
        <v>0.5</v>
      </c>
      <c r="YN13" s="114">
        <v>0.5</v>
      </c>
      <c r="YO13" s="110">
        <v>0.5</v>
      </c>
      <c r="YP13" s="110">
        <v>0.5</v>
      </c>
      <c r="YQ13" s="110">
        <v>0.5</v>
      </c>
      <c r="YR13" s="110">
        <v>0.5</v>
      </c>
      <c r="YS13" s="110">
        <v>0.5</v>
      </c>
      <c r="YT13" s="110">
        <v>0.5</v>
      </c>
      <c r="YU13" s="110">
        <v>0.5</v>
      </c>
      <c r="YV13" s="115"/>
      <c r="YW13" s="115"/>
      <c r="YX13" s="115"/>
      <c r="YY13" s="115"/>
      <c r="YZ13" s="116"/>
      <c r="ZA13" s="117"/>
      <c r="ZB13" s="116"/>
      <c r="ZC13" s="103">
        <f>SUM(YA13:ZB13)</f>
      </c>
      <c r="ZD13" s="107"/>
      <c r="ZE13" s="108"/>
      <c r="ZF13" s="109"/>
      <c r="ZG13" s="110">
        <v>0.5</v>
      </c>
      <c r="ZH13" s="110">
        <v>0.5</v>
      </c>
      <c r="ZI13" s="110">
        <v>0.5</v>
      </c>
      <c r="ZJ13" s="110">
        <v>0.5</v>
      </c>
      <c r="ZK13" s="110">
        <v>0.5</v>
      </c>
      <c r="ZL13" s="111">
        <v>0.5</v>
      </c>
      <c r="ZM13" s="110">
        <v>0.5</v>
      </c>
      <c r="ZN13" s="112"/>
      <c r="ZO13" s="113"/>
      <c r="ZP13" s="111">
        <v>0.5</v>
      </c>
      <c r="ZQ13" s="114">
        <v>0.5</v>
      </c>
      <c r="ZR13" s="110">
        <v>0.5</v>
      </c>
      <c r="ZS13" s="110">
        <v>0.5</v>
      </c>
      <c r="ZT13" s="110">
        <v>0.5</v>
      </c>
      <c r="ZU13" s="110">
        <v>0.5</v>
      </c>
      <c r="ZV13" s="110">
        <v>0.5</v>
      </c>
      <c r="ZW13" s="110">
        <v>0.5</v>
      </c>
      <c r="ZX13" s="110">
        <v>0.5</v>
      </c>
      <c r="ZY13" s="115"/>
      <c r="ZZ13" s="115"/>
      <c r="AAA13" s="115"/>
      <c r="AAB13" s="115"/>
      <c r="AAC13" s="116"/>
      <c r="AAD13" s="117"/>
      <c r="AAE13" s="116"/>
      <c r="AAF13" s="103">
        <f>SUM(ZD13:AAE13)</f>
      </c>
      <c r="AAG13" s="107"/>
      <c r="AAH13" s="108"/>
      <c r="AAI13" s="109"/>
      <c r="AAJ13" s="110">
        <v>0.5</v>
      </c>
      <c r="AAK13" s="110">
        <v>0.5</v>
      </c>
      <c r="AAL13" s="110">
        <v>0.5</v>
      </c>
      <c r="AAM13" s="110">
        <v>0.5</v>
      </c>
      <c r="AAN13" s="110">
        <v>0.5</v>
      </c>
      <c r="AAO13" s="111">
        <v>0.5</v>
      </c>
      <c r="AAP13" s="110">
        <v>0.5</v>
      </c>
      <c r="AAQ13" s="112"/>
      <c r="AAR13" s="113"/>
      <c r="AAS13" s="111">
        <v>0.5</v>
      </c>
      <c r="AAT13" s="114">
        <v>0.5</v>
      </c>
      <c r="AAU13" s="110">
        <v>0.5</v>
      </c>
      <c r="AAV13" s="110">
        <v>0.5</v>
      </c>
      <c r="AAW13" s="110">
        <v>0.5</v>
      </c>
      <c r="AAX13" s="110">
        <v>0.5</v>
      </c>
      <c r="AAY13" s="110">
        <v>0.5</v>
      </c>
      <c r="AAZ13" s="110">
        <v>0.5</v>
      </c>
      <c r="ABA13" s="110">
        <v>0.5</v>
      </c>
      <c r="ABB13" s="115"/>
      <c r="ABC13" s="115"/>
      <c r="ABD13" s="115"/>
      <c r="ABE13" s="115"/>
      <c r="ABF13" s="116"/>
      <c r="ABG13" s="117"/>
      <c r="ABH13" s="116"/>
      <c r="ABI13" s="103">
        <f>SUM(AAG13:ABH13)</f>
      </c>
      <c r="ABJ13" s="107"/>
      <c r="ABK13" s="108"/>
      <c r="ABL13" s="109"/>
      <c r="ABM13" s="110">
        <v>0.5</v>
      </c>
      <c r="ABN13" s="110">
        <v>0.5</v>
      </c>
      <c r="ABO13" s="110">
        <v>0.5</v>
      </c>
      <c r="ABP13" s="110">
        <v>0.5</v>
      </c>
      <c r="ABQ13" s="110">
        <v>0.5</v>
      </c>
      <c r="ABR13" s="111">
        <v>0.5</v>
      </c>
      <c r="ABS13" s="110">
        <v>0.5</v>
      </c>
      <c r="ABT13" s="112"/>
      <c r="ABU13" s="113"/>
      <c r="ABV13" s="111">
        <v>0.5</v>
      </c>
      <c r="ABW13" s="114">
        <v>0.5</v>
      </c>
      <c r="ABX13" s="110">
        <v>0.5</v>
      </c>
      <c r="ABY13" s="110">
        <v>0.5</v>
      </c>
      <c r="ABZ13" s="110">
        <v>0.5</v>
      </c>
      <c r="ACA13" s="110">
        <v>0.5</v>
      </c>
      <c r="ACB13" s="110">
        <v>0.5</v>
      </c>
      <c r="ACC13" s="110">
        <v>0.5</v>
      </c>
      <c r="ACD13" s="110">
        <v>0.5</v>
      </c>
      <c r="ACE13" s="115"/>
      <c r="ACF13" s="115"/>
      <c r="ACG13" s="115"/>
      <c r="ACH13" s="115"/>
      <c r="ACI13" s="116"/>
      <c r="ACJ13" s="117"/>
      <c r="ACK13" s="108"/>
      <c r="ACL13" s="103">
        <f>SUM(ABJ13:ACK13)</f>
      </c>
      <c r="ACM13" s="94"/>
      <c r="ACN13" s="95"/>
      <c r="ACO13" s="96"/>
      <c r="ACP13" s="97"/>
      <c r="ACQ13" s="97"/>
      <c r="ACR13" s="97"/>
      <c r="ACS13" s="97"/>
      <c r="ACT13" s="97"/>
      <c r="ACU13" s="98"/>
      <c r="ACV13" s="97"/>
      <c r="ACW13" s="99"/>
      <c r="ACX13" s="98"/>
      <c r="ACY13" s="98"/>
      <c r="ACZ13" s="100"/>
      <c r="ADA13" s="97"/>
      <c r="ADB13" s="97"/>
      <c r="ADC13" s="97"/>
      <c r="ADD13" s="97"/>
      <c r="ADE13" s="97"/>
      <c r="ADF13" s="97"/>
      <c r="ADG13" s="97"/>
      <c r="ADH13" s="97"/>
      <c r="ADI13" s="97"/>
      <c r="ADJ13" s="97"/>
      <c r="ADK13" s="97"/>
      <c r="ADL13" s="101"/>
      <c r="ADM13" s="102"/>
      <c r="ADN13" s="95"/>
      <c r="ADO13" s="103">
        <f>SUM(ACM13:ADN13)</f>
      </c>
      <c r="ADP13" s="94"/>
      <c r="ADQ13" s="95"/>
      <c r="ADR13" s="96"/>
      <c r="ADS13" s="97"/>
      <c r="ADT13" s="97"/>
      <c r="ADU13" s="97"/>
      <c r="ADV13" s="97"/>
      <c r="ADW13" s="97"/>
      <c r="ADX13" s="98"/>
      <c r="ADY13" s="97"/>
      <c r="ADZ13" s="99"/>
      <c r="AEA13" s="98"/>
      <c r="AEB13" s="98"/>
      <c r="AEC13" s="100"/>
      <c r="AED13" s="97"/>
      <c r="AEE13" s="97"/>
      <c r="AEF13" s="97"/>
      <c r="AEG13" s="97"/>
      <c r="AEH13" s="97"/>
      <c r="AEI13" s="97"/>
      <c r="AEJ13" s="97"/>
      <c r="AEK13" s="97"/>
      <c r="AEL13" s="97"/>
      <c r="AEM13" s="97"/>
      <c r="AEN13" s="97"/>
      <c r="AEO13" s="101"/>
      <c r="AEP13" s="102"/>
      <c r="AEQ13" s="101"/>
      <c r="AER13" s="103">
        <f>SUM(ADP13:AEQ13)</f>
      </c>
      <c r="AES13" s="105">
        <f>XZ13+ZC13+AAF13+ABI13+ACL13+ADO13+AER13</f>
      </c>
      <c r="AET13" s="106">
        <f>(COUNTIF(WX13:AER13,"H")+COUNTIF(WX13:AER13,"S")+COUNTIF(WX13:AER13,"L")+COUNTIF(WX13:AER13,"E")+COUNTIF(WX13:AER13,"C"))/2</f>
      </c>
      <c r="AEU13" s="103">
        <f>AES13+AET13</f>
      </c>
      <c r="AEV13" s="107"/>
      <c r="AEW13" s="108"/>
      <c r="AEX13" s="109"/>
      <c r="AEY13" s="110">
        <v>0.5</v>
      </c>
      <c r="AEZ13" s="110">
        <v>0.5</v>
      </c>
      <c r="AFA13" s="110">
        <v>0.5</v>
      </c>
      <c r="AFB13" s="110">
        <v>0.5</v>
      </c>
      <c r="AFC13" s="110">
        <v>0.5</v>
      </c>
      <c r="AFD13" s="111">
        <v>0.5</v>
      </c>
      <c r="AFE13" s="110">
        <v>0.5</v>
      </c>
      <c r="AFF13" s="112"/>
      <c r="AFG13" s="113"/>
      <c r="AFH13" s="111">
        <v>0.5</v>
      </c>
      <c r="AFI13" s="114">
        <v>0.5</v>
      </c>
      <c r="AFJ13" s="110">
        <v>0.5</v>
      </c>
      <c r="AFK13" s="110">
        <v>0.5</v>
      </c>
      <c r="AFL13" s="110">
        <v>0.5</v>
      </c>
      <c r="AFM13" s="110">
        <v>0.5</v>
      </c>
      <c r="AFN13" s="110">
        <v>0.5</v>
      </c>
      <c r="AFO13" s="110">
        <v>0.5</v>
      </c>
      <c r="AFP13" s="110">
        <v>0.5</v>
      </c>
      <c r="AFQ13" s="115"/>
      <c r="AFR13" s="115"/>
      <c r="AFS13" s="115"/>
      <c r="AFT13" s="115"/>
      <c r="AFU13" s="116"/>
      <c r="AFV13" s="117"/>
      <c r="AFW13" s="116"/>
      <c r="AFX13" s="103">
        <f>SUM(AEV13:AFW13)</f>
      </c>
      <c r="AFY13" s="107"/>
      <c r="AFZ13" s="108"/>
      <c r="AGA13" s="109"/>
      <c r="AGB13" s="110">
        <v>0.5</v>
      </c>
      <c r="AGC13" s="110">
        <v>0.5</v>
      </c>
      <c r="AGD13" s="110">
        <v>0.5</v>
      </c>
      <c r="AGE13" s="110">
        <v>0.5</v>
      </c>
      <c r="AGF13" s="110">
        <v>0.5</v>
      </c>
      <c r="AGG13" s="111">
        <v>0.5</v>
      </c>
      <c r="AGH13" s="110">
        <v>0.5</v>
      </c>
      <c r="AGI13" s="112"/>
      <c r="AGJ13" s="113"/>
      <c r="AGK13" s="111">
        <v>0.5</v>
      </c>
      <c r="AGL13" s="114">
        <v>0.5</v>
      </c>
      <c r="AGM13" s="110">
        <v>0.5</v>
      </c>
      <c r="AGN13" s="110">
        <v>0.5</v>
      </c>
      <c r="AGO13" s="110">
        <v>0.5</v>
      </c>
      <c r="AGP13" s="110">
        <v>0.5</v>
      </c>
      <c r="AGQ13" s="110">
        <v>0.5</v>
      </c>
      <c r="AGR13" s="110">
        <v>0.5</v>
      </c>
      <c r="AGS13" s="110">
        <v>0.5</v>
      </c>
      <c r="AGT13" s="115"/>
      <c r="AGU13" s="115"/>
      <c r="AGV13" s="115"/>
      <c r="AGW13" s="115"/>
      <c r="AGX13" s="116"/>
      <c r="AGY13" s="117"/>
      <c r="AGZ13" s="116"/>
      <c r="AHA13" s="103">
        <f>SUM(AFY13:AGZ13)</f>
      </c>
      <c r="AHB13" s="107"/>
      <c r="AHC13" s="108"/>
      <c r="AHD13" s="109"/>
      <c r="AHE13" s="110">
        <v>0.5</v>
      </c>
      <c r="AHF13" s="110">
        <v>0.5</v>
      </c>
      <c r="AHG13" s="110">
        <v>0.5</v>
      </c>
      <c r="AHH13" s="110">
        <v>0.5</v>
      </c>
      <c r="AHI13" s="110">
        <v>0.5</v>
      </c>
      <c r="AHJ13" s="111">
        <v>0.5</v>
      </c>
      <c r="AHK13" s="110">
        <v>0.5</v>
      </c>
      <c r="AHL13" s="112"/>
      <c r="AHM13" s="113"/>
      <c r="AHN13" s="111">
        <v>0.5</v>
      </c>
      <c r="AHO13" s="114">
        <v>0.5</v>
      </c>
      <c r="AHP13" s="110">
        <v>0.5</v>
      </c>
      <c r="AHQ13" s="110">
        <v>0.5</v>
      </c>
      <c r="AHR13" s="110">
        <v>0.5</v>
      </c>
      <c r="AHS13" s="110">
        <v>0.5</v>
      </c>
      <c r="AHT13" s="110">
        <v>0.5</v>
      </c>
      <c r="AHU13" s="110">
        <v>0.5</v>
      </c>
      <c r="AHV13" s="110">
        <v>0.5</v>
      </c>
      <c r="AHW13" s="115"/>
      <c r="AHX13" s="115"/>
      <c r="AHY13" s="115"/>
      <c r="AHZ13" s="115"/>
      <c r="AIA13" s="116"/>
      <c r="AIB13" s="117"/>
      <c r="AIC13" s="116"/>
      <c r="AID13" s="103">
        <f>SUM(AHB13:AIC13)</f>
      </c>
      <c r="AIE13" s="107"/>
      <c r="AIF13" s="108"/>
      <c r="AIG13" s="109"/>
      <c r="AIH13" s="110">
        <v>0.5</v>
      </c>
      <c r="AII13" s="110">
        <v>0.5</v>
      </c>
      <c r="AIJ13" s="110">
        <v>0.5</v>
      </c>
      <c r="AIK13" s="110">
        <v>0.5</v>
      </c>
      <c r="AIL13" s="110">
        <v>0.5</v>
      </c>
      <c r="AIM13" s="111">
        <v>0.5</v>
      </c>
      <c r="AIN13" s="110">
        <v>0.5</v>
      </c>
      <c r="AIO13" s="112"/>
      <c r="AIP13" s="113"/>
      <c r="AIQ13" s="111">
        <v>0.5</v>
      </c>
      <c r="AIR13" s="114">
        <v>0.5</v>
      </c>
      <c r="AIS13" s="110">
        <v>0.5</v>
      </c>
      <c r="AIT13" s="110">
        <v>0.5</v>
      </c>
      <c r="AIU13" s="110">
        <v>0.5</v>
      </c>
      <c r="AIV13" s="110">
        <v>0.5</v>
      </c>
      <c r="AIW13" s="110">
        <v>0.5</v>
      </c>
      <c r="AIX13" s="110">
        <v>0.5</v>
      </c>
      <c r="AIY13" s="110">
        <v>0.5</v>
      </c>
      <c r="AIZ13" s="115"/>
      <c r="AJA13" s="115"/>
      <c r="AJB13" s="115"/>
      <c r="AJC13" s="115"/>
      <c r="AJD13" s="116"/>
      <c r="AJE13" s="117"/>
      <c r="AJF13" s="116"/>
      <c r="AJG13" s="103">
        <f>SUM(AIE13:AJF13)</f>
      </c>
      <c r="AJH13" s="107"/>
      <c r="AJI13" s="108"/>
      <c r="AJJ13" s="109"/>
      <c r="AJK13" s="110">
        <v>0.5</v>
      </c>
      <c r="AJL13" s="110">
        <v>0.5</v>
      </c>
      <c r="AJM13" s="110">
        <v>0.5</v>
      </c>
      <c r="AJN13" s="110">
        <v>0.5</v>
      </c>
      <c r="AJO13" s="110">
        <v>0.5</v>
      </c>
      <c r="AJP13" s="111">
        <v>0.5</v>
      </c>
      <c r="AJQ13" s="110">
        <v>0.5</v>
      </c>
      <c r="AJR13" s="112"/>
      <c r="AJS13" s="113"/>
      <c r="AJT13" s="111">
        <v>0.5</v>
      </c>
      <c r="AJU13" s="114">
        <v>0.5</v>
      </c>
      <c r="AJV13" s="110">
        <v>0.5</v>
      </c>
      <c r="AJW13" s="110">
        <v>0.5</v>
      </c>
      <c r="AJX13" s="110">
        <v>0.5</v>
      </c>
      <c r="AJY13" s="110">
        <v>0.5</v>
      </c>
      <c r="AJZ13" s="110">
        <v>0.5</v>
      </c>
      <c r="AKA13" s="110">
        <v>0.5</v>
      </c>
      <c r="AKB13" s="110">
        <v>0.5</v>
      </c>
      <c r="AKC13" s="115"/>
      <c r="AKD13" s="115"/>
      <c r="AKE13" s="115"/>
      <c r="AKF13" s="115"/>
      <c r="AKG13" s="116"/>
      <c r="AKH13" s="117"/>
      <c r="AKI13" s="116"/>
      <c r="AKJ13" s="103">
        <f>SUM(AJH13:AKI13)</f>
      </c>
      <c r="AKK13" s="94"/>
      <c r="AKL13" s="95"/>
      <c r="AKM13" s="96"/>
      <c r="AKN13" s="97"/>
      <c r="AKO13" s="97"/>
      <c r="AKP13" s="97"/>
      <c r="AKQ13" s="97"/>
      <c r="AKR13" s="97"/>
      <c r="AKS13" s="98"/>
      <c r="AKT13" s="97"/>
      <c r="AKU13" s="99"/>
      <c r="AKV13" s="98"/>
      <c r="AKW13" s="98"/>
      <c r="AKX13" s="100"/>
      <c r="AKY13" s="97"/>
      <c r="AKZ13" s="97"/>
      <c r="ALA13" s="97"/>
      <c r="ALB13" s="97"/>
      <c r="ALC13" s="97"/>
      <c r="ALD13" s="97"/>
      <c r="ALE13" s="97"/>
      <c r="ALF13" s="97"/>
      <c r="ALG13" s="97"/>
      <c r="ALH13" s="97"/>
      <c r="ALI13" s="97"/>
      <c r="ALJ13" s="101"/>
      <c r="ALK13" s="102"/>
      <c r="ALL13" s="101"/>
      <c r="ALM13" s="103">
        <f>SUM(AKK13:ALL13)</f>
      </c>
      <c r="ALN13" s="94"/>
      <c r="ALO13" s="95"/>
      <c r="ALP13" s="104"/>
      <c r="ALQ13" s="97"/>
      <c r="ALR13" s="97"/>
      <c r="ALS13" s="97"/>
      <c r="ALT13" s="97"/>
      <c r="ALU13" s="97"/>
      <c r="ALV13" s="98"/>
      <c r="ALW13" s="97"/>
      <c r="ALX13" s="99"/>
      <c r="ALY13" s="98"/>
      <c r="ALZ13" s="98"/>
      <c r="AMA13" s="100"/>
      <c r="AMB13" s="97"/>
      <c r="AMC13" s="97"/>
      <c r="AMD13" s="97"/>
      <c r="AME13" s="97"/>
      <c r="AMF13" s="97"/>
      <c r="AMG13" s="97"/>
      <c r="AMH13" s="97"/>
      <c r="AMI13" s="97"/>
      <c r="AMJ13" s="97"/>
      <c r="AMK13" s="97"/>
      <c r="AML13" s="97"/>
      <c r="AMM13" s="101"/>
      <c r="AMN13" s="102"/>
      <c r="AMO13" s="101"/>
      <c r="AMP13" s="103">
        <f>SUM(ALN13:AMO13)</f>
      </c>
      <c r="AMQ13" s="105">
        <f>AFX13+AHA13+AID13+AJG13+AKJ13+ALM13+AMP13</f>
      </c>
      <c r="AMR13" s="106">
        <f>(COUNTIF(AEV13:AMP13,"H")+COUNTIF(AEV13:AMP13,"S")+COUNTIF(AEV13:AMP13,"L")+COUNTIF(AEV13:AMP13,"E")+COUNTIF(AEV13:AMP13,"C"))/2</f>
      </c>
      <c r="AMS13" s="103">
        <f>AMQ13+AMR13</f>
      </c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13"/>
      <c r="ANK13" s="13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</row>
    <row r="14" ht="15" customHeight="1" spans="1:1191" x14ac:dyDescent="0.25">
      <c r="A14" s="118"/>
      <c r="B14" s="119" t="s">
        <v>51</v>
      </c>
      <c r="C14" s="120" t="s">
        <v>52</v>
      </c>
      <c r="D14" s="121"/>
      <c r="E14" s="122"/>
      <c r="F14" s="123"/>
      <c r="G14" s="124"/>
      <c r="H14" s="124"/>
      <c r="I14" s="124"/>
      <c r="J14" s="124"/>
      <c r="K14" s="124"/>
      <c r="L14" s="124"/>
      <c r="M14" s="125"/>
      <c r="N14" s="126"/>
      <c r="O14" s="124"/>
      <c r="P14" s="124"/>
      <c r="Q14" s="127"/>
      <c r="R14" s="123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8"/>
      <c r="AD14" s="129"/>
      <c r="AE14" s="128"/>
      <c r="AF14" s="130">
        <f>SUM(D14:AE14)</f>
      </c>
      <c r="AG14" s="121"/>
      <c r="AH14" s="122"/>
      <c r="AI14" s="123"/>
      <c r="AJ14" s="124"/>
      <c r="AK14" s="124"/>
      <c r="AL14" s="124"/>
      <c r="AM14" s="124"/>
      <c r="AN14" s="124"/>
      <c r="AO14" s="124"/>
      <c r="AP14" s="125"/>
      <c r="AQ14" s="126"/>
      <c r="AR14" s="124"/>
      <c r="AS14" s="124"/>
      <c r="AT14" s="127"/>
      <c r="AU14" s="123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8"/>
      <c r="BG14" s="129"/>
      <c r="BH14" s="128"/>
      <c r="BI14" s="130">
        <f>SUM(AG14:BH14)</f>
      </c>
      <c r="BJ14" s="121"/>
      <c r="BK14" s="122"/>
      <c r="BL14" s="123"/>
      <c r="BM14" s="124"/>
      <c r="BN14" s="124"/>
      <c r="BO14" s="124"/>
      <c r="BP14" s="124"/>
      <c r="BQ14" s="124"/>
      <c r="BR14" s="124"/>
      <c r="BS14" s="125"/>
      <c r="BT14" s="126"/>
      <c r="BU14" s="124"/>
      <c r="BV14" s="124"/>
      <c r="BW14" s="127"/>
      <c r="BX14" s="123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8"/>
      <c r="CJ14" s="129"/>
      <c r="CK14" s="128"/>
      <c r="CL14" s="130">
        <f>SUM(BJ14:CK14)</f>
      </c>
      <c r="CM14" s="121"/>
      <c r="CN14" s="122"/>
      <c r="CO14" s="123"/>
      <c r="CP14" s="124"/>
      <c r="CQ14" s="124"/>
      <c r="CR14" s="124"/>
      <c r="CS14" s="124"/>
      <c r="CT14" s="124"/>
      <c r="CU14" s="124"/>
      <c r="CV14" s="125"/>
      <c r="CW14" s="126"/>
      <c r="CX14" s="124"/>
      <c r="CY14" s="124"/>
      <c r="CZ14" s="127"/>
      <c r="DA14" s="123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8"/>
      <c r="DM14" s="129"/>
      <c r="DN14" s="128"/>
      <c r="DO14" s="130">
        <f>SUM(CM14:DN14)</f>
      </c>
      <c r="DP14" s="121"/>
      <c r="DQ14" s="122"/>
      <c r="DR14" s="123"/>
      <c r="DS14" s="124"/>
      <c r="DT14" s="124"/>
      <c r="DU14" s="124"/>
      <c r="DV14" s="124"/>
      <c r="DW14" s="124"/>
      <c r="DX14" s="124"/>
      <c r="DY14" s="125"/>
      <c r="DZ14" s="126"/>
      <c r="EA14" s="124"/>
      <c r="EB14" s="124"/>
      <c r="EC14" s="127"/>
      <c r="ED14" s="123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8"/>
      <c r="EP14" s="129"/>
      <c r="EQ14" s="128"/>
      <c r="ER14" s="130">
        <f>SUM(DP14:EQ14)</f>
      </c>
      <c r="ES14" s="121"/>
      <c r="ET14" s="122"/>
      <c r="EU14" s="123"/>
      <c r="EV14" s="124"/>
      <c r="EW14" s="124"/>
      <c r="EX14" s="124"/>
      <c r="EY14" s="124"/>
      <c r="EZ14" s="124"/>
      <c r="FA14" s="124"/>
      <c r="FB14" s="125"/>
      <c r="FC14" s="126"/>
      <c r="FD14" s="124"/>
      <c r="FE14" s="124"/>
      <c r="FF14" s="127"/>
      <c r="FG14" s="123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8"/>
      <c r="FS14" s="129"/>
      <c r="FT14" s="128"/>
      <c r="FU14" s="131">
        <f>SUM(ES14:FT14)</f>
      </c>
      <c r="FV14" s="121"/>
      <c r="FW14" s="122"/>
      <c r="FX14" s="123"/>
      <c r="FY14" s="124"/>
      <c r="FZ14" s="124"/>
      <c r="GA14" s="124"/>
      <c r="GB14" s="124"/>
      <c r="GC14" s="124"/>
      <c r="GD14" s="124"/>
      <c r="GE14" s="125"/>
      <c r="GF14" s="126"/>
      <c r="GG14" s="124"/>
      <c r="GH14" s="124"/>
      <c r="GI14" s="127"/>
      <c r="GJ14" s="123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8"/>
      <c r="GV14" s="129"/>
      <c r="GW14" s="128"/>
      <c r="GX14" s="131">
        <f>SUM(FV14:GW14)</f>
      </c>
      <c r="GY14" s="132">
        <f>AF14+BI14+CL14+DO14+ER14+FU14+GX14</f>
      </c>
      <c r="GZ14" s="133">
        <f>(COUNTIF(D14:GX14,"H")+COUNTIF(D14:GX14,"S")+COUNTIF(D14:GX14,"L")+COUNTIF(D14:GX14,"E")+COUNTIF(D14:GX14,"C"))/2</f>
      </c>
      <c r="HA14" s="130">
        <f>GY14+GZ14</f>
      </c>
      <c r="HB14" s="134"/>
      <c r="HC14" s="135"/>
      <c r="HD14" s="136"/>
      <c r="HE14" s="137"/>
      <c r="HF14" s="137"/>
      <c r="HG14" s="137"/>
      <c r="HH14" s="137"/>
      <c r="HI14" s="137"/>
      <c r="HJ14" s="138">
        <v>0.5</v>
      </c>
      <c r="HK14" s="139">
        <v>0.5</v>
      </c>
      <c r="HL14" s="140">
        <v>0.5</v>
      </c>
      <c r="HM14" s="138">
        <v>0.5</v>
      </c>
      <c r="HN14" s="137"/>
      <c r="HO14" s="141"/>
      <c r="HP14" s="142">
        <v>0.5</v>
      </c>
      <c r="HQ14" s="138">
        <v>0.5</v>
      </c>
      <c r="HR14" s="143">
        <v>0.5</v>
      </c>
      <c r="HS14" s="143">
        <v>0.5</v>
      </c>
      <c r="HT14" s="143">
        <v>0.5</v>
      </c>
      <c r="HU14" s="143">
        <v>0.5</v>
      </c>
      <c r="HV14" s="143">
        <v>0.5</v>
      </c>
      <c r="HW14" s="143">
        <v>0.5</v>
      </c>
      <c r="HX14" s="143">
        <v>0.5</v>
      </c>
      <c r="HY14" s="143">
        <v>0.5</v>
      </c>
      <c r="HZ14" s="143">
        <v>0.5</v>
      </c>
      <c r="IA14" s="144">
        <v>0.5</v>
      </c>
      <c r="IB14" s="145"/>
      <c r="IC14" s="146"/>
      <c r="ID14" s="131">
        <f>SUM(HB14:IC14)</f>
      </c>
      <c r="IE14" s="134"/>
      <c r="IF14" s="135"/>
      <c r="IG14" s="136"/>
      <c r="IH14" s="137"/>
      <c r="II14" s="137"/>
      <c r="IJ14" s="137"/>
      <c r="IK14" s="137"/>
      <c r="IL14" s="137"/>
      <c r="IM14" s="138">
        <v>0.5</v>
      </c>
      <c r="IN14" s="139">
        <v>0.5</v>
      </c>
      <c r="IO14" s="140">
        <v>0.5</v>
      </c>
      <c r="IP14" s="138">
        <v>0.5</v>
      </c>
      <c r="IQ14" s="137"/>
      <c r="IR14" s="141"/>
      <c r="IS14" s="142">
        <v>0.5</v>
      </c>
      <c r="IT14" s="138">
        <v>0.5</v>
      </c>
      <c r="IU14" s="143">
        <v>0.5</v>
      </c>
      <c r="IV14" s="143">
        <v>0.5</v>
      </c>
      <c r="IW14" s="143">
        <v>0.5</v>
      </c>
      <c r="IX14" s="143">
        <v>0.5</v>
      </c>
      <c r="IY14" s="143">
        <v>0.5</v>
      </c>
      <c r="IZ14" s="143">
        <v>0.5</v>
      </c>
      <c r="JA14" s="143">
        <v>0.5</v>
      </c>
      <c r="JB14" s="143">
        <v>0.5</v>
      </c>
      <c r="JC14" s="143">
        <v>0.5</v>
      </c>
      <c r="JD14" s="144">
        <v>0.5</v>
      </c>
      <c r="JE14" s="145"/>
      <c r="JF14" s="146"/>
      <c r="JG14" s="131">
        <f>SUM(IE14:JF14)</f>
      </c>
      <c r="JH14" s="134"/>
      <c r="JI14" s="135"/>
      <c r="JJ14" s="136"/>
      <c r="JK14" s="137"/>
      <c r="JL14" s="137"/>
      <c r="JM14" s="137"/>
      <c r="JN14" s="137"/>
      <c r="JO14" s="137"/>
      <c r="JP14" s="138">
        <v>0.5</v>
      </c>
      <c r="JQ14" s="139">
        <v>0.5</v>
      </c>
      <c r="JR14" s="140">
        <v>0.5</v>
      </c>
      <c r="JS14" s="138">
        <v>0.5</v>
      </c>
      <c r="JT14" s="137"/>
      <c r="JU14" s="141"/>
      <c r="JV14" s="142">
        <v>0.5</v>
      </c>
      <c r="JW14" s="138">
        <v>0.5</v>
      </c>
      <c r="JX14" s="143">
        <v>0.5</v>
      </c>
      <c r="JY14" s="143">
        <v>0.5</v>
      </c>
      <c r="JZ14" s="143">
        <v>0.5</v>
      </c>
      <c r="KA14" s="143">
        <v>0.5</v>
      </c>
      <c r="KB14" s="143">
        <v>0.5</v>
      </c>
      <c r="KC14" s="143">
        <v>0.5</v>
      </c>
      <c r="KD14" s="143">
        <v>0.5</v>
      </c>
      <c r="KE14" s="143">
        <v>0.5</v>
      </c>
      <c r="KF14" s="143">
        <v>0.5</v>
      </c>
      <c r="KG14" s="144">
        <v>0.5</v>
      </c>
      <c r="KH14" s="145"/>
      <c r="KI14" s="146"/>
      <c r="KJ14" s="131">
        <f>SUM(JH14:KI14)</f>
      </c>
      <c r="KK14" s="134"/>
      <c r="KL14" s="135"/>
      <c r="KM14" s="136"/>
      <c r="KN14" s="137"/>
      <c r="KO14" s="137"/>
      <c r="KP14" s="137"/>
      <c r="KQ14" s="137"/>
      <c r="KR14" s="137"/>
      <c r="KS14" s="138">
        <v>0.5</v>
      </c>
      <c r="KT14" s="139">
        <v>0.5</v>
      </c>
      <c r="KU14" s="140">
        <v>0.5</v>
      </c>
      <c r="KV14" s="138">
        <v>0.5</v>
      </c>
      <c r="KW14" s="137"/>
      <c r="KX14" s="141"/>
      <c r="KY14" s="142">
        <v>0.5</v>
      </c>
      <c r="KZ14" s="138">
        <v>0.5</v>
      </c>
      <c r="LA14" s="143">
        <v>0.5</v>
      </c>
      <c r="LB14" s="143">
        <v>0.5</v>
      </c>
      <c r="LC14" s="143">
        <v>0.5</v>
      </c>
      <c r="LD14" s="143">
        <v>0.5</v>
      </c>
      <c r="LE14" s="143">
        <v>0.5</v>
      </c>
      <c r="LF14" s="143">
        <v>0.5</v>
      </c>
      <c r="LG14" s="143">
        <v>0.5</v>
      </c>
      <c r="LH14" s="143">
        <v>0.5</v>
      </c>
      <c r="LI14" s="143">
        <v>0.5</v>
      </c>
      <c r="LJ14" s="144">
        <v>0.5</v>
      </c>
      <c r="LK14" s="145"/>
      <c r="LL14" s="146"/>
      <c r="LM14" s="131">
        <f>SUM(KK14:LL14)</f>
      </c>
      <c r="LN14" s="134"/>
      <c r="LO14" s="135"/>
      <c r="LP14" s="136"/>
      <c r="LQ14" s="137"/>
      <c r="LR14" s="137"/>
      <c r="LS14" s="137"/>
      <c r="LT14" s="137"/>
      <c r="LU14" s="137"/>
      <c r="LV14" s="138">
        <v>0.5</v>
      </c>
      <c r="LW14" s="139">
        <v>0.5</v>
      </c>
      <c r="LX14" s="140">
        <v>0.5</v>
      </c>
      <c r="LY14" s="138">
        <v>0.5</v>
      </c>
      <c r="LZ14" s="137"/>
      <c r="MA14" s="141"/>
      <c r="MB14" s="142">
        <v>0.5</v>
      </c>
      <c r="MC14" s="138">
        <v>0.5</v>
      </c>
      <c r="MD14" s="143">
        <v>0.5</v>
      </c>
      <c r="ME14" s="143">
        <v>0.5</v>
      </c>
      <c r="MF14" s="143">
        <v>0.5</v>
      </c>
      <c r="MG14" s="143">
        <v>0.5</v>
      </c>
      <c r="MH14" s="143">
        <v>0.5</v>
      </c>
      <c r="MI14" s="143">
        <v>0.5</v>
      </c>
      <c r="MJ14" s="143">
        <v>0.5</v>
      </c>
      <c r="MK14" s="143">
        <v>0.5</v>
      </c>
      <c r="ML14" s="143">
        <v>0.5</v>
      </c>
      <c r="MM14" s="144">
        <v>0.5</v>
      </c>
      <c r="MN14" s="145"/>
      <c r="MO14" s="146"/>
      <c r="MP14" s="131">
        <f>SUM(LN14:MO14)</f>
      </c>
      <c r="MQ14" s="121"/>
      <c r="MR14" s="122"/>
      <c r="MS14" s="123"/>
      <c r="MT14" s="124"/>
      <c r="MU14" s="124"/>
      <c r="MV14" s="124"/>
      <c r="MW14" s="124"/>
      <c r="MX14" s="124"/>
      <c r="MY14" s="124"/>
      <c r="MZ14" s="125"/>
      <c r="NA14" s="126"/>
      <c r="NB14" s="124"/>
      <c r="NC14" s="124"/>
      <c r="ND14" s="127"/>
      <c r="NE14" s="123"/>
      <c r="NF14" s="124"/>
      <c r="NG14" s="124"/>
      <c r="NH14" s="124"/>
      <c r="NI14" s="124"/>
      <c r="NJ14" s="124"/>
      <c r="NK14" s="124"/>
      <c r="NL14" s="124"/>
      <c r="NM14" s="124"/>
      <c r="NN14" s="124"/>
      <c r="NO14" s="124"/>
      <c r="NP14" s="128"/>
      <c r="NQ14" s="129"/>
      <c r="NR14" s="128"/>
      <c r="NS14" s="131">
        <f>SUM(MQ14:NR14)</f>
      </c>
      <c r="NT14" s="121"/>
      <c r="NU14" s="122"/>
      <c r="NV14" s="123"/>
      <c r="NW14" s="124"/>
      <c r="NX14" s="124"/>
      <c r="NY14" s="124"/>
      <c r="NZ14" s="124"/>
      <c r="OA14" s="124"/>
      <c r="OB14" s="124"/>
      <c r="OC14" s="125"/>
      <c r="OD14" s="126"/>
      <c r="OE14" s="124"/>
      <c r="OF14" s="124"/>
      <c r="OG14" s="127"/>
      <c r="OH14" s="123"/>
      <c r="OI14" s="124"/>
      <c r="OJ14" s="124"/>
      <c r="OK14" s="124"/>
      <c r="OL14" s="124"/>
      <c r="OM14" s="124"/>
      <c r="ON14" s="124"/>
      <c r="OO14" s="124"/>
      <c r="OP14" s="124"/>
      <c r="OQ14" s="124"/>
      <c r="OR14" s="124"/>
      <c r="OS14" s="128"/>
      <c r="OT14" s="129"/>
      <c r="OU14" s="128"/>
      <c r="OV14" s="131">
        <f>SUM(NT14:OU14)</f>
      </c>
      <c r="OW14" s="132">
        <f>ID14+JG14+KJ14+LM14+MP14+NS14+OV14</f>
      </c>
      <c r="OX14" s="133">
        <f>(COUNTIF(HB14:OV14,"H")+COUNTIF(HB14:OV14,"S")+COUNTIF(HB14:OV14,"L")+COUNTIF(HB14:OV14,"E")+COUNTIF(HB14:OV14,"C"))/2</f>
      </c>
      <c r="OY14" s="130">
        <f>OW14+OX14</f>
      </c>
      <c r="OZ14" s="134"/>
      <c r="PA14" s="135"/>
      <c r="PB14" s="136"/>
      <c r="PC14" s="137"/>
      <c r="PD14" s="143">
        <v>0.5</v>
      </c>
      <c r="PE14" s="143">
        <v>0.5</v>
      </c>
      <c r="PF14" s="143">
        <v>0.5</v>
      </c>
      <c r="PG14" s="143">
        <v>0.5</v>
      </c>
      <c r="PH14" s="138">
        <v>0.5</v>
      </c>
      <c r="PI14" s="139">
        <v>0.5</v>
      </c>
      <c r="PJ14" s="140">
        <v>0.5</v>
      </c>
      <c r="PK14" s="138">
        <v>0.5</v>
      </c>
      <c r="PL14" s="137"/>
      <c r="PM14" s="141"/>
      <c r="PN14" s="142">
        <v>0.5</v>
      </c>
      <c r="PO14" s="138">
        <v>0.5</v>
      </c>
      <c r="PP14" s="143">
        <v>0.5</v>
      </c>
      <c r="PQ14" s="143">
        <v>0.5</v>
      </c>
      <c r="PR14" s="143">
        <v>0.5</v>
      </c>
      <c r="PS14" s="143">
        <v>0.5</v>
      </c>
      <c r="PT14" s="143">
        <v>0.5</v>
      </c>
      <c r="PU14" s="143">
        <v>0.5</v>
      </c>
      <c r="PV14" s="137"/>
      <c r="PW14" s="137"/>
      <c r="PX14" s="137"/>
      <c r="PY14" s="146"/>
      <c r="PZ14" s="145"/>
      <c r="QA14" s="146"/>
      <c r="QB14" s="131">
        <f>SUM(OZ14:QA14)</f>
      </c>
      <c r="QC14" s="134"/>
      <c r="QD14" s="135"/>
      <c r="QE14" s="136"/>
      <c r="QF14" s="137"/>
      <c r="QG14" s="143">
        <v>0.5</v>
      </c>
      <c r="QH14" s="143">
        <v>0.5</v>
      </c>
      <c r="QI14" s="143">
        <v>0.5</v>
      </c>
      <c r="QJ14" s="143">
        <v>0.5</v>
      </c>
      <c r="QK14" s="138">
        <v>0.5</v>
      </c>
      <c r="QL14" s="139">
        <v>0.5</v>
      </c>
      <c r="QM14" s="140">
        <v>0.5</v>
      </c>
      <c r="QN14" s="138">
        <v>0.5</v>
      </c>
      <c r="QO14" s="137"/>
      <c r="QP14" s="141"/>
      <c r="QQ14" s="142">
        <v>0.5</v>
      </c>
      <c r="QR14" s="138">
        <v>0.5</v>
      </c>
      <c r="QS14" s="143">
        <v>0.5</v>
      </c>
      <c r="QT14" s="143">
        <v>0.5</v>
      </c>
      <c r="QU14" s="143">
        <v>0.5</v>
      </c>
      <c r="QV14" s="143">
        <v>0.5</v>
      </c>
      <c r="QW14" s="143">
        <v>0.5</v>
      </c>
      <c r="QX14" s="143">
        <v>0.5</v>
      </c>
      <c r="QY14" s="137"/>
      <c r="QZ14" s="137"/>
      <c r="RA14" s="137"/>
      <c r="RB14" s="146"/>
      <c r="RC14" s="145"/>
      <c r="RD14" s="146"/>
      <c r="RE14" s="131">
        <f>SUM(QC14:RD14)</f>
      </c>
      <c r="RF14" s="134"/>
      <c r="RG14" s="135"/>
      <c r="RH14" s="136"/>
      <c r="RI14" s="137"/>
      <c r="RJ14" s="143">
        <v>0.5</v>
      </c>
      <c r="RK14" s="143">
        <v>0.5</v>
      </c>
      <c r="RL14" s="143">
        <v>0.5</v>
      </c>
      <c r="RM14" s="143">
        <v>0.5</v>
      </c>
      <c r="RN14" s="138">
        <v>0.5</v>
      </c>
      <c r="RO14" s="139">
        <v>0.5</v>
      </c>
      <c r="RP14" s="140">
        <v>0.5</v>
      </c>
      <c r="RQ14" s="138">
        <v>0.5</v>
      </c>
      <c r="RR14" s="137"/>
      <c r="RS14" s="141"/>
      <c r="RT14" s="142">
        <v>0.5</v>
      </c>
      <c r="RU14" s="138">
        <v>0.5</v>
      </c>
      <c r="RV14" s="143">
        <v>0.5</v>
      </c>
      <c r="RW14" s="143">
        <v>0.5</v>
      </c>
      <c r="RX14" s="143">
        <v>0.5</v>
      </c>
      <c r="RY14" s="143">
        <v>0.5</v>
      </c>
      <c r="RZ14" s="143">
        <v>0.5</v>
      </c>
      <c r="SA14" s="143">
        <v>0.5</v>
      </c>
      <c r="SB14" s="137"/>
      <c r="SC14" s="137"/>
      <c r="SD14" s="137"/>
      <c r="SE14" s="146"/>
      <c r="SF14" s="145"/>
      <c r="SG14" s="146"/>
      <c r="SH14" s="131">
        <f>SUM(RF14:SG14)</f>
      </c>
      <c r="SI14" s="134"/>
      <c r="SJ14" s="135"/>
      <c r="SK14" s="136"/>
      <c r="SL14" s="137"/>
      <c r="SM14" s="143">
        <v>0.5</v>
      </c>
      <c r="SN14" s="143">
        <v>0.5</v>
      </c>
      <c r="SO14" s="143">
        <v>0.5</v>
      </c>
      <c r="SP14" s="143">
        <v>0.5</v>
      </c>
      <c r="SQ14" s="138">
        <v>0.5</v>
      </c>
      <c r="SR14" s="139">
        <v>0.5</v>
      </c>
      <c r="SS14" s="140">
        <v>0.5</v>
      </c>
      <c r="ST14" s="138">
        <v>0.5</v>
      </c>
      <c r="SU14" s="137"/>
      <c r="SV14" s="141"/>
      <c r="SW14" s="142">
        <v>0.5</v>
      </c>
      <c r="SX14" s="138">
        <v>0.5</v>
      </c>
      <c r="SY14" s="143">
        <v>0.5</v>
      </c>
      <c r="SZ14" s="143">
        <v>0.5</v>
      </c>
      <c r="TA14" s="143">
        <v>0.5</v>
      </c>
      <c r="TB14" s="143">
        <v>0.5</v>
      </c>
      <c r="TC14" s="143">
        <v>0.5</v>
      </c>
      <c r="TD14" s="143">
        <v>0.5</v>
      </c>
      <c r="TE14" s="137"/>
      <c r="TF14" s="137"/>
      <c r="TG14" s="137"/>
      <c r="TH14" s="146"/>
      <c r="TI14" s="145"/>
      <c r="TJ14" s="146"/>
      <c r="TK14" s="131">
        <f>SUM(SI14:TJ14)</f>
      </c>
      <c r="TL14" s="134"/>
      <c r="TM14" s="135"/>
      <c r="TN14" s="136"/>
      <c r="TO14" s="137"/>
      <c r="TP14" s="143">
        <v>0.5</v>
      </c>
      <c r="TQ14" s="143">
        <v>0.5</v>
      </c>
      <c r="TR14" s="143">
        <v>0.5</v>
      </c>
      <c r="TS14" s="143">
        <v>0.5</v>
      </c>
      <c r="TT14" s="138">
        <v>0.5</v>
      </c>
      <c r="TU14" s="139">
        <v>0.5</v>
      </c>
      <c r="TV14" s="140">
        <v>0.5</v>
      </c>
      <c r="TW14" s="138">
        <v>0.5</v>
      </c>
      <c r="TX14" s="137"/>
      <c r="TY14" s="141"/>
      <c r="TZ14" s="142">
        <v>0.5</v>
      </c>
      <c r="UA14" s="138">
        <v>0.5</v>
      </c>
      <c r="UB14" s="143">
        <v>0.5</v>
      </c>
      <c r="UC14" s="143">
        <v>0.5</v>
      </c>
      <c r="UD14" s="143">
        <v>0.5</v>
      </c>
      <c r="UE14" s="143">
        <v>0.5</v>
      </c>
      <c r="UF14" s="143">
        <v>0.5</v>
      </c>
      <c r="UG14" s="143">
        <v>0.5</v>
      </c>
      <c r="UH14" s="137"/>
      <c r="UI14" s="137"/>
      <c r="UJ14" s="137"/>
      <c r="UK14" s="146"/>
      <c r="UL14" s="145"/>
      <c r="UM14" s="146"/>
      <c r="UN14" s="131">
        <f>SUM(TL14:UM14)</f>
      </c>
      <c r="UO14" s="121"/>
      <c r="UP14" s="122"/>
      <c r="UQ14" s="123"/>
      <c r="UR14" s="124"/>
      <c r="US14" s="124"/>
      <c r="UT14" s="124"/>
      <c r="UU14" s="124"/>
      <c r="UV14" s="124"/>
      <c r="UW14" s="124"/>
      <c r="UX14" s="125"/>
      <c r="UY14" s="126"/>
      <c r="UZ14" s="124"/>
      <c r="VA14" s="124"/>
      <c r="VB14" s="127"/>
      <c r="VC14" s="123"/>
      <c r="VD14" s="124"/>
      <c r="VE14" s="124"/>
      <c r="VF14" s="124"/>
      <c r="VG14" s="124"/>
      <c r="VH14" s="124"/>
      <c r="VI14" s="124"/>
      <c r="VJ14" s="124"/>
      <c r="VK14" s="124"/>
      <c r="VL14" s="124"/>
      <c r="VM14" s="124"/>
      <c r="VN14" s="128"/>
      <c r="VO14" s="129"/>
      <c r="VP14" s="128"/>
      <c r="VQ14" s="131">
        <f>SUM(UO14:VP14)</f>
      </c>
      <c r="VR14" s="121"/>
      <c r="VS14" s="122"/>
      <c r="VT14" s="123"/>
      <c r="VU14" s="124"/>
      <c r="VV14" s="124"/>
      <c r="VW14" s="124"/>
      <c r="VX14" s="124"/>
      <c r="VY14" s="124"/>
      <c r="VZ14" s="124"/>
      <c r="WA14" s="125"/>
      <c r="WB14" s="126"/>
      <c r="WC14" s="124"/>
      <c r="WD14" s="124"/>
      <c r="WE14" s="127"/>
      <c r="WF14" s="123"/>
      <c r="WG14" s="124"/>
      <c r="WH14" s="124"/>
      <c r="WI14" s="124"/>
      <c r="WJ14" s="124"/>
      <c r="WK14" s="124"/>
      <c r="WL14" s="124"/>
      <c r="WM14" s="124"/>
      <c r="WN14" s="124"/>
      <c r="WO14" s="124"/>
      <c r="WP14" s="124"/>
      <c r="WQ14" s="128"/>
      <c r="WR14" s="129"/>
      <c r="WS14" s="128"/>
      <c r="WT14" s="131">
        <f>SUM(VR14:WS14)</f>
      </c>
      <c r="WU14" s="132">
        <f>QB14+RE14+SH14+TK14+UN14+VQ14+WT14</f>
      </c>
      <c r="WV14" s="133">
        <f>(COUNTIF(OZ14:WT14,"H")+COUNTIF(OZ14:WT14,"S")+COUNTIF(OZ14:WT14,"L")+COUNTIF(OZ14:WT14,"E")+COUNTIF(OZ14:WT14,"C"))/2</f>
      </c>
      <c r="WW14" s="130">
        <f>WU14+WV14</f>
      </c>
      <c r="WX14" s="134"/>
      <c r="WY14" s="135"/>
      <c r="WZ14" s="136"/>
      <c r="XA14" s="137"/>
      <c r="XB14" s="143">
        <v>0.5</v>
      </c>
      <c r="XC14" s="143">
        <v>0.5</v>
      </c>
      <c r="XD14" s="143">
        <v>0.5</v>
      </c>
      <c r="XE14" s="143">
        <v>0.5</v>
      </c>
      <c r="XF14" s="138">
        <v>0.5</v>
      </c>
      <c r="XG14" s="139">
        <v>0.5</v>
      </c>
      <c r="XH14" s="140">
        <v>0.5</v>
      </c>
      <c r="XI14" s="138">
        <v>0.5</v>
      </c>
      <c r="XJ14" s="137"/>
      <c r="XK14" s="141"/>
      <c r="XL14" s="142">
        <v>0.5</v>
      </c>
      <c r="XM14" s="138">
        <v>0.5</v>
      </c>
      <c r="XN14" s="143">
        <v>0.5</v>
      </c>
      <c r="XO14" s="143">
        <v>0.5</v>
      </c>
      <c r="XP14" s="143">
        <v>0.5</v>
      </c>
      <c r="XQ14" s="143">
        <v>0.5</v>
      </c>
      <c r="XR14" s="143">
        <v>0.5</v>
      </c>
      <c r="XS14" s="143">
        <v>0.5</v>
      </c>
      <c r="XT14" s="137"/>
      <c r="XU14" s="137"/>
      <c r="XV14" s="137"/>
      <c r="XW14" s="146"/>
      <c r="XX14" s="145"/>
      <c r="XY14" s="146"/>
      <c r="XZ14" s="131">
        <f>SUM(WX14:XY14)</f>
      </c>
      <c r="YA14" s="134"/>
      <c r="YB14" s="135"/>
      <c r="YC14" s="136"/>
      <c r="YD14" s="137"/>
      <c r="YE14" s="143">
        <v>0.5</v>
      </c>
      <c r="YF14" s="143">
        <v>0.5</v>
      </c>
      <c r="YG14" s="143">
        <v>0.5</v>
      </c>
      <c r="YH14" s="143">
        <v>0.5</v>
      </c>
      <c r="YI14" s="138">
        <v>0.5</v>
      </c>
      <c r="YJ14" s="139">
        <v>0.5</v>
      </c>
      <c r="YK14" s="140">
        <v>0.5</v>
      </c>
      <c r="YL14" s="138">
        <v>0.5</v>
      </c>
      <c r="YM14" s="137"/>
      <c r="YN14" s="141"/>
      <c r="YO14" s="142">
        <v>0.5</v>
      </c>
      <c r="YP14" s="138">
        <v>0.5</v>
      </c>
      <c r="YQ14" s="143">
        <v>0.5</v>
      </c>
      <c r="YR14" s="143">
        <v>0.5</v>
      </c>
      <c r="YS14" s="143">
        <v>0.5</v>
      </c>
      <c r="YT14" s="143">
        <v>0.5</v>
      </c>
      <c r="YU14" s="143">
        <v>0.5</v>
      </c>
      <c r="YV14" s="143">
        <v>0.5</v>
      </c>
      <c r="YW14" s="137"/>
      <c r="YX14" s="137"/>
      <c r="YY14" s="137"/>
      <c r="YZ14" s="146"/>
      <c r="ZA14" s="145"/>
      <c r="ZB14" s="146"/>
      <c r="ZC14" s="131">
        <f>SUM(YA14:ZB14)</f>
      </c>
      <c r="ZD14" s="134"/>
      <c r="ZE14" s="135"/>
      <c r="ZF14" s="136"/>
      <c r="ZG14" s="137"/>
      <c r="ZH14" s="143">
        <v>0.5</v>
      </c>
      <c r="ZI14" s="143">
        <v>0.5</v>
      </c>
      <c r="ZJ14" s="143">
        <v>0.5</v>
      </c>
      <c r="ZK14" s="143">
        <v>0.5</v>
      </c>
      <c r="ZL14" s="138">
        <v>0.5</v>
      </c>
      <c r="ZM14" s="139">
        <v>0.5</v>
      </c>
      <c r="ZN14" s="140">
        <v>0.5</v>
      </c>
      <c r="ZO14" s="138">
        <v>0.5</v>
      </c>
      <c r="ZP14" s="137"/>
      <c r="ZQ14" s="141"/>
      <c r="ZR14" s="142">
        <v>0.5</v>
      </c>
      <c r="ZS14" s="138">
        <v>0.5</v>
      </c>
      <c r="ZT14" s="143">
        <v>0.5</v>
      </c>
      <c r="ZU14" s="143">
        <v>0.5</v>
      </c>
      <c r="ZV14" s="143">
        <v>0.5</v>
      </c>
      <c r="ZW14" s="143">
        <v>0.5</v>
      </c>
      <c r="ZX14" s="143">
        <v>0.5</v>
      </c>
      <c r="ZY14" s="143">
        <v>0.5</v>
      </c>
      <c r="ZZ14" s="137"/>
      <c r="AAA14" s="137"/>
      <c r="AAB14" s="137"/>
      <c r="AAC14" s="146"/>
      <c r="AAD14" s="145"/>
      <c r="AAE14" s="146"/>
      <c r="AAF14" s="131">
        <f>SUM(ZD14:AAE14)</f>
      </c>
      <c r="AAG14" s="134"/>
      <c r="AAH14" s="135"/>
      <c r="AAI14" s="136"/>
      <c r="AAJ14" s="137"/>
      <c r="AAK14" s="143">
        <v>0.5</v>
      </c>
      <c r="AAL14" s="143">
        <v>0.5</v>
      </c>
      <c r="AAM14" s="143">
        <v>0.5</v>
      </c>
      <c r="AAN14" s="143">
        <v>0.5</v>
      </c>
      <c r="AAO14" s="138">
        <v>0.5</v>
      </c>
      <c r="AAP14" s="139">
        <v>0.5</v>
      </c>
      <c r="AAQ14" s="140">
        <v>0.5</v>
      </c>
      <c r="AAR14" s="138">
        <v>0.5</v>
      </c>
      <c r="AAS14" s="137"/>
      <c r="AAT14" s="141"/>
      <c r="AAU14" s="142">
        <v>0.5</v>
      </c>
      <c r="AAV14" s="138">
        <v>0.5</v>
      </c>
      <c r="AAW14" s="143">
        <v>0.5</v>
      </c>
      <c r="AAX14" s="143">
        <v>0.5</v>
      </c>
      <c r="AAY14" s="143">
        <v>0.5</v>
      </c>
      <c r="AAZ14" s="143">
        <v>0.5</v>
      </c>
      <c r="ABA14" s="143">
        <v>0.5</v>
      </c>
      <c r="ABB14" s="143">
        <v>0.5</v>
      </c>
      <c r="ABC14" s="137"/>
      <c r="ABD14" s="137"/>
      <c r="ABE14" s="137"/>
      <c r="ABF14" s="146"/>
      <c r="ABG14" s="145"/>
      <c r="ABH14" s="146"/>
      <c r="ABI14" s="131">
        <f>SUM(AAG14:ABH14)</f>
      </c>
      <c r="ABJ14" s="134"/>
      <c r="ABK14" s="135"/>
      <c r="ABL14" s="136"/>
      <c r="ABM14" s="137"/>
      <c r="ABN14" s="143">
        <v>0.5</v>
      </c>
      <c r="ABO14" s="143">
        <v>0.5</v>
      </c>
      <c r="ABP14" s="143">
        <v>0.5</v>
      </c>
      <c r="ABQ14" s="143">
        <v>0.5</v>
      </c>
      <c r="ABR14" s="138">
        <v>0.5</v>
      </c>
      <c r="ABS14" s="139">
        <v>0.5</v>
      </c>
      <c r="ABT14" s="140">
        <v>0.5</v>
      </c>
      <c r="ABU14" s="138">
        <v>0.5</v>
      </c>
      <c r="ABV14" s="137"/>
      <c r="ABW14" s="141"/>
      <c r="ABX14" s="142">
        <v>0.5</v>
      </c>
      <c r="ABY14" s="138">
        <v>0.5</v>
      </c>
      <c r="ABZ14" s="143">
        <v>0.5</v>
      </c>
      <c r="ACA14" s="143">
        <v>0.5</v>
      </c>
      <c r="ACB14" s="143">
        <v>0.5</v>
      </c>
      <c r="ACC14" s="143">
        <v>0.5</v>
      </c>
      <c r="ACD14" s="143">
        <v>0.5</v>
      </c>
      <c r="ACE14" s="143">
        <v>0.5</v>
      </c>
      <c r="ACF14" s="137"/>
      <c r="ACG14" s="137"/>
      <c r="ACH14" s="137"/>
      <c r="ACI14" s="146"/>
      <c r="ACJ14" s="145"/>
      <c r="ACK14" s="146"/>
      <c r="ACL14" s="131">
        <f>SUM(ABJ14:ACK14)</f>
      </c>
      <c r="ACM14" s="121"/>
      <c r="ACN14" s="122"/>
      <c r="ACO14" s="123"/>
      <c r="ACP14" s="124"/>
      <c r="ACQ14" s="124"/>
      <c r="ACR14" s="124"/>
      <c r="ACS14" s="124"/>
      <c r="ACT14" s="124"/>
      <c r="ACU14" s="124"/>
      <c r="ACV14" s="125"/>
      <c r="ACW14" s="126"/>
      <c r="ACX14" s="124"/>
      <c r="ACY14" s="124"/>
      <c r="ACZ14" s="127"/>
      <c r="ADA14" s="123"/>
      <c r="ADB14" s="124"/>
      <c r="ADC14" s="124"/>
      <c r="ADD14" s="124"/>
      <c r="ADE14" s="124"/>
      <c r="ADF14" s="124"/>
      <c r="ADG14" s="124"/>
      <c r="ADH14" s="124"/>
      <c r="ADI14" s="124"/>
      <c r="ADJ14" s="124"/>
      <c r="ADK14" s="124"/>
      <c r="ADL14" s="128"/>
      <c r="ADM14" s="129"/>
      <c r="ADN14" s="128"/>
      <c r="ADO14" s="131">
        <f>SUM(ACM14:ADN14)</f>
      </c>
      <c r="ADP14" s="121"/>
      <c r="ADQ14" s="122"/>
      <c r="ADR14" s="123"/>
      <c r="ADS14" s="124"/>
      <c r="ADT14" s="124"/>
      <c r="ADU14" s="124"/>
      <c r="ADV14" s="124"/>
      <c r="ADW14" s="124"/>
      <c r="ADX14" s="124"/>
      <c r="ADY14" s="125"/>
      <c r="ADZ14" s="126"/>
      <c r="AEA14" s="124"/>
      <c r="AEB14" s="124"/>
      <c r="AEC14" s="127"/>
      <c r="AED14" s="123"/>
      <c r="AEE14" s="124"/>
      <c r="AEF14" s="124"/>
      <c r="AEG14" s="124"/>
      <c r="AEH14" s="124"/>
      <c r="AEI14" s="124"/>
      <c r="AEJ14" s="124"/>
      <c r="AEK14" s="124"/>
      <c r="AEL14" s="124"/>
      <c r="AEM14" s="124"/>
      <c r="AEN14" s="124"/>
      <c r="AEO14" s="128"/>
      <c r="AEP14" s="129"/>
      <c r="AEQ14" s="128"/>
      <c r="AER14" s="131">
        <f>SUM(ADP14:AEQ14)</f>
      </c>
      <c r="AES14" s="132">
        <f>XZ14+ZC14+AAF14+ABI14+ACL14+ADO14+AER14</f>
      </c>
      <c r="AET14" s="133">
        <f>(COUNTIF(WX14:AER14,"H")+COUNTIF(WX14:AER14,"S")+COUNTIF(WX14:AER14,"L")+COUNTIF(WX14:AER14,"E")+COUNTIF(WX14:AER14,"C"))/2</f>
      </c>
      <c r="AEU14" s="130">
        <f>AES14+AET14</f>
      </c>
      <c r="AEV14" s="134"/>
      <c r="AEW14" s="135"/>
      <c r="AEX14" s="142">
        <v>0.5</v>
      </c>
      <c r="AEY14" s="138">
        <v>0.5</v>
      </c>
      <c r="AEZ14" s="138">
        <v>0.5</v>
      </c>
      <c r="AFA14" s="138">
        <v>0.5</v>
      </c>
      <c r="AFB14" s="138">
        <v>0.5</v>
      </c>
      <c r="AFC14" s="138">
        <v>0.5</v>
      </c>
      <c r="AFD14" s="138">
        <v>0.5</v>
      </c>
      <c r="AFE14" s="139">
        <v>0.5</v>
      </c>
      <c r="AFF14" s="147"/>
      <c r="AFG14" s="148"/>
      <c r="AFH14" s="138">
        <v>0.5</v>
      </c>
      <c r="AFI14" s="149">
        <v>0.5</v>
      </c>
      <c r="AFJ14" s="142">
        <v>0.5</v>
      </c>
      <c r="AFK14" s="138">
        <v>0.5</v>
      </c>
      <c r="AFL14" s="138">
        <v>0.5</v>
      </c>
      <c r="AFM14" s="138">
        <v>0.5</v>
      </c>
      <c r="AFN14" s="138">
        <v>0.5</v>
      </c>
      <c r="AFO14" s="138">
        <v>0.5</v>
      </c>
      <c r="AFP14" s="137"/>
      <c r="AFQ14" s="137"/>
      <c r="AFR14" s="137"/>
      <c r="AFS14" s="137"/>
      <c r="AFT14" s="137"/>
      <c r="AFU14" s="146"/>
      <c r="AFV14" s="145"/>
      <c r="AFW14" s="146"/>
      <c r="AFX14" s="130">
        <f>SUM(AEV14:AFW14)</f>
      </c>
      <c r="AFY14" s="134"/>
      <c r="AFZ14" s="135"/>
      <c r="AGA14" s="142">
        <v>0.5</v>
      </c>
      <c r="AGB14" s="138">
        <v>0.5</v>
      </c>
      <c r="AGC14" s="138">
        <v>0.5</v>
      </c>
      <c r="AGD14" s="138">
        <v>0.5</v>
      </c>
      <c r="AGE14" s="138">
        <v>0.5</v>
      </c>
      <c r="AGF14" s="138">
        <v>0.5</v>
      </c>
      <c r="AGG14" s="138">
        <v>0.5</v>
      </c>
      <c r="AGH14" s="139">
        <v>0.5</v>
      </c>
      <c r="AGI14" s="147"/>
      <c r="AGJ14" s="148"/>
      <c r="AGK14" s="138">
        <v>0.5</v>
      </c>
      <c r="AGL14" s="149">
        <v>0.5</v>
      </c>
      <c r="AGM14" s="142">
        <v>0.5</v>
      </c>
      <c r="AGN14" s="138">
        <v>0.5</v>
      </c>
      <c r="AGO14" s="138">
        <v>0.5</v>
      </c>
      <c r="AGP14" s="138">
        <v>0.5</v>
      </c>
      <c r="AGQ14" s="138">
        <v>0.5</v>
      </c>
      <c r="AGR14" s="138">
        <v>0.5</v>
      </c>
      <c r="AGS14" s="137"/>
      <c r="AGT14" s="137"/>
      <c r="AGU14" s="137"/>
      <c r="AGV14" s="137"/>
      <c r="AGW14" s="137"/>
      <c r="AGX14" s="146"/>
      <c r="AGY14" s="145"/>
      <c r="AGZ14" s="146"/>
      <c r="AHA14" s="130">
        <f>SUM(AFY14:AGZ14)</f>
      </c>
      <c r="AHB14" s="134"/>
      <c r="AHC14" s="135"/>
      <c r="AHD14" s="142">
        <v>0.5</v>
      </c>
      <c r="AHE14" s="138">
        <v>0.5</v>
      </c>
      <c r="AHF14" s="138">
        <v>0.5</v>
      </c>
      <c r="AHG14" s="138">
        <v>0.5</v>
      </c>
      <c r="AHH14" s="138">
        <v>0.5</v>
      </c>
      <c r="AHI14" s="138">
        <v>0.5</v>
      </c>
      <c r="AHJ14" s="138">
        <v>0.5</v>
      </c>
      <c r="AHK14" s="139">
        <v>0.5</v>
      </c>
      <c r="AHL14" s="147"/>
      <c r="AHM14" s="148"/>
      <c r="AHN14" s="138">
        <v>0.5</v>
      </c>
      <c r="AHO14" s="149">
        <v>0.5</v>
      </c>
      <c r="AHP14" s="142">
        <v>0.5</v>
      </c>
      <c r="AHQ14" s="138">
        <v>0.5</v>
      </c>
      <c r="AHR14" s="138">
        <v>0.5</v>
      </c>
      <c r="AHS14" s="138">
        <v>0.5</v>
      </c>
      <c r="AHT14" s="138">
        <v>0.5</v>
      </c>
      <c r="AHU14" s="138">
        <v>0.5</v>
      </c>
      <c r="AHV14" s="137"/>
      <c r="AHW14" s="137"/>
      <c r="AHX14" s="137"/>
      <c r="AHY14" s="137"/>
      <c r="AHZ14" s="137"/>
      <c r="AIA14" s="146"/>
      <c r="AIB14" s="145"/>
      <c r="AIC14" s="146"/>
      <c r="AID14" s="130">
        <f>SUM(AHB14:AIC14)</f>
      </c>
      <c r="AIE14" s="134"/>
      <c r="AIF14" s="135"/>
      <c r="AIG14" s="142">
        <v>0.5</v>
      </c>
      <c r="AIH14" s="138">
        <v>0.5</v>
      </c>
      <c r="AII14" s="138">
        <v>0.5</v>
      </c>
      <c r="AIJ14" s="138">
        <v>0.5</v>
      </c>
      <c r="AIK14" s="138">
        <v>0.5</v>
      </c>
      <c r="AIL14" s="138">
        <v>0.5</v>
      </c>
      <c r="AIM14" s="138">
        <v>0.5</v>
      </c>
      <c r="AIN14" s="139">
        <v>0.5</v>
      </c>
      <c r="AIO14" s="147"/>
      <c r="AIP14" s="148"/>
      <c r="AIQ14" s="138">
        <v>0.5</v>
      </c>
      <c r="AIR14" s="149">
        <v>0.5</v>
      </c>
      <c r="AIS14" s="142">
        <v>0.5</v>
      </c>
      <c r="AIT14" s="138">
        <v>0.5</v>
      </c>
      <c r="AIU14" s="138">
        <v>0.5</v>
      </c>
      <c r="AIV14" s="138">
        <v>0.5</v>
      </c>
      <c r="AIW14" s="138">
        <v>0.5</v>
      </c>
      <c r="AIX14" s="138">
        <v>0.5</v>
      </c>
      <c r="AIY14" s="137"/>
      <c r="AIZ14" s="137"/>
      <c r="AJA14" s="137"/>
      <c r="AJB14" s="137"/>
      <c r="AJC14" s="137"/>
      <c r="AJD14" s="146"/>
      <c r="AJE14" s="145"/>
      <c r="AJF14" s="146"/>
      <c r="AJG14" s="130">
        <f>SUM(AIE14:AJF14)</f>
      </c>
      <c r="AJH14" s="134"/>
      <c r="AJI14" s="135"/>
      <c r="AJJ14" s="142">
        <v>0.5</v>
      </c>
      <c r="AJK14" s="138">
        <v>0.5</v>
      </c>
      <c r="AJL14" s="138">
        <v>0.5</v>
      </c>
      <c r="AJM14" s="138">
        <v>0.5</v>
      </c>
      <c r="AJN14" s="138">
        <v>0.5</v>
      </c>
      <c r="AJO14" s="138">
        <v>0.5</v>
      </c>
      <c r="AJP14" s="138">
        <v>0.5</v>
      </c>
      <c r="AJQ14" s="139">
        <v>0.5</v>
      </c>
      <c r="AJR14" s="147"/>
      <c r="AJS14" s="148"/>
      <c r="AJT14" s="138">
        <v>0.5</v>
      </c>
      <c r="AJU14" s="149">
        <v>0.5</v>
      </c>
      <c r="AJV14" s="142">
        <v>0.5</v>
      </c>
      <c r="AJW14" s="138">
        <v>0.5</v>
      </c>
      <c r="AJX14" s="138">
        <v>0.5</v>
      </c>
      <c r="AJY14" s="138">
        <v>0.5</v>
      </c>
      <c r="AJZ14" s="138">
        <v>0.5</v>
      </c>
      <c r="AKA14" s="138">
        <v>0.5</v>
      </c>
      <c r="AKB14" s="137"/>
      <c r="AKC14" s="137"/>
      <c r="AKD14" s="137"/>
      <c r="AKE14" s="137"/>
      <c r="AKF14" s="137"/>
      <c r="AKG14" s="146"/>
      <c r="AKH14" s="145"/>
      <c r="AKI14" s="146"/>
      <c r="AKJ14" s="130">
        <f>SUM(AJH14:AKI14)</f>
      </c>
      <c r="AKK14" s="121"/>
      <c r="AKL14" s="122"/>
      <c r="AKM14" s="123"/>
      <c r="AKN14" s="124"/>
      <c r="AKO14" s="124"/>
      <c r="AKP14" s="124"/>
      <c r="AKQ14" s="124"/>
      <c r="AKR14" s="124"/>
      <c r="AKS14" s="124"/>
      <c r="AKT14" s="125"/>
      <c r="AKU14" s="126"/>
      <c r="AKV14" s="124"/>
      <c r="AKW14" s="124"/>
      <c r="AKX14" s="127"/>
      <c r="AKY14" s="123"/>
      <c r="AKZ14" s="124"/>
      <c r="ALA14" s="124"/>
      <c r="ALB14" s="124"/>
      <c r="ALC14" s="124"/>
      <c r="ALD14" s="124"/>
      <c r="ALE14" s="124"/>
      <c r="ALF14" s="124"/>
      <c r="ALG14" s="124"/>
      <c r="ALH14" s="124"/>
      <c r="ALI14" s="124"/>
      <c r="ALJ14" s="128"/>
      <c r="ALK14" s="129"/>
      <c r="ALL14" s="128"/>
      <c r="ALM14" s="131">
        <f>SUM(AKK14:ALL14)</f>
      </c>
      <c r="ALN14" s="121"/>
      <c r="ALO14" s="122"/>
      <c r="ALP14" s="123"/>
      <c r="ALQ14" s="124"/>
      <c r="ALR14" s="124"/>
      <c r="ALS14" s="124"/>
      <c r="ALT14" s="124"/>
      <c r="ALU14" s="124"/>
      <c r="ALV14" s="124"/>
      <c r="ALW14" s="125"/>
      <c r="ALX14" s="126"/>
      <c r="ALY14" s="124"/>
      <c r="ALZ14" s="124"/>
      <c r="AMA14" s="127"/>
      <c r="AMB14" s="123"/>
      <c r="AMC14" s="124"/>
      <c r="AMD14" s="124"/>
      <c r="AME14" s="124"/>
      <c r="AMF14" s="124"/>
      <c r="AMG14" s="124"/>
      <c r="AMH14" s="124"/>
      <c r="AMI14" s="124"/>
      <c r="AMJ14" s="124"/>
      <c r="AMK14" s="124"/>
      <c r="AML14" s="124"/>
      <c r="AMM14" s="128"/>
      <c r="AMN14" s="129"/>
      <c r="AMO14" s="128"/>
      <c r="AMP14" s="131">
        <f>SUM(ALN14:AMO14)</f>
      </c>
      <c r="AMQ14" s="150">
        <f>AFX14+AHA14+AID14+AJG14+AKJ14+ALM14+AMP14</f>
      </c>
      <c r="AMR14" s="133">
        <f>(COUNTIF(AEV14:AMP14,"H")+COUNTIF(AEV14:AMP14,"S")+COUNTIF(AEV14:AMP14,"L")+COUNTIF(AEV14:AMP14,"E")+COUNTIF(AEV14:AMP14,"C"))/2</f>
      </c>
      <c r="AMS14" s="131">
        <f>AMQ14+AMR14</f>
      </c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13"/>
      <c r="ANK14" s="13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</row>
    <row r="15" ht="15" customHeight="1" spans="1:1191" x14ac:dyDescent="0.25">
      <c r="A15" s="118"/>
      <c r="B15" s="119" t="s">
        <v>53</v>
      </c>
      <c r="C15" s="120" t="s">
        <v>52</v>
      </c>
      <c r="D15" s="121"/>
      <c r="E15" s="122"/>
      <c r="F15" s="151"/>
      <c r="G15" s="125"/>
      <c r="H15" s="125"/>
      <c r="I15" s="125"/>
      <c r="J15" s="125"/>
      <c r="K15" s="125"/>
      <c r="L15" s="124"/>
      <c r="M15" s="125"/>
      <c r="N15" s="126"/>
      <c r="O15" s="124"/>
      <c r="P15" s="124"/>
      <c r="Q15" s="127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8"/>
      <c r="AD15" s="129"/>
      <c r="AE15" s="128"/>
      <c r="AF15" s="131">
        <f>SUM(D15:AE15)</f>
      </c>
      <c r="AG15" s="121"/>
      <c r="AH15" s="122"/>
      <c r="AI15" s="151"/>
      <c r="AJ15" s="125"/>
      <c r="AK15" s="125"/>
      <c r="AL15" s="125"/>
      <c r="AM15" s="125"/>
      <c r="AN15" s="125"/>
      <c r="AO15" s="124"/>
      <c r="AP15" s="125"/>
      <c r="AQ15" s="126"/>
      <c r="AR15" s="124"/>
      <c r="AS15" s="124"/>
      <c r="AT15" s="127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/>
      <c r="BE15" s="125"/>
      <c r="BF15" s="128"/>
      <c r="BG15" s="129"/>
      <c r="BH15" s="128"/>
      <c r="BI15" s="131">
        <f>SUM(AG15:BH15)</f>
      </c>
      <c r="BJ15" s="121"/>
      <c r="BK15" s="122"/>
      <c r="BL15" s="151"/>
      <c r="BM15" s="125"/>
      <c r="BN15" s="125"/>
      <c r="BO15" s="125"/>
      <c r="BP15" s="125"/>
      <c r="BQ15" s="125"/>
      <c r="BR15" s="124"/>
      <c r="BS15" s="125"/>
      <c r="BT15" s="126"/>
      <c r="BU15" s="124"/>
      <c r="BV15" s="124"/>
      <c r="BW15" s="127"/>
      <c r="BX15" s="125"/>
      <c r="BY15" s="125"/>
      <c r="BZ15" s="125"/>
      <c r="CA15" s="125"/>
      <c r="CB15" s="125"/>
      <c r="CC15" s="125"/>
      <c r="CD15" s="125"/>
      <c r="CE15" s="125"/>
      <c r="CF15" s="125"/>
      <c r="CG15" s="125"/>
      <c r="CH15" s="125"/>
      <c r="CI15" s="128"/>
      <c r="CJ15" s="129"/>
      <c r="CK15" s="128"/>
      <c r="CL15" s="131">
        <f>SUM(BJ15:CK15)</f>
      </c>
      <c r="CM15" s="121"/>
      <c r="CN15" s="122"/>
      <c r="CO15" s="151"/>
      <c r="CP15" s="125"/>
      <c r="CQ15" s="125"/>
      <c r="CR15" s="125"/>
      <c r="CS15" s="125"/>
      <c r="CT15" s="125"/>
      <c r="CU15" s="124"/>
      <c r="CV15" s="125"/>
      <c r="CW15" s="126"/>
      <c r="CX15" s="124"/>
      <c r="CY15" s="124"/>
      <c r="CZ15" s="127"/>
      <c r="DA15" s="125"/>
      <c r="DB15" s="125"/>
      <c r="DC15" s="125"/>
      <c r="DD15" s="125"/>
      <c r="DE15" s="125"/>
      <c r="DF15" s="125"/>
      <c r="DG15" s="125"/>
      <c r="DH15" s="125"/>
      <c r="DI15" s="125"/>
      <c r="DJ15" s="125"/>
      <c r="DK15" s="125"/>
      <c r="DL15" s="128"/>
      <c r="DM15" s="129"/>
      <c r="DN15" s="128"/>
      <c r="DO15" s="131">
        <f>SUM(CM15:DN15)</f>
      </c>
      <c r="DP15" s="121"/>
      <c r="DQ15" s="122"/>
      <c r="DR15" s="151"/>
      <c r="DS15" s="125"/>
      <c r="DT15" s="125"/>
      <c r="DU15" s="125"/>
      <c r="DV15" s="125"/>
      <c r="DW15" s="125"/>
      <c r="DX15" s="124"/>
      <c r="DY15" s="125"/>
      <c r="DZ15" s="126"/>
      <c r="EA15" s="124"/>
      <c r="EB15" s="124"/>
      <c r="EC15" s="127"/>
      <c r="ED15" s="125"/>
      <c r="EE15" s="125"/>
      <c r="EF15" s="125"/>
      <c r="EG15" s="125"/>
      <c r="EH15" s="125"/>
      <c r="EI15" s="125"/>
      <c r="EJ15" s="125"/>
      <c r="EK15" s="125"/>
      <c r="EL15" s="125"/>
      <c r="EM15" s="125"/>
      <c r="EN15" s="125"/>
      <c r="EO15" s="128"/>
      <c r="EP15" s="129"/>
      <c r="EQ15" s="128"/>
      <c r="ER15" s="131">
        <f>SUM(DP15:EQ15)</f>
      </c>
      <c r="ES15" s="121"/>
      <c r="ET15" s="122"/>
      <c r="EU15" s="151"/>
      <c r="EV15" s="125"/>
      <c r="EW15" s="125"/>
      <c r="EX15" s="125"/>
      <c r="EY15" s="125"/>
      <c r="EZ15" s="125"/>
      <c r="FA15" s="124"/>
      <c r="FB15" s="125"/>
      <c r="FC15" s="126"/>
      <c r="FD15" s="124"/>
      <c r="FE15" s="124"/>
      <c r="FF15" s="127"/>
      <c r="FG15" s="125"/>
      <c r="FH15" s="125"/>
      <c r="FI15" s="125"/>
      <c r="FJ15" s="125"/>
      <c r="FK15" s="125"/>
      <c r="FL15" s="125"/>
      <c r="FM15" s="125"/>
      <c r="FN15" s="125"/>
      <c r="FO15" s="125"/>
      <c r="FP15" s="125"/>
      <c r="FQ15" s="125"/>
      <c r="FR15" s="128"/>
      <c r="FS15" s="129"/>
      <c r="FT15" s="128"/>
      <c r="FU15" s="131">
        <f>SUM(ES15:FT15)</f>
      </c>
      <c r="FV15" s="121"/>
      <c r="FW15" s="122"/>
      <c r="FX15" s="151"/>
      <c r="FY15" s="125"/>
      <c r="FZ15" s="125"/>
      <c r="GA15" s="125"/>
      <c r="GB15" s="125"/>
      <c r="GC15" s="125"/>
      <c r="GD15" s="124"/>
      <c r="GE15" s="125"/>
      <c r="GF15" s="126"/>
      <c r="GG15" s="124"/>
      <c r="GH15" s="124"/>
      <c r="GI15" s="127"/>
      <c r="GJ15" s="125"/>
      <c r="GK15" s="125"/>
      <c r="GL15" s="125"/>
      <c r="GM15" s="125"/>
      <c r="GN15" s="125"/>
      <c r="GO15" s="125"/>
      <c r="GP15" s="125"/>
      <c r="GQ15" s="125"/>
      <c r="GR15" s="125"/>
      <c r="GS15" s="125"/>
      <c r="GT15" s="125"/>
      <c r="GU15" s="128"/>
      <c r="GV15" s="129"/>
      <c r="GW15" s="128"/>
      <c r="GX15" s="131">
        <f>SUM(FV15:GW15)</f>
      </c>
      <c r="GY15" s="132">
        <f>AF15+BI15+CL15+DO15+ER15+FU15+GX15</f>
      </c>
      <c r="GZ15" s="133">
        <f>(COUNTIF(D15:GX15,"H")+COUNTIF(D15:GX15,"S")+COUNTIF(D15:GX15,"L")+COUNTIF(D15:GX15,"E")+COUNTIF(D15:GX15,"C"))/2</f>
      </c>
      <c r="HA15" s="130">
        <f>GY15+GZ15</f>
      </c>
      <c r="HB15" s="134"/>
      <c r="HC15" s="135"/>
      <c r="HD15" s="152"/>
      <c r="HE15" s="153"/>
      <c r="HF15" s="154">
        <v>0.5</v>
      </c>
      <c r="HG15" s="154">
        <v>0.5</v>
      </c>
      <c r="HH15" s="154">
        <v>0.5</v>
      </c>
      <c r="HI15" s="154">
        <v>0.5</v>
      </c>
      <c r="HJ15" s="138">
        <v>0.5</v>
      </c>
      <c r="HK15" s="139">
        <v>0.5</v>
      </c>
      <c r="HL15" s="140">
        <v>0.5</v>
      </c>
      <c r="HM15" s="138">
        <v>0.5</v>
      </c>
      <c r="HN15" s="137"/>
      <c r="HO15" s="141"/>
      <c r="HP15" s="139">
        <v>0.5</v>
      </c>
      <c r="HQ15" s="139">
        <v>0.5</v>
      </c>
      <c r="HR15" s="154">
        <v>0.5</v>
      </c>
      <c r="HS15" s="154">
        <v>0.5</v>
      </c>
      <c r="HT15" s="154">
        <v>0.5</v>
      </c>
      <c r="HU15" s="154">
        <v>0.5</v>
      </c>
      <c r="HV15" s="154">
        <v>0.5</v>
      </c>
      <c r="HW15" s="154">
        <v>0.5</v>
      </c>
      <c r="HX15" s="153"/>
      <c r="HY15" s="153"/>
      <c r="HZ15" s="153"/>
      <c r="IA15" s="146"/>
      <c r="IB15" s="145"/>
      <c r="IC15" s="146"/>
      <c r="ID15" s="131">
        <f>SUM(HB15:IC15)</f>
      </c>
      <c r="IE15" s="134"/>
      <c r="IF15" s="135"/>
      <c r="IG15" s="152"/>
      <c r="IH15" s="153"/>
      <c r="II15" s="154">
        <v>0.5</v>
      </c>
      <c r="IJ15" s="154">
        <v>0.5</v>
      </c>
      <c r="IK15" s="154">
        <v>0.5</v>
      </c>
      <c r="IL15" s="154">
        <v>0.5</v>
      </c>
      <c r="IM15" s="138">
        <v>0.5</v>
      </c>
      <c r="IN15" s="139">
        <v>0.5</v>
      </c>
      <c r="IO15" s="140">
        <v>0.5</v>
      </c>
      <c r="IP15" s="138">
        <v>0.5</v>
      </c>
      <c r="IQ15" s="137"/>
      <c r="IR15" s="141"/>
      <c r="IS15" s="139">
        <v>0.5</v>
      </c>
      <c r="IT15" s="139">
        <v>0.5</v>
      </c>
      <c r="IU15" s="154">
        <v>0.5</v>
      </c>
      <c r="IV15" s="154">
        <v>0.5</v>
      </c>
      <c r="IW15" s="154">
        <v>0.5</v>
      </c>
      <c r="IX15" s="154">
        <v>0.5</v>
      </c>
      <c r="IY15" s="154">
        <v>0.5</v>
      </c>
      <c r="IZ15" s="154">
        <v>0.5</v>
      </c>
      <c r="JA15" s="153"/>
      <c r="JB15" s="153"/>
      <c r="JC15" s="153"/>
      <c r="JD15" s="146"/>
      <c r="JE15" s="145"/>
      <c r="JF15" s="146"/>
      <c r="JG15" s="131">
        <f>SUM(IE15:JF15)</f>
      </c>
      <c r="JH15" s="134"/>
      <c r="JI15" s="135"/>
      <c r="JJ15" s="152"/>
      <c r="JK15" s="153"/>
      <c r="JL15" s="154">
        <v>0.5</v>
      </c>
      <c r="JM15" s="154">
        <v>0.5</v>
      </c>
      <c r="JN15" s="154">
        <v>0.5</v>
      </c>
      <c r="JO15" s="154">
        <v>0.5</v>
      </c>
      <c r="JP15" s="138">
        <v>0.5</v>
      </c>
      <c r="JQ15" s="139">
        <v>0.5</v>
      </c>
      <c r="JR15" s="140">
        <v>0.5</v>
      </c>
      <c r="JS15" s="138">
        <v>0.5</v>
      </c>
      <c r="JT15" s="137"/>
      <c r="JU15" s="141"/>
      <c r="JV15" s="139">
        <v>0.5</v>
      </c>
      <c r="JW15" s="139">
        <v>0.5</v>
      </c>
      <c r="JX15" s="154">
        <v>0.5</v>
      </c>
      <c r="JY15" s="154">
        <v>0.5</v>
      </c>
      <c r="JZ15" s="154">
        <v>0.5</v>
      </c>
      <c r="KA15" s="154">
        <v>0.5</v>
      </c>
      <c r="KB15" s="154">
        <v>0.5</v>
      </c>
      <c r="KC15" s="154">
        <v>0.5</v>
      </c>
      <c r="KD15" s="153"/>
      <c r="KE15" s="153"/>
      <c r="KF15" s="153"/>
      <c r="KG15" s="146"/>
      <c r="KH15" s="145"/>
      <c r="KI15" s="146"/>
      <c r="KJ15" s="131">
        <f>SUM(JH15:KI15)</f>
      </c>
      <c r="KK15" s="134"/>
      <c r="KL15" s="135"/>
      <c r="KM15" s="152"/>
      <c r="KN15" s="153"/>
      <c r="KO15" s="154">
        <v>0.5</v>
      </c>
      <c r="KP15" s="154">
        <v>0.5</v>
      </c>
      <c r="KQ15" s="154">
        <v>0.5</v>
      </c>
      <c r="KR15" s="154">
        <v>0.5</v>
      </c>
      <c r="KS15" s="138">
        <v>0.5</v>
      </c>
      <c r="KT15" s="139">
        <v>0.5</v>
      </c>
      <c r="KU15" s="140">
        <v>0.5</v>
      </c>
      <c r="KV15" s="138">
        <v>0.5</v>
      </c>
      <c r="KW15" s="137"/>
      <c r="KX15" s="141"/>
      <c r="KY15" s="139">
        <v>0.5</v>
      </c>
      <c r="KZ15" s="139">
        <v>0.5</v>
      </c>
      <c r="LA15" s="154">
        <v>0.5</v>
      </c>
      <c r="LB15" s="154">
        <v>0.5</v>
      </c>
      <c r="LC15" s="154">
        <v>0.5</v>
      </c>
      <c r="LD15" s="154">
        <v>0.5</v>
      </c>
      <c r="LE15" s="154">
        <v>0.5</v>
      </c>
      <c r="LF15" s="154">
        <v>0.5</v>
      </c>
      <c r="LG15" s="153"/>
      <c r="LH15" s="153"/>
      <c r="LI15" s="153"/>
      <c r="LJ15" s="146"/>
      <c r="LK15" s="145"/>
      <c r="LL15" s="146"/>
      <c r="LM15" s="131">
        <f>SUM(KK15:LL15)</f>
      </c>
      <c r="LN15" s="134"/>
      <c r="LO15" s="135"/>
      <c r="LP15" s="152"/>
      <c r="LQ15" s="153"/>
      <c r="LR15" s="154">
        <v>0.5</v>
      </c>
      <c r="LS15" s="154">
        <v>0.5</v>
      </c>
      <c r="LT15" s="154">
        <v>0.5</v>
      </c>
      <c r="LU15" s="154">
        <v>0.5</v>
      </c>
      <c r="LV15" s="138">
        <v>0.5</v>
      </c>
      <c r="LW15" s="139">
        <v>0.5</v>
      </c>
      <c r="LX15" s="140">
        <v>0.5</v>
      </c>
      <c r="LY15" s="138">
        <v>0.5</v>
      </c>
      <c r="LZ15" s="137"/>
      <c r="MA15" s="141"/>
      <c r="MB15" s="139">
        <v>0.5</v>
      </c>
      <c r="MC15" s="139">
        <v>0.5</v>
      </c>
      <c r="MD15" s="154">
        <v>0.5</v>
      </c>
      <c r="ME15" s="154">
        <v>0.5</v>
      </c>
      <c r="MF15" s="154">
        <v>0.5</v>
      </c>
      <c r="MG15" s="154">
        <v>0.5</v>
      </c>
      <c r="MH15" s="154">
        <v>0.5</v>
      </c>
      <c r="MI15" s="154">
        <v>0.5</v>
      </c>
      <c r="MJ15" s="153"/>
      <c r="MK15" s="153"/>
      <c r="ML15" s="153"/>
      <c r="MM15" s="146"/>
      <c r="MN15" s="145"/>
      <c r="MO15" s="146"/>
      <c r="MP15" s="131">
        <f>SUM(LN15:MO15)</f>
      </c>
      <c r="MQ15" s="121"/>
      <c r="MR15" s="122"/>
      <c r="MS15" s="151"/>
      <c r="MT15" s="125"/>
      <c r="MU15" s="125"/>
      <c r="MV15" s="125"/>
      <c r="MW15" s="125"/>
      <c r="MX15" s="125"/>
      <c r="MY15" s="124"/>
      <c r="MZ15" s="125"/>
      <c r="NA15" s="126"/>
      <c r="NB15" s="124"/>
      <c r="NC15" s="124"/>
      <c r="ND15" s="127"/>
      <c r="NE15" s="125"/>
      <c r="NF15" s="125"/>
      <c r="NG15" s="125"/>
      <c r="NH15" s="125"/>
      <c r="NI15" s="125"/>
      <c r="NJ15" s="125"/>
      <c r="NK15" s="125"/>
      <c r="NL15" s="125"/>
      <c r="NM15" s="125"/>
      <c r="NN15" s="125"/>
      <c r="NO15" s="125"/>
      <c r="NP15" s="128"/>
      <c r="NQ15" s="129"/>
      <c r="NR15" s="128"/>
      <c r="NS15" s="131">
        <f>SUM(MQ15:NR15)</f>
      </c>
      <c r="NT15" s="121"/>
      <c r="NU15" s="122"/>
      <c r="NV15" s="151"/>
      <c r="NW15" s="125"/>
      <c r="NX15" s="125"/>
      <c r="NY15" s="125"/>
      <c r="NZ15" s="125"/>
      <c r="OA15" s="125"/>
      <c r="OB15" s="124"/>
      <c r="OC15" s="125"/>
      <c r="OD15" s="126"/>
      <c r="OE15" s="124"/>
      <c r="OF15" s="124"/>
      <c r="OG15" s="127"/>
      <c r="OH15" s="125"/>
      <c r="OI15" s="125"/>
      <c r="OJ15" s="125"/>
      <c r="OK15" s="125"/>
      <c r="OL15" s="125"/>
      <c r="OM15" s="125"/>
      <c r="ON15" s="125"/>
      <c r="OO15" s="125"/>
      <c r="OP15" s="125"/>
      <c r="OQ15" s="125"/>
      <c r="OR15" s="125"/>
      <c r="OS15" s="128"/>
      <c r="OT15" s="129"/>
      <c r="OU15" s="128"/>
      <c r="OV15" s="131">
        <f>SUM(NT15:OU15)</f>
      </c>
      <c r="OW15" s="132">
        <f>ID15+JG15+KJ15+LM15+MP15+NS15+OV15</f>
      </c>
      <c r="OX15" s="133">
        <f>(COUNTIF(HB15:OV15,"H")+COUNTIF(HB15:OV15,"S")+COUNTIF(HB15:OV15,"L")+COUNTIF(HB15:OV15,"E")+COUNTIF(HB15:OV15,"C"))/2</f>
      </c>
      <c r="OY15" s="130">
        <f>OW15+OX15</f>
      </c>
      <c r="OZ15" s="134"/>
      <c r="PA15" s="135"/>
      <c r="PB15" s="152"/>
      <c r="PC15" s="153"/>
      <c r="PD15" s="153"/>
      <c r="PE15" s="153"/>
      <c r="PF15" s="153"/>
      <c r="PG15" s="153"/>
      <c r="PH15" s="138">
        <v>0.5</v>
      </c>
      <c r="PI15" s="139">
        <v>0.5</v>
      </c>
      <c r="PJ15" s="140">
        <v>0.5</v>
      </c>
      <c r="PK15" s="138">
        <v>0.5</v>
      </c>
      <c r="PL15" s="137"/>
      <c r="PM15" s="141"/>
      <c r="PN15" s="139">
        <v>0.5</v>
      </c>
      <c r="PO15" s="139">
        <v>0.5</v>
      </c>
      <c r="PP15" s="154">
        <v>0.5</v>
      </c>
      <c r="PQ15" s="154">
        <v>0.5</v>
      </c>
      <c r="PR15" s="154">
        <v>0.5</v>
      </c>
      <c r="PS15" s="154">
        <v>0.5</v>
      </c>
      <c r="PT15" s="154">
        <v>0.5</v>
      </c>
      <c r="PU15" s="154">
        <v>0.5</v>
      </c>
      <c r="PV15" s="154">
        <v>0.5</v>
      </c>
      <c r="PW15" s="154">
        <v>0.5</v>
      </c>
      <c r="PX15" s="154">
        <v>0.5</v>
      </c>
      <c r="PY15" s="144">
        <v>0.5</v>
      </c>
      <c r="PZ15" s="145"/>
      <c r="QA15" s="146"/>
      <c r="QB15" s="131">
        <f>SUM(OZ15:QA15)</f>
      </c>
      <c r="QC15" s="134"/>
      <c r="QD15" s="135"/>
      <c r="QE15" s="152"/>
      <c r="QF15" s="153"/>
      <c r="QG15" s="153"/>
      <c r="QH15" s="153"/>
      <c r="QI15" s="153"/>
      <c r="QJ15" s="153"/>
      <c r="QK15" s="138">
        <v>0.5</v>
      </c>
      <c r="QL15" s="139">
        <v>0.5</v>
      </c>
      <c r="QM15" s="140">
        <v>0.5</v>
      </c>
      <c r="QN15" s="138">
        <v>0.5</v>
      </c>
      <c r="QO15" s="137"/>
      <c r="QP15" s="141"/>
      <c r="QQ15" s="139">
        <v>0.5</v>
      </c>
      <c r="QR15" s="139">
        <v>0.5</v>
      </c>
      <c r="QS15" s="154">
        <v>0.5</v>
      </c>
      <c r="QT15" s="154">
        <v>0.5</v>
      </c>
      <c r="QU15" s="154">
        <v>0.5</v>
      </c>
      <c r="QV15" s="154">
        <v>0.5</v>
      </c>
      <c r="QW15" s="154">
        <v>0.5</v>
      </c>
      <c r="QX15" s="154">
        <v>0.5</v>
      </c>
      <c r="QY15" s="154">
        <v>0.5</v>
      </c>
      <c r="QZ15" s="154">
        <v>0.5</v>
      </c>
      <c r="RA15" s="154">
        <v>0.5</v>
      </c>
      <c r="RB15" s="144">
        <v>0.5</v>
      </c>
      <c r="RC15" s="145"/>
      <c r="RD15" s="146"/>
      <c r="RE15" s="131">
        <f>SUM(QC15:RD15)</f>
      </c>
      <c r="RF15" s="134"/>
      <c r="RG15" s="135"/>
      <c r="RH15" s="152"/>
      <c r="RI15" s="153"/>
      <c r="RJ15" s="153"/>
      <c r="RK15" s="153"/>
      <c r="RL15" s="153"/>
      <c r="RM15" s="153"/>
      <c r="RN15" s="138">
        <v>0.5</v>
      </c>
      <c r="RO15" s="139">
        <v>0.5</v>
      </c>
      <c r="RP15" s="140">
        <v>0.5</v>
      </c>
      <c r="RQ15" s="138">
        <v>0.5</v>
      </c>
      <c r="RR15" s="137"/>
      <c r="RS15" s="141"/>
      <c r="RT15" s="139">
        <v>0.5</v>
      </c>
      <c r="RU15" s="139">
        <v>0.5</v>
      </c>
      <c r="RV15" s="154">
        <v>0.5</v>
      </c>
      <c r="RW15" s="154">
        <v>0.5</v>
      </c>
      <c r="RX15" s="154">
        <v>0.5</v>
      </c>
      <c r="RY15" s="154">
        <v>0.5</v>
      </c>
      <c r="RZ15" s="154">
        <v>0.5</v>
      </c>
      <c r="SA15" s="154">
        <v>0.5</v>
      </c>
      <c r="SB15" s="154">
        <v>0.5</v>
      </c>
      <c r="SC15" s="154">
        <v>0.5</v>
      </c>
      <c r="SD15" s="154">
        <v>0.5</v>
      </c>
      <c r="SE15" s="144">
        <v>0.5</v>
      </c>
      <c r="SF15" s="145"/>
      <c r="SG15" s="146"/>
      <c r="SH15" s="131">
        <f>SUM(RF15:SG15)</f>
      </c>
      <c r="SI15" s="134"/>
      <c r="SJ15" s="135"/>
      <c r="SK15" s="152"/>
      <c r="SL15" s="153"/>
      <c r="SM15" s="153"/>
      <c r="SN15" s="153"/>
      <c r="SO15" s="153"/>
      <c r="SP15" s="153"/>
      <c r="SQ15" s="138">
        <v>0.5</v>
      </c>
      <c r="SR15" s="139">
        <v>0.5</v>
      </c>
      <c r="SS15" s="140">
        <v>0.5</v>
      </c>
      <c r="ST15" s="138">
        <v>0.5</v>
      </c>
      <c r="SU15" s="137"/>
      <c r="SV15" s="141"/>
      <c r="SW15" s="139">
        <v>0.5</v>
      </c>
      <c r="SX15" s="139">
        <v>0.5</v>
      </c>
      <c r="SY15" s="154">
        <v>0.5</v>
      </c>
      <c r="SZ15" s="154">
        <v>0.5</v>
      </c>
      <c r="TA15" s="154">
        <v>0.5</v>
      </c>
      <c r="TB15" s="154">
        <v>0.5</v>
      </c>
      <c r="TC15" s="154">
        <v>0.5</v>
      </c>
      <c r="TD15" s="154">
        <v>0.5</v>
      </c>
      <c r="TE15" s="154">
        <v>0.5</v>
      </c>
      <c r="TF15" s="154">
        <v>0.5</v>
      </c>
      <c r="TG15" s="154">
        <v>0.5</v>
      </c>
      <c r="TH15" s="144">
        <v>0.5</v>
      </c>
      <c r="TI15" s="145"/>
      <c r="TJ15" s="146"/>
      <c r="TK15" s="131">
        <f>SUM(SI15:TJ15)</f>
      </c>
      <c r="TL15" s="134"/>
      <c r="TM15" s="135"/>
      <c r="TN15" s="152"/>
      <c r="TO15" s="153"/>
      <c r="TP15" s="153"/>
      <c r="TQ15" s="153"/>
      <c r="TR15" s="153"/>
      <c r="TS15" s="153"/>
      <c r="TT15" s="138">
        <v>0.5</v>
      </c>
      <c r="TU15" s="139">
        <v>0.5</v>
      </c>
      <c r="TV15" s="140">
        <v>0.5</v>
      </c>
      <c r="TW15" s="138">
        <v>0.5</v>
      </c>
      <c r="TX15" s="137"/>
      <c r="TY15" s="141"/>
      <c r="TZ15" s="139">
        <v>0.5</v>
      </c>
      <c r="UA15" s="139">
        <v>0.5</v>
      </c>
      <c r="UB15" s="154">
        <v>0.5</v>
      </c>
      <c r="UC15" s="154">
        <v>0.5</v>
      </c>
      <c r="UD15" s="154">
        <v>0.5</v>
      </c>
      <c r="UE15" s="154">
        <v>0.5</v>
      </c>
      <c r="UF15" s="154">
        <v>0.5</v>
      </c>
      <c r="UG15" s="154">
        <v>0.5</v>
      </c>
      <c r="UH15" s="154">
        <v>0.5</v>
      </c>
      <c r="UI15" s="154">
        <v>0.5</v>
      </c>
      <c r="UJ15" s="154">
        <v>0.5</v>
      </c>
      <c r="UK15" s="144">
        <v>0.5</v>
      </c>
      <c r="UL15" s="145"/>
      <c r="UM15" s="146"/>
      <c r="UN15" s="131">
        <f>SUM(TL15:UM15)</f>
      </c>
      <c r="UO15" s="121"/>
      <c r="UP15" s="122"/>
      <c r="UQ15" s="151"/>
      <c r="UR15" s="125"/>
      <c r="US15" s="125"/>
      <c r="UT15" s="125"/>
      <c r="UU15" s="125"/>
      <c r="UV15" s="125"/>
      <c r="UW15" s="124"/>
      <c r="UX15" s="125"/>
      <c r="UY15" s="126"/>
      <c r="UZ15" s="124"/>
      <c r="VA15" s="124"/>
      <c r="VB15" s="127"/>
      <c r="VC15" s="125"/>
      <c r="VD15" s="125"/>
      <c r="VE15" s="125"/>
      <c r="VF15" s="125"/>
      <c r="VG15" s="125"/>
      <c r="VH15" s="125"/>
      <c r="VI15" s="125"/>
      <c r="VJ15" s="125"/>
      <c r="VK15" s="125"/>
      <c r="VL15" s="125"/>
      <c r="VM15" s="125"/>
      <c r="VN15" s="128"/>
      <c r="VO15" s="129"/>
      <c r="VP15" s="128"/>
      <c r="VQ15" s="131">
        <f>SUM(UO15:VP15)</f>
      </c>
      <c r="VR15" s="121"/>
      <c r="VS15" s="122"/>
      <c r="VT15" s="151"/>
      <c r="VU15" s="125"/>
      <c r="VV15" s="125"/>
      <c r="VW15" s="125"/>
      <c r="VX15" s="125"/>
      <c r="VY15" s="125"/>
      <c r="VZ15" s="124"/>
      <c r="WA15" s="125"/>
      <c r="WB15" s="126"/>
      <c r="WC15" s="124"/>
      <c r="WD15" s="124"/>
      <c r="WE15" s="127"/>
      <c r="WF15" s="125"/>
      <c r="WG15" s="125"/>
      <c r="WH15" s="125"/>
      <c r="WI15" s="125"/>
      <c r="WJ15" s="125"/>
      <c r="WK15" s="125"/>
      <c r="WL15" s="125"/>
      <c r="WM15" s="125"/>
      <c r="WN15" s="125"/>
      <c r="WO15" s="125"/>
      <c r="WP15" s="125"/>
      <c r="WQ15" s="128"/>
      <c r="WR15" s="129"/>
      <c r="WS15" s="128"/>
      <c r="WT15" s="131">
        <f>SUM(VR15:WS15)</f>
      </c>
      <c r="WU15" s="150">
        <f>QB15+RE15+SH15+TK15+UN15+VQ15+WT15</f>
      </c>
      <c r="WV15" s="133">
        <f>(COUNTIF(OZ15:WT15,"H")+COUNTIF(OZ15:WT15,"S")+COUNTIF(OZ15:WT15,"L")+COUNTIF(OZ15:WT15,"E")+COUNTIF(OZ15:WT15,"C"))/2</f>
      </c>
      <c r="WW15" s="131">
        <f>WU15+WV15</f>
      </c>
      <c r="WX15" s="134"/>
      <c r="WY15" s="135"/>
      <c r="WZ15" s="152"/>
      <c r="XA15" s="153"/>
      <c r="XB15" s="154">
        <v>0.5</v>
      </c>
      <c r="XC15" s="154">
        <v>0.5</v>
      </c>
      <c r="XD15" s="154">
        <v>0.5</v>
      </c>
      <c r="XE15" s="154">
        <v>0.5</v>
      </c>
      <c r="XF15" s="138">
        <v>0.5</v>
      </c>
      <c r="XG15" s="139">
        <v>0.5</v>
      </c>
      <c r="XH15" s="140">
        <v>0.5</v>
      </c>
      <c r="XI15" s="138">
        <v>0.5</v>
      </c>
      <c r="XJ15" s="137"/>
      <c r="XK15" s="141"/>
      <c r="XL15" s="139">
        <v>0.5</v>
      </c>
      <c r="XM15" s="139">
        <v>0.5</v>
      </c>
      <c r="XN15" s="154">
        <v>0.5</v>
      </c>
      <c r="XO15" s="154">
        <v>0.5</v>
      </c>
      <c r="XP15" s="154">
        <v>0.5</v>
      </c>
      <c r="XQ15" s="154">
        <v>0.5</v>
      </c>
      <c r="XR15" s="154">
        <v>0.5</v>
      </c>
      <c r="XS15" s="154">
        <v>0.5</v>
      </c>
      <c r="XT15" s="153"/>
      <c r="XU15" s="153"/>
      <c r="XV15" s="153"/>
      <c r="XW15" s="146"/>
      <c r="XX15" s="145"/>
      <c r="XY15" s="146"/>
      <c r="XZ15" s="131">
        <f>SUM(WX15:XY15)</f>
      </c>
      <c r="YA15" s="134"/>
      <c r="YB15" s="135"/>
      <c r="YC15" s="152"/>
      <c r="YD15" s="153"/>
      <c r="YE15" s="154">
        <v>0.5</v>
      </c>
      <c r="YF15" s="154">
        <v>0.5</v>
      </c>
      <c r="YG15" s="154">
        <v>0.5</v>
      </c>
      <c r="YH15" s="154">
        <v>0.5</v>
      </c>
      <c r="YI15" s="138">
        <v>0.5</v>
      </c>
      <c r="YJ15" s="139">
        <v>0.5</v>
      </c>
      <c r="YK15" s="140">
        <v>0.5</v>
      </c>
      <c r="YL15" s="138">
        <v>0.5</v>
      </c>
      <c r="YM15" s="137"/>
      <c r="YN15" s="141"/>
      <c r="YO15" s="139">
        <v>0.5</v>
      </c>
      <c r="YP15" s="139">
        <v>0.5</v>
      </c>
      <c r="YQ15" s="154">
        <v>0.5</v>
      </c>
      <c r="YR15" s="154">
        <v>0.5</v>
      </c>
      <c r="YS15" s="154">
        <v>0.5</v>
      </c>
      <c r="YT15" s="154">
        <v>0.5</v>
      </c>
      <c r="YU15" s="154">
        <v>0.5</v>
      </c>
      <c r="YV15" s="154">
        <v>0.5</v>
      </c>
      <c r="YW15" s="153"/>
      <c r="YX15" s="153"/>
      <c r="YY15" s="153"/>
      <c r="YZ15" s="146"/>
      <c r="ZA15" s="145"/>
      <c r="ZB15" s="146"/>
      <c r="ZC15" s="131">
        <f>SUM(YA15:ZB15)</f>
      </c>
      <c r="ZD15" s="134"/>
      <c r="ZE15" s="135"/>
      <c r="ZF15" s="152"/>
      <c r="ZG15" s="153"/>
      <c r="ZH15" s="154">
        <v>0.5</v>
      </c>
      <c r="ZI15" s="154">
        <v>0.5</v>
      </c>
      <c r="ZJ15" s="154">
        <v>0.5</v>
      </c>
      <c r="ZK15" s="154">
        <v>0.5</v>
      </c>
      <c r="ZL15" s="138">
        <v>0.5</v>
      </c>
      <c r="ZM15" s="139">
        <v>0.5</v>
      </c>
      <c r="ZN15" s="140">
        <v>0.5</v>
      </c>
      <c r="ZO15" s="138">
        <v>0.5</v>
      </c>
      <c r="ZP15" s="137"/>
      <c r="ZQ15" s="141"/>
      <c r="ZR15" s="139">
        <v>0.5</v>
      </c>
      <c r="ZS15" s="139">
        <v>0.5</v>
      </c>
      <c r="ZT15" s="154">
        <v>0.5</v>
      </c>
      <c r="ZU15" s="154">
        <v>0.5</v>
      </c>
      <c r="ZV15" s="154">
        <v>0.5</v>
      </c>
      <c r="ZW15" s="154">
        <v>0.5</v>
      </c>
      <c r="ZX15" s="154">
        <v>0.5</v>
      </c>
      <c r="ZY15" s="154">
        <v>0.5</v>
      </c>
      <c r="ZZ15" s="153"/>
      <c r="AAA15" s="153"/>
      <c r="AAB15" s="153"/>
      <c r="AAC15" s="146"/>
      <c r="AAD15" s="145"/>
      <c r="AAE15" s="146"/>
      <c r="AAF15" s="131">
        <f>SUM(ZD15:AAE15)</f>
      </c>
      <c r="AAG15" s="134"/>
      <c r="AAH15" s="135"/>
      <c r="AAI15" s="152"/>
      <c r="AAJ15" s="153"/>
      <c r="AAK15" s="154">
        <v>0.5</v>
      </c>
      <c r="AAL15" s="154">
        <v>0.5</v>
      </c>
      <c r="AAM15" s="154">
        <v>0.5</v>
      </c>
      <c r="AAN15" s="154">
        <v>0.5</v>
      </c>
      <c r="AAO15" s="138">
        <v>0.5</v>
      </c>
      <c r="AAP15" s="139">
        <v>0.5</v>
      </c>
      <c r="AAQ15" s="140">
        <v>0.5</v>
      </c>
      <c r="AAR15" s="138">
        <v>0.5</v>
      </c>
      <c r="AAS15" s="137"/>
      <c r="AAT15" s="141"/>
      <c r="AAU15" s="139">
        <v>0.5</v>
      </c>
      <c r="AAV15" s="139">
        <v>0.5</v>
      </c>
      <c r="AAW15" s="154">
        <v>0.5</v>
      </c>
      <c r="AAX15" s="154">
        <v>0.5</v>
      </c>
      <c r="AAY15" s="154">
        <v>0.5</v>
      </c>
      <c r="AAZ15" s="154">
        <v>0.5</v>
      </c>
      <c r="ABA15" s="154">
        <v>0.5</v>
      </c>
      <c r="ABB15" s="154">
        <v>0.5</v>
      </c>
      <c r="ABC15" s="153"/>
      <c r="ABD15" s="153"/>
      <c r="ABE15" s="153"/>
      <c r="ABF15" s="146"/>
      <c r="ABG15" s="145"/>
      <c r="ABH15" s="146"/>
      <c r="ABI15" s="131">
        <f>SUM(AAG15:ABH15)</f>
      </c>
      <c r="ABJ15" s="134"/>
      <c r="ABK15" s="135"/>
      <c r="ABL15" s="152"/>
      <c r="ABM15" s="153"/>
      <c r="ABN15" s="154">
        <v>0.5</v>
      </c>
      <c r="ABO15" s="154">
        <v>0.5</v>
      </c>
      <c r="ABP15" s="154">
        <v>0.5</v>
      </c>
      <c r="ABQ15" s="154">
        <v>0.5</v>
      </c>
      <c r="ABR15" s="138">
        <v>0.5</v>
      </c>
      <c r="ABS15" s="139">
        <v>0.5</v>
      </c>
      <c r="ABT15" s="140">
        <v>0.5</v>
      </c>
      <c r="ABU15" s="138">
        <v>0.5</v>
      </c>
      <c r="ABV15" s="137"/>
      <c r="ABW15" s="141"/>
      <c r="ABX15" s="139">
        <v>0.5</v>
      </c>
      <c r="ABY15" s="139">
        <v>0.5</v>
      </c>
      <c r="ABZ15" s="154">
        <v>0.5</v>
      </c>
      <c r="ACA15" s="154">
        <v>0.5</v>
      </c>
      <c r="ACB15" s="154">
        <v>0.5</v>
      </c>
      <c r="ACC15" s="154">
        <v>0.5</v>
      </c>
      <c r="ACD15" s="154">
        <v>0.5</v>
      </c>
      <c r="ACE15" s="154">
        <v>0.5</v>
      </c>
      <c r="ACF15" s="153"/>
      <c r="ACG15" s="153"/>
      <c r="ACH15" s="153"/>
      <c r="ACI15" s="146"/>
      <c r="ACJ15" s="145"/>
      <c r="ACK15" s="146"/>
      <c r="ACL15" s="131">
        <f>SUM(ABJ15:ACK15)</f>
      </c>
      <c r="ACM15" s="121"/>
      <c r="ACN15" s="122"/>
      <c r="ACO15" s="151"/>
      <c r="ACP15" s="125"/>
      <c r="ACQ15" s="125"/>
      <c r="ACR15" s="125"/>
      <c r="ACS15" s="125"/>
      <c r="ACT15" s="125"/>
      <c r="ACU15" s="124"/>
      <c r="ACV15" s="125"/>
      <c r="ACW15" s="126"/>
      <c r="ACX15" s="124"/>
      <c r="ACY15" s="124"/>
      <c r="ACZ15" s="127"/>
      <c r="ADA15" s="125"/>
      <c r="ADB15" s="125"/>
      <c r="ADC15" s="125"/>
      <c r="ADD15" s="125"/>
      <c r="ADE15" s="125"/>
      <c r="ADF15" s="125"/>
      <c r="ADG15" s="125"/>
      <c r="ADH15" s="125"/>
      <c r="ADI15" s="125"/>
      <c r="ADJ15" s="125"/>
      <c r="ADK15" s="125"/>
      <c r="ADL15" s="128"/>
      <c r="ADM15" s="129"/>
      <c r="ADN15" s="128"/>
      <c r="ADO15" s="131">
        <f>SUM(ACM15:ADN15)</f>
      </c>
      <c r="ADP15" s="121"/>
      <c r="ADQ15" s="122"/>
      <c r="ADR15" s="151"/>
      <c r="ADS15" s="125"/>
      <c r="ADT15" s="125"/>
      <c r="ADU15" s="125"/>
      <c r="ADV15" s="125"/>
      <c r="ADW15" s="125"/>
      <c r="ADX15" s="124"/>
      <c r="ADY15" s="125"/>
      <c r="ADZ15" s="126"/>
      <c r="AEA15" s="124"/>
      <c r="AEB15" s="124"/>
      <c r="AEC15" s="127"/>
      <c r="AED15" s="125"/>
      <c r="AEE15" s="125"/>
      <c r="AEF15" s="125"/>
      <c r="AEG15" s="125"/>
      <c r="AEH15" s="125"/>
      <c r="AEI15" s="125"/>
      <c r="AEJ15" s="125"/>
      <c r="AEK15" s="125"/>
      <c r="AEL15" s="125"/>
      <c r="AEM15" s="125"/>
      <c r="AEN15" s="125"/>
      <c r="AEO15" s="128"/>
      <c r="AEP15" s="129"/>
      <c r="AEQ15" s="128"/>
      <c r="AER15" s="131">
        <f>SUM(ADP15:AEQ15)</f>
      </c>
      <c r="AES15" s="150">
        <f>XZ15+ZC15+AAF15+ABI15+ACL15+ADO15+AER15</f>
      </c>
      <c r="AET15" s="133">
        <f>(COUNTIF(WX15:AER15,"H")+COUNTIF(WX15:AER15,"S")+COUNTIF(WX15:AER15,"L")+COUNTIF(WX15:AER15,"E")+COUNTIF(WX15:AER15,"C"))/2</f>
      </c>
      <c r="AEU15" s="131">
        <f>AES15+AET15</f>
      </c>
      <c r="AEV15" s="134"/>
      <c r="AEW15" s="135"/>
      <c r="AEX15" s="152"/>
      <c r="AEY15" s="139">
        <v>0.5</v>
      </c>
      <c r="AEZ15" s="139">
        <v>0.5</v>
      </c>
      <c r="AFA15" s="139">
        <v>0.5</v>
      </c>
      <c r="AFB15" s="139">
        <v>0.5</v>
      </c>
      <c r="AFC15" s="139">
        <v>0.5</v>
      </c>
      <c r="AFD15" s="138">
        <v>0.5</v>
      </c>
      <c r="AFE15" s="139">
        <v>0.5</v>
      </c>
      <c r="AFF15" s="155"/>
      <c r="AFG15" s="137"/>
      <c r="AFH15" s="138">
        <v>0.5</v>
      </c>
      <c r="AFI15" s="149">
        <v>0.5</v>
      </c>
      <c r="AFJ15" s="139">
        <v>0.5</v>
      </c>
      <c r="AFK15" s="139">
        <v>0.5</v>
      </c>
      <c r="AFL15" s="139">
        <v>0.5</v>
      </c>
      <c r="AFM15" s="139">
        <v>0.5</v>
      </c>
      <c r="AFN15" s="139">
        <v>0.5</v>
      </c>
      <c r="AFO15" s="139">
        <v>0.5</v>
      </c>
      <c r="AFP15" s="139">
        <v>0.5</v>
      </c>
      <c r="AFQ15" s="153"/>
      <c r="AFR15" s="153"/>
      <c r="AFS15" s="153"/>
      <c r="AFT15" s="153"/>
      <c r="AFU15" s="146"/>
      <c r="AFV15" s="145"/>
      <c r="AFW15" s="146"/>
      <c r="AFX15" s="131">
        <f>SUM(AEV15:AFW15)</f>
      </c>
      <c r="AFY15" s="134"/>
      <c r="AFZ15" s="135"/>
      <c r="AGA15" s="152"/>
      <c r="AGB15" s="139">
        <v>0.5</v>
      </c>
      <c r="AGC15" s="139">
        <v>0.5</v>
      </c>
      <c r="AGD15" s="139">
        <v>0.5</v>
      </c>
      <c r="AGE15" s="139">
        <v>0.5</v>
      </c>
      <c r="AGF15" s="139">
        <v>0.5</v>
      </c>
      <c r="AGG15" s="138">
        <v>0.5</v>
      </c>
      <c r="AGH15" s="139">
        <v>0.5</v>
      </c>
      <c r="AGI15" s="155"/>
      <c r="AGJ15" s="137"/>
      <c r="AGK15" s="138">
        <v>0.5</v>
      </c>
      <c r="AGL15" s="149">
        <v>0.5</v>
      </c>
      <c r="AGM15" s="139">
        <v>0.5</v>
      </c>
      <c r="AGN15" s="139">
        <v>0.5</v>
      </c>
      <c r="AGO15" s="139">
        <v>0.5</v>
      </c>
      <c r="AGP15" s="139">
        <v>0.5</v>
      </c>
      <c r="AGQ15" s="139">
        <v>0.5</v>
      </c>
      <c r="AGR15" s="139">
        <v>0.5</v>
      </c>
      <c r="AGS15" s="139">
        <v>0.5</v>
      </c>
      <c r="AGT15" s="153"/>
      <c r="AGU15" s="153"/>
      <c r="AGV15" s="153"/>
      <c r="AGW15" s="153"/>
      <c r="AGX15" s="146"/>
      <c r="AGY15" s="145"/>
      <c r="AGZ15" s="146"/>
      <c r="AHA15" s="131">
        <f>SUM(AFY15:AGZ15)</f>
      </c>
      <c r="AHB15" s="134"/>
      <c r="AHC15" s="135"/>
      <c r="AHD15" s="152"/>
      <c r="AHE15" s="139">
        <v>0.5</v>
      </c>
      <c r="AHF15" s="139">
        <v>0.5</v>
      </c>
      <c r="AHG15" s="139">
        <v>0.5</v>
      </c>
      <c r="AHH15" s="139">
        <v>0.5</v>
      </c>
      <c r="AHI15" s="139">
        <v>0.5</v>
      </c>
      <c r="AHJ15" s="138">
        <v>0.5</v>
      </c>
      <c r="AHK15" s="139">
        <v>0.5</v>
      </c>
      <c r="AHL15" s="155"/>
      <c r="AHM15" s="137"/>
      <c r="AHN15" s="138">
        <v>0.5</v>
      </c>
      <c r="AHO15" s="149">
        <v>0.5</v>
      </c>
      <c r="AHP15" s="139">
        <v>0.5</v>
      </c>
      <c r="AHQ15" s="139">
        <v>0.5</v>
      </c>
      <c r="AHR15" s="139">
        <v>0.5</v>
      </c>
      <c r="AHS15" s="139">
        <v>0.5</v>
      </c>
      <c r="AHT15" s="139">
        <v>0.5</v>
      </c>
      <c r="AHU15" s="139">
        <v>0.5</v>
      </c>
      <c r="AHV15" s="139">
        <v>0.5</v>
      </c>
      <c r="AHW15" s="153"/>
      <c r="AHX15" s="153"/>
      <c r="AHY15" s="153"/>
      <c r="AHZ15" s="153"/>
      <c r="AIA15" s="146"/>
      <c r="AIB15" s="145"/>
      <c r="AIC15" s="146"/>
      <c r="AID15" s="131">
        <f>SUM(AHB15:AIC15)</f>
      </c>
      <c r="AIE15" s="134"/>
      <c r="AIF15" s="135"/>
      <c r="AIG15" s="152"/>
      <c r="AIH15" s="139">
        <v>0.5</v>
      </c>
      <c r="AII15" s="139">
        <v>0.5</v>
      </c>
      <c r="AIJ15" s="139">
        <v>0.5</v>
      </c>
      <c r="AIK15" s="139">
        <v>0.5</v>
      </c>
      <c r="AIL15" s="139">
        <v>0.5</v>
      </c>
      <c r="AIM15" s="138">
        <v>0.5</v>
      </c>
      <c r="AIN15" s="139">
        <v>0.5</v>
      </c>
      <c r="AIO15" s="155"/>
      <c r="AIP15" s="137"/>
      <c r="AIQ15" s="138">
        <v>0.5</v>
      </c>
      <c r="AIR15" s="149">
        <v>0.5</v>
      </c>
      <c r="AIS15" s="139">
        <v>0.5</v>
      </c>
      <c r="AIT15" s="139">
        <v>0.5</v>
      </c>
      <c r="AIU15" s="139">
        <v>0.5</v>
      </c>
      <c r="AIV15" s="139">
        <v>0.5</v>
      </c>
      <c r="AIW15" s="139">
        <v>0.5</v>
      </c>
      <c r="AIX15" s="139">
        <v>0.5</v>
      </c>
      <c r="AIY15" s="139">
        <v>0.5</v>
      </c>
      <c r="AIZ15" s="153"/>
      <c r="AJA15" s="153"/>
      <c r="AJB15" s="153"/>
      <c r="AJC15" s="153"/>
      <c r="AJD15" s="146"/>
      <c r="AJE15" s="145"/>
      <c r="AJF15" s="146"/>
      <c r="AJG15" s="131">
        <f>SUM(AIE15:AJF15)</f>
      </c>
      <c r="AJH15" s="134"/>
      <c r="AJI15" s="135"/>
      <c r="AJJ15" s="152"/>
      <c r="AJK15" s="139">
        <v>0.5</v>
      </c>
      <c r="AJL15" s="139">
        <v>0.5</v>
      </c>
      <c r="AJM15" s="139">
        <v>0.5</v>
      </c>
      <c r="AJN15" s="139">
        <v>0.5</v>
      </c>
      <c r="AJO15" s="139">
        <v>0.5</v>
      </c>
      <c r="AJP15" s="138">
        <v>0.5</v>
      </c>
      <c r="AJQ15" s="139">
        <v>0.5</v>
      </c>
      <c r="AJR15" s="155"/>
      <c r="AJS15" s="137"/>
      <c r="AJT15" s="138">
        <v>0.5</v>
      </c>
      <c r="AJU15" s="149">
        <v>0.5</v>
      </c>
      <c r="AJV15" s="139">
        <v>0.5</v>
      </c>
      <c r="AJW15" s="139">
        <v>0.5</v>
      </c>
      <c r="AJX15" s="139">
        <v>0.5</v>
      </c>
      <c r="AJY15" s="139">
        <v>0.5</v>
      </c>
      <c r="AJZ15" s="139">
        <v>0.5</v>
      </c>
      <c r="AKA15" s="139">
        <v>0.5</v>
      </c>
      <c r="AKB15" s="139">
        <v>0.5</v>
      </c>
      <c r="AKC15" s="153"/>
      <c r="AKD15" s="153"/>
      <c r="AKE15" s="153"/>
      <c r="AKF15" s="153"/>
      <c r="AKG15" s="146"/>
      <c r="AKH15" s="145"/>
      <c r="AKI15" s="146"/>
      <c r="AKJ15" s="131">
        <f>SUM(AJH15:AKI15)</f>
      </c>
      <c r="AKK15" s="121"/>
      <c r="AKL15" s="122"/>
      <c r="AKM15" s="151"/>
      <c r="AKN15" s="125"/>
      <c r="AKO15" s="125"/>
      <c r="AKP15" s="125"/>
      <c r="AKQ15" s="125"/>
      <c r="AKR15" s="125"/>
      <c r="AKS15" s="124"/>
      <c r="AKT15" s="125"/>
      <c r="AKU15" s="126"/>
      <c r="AKV15" s="124"/>
      <c r="AKW15" s="124"/>
      <c r="AKX15" s="127"/>
      <c r="AKY15" s="125"/>
      <c r="AKZ15" s="125"/>
      <c r="ALA15" s="125"/>
      <c r="ALB15" s="125"/>
      <c r="ALC15" s="125"/>
      <c r="ALD15" s="125"/>
      <c r="ALE15" s="125"/>
      <c r="ALF15" s="125"/>
      <c r="ALG15" s="125"/>
      <c r="ALH15" s="125"/>
      <c r="ALI15" s="125"/>
      <c r="ALJ15" s="128"/>
      <c r="ALK15" s="129"/>
      <c r="ALL15" s="128"/>
      <c r="ALM15" s="131">
        <f>SUM(AKK15:ALL15)</f>
      </c>
      <c r="ALN15" s="121"/>
      <c r="ALO15" s="122"/>
      <c r="ALP15" s="151"/>
      <c r="ALQ15" s="125"/>
      <c r="ALR15" s="125"/>
      <c r="ALS15" s="125"/>
      <c r="ALT15" s="125"/>
      <c r="ALU15" s="125"/>
      <c r="ALV15" s="124"/>
      <c r="ALW15" s="125"/>
      <c r="ALX15" s="126"/>
      <c r="ALY15" s="124"/>
      <c r="ALZ15" s="124"/>
      <c r="AMA15" s="127"/>
      <c r="AMB15" s="125"/>
      <c r="AMC15" s="125"/>
      <c r="AMD15" s="125"/>
      <c r="AME15" s="125"/>
      <c r="AMF15" s="125"/>
      <c r="AMG15" s="125"/>
      <c r="AMH15" s="125"/>
      <c r="AMI15" s="125"/>
      <c r="AMJ15" s="125"/>
      <c r="AMK15" s="125"/>
      <c r="AML15" s="125"/>
      <c r="AMM15" s="128"/>
      <c r="AMN15" s="129"/>
      <c r="AMO15" s="128"/>
      <c r="AMP15" s="131">
        <f>SUM(ALN15:AMO15)</f>
      </c>
      <c r="AMQ15" s="150">
        <f>AFX15+AHA15+AID15+AJG15+AKJ15+ALM15+AMP15</f>
      </c>
      <c r="AMR15" s="133">
        <f>(COUNTIF(AEV15:AMP15,"H")+COUNTIF(AEV15:AMP15,"S")+COUNTIF(AEV15:AMP15,"L")+COUNTIF(AEV15:AMP15,"E")+COUNTIF(AEV15:AMP15,"C"))/2</f>
      </c>
      <c r="AMS15" s="131">
        <f>AMQ15+AMR15</f>
      </c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13"/>
      <c r="ANK15" s="13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</row>
    <row r="16" ht="15" customHeight="1" spans="1:1191" x14ac:dyDescent="0.25">
      <c r="A16" s="156"/>
      <c r="B16" s="157" t="s">
        <v>54</v>
      </c>
      <c r="C16" s="158" t="s">
        <v>55</v>
      </c>
      <c r="D16" s="159"/>
      <c r="E16" s="160"/>
      <c r="F16" s="161"/>
      <c r="G16" s="162"/>
      <c r="H16" s="162"/>
      <c r="I16" s="162"/>
      <c r="J16" s="162"/>
      <c r="K16" s="162"/>
      <c r="L16" s="162"/>
      <c r="M16" s="163"/>
      <c r="N16" s="164"/>
      <c r="O16" s="162"/>
      <c r="P16" s="162"/>
      <c r="Q16" s="165"/>
      <c r="R16" s="161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6"/>
      <c r="AD16" s="167"/>
      <c r="AE16" s="168"/>
      <c r="AF16" s="169">
        <f>SUM(D16:AE16)</f>
      </c>
      <c r="AG16" s="159"/>
      <c r="AH16" s="160"/>
      <c r="AI16" s="161"/>
      <c r="AJ16" s="162"/>
      <c r="AK16" s="162"/>
      <c r="AL16" s="162"/>
      <c r="AM16" s="162"/>
      <c r="AN16" s="162"/>
      <c r="AO16" s="162"/>
      <c r="AP16" s="163"/>
      <c r="AQ16" s="164"/>
      <c r="AR16" s="162"/>
      <c r="AS16" s="162"/>
      <c r="AT16" s="165"/>
      <c r="AU16" s="161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6"/>
      <c r="BG16" s="167"/>
      <c r="BH16" s="166"/>
      <c r="BI16" s="169">
        <f>SUM(AG16:BH16)</f>
      </c>
      <c r="BJ16" s="159"/>
      <c r="BK16" s="160"/>
      <c r="BL16" s="161"/>
      <c r="BM16" s="162"/>
      <c r="BN16" s="162"/>
      <c r="BO16" s="162"/>
      <c r="BP16" s="162"/>
      <c r="BQ16" s="162"/>
      <c r="BR16" s="162"/>
      <c r="BS16" s="163"/>
      <c r="BT16" s="164"/>
      <c r="BU16" s="162"/>
      <c r="BV16" s="162"/>
      <c r="BW16" s="165"/>
      <c r="BX16" s="161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6"/>
      <c r="CJ16" s="167"/>
      <c r="CK16" s="166"/>
      <c r="CL16" s="169">
        <f>SUM(BJ16:CK16)</f>
      </c>
      <c r="CM16" s="159"/>
      <c r="CN16" s="160"/>
      <c r="CO16" s="161"/>
      <c r="CP16" s="162"/>
      <c r="CQ16" s="162"/>
      <c r="CR16" s="162"/>
      <c r="CS16" s="162"/>
      <c r="CT16" s="162"/>
      <c r="CU16" s="162"/>
      <c r="CV16" s="163"/>
      <c r="CW16" s="164"/>
      <c r="CX16" s="162"/>
      <c r="CY16" s="162"/>
      <c r="CZ16" s="165"/>
      <c r="DA16" s="161"/>
      <c r="DB16" s="162"/>
      <c r="DC16" s="162"/>
      <c r="DD16" s="162"/>
      <c r="DE16" s="162"/>
      <c r="DF16" s="162"/>
      <c r="DG16" s="162"/>
      <c r="DH16" s="162"/>
      <c r="DI16" s="162"/>
      <c r="DJ16" s="162"/>
      <c r="DK16" s="162"/>
      <c r="DL16" s="166"/>
      <c r="DM16" s="167"/>
      <c r="DN16" s="166"/>
      <c r="DO16" s="169">
        <f>SUM(CM16:DN16)</f>
      </c>
      <c r="DP16" s="159"/>
      <c r="DQ16" s="160"/>
      <c r="DR16" s="161"/>
      <c r="DS16" s="162"/>
      <c r="DT16" s="162"/>
      <c r="DU16" s="162"/>
      <c r="DV16" s="162"/>
      <c r="DW16" s="162"/>
      <c r="DX16" s="162"/>
      <c r="DY16" s="163"/>
      <c r="DZ16" s="164"/>
      <c r="EA16" s="162"/>
      <c r="EB16" s="162"/>
      <c r="EC16" s="165"/>
      <c r="ED16" s="161"/>
      <c r="EE16" s="162"/>
      <c r="EF16" s="162"/>
      <c r="EG16" s="162"/>
      <c r="EH16" s="162"/>
      <c r="EI16" s="162"/>
      <c r="EJ16" s="162"/>
      <c r="EK16" s="162"/>
      <c r="EL16" s="162"/>
      <c r="EM16" s="162"/>
      <c r="EN16" s="162"/>
      <c r="EO16" s="166"/>
      <c r="EP16" s="167"/>
      <c r="EQ16" s="166"/>
      <c r="ER16" s="169">
        <f>SUM(DP16:EQ16)</f>
      </c>
      <c r="ES16" s="159"/>
      <c r="ET16" s="160"/>
      <c r="EU16" s="161"/>
      <c r="EV16" s="162"/>
      <c r="EW16" s="162"/>
      <c r="EX16" s="162"/>
      <c r="EY16" s="162"/>
      <c r="EZ16" s="162"/>
      <c r="FA16" s="162"/>
      <c r="FB16" s="163"/>
      <c r="FC16" s="164"/>
      <c r="FD16" s="162"/>
      <c r="FE16" s="162"/>
      <c r="FF16" s="165"/>
      <c r="FG16" s="161"/>
      <c r="FH16" s="162"/>
      <c r="FI16" s="162"/>
      <c r="FJ16" s="162"/>
      <c r="FK16" s="162"/>
      <c r="FL16" s="162"/>
      <c r="FM16" s="162"/>
      <c r="FN16" s="162"/>
      <c r="FO16" s="162"/>
      <c r="FP16" s="162"/>
      <c r="FQ16" s="162"/>
      <c r="FR16" s="166"/>
      <c r="FS16" s="167"/>
      <c r="FT16" s="166"/>
      <c r="FU16" s="170">
        <f>SUM(ES16:FT16)</f>
      </c>
      <c r="FV16" s="159"/>
      <c r="FW16" s="160"/>
      <c r="FX16" s="161"/>
      <c r="FY16" s="162"/>
      <c r="FZ16" s="162"/>
      <c r="GA16" s="162"/>
      <c r="GB16" s="162"/>
      <c r="GC16" s="162"/>
      <c r="GD16" s="162"/>
      <c r="GE16" s="163"/>
      <c r="GF16" s="164"/>
      <c r="GG16" s="162"/>
      <c r="GH16" s="162"/>
      <c r="GI16" s="165"/>
      <c r="GJ16" s="161"/>
      <c r="GK16" s="162"/>
      <c r="GL16" s="162"/>
      <c r="GM16" s="162"/>
      <c r="GN16" s="162"/>
      <c r="GO16" s="162"/>
      <c r="GP16" s="162"/>
      <c r="GQ16" s="162"/>
      <c r="GR16" s="162"/>
      <c r="GS16" s="162"/>
      <c r="GT16" s="162"/>
      <c r="GU16" s="166"/>
      <c r="GV16" s="167"/>
      <c r="GW16" s="166"/>
      <c r="GX16" s="170">
        <f>SUM(FV16:GW16)</f>
      </c>
      <c r="GY16" s="171">
        <f>AF16+BI16+CL16+DO16+ER16+FU16+GX16</f>
      </c>
      <c r="GZ16" s="172">
        <f>(COUNTIF(D16:GX16,"H")+COUNTIF(D16:GX16,"S")+COUNTIF(D16:GX16,"L")+COUNTIF(D16:GX16,"E")+COUNTIF(D16:GX16,"C"))/2</f>
      </c>
      <c r="HA16" s="169">
        <f>GY16+GZ16</f>
      </c>
      <c r="HB16" s="173"/>
      <c r="HC16" s="174"/>
      <c r="HD16" s="175">
        <v>0.5</v>
      </c>
      <c r="HE16" s="176">
        <v>0.5</v>
      </c>
      <c r="HF16" s="176">
        <v>0.5</v>
      </c>
      <c r="HG16" s="176">
        <v>0.5</v>
      </c>
      <c r="HH16" s="176">
        <v>0.5</v>
      </c>
      <c r="HI16" s="176">
        <v>0.5</v>
      </c>
      <c r="HJ16" s="176">
        <v>0.5</v>
      </c>
      <c r="HK16" s="177">
        <v>0.5</v>
      </c>
      <c r="HL16" s="178"/>
      <c r="HM16" s="179"/>
      <c r="HN16" s="176">
        <v>0.5</v>
      </c>
      <c r="HO16" s="180">
        <v>0.5</v>
      </c>
      <c r="HP16" s="175">
        <v>0.5</v>
      </c>
      <c r="HQ16" s="176">
        <v>0.5</v>
      </c>
      <c r="HR16" s="176">
        <v>0.5</v>
      </c>
      <c r="HS16" s="176">
        <v>0.5</v>
      </c>
      <c r="HT16" s="176">
        <v>0.5</v>
      </c>
      <c r="HU16" s="176">
        <v>0.5</v>
      </c>
      <c r="HV16" s="181"/>
      <c r="HW16" s="181"/>
      <c r="HX16" s="181"/>
      <c r="HY16" s="181"/>
      <c r="HZ16" s="181"/>
      <c r="IA16" s="182"/>
      <c r="IB16" s="183"/>
      <c r="IC16" s="182"/>
      <c r="ID16" s="170">
        <f>SUM(HB16:IC16)</f>
      </c>
      <c r="IE16" s="173"/>
      <c r="IF16" s="174"/>
      <c r="IG16" s="184">
        <v>0.5</v>
      </c>
      <c r="IH16" s="185">
        <v>0.5</v>
      </c>
      <c r="II16" s="185">
        <v>0.5</v>
      </c>
      <c r="IJ16" s="185">
        <v>0.5</v>
      </c>
      <c r="IK16" s="185">
        <v>0.5</v>
      </c>
      <c r="IL16" s="185">
        <v>0.5</v>
      </c>
      <c r="IM16" s="185">
        <v>0.5</v>
      </c>
      <c r="IN16" s="186">
        <v>0.5</v>
      </c>
      <c r="IO16" s="178"/>
      <c r="IP16" s="179"/>
      <c r="IQ16" s="185">
        <v>0.5</v>
      </c>
      <c r="IR16" s="187">
        <v>0.5</v>
      </c>
      <c r="IS16" s="184">
        <v>0.5</v>
      </c>
      <c r="IT16" s="185">
        <v>0.5</v>
      </c>
      <c r="IU16" s="185">
        <v>0.5</v>
      </c>
      <c r="IV16" s="185">
        <v>0.5</v>
      </c>
      <c r="IW16" s="185">
        <v>0.5</v>
      </c>
      <c r="IX16" s="185">
        <v>0.5</v>
      </c>
      <c r="IY16" s="181"/>
      <c r="IZ16" s="181"/>
      <c r="JA16" s="181"/>
      <c r="JB16" s="181"/>
      <c r="JC16" s="181"/>
      <c r="JD16" s="182"/>
      <c r="JE16" s="183"/>
      <c r="JF16" s="182"/>
      <c r="JG16" s="170">
        <f>SUM(IE16:JF16)</f>
      </c>
      <c r="JH16" s="173"/>
      <c r="JI16" s="174"/>
      <c r="JJ16" s="184">
        <v>0.5</v>
      </c>
      <c r="JK16" s="185">
        <v>0.5</v>
      </c>
      <c r="JL16" s="185">
        <v>0.5</v>
      </c>
      <c r="JM16" s="185">
        <v>0.5</v>
      </c>
      <c r="JN16" s="185">
        <v>0.5</v>
      </c>
      <c r="JO16" s="185">
        <v>0.5</v>
      </c>
      <c r="JP16" s="185">
        <v>0.5</v>
      </c>
      <c r="JQ16" s="186">
        <v>0.5</v>
      </c>
      <c r="JR16" s="178"/>
      <c r="JS16" s="179"/>
      <c r="JT16" s="185">
        <v>0.5</v>
      </c>
      <c r="JU16" s="187">
        <v>0.5</v>
      </c>
      <c r="JV16" s="184">
        <v>0.5</v>
      </c>
      <c r="JW16" s="185">
        <v>0.5</v>
      </c>
      <c r="JX16" s="185">
        <v>0.5</v>
      </c>
      <c r="JY16" s="185">
        <v>0.5</v>
      </c>
      <c r="JZ16" s="185">
        <v>0.5</v>
      </c>
      <c r="KA16" s="185">
        <v>0.5</v>
      </c>
      <c r="KB16" s="181"/>
      <c r="KC16" s="181"/>
      <c r="KD16" s="181"/>
      <c r="KE16" s="181"/>
      <c r="KF16" s="181"/>
      <c r="KG16" s="182"/>
      <c r="KH16" s="183"/>
      <c r="KI16" s="182"/>
      <c r="KJ16" s="170">
        <f>SUM(JH16:KI16)</f>
      </c>
      <c r="KK16" s="173"/>
      <c r="KL16" s="174"/>
      <c r="KM16" s="184">
        <v>0.5</v>
      </c>
      <c r="KN16" s="185">
        <v>0.5</v>
      </c>
      <c r="KO16" s="185">
        <v>0.5</v>
      </c>
      <c r="KP16" s="185">
        <v>0.5</v>
      </c>
      <c r="KQ16" s="185">
        <v>0.5</v>
      </c>
      <c r="KR16" s="185">
        <v>0.5</v>
      </c>
      <c r="KS16" s="185">
        <v>0.5</v>
      </c>
      <c r="KT16" s="186">
        <v>0.5</v>
      </c>
      <c r="KU16" s="178"/>
      <c r="KV16" s="179"/>
      <c r="KW16" s="185">
        <v>0.5</v>
      </c>
      <c r="KX16" s="187">
        <v>0.5</v>
      </c>
      <c r="KY16" s="184">
        <v>0.5</v>
      </c>
      <c r="KZ16" s="185">
        <v>0.5</v>
      </c>
      <c r="LA16" s="185">
        <v>0.5</v>
      </c>
      <c r="LB16" s="185">
        <v>0.5</v>
      </c>
      <c r="LC16" s="185">
        <v>0.5</v>
      </c>
      <c r="LD16" s="185">
        <v>0.5</v>
      </c>
      <c r="LE16" s="181"/>
      <c r="LF16" s="181"/>
      <c r="LG16" s="181"/>
      <c r="LH16" s="181"/>
      <c r="LI16" s="181"/>
      <c r="LJ16" s="182"/>
      <c r="LK16" s="183"/>
      <c r="LL16" s="182"/>
      <c r="LM16" s="170">
        <f>SUM(KK16:LL16)</f>
      </c>
      <c r="LN16" s="173"/>
      <c r="LO16" s="174"/>
      <c r="LP16" s="184">
        <v>0.5</v>
      </c>
      <c r="LQ16" s="185">
        <v>0.5</v>
      </c>
      <c r="LR16" s="185">
        <v>0.5</v>
      </c>
      <c r="LS16" s="185">
        <v>0.5</v>
      </c>
      <c r="LT16" s="185">
        <v>0.5</v>
      </c>
      <c r="LU16" s="185">
        <v>0.5</v>
      </c>
      <c r="LV16" s="185">
        <v>0.5</v>
      </c>
      <c r="LW16" s="186">
        <v>0.5</v>
      </c>
      <c r="LX16" s="178"/>
      <c r="LY16" s="179"/>
      <c r="LZ16" s="185">
        <v>0.5</v>
      </c>
      <c r="MA16" s="187">
        <v>0.5</v>
      </c>
      <c r="MB16" s="184">
        <v>0.5</v>
      </c>
      <c r="MC16" s="185">
        <v>0.5</v>
      </c>
      <c r="MD16" s="185">
        <v>0.5</v>
      </c>
      <c r="ME16" s="185">
        <v>0.5</v>
      </c>
      <c r="MF16" s="185">
        <v>0.5</v>
      </c>
      <c r="MG16" s="185">
        <v>0.5</v>
      </c>
      <c r="MH16" s="181"/>
      <c r="MI16" s="181"/>
      <c r="MJ16" s="181"/>
      <c r="MK16" s="181"/>
      <c r="ML16" s="181"/>
      <c r="MM16" s="182"/>
      <c r="MN16" s="183"/>
      <c r="MO16" s="182"/>
      <c r="MP16" s="170">
        <f>SUM(LN16:MO16)</f>
      </c>
      <c r="MQ16" s="159"/>
      <c r="MR16" s="160"/>
      <c r="MS16" s="161"/>
      <c r="MT16" s="162"/>
      <c r="MU16" s="162"/>
      <c r="MV16" s="162"/>
      <c r="MW16" s="162"/>
      <c r="MX16" s="162"/>
      <c r="MY16" s="162"/>
      <c r="MZ16" s="163"/>
      <c r="NA16" s="164"/>
      <c r="NB16" s="162"/>
      <c r="NC16" s="162"/>
      <c r="ND16" s="165"/>
      <c r="NE16" s="161"/>
      <c r="NF16" s="162"/>
      <c r="NG16" s="162"/>
      <c r="NH16" s="162"/>
      <c r="NI16" s="162"/>
      <c r="NJ16" s="162"/>
      <c r="NK16" s="162"/>
      <c r="NL16" s="162"/>
      <c r="NM16" s="162"/>
      <c r="NN16" s="162"/>
      <c r="NO16" s="162"/>
      <c r="NP16" s="166"/>
      <c r="NQ16" s="167"/>
      <c r="NR16" s="166"/>
      <c r="NS16" s="170">
        <f>SUM(MQ16:NR16)</f>
      </c>
      <c r="NT16" s="159"/>
      <c r="NU16" s="160"/>
      <c r="NV16" s="161"/>
      <c r="NW16" s="162"/>
      <c r="NX16" s="162"/>
      <c r="NY16" s="162"/>
      <c r="NZ16" s="162"/>
      <c r="OA16" s="162"/>
      <c r="OB16" s="162"/>
      <c r="OC16" s="163"/>
      <c r="OD16" s="164"/>
      <c r="OE16" s="162"/>
      <c r="OF16" s="162"/>
      <c r="OG16" s="165"/>
      <c r="OH16" s="161"/>
      <c r="OI16" s="162"/>
      <c r="OJ16" s="162"/>
      <c r="OK16" s="162"/>
      <c r="OL16" s="162"/>
      <c r="OM16" s="162"/>
      <c r="ON16" s="162"/>
      <c r="OO16" s="162"/>
      <c r="OP16" s="162"/>
      <c r="OQ16" s="162"/>
      <c r="OR16" s="162"/>
      <c r="OS16" s="166"/>
      <c r="OT16" s="167"/>
      <c r="OU16" s="166"/>
      <c r="OV16" s="170">
        <f>SUM(NT16:OU16)</f>
      </c>
      <c r="OW16" s="171">
        <f>ID16+JG16+KJ16+LM16+MP16+NS16+OV16</f>
      </c>
      <c r="OX16" s="172">
        <f>(COUNTIF(HB16:OV16,"H")+COUNTIF(HB16:OV16,"S")+COUNTIF(HB16:OV16,"L")+COUNTIF(HB16:OV16,"E")+COUNTIF(HB16:OV16,"C"))/2</f>
      </c>
      <c r="OY16" s="169">
        <f>OW16+OX16</f>
      </c>
      <c r="OZ16" s="173"/>
      <c r="PA16" s="174"/>
      <c r="PB16" s="175">
        <v>0.5</v>
      </c>
      <c r="PC16" s="176">
        <v>0.5</v>
      </c>
      <c r="PD16" s="176">
        <v>0.5</v>
      </c>
      <c r="PE16" s="176">
        <v>0.5</v>
      </c>
      <c r="PF16" s="176">
        <v>0.5</v>
      </c>
      <c r="PG16" s="176">
        <v>0.5</v>
      </c>
      <c r="PH16" s="176">
        <v>0.5</v>
      </c>
      <c r="PI16" s="177">
        <v>0.5</v>
      </c>
      <c r="PJ16" s="178"/>
      <c r="PK16" s="179"/>
      <c r="PL16" s="176">
        <v>0.5</v>
      </c>
      <c r="PM16" s="180">
        <v>0.5</v>
      </c>
      <c r="PN16" s="175">
        <v>0.5</v>
      </c>
      <c r="PO16" s="176">
        <v>0.5</v>
      </c>
      <c r="PP16" s="176">
        <v>0.5</v>
      </c>
      <c r="PQ16" s="176">
        <v>0.5</v>
      </c>
      <c r="PR16" s="176">
        <v>0.5</v>
      </c>
      <c r="PS16" s="176">
        <v>0.5</v>
      </c>
      <c r="PT16" s="181"/>
      <c r="PU16" s="181"/>
      <c r="PV16" s="181"/>
      <c r="PW16" s="181"/>
      <c r="PX16" s="181"/>
      <c r="PY16" s="182"/>
      <c r="PZ16" s="183"/>
      <c r="QA16" s="182"/>
      <c r="QB16" s="170">
        <f>SUM(OZ16:QA16)</f>
      </c>
      <c r="QC16" s="173"/>
      <c r="QD16" s="174"/>
      <c r="QE16" s="175">
        <v>0.5</v>
      </c>
      <c r="QF16" s="176">
        <v>0.5</v>
      </c>
      <c r="QG16" s="176">
        <v>0.5</v>
      </c>
      <c r="QH16" s="176">
        <v>0.5</v>
      </c>
      <c r="QI16" s="176">
        <v>0.5</v>
      </c>
      <c r="QJ16" s="176">
        <v>0.5</v>
      </c>
      <c r="QK16" s="176">
        <v>0.5</v>
      </c>
      <c r="QL16" s="177">
        <v>0.5</v>
      </c>
      <c r="QM16" s="178"/>
      <c r="QN16" s="179"/>
      <c r="QO16" s="176">
        <v>0.5</v>
      </c>
      <c r="QP16" s="180">
        <v>0.5</v>
      </c>
      <c r="QQ16" s="175">
        <v>0.5</v>
      </c>
      <c r="QR16" s="176">
        <v>0.5</v>
      </c>
      <c r="QS16" s="176">
        <v>0.5</v>
      </c>
      <c r="QT16" s="176">
        <v>0.5</v>
      </c>
      <c r="QU16" s="176">
        <v>0.5</v>
      </c>
      <c r="QV16" s="176">
        <v>0.5</v>
      </c>
      <c r="QW16" s="181"/>
      <c r="QX16" s="181"/>
      <c r="QY16" s="181"/>
      <c r="QZ16" s="181"/>
      <c r="RA16" s="181"/>
      <c r="RB16" s="182"/>
      <c r="RC16" s="183"/>
      <c r="RD16" s="182"/>
      <c r="RE16" s="170">
        <f>SUM(QC16:RD16)</f>
      </c>
      <c r="RF16" s="173"/>
      <c r="RG16" s="174"/>
      <c r="RH16" s="184">
        <v>0.5</v>
      </c>
      <c r="RI16" s="185">
        <v>0.5</v>
      </c>
      <c r="RJ16" s="185">
        <v>0.5</v>
      </c>
      <c r="RK16" s="185">
        <v>0.5</v>
      </c>
      <c r="RL16" s="185">
        <v>0.5</v>
      </c>
      <c r="RM16" s="185">
        <v>0.5</v>
      </c>
      <c r="RN16" s="185">
        <v>0.5</v>
      </c>
      <c r="RO16" s="187">
        <v>0.5</v>
      </c>
      <c r="RP16" s="188"/>
      <c r="RQ16" s="179"/>
      <c r="RR16" s="185">
        <v>0.5</v>
      </c>
      <c r="RS16" s="187">
        <v>0.5</v>
      </c>
      <c r="RT16" s="184">
        <v>0.5</v>
      </c>
      <c r="RU16" s="185">
        <v>0.5</v>
      </c>
      <c r="RV16" s="185">
        <v>0.5</v>
      </c>
      <c r="RW16" s="185">
        <v>0.5</v>
      </c>
      <c r="RX16" s="185">
        <v>0.5</v>
      </c>
      <c r="RY16" s="185">
        <v>0.5</v>
      </c>
      <c r="RZ16" s="181"/>
      <c r="SA16" s="181"/>
      <c r="SB16" s="181"/>
      <c r="SC16" s="181"/>
      <c r="SD16" s="181"/>
      <c r="SE16" s="182"/>
      <c r="SF16" s="183"/>
      <c r="SG16" s="182"/>
      <c r="SH16" s="170">
        <f>SUM(RF16:SG16)</f>
      </c>
      <c r="SI16" s="173"/>
      <c r="SJ16" s="174"/>
      <c r="SK16" s="184">
        <v>0.5</v>
      </c>
      <c r="SL16" s="185">
        <v>0.5</v>
      </c>
      <c r="SM16" s="185">
        <v>0.5</v>
      </c>
      <c r="SN16" s="185">
        <v>0.5</v>
      </c>
      <c r="SO16" s="185">
        <v>0.5</v>
      </c>
      <c r="SP16" s="185">
        <v>0.5</v>
      </c>
      <c r="SQ16" s="185">
        <v>0.5</v>
      </c>
      <c r="SR16" s="186">
        <v>0.5</v>
      </c>
      <c r="SS16" s="178"/>
      <c r="ST16" s="179"/>
      <c r="SU16" s="185">
        <v>0.5</v>
      </c>
      <c r="SV16" s="187">
        <v>0.5</v>
      </c>
      <c r="SW16" s="184">
        <v>0.5</v>
      </c>
      <c r="SX16" s="185">
        <v>0.5</v>
      </c>
      <c r="SY16" s="185">
        <v>0.5</v>
      </c>
      <c r="SZ16" s="185">
        <v>0.5</v>
      </c>
      <c r="TA16" s="185">
        <v>0.5</v>
      </c>
      <c r="TB16" s="185">
        <v>0.5</v>
      </c>
      <c r="TC16" s="181"/>
      <c r="TD16" s="181"/>
      <c r="TE16" s="181"/>
      <c r="TF16" s="181"/>
      <c r="TG16" s="181"/>
      <c r="TH16" s="182"/>
      <c r="TI16" s="183"/>
      <c r="TJ16" s="189"/>
      <c r="TK16" s="170">
        <f>SUM(SI16:TJ16)</f>
      </c>
      <c r="TL16" s="173"/>
      <c r="TM16" s="174"/>
      <c r="TN16" s="184">
        <v>0.5</v>
      </c>
      <c r="TO16" s="185">
        <v>0.5</v>
      </c>
      <c r="TP16" s="185">
        <v>0.5</v>
      </c>
      <c r="TQ16" s="185">
        <v>0.5</v>
      </c>
      <c r="TR16" s="185">
        <v>0.5</v>
      </c>
      <c r="TS16" s="185">
        <v>0.5</v>
      </c>
      <c r="TT16" s="185">
        <v>0.5</v>
      </c>
      <c r="TU16" s="186">
        <v>0.5</v>
      </c>
      <c r="TV16" s="178"/>
      <c r="TW16" s="179"/>
      <c r="TX16" s="185">
        <v>0.5</v>
      </c>
      <c r="TY16" s="187">
        <v>0.5</v>
      </c>
      <c r="TZ16" s="184">
        <v>0.5</v>
      </c>
      <c r="UA16" s="185">
        <v>0.5</v>
      </c>
      <c r="UB16" s="185">
        <v>0.5</v>
      </c>
      <c r="UC16" s="185">
        <v>0.5</v>
      </c>
      <c r="UD16" s="185">
        <v>0.5</v>
      </c>
      <c r="UE16" s="185">
        <v>0.5</v>
      </c>
      <c r="UF16" s="181"/>
      <c r="UG16" s="181"/>
      <c r="UH16" s="181"/>
      <c r="UI16" s="181"/>
      <c r="UJ16" s="181"/>
      <c r="UK16" s="182"/>
      <c r="UL16" s="183"/>
      <c r="UM16" s="182"/>
      <c r="UN16" s="170">
        <f>SUM(TL16:UM16)</f>
      </c>
      <c r="UO16" s="159"/>
      <c r="UP16" s="160"/>
      <c r="UQ16" s="161"/>
      <c r="UR16" s="162"/>
      <c r="US16" s="162"/>
      <c r="UT16" s="162"/>
      <c r="UU16" s="162"/>
      <c r="UV16" s="162"/>
      <c r="UW16" s="162"/>
      <c r="UX16" s="163"/>
      <c r="UY16" s="164"/>
      <c r="UZ16" s="162"/>
      <c r="VA16" s="162"/>
      <c r="VB16" s="165"/>
      <c r="VC16" s="161"/>
      <c r="VD16" s="162"/>
      <c r="VE16" s="162"/>
      <c r="VF16" s="162"/>
      <c r="VG16" s="162"/>
      <c r="VH16" s="162"/>
      <c r="VI16" s="162"/>
      <c r="VJ16" s="162"/>
      <c r="VK16" s="162"/>
      <c r="VL16" s="162"/>
      <c r="VM16" s="162"/>
      <c r="VN16" s="166"/>
      <c r="VO16" s="167"/>
      <c r="VP16" s="166"/>
      <c r="VQ16" s="170">
        <f>SUM(UO16:VP16)</f>
      </c>
      <c r="VR16" s="159"/>
      <c r="VS16" s="160"/>
      <c r="VT16" s="161"/>
      <c r="VU16" s="162"/>
      <c r="VV16" s="162"/>
      <c r="VW16" s="162"/>
      <c r="VX16" s="162"/>
      <c r="VY16" s="162"/>
      <c r="VZ16" s="162"/>
      <c r="WA16" s="163"/>
      <c r="WB16" s="164"/>
      <c r="WC16" s="162"/>
      <c r="WD16" s="162"/>
      <c r="WE16" s="165"/>
      <c r="WF16" s="161"/>
      <c r="WG16" s="162"/>
      <c r="WH16" s="162"/>
      <c r="WI16" s="162"/>
      <c r="WJ16" s="162"/>
      <c r="WK16" s="162"/>
      <c r="WL16" s="162"/>
      <c r="WM16" s="162"/>
      <c r="WN16" s="162"/>
      <c r="WO16" s="162"/>
      <c r="WP16" s="162"/>
      <c r="WQ16" s="166"/>
      <c r="WR16" s="167"/>
      <c r="WS16" s="166"/>
      <c r="WT16" s="170">
        <f>SUM(VR16:WS16)</f>
      </c>
      <c r="WU16" s="171">
        <f>QB16+RE16+SH16+TK16+UN16+VQ16+WT16</f>
      </c>
      <c r="WV16" s="172">
        <f>(COUNTIF(OZ16:WT16,"H")+COUNTIF(OZ16:WT16,"S")+COUNTIF(OZ16:WT16,"L")+COUNTIF(OZ16:WT16,"E")+COUNTIF(OZ16:WT16,"C"))/2</f>
      </c>
      <c r="WW16" s="169">
        <f>WU16+WV16</f>
      </c>
      <c r="WX16" s="173"/>
      <c r="WY16" s="174"/>
      <c r="WZ16" s="175">
        <v>0.5</v>
      </c>
      <c r="XA16" s="176">
        <v>0.5</v>
      </c>
      <c r="XB16" s="176">
        <v>0.5</v>
      </c>
      <c r="XC16" s="176">
        <v>0.5</v>
      </c>
      <c r="XD16" s="176">
        <v>0.5</v>
      </c>
      <c r="XE16" s="176">
        <v>0.5</v>
      </c>
      <c r="XF16" s="176">
        <v>0.5</v>
      </c>
      <c r="XG16" s="177">
        <v>0.5</v>
      </c>
      <c r="XH16" s="178"/>
      <c r="XI16" s="179"/>
      <c r="XJ16" s="176">
        <v>0.5</v>
      </c>
      <c r="XK16" s="180">
        <v>0.5</v>
      </c>
      <c r="XL16" s="175">
        <v>0.5</v>
      </c>
      <c r="XM16" s="176">
        <v>0.5</v>
      </c>
      <c r="XN16" s="176">
        <v>0.5</v>
      </c>
      <c r="XO16" s="176">
        <v>0.5</v>
      </c>
      <c r="XP16" s="176">
        <v>0.5</v>
      </c>
      <c r="XQ16" s="176">
        <v>0.5</v>
      </c>
      <c r="XR16" s="181"/>
      <c r="XS16" s="181"/>
      <c r="XT16" s="181"/>
      <c r="XU16" s="181"/>
      <c r="XV16" s="181"/>
      <c r="XW16" s="182"/>
      <c r="XX16" s="183"/>
      <c r="XY16" s="182"/>
      <c r="XZ16" s="170">
        <f>SUM(WX16:XY16)</f>
      </c>
      <c r="YA16" s="173"/>
      <c r="YB16" s="174"/>
      <c r="YC16" s="175">
        <v>0.5</v>
      </c>
      <c r="YD16" s="176">
        <v>0.5</v>
      </c>
      <c r="YE16" s="176">
        <v>0.5</v>
      </c>
      <c r="YF16" s="176">
        <v>0.5</v>
      </c>
      <c r="YG16" s="176">
        <v>0.5</v>
      </c>
      <c r="YH16" s="176">
        <v>0.5</v>
      </c>
      <c r="YI16" s="176">
        <v>0.5</v>
      </c>
      <c r="YJ16" s="177">
        <v>0.5</v>
      </c>
      <c r="YK16" s="178"/>
      <c r="YL16" s="179"/>
      <c r="YM16" s="176">
        <v>0.5</v>
      </c>
      <c r="YN16" s="180">
        <v>0.5</v>
      </c>
      <c r="YO16" s="175">
        <v>0.5</v>
      </c>
      <c r="YP16" s="176">
        <v>0.5</v>
      </c>
      <c r="YQ16" s="176">
        <v>0.5</v>
      </c>
      <c r="YR16" s="176">
        <v>0.5</v>
      </c>
      <c r="YS16" s="176">
        <v>0.5</v>
      </c>
      <c r="YT16" s="176">
        <v>0.5</v>
      </c>
      <c r="YU16" s="181"/>
      <c r="YV16" s="181"/>
      <c r="YW16" s="181"/>
      <c r="YX16" s="181"/>
      <c r="YY16" s="181"/>
      <c r="YZ16" s="182"/>
      <c r="ZA16" s="183"/>
      <c r="ZB16" s="182"/>
      <c r="ZC16" s="170">
        <f>SUM(YA16:ZB16)</f>
      </c>
      <c r="ZD16" s="173"/>
      <c r="ZE16" s="174"/>
      <c r="ZF16" s="184">
        <v>0.5</v>
      </c>
      <c r="ZG16" s="185">
        <v>0.5</v>
      </c>
      <c r="ZH16" s="185">
        <v>0.5</v>
      </c>
      <c r="ZI16" s="185">
        <v>0.5</v>
      </c>
      <c r="ZJ16" s="185">
        <v>0.5</v>
      </c>
      <c r="ZK16" s="185">
        <v>0.5</v>
      </c>
      <c r="ZL16" s="185">
        <v>0.5</v>
      </c>
      <c r="ZM16" s="186">
        <v>0.5</v>
      </c>
      <c r="ZN16" s="178"/>
      <c r="ZO16" s="179"/>
      <c r="ZP16" s="185">
        <v>0.5</v>
      </c>
      <c r="ZQ16" s="187">
        <v>0.5</v>
      </c>
      <c r="ZR16" s="184">
        <v>0.5</v>
      </c>
      <c r="ZS16" s="185">
        <v>0.5</v>
      </c>
      <c r="ZT16" s="185">
        <v>0.5</v>
      </c>
      <c r="ZU16" s="185">
        <v>0.5</v>
      </c>
      <c r="ZV16" s="185">
        <v>0.5</v>
      </c>
      <c r="ZW16" s="185">
        <v>0.5</v>
      </c>
      <c r="ZX16" s="181"/>
      <c r="ZY16" s="181"/>
      <c r="ZZ16" s="181"/>
      <c r="AAA16" s="181"/>
      <c r="AAB16" s="181"/>
      <c r="AAC16" s="182"/>
      <c r="AAD16" s="183"/>
      <c r="AAE16" s="182"/>
      <c r="AAF16" s="170">
        <f>SUM(ZD16:AAE16)</f>
      </c>
      <c r="AAG16" s="173"/>
      <c r="AAH16" s="174"/>
      <c r="AAI16" s="184">
        <v>0.5</v>
      </c>
      <c r="AAJ16" s="185">
        <v>0.5</v>
      </c>
      <c r="AAK16" s="185">
        <v>0.5</v>
      </c>
      <c r="AAL16" s="185">
        <v>0.5</v>
      </c>
      <c r="AAM16" s="185">
        <v>0.5</v>
      </c>
      <c r="AAN16" s="185">
        <v>0.5</v>
      </c>
      <c r="AAO16" s="185">
        <v>0.5</v>
      </c>
      <c r="AAP16" s="186">
        <v>0.5</v>
      </c>
      <c r="AAQ16" s="178"/>
      <c r="AAR16" s="179"/>
      <c r="AAS16" s="185">
        <v>0.5</v>
      </c>
      <c r="AAT16" s="187">
        <v>0.5</v>
      </c>
      <c r="AAU16" s="184">
        <v>0.5</v>
      </c>
      <c r="AAV16" s="185">
        <v>0.5</v>
      </c>
      <c r="AAW16" s="185">
        <v>0.5</v>
      </c>
      <c r="AAX16" s="185">
        <v>0.5</v>
      </c>
      <c r="AAY16" s="185">
        <v>0.5</v>
      </c>
      <c r="AAZ16" s="185">
        <v>0.5</v>
      </c>
      <c r="ABA16" s="181"/>
      <c r="ABB16" s="181"/>
      <c r="ABC16" s="181"/>
      <c r="ABD16" s="181"/>
      <c r="ABE16" s="181"/>
      <c r="ABF16" s="182"/>
      <c r="ABG16" s="183"/>
      <c r="ABH16" s="182"/>
      <c r="ABI16" s="170">
        <f>SUM(AAG16:ABH16)</f>
      </c>
      <c r="ABJ16" s="173"/>
      <c r="ABK16" s="174"/>
      <c r="ABL16" s="184">
        <v>0.5</v>
      </c>
      <c r="ABM16" s="185">
        <v>0.5</v>
      </c>
      <c r="ABN16" s="185">
        <v>0.5</v>
      </c>
      <c r="ABO16" s="185">
        <v>0.5</v>
      </c>
      <c r="ABP16" s="185">
        <v>0.5</v>
      </c>
      <c r="ABQ16" s="185">
        <v>0.5</v>
      </c>
      <c r="ABR16" s="185">
        <v>0.5</v>
      </c>
      <c r="ABS16" s="186">
        <v>0.5</v>
      </c>
      <c r="ABT16" s="178"/>
      <c r="ABU16" s="179"/>
      <c r="ABV16" s="185">
        <v>0.5</v>
      </c>
      <c r="ABW16" s="187">
        <v>0.5</v>
      </c>
      <c r="ABX16" s="184">
        <v>0.5</v>
      </c>
      <c r="ABY16" s="185">
        <v>0.5</v>
      </c>
      <c r="ABZ16" s="185">
        <v>0.5</v>
      </c>
      <c r="ACA16" s="185">
        <v>0.5</v>
      </c>
      <c r="ACB16" s="185">
        <v>0.5</v>
      </c>
      <c r="ACC16" s="185">
        <v>0.5</v>
      </c>
      <c r="ACD16" s="181"/>
      <c r="ACE16" s="181"/>
      <c r="ACF16" s="181"/>
      <c r="ACG16" s="181"/>
      <c r="ACH16" s="181"/>
      <c r="ACI16" s="182"/>
      <c r="ACJ16" s="183"/>
      <c r="ACK16" s="182"/>
      <c r="ACL16" s="170">
        <f>SUM(ABJ16:ACK16)</f>
      </c>
      <c r="ACM16" s="159"/>
      <c r="ACN16" s="160"/>
      <c r="ACO16" s="161"/>
      <c r="ACP16" s="162"/>
      <c r="ACQ16" s="162"/>
      <c r="ACR16" s="162"/>
      <c r="ACS16" s="162"/>
      <c r="ACT16" s="162"/>
      <c r="ACU16" s="162"/>
      <c r="ACV16" s="163"/>
      <c r="ACW16" s="164"/>
      <c r="ACX16" s="162"/>
      <c r="ACY16" s="162"/>
      <c r="ACZ16" s="165"/>
      <c r="ADA16" s="161"/>
      <c r="ADB16" s="162"/>
      <c r="ADC16" s="162"/>
      <c r="ADD16" s="162"/>
      <c r="ADE16" s="162"/>
      <c r="ADF16" s="162"/>
      <c r="ADG16" s="162"/>
      <c r="ADH16" s="162"/>
      <c r="ADI16" s="162"/>
      <c r="ADJ16" s="162"/>
      <c r="ADK16" s="162"/>
      <c r="ADL16" s="166"/>
      <c r="ADM16" s="167"/>
      <c r="ADN16" s="166"/>
      <c r="ADO16" s="170">
        <f>SUM(ACM16:ADN16)</f>
      </c>
      <c r="ADP16" s="159"/>
      <c r="ADQ16" s="160"/>
      <c r="ADR16" s="161"/>
      <c r="ADS16" s="162"/>
      <c r="ADT16" s="162"/>
      <c r="ADU16" s="162"/>
      <c r="ADV16" s="162"/>
      <c r="ADW16" s="162"/>
      <c r="ADX16" s="162"/>
      <c r="ADY16" s="163"/>
      <c r="ADZ16" s="164"/>
      <c r="AEA16" s="162"/>
      <c r="AEB16" s="162"/>
      <c r="AEC16" s="165"/>
      <c r="AED16" s="161"/>
      <c r="AEE16" s="162"/>
      <c r="AEF16" s="162"/>
      <c r="AEG16" s="162"/>
      <c r="AEH16" s="162"/>
      <c r="AEI16" s="162"/>
      <c r="AEJ16" s="162"/>
      <c r="AEK16" s="162"/>
      <c r="AEL16" s="162"/>
      <c r="AEM16" s="162"/>
      <c r="AEN16" s="162"/>
      <c r="AEO16" s="166"/>
      <c r="AEP16" s="167"/>
      <c r="AEQ16" s="166"/>
      <c r="AER16" s="170">
        <f>SUM(ADP16:AEQ16)</f>
      </c>
      <c r="AES16" s="171">
        <f>XZ16+ZC16+AAF16+ABI16+ACL16+ADO16+AER16</f>
      </c>
      <c r="AET16" s="172">
        <f>(COUNTIF(WX16:AER16,"H")+COUNTIF(WX16:AER16,"S")+COUNTIF(WX16:AER16,"L")+COUNTIF(WX16:AER16,"E")+COUNTIF(WX16:AER16,"C"))/2</f>
      </c>
      <c r="AEU16" s="169">
        <f>AES16+AET16</f>
      </c>
      <c r="AEV16" s="173"/>
      <c r="AEW16" s="174"/>
      <c r="AEX16" s="175">
        <v>0.5</v>
      </c>
      <c r="AEY16" s="176">
        <v>0.5</v>
      </c>
      <c r="AEZ16" s="176">
        <v>0.5</v>
      </c>
      <c r="AFA16" s="176">
        <v>0.5</v>
      </c>
      <c r="AFB16" s="176">
        <v>0.5</v>
      </c>
      <c r="AFC16" s="176">
        <v>0.5</v>
      </c>
      <c r="AFD16" s="176">
        <v>0.5</v>
      </c>
      <c r="AFE16" s="177">
        <v>0.5</v>
      </c>
      <c r="AFF16" s="178"/>
      <c r="AFG16" s="179"/>
      <c r="AFH16" s="176">
        <v>0.5</v>
      </c>
      <c r="AFI16" s="180">
        <v>0.5</v>
      </c>
      <c r="AFJ16" s="175">
        <v>0.5</v>
      </c>
      <c r="AFK16" s="176">
        <v>0.5</v>
      </c>
      <c r="AFL16" s="176">
        <v>0.5</v>
      </c>
      <c r="AFM16" s="176">
        <v>0.5</v>
      </c>
      <c r="AFN16" s="176">
        <v>0.5</v>
      </c>
      <c r="AFO16" s="176">
        <v>0.5</v>
      </c>
      <c r="AFP16" s="181"/>
      <c r="AFQ16" s="181"/>
      <c r="AFR16" s="181"/>
      <c r="AFS16" s="181"/>
      <c r="AFT16" s="181"/>
      <c r="AFU16" s="182"/>
      <c r="AFV16" s="183"/>
      <c r="AFW16" s="189"/>
      <c r="AFX16" s="169">
        <f>SUM(AEV16:AFW16)</f>
      </c>
      <c r="AFY16" s="173"/>
      <c r="AFZ16" s="174"/>
      <c r="AGA16" s="175">
        <v>0.5</v>
      </c>
      <c r="AGB16" s="176">
        <v>0.5</v>
      </c>
      <c r="AGC16" s="176">
        <v>0.5</v>
      </c>
      <c r="AGD16" s="176">
        <v>0.5</v>
      </c>
      <c r="AGE16" s="176">
        <v>0.5</v>
      </c>
      <c r="AGF16" s="176">
        <v>0.5</v>
      </c>
      <c r="AGG16" s="176">
        <v>0.5</v>
      </c>
      <c r="AGH16" s="177">
        <v>0.5</v>
      </c>
      <c r="AGI16" s="178"/>
      <c r="AGJ16" s="179"/>
      <c r="AGK16" s="176">
        <v>0.5</v>
      </c>
      <c r="AGL16" s="180">
        <v>0.5</v>
      </c>
      <c r="AGM16" s="175">
        <v>0.5</v>
      </c>
      <c r="AGN16" s="176">
        <v>0.5</v>
      </c>
      <c r="AGO16" s="176">
        <v>0.5</v>
      </c>
      <c r="AGP16" s="176">
        <v>0.5</v>
      </c>
      <c r="AGQ16" s="176">
        <v>0.5</v>
      </c>
      <c r="AGR16" s="176">
        <v>0.5</v>
      </c>
      <c r="AGS16" s="181"/>
      <c r="AGT16" s="181"/>
      <c r="AGU16" s="181"/>
      <c r="AGV16" s="181"/>
      <c r="AGW16" s="181"/>
      <c r="AGX16" s="182"/>
      <c r="AGY16" s="183"/>
      <c r="AGZ16" s="182"/>
      <c r="AHA16" s="169">
        <f>SUM(AFY16:AGZ16)</f>
      </c>
      <c r="AHB16" s="173"/>
      <c r="AHC16" s="174"/>
      <c r="AHD16" s="184">
        <v>0.5</v>
      </c>
      <c r="AHE16" s="185">
        <v>0.5</v>
      </c>
      <c r="AHF16" s="185">
        <v>0.5</v>
      </c>
      <c r="AHG16" s="185">
        <v>0.5</v>
      </c>
      <c r="AHH16" s="185">
        <v>0.5</v>
      </c>
      <c r="AHI16" s="185">
        <v>0.5</v>
      </c>
      <c r="AHJ16" s="185">
        <v>0.5</v>
      </c>
      <c r="AHK16" s="186">
        <v>0.5</v>
      </c>
      <c r="AHL16" s="178"/>
      <c r="AHM16" s="179"/>
      <c r="AHN16" s="185">
        <v>0.5</v>
      </c>
      <c r="AHO16" s="187">
        <v>0.5</v>
      </c>
      <c r="AHP16" s="184">
        <v>0.5</v>
      </c>
      <c r="AHQ16" s="185">
        <v>0.5</v>
      </c>
      <c r="AHR16" s="185">
        <v>0.5</v>
      </c>
      <c r="AHS16" s="185">
        <v>0.5</v>
      </c>
      <c r="AHT16" s="185">
        <v>0.5</v>
      </c>
      <c r="AHU16" s="185">
        <v>0.5</v>
      </c>
      <c r="AHV16" s="181"/>
      <c r="AHW16" s="181"/>
      <c r="AHX16" s="181"/>
      <c r="AHY16" s="181"/>
      <c r="AHZ16" s="181"/>
      <c r="AIA16" s="182"/>
      <c r="AIB16" s="183"/>
      <c r="AIC16" s="182"/>
      <c r="AID16" s="169">
        <f>SUM(AHB16:AIC16)</f>
      </c>
      <c r="AIE16" s="173"/>
      <c r="AIF16" s="174"/>
      <c r="AIG16" s="184">
        <v>0.5</v>
      </c>
      <c r="AIH16" s="185">
        <v>0.5</v>
      </c>
      <c r="AII16" s="185">
        <v>0.5</v>
      </c>
      <c r="AIJ16" s="185">
        <v>0.5</v>
      </c>
      <c r="AIK16" s="185">
        <v>0.5</v>
      </c>
      <c r="AIL16" s="185">
        <v>0.5</v>
      </c>
      <c r="AIM16" s="185">
        <v>0.5</v>
      </c>
      <c r="AIN16" s="186">
        <v>0.5</v>
      </c>
      <c r="AIO16" s="178"/>
      <c r="AIP16" s="179"/>
      <c r="AIQ16" s="185">
        <v>0.5</v>
      </c>
      <c r="AIR16" s="187">
        <v>0.5</v>
      </c>
      <c r="AIS16" s="184">
        <v>0.5</v>
      </c>
      <c r="AIT16" s="185">
        <v>0.5</v>
      </c>
      <c r="AIU16" s="185">
        <v>0.5</v>
      </c>
      <c r="AIV16" s="185">
        <v>0.5</v>
      </c>
      <c r="AIW16" s="185">
        <v>0.5</v>
      </c>
      <c r="AIX16" s="185">
        <v>0.5</v>
      </c>
      <c r="AIY16" s="181"/>
      <c r="AIZ16" s="181"/>
      <c r="AJA16" s="181"/>
      <c r="AJB16" s="181"/>
      <c r="AJC16" s="181"/>
      <c r="AJD16" s="182"/>
      <c r="AJE16" s="183"/>
      <c r="AJF16" s="182"/>
      <c r="AJG16" s="169">
        <f>SUM(AIE16:AJF16)</f>
      </c>
      <c r="AJH16" s="173"/>
      <c r="AJI16" s="174"/>
      <c r="AJJ16" s="184">
        <v>0.5</v>
      </c>
      <c r="AJK16" s="185">
        <v>0.5</v>
      </c>
      <c r="AJL16" s="185">
        <v>0.5</v>
      </c>
      <c r="AJM16" s="185">
        <v>0.5</v>
      </c>
      <c r="AJN16" s="185">
        <v>0.5</v>
      </c>
      <c r="AJO16" s="185">
        <v>0.5</v>
      </c>
      <c r="AJP16" s="185">
        <v>0.5</v>
      </c>
      <c r="AJQ16" s="186">
        <v>0.5</v>
      </c>
      <c r="AJR16" s="178"/>
      <c r="AJS16" s="179"/>
      <c r="AJT16" s="185">
        <v>0.5</v>
      </c>
      <c r="AJU16" s="187">
        <v>0.5</v>
      </c>
      <c r="AJV16" s="184">
        <v>0.5</v>
      </c>
      <c r="AJW16" s="185">
        <v>0.5</v>
      </c>
      <c r="AJX16" s="185">
        <v>0.5</v>
      </c>
      <c r="AJY16" s="185">
        <v>0.5</v>
      </c>
      <c r="AJZ16" s="185">
        <v>0.5</v>
      </c>
      <c r="AKA16" s="185">
        <v>0.5</v>
      </c>
      <c r="AKB16" s="181"/>
      <c r="AKC16" s="181"/>
      <c r="AKD16" s="181"/>
      <c r="AKE16" s="181"/>
      <c r="AKF16" s="181"/>
      <c r="AKG16" s="182"/>
      <c r="AKH16" s="183"/>
      <c r="AKI16" s="182"/>
      <c r="AKJ16" s="169">
        <f>SUM(AJH16:AKI16)</f>
      </c>
      <c r="AKK16" s="159"/>
      <c r="AKL16" s="160"/>
      <c r="AKM16" s="161"/>
      <c r="AKN16" s="162"/>
      <c r="AKO16" s="162"/>
      <c r="AKP16" s="162"/>
      <c r="AKQ16" s="162"/>
      <c r="AKR16" s="162"/>
      <c r="AKS16" s="162"/>
      <c r="AKT16" s="163"/>
      <c r="AKU16" s="164"/>
      <c r="AKV16" s="162"/>
      <c r="AKW16" s="162"/>
      <c r="AKX16" s="165"/>
      <c r="AKY16" s="161"/>
      <c r="AKZ16" s="162"/>
      <c r="ALA16" s="162"/>
      <c r="ALB16" s="162"/>
      <c r="ALC16" s="162"/>
      <c r="ALD16" s="162"/>
      <c r="ALE16" s="162"/>
      <c r="ALF16" s="162"/>
      <c r="ALG16" s="162"/>
      <c r="ALH16" s="162"/>
      <c r="ALI16" s="162"/>
      <c r="ALJ16" s="166"/>
      <c r="ALK16" s="167"/>
      <c r="ALL16" s="166"/>
      <c r="ALM16" s="170">
        <f>SUM(AKK16:ALL16)</f>
      </c>
      <c r="ALN16" s="159"/>
      <c r="ALO16" s="160"/>
      <c r="ALP16" s="161"/>
      <c r="ALQ16" s="162"/>
      <c r="ALR16" s="162"/>
      <c r="ALS16" s="162"/>
      <c r="ALT16" s="162"/>
      <c r="ALU16" s="162"/>
      <c r="ALV16" s="162"/>
      <c r="ALW16" s="163"/>
      <c r="ALX16" s="164"/>
      <c r="ALY16" s="162"/>
      <c r="ALZ16" s="162"/>
      <c r="AMA16" s="165"/>
      <c r="AMB16" s="161"/>
      <c r="AMC16" s="162"/>
      <c r="AMD16" s="162"/>
      <c r="AME16" s="162"/>
      <c r="AMF16" s="162"/>
      <c r="AMG16" s="162"/>
      <c r="AMH16" s="162"/>
      <c r="AMI16" s="162"/>
      <c r="AMJ16" s="162"/>
      <c r="AMK16" s="162"/>
      <c r="AML16" s="162"/>
      <c r="AMM16" s="166"/>
      <c r="AMN16" s="167"/>
      <c r="AMO16" s="166"/>
      <c r="AMP16" s="170">
        <f>SUM(ALN16:AMO16)</f>
      </c>
      <c r="AMQ16" s="190">
        <f>AFX16+AHA16+AID16+AJG16+AKJ16+ALM16+AMP16</f>
      </c>
      <c r="AMR16" s="172">
        <f>(COUNTIF(AEV16:AMP16,"H")+COUNTIF(AEV16:AMP16,"S")+COUNTIF(AEV16:AMP16,"L")+COUNTIF(AEV16:AMP16,"E")+COUNTIF(AEV16:AMP16,"C"))/2</f>
      </c>
      <c r="AMS16" s="170">
        <f>AMQ16+AMR16</f>
      </c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13"/>
      <c r="ANK16" s="13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</row>
    <row r="17" ht="15" customHeight="1" spans="1:1191" x14ac:dyDescent="0.25">
      <c r="A17" s="191" t="s">
        <v>56</v>
      </c>
      <c r="B17" s="192" t="s">
        <v>57</v>
      </c>
      <c r="C17" s="193" t="s">
        <v>52</v>
      </c>
      <c r="D17" s="121"/>
      <c r="E17" s="122"/>
      <c r="F17" s="194"/>
      <c r="G17" s="195"/>
      <c r="H17" s="195"/>
      <c r="I17" s="195"/>
      <c r="J17" s="195"/>
      <c r="K17" s="195"/>
      <c r="L17" s="196"/>
      <c r="M17" s="195"/>
      <c r="N17" s="197"/>
      <c r="O17" s="196"/>
      <c r="P17" s="196"/>
      <c r="Q17" s="198"/>
      <c r="R17" s="195"/>
      <c r="S17" s="195"/>
      <c r="T17" s="195"/>
      <c r="U17" s="195"/>
      <c r="V17" s="195"/>
      <c r="W17" s="195"/>
      <c r="X17" s="195"/>
      <c r="Y17" s="195"/>
      <c r="Z17" s="195"/>
      <c r="AA17" s="195"/>
      <c r="AB17" s="195"/>
      <c r="AC17" s="199"/>
      <c r="AD17" s="200"/>
      <c r="AE17" s="199"/>
      <c r="AF17" s="130">
        <f>SUM(D17:AE17)</f>
      </c>
      <c r="AG17" s="121"/>
      <c r="AH17" s="122"/>
      <c r="AI17" s="194"/>
      <c r="AJ17" s="195"/>
      <c r="AK17" s="195"/>
      <c r="AL17" s="195"/>
      <c r="AM17" s="195"/>
      <c r="AN17" s="195"/>
      <c r="AO17" s="196"/>
      <c r="AP17" s="195"/>
      <c r="AQ17" s="197"/>
      <c r="AR17" s="196"/>
      <c r="AS17" s="196"/>
      <c r="AT17" s="198"/>
      <c r="AU17" s="195"/>
      <c r="AV17" s="195"/>
      <c r="AW17" s="195"/>
      <c r="AX17" s="195"/>
      <c r="AY17" s="195"/>
      <c r="AZ17" s="195"/>
      <c r="BA17" s="195"/>
      <c r="BB17" s="195"/>
      <c r="BC17" s="195"/>
      <c r="BD17" s="195"/>
      <c r="BE17" s="195"/>
      <c r="BF17" s="199"/>
      <c r="BG17" s="200"/>
      <c r="BH17" s="199"/>
      <c r="BI17" s="130">
        <f>SUM(AG17:BH17)</f>
      </c>
      <c r="BJ17" s="121"/>
      <c r="BK17" s="122"/>
      <c r="BL17" s="194"/>
      <c r="BM17" s="195"/>
      <c r="BN17" s="195"/>
      <c r="BO17" s="195"/>
      <c r="BP17" s="195"/>
      <c r="BQ17" s="195"/>
      <c r="BR17" s="196"/>
      <c r="BS17" s="195"/>
      <c r="BT17" s="197"/>
      <c r="BU17" s="196"/>
      <c r="BV17" s="196"/>
      <c r="BW17" s="198"/>
      <c r="BX17" s="195"/>
      <c r="BY17" s="195"/>
      <c r="BZ17" s="195"/>
      <c r="CA17" s="195"/>
      <c r="CB17" s="195"/>
      <c r="CC17" s="195"/>
      <c r="CD17" s="195"/>
      <c r="CE17" s="195"/>
      <c r="CF17" s="195"/>
      <c r="CG17" s="195"/>
      <c r="CH17" s="195"/>
      <c r="CI17" s="199"/>
      <c r="CJ17" s="200"/>
      <c r="CK17" s="199"/>
      <c r="CL17" s="130">
        <f>SUM(BJ17:CK17)</f>
      </c>
      <c r="CM17" s="121"/>
      <c r="CN17" s="122"/>
      <c r="CO17" s="194"/>
      <c r="CP17" s="195"/>
      <c r="CQ17" s="195"/>
      <c r="CR17" s="195"/>
      <c r="CS17" s="195"/>
      <c r="CT17" s="195"/>
      <c r="CU17" s="196"/>
      <c r="CV17" s="195"/>
      <c r="CW17" s="197"/>
      <c r="CX17" s="196"/>
      <c r="CY17" s="196"/>
      <c r="CZ17" s="198"/>
      <c r="DA17" s="195"/>
      <c r="DB17" s="195"/>
      <c r="DC17" s="195"/>
      <c r="DD17" s="195"/>
      <c r="DE17" s="195"/>
      <c r="DF17" s="195"/>
      <c r="DG17" s="195"/>
      <c r="DH17" s="195"/>
      <c r="DI17" s="195"/>
      <c r="DJ17" s="195"/>
      <c r="DK17" s="195"/>
      <c r="DL17" s="199"/>
      <c r="DM17" s="200"/>
      <c r="DN17" s="199"/>
      <c r="DO17" s="130">
        <f>SUM(CM17:DN17)</f>
      </c>
      <c r="DP17" s="121"/>
      <c r="DQ17" s="122"/>
      <c r="DR17" s="194"/>
      <c r="DS17" s="195"/>
      <c r="DT17" s="195"/>
      <c r="DU17" s="195"/>
      <c r="DV17" s="195"/>
      <c r="DW17" s="195"/>
      <c r="DX17" s="196"/>
      <c r="DY17" s="195"/>
      <c r="DZ17" s="197"/>
      <c r="EA17" s="196"/>
      <c r="EB17" s="196"/>
      <c r="EC17" s="198"/>
      <c r="ED17" s="195"/>
      <c r="EE17" s="195"/>
      <c r="EF17" s="195"/>
      <c r="EG17" s="195"/>
      <c r="EH17" s="195"/>
      <c r="EI17" s="195"/>
      <c r="EJ17" s="195"/>
      <c r="EK17" s="195"/>
      <c r="EL17" s="195"/>
      <c r="EM17" s="195"/>
      <c r="EN17" s="195"/>
      <c r="EO17" s="199"/>
      <c r="EP17" s="200"/>
      <c r="EQ17" s="199"/>
      <c r="ER17" s="130">
        <f>SUM(DP17:EQ17)</f>
      </c>
      <c r="ES17" s="121"/>
      <c r="ET17" s="122"/>
      <c r="EU17" s="194"/>
      <c r="EV17" s="195"/>
      <c r="EW17" s="195"/>
      <c r="EX17" s="195"/>
      <c r="EY17" s="195"/>
      <c r="EZ17" s="195"/>
      <c r="FA17" s="196"/>
      <c r="FB17" s="195"/>
      <c r="FC17" s="197"/>
      <c r="FD17" s="196"/>
      <c r="FE17" s="196"/>
      <c r="FF17" s="198"/>
      <c r="FG17" s="195"/>
      <c r="FH17" s="195"/>
      <c r="FI17" s="195"/>
      <c r="FJ17" s="195"/>
      <c r="FK17" s="195"/>
      <c r="FL17" s="195"/>
      <c r="FM17" s="195"/>
      <c r="FN17" s="195"/>
      <c r="FO17" s="195"/>
      <c r="FP17" s="195"/>
      <c r="FQ17" s="195"/>
      <c r="FR17" s="199"/>
      <c r="FS17" s="200"/>
      <c r="FT17" s="199"/>
      <c r="FU17" s="130">
        <f>SUM(ES17:FT17)</f>
      </c>
      <c r="FV17" s="121"/>
      <c r="FW17" s="122"/>
      <c r="FX17" s="194"/>
      <c r="FY17" s="195"/>
      <c r="FZ17" s="195"/>
      <c r="GA17" s="195"/>
      <c r="GB17" s="195"/>
      <c r="GC17" s="195"/>
      <c r="GD17" s="196"/>
      <c r="GE17" s="195"/>
      <c r="GF17" s="197"/>
      <c r="GG17" s="196"/>
      <c r="GH17" s="196"/>
      <c r="GI17" s="198"/>
      <c r="GJ17" s="195"/>
      <c r="GK17" s="195"/>
      <c r="GL17" s="195"/>
      <c r="GM17" s="195"/>
      <c r="GN17" s="195"/>
      <c r="GO17" s="195"/>
      <c r="GP17" s="195"/>
      <c r="GQ17" s="195"/>
      <c r="GR17" s="195"/>
      <c r="GS17" s="195"/>
      <c r="GT17" s="195"/>
      <c r="GU17" s="199"/>
      <c r="GV17" s="200"/>
      <c r="GW17" s="199"/>
      <c r="GX17" s="130">
        <f>SUM(FV17:GW17)</f>
      </c>
      <c r="GY17" s="132">
        <f>AF17+BI17+CL17+DO17+ER17+FU17+GX17</f>
      </c>
      <c r="GZ17" s="133">
        <f>(COUNTIF(D17:GX17,"H")+COUNTIF(D17:GX17,"S")+COUNTIF(D17:GX17,"L")+COUNTIF(D17:GX17,"E")+COUNTIF(D17:GX17,"C"))/2</f>
      </c>
      <c r="HA17" s="130">
        <f>GY17+GZ17</f>
      </c>
      <c r="HB17" s="134"/>
      <c r="HC17" s="135"/>
      <c r="HD17" s="201"/>
      <c r="HE17" s="202"/>
      <c r="HF17" s="203">
        <v>0.5</v>
      </c>
      <c r="HG17" s="203">
        <v>0.5</v>
      </c>
      <c r="HH17" s="203">
        <v>0.5</v>
      </c>
      <c r="HI17" s="203">
        <v>0.5</v>
      </c>
      <c r="HJ17" s="204">
        <v>0.5</v>
      </c>
      <c r="HK17" s="205">
        <v>0.5</v>
      </c>
      <c r="HL17" s="206">
        <v>0.5</v>
      </c>
      <c r="HM17" s="204">
        <v>0.5</v>
      </c>
      <c r="HN17" s="207"/>
      <c r="HO17" s="208"/>
      <c r="HP17" s="205">
        <v>0.5</v>
      </c>
      <c r="HQ17" s="205">
        <v>0.5</v>
      </c>
      <c r="HR17" s="203">
        <v>0.5</v>
      </c>
      <c r="HS17" s="203">
        <v>0.5</v>
      </c>
      <c r="HT17" s="203">
        <v>0.5</v>
      </c>
      <c r="HU17" s="203">
        <v>0.5</v>
      </c>
      <c r="HV17" s="203">
        <v>0.5</v>
      </c>
      <c r="HW17" s="203">
        <v>0.5</v>
      </c>
      <c r="HX17" s="202"/>
      <c r="HY17" s="202"/>
      <c r="HZ17" s="202"/>
      <c r="IA17" s="209"/>
      <c r="IB17" s="210"/>
      <c r="IC17" s="209"/>
      <c r="ID17" s="130">
        <f>SUM(HB17:IC17)</f>
      </c>
      <c r="IE17" s="134"/>
      <c r="IF17" s="135"/>
      <c r="IG17" s="201"/>
      <c r="IH17" s="202"/>
      <c r="II17" s="211">
        <v>0.5</v>
      </c>
      <c r="IJ17" s="211">
        <v>0.5</v>
      </c>
      <c r="IK17" s="211">
        <v>0.5</v>
      </c>
      <c r="IL17" s="211">
        <v>0.5</v>
      </c>
      <c r="IM17" s="212">
        <v>0.5</v>
      </c>
      <c r="IN17" s="213">
        <v>0.5</v>
      </c>
      <c r="IO17" s="214">
        <v>0.5</v>
      </c>
      <c r="IP17" s="212">
        <v>0.5</v>
      </c>
      <c r="IQ17" s="207"/>
      <c r="IR17" s="208"/>
      <c r="IS17" s="213">
        <v>0.5</v>
      </c>
      <c r="IT17" s="213">
        <v>0.5</v>
      </c>
      <c r="IU17" s="211">
        <v>0.5</v>
      </c>
      <c r="IV17" s="211">
        <v>0.5</v>
      </c>
      <c r="IW17" s="211">
        <v>0.5</v>
      </c>
      <c r="IX17" s="211">
        <v>0.5</v>
      </c>
      <c r="IY17" s="211">
        <v>0.5</v>
      </c>
      <c r="IZ17" s="211">
        <v>0.5</v>
      </c>
      <c r="JA17" s="202"/>
      <c r="JB17" s="202"/>
      <c r="JC17" s="202"/>
      <c r="JD17" s="209"/>
      <c r="JE17" s="210"/>
      <c r="JF17" s="209"/>
      <c r="JG17" s="130">
        <f>SUM(IE17:JF17)</f>
      </c>
      <c r="JH17" s="134"/>
      <c r="JI17" s="135"/>
      <c r="JJ17" s="201"/>
      <c r="JK17" s="202"/>
      <c r="JL17" s="211">
        <v>0.5</v>
      </c>
      <c r="JM17" s="211">
        <v>0.5</v>
      </c>
      <c r="JN17" s="211">
        <v>0.5</v>
      </c>
      <c r="JO17" s="211">
        <v>0.5</v>
      </c>
      <c r="JP17" s="212">
        <v>0.5</v>
      </c>
      <c r="JQ17" s="213">
        <v>0.5</v>
      </c>
      <c r="JR17" s="214">
        <v>0.5</v>
      </c>
      <c r="JS17" s="212">
        <v>0.5</v>
      </c>
      <c r="JT17" s="207"/>
      <c r="JU17" s="208"/>
      <c r="JV17" s="213">
        <v>0.5</v>
      </c>
      <c r="JW17" s="213">
        <v>0.5</v>
      </c>
      <c r="JX17" s="211">
        <v>0.5</v>
      </c>
      <c r="JY17" s="211">
        <v>0.5</v>
      </c>
      <c r="JZ17" s="211">
        <v>0.5</v>
      </c>
      <c r="KA17" s="211">
        <v>0.5</v>
      </c>
      <c r="KB17" s="211">
        <v>0.5</v>
      </c>
      <c r="KC17" s="211">
        <v>0.5</v>
      </c>
      <c r="KD17" s="202"/>
      <c r="KE17" s="202"/>
      <c r="KF17" s="202"/>
      <c r="KG17" s="209"/>
      <c r="KH17" s="210"/>
      <c r="KI17" s="209"/>
      <c r="KJ17" s="130">
        <f>SUM(JH17:KI17)</f>
      </c>
      <c r="KK17" s="134"/>
      <c r="KL17" s="135"/>
      <c r="KM17" s="201"/>
      <c r="KN17" s="202"/>
      <c r="KO17" s="211">
        <v>0.5</v>
      </c>
      <c r="KP17" s="211">
        <v>0.5</v>
      </c>
      <c r="KQ17" s="211">
        <v>0.5</v>
      </c>
      <c r="KR17" s="211">
        <v>0.5</v>
      </c>
      <c r="KS17" s="212">
        <v>0.5</v>
      </c>
      <c r="KT17" s="213">
        <v>0.5</v>
      </c>
      <c r="KU17" s="214">
        <v>0.5</v>
      </c>
      <c r="KV17" s="212">
        <v>0.5</v>
      </c>
      <c r="KW17" s="207"/>
      <c r="KX17" s="208"/>
      <c r="KY17" s="213">
        <v>0.5</v>
      </c>
      <c r="KZ17" s="213">
        <v>0.5</v>
      </c>
      <c r="LA17" s="211">
        <v>0.5</v>
      </c>
      <c r="LB17" s="211">
        <v>0.5</v>
      </c>
      <c r="LC17" s="211">
        <v>0.5</v>
      </c>
      <c r="LD17" s="211">
        <v>0.5</v>
      </c>
      <c r="LE17" s="211">
        <v>0.5</v>
      </c>
      <c r="LF17" s="211">
        <v>0.5</v>
      </c>
      <c r="LG17" s="202"/>
      <c r="LH17" s="202"/>
      <c r="LI17" s="202"/>
      <c r="LJ17" s="209"/>
      <c r="LK17" s="210"/>
      <c r="LL17" s="209"/>
      <c r="LM17" s="130">
        <f>SUM(KK17:LL17)</f>
      </c>
      <c r="LN17" s="134"/>
      <c r="LO17" s="135"/>
      <c r="LP17" s="201"/>
      <c r="LQ17" s="202"/>
      <c r="LR17" s="211">
        <v>0.5</v>
      </c>
      <c r="LS17" s="211">
        <v>0.5</v>
      </c>
      <c r="LT17" s="211">
        <v>0.5</v>
      </c>
      <c r="LU17" s="211">
        <v>0.5</v>
      </c>
      <c r="LV17" s="212">
        <v>0.5</v>
      </c>
      <c r="LW17" s="213">
        <v>0.5</v>
      </c>
      <c r="LX17" s="214">
        <v>0.5</v>
      </c>
      <c r="LY17" s="212">
        <v>0.5</v>
      </c>
      <c r="LZ17" s="207"/>
      <c r="MA17" s="208"/>
      <c r="MB17" s="213">
        <v>0.5</v>
      </c>
      <c r="MC17" s="213">
        <v>0.5</v>
      </c>
      <c r="MD17" s="211">
        <v>0.5</v>
      </c>
      <c r="ME17" s="211">
        <v>0.5</v>
      </c>
      <c r="MF17" s="211">
        <v>0.5</v>
      </c>
      <c r="MG17" s="211">
        <v>0.5</v>
      </c>
      <c r="MH17" s="211">
        <v>0.5</v>
      </c>
      <c r="MI17" s="211">
        <v>0.5</v>
      </c>
      <c r="MJ17" s="202"/>
      <c r="MK17" s="202"/>
      <c r="ML17" s="202"/>
      <c r="MM17" s="209"/>
      <c r="MN17" s="210"/>
      <c r="MO17" s="209"/>
      <c r="MP17" s="130">
        <f>SUM(LN17:MO17)</f>
      </c>
      <c r="MQ17" s="121"/>
      <c r="MR17" s="122"/>
      <c r="MS17" s="194"/>
      <c r="MT17" s="195"/>
      <c r="MU17" s="195"/>
      <c r="MV17" s="195"/>
      <c r="MW17" s="195"/>
      <c r="MX17" s="195"/>
      <c r="MY17" s="196"/>
      <c r="MZ17" s="195"/>
      <c r="NA17" s="197"/>
      <c r="NB17" s="196"/>
      <c r="NC17" s="196"/>
      <c r="ND17" s="198"/>
      <c r="NE17" s="195"/>
      <c r="NF17" s="195"/>
      <c r="NG17" s="195"/>
      <c r="NH17" s="195"/>
      <c r="NI17" s="195"/>
      <c r="NJ17" s="195"/>
      <c r="NK17" s="195"/>
      <c r="NL17" s="195"/>
      <c r="NM17" s="195"/>
      <c r="NN17" s="195"/>
      <c r="NO17" s="195"/>
      <c r="NP17" s="199"/>
      <c r="NQ17" s="200"/>
      <c r="NR17" s="199"/>
      <c r="NS17" s="130">
        <f>SUM(MQ17:NR17)</f>
      </c>
      <c r="NT17" s="121"/>
      <c r="NU17" s="122"/>
      <c r="NV17" s="194"/>
      <c r="NW17" s="195"/>
      <c r="NX17" s="195"/>
      <c r="NY17" s="195"/>
      <c r="NZ17" s="195"/>
      <c r="OA17" s="195"/>
      <c r="OB17" s="196"/>
      <c r="OC17" s="195"/>
      <c r="OD17" s="197"/>
      <c r="OE17" s="196"/>
      <c r="OF17" s="196"/>
      <c r="OG17" s="198"/>
      <c r="OH17" s="195"/>
      <c r="OI17" s="195"/>
      <c r="OJ17" s="195"/>
      <c r="OK17" s="195"/>
      <c r="OL17" s="195"/>
      <c r="OM17" s="195"/>
      <c r="ON17" s="195"/>
      <c r="OO17" s="195"/>
      <c r="OP17" s="195"/>
      <c r="OQ17" s="195"/>
      <c r="OR17" s="195"/>
      <c r="OS17" s="199"/>
      <c r="OT17" s="200"/>
      <c r="OU17" s="199"/>
      <c r="OV17" s="130">
        <f>SUM(NT17:OU17)</f>
      </c>
      <c r="OW17" s="132">
        <f>ID17+JG17+KJ17+LM17+MP17+NS17+OV17</f>
      </c>
      <c r="OX17" s="133">
        <f>(COUNTIF(HB17:OV17,"H")+COUNTIF(HB17:OV17,"S")+COUNTIF(HB17:OV17,"L")+COUNTIF(HB17:OV17,"E")+COUNTIF(HB17:OV17,"C"))/2</f>
      </c>
      <c r="OY17" s="130">
        <f>OW17+OX17</f>
      </c>
      <c r="OZ17" s="134"/>
      <c r="PA17" s="135"/>
      <c r="PB17" s="201"/>
      <c r="PC17" s="202"/>
      <c r="PD17" s="203">
        <v>0.5</v>
      </c>
      <c r="PE17" s="203">
        <v>0.5</v>
      </c>
      <c r="PF17" s="203">
        <v>0.5</v>
      </c>
      <c r="PG17" s="203">
        <v>0.5</v>
      </c>
      <c r="PH17" s="204">
        <v>0.5</v>
      </c>
      <c r="PI17" s="205">
        <v>0.5</v>
      </c>
      <c r="PJ17" s="206">
        <v>0.5</v>
      </c>
      <c r="PK17" s="204">
        <v>0.5</v>
      </c>
      <c r="PL17" s="207"/>
      <c r="PM17" s="208"/>
      <c r="PN17" s="205">
        <v>0.5</v>
      </c>
      <c r="PO17" s="205">
        <v>0.5</v>
      </c>
      <c r="PP17" s="203">
        <v>0.5</v>
      </c>
      <c r="PQ17" s="203">
        <v>0.5</v>
      </c>
      <c r="PR17" s="203">
        <v>0.5</v>
      </c>
      <c r="PS17" s="203">
        <v>0.5</v>
      </c>
      <c r="PT17" s="203">
        <v>0.5</v>
      </c>
      <c r="PU17" s="203">
        <v>0.5</v>
      </c>
      <c r="PV17" s="202"/>
      <c r="PW17" s="202"/>
      <c r="PX17" s="202"/>
      <c r="PY17" s="209"/>
      <c r="PZ17" s="210"/>
      <c r="QA17" s="209"/>
      <c r="QB17" s="130">
        <f>SUM(OZ17:QA17)</f>
      </c>
      <c r="QC17" s="134"/>
      <c r="QD17" s="135"/>
      <c r="QE17" s="201"/>
      <c r="QF17" s="202"/>
      <c r="QG17" s="211">
        <v>0.5</v>
      </c>
      <c r="QH17" s="211">
        <v>0.5</v>
      </c>
      <c r="QI17" s="211">
        <v>0.5</v>
      </c>
      <c r="QJ17" s="211">
        <v>0.5</v>
      </c>
      <c r="QK17" s="212">
        <v>0.5</v>
      </c>
      <c r="QL17" s="213">
        <v>0.5</v>
      </c>
      <c r="QM17" s="214">
        <v>0.5</v>
      </c>
      <c r="QN17" s="212">
        <v>0.5</v>
      </c>
      <c r="QO17" s="207"/>
      <c r="QP17" s="208"/>
      <c r="QQ17" s="213">
        <v>0.5</v>
      </c>
      <c r="QR17" s="213">
        <v>0.5</v>
      </c>
      <c r="QS17" s="211">
        <v>0.5</v>
      </c>
      <c r="QT17" s="211">
        <v>0.5</v>
      </c>
      <c r="QU17" s="211">
        <v>0.5</v>
      </c>
      <c r="QV17" s="211">
        <v>0.5</v>
      </c>
      <c r="QW17" s="211">
        <v>0.5</v>
      </c>
      <c r="QX17" s="211">
        <v>0.5</v>
      </c>
      <c r="QY17" s="202"/>
      <c r="QZ17" s="202"/>
      <c r="RA17" s="202"/>
      <c r="RB17" s="209"/>
      <c r="RC17" s="210"/>
      <c r="RD17" s="209"/>
      <c r="RE17" s="130">
        <f>SUM(QC17:RD17)</f>
      </c>
      <c r="RF17" s="134"/>
      <c r="RG17" s="135"/>
      <c r="RH17" s="201"/>
      <c r="RI17" s="202"/>
      <c r="RJ17" s="211">
        <v>0.5</v>
      </c>
      <c r="RK17" s="211">
        <v>0.5</v>
      </c>
      <c r="RL17" s="211">
        <v>0.5</v>
      </c>
      <c r="RM17" s="211">
        <v>0.5</v>
      </c>
      <c r="RN17" s="212">
        <v>0.5</v>
      </c>
      <c r="RO17" s="213">
        <v>0.5</v>
      </c>
      <c r="RP17" s="215">
        <v>0.5</v>
      </c>
      <c r="RQ17" s="212">
        <v>0.5</v>
      </c>
      <c r="RR17" s="207"/>
      <c r="RS17" s="208"/>
      <c r="RT17" s="213">
        <v>0.5</v>
      </c>
      <c r="RU17" s="213">
        <v>0.5</v>
      </c>
      <c r="RV17" s="211">
        <v>0.5</v>
      </c>
      <c r="RW17" s="211">
        <v>0.5</v>
      </c>
      <c r="RX17" s="211">
        <v>0.5</v>
      </c>
      <c r="RY17" s="211">
        <v>0.5</v>
      </c>
      <c r="RZ17" s="211">
        <v>0.5</v>
      </c>
      <c r="SA17" s="211">
        <v>0.5</v>
      </c>
      <c r="SB17" s="202"/>
      <c r="SC17" s="202"/>
      <c r="SD17" s="202"/>
      <c r="SE17" s="209"/>
      <c r="SF17" s="210"/>
      <c r="SG17" s="209"/>
      <c r="SH17" s="130">
        <f>SUM(RF17:SG17)</f>
      </c>
      <c r="SI17" s="134"/>
      <c r="SJ17" s="135"/>
      <c r="SK17" s="201"/>
      <c r="SL17" s="202"/>
      <c r="SM17" s="211">
        <v>0.5</v>
      </c>
      <c r="SN17" s="211">
        <v>0.5</v>
      </c>
      <c r="SO17" s="211">
        <v>0.5</v>
      </c>
      <c r="SP17" s="211">
        <v>0.5</v>
      </c>
      <c r="SQ17" s="212">
        <v>0.5</v>
      </c>
      <c r="SR17" s="213">
        <v>0.5</v>
      </c>
      <c r="SS17" s="214">
        <v>0.5</v>
      </c>
      <c r="ST17" s="212">
        <v>0.5</v>
      </c>
      <c r="SU17" s="207"/>
      <c r="SV17" s="208"/>
      <c r="SW17" s="213">
        <v>0.5</v>
      </c>
      <c r="SX17" s="213">
        <v>0.5</v>
      </c>
      <c r="SY17" s="211">
        <v>0.5</v>
      </c>
      <c r="SZ17" s="211">
        <v>0.5</v>
      </c>
      <c r="TA17" s="211">
        <v>0.5</v>
      </c>
      <c r="TB17" s="211">
        <v>0.5</v>
      </c>
      <c r="TC17" s="211">
        <v>0.5</v>
      </c>
      <c r="TD17" s="211">
        <v>0.5</v>
      </c>
      <c r="TE17" s="202"/>
      <c r="TF17" s="202"/>
      <c r="TG17" s="202"/>
      <c r="TH17" s="209"/>
      <c r="TI17" s="210"/>
      <c r="TJ17" s="209"/>
      <c r="TK17" s="130">
        <f>SUM(SI17:TJ17)</f>
      </c>
      <c r="TL17" s="134"/>
      <c r="TM17" s="135"/>
      <c r="TN17" s="201"/>
      <c r="TO17" s="202"/>
      <c r="TP17" s="211">
        <v>0.5</v>
      </c>
      <c r="TQ17" s="211">
        <v>0.5</v>
      </c>
      <c r="TR17" s="211">
        <v>0.5</v>
      </c>
      <c r="TS17" s="211">
        <v>0.5</v>
      </c>
      <c r="TT17" s="212">
        <v>0.5</v>
      </c>
      <c r="TU17" s="213">
        <v>0.5</v>
      </c>
      <c r="TV17" s="214">
        <v>0.5</v>
      </c>
      <c r="TW17" s="212">
        <v>0.5</v>
      </c>
      <c r="TX17" s="207"/>
      <c r="TY17" s="208"/>
      <c r="TZ17" s="213">
        <v>0.5</v>
      </c>
      <c r="UA17" s="213">
        <v>0.5</v>
      </c>
      <c r="UB17" s="211">
        <v>0.5</v>
      </c>
      <c r="UC17" s="211">
        <v>0.5</v>
      </c>
      <c r="UD17" s="211">
        <v>0.5</v>
      </c>
      <c r="UE17" s="211">
        <v>0.5</v>
      </c>
      <c r="UF17" s="211">
        <v>0.5</v>
      </c>
      <c r="UG17" s="211">
        <v>0.5</v>
      </c>
      <c r="UH17" s="202"/>
      <c r="UI17" s="202"/>
      <c r="UJ17" s="202"/>
      <c r="UK17" s="209"/>
      <c r="UL17" s="210"/>
      <c r="UM17" s="209"/>
      <c r="UN17" s="130">
        <f>SUM(TL17:UM17)</f>
      </c>
      <c r="UO17" s="121"/>
      <c r="UP17" s="122"/>
      <c r="UQ17" s="194"/>
      <c r="UR17" s="195"/>
      <c r="US17" s="195"/>
      <c r="UT17" s="195"/>
      <c r="UU17" s="195"/>
      <c r="UV17" s="195"/>
      <c r="UW17" s="196"/>
      <c r="UX17" s="195"/>
      <c r="UY17" s="197"/>
      <c r="UZ17" s="196"/>
      <c r="VA17" s="196"/>
      <c r="VB17" s="198"/>
      <c r="VC17" s="195"/>
      <c r="VD17" s="195"/>
      <c r="VE17" s="195"/>
      <c r="VF17" s="195"/>
      <c r="VG17" s="195"/>
      <c r="VH17" s="195"/>
      <c r="VI17" s="195"/>
      <c r="VJ17" s="195"/>
      <c r="VK17" s="195"/>
      <c r="VL17" s="195"/>
      <c r="VM17" s="195"/>
      <c r="VN17" s="199"/>
      <c r="VO17" s="200"/>
      <c r="VP17" s="199"/>
      <c r="VQ17" s="130">
        <f>SUM(UO17:VP17)</f>
      </c>
      <c r="VR17" s="121"/>
      <c r="VS17" s="122"/>
      <c r="VT17" s="194"/>
      <c r="VU17" s="195"/>
      <c r="VV17" s="195"/>
      <c r="VW17" s="195"/>
      <c r="VX17" s="195"/>
      <c r="VY17" s="195"/>
      <c r="VZ17" s="196"/>
      <c r="WA17" s="195"/>
      <c r="WB17" s="197"/>
      <c r="WC17" s="196"/>
      <c r="WD17" s="196"/>
      <c r="WE17" s="198"/>
      <c r="WF17" s="195"/>
      <c r="WG17" s="195"/>
      <c r="WH17" s="195"/>
      <c r="WI17" s="195"/>
      <c r="WJ17" s="195"/>
      <c r="WK17" s="195"/>
      <c r="WL17" s="195"/>
      <c r="WM17" s="195"/>
      <c r="WN17" s="195"/>
      <c r="WO17" s="195"/>
      <c r="WP17" s="195"/>
      <c r="WQ17" s="199"/>
      <c r="WR17" s="200"/>
      <c r="WS17" s="199"/>
      <c r="WT17" s="130">
        <f>SUM(VR17:WS17)</f>
      </c>
      <c r="WU17" s="132">
        <f>QB17+RE17+SH17+TK17+UN17+VQ17+WT17</f>
      </c>
      <c r="WV17" s="133">
        <f>(COUNTIF(OZ17:WT17,"H")+COUNTIF(OZ17:WT17,"S")+COUNTIF(OZ17:WT17,"L")+COUNTIF(OZ17:WT17,"E")+COUNTIF(OZ17:WT17,"C"))/2</f>
      </c>
      <c r="WW17" s="130">
        <f>WU17+WV17</f>
      </c>
      <c r="WX17" s="134"/>
      <c r="WY17" s="135"/>
      <c r="WZ17" s="201"/>
      <c r="XA17" s="202"/>
      <c r="XB17" s="211">
        <v>0.5</v>
      </c>
      <c r="XC17" s="211">
        <v>0.5</v>
      </c>
      <c r="XD17" s="211">
        <v>0.5</v>
      </c>
      <c r="XE17" s="211">
        <v>0.5</v>
      </c>
      <c r="XF17" s="212">
        <v>0.5</v>
      </c>
      <c r="XG17" s="213">
        <v>0.5</v>
      </c>
      <c r="XH17" s="214">
        <v>0.5</v>
      </c>
      <c r="XI17" s="212">
        <v>0.5</v>
      </c>
      <c r="XJ17" s="207"/>
      <c r="XK17" s="208"/>
      <c r="XL17" s="213">
        <v>0.5</v>
      </c>
      <c r="XM17" s="213">
        <v>0.5</v>
      </c>
      <c r="XN17" s="211">
        <v>0.5</v>
      </c>
      <c r="XO17" s="211">
        <v>0.5</v>
      </c>
      <c r="XP17" s="211">
        <v>0.5</v>
      </c>
      <c r="XQ17" s="211">
        <v>0.5</v>
      </c>
      <c r="XR17" s="211">
        <v>0.5</v>
      </c>
      <c r="XS17" s="211">
        <v>0.5</v>
      </c>
      <c r="XT17" s="202"/>
      <c r="XU17" s="202"/>
      <c r="XV17" s="202"/>
      <c r="XW17" s="209"/>
      <c r="XX17" s="210"/>
      <c r="XY17" s="209"/>
      <c r="XZ17" s="130">
        <f>SUM(WX17:XY17)</f>
      </c>
      <c r="YA17" s="134"/>
      <c r="YB17" s="135"/>
      <c r="YC17" s="201"/>
      <c r="YD17" s="202"/>
      <c r="YE17" s="211">
        <v>0.5</v>
      </c>
      <c r="YF17" s="211">
        <v>0.5</v>
      </c>
      <c r="YG17" s="211">
        <v>0.5</v>
      </c>
      <c r="YH17" s="211">
        <v>0.5</v>
      </c>
      <c r="YI17" s="212">
        <v>0.5</v>
      </c>
      <c r="YJ17" s="213">
        <v>0.5</v>
      </c>
      <c r="YK17" s="214">
        <v>0.5</v>
      </c>
      <c r="YL17" s="212">
        <v>0.5</v>
      </c>
      <c r="YM17" s="207"/>
      <c r="YN17" s="208"/>
      <c r="YO17" s="213">
        <v>0.5</v>
      </c>
      <c r="YP17" s="213">
        <v>0.5</v>
      </c>
      <c r="YQ17" s="211">
        <v>0.5</v>
      </c>
      <c r="YR17" s="211">
        <v>0.5</v>
      </c>
      <c r="YS17" s="211">
        <v>0.5</v>
      </c>
      <c r="YT17" s="211">
        <v>0.5</v>
      </c>
      <c r="YU17" s="211">
        <v>0.5</v>
      </c>
      <c r="YV17" s="211">
        <v>0.5</v>
      </c>
      <c r="YW17" s="202"/>
      <c r="YX17" s="202"/>
      <c r="YY17" s="202"/>
      <c r="YZ17" s="209"/>
      <c r="ZA17" s="210"/>
      <c r="ZB17" s="209"/>
      <c r="ZC17" s="130">
        <f>SUM(YA17:ZB17)</f>
      </c>
      <c r="ZD17" s="134"/>
      <c r="ZE17" s="135"/>
      <c r="ZF17" s="201"/>
      <c r="ZG17" s="202"/>
      <c r="ZH17" s="211">
        <v>0.5</v>
      </c>
      <c r="ZI17" s="211">
        <v>0.5</v>
      </c>
      <c r="ZJ17" s="211">
        <v>0.5</v>
      </c>
      <c r="ZK17" s="211">
        <v>0.5</v>
      </c>
      <c r="ZL17" s="212">
        <v>0.5</v>
      </c>
      <c r="ZM17" s="213">
        <v>0.5</v>
      </c>
      <c r="ZN17" s="214">
        <v>0.5</v>
      </c>
      <c r="ZO17" s="212">
        <v>0.5</v>
      </c>
      <c r="ZP17" s="207"/>
      <c r="ZQ17" s="208"/>
      <c r="ZR17" s="213">
        <v>0.5</v>
      </c>
      <c r="ZS17" s="213">
        <v>0.5</v>
      </c>
      <c r="ZT17" s="211">
        <v>0.5</v>
      </c>
      <c r="ZU17" s="211">
        <v>0.5</v>
      </c>
      <c r="ZV17" s="211">
        <v>0.5</v>
      </c>
      <c r="ZW17" s="211">
        <v>0.5</v>
      </c>
      <c r="ZX17" s="211">
        <v>0.5</v>
      </c>
      <c r="ZY17" s="211">
        <v>0.5</v>
      </c>
      <c r="ZZ17" s="202"/>
      <c r="AAA17" s="202"/>
      <c r="AAB17" s="202"/>
      <c r="AAC17" s="209"/>
      <c r="AAD17" s="210"/>
      <c r="AAE17" s="209"/>
      <c r="AAF17" s="130">
        <f>SUM(ZD17:AAE17)</f>
      </c>
      <c r="AAG17" s="134"/>
      <c r="AAH17" s="135"/>
      <c r="AAI17" s="201"/>
      <c r="AAJ17" s="202"/>
      <c r="AAK17" s="211">
        <v>0.5</v>
      </c>
      <c r="AAL17" s="211">
        <v>0.5</v>
      </c>
      <c r="AAM17" s="211">
        <v>0.5</v>
      </c>
      <c r="AAN17" s="211">
        <v>0.5</v>
      </c>
      <c r="AAO17" s="212">
        <v>0.5</v>
      </c>
      <c r="AAP17" s="213">
        <v>0.5</v>
      </c>
      <c r="AAQ17" s="214">
        <v>0.5</v>
      </c>
      <c r="AAR17" s="212">
        <v>0.5</v>
      </c>
      <c r="AAS17" s="207"/>
      <c r="AAT17" s="208"/>
      <c r="AAU17" s="213">
        <v>0.5</v>
      </c>
      <c r="AAV17" s="213">
        <v>0.5</v>
      </c>
      <c r="AAW17" s="211">
        <v>0.5</v>
      </c>
      <c r="AAX17" s="211">
        <v>0.5</v>
      </c>
      <c r="AAY17" s="211">
        <v>0.5</v>
      </c>
      <c r="AAZ17" s="211">
        <v>0.5</v>
      </c>
      <c r="ABA17" s="211">
        <v>0.5</v>
      </c>
      <c r="ABB17" s="211">
        <v>0.5</v>
      </c>
      <c r="ABC17" s="202"/>
      <c r="ABD17" s="202"/>
      <c r="ABE17" s="202"/>
      <c r="ABF17" s="209"/>
      <c r="ABG17" s="210"/>
      <c r="ABH17" s="209"/>
      <c r="ABI17" s="130">
        <f>SUM(AAG17:ABH17)</f>
      </c>
      <c r="ABJ17" s="134"/>
      <c r="ABK17" s="135"/>
      <c r="ABL17" s="201"/>
      <c r="ABM17" s="202"/>
      <c r="ABN17" s="203">
        <v>0.5</v>
      </c>
      <c r="ABO17" s="203">
        <v>0.5</v>
      </c>
      <c r="ABP17" s="203">
        <v>0.5</v>
      </c>
      <c r="ABQ17" s="203">
        <v>0.5</v>
      </c>
      <c r="ABR17" s="204">
        <v>0.5</v>
      </c>
      <c r="ABS17" s="205">
        <v>0.5</v>
      </c>
      <c r="ABT17" s="206">
        <v>0.5</v>
      </c>
      <c r="ABU17" s="204">
        <v>0.5</v>
      </c>
      <c r="ABV17" s="207"/>
      <c r="ABW17" s="208"/>
      <c r="ABX17" s="205">
        <v>0.5</v>
      </c>
      <c r="ABY17" s="205">
        <v>0.5</v>
      </c>
      <c r="ABZ17" s="203">
        <v>0.5</v>
      </c>
      <c r="ACA17" s="203">
        <v>0.5</v>
      </c>
      <c r="ACB17" s="203">
        <v>0.5</v>
      </c>
      <c r="ACC17" s="203">
        <v>0.5</v>
      </c>
      <c r="ACD17" s="203">
        <v>0.5</v>
      </c>
      <c r="ACE17" s="203">
        <v>0.5</v>
      </c>
      <c r="ACF17" s="202"/>
      <c r="ACG17" s="202"/>
      <c r="ACH17" s="202"/>
      <c r="ACI17" s="209"/>
      <c r="ACJ17" s="210"/>
      <c r="ACK17" s="209"/>
      <c r="ACL17" s="130">
        <f>SUM(ABJ17:ACK17)</f>
      </c>
      <c r="ACM17" s="121"/>
      <c r="ACN17" s="122"/>
      <c r="ACO17" s="194"/>
      <c r="ACP17" s="195"/>
      <c r="ACQ17" s="195"/>
      <c r="ACR17" s="195"/>
      <c r="ACS17" s="195"/>
      <c r="ACT17" s="195"/>
      <c r="ACU17" s="196"/>
      <c r="ACV17" s="195"/>
      <c r="ACW17" s="197"/>
      <c r="ACX17" s="196"/>
      <c r="ACY17" s="196"/>
      <c r="ACZ17" s="198"/>
      <c r="ADA17" s="195"/>
      <c r="ADB17" s="195"/>
      <c r="ADC17" s="195"/>
      <c r="ADD17" s="195"/>
      <c r="ADE17" s="195"/>
      <c r="ADF17" s="195"/>
      <c r="ADG17" s="195"/>
      <c r="ADH17" s="195"/>
      <c r="ADI17" s="195"/>
      <c r="ADJ17" s="195"/>
      <c r="ADK17" s="195"/>
      <c r="ADL17" s="199"/>
      <c r="ADM17" s="200"/>
      <c r="ADN17" s="199"/>
      <c r="ADO17" s="130">
        <f>SUM(ACM17:ADN17)</f>
      </c>
      <c r="ADP17" s="121"/>
      <c r="ADQ17" s="122"/>
      <c r="ADR17" s="194"/>
      <c r="ADS17" s="195"/>
      <c r="ADT17" s="195"/>
      <c r="ADU17" s="195"/>
      <c r="ADV17" s="195"/>
      <c r="ADW17" s="195"/>
      <c r="ADX17" s="196"/>
      <c r="ADY17" s="195"/>
      <c r="ADZ17" s="197"/>
      <c r="AEA17" s="196"/>
      <c r="AEB17" s="196"/>
      <c r="AEC17" s="198"/>
      <c r="AED17" s="195"/>
      <c r="AEE17" s="195"/>
      <c r="AEF17" s="195"/>
      <c r="AEG17" s="195"/>
      <c r="AEH17" s="195"/>
      <c r="AEI17" s="195"/>
      <c r="AEJ17" s="195"/>
      <c r="AEK17" s="195"/>
      <c r="AEL17" s="195"/>
      <c r="AEM17" s="195"/>
      <c r="AEN17" s="195"/>
      <c r="AEO17" s="199"/>
      <c r="AEP17" s="200"/>
      <c r="AEQ17" s="199"/>
      <c r="AER17" s="130">
        <f>SUM(ADP17:AEQ17)</f>
      </c>
      <c r="AES17" s="132">
        <f>XZ17+ZC17+AAF17+ABI17+ACL17+ADO17+AER17</f>
      </c>
      <c r="AET17" s="133">
        <f>(COUNTIF(WX17:AER17,"H")+COUNTIF(WX17:AER17,"S")+COUNTIF(WX17:AER17,"L")+COUNTIF(WX17:AER17,"E")+COUNTIF(WX17:AER17,"C"))/2</f>
      </c>
      <c r="AEU17" s="130">
        <f>AES17+AET17</f>
      </c>
      <c r="AEV17" s="134"/>
      <c r="AEW17" s="135"/>
      <c r="AEX17" s="201"/>
      <c r="AEY17" s="202"/>
      <c r="AEZ17" s="203">
        <v>0.5</v>
      </c>
      <c r="AFA17" s="203">
        <v>0.5</v>
      </c>
      <c r="AFB17" s="203">
        <v>0.5</v>
      </c>
      <c r="AFC17" s="203">
        <v>0.5</v>
      </c>
      <c r="AFD17" s="204">
        <v>0.5</v>
      </c>
      <c r="AFE17" s="205">
        <v>0.5</v>
      </c>
      <c r="AFF17" s="206">
        <v>0.5</v>
      </c>
      <c r="AFG17" s="204">
        <v>0.5</v>
      </c>
      <c r="AFH17" s="207"/>
      <c r="AFI17" s="208"/>
      <c r="AFJ17" s="205">
        <v>0.5</v>
      </c>
      <c r="AFK17" s="205">
        <v>0.5</v>
      </c>
      <c r="AFL17" s="203">
        <v>0.5</v>
      </c>
      <c r="AFM17" s="203">
        <v>0.5</v>
      </c>
      <c r="AFN17" s="203">
        <v>0.5</v>
      </c>
      <c r="AFO17" s="203">
        <v>0.5</v>
      </c>
      <c r="AFP17" s="203">
        <v>0.5</v>
      </c>
      <c r="AFQ17" s="203">
        <v>0.5</v>
      </c>
      <c r="AFR17" s="202"/>
      <c r="AFS17" s="202"/>
      <c r="AFT17" s="202"/>
      <c r="AFU17" s="209"/>
      <c r="AFV17" s="210"/>
      <c r="AFW17" s="209"/>
      <c r="AFX17" s="130">
        <f>SUM(AEV17:AFW17)</f>
      </c>
      <c r="AFY17" s="134"/>
      <c r="AFZ17" s="135"/>
      <c r="AGA17" s="201"/>
      <c r="AGB17" s="202"/>
      <c r="AGC17" s="211">
        <v>0.5</v>
      </c>
      <c r="AGD17" s="211">
        <v>0.5</v>
      </c>
      <c r="AGE17" s="211">
        <v>0.5</v>
      </c>
      <c r="AGF17" s="211">
        <v>0.5</v>
      </c>
      <c r="AGG17" s="212">
        <v>0.5</v>
      </c>
      <c r="AGH17" s="213">
        <v>0.5</v>
      </c>
      <c r="AGI17" s="214">
        <v>0.5</v>
      </c>
      <c r="AGJ17" s="212">
        <v>0.5</v>
      </c>
      <c r="AGK17" s="207"/>
      <c r="AGL17" s="208"/>
      <c r="AGM17" s="213">
        <v>0.5</v>
      </c>
      <c r="AGN17" s="213">
        <v>0.5</v>
      </c>
      <c r="AGO17" s="211">
        <v>0.5</v>
      </c>
      <c r="AGP17" s="211">
        <v>0.5</v>
      </c>
      <c r="AGQ17" s="211">
        <v>0.5</v>
      </c>
      <c r="AGR17" s="211">
        <v>0.5</v>
      </c>
      <c r="AGS17" s="211">
        <v>0.5</v>
      </c>
      <c r="AGT17" s="211">
        <v>0.5</v>
      </c>
      <c r="AGU17" s="202"/>
      <c r="AGV17" s="202"/>
      <c r="AGW17" s="202"/>
      <c r="AGX17" s="209"/>
      <c r="AGY17" s="210"/>
      <c r="AGZ17" s="209"/>
      <c r="AHA17" s="130">
        <f>SUM(AFY17:AGZ17)</f>
      </c>
      <c r="AHB17" s="134"/>
      <c r="AHC17" s="135"/>
      <c r="AHD17" s="201"/>
      <c r="AHE17" s="202"/>
      <c r="AHF17" s="211">
        <v>0.5</v>
      </c>
      <c r="AHG17" s="211">
        <v>0.5</v>
      </c>
      <c r="AHH17" s="211">
        <v>0.5</v>
      </c>
      <c r="AHI17" s="211">
        <v>0.5</v>
      </c>
      <c r="AHJ17" s="212">
        <v>0.5</v>
      </c>
      <c r="AHK17" s="213">
        <v>0.5</v>
      </c>
      <c r="AHL17" s="214">
        <v>0.5</v>
      </c>
      <c r="AHM17" s="212">
        <v>0.5</v>
      </c>
      <c r="AHN17" s="207"/>
      <c r="AHO17" s="208"/>
      <c r="AHP17" s="213">
        <v>0.5</v>
      </c>
      <c r="AHQ17" s="213">
        <v>0.5</v>
      </c>
      <c r="AHR17" s="211">
        <v>0.5</v>
      </c>
      <c r="AHS17" s="211">
        <v>0.5</v>
      </c>
      <c r="AHT17" s="211">
        <v>0.5</v>
      </c>
      <c r="AHU17" s="211">
        <v>0.5</v>
      </c>
      <c r="AHV17" s="211">
        <v>0.5</v>
      </c>
      <c r="AHW17" s="211">
        <v>0.5</v>
      </c>
      <c r="AHX17" s="202"/>
      <c r="AHY17" s="202"/>
      <c r="AHZ17" s="202"/>
      <c r="AIA17" s="209"/>
      <c r="AIB17" s="210"/>
      <c r="AIC17" s="209"/>
      <c r="AID17" s="130">
        <f>SUM(AHB17:AIC17)</f>
      </c>
      <c r="AIE17" s="134"/>
      <c r="AIF17" s="135"/>
      <c r="AIG17" s="201"/>
      <c r="AIH17" s="202"/>
      <c r="AII17" s="211">
        <v>0.5</v>
      </c>
      <c r="AIJ17" s="211">
        <v>0.5</v>
      </c>
      <c r="AIK17" s="211">
        <v>0.5</v>
      </c>
      <c r="AIL17" s="211">
        <v>0.5</v>
      </c>
      <c r="AIM17" s="212">
        <v>0.5</v>
      </c>
      <c r="AIN17" s="213">
        <v>0.5</v>
      </c>
      <c r="AIO17" s="214">
        <v>0.5</v>
      </c>
      <c r="AIP17" s="212">
        <v>0.5</v>
      </c>
      <c r="AIQ17" s="207"/>
      <c r="AIR17" s="208"/>
      <c r="AIS17" s="213">
        <v>0.5</v>
      </c>
      <c r="AIT17" s="213">
        <v>0.5</v>
      </c>
      <c r="AIU17" s="211">
        <v>0.5</v>
      </c>
      <c r="AIV17" s="211">
        <v>0.5</v>
      </c>
      <c r="AIW17" s="211">
        <v>0.5</v>
      </c>
      <c r="AIX17" s="211">
        <v>0.5</v>
      </c>
      <c r="AIY17" s="211">
        <v>0.5</v>
      </c>
      <c r="AIZ17" s="211">
        <v>0.5</v>
      </c>
      <c r="AJA17" s="202"/>
      <c r="AJB17" s="202"/>
      <c r="AJC17" s="202"/>
      <c r="AJD17" s="209"/>
      <c r="AJE17" s="210"/>
      <c r="AJF17" s="209"/>
      <c r="AJG17" s="130">
        <f>SUM(AIE17:AJF17)</f>
      </c>
      <c r="AJH17" s="134"/>
      <c r="AJI17" s="135"/>
      <c r="AJJ17" s="201"/>
      <c r="AJK17" s="202"/>
      <c r="AJL17" s="211">
        <v>0.5</v>
      </c>
      <c r="AJM17" s="211">
        <v>0.5</v>
      </c>
      <c r="AJN17" s="211">
        <v>0.5</v>
      </c>
      <c r="AJO17" s="211">
        <v>0.5</v>
      </c>
      <c r="AJP17" s="212">
        <v>0.5</v>
      </c>
      <c r="AJQ17" s="213">
        <v>0.5</v>
      </c>
      <c r="AJR17" s="214">
        <v>0.5</v>
      </c>
      <c r="AJS17" s="212">
        <v>0.5</v>
      </c>
      <c r="AJT17" s="207"/>
      <c r="AJU17" s="208"/>
      <c r="AJV17" s="213">
        <v>0.5</v>
      </c>
      <c r="AJW17" s="213">
        <v>0.5</v>
      </c>
      <c r="AJX17" s="211">
        <v>0.5</v>
      </c>
      <c r="AJY17" s="211">
        <v>0.5</v>
      </c>
      <c r="AJZ17" s="211">
        <v>0.5</v>
      </c>
      <c r="AKA17" s="211">
        <v>0.5</v>
      </c>
      <c r="AKB17" s="211">
        <v>0.5</v>
      </c>
      <c r="AKC17" s="211">
        <v>0.5</v>
      </c>
      <c r="AKD17" s="202"/>
      <c r="AKE17" s="202"/>
      <c r="AKF17" s="202"/>
      <c r="AKG17" s="209"/>
      <c r="AKH17" s="210"/>
      <c r="AKI17" s="209"/>
      <c r="AKJ17" s="130">
        <f>SUM(AJH17:AKI17)</f>
      </c>
      <c r="AKK17" s="121"/>
      <c r="AKL17" s="122"/>
      <c r="AKM17" s="194"/>
      <c r="AKN17" s="195"/>
      <c r="AKO17" s="195"/>
      <c r="AKP17" s="195"/>
      <c r="AKQ17" s="195"/>
      <c r="AKR17" s="195"/>
      <c r="AKS17" s="196"/>
      <c r="AKT17" s="195"/>
      <c r="AKU17" s="197"/>
      <c r="AKV17" s="196"/>
      <c r="AKW17" s="196"/>
      <c r="AKX17" s="198"/>
      <c r="AKY17" s="195"/>
      <c r="AKZ17" s="195"/>
      <c r="ALA17" s="195"/>
      <c r="ALB17" s="195"/>
      <c r="ALC17" s="195"/>
      <c r="ALD17" s="195"/>
      <c r="ALE17" s="195"/>
      <c r="ALF17" s="195"/>
      <c r="ALG17" s="195"/>
      <c r="ALH17" s="195"/>
      <c r="ALI17" s="195"/>
      <c r="ALJ17" s="199"/>
      <c r="ALK17" s="200"/>
      <c r="ALL17" s="199"/>
      <c r="ALM17" s="130">
        <f>SUM(AKK17:ALL17)</f>
      </c>
      <c r="ALN17" s="121"/>
      <c r="ALO17" s="122"/>
      <c r="ALP17" s="194"/>
      <c r="ALQ17" s="195"/>
      <c r="ALR17" s="195"/>
      <c r="ALS17" s="195"/>
      <c r="ALT17" s="195"/>
      <c r="ALU17" s="195"/>
      <c r="ALV17" s="196"/>
      <c r="ALW17" s="195"/>
      <c r="ALX17" s="197"/>
      <c r="ALY17" s="196"/>
      <c r="ALZ17" s="196"/>
      <c r="AMA17" s="198"/>
      <c r="AMB17" s="195"/>
      <c r="AMC17" s="195"/>
      <c r="AMD17" s="195"/>
      <c r="AME17" s="195"/>
      <c r="AMF17" s="195"/>
      <c r="AMG17" s="195"/>
      <c r="AMH17" s="195"/>
      <c r="AMI17" s="195"/>
      <c r="AMJ17" s="195"/>
      <c r="AMK17" s="195"/>
      <c r="AML17" s="195"/>
      <c r="AMM17" s="199"/>
      <c r="AMN17" s="200"/>
      <c r="AMO17" s="199"/>
      <c r="AMP17" s="130">
        <f>SUM(ALN17:AMO17)</f>
      </c>
      <c r="AMQ17" s="132">
        <f>AFX17+AHA17+AID17+AJG17+AKJ17+ALM17+AMP17</f>
      </c>
      <c r="AMR17" s="133">
        <f>(COUNTIF(AEV17:AMP17,"H")+COUNTIF(AEV17:AMP17,"S")+COUNTIF(AEV17:AMP17,"L")+COUNTIF(AEV17:AMP17,"E")+COUNTIF(AEV17:AMP17,"C"))/2</f>
      </c>
      <c r="AMS17" s="130">
        <f>AMQ17+AMR17</f>
      </c>
      <c r="AMT17" s="4"/>
      <c r="AMU17" s="4"/>
      <c r="AMV17" s="4"/>
      <c r="AMW17" s="4"/>
      <c r="AMX17" s="4"/>
      <c r="AMY17" s="4"/>
      <c r="AMZ17" s="4"/>
      <c r="ANA17" s="4"/>
      <c r="ANB17" s="4"/>
      <c r="ANC17" s="4"/>
      <c r="AND17" s="4"/>
      <c r="ANE17" s="4"/>
      <c r="ANF17" s="4"/>
      <c r="ANG17" s="4"/>
      <c r="ANH17" s="4"/>
      <c r="ANI17" s="4"/>
      <c r="ANJ17" s="13"/>
      <c r="ANK17" s="13"/>
      <c r="ANL17" s="4"/>
      <c r="ANM17" s="4"/>
      <c r="ANN17" s="4"/>
      <c r="ANO17" s="4"/>
      <c r="ANP17" s="4"/>
      <c r="ANQ17" s="4"/>
      <c r="ANR17" s="4"/>
      <c r="ANS17" s="4"/>
      <c r="ANT17" s="4"/>
      <c r="ANU17" s="4"/>
      <c r="ANV17" s="4"/>
      <c r="ANW17" s="4"/>
      <c r="ANX17" s="4"/>
      <c r="ANY17" s="4"/>
      <c r="ANZ17" s="4"/>
      <c r="AOA17" s="4"/>
      <c r="AOB17" s="4"/>
      <c r="AOC17" s="4"/>
      <c r="AOD17" s="4"/>
      <c r="AOE17" s="4"/>
      <c r="AOF17" s="4"/>
      <c r="AOG17" s="4"/>
      <c r="AOH17" s="4"/>
      <c r="AOI17" s="4"/>
      <c r="AOJ17" s="4"/>
      <c r="AOK17" s="4"/>
      <c r="AOL17" s="4"/>
      <c r="AOM17" s="4"/>
      <c r="AON17" s="4"/>
      <c r="AOO17" s="4"/>
      <c r="AOP17" s="4"/>
      <c r="AOQ17" s="4"/>
      <c r="AOR17" s="4"/>
      <c r="AOS17" s="4"/>
      <c r="AOT17" s="4"/>
      <c r="AOU17" s="4"/>
      <c r="AOV17" s="4"/>
      <c r="AOW17" s="4"/>
      <c r="AOX17" s="4"/>
      <c r="AOY17" s="4"/>
      <c r="AOZ17" s="4"/>
      <c r="APA17" s="4"/>
      <c r="APB17" s="4"/>
      <c r="APC17" s="4"/>
      <c r="APD17" s="4"/>
      <c r="APE17" s="4"/>
      <c r="APF17" s="4"/>
      <c r="APG17" s="4"/>
      <c r="APH17" s="4"/>
      <c r="API17" s="4"/>
      <c r="APJ17" s="4"/>
      <c r="APK17" s="4"/>
      <c r="APL17" s="4"/>
      <c r="APM17" s="4"/>
      <c r="APN17" s="4"/>
      <c r="APO17" s="4"/>
      <c r="APP17" s="4"/>
      <c r="APQ17" s="4"/>
      <c r="APR17" s="4"/>
      <c r="APS17" s="4"/>
      <c r="APT17" s="4"/>
      <c r="APU17" s="4"/>
      <c r="APV17" s="4"/>
      <c r="APW17" s="4"/>
      <c r="APX17" s="4"/>
      <c r="APY17" s="4"/>
      <c r="APZ17" s="4"/>
      <c r="AQA17" s="4"/>
      <c r="AQB17" s="4"/>
      <c r="AQC17" s="4"/>
      <c r="AQD17" s="4"/>
      <c r="AQE17" s="4"/>
      <c r="AQF17" s="4"/>
      <c r="AQG17" s="4"/>
      <c r="AQH17" s="4"/>
      <c r="AQI17" s="4"/>
      <c r="AQJ17" s="4"/>
      <c r="AQK17" s="4"/>
      <c r="AQL17" s="4"/>
      <c r="AQM17" s="4"/>
      <c r="AQN17" s="4"/>
      <c r="AQO17" s="4"/>
      <c r="AQP17" s="4"/>
      <c r="AQQ17" s="4"/>
      <c r="AQR17" s="4"/>
      <c r="AQS17" s="4"/>
      <c r="AQT17" s="4"/>
      <c r="AQU17" s="4"/>
      <c r="AQV17" s="4"/>
      <c r="AQW17" s="4"/>
      <c r="AQX17" s="4"/>
      <c r="AQY17" s="4"/>
      <c r="AQZ17" s="4"/>
      <c r="ARA17" s="4"/>
      <c r="ARB17" s="4"/>
      <c r="ARC17" s="4"/>
      <c r="ARD17" s="4"/>
      <c r="ARE17" s="4"/>
      <c r="ARF17" s="4"/>
      <c r="ARG17" s="4"/>
      <c r="ARH17" s="4"/>
      <c r="ARI17" s="4"/>
      <c r="ARJ17" s="4"/>
      <c r="ARK17" s="4"/>
      <c r="ARL17" s="4"/>
      <c r="ARM17" s="4"/>
      <c r="ARN17" s="4"/>
      <c r="ARO17" s="4"/>
      <c r="ARP17" s="4"/>
      <c r="ARQ17" s="4"/>
      <c r="ARR17" s="4"/>
      <c r="ARS17" s="4"/>
      <c r="ART17" s="4"/>
      <c r="ARU17" s="4"/>
      <c r="ARV17" s="4"/>
      <c r="ARW17" s="4"/>
      <c r="ARX17" s="4"/>
      <c r="ARY17" s="4"/>
      <c r="ARZ17" s="4"/>
      <c r="ASA17" s="4"/>
      <c r="ASB17" s="4"/>
      <c r="ASC17" s="4"/>
      <c r="ASD17" s="4"/>
      <c r="ASE17" s="4"/>
      <c r="ASF17" s="4"/>
      <c r="ASG17" s="4"/>
      <c r="ASH17" s="4"/>
      <c r="ASI17" s="4"/>
      <c r="ASJ17" s="4"/>
      <c r="ASK17" s="4"/>
      <c r="ASL17" s="4"/>
      <c r="ASM17" s="4"/>
      <c r="ASN17" s="4"/>
      <c r="ASO17" s="4"/>
      <c r="ASP17" s="4"/>
      <c r="ASQ17" s="4"/>
      <c r="ASR17" s="4"/>
      <c r="ASS17" s="4"/>
      <c r="AST17" s="4"/>
      <c r="ASU17" s="4"/>
    </row>
    <row r="18" ht="15" customHeight="1" spans="1:1191" x14ac:dyDescent="0.25">
      <c r="A18" s="118"/>
      <c r="B18" s="119" t="s">
        <v>58</v>
      </c>
      <c r="C18" s="120" t="s">
        <v>52</v>
      </c>
      <c r="D18" s="121"/>
      <c r="E18" s="122"/>
      <c r="F18" s="123"/>
      <c r="G18" s="124"/>
      <c r="H18" s="124"/>
      <c r="I18" s="124"/>
      <c r="J18" s="124"/>
      <c r="K18" s="124"/>
      <c r="L18" s="124"/>
      <c r="M18" s="125"/>
      <c r="N18" s="126"/>
      <c r="O18" s="124"/>
      <c r="P18" s="124"/>
      <c r="Q18" s="127"/>
      <c r="R18" s="123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8"/>
      <c r="AD18" s="129"/>
      <c r="AE18" s="128"/>
      <c r="AF18" s="131">
        <f>SUM(D18:AE18)</f>
      </c>
      <c r="AG18" s="121"/>
      <c r="AH18" s="122"/>
      <c r="AI18" s="123"/>
      <c r="AJ18" s="124"/>
      <c r="AK18" s="124"/>
      <c r="AL18" s="124"/>
      <c r="AM18" s="124"/>
      <c r="AN18" s="124"/>
      <c r="AO18" s="124"/>
      <c r="AP18" s="125"/>
      <c r="AQ18" s="126"/>
      <c r="AR18" s="124"/>
      <c r="AS18" s="124"/>
      <c r="AT18" s="127"/>
      <c r="AU18" s="123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8"/>
      <c r="BG18" s="129"/>
      <c r="BH18" s="128"/>
      <c r="BI18" s="131">
        <f>SUM(AG18:BH18)</f>
      </c>
      <c r="BJ18" s="121"/>
      <c r="BK18" s="122"/>
      <c r="BL18" s="123"/>
      <c r="BM18" s="124"/>
      <c r="BN18" s="124"/>
      <c r="BO18" s="124"/>
      <c r="BP18" s="124"/>
      <c r="BQ18" s="124"/>
      <c r="BR18" s="124"/>
      <c r="BS18" s="125"/>
      <c r="BT18" s="126"/>
      <c r="BU18" s="124"/>
      <c r="BV18" s="124"/>
      <c r="BW18" s="127"/>
      <c r="BX18" s="123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8"/>
      <c r="CJ18" s="129"/>
      <c r="CK18" s="128"/>
      <c r="CL18" s="131">
        <f>SUM(BJ18:CK18)</f>
      </c>
      <c r="CM18" s="121"/>
      <c r="CN18" s="122"/>
      <c r="CO18" s="123"/>
      <c r="CP18" s="124"/>
      <c r="CQ18" s="124"/>
      <c r="CR18" s="124"/>
      <c r="CS18" s="124"/>
      <c r="CT18" s="124"/>
      <c r="CU18" s="124"/>
      <c r="CV18" s="125"/>
      <c r="CW18" s="126"/>
      <c r="CX18" s="124"/>
      <c r="CY18" s="124"/>
      <c r="CZ18" s="127"/>
      <c r="DA18" s="123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8"/>
      <c r="DM18" s="129"/>
      <c r="DN18" s="128"/>
      <c r="DO18" s="131">
        <f>SUM(CM18:DN18)</f>
      </c>
      <c r="DP18" s="121"/>
      <c r="DQ18" s="122"/>
      <c r="DR18" s="123"/>
      <c r="DS18" s="124"/>
      <c r="DT18" s="124"/>
      <c r="DU18" s="124"/>
      <c r="DV18" s="124"/>
      <c r="DW18" s="124"/>
      <c r="DX18" s="124"/>
      <c r="DY18" s="125"/>
      <c r="DZ18" s="126"/>
      <c r="EA18" s="124"/>
      <c r="EB18" s="124"/>
      <c r="EC18" s="127"/>
      <c r="ED18" s="123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8"/>
      <c r="EP18" s="129"/>
      <c r="EQ18" s="128"/>
      <c r="ER18" s="131">
        <f>SUM(DP18:EQ18)</f>
      </c>
      <c r="ES18" s="121"/>
      <c r="ET18" s="122"/>
      <c r="EU18" s="123"/>
      <c r="EV18" s="124"/>
      <c r="EW18" s="124"/>
      <c r="EX18" s="124"/>
      <c r="EY18" s="124"/>
      <c r="EZ18" s="124"/>
      <c r="FA18" s="124"/>
      <c r="FB18" s="125"/>
      <c r="FC18" s="126"/>
      <c r="FD18" s="124"/>
      <c r="FE18" s="124"/>
      <c r="FF18" s="127"/>
      <c r="FG18" s="123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8"/>
      <c r="FS18" s="129"/>
      <c r="FT18" s="128"/>
      <c r="FU18" s="131">
        <f>SUM(ES18:FT18)</f>
      </c>
      <c r="FV18" s="121"/>
      <c r="FW18" s="122"/>
      <c r="FX18" s="123"/>
      <c r="FY18" s="124"/>
      <c r="FZ18" s="124"/>
      <c r="GA18" s="124"/>
      <c r="GB18" s="124"/>
      <c r="GC18" s="124"/>
      <c r="GD18" s="124"/>
      <c r="GE18" s="125"/>
      <c r="GF18" s="126"/>
      <c r="GG18" s="124"/>
      <c r="GH18" s="124"/>
      <c r="GI18" s="127"/>
      <c r="GJ18" s="123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8"/>
      <c r="GV18" s="129"/>
      <c r="GW18" s="128"/>
      <c r="GX18" s="131">
        <f>SUM(FV18:GW18)</f>
      </c>
      <c r="GY18" s="132">
        <f>AF18+BI18+CL18+DO18+ER18+FU18+GX18</f>
      </c>
      <c r="GZ18" s="133">
        <f>(COUNTIF(D18:GX18,"H")+COUNTIF(D18:GX18,"S")+COUNTIF(D18:GX18,"L")+COUNTIF(D18:GX18,"E")+COUNTIF(D18:GX18,"C"))/2</f>
      </c>
      <c r="HA18" s="130">
        <f>GY18+GZ18</f>
      </c>
      <c r="HB18" s="134"/>
      <c r="HC18" s="135"/>
      <c r="HD18" s="136"/>
      <c r="HE18" s="137"/>
      <c r="HF18" s="137"/>
      <c r="HG18" s="137"/>
      <c r="HH18" s="137"/>
      <c r="HI18" s="137"/>
      <c r="HJ18" s="138">
        <v>0.5</v>
      </c>
      <c r="HK18" s="139">
        <v>0.5</v>
      </c>
      <c r="HL18" s="140">
        <v>0.5</v>
      </c>
      <c r="HM18" s="138">
        <v>0.5</v>
      </c>
      <c r="HN18" s="137"/>
      <c r="HO18" s="141"/>
      <c r="HP18" s="142">
        <v>0.5</v>
      </c>
      <c r="HQ18" s="138">
        <v>0.5</v>
      </c>
      <c r="HR18" s="143">
        <v>0.5</v>
      </c>
      <c r="HS18" s="143">
        <v>0.5</v>
      </c>
      <c r="HT18" s="143">
        <v>0.5</v>
      </c>
      <c r="HU18" s="143">
        <v>0.5</v>
      </c>
      <c r="HV18" s="143">
        <v>0.5</v>
      </c>
      <c r="HW18" s="143">
        <v>0.5</v>
      </c>
      <c r="HX18" s="143">
        <v>0.5</v>
      </c>
      <c r="HY18" s="143">
        <v>0.5</v>
      </c>
      <c r="HZ18" s="143">
        <v>0.5</v>
      </c>
      <c r="IA18" s="144">
        <v>0.5</v>
      </c>
      <c r="IB18" s="145"/>
      <c r="IC18" s="146"/>
      <c r="ID18" s="131">
        <f>SUM(HB18:IC18)</f>
      </c>
      <c r="IE18" s="134"/>
      <c r="IF18" s="135"/>
      <c r="IG18" s="136"/>
      <c r="IH18" s="137"/>
      <c r="II18" s="137"/>
      <c r="IJ18" s="137"/>
      <c r="IK18" s="137"/>
      <c r="IL18" s="137"/>
      <c r="IM18" s="138">
        <v>0.5</v>
      </c>
      <c r="IN18" s="139">
        <v>0.5</v>
      </c>
      <c r="IO18" s="140">
        <v>0.5</v>
      </c>
      <c r="IP18" s="138">
        <v>0.5</v>
      </c>
      <c r="IQ18" s="137"/>
      <c r="IR18" s="141"/>
      <c r="IS18" s="142">
        <v>0.5</v>
      </c>
      <c r="IT18" s="138">
        <v>0.5</v>
      </c>
      <c r="IU18" s="143">
        <v>0.5</v>
      </c>
      <c r="IV18" s="143">
        <v>0.5</v>
      </c>
      <c r="IW18" s="143">
        <v>0.5</v>
      </c>
      <c r="IX18" s="143">
        <v>0.5</v>
      </c>
      <c r="IY18" s="143">
        <v>0.5</v>
      </c>
      <c r="IZ18" s="143">
        <v>0.5</v>
      </c>
      <c r="JA18" s="143">
        <v>0.5</v>
      </c>
      <c r="JB18" s="143">
        <v>0.5</v>
      </c>
      <c r="JC18" s="143">
        <v>0.5</v>
      </c>
      <c r="JD18" s="144">
        <v>0.5</v>
      </c>
      <c r="JE18" s="145"/>
      <c r="JF18" s="146"/>
      <c r="JG18" s="131">
        <f>SUM(IE18:JF18)</f>
      </c>
      <c r="JH18" s="134"/>
      <c r="JI18" s="135"/>
      <c r="JJ18" s="136"/>
      <c r="JK18" s="137"/>
      <c r="JL18" s="137"/>
      <c r="JM18" s="137"/>
      <c r="JN18" s="137"/>
      <c r="JO18" s="137"/>
      <c r="JP18" s="138">
        <v>0.5</v>
      </c>
      <c r="JQ18" s="139">
        <v>0.5</v>
      </c>
      <c r="JR18" s="140">
        <v>0.5</v>
      </c>
      <c r="JS18" s="138">
        <v>0.5</v>
      </c>
      <c r="JT18" s="137"/>
      <c r="JU18" s="141"/>
      <c r="JV18" s="142">
        <v>0.5</v>
      </c>
      <c r="JW18" s="138">
        <v>0.5</v>
      </c>
      <c r="JX18" s="143">
        <v>0.5</v>
      </c>
      <c r="JY18" s="143">
        <v>0.5</v>
      </c>
      <c r="JZ18" s="143">
        <v>0.5</v>
      </c>
      <c r="KA18" s="143">
        <v>0.5</v>
      </c>
      <c r="KB18" s="143">
        <v>0.5</v>
      </c>
      <c r="KC18" s="143">
        <v>0.5</v>
      </c>
      <c r="KD18" s="143">
        <v>0.5</v>
      </c>
      <c r="KE18" s="143">
        <v>0.5</v>
      </c>
      <c r="KF18" s="143">
        <v>0.5</v>
      </c>
      <c r="KG18" s="144">
        <v>0.5</v>
      </c>
      <c r="KH18" s="145"/>
      <c r="KI18" s="146"/>
      <c r="KJ18" s="131">
        <f>SUM(JH18:KI18)</f>
      </c>
      <c r="KK18" s="134"/>
      <c r="KL18" s="135"/>
      <c r="KM18" s="136"/>
      <c r="KN18" s="137"/>
      <c r="KO18" s="137"/>
      <c r="KP18" s="137"/>
      <c r="KQ18" s="137"/>
      <c r="KR18" s="137"/>
      <c r="KS18" s="138">
        <v>0.5</v>
      </c>
      <c r="KT18" s="139">
        <v>0.5</v>
      </c>
      <c r="KU18" s="140">
        <v>0.5</v>
      </c>
      <c r="KV18" s="138">
        <v>0.5</v>
      </c>
      <c r="KW18" s="137"/>
      <c r="KX18" s="141"/>
      <c r="KY18" s="142">
        <v>0.5</v>
      </c>
      <c r="KZ18" s="138">
        <v>0.5</v>
      </c>
      <c r="LA18" s="143">
        <v>0.5</v>
      </c>
      <c r="LB18" s="143">
        <v>0.5</v>
      </c>
      <c r="LC18" s="143">
        <v>0.5</v>
      </c>
      <c r="LD18" s="143">
        <v>0.5</v>
      </c>
      <c r="LE18" s="143">
        <v>0.5</v>
      </c>
      <c r="LF18" s="143">
        <v>0.5</v>
      </c>
      <c r="LG18" s="143">
        <v>0.5</v>
      </c>
      <c r="LH18" s="143">
        <v>0.5</v>
      </c>
      <c r="LI18" s="143">
        <v>0.5</v>
      </c>
      <c r="LJ18" s="144">
        <v>0.5</v>
      </c>
      <c r="LK18" s="145"/>
      <c r="LL18" s="146"/>
      <c r="LM18" s="131">
        <f>SUM(KK18:LL18)</f>
      </c>
      <c r="LN18" s="134"/>
      <c r="LO18" s="135"/>
      <c r="LP18" s="136"/>
      <c r="LQ18" s="137"/>
      <c r="LR18" s="137"/>
      <c r="LS18" s="137"/>
      <c r="LT18" s="137"/>
      <c r="LU18" s="137"/>
      <c r="LV18" s="216">
        <v>0.5</v>
      </c>
      <c r="LW18" s="217">
        <v>0.5</v>
      </c>
      <c r="LX18" s="218">
        <v>0.5</v>
      </c>
      <c r="LY18" s="216">
        <v>0.5</v>
      </c>
      <c r="LZ18" s="137"/>
      <c r="MA18" s="141"/>
      <c r="MB18" s="219">
        <v>0.5</v>
      </c>
      <c r="MC18" s="216">
        <v>0.5</v>
      </c>
      <c r="MD18" s="220">
        <v>0.5</v>
      </c>
      <c r="ME18" s="220">
        <v>0.5</v>
      </c>
      <c r="MF18" s="220">
        <v>0.5</v>
      </c>
      <c r="MG18" s="220">
        <v>0.5</v>
      </c>
      <c r="MH18" s="220">
        <v>0.5</v>
      </c>
      <c r="MI18" s="220">
        <v>0.5</v>
      </c>
      <c r="MJ18" s="220">
        <v>0.5</v>
      </c>
      <c r="MK18" s="220">
        <v>0.5</v>
      </c>
      <c r="ML18" s="220">
        <v>0.5</v>
      </c>
      <c r="MM18" s="221">
        <v>0.5</v>
      </c>
      <c r="MN18" s="145"/>
      <c r="MO18" s="146"/>
      <c r="MP18" s="131">
        <f>SUM(LN18:MO18)</f>
      </c>
      <c r="MQ18" s="121"/>
      <c r="MR18" s="122"/>
      <c r="MS18" s="123"/>
      <c r="MT18" s="124"/>
      <c r="MU18" s="124"/>
      <c r="MV18" s="124"/>
      <c r="MW18" s="124"/>
      <c r="MX18" s="124"/>
      <c r="MY18" s="124"/>
      <c r="MZ18" s="125"/>
      <c r="NA18" s="126"/>
      <c r="NB18" s="124"/>
      <c r="NC18" s="124"/>
      <c r="ND18" s="127"/>
      <c r="NE18" s="123"/>
      <c r="NF18" s="124"/>
      <c r="NG18" s="124"/>
      <c r="NH18" s="124"/>
      <c r="NI18" s="124"/>
      <c r="NJ18" s="124"/>
      <c r="NK18" s="124"/>
      <c r="NL18" s="124"/>
      <c r="NM18" s="124"/>
      <c r="NN18" s="124"/>
      <c r="NO18" s="124"/>
      <c r="NP18" s="128"/>
      <c r="NQ18" s="129"/>
      <c r="NR18" s="128"/>
      <c r="NS18" s="131">
        <f>SUM(MQ18:NR18)</f>
      </c>
      <c r="NT18" s="121"/>
      <c r="NU18" s="122"/>
      <c r="NV18" s="123"/>
      <c r="NW18" s="124"/>
      <c r="NX18" s="124"/>
      <c r="NY18" s="124"/>
      <c r="NZ18" s="124"/>
      <c r="OA18" s="124"/>
      <c r="OB18" s="124"/>
      <c r="OC18" s="125"/>
      <c r="OD18" s="126"/>
      <c r="OE18" s="124"/>
      <c r="OF18" s="124"/>
      <c r="OG18" s="127"/>
      <c r="OH18" s="123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8"/>
      <c r="OT18" s="129"/>
      <c r="OU18" s="128"/>
      <c r="OV18" s="131">
        <f>SUM(NT18:OU18)</f>
      </c>
      <c r="OW18" s="132">
        <f>ID18+JG18+KJ18+LM18+MP18+NS18+OV18</f>
      </c>
      <c r="OX18" s="133">
        <f>(COUNTIF(HB18:OV18,"H")+COUNTIF(HB18:OV18,"S")+COUNTIF(HB18:OV18,"L")+COUNTIF(HB18:OV18,"E")+COUNTIF(HB18:OV18,"C"))/2</f>
      </c>
      <c r="OY18" s="130">
        <f>OW18+OX18</f>
      </c>
      <c r="OZ18" s="134"/>
      <c r="PA18" s="135"/>
      <c r="PB18" s="136"/>
      <c r="PC18" s="137"/>
      <c r="PD18" s="137"/>
      <c r="PE18" s="137"/>
      <c r="PF18" s="143">
        <v>0.5</v>
      </c>
      <c r="PG18" s="143">
        <v>0.5</v>
      </c>
      <c r="PH18" s="138">
        <v>0.5</v>
      </c>
      <c r="PI18" s="139">
        <v>0.5</v>
      </c>
      <c r="PJ18" s="140">
        <v>0.5</v>
      </c>
      <c r="PK18" s="138">
        <v>0.5</v>
      </c>
      <c r="PL18" s="137"/>
      <c r="PM18" s="141"/>
      <c r="PN18" s="142">
        <v>0.5</v>
      </c>
      <c r="PO18" s="138">
        <v>0.5</v>
      </c>
      <c r="PP18" s="143">
        <v>0.5</v>
      </c>
      <c r="PQ18" s="143">
        <v>0.5</v>
      </c>
      <c r="PR18" s="143">
        <v>0.5</v>
      </c>
      <c r="PS18" s="143">
        <v>0.5</v>
      </c>
      <c r="PT18" s="143">
        <v>0.5</v>
      </c>
      <c r="PU18" s="143">
        <v>0.5</v>
      </c>
      <c r="PV18" s="143">
        <v>0.5</v>
      </c>
      <c r="PW18" s="143">
        <v>0.5</v>
      </c>
      <c r="PX18" s="137"/>
      <c r="PY18" s="146"/>
      <c r="PZ18" s="145"/>
      <c r="QA18" s="146"/>
      <c r="QB18" s="131">
        <f>SUM(OZ18:QA18)</f>
      </c>
      <c r="QC18" s="134"/>
      <c r="QD18" s="135"/>
      <c r="QE18" s="136"/>
      <c r="QF18" s="137"/>
      <c r="QG18" s="137"/>
      <c r="QH18" s="137"/>
      <c r="QI18" s="143">
        <v>0.5</v>
      </c>
      <c r="QJ18" s="143">
        <v>0.5</v>
      </c>
      <c r="QK18" s="138">
        <v>0.5</v>
      </c>
      <c r="QL18" s="139">
        <v>0.5</v>
      </c>
      <c r="QM18" s="140">
        <v>0.5</v>
      </c>
      <c r="QN18" s="138">
        <v>0.5</v>
      </c>
      <c r="QO18" s="137"/>
      <c r="QP18" s="141"/>
      <c r="QQ18" s="142">
        <v>0.5</v>
      </c>
      <c r="QR18" s="138">
        <v>0.5</v>
      </c>
      <c r="QS18" s="143">
        <v>0.5</v>
      </c>
      <c r="QT18" s="143">
        <v>0.5</v>
      </c>
      <c r="QU18" s="143">
        <v>0.5</v>
      </c>
      <c r="QV18" s="143">
        <v>0.5</v>
      </c>
      <c r="QW18" s="143">
        <v>0.5</v>
      </c>
      <c r="QX18" s="143">
        <v>0.5</v>
      </c>
      <c r="QY18" s="143">
        <v>0.5</v>
      </c>
      <c r="QZ18" s="143">
        <v>0.5</v>
      </c>
      <c r="RA18" s="137"/>
      <c r="RB18" s="146"/>
      <c r="RC18" s="145"/>
      <c r="RD18" s="146"/>
      <c r="RE18" s="131">
        <f>SUM(QC18:RD18)</f>
      </c>
      <c r="RF18" s="134"/>
      <c r="RG18" s="135"/>
      <c r="RH18" s="136"/>
      <c r="RI18" s="137"/>
      <c r="RJ18" s="137"/>
      <c r="RK18" s="137"/>
      <c r="RL18" s="143">
        <v>0.5</v>
      </c>
      <c r="RM18" s="143">
        <v>0.5</v>
      </c>
      <c r="RN18" s="138">
        <v>0.5</v>
      </c>
      <c r="RO18" s="139">
        <v>0.5</v>
      </c>
      <c r="RP18" s="140">
        <v>0.5</v>
      </c>
      <c r="RQ18" s="138">
        <v>0.5</v>
      </c>
      <c r="RR18" s="137"/>
      <c r="RS18" s="141"/>
      <c r="RT18" s="142">
        <v>0.5</v>
      </c>
      <c r="RU18" s="138">
        <v>0.5</v>
      </c>
      <c r="RV18" s="143">
        <v>0.5</v>
      </c>
      <c r="RW18" s="143">
        <v>0.5</v>
      </c>
      <c r="RX18" s="143">
        <v>0.5</v>
      </c>
      <c r="RY18" s="143">
        <v>0.5</v>
      </c>
      <c r="RZ18" s="143">
        <v>0.5</v>
      </c>
      <c r="SA18" s="143">
        <v>0.5</v>
      </c>
      <c r="SB18" s="143">
        <v>0.5</v>
      </c>
      <c r="SC18" s="143">
        <v>0.5</v>
      </c>
      <c r="SD18" s="137"/>
      <c r="SE18" s="146"/>
      <c r="SF18" s="145"/>
      <c r="SG18" s="146"/>
      <c r="SH18" s="131">
        <f>SUM(RF18:SG18)</f>
      </c>
      <c r="SI18" s="134"/>
      <c r="SJ18" s="135"/>
      <c r="SK18" s="136"/>
      <c r="SL18" s="137"/>
      <c r="SM18" s="137"/>
      <c r="SN18" s="137"/>
      <c r="SO18" s="143">
        <v>0.5</v>
      </c>
      <c r="SP18" s="143">
        <v>0.5</v>
      </c>
      <c r="SQ18" s="138">
        <v>0.5</v>
      </c>
      <c r="SR18" s="139">
        <v>0.5</v>
      </c>
      <c r="SS18" s="140">
        <v>0.5</v>
      </c>
      <c r="ST18" s="138">
        <v>0.5</v>
      </c>
      <c r="SU18" s="137"/>
      <c r="SV18" s="141"/>
      <c r="SW18" s="142">
        <v>0.5</v>
      </c>
      <c r="SX18" s="138">
        <v>0.5</v>
      </c>
      <c r="SY18" s="143">
        <v>0.5</v>
      </c>
      <c r="SZ18" s="143">
        <v>0.5</v>
      </c>
      <c r="TA18" s="143">
        <v>0.5</v>
      </c>
      <c r="TB18" s="143">
        <v>0.5</v>
      </c>
      <c r="TC18" s="143">
        <v>0.5</v>
      </c>
      <c r="TD18" s="143">
        <v>0.5</v>
      </c>
      <c r="TE18" s="143">
        <v>0.5</v>
      </c>
      <c r="TF18" s="143">
        <v>0.5</v>
      </c>
      <c r="TG18" s="137"/>
      <c r="TH18" s="146"/>
      <c r="TI18" s="145"/>
      <c r="TJ18" s="146"/>
      <c r="TK18" s="131">
        <f>SUM(SI18:TJ18)</f>
      </c>
      <c r="TL18" s="134"/>
      <c r="TM18" s="135"/>
      <c r="TN18" s="136"/>
      <c r="TO18" s="137"/>
      <c r="TP18" s="137"/>
      <c r="TQ18" s="137"/>
      <c r="TR18" s="220">
        <v>0.5</v>
      </c>
      <c r="TS18" s="220">
        <v>0.5</v>
      </c>
      <c r="TT18" s="216">
        <v>0.5</v>
      </c>
      <c r="TU18" s="217">
        <v>0.5</v>
      </c>
      <c r="TV18" s="218">
        <v>0.5</v>
      </c>
      <c r="TW18" s="216">
        <v>0.5</v>
      </c>
      <c r="TX18" s="137"/>
      <c r="TY18" s="141"/>
      <c r="TZ18" s="219">
        <v>0.5</v>
      </c>
      <c r="UA18" s="216">
        <v>0.5</v>
      </c>
      <c r="UB18" s="220">
        <v>0.5</v>
      </c>
      <c r="UC18" s="220">
        <v>0.5</v>
      </c>
      <c r="UD18" s="220">
        <v>0.5</v>
      </c>
      <c r="UE18" s="220">
        <v>0.5</v>
      </c>
      <c r="UF18" s="220">
        <v>0.5</v>
      </c>
      <c r="UG18" s="220">
        <v>0.5</v>
      </c>
      <c r="UH18" s="220">
        <v>0.5</v>
      </c>
      <c r="UI18" s="220">
        <v>0.5</v>
      </c>
      <c r="UJ18" s="137"/>
      <c r="UK18" s="146"/>
      <c r="UL18" s="145"/>
      <c r="UM18" s="146"/>
      <c r="UN18" s="131">
        <f>SUM(TL18:UM18)</f>
      </c>
      <c r="UO18" s="121"/>
      <c r="UP18" s="122"/>
      <c r="UQ18" s="123"/>
      <c r="UR18" s="124"/>
      <c r="US18" s="124"/>
      <c r="UT18" s="124"/>
      <c r="UU18" s="124"/>
      <c r="UV18" s="124"/>
      <c r="UW18" s="124"/>
      <c r="UX18" s="125"/>
      <c r="UY18" s="126"/>
      <c r="UZ18" s="124"/>
      <c r="VA18" s="124"/>
      <c r="VB18" s="127"/>
      <c r="VC18" s="123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8"/>
      <c r="VO18" s="129"/>
      <c r="VP18" s="128"/>
      <c r="VQ18" s="131">
        <f>SUM(UO18:VP18)</f>
      </c>
      <c r="VR18" s="121"/>
      <c r="VS18" s="122"/>
      <c r="VT18" s="123"/>
      <c r="VU18" s="124"/>
      <c r="VV18" s="124"/>
      <c r="VW18" s="124"/>
      <c r="VX18" s="124"/>
      <c r="VY18" s="124"/>
      <c r="VZ18" s="124"/>
      <c r="WA18" s="125"/>
      <c r="WB18" s="126"/>
      <c r="WC18" s="124"/>
      <c r="WD18" s="124"/>
      <c r="WE18" s="127"/>
      <c r="WF18" s="123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8"/>
      <c r="WR18" s="129"/>
      <c r="WS18" s="128"/>
      <c r="WT18" s="131">
        <f>SUM(VR18:WS18)</f>
      </c>
      <c r="WU18" s="150">
        <f>QB18+RE18+SH18+TK18+UN18+VQ18+WT18</f>
      </c>
      <c r="WV18" s="133">
        <f>(COUNTIF(OZ18:WT18,"H")+COUNTIF(OZ18:WT18,"S")+COUNTIF(OZ18:WT18,"L")+COUNTIF(OZ18:WT18,"E")+COUNTIF(OZ18:WT18,"C"))/2</f>
      </c>
      <c r="WW18" s="131">
        <f>WU18+WV18</f>
      </c>
      <c r="WX18" s="134"/>
      <c r="WY18" s="135"/>
      <c r="WZ18" s="136"/>
      <c r="XA18" s="137"/>
      <c r="XB18" s="137"/>
      <c r="XC18" s="137"/>
      <c r="XD18" s="137"/>
      <c r="XE18" s="137"/>
      <c r="XF18" s="138">
        <v>0.5</v>
      </c>
      <c r="XG18" s="139">
        <v>0.5</v>
      </c>
      <c r="XH18" s="140">
        <v>0.5</v>
      </c>
      <c r="XI18" s="138">
        <v>0.5</v>
      </c>
      <c r="XJ18" s="137"/>
      <c r="XK18" s="141"/>
      <c r="XL18" s="142">
        <v>0.5</v>
      </c>
      <c r="XM18" s="138">
        <v>0.5</v>
      </c>
      <c r="XN18" s="143">
        <v>0.5</v>
      </c>
      <c r="XO18" s="143">
        <v>0.5</v>
      </c>
      <c r="XP18" s="143">
        <v>0.5</v>
      </c>
      <c r="XQ18" s="143">
        <v>0.5</v>
      </c>
      <c r="XR18" s="143">
        <v>0.5</v>
      </c>
      <c r="XS18" s="143">
        <v>0.5</v>
      </c>
      <c r="XT18" s="143">
        <v>0.5</v>
      </c>
      <c r="XU18" s="143">
        <v>0.5</v>
      </c>
      <c r="XV18" s="143">
        <v>0.5</v>
      </c>
      <c r="XW18" s="144">
        <v>0.5</v>
      </c>
      <c r="XX18" s="145"/>
      <c r="XY18" s="146"/>
      <c r="XZ18" s="131">
        <f>SUM(WX18:XY18)</f>
      </c>
      <c r="YA18" s="134"/>
      <c r="YB18" s="135"/>
      <c r="YC18" s="136"/>
      <c r="YD18" s="137"/>
      <c r="YE18" s="137"/>
      <c r="YF18" s="137"/>
      <c r="YG18" s="137"/>
      <c r="YH18" s="137"/>
      <c r="YI18" s="138">
        <v>0.5</v>
      </c>
      <c r="YJ18" s="139">
        <v>0.5</v>
      </c>
      <c r="YK18" s="140">
        <v>0.5</v>
      </c>
      <c r="YL18" s="138">
        <v>0.5</v>
      </c>
      <c r="YM18" s="137"/>
      <c r="YN18" s="141"/>
      <c r="YO18" s="142">
        <v>0.5</v>
      </c>
      <c r="YP18" s="138">
        <v>0.5</v>
      </c>
      <c r="YQ18" s="143">
        <v>0.5</v>
      </c>
      <c r="YR18" s="143">
        <v>0.5</v>
      </c>
      <c r="YS18" s="143">
        <v>0.5</v>
      </c>
      <c r="YT18" s="143">
        <v>0.5</v>
      </c>
      <c r="YU18" s="143">
        <v>0.5</v>
      </c>
      <c r="YV18" s="143">
        <v>0.5</v>
      </c>
      <c r="YW18" s="143">
        <v>0.5</v>
      </c>
      <c r="YX18" s="143">
        <v>0.5</v>
      </c>
      <c r="YY18" s="143">
        <v>0.5</v>
      </c>
      <c r="YZ18" s="144">
        <v>0.5</v>
      </c>
      <c r="ZA18" s="145"/>
      <c r="ZB18" s="146"/>
      <c r="ZC18" s="131">
        <f>SUM(YA18:ZB18)</f>
      </c>
      <c r="ZD18" s="134"/>
      <c r="ZE18" s="135"/>
      <c r="ZF18" s="136"/>
      <c r="ZG18" s="137"/>
      <c r="ZH18" s="137"/>
      <c r="ZI18" s="137"/>
      <c r="ZJ18" s="137"/>
      <c r="ZK18" s="137"/>
      <c r="ZL18" s="138">
        <v>0.5</v>
      </c>
      <c r="ZM18" s="139">
        <v>0.5</v>
      </c>
      <c r="ZN18" s="140">
        <v>0.5</v>
      </c>
      <c r="ZO18" s="138">
        <v>0.5</v>
      </c>
      <c r="ZP18" s="137"/>
      <c r="ZQ18" s="141"/>
      <c r="ZR18" s="142">
        <v>0.5</v>
      </c>
      <c r="ZS18" s="138">
        <v>0.5</v>
      </c>
      <c r="ZT18" s="143">
        <v>0.5</v>
      </c>
      <c r="ZU18" s="143">
        <v>0.5</v>
      </c>
      <c r="ZV18" s="143">
        <v>0.5</v>
      </c>
      <c r="ZW18" s="143">
        <v>0.5</v>
      </c>
      <c r="ZX18" s="143">
        <v>0.5</v>
      </c>
      <c r="ZY18" s="143">
        <v>0.5</v>
      </c>
      <c r="ZZ18" s="143">
        <v>0.5</v>
      </c>
      <c r="AAA18" s="143">
        <v>0.5</v>
      </c>
      <c r="AAB18" s="143">
        <v>0.5</v>
      </c>
      <c r="AAC18" s="144">
        <v>0.5</v>
      </c>
      <c r="AAD18" s="145"/>
      <c r="AAE18" s="146"/>
      <c r="AAF18" s="131">
        <f>SUM(ZD18:AAE18)</f>
      </c>
      <c r="AAG18" s="134"/>
      <c r="AAH18" s="135"/>
      <c r="AAI18" s="136"/>
      <c r="AAJ18" s="137"/>
      <c r="AAK18" s="137"/>
      <c r="AAL18" s="137"/>
      <c r="AAM18" s="137"/>
      <c r="AAN18" s="137"/>
      <c r="AAO18" s="138">
        <v>0.5</v>
      </c>
      <c r="AAP18" s="139">
        <v>0.5</v>
      </c>
      <c r="AAQ18" s="140">
        <v>0.5</v>
      </c>
      <c r="AAR18" s="138">
        <v>0.5</v>
      </c>
      <c r="AAS18" s="137"/>
      <c r="AAT18" s="141"/>
      <c r="AAU18" s="142">
        <v>0.5</v>
      </c>
      <c r="AAV18" s="138">
        <v>0.5</v>
      </c>
      <c r="AAW18" s="143">
        <v>0.5</v>
      </c>
      <c r="AAX18" s="143">
        <v>0.5</v>
      </c>
      <c r="AAY18" s="143">
        <v>0.5</v>
      </c>
      <c r="AAZ18" s="143">
        <v>0.5</v>
      </c>
      <c r="ABA18" s="143">
        <v>0.5</v>
      </c>
      <c r="ABB18" s="143">
        <v>0.5</v>
      </c>
      <c r="ABC18" s="143">
        <v>0.5</v>
      </c>
      <c r="ABD18" s="143">
        <v>0.5</v>
      </c>
      <c r="ABE18" s="143">
        <v>0.5</v>
      </c>
      <c r="ABF18" s="144">
        <v>0.5</v>
      </c>
      <c r="ABG18" s="145"/>
      <c r="ABH18" s="146"/>
      <c r="ABI18" s="131">
        <f>SUM(AAG18:ABH18)</f>
      </c>
      <c r="ABJ18" s="134"/>
      <c r="ABK18" s="135"/>
      <c r="ABL18" s="136"/>
      <c r="ABM18" s="137"/>
      <c r="ABN18" s="137"/>
      <c r="ABO18" s="137"/>
      <c r="ABP18" s="137"/>
      <c r="ABQ18" s="137"/>
      <c r="ABR18" s="216">
        <v>0.5</v>
      </c>
      <c r="ABS18" s="217">
        <v>0.5</v>
      </c>
      <c r="ABT18" s="218">
        <v>0.5</v>
      </c>
      <c r="ABU18" s="216">
        <v>0.5</v>
      </c>
      <c r="ABV18" s="137"/>
      <c r="ABW18" s="141"/>
      <c r="ABX18" s="219">
        <v>0.5</v>
      </c>
      <c r="ABY18" s="216">
        <v>0.5</v>
      </c>
      <c r="ABZ18" s="220">
        <v>0.5</v>
      </c>
      <c r="ACA18" s="220">
        <v>0.5</v>
      </c>
      <c r="ACB18" s="220">
        <v>0.5</v>
      </c>
      <c r="ACC18" s="220">
        <v>0.5</v>
      </c>
      <c r="ACD18" s="220">
        <v>0.5</v>
      </c>
      <c r="ACE18" s="220">
        <v>0.5</v>
      </c>
      <c r="ACF18" s="220">
        <v>0.5</v>
      </c>
      <c r="ACG18" s="220">
        <v>0.5</v>
      </c>
      <c r="ACH18" s="220">
        <v>0.5</v>
      </c>
      <c r="ACI18" s="221">
        <v>0.5</v>
      </c>
      <c r="ACJ18" s="145"/>
      <c r="ACK18" s="146"/>
      <c r="ACL18" s="131">
        <f>SUM(ABJ18:ACK18)</f>
      </c>
      <c r="ACM18" s="121"/>
      <c r="ACN18" s="122"/>
      <c r="ACO18" s="123"/>
      <c r="ACP18" s="124"/>
      <c r="ACQ18" s="124"/>
      <c r="ACR18" s="124"/>
      <c r="ACS18" s="124"/>
      <c r="ACT18" s="124"/>
      <c r="ACU18" s="124"/>
      <c r="ACV18" s="125"/>
      <c r="ACW18" s="126"/>
      <c r="ACX18" s="124"/>
      <c r="ACY18" s="124"/>
      <c r="ACZ18" s="127"/>
      <c r="ADA18" s="123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8"/>
      <c r="ADM18" s="129"/>
      <c r="ADN18" s="128"/>
      <c r="ADO18" s="131">
        <f>SUM(ACM18:ADN18)</f>
      </c>
      <c r="ADP18" s="121"/>
      <c r="ADQ18" s="122"/>
      <c r="ADR18" s="123"/>
      <c r="ADS18" s="124"/>
      <c r="ADT18" s="124"/>
      <c r="ADU18" s="124"/>
      <c r="ADV18" s="124"/>
      <c r="ADW18" s="124"/>
      <c r="ADX18" s="124"/>
      <c r="ADY18" s="125"/>
      <c r="ADZ18" s="126"/>
      <c r="AEA18" s="124"/>
      <c r="AEB18" s="124"/>
      <c r="AEC18" s="127"/>
      <c r="AED18" s="123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8"/>
      <c r="AEP18" s="129"/>
      <c r="AEQ18" s="128"/>
      <c r="AER18" s="131">
        <f>SUM(ADP18:AEQ18)</f>
      </c>
      <c r="AES18" s="150">
        <f>XZ18+ZC18+AAF18+ABI18+ACL18+ADO18+AER18</f>
      </c>
      <c r="AET18" s="133">
        <f>(COUNTIF(WX18:AER18,"H")+COUNTIF(WX18:AER18,"S")+COUNTIF(WX18:AER18,"L")+COUNTIF(WX18:AER18,"E")+COUNTIF(WX18:AER18,"C"))/2</f>
      </c>
      <c r="AEU18" s="131">
        <f>AES18+AET18</f>
      </c>
      <c r="AEV18" s="134"/>
      <c r="AEW18" s="135"/>
      <c r="AEX18" s="136"/>
      <c r="AEY18" s="137"/>
      <c r="AEZ18" s="137"/>
      <c r="AFA18" s="137"/>
      <c r="AFB18" s="143">
        <v>0.5</v>
      </c>
      <c r="AFC18" s="143">
        <v>0.5</v>
      </c>
      <c r="AFD18" s="138">
        <v>0.5</v>
      </c>
      <c r="AFE18" s="139">
        <v>0.5</v>
      </c>
      <c r="AFF18" s="140">
        <v>0.5</v>
      </c>
      <c r="AFG18" s="138">
        <v>0.5</v>
      </c>
      <c r="AFH18" s="137"/>
      <c r="AFI18" s="141"/>
      <c r="AFJ18" s="142">
        <v>0.5</v>
      </c>
      <c r="AFK18" s="138">
        <v>0.5</v>
      </c>
      <c r="AFL18" s="143">
        <v>0.5</v>
      </c>
      <c r="AFM18" s="143">
        <v>0.5</v>
      </c>
      <c r="AFN18" s="143">
        <v>0.5</v>
      </c>
      <c r="AFO18" s="143">
        <v>0.5</v>
      </c>
      <c r="AFP18" s="143">
        <v>0.5</v>
      </c>
      <c r="AFQ18" s="143">
        <v>0.5</v>
      </c>
      <c r="AFR18" s="143">
        <v>0.5</v>
      </c>
      <c r="AFS18" s="143">
        <v>0.5</v>
      </c>
      <c r="AFT18" s="137"/>
      <c r="AFU18" s="146"/>
      <c r="AFV18" s="145"/>
      <c r="AFW18" s="146"/>
      <c r="AFX18" s="131">
        <f>SUM(AEV18:AFW18)</f>
      </c>
      <c r="AFY18" s="134"/>
      <c r="AFZ18" s="135"/>
      <c r="AGA18" s="136"/>
      <c r="AGB18" s="137"/>
      <c r="AGC18" s="137"/>
      <c r="AGD18" s="137"/>
      <c r="AGE18" s="143">
        <v>0.5</v>
      </c>
      <c r="AGF18" s="143">
        <v>0.5</v>
      </c>
      <c r="AGG18" s="138">
        <v>0.5</v>
      </c>
      <c r="AGH18" s="139">
        <v>0.5</v>
      </c>
      <c r="AGI18" s="140">
        <v>0.5</v>
      </c>
      <c r="AGJ18" s="138">
        <v>0.5</v>
      </c>
      <c r="AGK18" s="137"/>
      <c r="AGL18" s="141"/>
      <c r="AGM18" s="142">
        <v>0.5</v>
      </c>
      <c r="AGN18" s="138">
        <v>0.5</v>
      </c>
      <c r="AGO18" s="143">
        <v>0.5</v>
      </c>
      <c r="AGP18" s="143">
        <v>0.5</v>
      </c>
      <c r="AGQ18" s="143">
        <v>0.5</v>
      </c>
      <c r="AGR18" s="143">
        <v>0.5</v>
      </c>
      <c r="AGS18" s="143">
        <v>0.5</v>
      </c>
      <c r="AGT18" s="143">
        <v>0.5</v>
      </c>
      <c r="AGU18" s="143">
        <v>0.5</v>
      </c>
      <c r="AGV18" s="143">
        <v>0.5</v>
      </c>
      <c r="AGW18" s="137"/>
      <c r="AGX18" s="146"/>
      <c r="AGY18" s="145"/>
      <c r="AGZ18" s="146"/>
      <c r="AHA18" s="131">
        <f>SUM(AFY18:AGZ18)</f>
      </c>
      <c r="AHB18" s="134"/>
      <c r="AHC18" s="135"/>
      <c r="AHD18" s="136"/>
      <c r="AHE18" s="137"/>
      <c r="AHF18" s="137"/>
      <c r="AHG18" s="137"/>
      <c r="AHH18" s="143">
        <v>0.5</v>
      </c>
      <c r="AHI18" s="143">
        <v>0.5</v>
      </c>
      <c r="AHJ18" s="138">
        <v>0.5</v>
      </c>
      <c r="AHK18" s="139">
        <v>0.5</v>
      </c>
      <c r="AHL18" s="140">
        <v>0.5</v>
      </c>
      <c r="AHM18" s="138">
        <v>0.5</v>
      </c>
      <c r="AHN18" s="137"/>
      <c r="AHO18" s="141"/>
      <c r="AHP18" s="142">
        <v>0.5</v>
      </c>
      <c r="AHQ18" s="138">
        <v>0.5</v>
      </c>
      <c r="AHR18" s="143">
        <v>0.5</v>
      </c>
      <c r="AHS18" s="143">
        <v>0.5</v>
      </c>
      <c r="AHT18" s="143">
        <v>0.5</v>
      </c>
      <c r="AHU18" s="143">
        <v>0.5</v>
      </c>
      <c r="AHV18" s="143">
        <v>0.5</v>
      </c>
      <c r="AHW18" s="143">
        <v>0.5</v>
      </c>
      <c r="AHX18" s="143">
        <v>0.5</v>
      </c>
      <c r="AHY18" s="143">
        <v>0.5</v>
      </c>
      <c r="AHZ18" s="137"/>
      <c r="AIA18" s="146"/>
      <c r="AIB18" s="145"/>
      <c r="AIC18" s="146"/>
      <c r="AID18" s="131">
        <f>SUM(AHB18:AIC18)</f>
      </c>
      <c r="AIE18" s="134"/>
      <c r="AIF18" s="135"/>
      <c r="AIG18" s="136"/>
      <c r="AIH18" s="137"/>
      <c r="AII18" s="137"/>
      <c r="AIJ18" s="137"/>
      <c r="AIK18" s="143">
        <v>0.5</v>
      </c>
      <c r="AIL18" s="143">
        <v>0.5</v>
      </c>
      <c r="AIM18" s="138">
        <v>0.5</v>
      </c>
      <c r="AIN18" s="139">
        <v>0.5</v>
      </c>
      <c r="AIO18" s="140">
        <v>0.5</v>
      </c>
      <c r="AIP18" s="138">
        <v>0.5</v>
      </c>
      <c r="AIQ18" s="137"/>
      <c r="AIR18" s="141"/>
      <c r="AIS18" s="142">
        <v>0.5</v>
      </c>
      <c r="AIT18" s="138">
        <v>0.5</v>
      </c>
      <c r="AIU18" s="143">
        <v>0.5</v>
      </c>
      <c r="AIV18" s="143">
        <v>0.5</v>
      </c>
      <c r="AIW18" s="143">
        <v>0.5</v>
      </c>
      <c r="AIX18" s="143">
        <v>0.5</v>
      </c>
      <c r="AIY18" s="143">
        <v>0.5</v>
      </c>
      <c r="AIZ18" s="143">
        <v>0.5</v>
      </c>
      <c r="AJA18" s="143">
        <v>0.5</v>
      </c>
      <c r="AJB18" s="143">
        <v>0.5</v>
      </c>
      <c r="AJC18" s="137"/>
      <c r="AJD18" s="146"/>
      <c r="AJE18" s="145"/>
      <c r="AJF18" s="146"/>
      <c r="AJG18" s="131">
        <f>SUM(AIE18:AJF18)</f>
      </c>
      <c r="AJH18" s="134"/>
      <c r="AJI18" s="135"/>
      <c r="AJJ18" s="136"/>
      <c r="AJK18" s="137"/>
      <c r="AJL18" s="137"/>
      <c r="AJM18" s="137"/>
      <c r="AJN18" s="220">
        <v>0.5</v>
      </c>
      <c r="AJO18" s="220">
        <v>0.5</v>
      </c>
      <c r="AJP18" s="216">
        <v>0.5</v>
      </c>
      <c r="AJQ18" s="217">
        <v>0.5</v>
      </c>
      <c r="AJR18" s="218">
        <v>0.5</v>
      </c>
      <c r="AJS18" s="216">
        <v>0.5</v>
      </c>
      <c r="AJT18" s="137"/>
      <c r="AJU18" s="141"/>
      <c r="AJV18" s="219">
        <v>0.5</v>
      </c>
      <c r="AJW18" s="216">
        <v>0.5</v>
      </c>
      <c r="AJX18" s="220">
        <v>0.5</v>
      </c>
      <c r="AJY18" s="220">
        <v>0.5</v>
      </c>
      <c r="AJZ18" s="220">
        <v>0.5</v>
      </c>
      <c r="AKA18" s="220">
        <v>0.5</v>
      </c>
      <c r="AKB18" s="220">
        <v>0.5</v>
      </c>
      <c r="AKC18" s="220">
        <v>0.5</v>
      </c>
      <c r="AKD18" s="220">
        <v>0.5</v>
      </c>
      <c r="AKE18" s="220">
        <v>0.5</v>
      </c>
      <c r="AKF18" s="137"/>
      <c r="AKG18" s="146"/>
      <c r="AKH18" s="145"/>
      <c r="AKI18" s="146"/>
      <c r="AKJ18" s="131">
        <f>SUM(AJH18:AKI18)</f>
      </c>
      <c r="AKK18" s="121"/>
      <c r="AKL18" s="122"/>
      <c r="AKM18" s="123"/>
      <c r="AKN18" s="124"/>
      <c r="AKO18" s="124"/>
      <c r="AKP18" s="124"/>
      <c r="AKQ18" s="124"/>
      <c r="AKR18" s="124"/>
      <c r="AKS18" s="124"/>
      <c r="AKT18" s="125"/>
      <c r="AKU18" s="126"/>
      <c r="AKV18" s="124"/>
      <c r="AKW18" s="124"/>
      <c r="AKX18" s="127"/>
      <c r="AKY18" s="123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8"/>
      <c r="ALK18" s="129"/>
      <c r="ALL18" s="128"/>
      <c r="ALM18" s="131">
        <f>SUM(AKK18:ALL18)</f>
      </c>
      <c r="ALN18" s="121"/>
      <c r="ALO18" s="122"/>
      <c r="ALP18" s="123"/>
      <c r="ALQ18" s="124"/>
      <c r="ALR18" s="124"/>
      <c r="ALS18" s="124"/>
      <c r="ALT18" s="124"/>
      <c r="ALU18" s="124"/>
      <c r="ALV18" s="124"/>
      <c r="ALW18" s="125"/>
      <c r="ALX18" s="126"/>
      <c r="ALY18" s="124"/>
      <c r="ALZ18" s="124"/>
      <c r="AMA18" s="127"/>
      <c r="AMB18" s="123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8"/>
      <c r="AMN18" s="129"/>
      <c r="AMO18" s="128"/>
      <c r="AMP18" s="131">
        <f>SUM(ALN18:AMO18)</f>
      </c>
      <c r="AMQ18" s="150">
        <f>AFX18+AHA18+AID18+AJG18+AKJ18+ALM18+AMP18</f>
      </c>
      <c r="AMR18" s="133">
        <f>(COUNTIF(AEV18:AMP18,"H")+COUNTIF(AEV18:AMP18,"S")+COUNTIF(AEV18:AMP18,"L")+COUNTIF(AEV18:AMP18,"E")+COUNTIF(AEV18:AMP18,"C"))/2</f>
      </c>
      <c r="AMS18" s="131">
        <f>AMQ18+AMR18</f>
      </c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13"/>
      <c r="ANK18" s="13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</row>
    <row r="19" ht="15" customHeight="1" spans="1:1191" x14ac:dyDescent="0.25">
      <c r="A19" s="118"/>
      <c r="B19" s="119" t="s">
        <v>59</v>
      </c>
      <c r="C19" s="120" t="s">
        <v>52</v>
      </c>
      <c r="D19" s="121"/>
      <c r="E19" s="122"/>
      <c r="F19" s="123"/>
      <c r="G19" s="124"/>
      <c r="H19" s="124"/>
      <c r="I19" s="124"/>
      <c r="J19" s="124"/>
      <c r="K19" s="124"/>
      <c r="L19" s="124"/>
      <c r="M19" s="125"/>
      <c r="N19" s="126"/>
      <c r="O19" s="124"/>
      <c r="P19" s="124"/>
      <c r="Q19" s="127"/>
      <c r="R19" s="123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8"/>
      <c r="AD19" s="129"/>
      <c r="AE19" s="128"/>
      <c r="AF19" s="130">
        <f>SUM(D19:AE19)</f>
      </c>
      <c r="AG19" s="121"/>
      <c r="AH19" s="122"/>
      <c r="AI19" s="123"/>
      <c r="AJ19" s="124"/>
      <c r="AK19" s="124"/>
      <c r="AL19" s="124"/>
      <c r="AM19" s="124"/>
      <c r="AN19" s="124"/>
      <c r="AO19" s="124"/>
      <c r="AP19" s="125"/>
      <c r="AQ19" s="126"/>
      <c r="AR19" s="124"/>
      <c r="AS19" s="124"/>
      <c r="AT19" s="127"/>
      <c r="AU19" s="123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8"/>
      <c r="BG19" s="129"/>
      <c r="BH19" s="128"/>
      <c r="BI19" s="130">
        <f>SUM(AG19:BH19)</f>
      </c>
      <c r="BJ19" s="121"/>
      <c r="BK19" s="122"/>
      <c r="BL19" s="123"/>
      <c r="BM19" s="124"/>
      <c r="BN19" s="124"/>
      <c r="BO19" s="124"/>
      <c r="BP19" s="124"/>
      <c r="BQ19" s="124"/>
      <c r="BR19" s="124"/>
      <c r="BS19" s="125"/>
      <c r="BT19" s="126"/>
      <c r="BU19" s="124"/>
      <c r="BV19" s="124"/>
      <c r="BW19" s="127"/>
      <c r="BX19" s="123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8"/>
      <c r="CJ19" s="129"/>
      <c r="CK19" s="128"/>
      <c r="CL19" s="130">
        <f>SUM(BJ19:CK19)</f>
      </c>
      <c r="CM19" s="121"/>
      <c r="CN19" s="122"/>
      <c r="CO19" s="123"/>
      <c r="CP19" s="124"/>
      <c r="CQ19" s="124"/>
      <c r="CR19" s="124"/>
      <c r="CS19" s="124"/>
      <c r="CT19" s="124"/>
      <c r="CU19" s="124"/>
      <c r="CV19" s="125"/>
      <c r="CW19" s="126"/>
      <c r="CX19" s="124"/>
      <c r="CY19" s="124"/>
      <c r="CZ19" s="127"/>
      <c r="DA19" s="123"/>
      <c r="DB19" s="124"/>
      <c r="DC19" s="124"/>
      <c r="DD19" s="124"/>
      <c r="DE19" s="124"/>
      <c r="DF19" s="124"/>
      <c r="DG19" s="124"/>
      <c r="DH19" s="124"/>
      <c r="DI19" s="124"/>
      <c r="DJ19" s="124"/>
      <c r="DK19" s="124"/>
      <c r="DL19" s="128"/>
      <c r="DM19" s="129"/>
      <c r="DN19" s="128"/>
      <c r="DO19" s="130">
        <f>SUM(CM19:DN19)</f>
      </c>
      <c r="DP19" s="121"/>
      <c r="DQ19" s="122"/>
      <c r="DR19" s="123"/>
      <c r="DS19" s="124"/>
      <c r="DT19" s="124"/>
      <c r="DU19" s="124"/>
      <c r="DV19" s="124"/>
      <c r="DW19" s="124"/>
      <c r="DX19" s="124"/>
      <c r="DY19" s="125"/>
      <c r="DZ19" s="126"/>
      <c r="EA19" s="124"/>
      <c r="EB19" s="124"/>
      <c r="EC19" s="127"/>
      <c r="ED19" s="123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8"/>
      <c r="EP19" s="129"/>
      <c r="EQ19" s="128"/>
      <c r="ER19" s="130">
        <f>SUM(DP19:EQ19)</f>
      </c>
      <c r="ES19" s="121"/>
      <c r="ET19" s="122"/>
      <c r="EU19" s="123"/>
      <c r="EV19" s="124"/>
      <c r="EW19" s="124"/>
      <c r="EX19" s="124"/>
      <c r="EY19" s="124"/>
      <c r="EZ19" s="124"/>
      <c r="FA19" s="124"/>
      <c r="FB19" s="125"/>
      <c r="FC19" s="126"/>
      <c r="FD19" s="124"/>
      <c r="FE19" s="124"/>
      <c r="FF19" s="127"/>
      <c r="FG19" s="123"/>
      <c r="FH19" s="124"/>
      <c r="FI19" s="124"/>
      <c r="FJ19" s="124"/>
      <c r="FK19" s="124"/>
      <c r="FL19" s="124"/>
      <c r="FM19" s="124"/>
      <c r="FN19" s="124"/>
      <c r="FO19" s="124"/>
      <c r="FP19" s="124"/>
      <c r="FQ19" s="124"/>
      <c r="FR19" s="128"/>
      <c r="FS19" s="129"/>
      <c r="FT19" s="128"/>
      <c r="FU19" s="131">
        <f>SUM(ES19:FT19)</f>
      </c>
      <c r="FV19" s="121"/>
      <c r="FW19" s="122"/>
      <c r="FX19" s="123"/>
      <c r="FY19" s="124"/>
      <c r="FZ19" s="124"/>
      <c r="GA19" s="124"/>
      <c r="GB19" s="124"/>
      <c r="GC19" s="124"/>
      <c r="GD19" s="124"/>
      <c r="GE19" s="125"/>
      <c r="GF19" s="126"/>
      <c r="GG19" s="124"/>
      <c r="GH19" s="124"/>
      <c r="GI19" s="127"/>
      <c r="GJ19" s="123"/>
      <c r="GK19" s="124"/>
      <c r="GL19" s="124"/>
      <c r="GM19" s="124"/>
      <c r="GN19" s="124"/>
      <c r="GO19" s="124"/>
      <c r="GP19" s="124"/>
      <c r="GQ19" s="124"/>
      <c r="GR19" s="124"/>
      <c r="GS19" s="124"/>
      <c r="GT19" s="124"/>
      <c r="GU19" s="128"/>
      <c r="GV19" s="129"/>
      <c r="GW19" s="128"/>
      <c r="GX19" s="131">
        <f>SUM(FV19:GW19)</f>
      </c>
      <c r="GY19" s="132">
        <f>AF19+BI19+CL19+DO19+ER19+FU19+GX19</f>
      </c>
      <c r="GZ19" s="133">
        <f>(COUNTIF(D19:GX19,"H")+COUNTIF(D19:GX19,"S")+COUNTIF(D19:GX19,"L")+COUNTIF(D19:GX19,"E")+COUNTIF(D19:GX19,"C"))/2</f>
      </c>
      <c r="HA19" s="130">
        <f>GY19+GZ19</f>
      </c>
      <c r="HB19" s="134"/>
      <c r="HC19" s="135"/>
      <c r="HD19" s="136"/>
      <c r="HE19" s="18" t="s">
        <v>4</v>
      </c>
      <c r="HF19" s="18" t="s">
        <v>4</v>
      </c>
      <c r="HG19" s="18" t="s">
        <v>4</v>
      </c>
      <c r="HH19" s="18" t="s">
        <v>4</v>
      </c>
      <c r="HI19" s="18" t="s">
        <v>4</v>
      </c>
      <c r="HJ19" s="18" t="s">
        <v>4</v>
      </c>
      <c r="HK19" s="222" t="s">
        <v>4</v>
      </c>
      <c r="HL19" s="223" t="s">
        <v>4</v>
      </c>
      <c r="HM19" s="137"/>
      <c r="HN19" s="137"/>
      <c r="HO19" s="224" t="s">
        <v>4</v>
      </c>
      <c r="HP19" s="225" t="s">
        <v>4</v>
      </c>
      <c r="HQ19" s="18" t="s">
        <v>4</v>
      </c>
      <c r="HR19" s="18" t="s">
        <v>4</v>
      </c>
      <c r="HS19" s="18" t="s">
        <v>4</v>
      </c>
      <c r="HT19" s="18" t="s">
        <v>4</v>
      </c>
      <c r="HU19" s="18" t="s">
        <v>4</v>
      </c>
      <c r="HV19" s="18" t="s">
        <v>4</v>
      </c>
      <c r="HW19" s="137"/>
      <c r="HX19" s="137"/>
      <c r="HY19" s="137"/>
      <c r="HZ19" s="137"/>
      <c r="IA19" s="146"/>
      <c r="IB19" s="145"/>
      <c r="IC19" s="146"/>
      <c r="ID19" s="131">
        <f>SUM(HB19:IC19)</f>
      </c>
      <c r="IE19" s="134"/>
      <c r="IF19" s="135"/>
      <c r="IG19" s="136"/>
      <c r="IH19" s="18" t="s">
        <v>4</v>
      </c>
      <c r="II19" s="18" t="s">
        <v>4</v>
      </c>
      <c r="IJ19" s="18" t="s">
        <v>4</v>
      </c>
      <c r="IK19" s="18" t="s">
        <v>4</v>
      </c>
      <c r="IL19" s="18" t="s">
        <v>4</v>
      </c>
      <c r="IM19" s="18" t="s">
        <v>4</v>
      </c>
      <c r="IN19" s="222" t="s">
        <v>4</v>
      </c>
      <c r="IO19" s="223" t="s">
        <v>4</v>
      </c>
      <c r="IP19" s="137"/>
      <c r="IQ19" s="137"/>
      <c r="IR19" s="224" t="s">
        <v>4</v>
      </c>
      <c r="IS19" s="225" t="s">
        <v>4</v>
      </c>
      <c r="IT19" s="18" t="s">
        <v>4</v>
      </c>
      <c r="IU19" s="18" t="s">
        <v>4</v>
      </c>
      <c r="IV19" s="18" t="s">
        <v>4</v>
      </c>
      <c r="IW19" s="18" t="s">
        <v>4</v>
      </c>
      <c r="IX19" s="18" t="s">
        <v>4</v>
      </c>
      <c r="IY19" s="18" t="s">
        <v>4</v>
      </c>
      <c r="IZ19" s="137"/>
      <c r="JA19" s="137"/>
      <c r="JB19" s="137"/>
      <c r="JC19" s="137"/>
      <c r="JD19" s="146"/>
      <c r="JE19" s="145"/>
      <c r="JF19" s="146"/>
      <c r="JG19" s="131">
        <f>SUM(IE19:JF19)</f>
      </c>
      <c r="JH19" s="134"/>
      <c r="JI19" s="135"/>
      <c r="JJ19" s="136"/>
      <c r="JK19" s="18" t="s">
        <v>4</v>
      </c>
      <c r="JL19" s="18" t="s">
        <v>4</v>
      </c>
      <c r="JM19" s="18" t="s">
        <v>4</v>
      </c>
      <c r="JN19" s="18" t="s">
        <v>4</v>
      </c>
      <c r="JO19" s="18" t="s">
        <v>4</v>
      </c>
      <c r="JP19" s="18" t="s">
        <v>4</v>
      </c>
      <c r="JQ19" s="222" t="s">
        <v>4</v>
      </c>
      <c r="JR19" s="223" t="s">
        <v>4</v>
      </c>
      <c r="JS19" s="137"/>
      <c r="JT19" s="137"/>
      <c r="JU19" s="224" t="s">
        <v>4</v>
      </c>
      <c r="JV19" s="225" t="s">
        <v>4</v>
      </c>
      <c r="JW19" s="18" t="s">
        <v>4</v>
      </c>
      <c r="JX19" s="18" t="s">
        <v>4</v>
      </c>
      <c r="JY19" s="18" t="s">
        <v>4</v>
      </c>
      <c r="JZ19" s="18" t="s">
        <v>4</v>
      </c>
      <c r="KA19" s="18" t="s">
        <v>4</v>
      </c>
      <c r="KB19" s="18" t="s">
        <v>4</v>
      </c>
      <c r="KC19" s="137"/>
      <c r="KD19" s="137"/>
      <c r="KE19" s="137"/>
      <c r="KF19" s="137"/>
      <c r="KG19" s="146"/>
      <c r="KH19" s="145"/>
      <c r="KI19" s="146"/>
      <c r="KJ19" s="131">
        <f>SUM(JH19:KI19)</f>
      </c>
      <c r="KK19" s="134"/>
      <c r="KL19" s="135"/>
      <c r="KM19" s="136"/>
      <c r="KN19" s="18" t="s">
        <v>4</v>
      </c>
      <c r="KO19" s="18" t="s">
        <v>4</v>
      </c>
      <c r="KP19" s="18" t="s">
        <v>4</v>
      </c>
      <c r="KQ19" s="18" t="s">
        <v>4</v>
      </c>
      <c r="KR19" s="18" t="s">
        <v>4</v>
      </c>
      <c r="KS19" s="18" t="s">
        <v>4</v>
      </c>
      <c r="KT19" s="222" t="s">
        <v>4</v>
      </c>
      <c r="KU19" s="223" t="s">
        <v>4</v>
      </c>
      <c r="KV19" s="137"/>
      <c r="KW19" s="137"/>
      <c r="KX19" s="224" t="s">
        <v>4</v>
      </c>
      <c r="KY19" s="225" t="s">
        <v>4</v>
      </c>
      <c r="KZ19" s="18" t="s">
        <v>4</v>
      </c>
      <c r="LA19" s="18" t="s">
        <v>4</v>
      </c>
      <c r="LB19" s="18" t="s">
        <v>4</v>
      </c>
      <c r="LC19" s="18" t="s">
        <v>4</v>
      </c>
      <c r="LD19" s="18" t="s">
        <v>4</v>
      </c>
      <c r="LE19" s="18" t="s">
        <v>4</v>
      </c>
      <c r="LF19" s="137"/>
      <c r="LG19" s="137"/>
      <c r="LH19" s="137"/>
      <c r="LI19" s="137"/>
      <c r="LJ19" s="146"/>
      <c r="LK19" s="145"/>
      <c r="LL19" s="146"/>
      <c r="LM19" s="131">
        <f>SUM(KK19:LL19)</f>
      </c>
      <c r="LN19" s="134"/>
      <c r="LO19" s="135"/>
      <c r="LP19" s="136"/>
      <c r="LQ19" s="18" t="s">
        <v>4</v>
      </c>
      <c r="LR19" s="18" t="s">
        <v>4</v>
      </c>
      <c r="LS19" s="18" t="s">
        <v>4</v>
      </c>
      <c r="LT19" s="18" t="s">
        <v>4</v>
      </c>
      <c r="LU19" s="18" t="s">
        <v>4</v>
      </c>
      <c r="LV19" s="18" t="s">
        <v>4</v>
      </c>
      <c r="LW19" s="222" t="s">
        <v>4</v>
      </c>
      <c r="LX19" s="223" t="s">
        <v>4</v>
      </c>
      <c r="LY19" s="137"/>
      <c r="LZ19" s="137"/>
      <c r="MA19" s="224" t="s">
        <v>4</v>
      </c>
      <c r="MB19" s="225" t="s">
        <v>4</v>
      </c>
      <c r="MC19" s="18" t="s">
        <v>4</v>
      </c>
      <c r="MD19" s="18" t="s">
        <v>4</v>
      </c>
      <c r="ME19" s="18" t="s">
        <v>4</v>
      </c>
      <c r="MF19" s="18" t="s">
        <v>4</v>
      </c>
      <c r="MG19" s="18" t="s">
        <v>4</v>
      </c>
      <c r="MH19" s="18" t="s">
        <v>4</v>
      </c>
      <c r="MI19" s="137"/>
      <c r="MJ19" s="137"/>
      <c r="MK19" s="137"/>
      <c r="ML19" s="137"/>
      <c r="MM19" s="146"/>
      <c r="MN19" s="145"/>
      <c r="MO19" s="146"/>
      <c r="MP19" s="131">
        <f>SUM(LN19:MO19)</f>
      </c>
      <c r="MQ19" s="121"/>
      <c r="MR19" s="122"/>
      <c r="MS19" s="123"/>
      <c r="MT19" s="124"/>
      <c r="MU19" s="124"/>
      <c r="MV19" s="124"/>
      <c r="MW19" s="124"/>
      <c r="MX19" s="124"/>
      <c r="MY19" s="124"/>
      <c r="MZ19" s="125"/>
      <c r="NA19" s="126"/>
      <c r="NB19" s="124"/>
      <c r="NC19" s="124"/>
      <c r="ND19" s="127"/>
      <c r="NE19" s="123"/>
      <c r="NF19" s="124"/>
      <c r="NG19" s="124"/>
      <c r="NH19" s="124"/>
      <c r="NI19" s="124"/>
      <c r="NJ19" s="124"/>
      <c r="NK19" s="124"/>
      <c r="NL19" s="124"/>
      <c r="NM19" s="124"/>
      <c r="NN19" s="124"/>
      <c r="NO19" s="124"/>
      <c r="NP19" s="128"/>
      <c r="NQ19" s="129"/>
      <c r="NR19" s="128"/>
      <c r="NS19" s="131">
        <f>SUM(MQ19:NR19)</f>
      </c>
      <c r="NT19" s="121"/>
      <c r="NU19" s="122"/>
      <c r="NV19" s="123"/>
      <c r="NW19" s="124"/>
      <c r="NX19" s="124"/>
      <c r="NY19" s="124"/>
      <c r="NZ19" s="124"/>
      <c r="OA19" s="124"/>
      <c r="OB19" s="124"/>
      <c r="OC19" s="125"/>
      <c r="OD19" s="126"/>
      <c r="OE19" s="124"/>
      <c r="OF19" s="124"/>
      <c r="OG19" s="127"/>
      <c r="OH19" s="123"/>
      <c r="OI19" s="124"/>
      <c r="OJ19" s="124"/>
      <c r="OK19" s="124"/>
      <c r="OL19" s="124"/>
      <c r="OM19" s="124"/>
      <c r="ON19" s="124"/>
      <c r="OO19" s="124"/>
      <c r="OP19" s="124"/>
      <c r="OQ19" s="124"/>
      <c r="OR19" s="124"/>
      <c r="OS19" s="128"/>
      <c r="OT19" s="129"/>
      <c r="OU19" s="128"/>
      <c r="OV19" s="131">
        <f>SUM(NT19:OU19)</f>
      </c>
      <c r="OW19" s="132">
        <f>ID19+JG19+KJ19+LM19+MP19+NS19+OV19</f>
      </c>
      <c r="OX19" s="133">
        <f>(COUNTIF(HB19:OV19,"H")+COUNTIF(HB19:OV19,"S")+COUNTIF(HB19:OV19,"L")+COUNTIF(HB19:OV19,"E")+COUNTIF(HB19:OV19,"C"))/2</f>
      </c>
      <c r="OY19" s="130">
        <f>OW19+OX19</f>
      </c>
      <c r="OZ19" s="134"/>
      <c r="PA19" s="135"/>
      <c r="PB19" s="142">
        <v>0.5</v>
      </c>
      <c r="PC19" s="138">
        <v>0.5</v>
      </c>
      <c r="PD19" s="138">
        <v>0.5</v>
      </c>
      <c r="PE19" s="138">
        <v>0.5</v>
      </c>
      <c r="PF19" s="138">
        <v>0.5</v>
      </c>
      <c r="PG19" s="138">
        <v>0.5</v>
      </c>
      <c r="PH19" s="138">
        <v>0.5</v>
      </c>
      <c r="PI19" s="139">
        <v>0.5</v>
      </c>
      <c r="PJ19" s="147"/>
      <c r="PK19" s="148"/>
      <c r="PL19" s="138">
        <v>0.5</v>
      </c>
      <c r="PM19" s="149">
        <v>0.5</v>
      </c>
      <c r="PN19" s="142">
        <v>0.5</v>
      </c>
      <c r="PO19" s="138">
        <v>0.5</v>
      </c>
      <c r="PP19" s="138">
        <v>0.5</v>
      </c>
      <c r="PQ19" s="138">
        <v>0.5</v>
      </c>
      <c r="PR19" s="138">
        <v>0.5</v>
      </c>
      <c r="PS19" s="138">
        <v>0.5</v>
      </c>
      <c r="PT19" s="137"/>
      <c r="PU19" s="137"/>
      <c r="PV19" s="137"/>
      <c r="PW19" s="137"/>
      <c r="PX19" s="137"/>
      <c r="PY19" s="146"/>
      <c r="PZ19" s="145"/>
      <c r="QA19" s="146"/>
      <c r="QB19" s="131">
        <f>SUM(OZ19:QA19)</f>
      </c>
      <c r="QC19" s="134"/>
      <c r="QD19" s="135"/>
      <c r="QE19" s="142">
        <v>0.5</v>
      </c>
      <c r="QF19" s="138">
        <v>0.5</v>
      </c>
      <c r="QG19" s="138">
        <v>0.5</v>
      </c>
      <c r="QH19" s="138">
        <v>0.5</v>
      </c>
      <c r="QI19" s="138">
        <v>0.5</v>
      </c>
      <c r="QJ19" s="138">
        <v>0.5</v>
      </c>
      <c r="QK19" s="138">
        <v>0.5</v>
      </c>
      <c r="QL19" s="139">
        <v>0.5</v>
      </c>
      <c r="QM19" s="147"/>
      <c r="QN19" s="148"/>
      <c r="QO19" s="138">
        <v>0.5</v>
      </c>
      <c r="QP19" s="149">
        <v>0.5</v>
      </c>
      <c r="QQ19" s="142">
        <v>0.5</v>
      </c>
      <c r="QR19" s="138">
        <v>0.5</v>
      </c>
      <c r="QS19" s="138">
        <v>0.5</v>
      </c>
      <c r="QT19" s="138">
        <v>0.5</v>
      </c>
      <c r="QU19" s="138">
        <v>0.5</v>
      </c>
      <c r="QV19" s="138">
        <v>0.5</v>
      </c>
      <c r="QW19" s="137"/>
      <c r="QX19" s="137"/>
      <c r="QY19" s="137"/>
      <c r="QZ19" s="137"/>
      <c r="RA19" s="137"/>
      <c r="RB19" s="146"/>
      <c r="RC19" s="145"/>
      <c r="RD19" s="146"/>
      <c r="RE19" s="131">
        <f>SUM(QC19:RD19)</f>
      </c>
      <c r="RF19" s="134"/>
      <c r="RG19" s="135"/>
      <c r="RH19" s="142">
        <v>0.5</v>
      </c>
      <c r="RI19" s="138">
        <v>0.5</v>
      </c>
      <c r="RJ19" s="138">
        <v>0.5</v>
      </c>
      <c r="RK19" s="138">
        <v>0.5</v>
      </c>
      <c r="RL19" s="138">
        <v>0.5</v>
      </c>
      <c r="RM19" s="138">
        <v>0.5</v>
      </c>
      <c r="RN19" s="138">
        <v>0.5</v>
      </c>
      <c r="RO19" s="139">
        <v>0.5</v>
      </c>
      <c r="RP19" s="147"/>
      <c r="RQ19" s="148"/>
      <c r="RR19" s="138">
        <v>0.5</v>
      </c>
      <c r="RS19" s="149">
        <v>0.5</v>
      </c>
      <c r="RT19" s="142">
        <v>0.5</v>
      </c>
      <c r="RU19" s="138">
        <v>0.5</v>
      </c>
      <c r="RV19" s="138">
        <v>0.5</v>
      </c>
      <c r="RW19" s="138">
        <v>0.5</v>
      </c>
      <c r="RX19" s="138">
        <v>0.5</v>
      </c>
      <c r="RY19" s="138">
        <v>0.5</v>
      </c>
      <c r="RZ19" s="137"/>
      <c r="SA19" s="137"/>
      <c r="SB19" s="137"/>
      <c r="SC19" s="137"/>
      <c r="SD19" s="137"/>
      <c r="SE19" s="146"/>
      <c r="SF19" s="145"/>
      <c r="SG19" s="146"/>
      <c r="SH19" s="131">
        <f>SUM(RF19:SG19)</f>
      </c>
      <c r="SI19" s="134"/>
      <c r="SJ19" s="135"/>
      <c r="SK19" s="142">
        <v>0.5</v>
      </c>
      <c r="SL19" s="138">
        <v>0.5</v>
      </c>
      <c r="SM19" s="138">
        <v>0.5</v>
      </c>
      <c r="SN19" s="138">
        <v>0.5</v>
      </c>
      <c r="SO19" s="138">
        <v>0.5</v>
      </c>
      <c r="SP19" s="138">
        <v>0.5</v>
      </c>
      <c r="SQ19" s="138">
        <v>0.5</v>
      </c>
      <c r="SR19" s="139">
        <v>0.5</v>
      </c>
      <c r="SS19" s="147"/>
      <c r="ST19" s="148"/>
      <c r="SU19" s="138">
        <v>0.5</v>
      </c>
      <c r="SV19" s="149">
        <v>0.5</v>
      </c>
      <c r="SW19" s="142">
        <v>0.5</v>
      </c>
      <c r="SX19" s="138">
        <v>0.5</v>
      </c>
      <c r="SY19" s="138">
        <v>0.5</v>
      </c>
      <c r="SZ19" s="138">
        <v>0.5</v>
      </c>
      <c r="TA19" s="138">
        <v>0.5</v>
      </c>
      <c r="TB19" s="138">
        <v>0.5</v>
      </c>
      <c r="TC19" s="137"/>
      <c r="TD19" s="137"/>
      <c r="TE19" s="137"/>
      <c r="TF19" s="137"/>
      <c r="TG19" s="137"/>
      <c r="TH19" s="146"/>
      <c r="TI19" s="145"/>
      <c r="TJ19" s="146"/>
      <c r="TK19" s="131">
        <f>SUM(SI19:TJ19)</f>
      </c>
      <c r="TL19" s="134"/>
      <c r="TM19" s="135"/>
      <c r="TN19" s="142">
        <v>0.5</v>
      </c>
      <c r="TO19" s="138">
        <v>0.5</v>
      </c>
      <c r="TP19" s="138">
        <v>0.5</v>
      </c>
      <c r="TQ19" s="138">
        <v>0.5</v>
      </c>
      <c r="TR19" s="138">
        <v>0.5</v>
      </c>
      <c r="TS19" s="138">
        <v>0.5</v>
      </c>
      <c r="TT19" s="138">
        <v>0.5</v>
      </c>
      <c r="TU19" s="139">
        <v>0.5</v>
      </c>
      <c r="TV19" s="147"/>
      <c r="TW19" s="148"/>
      <c r="TX19" s="138">
        <v>0.5</v>
      </c>
      <c r="TY19" s="149">
        <v>0.5</v>
      </c>
      <c r="TZ19" s="142">
        <v>0.5</v>
      </c>
      <c r="UA19" s="138">
        <v>0.5</v>
      </c>
      <c r="UB19" s="138">
        <v>0.5</v>
      </c>
      <c r="UC19" s="138">
        <v>0.5</v>
      </c>
      <c r="UD19" s="138">
        <v>0.5</v>
      </c>
      <c r="UE19" s="138">
        <v>0.5</v>
      </c>
      <c r="UF19" s="137"/>
      <c r="UG19" s="137"/>
      <c r="UH19" s="137"/>
      <c r="UI19" s="137"/>
      <c r="UJ19" s="137"/>
      <c r="UK19" s="146"/>
      <c r="UL19" s="145"/>
      <c r="UM19" s="146"/>
      <c r="UN19" s="131">
        <f>SUM(TL19:UM19)</f>
      </c>
      <c r="UO19" s="121"/>
      <c r="UP19" s="122"/>
      <c r="UQ19" s="123"/>
      <c r="UR19" s="124"/>
      <c r="US19" s="124"/>
      <c r="UT19" s="124"/>
      <c r="UU19" s="124"/>
      <c r="UV19" s="124"/>
      <c r="UW19" s="124"/>
      <c r="UX19" s="125"/>
      <c r="UY19" s="126"/>
      <c r="UZ19" s="124"/>
      <c r="VA19" s="124"/>
      <c r="VB19" s="127"/>
      <c r="VC19" s="123"/>
      <c r="VD19" s="124"/>
      <c r="VE19" s="124"/>
      <c r="VF19" s="124"/>
      <c r="VG19" s="124"/>
      <c r="VH19" s="124"/>
      <c r="VI19" s="124"/>
      <c r="VJ19" s="124"/>
      <c r="VK19" s="124"/>
      <c r="VL19" s="124"/>
      <c r="VM19" s="124"/>
      <c r="VN19" s="128"/>
      <c r="VO19" s="129"/>
      <c r="VP19" s="128"/>
      <c r="VQ19" s="131">
        <f>SUM(UO19:VP19)</f>
      </c>
      <c r="VR19" s="121"/>
      <c r="VS19" s="122"/>
      <c r="VT19" s="123"/>
      <c r="VU19" s="124"/>
      <c r="VV19" s="124"/>
      <c r="VW19" s="124"/>
      <c r="VX19" s="124"/>
      <c r="VY19" s="124"/>
      <c r="VZ19" s="124"/>
      <c r="WA19" s="125"/>
      <c r="WB19" s="126"/>
      <c r="WC19" s="124"/>
      <c r="WD19" s="124"/>
      <c r="WE19" s="127"/>
      <c r="WF19" s="123"/>
      <c r="WG19" s="124"/>
      <c r="WH19" s="124"/>
      <c r="WI19" s="124"/>
      <c r="WJ19" s="124"/>
      <c r="WK19" s="124"/>
      <c r="WL19" s="124"/>
      <c r="WM19" s="124"/>
      <c r="WN19" s="124"/>
      <c r="WO19" s="124"/>
      <c r="WP19" s="124"/>
      <c r="WQ19" s="128"/>
      <c r="WR19" s="129"/>
      <c r="WS19" s="128"/>
      <c r="WT19" s="131">
        <f>SUM(VR19:WS19)</f>
      </c>
      <c r="WU19" s="132">
        <f>QB19+RE19+SH19+TK19+UN19+VQ19+WT19</f>
      </c>
      <c r="WV19" s="133">
        <f>(COUNTIF(OZ19:WT19,"H")+COUNTIF(OZ19:WT19,"S")+COUNTIF(OZ19:WT19,"L")+COUNTIF(OZ19:WT19,"E")+COUNTIF(OZ19:WT19,"C"))/2</f>
      </c>
      <c r="WW19" s="130">
        <f>WU19+WV19</f>
      </c>
      <c r="WX19" s="134"/>
      <c r="WY19" s="135"/>
      <c r="WZ19" s="142">
        <v>0.5</v>
      </c>
      <c r="XA19" s="138">
        <v>0.5</v>
      </c>
      <c r="XB19" s="138">
        <v>0.5</v>
      </c>
      <c r="XC19" s="138">
        <v>0.5</v>
      </c>
      <c r="XD19" s="138">
        <v>0.5</v>
      </c>
      <c r="XE19" s="138">
        <v>0.5</v>
      </c>
      <c r="XF19" s="138">
        <v>0.5</v>
      </c>
      <c r="XG19" s="139">
        <v>0.5</v>
      </c>
      <c r="XH19" s="147"/>
      <c r="XI19" s="148"/>
      <c r="XJ19" s="138">
        <v>0.5</v>
      </c>
      <c r="XK19" s="149">
        <v>0.5</v>
      </c>
      <c r="XL19" s="142">
        <v>0.5</v>
      </c>
      <c r="XM19" s="138">
        <v>0.5</v>
      </c>
      <c r="XN19" s="138">
        <v>0.5</v>
      </c>
      <c r="XO19" s="138">
        <v>0.5</v>
      </c>
      <c r="XP19" s="138">
        <v>0.5</v>
      </c>
      <c r="XQ19" s="138">
        <v>0.5</v>
      </c>
      <c r="XR19" s="137"/>
      <c r="XS19" s="137"/>
      <c r="XT19" s="137"/>
      <c r="XU19" s="137"/>
      <c r="XV19" s="137"/>
      <c r="XW19" s="146"/>
      <c r="XX19" s="145"/>
      <c r="XY19" s="146"/>
      <c r="XZ19" s="131">
        <f>SUM(WX19:XY19)</f>
      </c>
      <c r="YA19" s="134"/>
      <c r="YB19" s="135"/>
      <c r="YC19" s="142">
        <v>0.5</v>
      </c>
      <c r="YD19" s="138">
        <v>0.5</v>
      </c>
      <c r="YE19" s="138">
        <v>0.5</v>
      </c>
      <c r="YF19" s="138">
        <v>0.5</v>
      </c>
      <c r="YG19" s="138">
        <v>0.5</v>
      </c>
      <c r="YH19" s="138">
        <v>0.5</v>
      </c>
      <c r="YI19" s="138">
        <v>0.5</v>
      </c>
      <c r="YJ19" s="139">
        <v>0.5</v>
      </c>
      <c r="YK19" s="147"/>
      <c r="YL19" s="148"/>
      <c r="YM19" s="138">
        <v>0.5</v>
      </c>
      <c r="YN19" s="149">
        <v>0.5</v>
      </c>
      <c r="YO19" s="142">
        <v>0.5</v>
      </c>
      <c r="YP19" s="138">
        <v>0.5</v>
      </c>
      <c r="YQ19" s="138">
        <v>0.5</v>
      </c>
      <c r="YR19" s="138">
        <v>0.5</v>
      </c>
      <c r="YS19" s="138">
        <v>0.5</v>
      </c>
      <c r="YT19" s="138">
        <v>0.5</v>
      </c>
      <c r="YU19" s="137"/>
      <c r="YV19" s="137"/>
      <c r="YW19" s="137"/>
      <c r="YX19" s="137"/>
      <c r="YY19" s="137"/>
      <c r="YZ19" s="146"/>
      <c r="ZA19" s="145"/>
      <c r="ZB19" s="146"/>
      <c r="ZC19" s="131">
        <f>SUM(YA19:ZB19)</f>
      </c>
      <c r="ZD19" s="134"/>
      <c r="ZE19" s="135"/>
      <c r="ZF19" s="142">
        <v>0.5</v>
      </c>
      <c r="ZG19" s="138">
        <v>0.5</v>
      </c>
      <c r="ZH19" s="138">
        <v>0.5</v>
      </c>
      <c r="ZI19" s="138">
        <v>0.5</v>
      </c>
      <c r="ZJ19" s="138">
        <v>0.5</v>
      </c>
      <c r="ZK19" s="138">
        <v>0.5</v>
      </c>
      <c r="ZL19" s="138">
        <v>0.5</v>
      </c>
      <c r="ZM19" s="139">
        <v>0.5</v>
      </c>
      <c r="ZN19" s="147"/>
      <c r="ZO19" s="148"/>
      <c r="ZP19" s="138">
        <v>0.5</v>
      </c>
      <c r="ZQ19" s="149">
        <v>0.5</v>
      </c>
      <c r="ZR19" s="142">
        <v>0.5</v>
      </c>
      <c r="ZS19" s="138">
        <v>0.5</v>
      </c>
      <c r="ZT19" s="138">
        <v>0.5</v>
      </c>
      <c r="ZU19" s="138">
        <v>0.5</v>
      </c>
      <c r="ZV19" s="138">
        <v>0.5</v>
      </c>
      <c r="ZW19" s="138">
        <v>0.5</v>
      </c>
      <c r="ZX19" s="137"/>
      <c r="ZY19" s="137"/>
      <c r="ZZ19" s="137"/>
      <c r="AAA19" s="137"/>
      <c r="AAB19" s="137"/>
      <c r="AAC19" s="146"/>
      <c r="AAD19" s="145"/>
      <c r="AAE19" s="146"/>
      <c r="AAF19" s="131">
        <f>SUM(ZD19:AAE19)</f>
      </c>
      <c r="AAG19" s="134"/>
      <c r="AAH19" s="135"/>
      <c r="AAI19" s="142">
        <v>0.5</v>
      </c>
      <c r="AAJ19" s="138">
        <v>0.5</v>
      </c>
      <c r="AAK19" s="138">
        <v>0.5</v>
      </c>
      <c r="AAL19" s="138">
        <v>0.5</v>
      </c>
      <c r="AAM19" s="138">
        <v>0.5</v>
      </c>
      <c r="AAN19" s="138">
        <v>0.5</v>
      </c>
      <c r="AAO19" s="138">
        <v>0.5</v>
      </c>
      <c r="AAP19" s="139">
        <v>0.5</v>
      </c>
      <c r="AAQ19" s="147"/>
      <c r="AAR19" s="148"/>
      <c r="AAS19" s="138">
        <v>0.5</v>
      </c>
      <c r="AAT19" s="149">
        <v>0.5</v>
      </c>
      <c r="AAU19" s="142">
        <v>0.5</v>
      </c>
      <c r="AAV19" s="138">
        <v>0.5</v>
      </c>
      <c r="AAW19" s="138">
        <v>0.5</v>
      </c>
      <c r="AAX19" s="138">
        <v>0.5</v>
      </c>
      <c r="AAY19" s="138">
        <v>0.5</v>
      </c>
      <c r="AAZ19" s="138">
        <v>0.5</v>
      </c>
      <c r="ABA19" s="137"/>
      <c r="ABB19" s="137"/>
      <c r="ABC19" s="137"/>
      <c r="ABD19" s="137"/>
      <c r="ABE19" s="137"/>
      <c r="ABF19" s="146"/>
      <c r="ABG19" s="145"/>
      <c r="ABH19" s="146"/>
      <c r="ABI19" s="131">
        <f>SUM(AAG19:ABH19)</f>
      </c>
      <c r="ABJ19" s="134"/>
      <c r="ABK19" s="135"/>
      <c r="ABL19" s="219">
        <v>0.5</v>
      </c>
      <c r="ABM19" s="216">
        <v>0.5</v>
      </c>
      <c r="ABN19" s="216">
        <v>0.5</v>
      </c>
      <c r="ABO19" s="216">
        <v>0.5</v>
      </c>
      <c r="ABP19" s="216">
        <v>0.5</v>
      </c>
      <c r="ABQ19" s="216">
        <v>0.5</v>
      </c>
      <c r="ABR19" s="216">
        <v>0.5</v>
      </c>
      <c r="ABS19" s="217">
        <v>0.5</v>
      </c>
      <c r="ABT19" s="147"/>
      <c r="ABU19" s="148"/>
      <c r="ABV19" s="216">
        <v>0.5</v>
      </c>
      <c r="ABW19" s="226">
        <v>0.5</v>
      </c>
      <c r="ABX19" s="219">
        <v>0.5</v>
      </c>
      <c r="ABY19" s="216">
        <v>0.5</v>
      </c>
      <c r="ABZ19" s="216">
        <v>0.5</v>
      </c>
      <c r="ACA19" s="216">
        <v>0.5</v>
      </c>
      <c r="ACB19" s="216">
        <v>0.5</v>
      </c>
      <c r="ACC19" s="216">
        <v>0.5</v>
      </c>
      <c r="ACD19" s="137"/>
      <c r="ACE19" s="137"/>
      <c r="ACF19" s="137"/>
      <c r="ACG19" s="137"/>
      <c r="ACH19" s="137"/>
      <c r="ACI19" s="146"/>
      <c r="ACJ19" s="145"/>
      <c r="ACK19" s="146"/>
      <c r="ACL19" s="131">
        <f>SUM(ABJ19:ACK19)</f>
      </c>
      <c r="ACM19" s="121"/>
      <c r="ACN19" s="122"/>
      <c r="ACO19" s="123"/>
      <c r="ACP19" s="124"/>
      <c r="ACQ19" s="124"/>
      <c r="ACR19" s="124"/>
      <c r="ACS19" s="124"/>
      <c r="ACT19" s="124"/>
      <c r="ACU19" s="124"/>
      <c r="ACV19" s="125"/>
      <c r="ACW19" s="126"/>
      <c r="ACX19" s="124"/>
      <c r="ACY19" s="124"/>
      <c r="ACZ19" s="127"/>
      <c r="ADA19" s="123"/>
      <c r="ADB19" s="124"/>
      <c r="ADC19" s="124"/>
      <c r="ADD19" s="124"/>
      <c r="ADE19" s="124"/>
      <c r="ADF19" s="124"/>
      <c r="ADG19" s="124"/>
      <c r="ADH19" s="124"/>
      <c r="ADI19" s="124"/>
      <c r="ADJ19" s="124"/>
      <c r="ADK19" s="124"/>
      <c r="ADL19" s="128"/>
      <c r="ADM19" s="129"/>
      <c r="ADN19" s="128"/>
      <c r="ADO19" s="131">
        <f>SUM(ACM19:ADN19)</f>
      </c>
      <c r="ADP19" s="121"/>
      <c r="ADQ19" s="122"/>
      <c r="ADR19" s="123"/>
      <c r="ADS19" s="124"/>
      <c r="ADT19" s="124"/>
      <c r="ADU19" s="124"/>
      <c r="ADV19" s="124"/>
      <c r="ADW19" s="124"/>
      <c r="ADX19" s="124"/>
      <c r="ADY19" s="125"/>
      <c r="ADZ19" s="126"/>
      <c r="AEA19" s="124"/>
      <c r="AEB19" s="124"/>
      <c r="AEC19" s="127"/>
      <c r="AED19" s="123"/>
      <c r="AEE19" s="124"/>
      <c r="AEF19" s="124"/>
      <c r="AEG19" s="124"/>
      <c r="AEH19" s="124"/>
      <c r="AEI19" s="124"/>
      <c r="AEJ19" s="124"/>
      <c r="AEK19" s="124"/>
      <c r="AEL19" s="124"/>
      <c r="AEM19" s="124"/>
      <c r="AEN19" s="124"/>
      <c r="AEO19" s="128"/>
      <c r="AEP19" s="129"/>
      <c r="AEQ19" s="128"/>
      <c r="AER19" s="131">
        <f>SUM(ADP19:AEQ19)</f>
      </c>
      <c r="AES19" s="132">
        <f>XZ19+ZC19+AAF19+ABI19+ACL19+ADO19+AER19</f>
      </c>
      <c r="AET19" s="133">
        <f>(COUNTIF(WX19:AER19,"H")+COUNTIF(WX19:AER19,"S")+COUNTIF(WX19:AER19,"L")+COUNTIF(WX19:AER19,"E")+COUNTIF(WX19:AER19,"C"))/2</f>
      </c>
      <c r="AEU19" s="130">
        <f>AES19+AET19</f>
      </c>
      <c r="AEV19" s="134"/>
      <c r="AEW19" s="135"/>
      <c r="AEX19" s="136"/>
      <c r="AEY19" s="137"/>
      <c r="AEZ19" s="143">
        <v>0.5</v>
      </c>
      <c r="AFA19" s="143">
        <v>0.5</v>
      </c>
      <c r="AFB19" s="143">
        <v>0.5</v>
      </c>
      <c r="AFC19" s="143">
        <v>0.5</v>
      </c>
      <c r="AFD19" s="138">
        <v>0.5</v>
      </c>
      <c r="AFE19" s="139">
        <v>0.5</v>
      </c>
      <c r="AFF19" s="140">
        <v>0.5</v>
      </c>
      <c r="AFG19" s="138">
        <v>0.5</v>
      </c>
      <c r="AFH19" s="137"/>
      <c r="AFI19" s="141"/>
      <c r="AFJ19" s="142">
        <v>0.5</v>
      </c>
      <c r="AFK19" s="138">
        <v>0.5</v>
      </c>
      <c r="AFL19" s="143">
        <v>0.5</v>
      </c>
      <c r="AFM19" s="143">
        <v>0.5</v>
      </c>
      <c r="AFN19" s="143">
        <v>0.5</v>
      </c>
      <c r="AFO19" s="143">
        <v>0.5</v>
      </c>
      <c r="AFP19" s="143">
        <v>0.5</v>
      </c>
      <c r="AFQ19" s="143">
        <v>0.5</v>
      </c>
      <c r="AFR19" s="137"/>
      <c r="AFS19" s="137"/>
      <c r="AFT19" s="137"/>
      <c r="AFU19" s="146"/>
      <c r="AFV19" s="145"/>
      <c r="AFW19" s="146"/>
      <c r="AFX19" s="130">
        <f>SUM(AEV19:AFW19)</f>
      </c>
      <c r="AFY19" s="134"/>
      <c r="AFZ19" s="135"/>
      <c r="AGA19" s="136"/>
      <c r="AGB19" s="137"/>
      <c r="AGC19" s="143">
        <v>0.5</v>
      </c>
      <c r="AGD19" s="143">
        <v>0.5</v>
      </c>
      <c r="AGE19" s="143">
        <v>0.5</v>
      </c>
      <c r="AGF19" s="143">
        <v>0.5</v>
      </c>
      <c r="AGG19" s="138">
        <v>0.5</v>
      </c>
      <c r="AGH19" s="139">
        <v>0.5</v>
      </c>
      <c r="AGI19" s="140">
        <v>0.5</v>
      </c>
      <c r="AGJ19" s="138">
        <v>0.5</v>
      </c>
      <c r="AGK19" s="137"/>
      <c r="AGL19" s="141"/>
      <c r="AGM19" s="142">
        <v>0.5</v>
      </c>
      <c r="AGN19" s="138">
        <v>0.5</v>
      </c>
      <c r="AGO19" s="143">
        <v>0.5</v>
      </c>
      <c r="AGP19" s="143">
        <v>0.5</v>
      </c>
      <c r="AGQ19" s="143">
        <v>0.5</v>
      </c>
      <c r="AGR19" s="143">
        <v>0.5</v>
      </c>
      <c r="AGS19" s="143">
        <v>0.5</v>
      </c>
      <c r="AGT19" s="143">
        <v>0.5</v>
      </c>
      <c r="AGU19" s="137"/>
      <c r="AGV19" s="137"/>
      <c r="AGW19" s="137"/>
      <c r="AGX19" s="146"/>
      <c r="AGY19" s="145"/>
      <c r="AGZ19" s="146"/>
      <c r="AHA19" s="130">
        <f>SUM(AFY19:AGZ19)</f>
      </c>
      <c r="AHB19" s="134"/>
      <c r="AHC19" s="135"/>
      <c r="AHD19" s="136"/>
      <c r="AHE19" s="137"/>
      <c r="AHF19" s="220">
        <v>0.5</v>
      </c>
      <c r="AHG19" s="220">
        <v>0.5</v>
      </c>
      <c r="AHH19" s="220">
        <v>0.5</v>
      </c>
      <c r="AHI19" s="220">
        <v>0.5</v>
      </c>
      <c r="AHJ19" s="216">
        <v>0.5</v>
      </c>
      <c r="AHK19" s="217">
        <v>0.5</v>
      </c>
      <c r="AHL19" s="218">
        <v>0.5</v>
      </c>
      <c r="AHM19" s="216">
        <v>0.5</v>
      </c>
      <c r="AHN19" s="137"/>
      <c r="AHO19" s="141"/>
      <c r="AHP19" s="219">
        <v>0.5</v>
      </c>
      <c r="AHQ19" s="216">
        <v>0.5</v>
      </c>
      <c r="AHR19" s="220">
        <v>0.5</v>
      </c>
      <c r="AHS19" s="220">
        <v>0.5</v>
      </c>
      <c r="AHT19" s="220">
        <v>0.5</v>
      </c>
      <c r="AHU19" s="220">
        <v>0.5</v>
      </c>
      <c r="AHV19" s="220">
        <v>0.5</v>
      </c>
      <c r="AHW19" s="220">
        <v>0.5</v>
      </c>
      <c r="AHX19" s="137"/>
      <c r="AHY19" s="137"/>
      <c r="AHZ19" s="137"/>
      <c r="AIA19" s="146"/>
      <c r="AIB19" s="145"/>
      <c r="AIC19" s="146"/>
      <c r="AID19" s="130">
        <f>SUM(AHB19:AIC19)</f>
      </c>
      <c r="AIE19" s="134"/>
      <c r="AIF19" s="135"/>
      <c r="AIG19" s="136"/>
      <c r="AIH19" s="137"/>
      <c r="AII19" s="143">
        <v>0.5</v>
      </c>
      <c r="AIJ19" s="143">
        <v>0.5</v>
      </c>
      <c r="AIK19" s="143">
        <v>0.5</v>
      </c>
      <c r="AIL19" s="143">
        <v>0.5</v>
      </c>
      <c r="AIM19" s="138">
        <v>0.5</v>
      </c>
      <c r="AIN19" s="139">
        <v>0.5</v>
      </c>
      <c r="AIO19" s="140">
        <v>0.5</v>
      </c>
      <c r="AIP19" s="138">
        <v>0.5</v>
      </c>
      <c r="AIQ19" s="137"/>
      <c r="AIR19" s="141"/>
      <c r="AIS19" s="142">
        <v>0.5</v>
      </c>
      <c r="AIT19" s="138">
        <v>0.5</v>
      </c>
      <c r="AIU19" s="143">
        <v>0.5</v>
      </c>
      <c r="AIV19" s="143">
        <v>0.5</v>
      </c>
      <c r="AIW19" s="143">
        <v>0.5</v>
      </c>
      <c r="AIX19" s="143">
        <v>0.5</v>
      </c>
      <c r="AIY19" s="143">
        <v>0.5</v>
      </c>
      <c r="AIZ19" s="143">
        <v>0.5</v>
      </c>
      <c r="AJA19" s="137"/>
      <c r="AJB19" s="137"/>
      <c r="AJC19" s="137"/>
      <c r="AJD19" s="146"/>
      <c r="AJE19" s="145"/>
      <c r="AJF19" s="146"/>
      <c r="AJG19" s="130">
        <f>SUM(AIE19:AJF19)</f>
      </c>
      <c r="AJH19" s="134"/>
      <c r="AJI19" s="135"/>
      <c r="AJJ19" s="136"/>
      <c r="AJK19" s="137"/>
      <c r="AJL19" s="143">
        <v>0.5</v>
      </c>
      <c r="AJM19" s="143">
        <v>0.5</v>
      </c>
      <c r="AJN19" s="143">
        <v>0.5</v>
      </c>
      <c r="AJO19" s="143">
        <v>0.5</v>
      </c>
      <c r="AJP19" s="138">
        <v>0.5</v>
      </c>
      <c r="AJQ19" s="139">
        <v>0.5</v>
      </c>
      <c r="AJR19" s="140">
        <v>0.5</v>
      </c>
      <c r="AJS19" s="138">
        <v>0.5</v>
      </c>
      <c r="AJT19" s="137"/>
      <c r="AJU19" s="141"/>
      <c r="AJV19" s="142">
        <v>0.5</v>
      </c>
      <c r="AJW19" s="138">
        <v>0.5</v>
      </c>
      <c r="AJX19" s="143">
        <v>0.5</v>
      </c>
      <c r="AJY19" s="143">
        <v>0.5</v>
      </c>
      <c r="AJZ19" s="143">
        <v>0.5</v>
      </c>
      <c r="AKA19" s="143">
        <v>0.5</v>
      </c>
      <c r="AKB19" s="143">
        <v>0.5</v>
      </c>
      <c r="AKC19" s="143">
        <v>0.5</v>
      </c>
      <c r="AKD19" s="137"/>
      <c r="AKE19" s="137"/>
      <c r="AKF19" s="137"/>
      <c r="AKG19" s="146"/>
      <c r="AKH19" s="145"/>
      <c r="AKI19" s="146"/>
      <c r="AKJ19" s="130">
        <f>SUM(AJH19:AKI19)</f>
      </c>
      <c r="AKK19" s="121"/>
      <c r="AKL19" s="122"/>
      <c r="AKM19" s="123"/>
      <c r="AKN19" s="124"/>
      <c r="AKO19" s="124"/>
      <c r="AKP19" s="124"/>
      <c r="AKQ19" s="124"/>
      <c r="AKR19" s="124"/>
      <c r="AKS19" s="124"/>
      <c r="AKT19" s="125"/>
      <c r="AKU19" s="126"/>
      <c r="AKV19" s="124"/>
      <c r="AKW19" s="124"/>
      <c r="AKX19" s="127"/>
      <c r="AKY19" s="123"/>
      <c r="AKZ19" s="124"/>
      <c r="ALA19" s="124"/>
      <c r="ALB19" s="124"/>
      <c r="ALC19" s="124"/>
      <c r="ALD19" s="124"/>
      <c r="ALE19" s="124"/>
      <c r="ALF19" s="124"/>
      <c r="ALG19" s="124"/>
      <c r="ALH19" s="124"/>
      <c r="ALI19" s="124"/>
      <c r="ALJ19" s="128"/>
      <c r="ALK19" s="129"/>
      <c r="ALL19" s="128"/>
      <c r="ALM19" s="131">
        <f>SUM(AKK19:ALL19)</f>
      </c>
      <c r="ALN19" s="121"/>
      <c r="ALO19" s="122"/>
      <c r="ALP19" s="123"/>
      <c r="ALQ19" s="124"/>
      <c r="ALR19" s="124"/>
      <c r="ALS19" s="124"/>
      <c r="ALT19" s="124"/>
      <c r="ALU19" s="124"/>
      <c r="ALV19" s="124"/>
      <c r="ALW19" s="125"/>
      <c r="ALX19" s="126"/>
      <c r="ALY19" s="124"/>
      <c r="ALZ19" s="124"/>
      <c r="AMA19" s="127"/>
      <c r="AMB19" s="123"/>
      <c r="AMC19" s="124"/>
      <c r="AMD19" s="124"/>
      <c r="AME19" s="124"/>
      <c r="AMF19" s="124"/>
      <c r="AMG19" s="124"/>
      <c r="AMH19" s="124"/>
      <c r="AMI19" s="124"/>
      <c r="AMJ19" s="124"/>
      <c r="AMK19" s="124"/>
      <c r="AML19" s="124"/>
      <c r="AMM19" s="128"/>
      <c r="AMN19" s="129"/>
      <c r="AMO19" s="128"/>
      <c r="AMP19" s="131">
        <f>SUM(ALN19:AMO19)</f>
      </c>
      <c r="AMQ19" s="150">
        <f>AFX19+AHA19+AID19+AJG19+AKJ19+ALM19+AMP19</f>
      </c>
      <c r="AMR19" s="133">
        <f>(COUNTIF(AEV19:AMP19,"H")+COUNTIF(AEV19:AMP19,"S")+COUNTIF(AEV19:AMP19,"L")+COUNTIF(AEV19:AMP19,"E")+COUNTIF(AEV19:AMP19,"C"))/2</f>
      </c>
      <c r="AMS19" s="131">
        <f>AMQ19+AMR19</f>
      </c>
      <c r="AMT19" s="4"/>
      <c r="AMU19" s="4"/>
      <c r="AMV19" s="4"/>
      <c r="AMW19" s="4"/>
      <c r="AMX19" s="4"/>
      <c r="AMY19" s="4"/>
      <c r="AMZ19" s="4"/>
      <c r="ANA19" s="4"/>
      <c r="ANB19" s="4"/>
      <c r="ANC19" s="4"/>
      <c r="AND19" s="4"/>
      <c r="ANE19" s="4"/>
      <c r="ANF19" s="4"/>
      <c r="ANG19" s="4"/>
      <c r="ANH19" s="4"/>
      <c r="ANI19" s="4"/>
      <c r="ANJ19" s="13"/>
      <c r="ANK19" s="13"/>
      <c r="ANL19" s="4"/>
      <c r="ANM19" s="4"/>
      <c r="ANN19" s="4"/>
      <c r="ANO19" s="4"/>
      <c r="ANP19" s="4"/>
      <c r="ANQ19" s="4"/>
      <c r="ANR19" s="4"/>
      <c r="ANS19" s="4"/>
      <c r="ANT19" s="4"/>
      <c r="ANU19" s="4"/>
      <c r="ANV19" s="4"/>
      <c r="ANW19" s="4"/>
      <c r="ANX19" s="4"/>
      <c r="ANY19" s="4"/>
      <c r="ANZ19" s="4"/>
      <c r="AOA19" s="4"/>
      <c r="AOB19" s="4"/>
      <c r="AOC19" s="4"/>
      <c r="AOD19" s="4"/>
      <c r="AOE19" s="4"/>
      <c r="AOF19" s="4"/>
      <c r="AOG19" s="4"/>
      <c r="AOH19" s="4"/>
      <c r="AOI19" s="4"/>
      <c r="AOJ19" s="4"/>
      <c r="AOK19" s="4"/>
      <c r="AOL19" s="4"/>
      <c r="AOM19" s="4"/>
      <c r="AON19" s="4"/>
      <c r="AOO19" s="4"/>
      <c r="AOP19" s="4"/>
      <c r="AOQ19" s="4"/>
      <c r="AOR19" s="4"/>
      <c r="AOS19" s="4"/>
      <c r="AOT19" s="4"/>
      <c r="AOU19" s="4"/>
      <c r="AOV19" s="4"/>
      <c r="AOW19" s="4"/>
      <c r="AOX19" s="4"/>
      <c r="AOY19" s="4"/>
      <c r="AOZ19" s="4"/>
      <c r="APA19" s="4"/>
      <c r="APB19" s="4"/>
      <c r="APC19" s="4"/>
      <c r="APD19" s="4"/>
      <c r="APE19" s="4"/>
      <c r="APF19" s="4"/>
      <c r="APG19" s="4"/>
      <c r="APH19" s="4"/>
      <c r="API19" s="4"/>
      <c r="APJ19" s="4"/>
      <c r="APK19" s="4"/>
      <c r="APL19" s="4"/>
      <c r="APM19" s="4"/>
      <c r="APN19" s="4"/>
      <c r="APO19" s="4"/>
      <c r="APP19" s="4"/>
      <c r="APQ19" s="4"/>
      <c r="APR19" s="4"/>
      <c r="APS19" s="4"/>
      <c r="APT19" s="4"/>
      <c r="APU19" s="4"/>
      <c r="APV19" s="4"/>
      <c r="APW19" s="4"/>
      <c r="APX19" s="4"/>
      <c r="APY19" s="4"/>
      <c r="APZ19" s="4"/>
      <c r="AQA19" s="4"/>
      <c r="AQB19" s="4"/>
      <c r="AQC19" s="4"/>
      <c r="AQD19" s="4"/>
      <c r="AQE19" s="4"/>
      <c r="AQF19" s="4"/>
      <c r="AQG19" s="4"/>
      <c r="AQH19" s="4"/>
      <c r="AQI19" s="4"/>
      <c r="AQJ19" s="4"/>
      <c r="AQK19" s="4"/>
      <c r="AQL19" s="4"/>
      <c r="AQM19" s="4"/>
      <c r="AQN19" s="4"/>
      <c r="AQO19" s="4"/>
      <c r="AQP19" s="4"/>
      <c r="AQQ19" s="4"/>
      <c r="AQR19" s="4"/>
      <c r="AQS19" s="4"/>
      <c r="AQT19" s="4"/>
      <c r="AQU19" s="4"/>
      <c r="AQV19" s="4"/>
      <c r="AQW19" s="4"/>
      <c r="AQX19" s="4"/>
      <c r="AQY19" s="4"/>
      <c r="AQZ19" s="4"/>
      <c r="ARA19" s="4"/>
      <c r="ARB19" s="4"/>
      <c r="ARC19" s="4"/>
      <c r="ARD19" s="4"/>
      <c r="ARE19" s="4"/>
      <c r="ARF19" s="4"/>
      <c r="ARG19" s="4"/>
      <c r="ARH19" s="4"/>
      <c r="ARI19" s="4"/>
      <c r="ARJ19" s="4"/>
      <c r="ARK19" s="4"/>
      <c r="ARL19" s="4"/>
      <c r="ARM19" s="4"/>
      <c r="ARN19" s="4"/>
      <c r="ARO19" s="4"/>
      <c r="ARP19" s="4"/>
      <c r="ARQ19" s="4"/>
      <c r="ARR19" s="4"/>
      <c r="ARS19" s="4"/>
      <c r="ART19" s="4"/>
      <c r="ARU19" s="4"/>
      <c r="ARV19" s="4"/>
      <c r="ARW19" s="4"/>
      <c r="ARX19" s="4"/>
      <c r="ARY19" s="4"/>
      <c r="ARZ19" s="4"/>
      <c r="ASA19" s="4"/>
      <c r="ASB19" s="4"/>
      <c r="ASC19" s="4"/>
      <c r="ASD19" s="4"/>
      <c r="ASE19" s="4"/>
      <c r="ASF19" s="4"/>
      <c r="ASG19" s="4"/>
      <c r="ASH19" s="4"/>
      <c r="ASI19" s="4"/>
      <c r="ASJ19" s="4"/>
      <c r="ASK19" s="4"/>
      <c r="ASL19" s="4"/>
      <c r="ASM19" s="4"/>
      <c r="ASN19" s="4"/>
      <c r="ASO19" s="4"/>
      <c r="ASP19" s="4"/>
      <c r="ASQ19" s="4"/>
      <c r="ASR19" s="4"/>
      <c r="ASS19" s="4"/>
      <c r="AST19" s="4"/>
      <c r="ASU19" s="4"/>
    </row>
    <row r="20" ht="15" customHeight="1" spans="1:1191" x14ac:dyDescent="0.25">
      <c r="A20" s="118"/>
      <c r="B20" s="119" t="s">
        <v>60</v>
      </c>
      <c r="C20" s="120" t="s">
        <v>52</v>
      </c>
      <c r="D20" s="121"/>
      <c r="E20" s="122"/>
      <c r="F20" s="151"/>
      <c r="G20" s="125"/>
      <c r="H20" s="125"/>
      <c r="I20" s="125"/>
      <c r="J20" s="125"/>
      <c r="K20" s="125"/>
      <c r="L20" s="124"/>
      <c r="M20" s="125"/>
      <c r="N20" s="126"/>
      <c r="O20" s="124"/>
      <c r="P20" s="124"/>
      <c r="Q20" s="127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8"/>
      <c r="AD20" s="129"/>
      <c r="AE20" s="128"/>
      <c r="AF20" s="131">
        <f>SUM(D20:AE20)</f>
      </c>
      <c r="AG20" s="121"/>
      <c r="AH20" s="122"/>
      <c r="AI20" s="151"/>
      <c r="AJ20" s="125"/>
      <c r="AK20" s="125"/>
      <c r="AL20" s="125"/>
      <c r="AM20" s="125"/>
      <c r="AN20" s="125"/>
      <c r="AO20" s="124"/>
      <c r="AP20" s="125"/>
      <c r="AQ20" s="126"/>
      <c r="AR20" s="124"/>
      <c r="AS20" s="124"/>
      <c r="AT20" s="127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8"/>
      <c r="BG20" s="129"/>
      <c r="BH20" s="128"/>
      <c r="BI20" s="131">
        <f>SUM(AG20:BH20)</f>
      </c>
      <c r="BJ20" s="121"/>
      <c r="BK20" s="122"/>
      <c r="BL20" s="151"/>
      <c r="BM20" s="125"/>
      <c r="BN20" s="125"/>
      <c r="BO20" s="125"/>
      <c r="BP20" s="125"/>
      <c r="BQ20" s="125"/>
      <c r="BR20" s="124"/>
      <c r="BS20" s="125"/>
      <c r="BT20" s="126"/>
      <c r="BU20" s="124"/>
      <c r="BV20" s="124"/>
      <c r="BW20" s="127"/>
      <c r="BX20" s="125"/>
      <c r="BY20" s="125"/>
      <c r="BZ20" s="125"/>
      <c r="CA20" s="125"/>
      <c r="CB20" s="125"/>
      <c r="CC20" s="125"/>
      <c r="CD20" s="125"/>
      <c r="CE20" s="125"/>
      <c r="CF20" s="125"/>
      <c r="CG20" s="125"/>
      <c r="CH20" s="125"/>
      <c r="CI20" s="128"/>
      <c r="CJ20" s="129"/>
      <c r="CK20" s="128"/>
      <c r="CL20" s="131">
        <f>SUM(BJ20:CK20)</f>
      </c>
      <c r="CM20" s="121"/>
      <c r="CN20" s="122"/>
      <c r="CO20" s="151"/>
      <c r="CP20" s="125"/>
      <c r="CQ20" s="125"/>
      <c r="CR20" s="125"/>
      <c r="CS20" s="125"/>
      <c r="CT20" s="125"/>
      <c r="CU20" s="124"/>
      <c r="CV20" s="125"/>
      <c r="CW20" s="126"/>
      <c r="CX20" s="124"/>
      <c r="CY20" s="124"/>
      <c r="CZ20" s="127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8"/>
      <c r="DM20" s="129"/>
      <c r="DN20" s="128"/>
      <c r="DO20" s="131">
        <f>SUM(CM20:DN20)</f>
      </c>
      <c r="DP20" s="121"/>
      <c r="DQ20" s="122"/>
      <c r="DR20" s="151"/>
      <c r="DS20" s="125"/>
      <c r="DT20" s="125"/>
      <c r="DU20" s="125"/>
      <c r="DV20" s="125"/>
      <c r="DW20" s="125"/>
      <c r="DX20" s="124"/>
      <c r="DY20" s="125"/>
      <c r="DZ20" s="126"/>
      <c r="EA20" s="124"/>
      <c r="EB20" s="124"/>
      <c r="EC20" s="127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8"/>
      <c r="EP20" s="129"/>
      <c r="EQ20" s="128"/>
      <c r="ER20" s="131">
        <f>SUM(DP20:EQ20)</f>
      </c>
      <c r="ES20" s="121"/>
      <c r="ET20" s="122"/>
      <c r="EU20" s="151"/>
      <c r="EV20" s="125"/>
      <c r="EW20" s="125"/>
      <c r="EX20" s="125"/>
      <c r="EY20" s="125"/>
      <c r="EZ20" s="125"/>
      <c r="FA20" s="124"/>
      <c r="FB20" s="125"/>
      <c r="FC20" s="126"/>
      <c r="FD20" s="124"/>
      <c r="FE20" s="124"/>
      <c r="FF20" s="127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8"/>
      <c r="FS20" s="129"/>
      <c r="FT20" s="128"/>
      <c r="FU20" s="131">
        <f>SUM(ES20:FT20)</f>
      </c>
      <c r="FV20" s="121"/>
      <c r="FW20" s="122"/>
      <c r="FX20" s="151"/>
      <c r="FY20" s="125"/>
      <c r="FZ20" s="125"/>
      <c r="GA20" s="125"/>
      <c r="GB20" s="125"/>
      <c r="GC20" s="125"/>
      <c r="GD20" s="124"/>
      <c r="GE20" s="125"/>
      <c r="GF20" s="126"/>
      <c r="GG20" s="124"/>
      <c r="GH20" s="124"/>
      <c r="GI20" s="127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8"/>
      <c r="GV20" s="129"/>
      <c r="GW20" s="128"/>
      <c r="GX20" s="131">
        <f>SUM(FV20:GW20)</f>
      </c>
      <c r="GY20" s="132">
        <f>AF20+BI20+CL20+DO20+ER20+FU20+GX20</f>
      </c>
      <c r="GZ20" s="133">
        <f>(COUNTIF(D20:GX20,"H")+COUNTIF(D20:GX20,"S")+COUNTIF(D20:GX20,"L")+COUNTIF(D20:GX20,"E")+COUNTIF(D20:GX20,"C"))/2</f>
      </c>
      <c r="HA20" s="130">
        <f>GY20+GZ20</f>
      </c>
      <c r="HB20" s="134"/>
      <c r="HC20" s="135"/>
      <c r="HD20" s="152"/>
      <c r="HE20" s="139">
        <v>0.5</v>
      </c>
      <c r="HF20" s="139">
        <v>0.5</v>
      </c>
      <c r="HG20" s="139">
        <v>0.5</v>
      </c>
      <c r="HH20" s="139">
        <v>0.5</v>
      </c>
      <c r="HI20" s="139">
        <v>0.5</v>
      </c>
      <c r="HJ20" s="138">
        <v>0.5</v>
      </c>
      <c r="HK20" s="139">
        <v>0.5</v>
      </c>
      <c r="HL20" s="155"/>
      <c r="HM20" s="137"/>
      <c r="HN20" s="138">
        <v>0.5</v>
      </c>
      <c r="HO20" s="149">
        <v>0.5</v>
      </c>
      <c r="HP20" s="139">
        <v>0.5</v>
      </c>
      <c r="HQ20" s="139">
        <v>0.5</v>
      </c>
      <c r="HR20" s="139">
        <v>0.5</v>
      </c>
      <c r="HS20" s="139">
        <v>0.5</v>
      </c>
      <c r="HT20" s="139">
        <v>0.5</v>
      </c>
      <c r="HU20" s="139">
        <v>0.5</v>
      </c>
      <c r="HV20" s="139">
        <v>0.5</v>
      </c>
      <c r="HW20" s="153"/>
      <c r="HX20" s="153"/>
      <c r="HY20" s="153"/>
      <c r="HZ20" s="153"/>
      <c r="IA20" s="146"/>
      <c r="IB20" s="145"/>
      <c r="IC20" s="146"/>
      <c r="ID20" s="131">
        <f>SUM(HB20:IC20)</f>
      </c>
      <c r="IE20" s="134"/>
      <c r="IF20" s="135"/>
      <c r="IG20" s="152"/>
      <c r="IH20" s="139">
        <v>0.5</v>
      </c>
      <c r="II20" s="139">
        <v>0.5</v>
      </c>
      <c r="IJ20" s="139">
        <v>0.5</v>
      </c>
      <c r="IK20" s="139">
        <v>0.5</v>
      </c>
      <c r="IL20" s="139">
        <v>0.5</v>
      </c>
      <c r="IM20" s="138">
        <v>0.5</v>
      </c>
      <c r="IN20" s="139">
        <v>0.5</v>
      </c>
      <c r="IO20" s="155"/>
      <c r="IP20" s="137"/>
      <c r="IQ20" s="138">
        <v>0.5</v>
      </c>
      <c r="IR20" s="149">
        <v>0.5</v>
      </c>
      <c r="IS20" s="139">
        <v>0.5</v>
      </c>
      <c r="IT20" s="139">
        <v>0.5</v>
      </c>
      <c r="IU20" s="139">
        <v>0.5</v>
      </c>
      <c r="IV20" s="139">
        <v>0.5</v>
      </c>
      <c r="IW20" s="139">
        <v>0.5</v>
      </c>
      <c r="IX20" s="139">
        <v>0.5</v>
      </c>
      <c r="IY20" s="139">
        <v>0.5</v>
      </c>
      <c r="IZ20" s="153"/>
      <c r="JA20" s="153"/>
      <c r="JB20" s="153"/>
      <c r="JC20" s="153"/>
      <c r="JD20" s="146"/>
      <c r="JE20" s="145"/>
      <c r="JF20" s="146"/>
      <c r="JG20" s="131">
        <f>SUM(IE20:JF20)</f>
      </c>
      <c r="JH20" s="134"/>
      <c r="JI20" s="135"/>
      <c r="JJ20" s="152"/>
      <c r="JK20" s="139">
        <v>0.5</v>
      </c>
      <c r="JL20" s="139">
        <v>0.5</v>
      </c>
      <c r="JM20" s="139">
        <v>0.5</v>
      </c>
      <c r="JN20" s="139">
        <v>0.5</v>
      </c>
      <c r="JO20" s="139">
        <v>0.5</v>
      </c>
      <c r="JP20" s="138">
        <v>0.5</v>
      </c>
      <c r="JQ20" s="139">
        <v>0.5</v>
      </c>
      <c r="JR20" s="155"/>
      <c r="JS20" s="137"/>
      <c r="JT20" s="138">
        <v>0.5</v>
      </c>
      <c r="JU20" s="149">
        <v>0.5</v>
      </c>
      <c r="JV20" s="139">
        <v>0.5</v>
      </c>
      <c r="JW20" s="139">
        <v>0.5</v>
      </c>
      <c r="JX20" s="139">
        <v>0.5</v>
      </c>
      <c r="JY20" s="139">
        <v>0.5</v>
      </c>
      <c r="JZ20" s="139">
        <v>0.5</v>
      </c>
      <c r="KA20" s="139">
        <v>0.5</v>
      </c>
      <c r="KB20" s="139">
        <v>0.5</v>
      </c>
      <c r="KC20" s="153"/>
      <c r="KD20" s="153"/>
      <c r="KE20" s="153"/>
      <c r="KF20" s="153"/>
      <c r="KG20" s="146"/>
      <c r="KH20" s="145"/>
      <c r="KI20" s="146"/>
      <c r="KJ20" s="131">
        <f>SUM(JH20:KI20)</f>
      </c>
      <c r="KK20" s="134"/>
      <c r="KL20" s="135"/>
      <c r="KM20" s="152"/>
      <c r="KN20" s="139">
        <v>0.5</v>
      </c>
      <c r="KO20" s="139">
        <v>0.5</v>
      </c>
      <c r="KP20" s="139">
        <v>0.5</v>
      </c>
      <c r="KQ20" s="139">
        <v>0.5</v>
      </c>
      <c r="KR20" s="139">
        <v>0.5</v>
      </c>
      <c r="KS20" s="138">
        <v>0.5</v>
      </c>
      <c r="KT20" s="139">
        <v>0.5</v>
      </c>
      <c r="KU20" s="155"/>
      <c r="KV20" s="137"/>
      <c r="KW20" s="138">
        <v>0.5</v>
      </c>
      <c r="KX20" s="149">
        <v>0.5</v>
      </c>
      <c r="KY20" s="139">
        <v>0.5</v>
      </c>
      <c r="KZ20" s="139">
        <v>0.5</v>
      </c>
      <c r="LA20" s="139">
        <v>0.5</v>
      </c>
      <c r="LB20" s="139">
        <v>0.5</v>
      </c>
      <c r="LC20" s="139">
        <v>0.5</v>
      </c>
      <c r="LD20" s="139">
        <v>0.5</v>
      </c>
      <c r="LE20" s="139">
        <v>0.5</v>
      </c>
      <c r="LF20" s="153"/>
      <c r="LG20" s="153"/>
      <c r="LH20" s="153"/>
      <c r="LI20" s="153"/>
      <c r="LJ20" s="146"/>
      <c r="LK20" s="145"/>
      <c r="LL20" s="146"/>
      <c r="LM20" s="131">
        <f>SUM(KK20:LL20)</f>
      </c>
      <c r="LN20" s="134"/>
      <c r="LO20" s="135"/>
      <c r="LP20" s="152"/>
      <c r="LQ20" s="217">
        <v>0.5</v>
      </c>
      <c r="LR20" s="217">
        <v>0.5</v>
      </c>
      <c r="LS20" s="217">
        <v>0.5</v>
      </c>
      <c r="LT20" s="217">
        <v>0.5</v>
      </c>
      <c r="LU20" s="217">
        <v>0.5</v>
      </c>
      <c r="LV20" s="216">
        <v>0.5</v>
      </c>
      <c r="LW20" s="217">
        <v>0.5</v>
      </c>
      <c r="LX20" s="155"/>
      <c r="LY20" s="137"/>
      <c r="LZ20" s="216">
        <v>0.5</v>
      </c>
      <c r="MA20" s="226">
        <v>0.5</v>
      </c>
      <c r="MB20" s="217">
        <v>0.5</v>
      </c>
      <c r="MC20" s="217">
        <v>0.5</v>
      </c>
      <c r="MD20" s="217">
        <v>0.5</v>
      </c>
      <c r="ME20" s="217">
        <v>0.5</v>
      </c>
      <c r="MF20" s="217">
        <v>0.5</v>
      </c>
      <c r="MG20" s="217">
        <v>0.5</v>
      </c>
      <c r="MH20" s="217">
        <v>0.5</v>
      </c>
      <c r="MI20" s="153"/>
      <c r="MJ20" s="153"/>
      <c r="MK20" s="153"/>
      <c r="ML20" s="153"/>
      <c r="MM20" s="146"/>
      <c r="MN20" s="145"/>
      <c r="MO20" s="146"/>
      <c r="MP20" s="131">
        <f>SUM(LN20:MO20)</f>
      </c>
      <c r="MQ20" s="121"/>
      <c r="MR20" s="122"/>
      <c r="MS20" s="151"/>
      <c r="MT20" s="125"/>
      <c r="MU20" s="125"/>
      <c r="MV20" s="125"/>
      <c r="MW20" s="125"/>
      <c r="MX20" s="125"/>
      <c r="MY20" s="124"/>
      <c r="MZ20" s="125"/>
      <c r="NA20" s="126"/>
      <c r="NB20" s="124"/>
      <c r="NC20" s="124"/>
      <c r="ND20" s="127"/>
      <c r="NE20" s="125"/>
      <c r="NF20" s="125"/>
      <c r="NG20" s="125"/>
      <c r="NH20" s="125"/>
      <c r="NI20" s="125"/>
      <c r="NJ20" s="125"/>
      <c r="NK20" s="125"/>
      <c r="NL20" s="125"/>
      <c r="NM20" s="125"/>
      <c r="NN20" s="125"/>
      <c r="NO20" s="125"/>
      <c r="NP20" s="128"/>
      <c r="NQ20" s="129"/>
      <c r="NR20" s="128"/>
      <c r="NS20" s="131">
        <f>SUM(MQ20:NR20)</f>
      </c>
      <c r="NT20" s="121"/>
      <c r="NU20" s="122"/>
      <c r="NV20" s="151"/>
      <c r="NW20" s="125"/>
      <c r="NX20" s="125"/>
      <c r="NY20" s="125"/>
      <c r="NZ20" s="125"/>
      <c r="OA20" s="125"/>
      <c r="OB20" s="124"/>
      <c r="OC20" s="125"/>
      <c r="OD20" s="126"/>
      <c r="OE20" s="124"/>
      <c r="OF20" s="124"/>
      <c r="OG20" s="127"/>
      <c r="OH20" s="125"/>
      <c r="OI20" s="125"/>
      <c r="OJ20" s="125"/>
      <c r="OK20" s="125"/>
      <c r="OL20" s="125"/>
      <c r="OM20" s="125"/>
      <c r="ON20" s="125"/>
      <c r="OO20" s="125"/>
      <c r="OP20" s="125"/>
      <c r="OQ20" s="125"/>
      <c r="OR20" s="125"/>
      <c r="OS20" s="128"/>
      <c r="OT20" s="129"/>
      <c r="OU20" s="128"/>
      <c r="OV20" s="131">
        <f>SUM(NT20:OU20)</f>
      </c>
      <c r="OW20" s="132">
        <f>ID20+JG20+KJ20+LM20+MP20+NS20+OV20</f>
      </c>
      <c r="OX20" s="133">
        <f>(COUNTIF(HB20:OV20,"H")+COUNTIF(HB20:OV20,"S")+COUNTIF(HB20:OV20,"L")+COUNTIF(HB20:OV20,"E")+COUNTIF(HB20:OV20,"C"))/2</f>
      </c>
      <c r="OY20" s="130">
        <f>OW20+OX20</f>
      </c>
      <c r="OZ20" s="134"/>
      <c r="PA20" s="135"/>
      <c r="PB20" s="152"/>
      <c r="PC20" s="139">
        <v>0.5</v>
      </c>
      <c r="PD20" s="139">
        <v>0.5</v>
      </c>
      <c r="PE20" s="139">
        <v>0.5</v>
      </c>
      <c r="PF20" s="139">
        <v>0.5</v>
      </c>
      <c r="PG20" s="139">
        <v>0.5</v>
      </c>
      <c r="PH20" s="138">
        <v>0.5</v>
      </c>
      <c r="PI20" s="139">
        <v>0.5</v>
      </c>
      <c r="PJ20" s="155"/>
      <c r="PK20" s="137"/>
      <c r="PL20" s="138">
        <v>0.5</v>
      </c>
      <c r="PM20" s="149">
        <v>0.5</v>
      </c>
      <c r="PN20" s="139">
        <v>0.5</v>
      </c>
      <c r="PO20" s="139">
        <v>0.5</v>
      </c>
      <c r="PP20" s="139">
        <v>0.5</v>
      </c>
      <c r="PQ20" s="139">
        <v>0.5</v>
      </c>
      <c r="PR20" s="139">
        <v>0.5</v>
      </c>
      <c r="PS20" s="139">
        <v>0.5</v>
      </c>
      <c r="PT20" s="139">
        <v>0.5</v>
      </c>
      <c r="PU20" s="153"/>
      <c r="PV20" s="153"/>
      <c r="PW20" s="153"/>
      <c r="PX20" s="153"/>
      <c r="PY20" s="146"/>
      <c r="PZ20" s="145"/>
      <c r="QA20" s="146"/>
      <c r="QB20" s="131">
        <f>SUM(OZ20:QA20)</f>
      </c>
      <c r="QC20" s="134"/>
      <c r="QD20" s="135"/>
      <c r="QE20" s="152"/>
      <c r="QF20" s="139">
        <v>0.5</v>
      </c>
      <c r="QG20" s="139">
        <v>0.5</v>
      </c>
      <c r="QH20" s="139">
        <v>0.5</v>
      </c>
      <c r="QI20" s="139">
        <v>0.5</v>
      </c>
      <c r="QJ20" s="139">
        <v>0.5</v>
      </c>
      <c r="QK20" s="138">
        <v>0.5</v>
      </c>
      <c r="QL20" s="139">
        <v>0.5</v>
      </c>
      <c r="QM20" s="155"/>
      <c r="QN20" s="137"/>
      <c r="QO20" s="138">
        <v>0.5</v>
      </c>
      <c r="QP20" s="149">
        <v>0.5</v>
      </c>
      <c r="QQ20" s="139">
        <v>0.5</v>
      </c>
      <c r="QR20" s="139">
        <v>0.5</v>
      </c>
      <c r="QS20" s="139">
        <v>0.5</v>
      </c>
      <c r="QT20" s="139">
        <v>0.5</v>
      </c>
      <c r="QU20" s="139">
        <v>0.5</v>
      </c>
      <c r="QV20" s="139">
        <v>0.5</v>
      </c>
      <c r="QW20" s="139">
        <v>0.5</v>
      </c>
      <c r="QX20" s="153"/>
      <c r="QY20" s="153"/>
      <c r="QZ20" s="153"/>
      <c r="RA20" s="153"/>
      <c r="RB20" s="146"/>
      <c r="RC20" s="145"/>
      <c r="RD20" s="146"/>
      <c r="RE20" s="131">
        <f>SUM(QC20:RD20)</f>
      </c>
      <c r="RF20" s="134"/>
      <c r="RG20" s="135"/>
      <c r="RH20" s="152"/>
      <c r="RI20" s="139">
        <v>0.5</v>
      </c>
      <c r="RJ20" s="139">
        <v>0.5</v>
      </c>
      <c r="RK20" s="139">
        <v>0.5</v>
      </c>
      <c r="RL20" s="139">
        <v>0.5</v>
      </c>
      <c r="RM20" s="139">
        <v>0.5</v>
      </c>
      <c r="RN20" s="138">
        <v>0.5</v>
      </c>
      <c r="RO20" s="139">
        <v>0.5</v>
      </c>
      <c r="RP20" s="155"/>
      <c r="RQ20" s="137"/>
      <c r="RR20" s="138">
        <v>0.5</v>
      </c>
      <c r="RS20" s="149">
        <v>0.5</v>
      </c>
      <c r="RT20" s="139">
        <v>0.5</v>
      </c>
      <c r="RU20" s="139">
        <v>0.5</v>
      </c>
      <c r="RV20" s="139">
        <v>0.5</v>
      </c>
      <c r="RW20" s="139">
        <v>0.5</v>
      </c>
      <c r="RX20" s="139">
        <v>0.5</v>
      </c>
      <c r="RY20" s="139">
        <v>0.5</v>
      </c>
      <c r="RZ20" s="139">
        <v>0.5</v>
      </c>
      <c r="SA20" s="153"/>
      <c r="SB20" s="153"/>
      <c r="SC20" s="153"/>
      <c r="SD20" s="153"/>
      <c r="SE20" s="146"/>
      <c r="SF20" s="145"/>
      <c r="SG20" s="146"/>
      <c r="SH20" s="131">
        <f>SUM(RF20:SG20)</f>
      </c>
      <c r="SI20" s="134"/>
      <c r="SJ20" s="135"/>
      <c r="SK20" s="152"/>
      <c r="SL20" s="139">
        <v>0.5</v>
      </c>
      <c r="SM20" s="139">
        <v>0.5</v>
      </c>
      <c r="SN20" s="139">
        <v>0.5</v>
      </c>
      <c r="SO20" s="139">
        <v>0.5</v>
      </c>
      <c r="SP20" s="139">
        <v>0.5</v>
      </c>
      <c r="SQ20" s="138">
        <v>0.5</v>
      </c>
      <c r="SR20" s="139">
        <v>0.5</v>
      </c>
      <c r="SS20" s="155"/>
      <c r="ST20" s="137"/>
      <c r="SU20" s="138">
        <v>0.5</v>
      </c>
      <c r="SV20" s="149">
        <v>0.5</v>
      </c>
      <c r="SW20" s="139">
        <v>0.5</v>
      </c>
      <c r="SX20" s="139">
        <v>0.5</v>
      </c>
      <c r="SY20" s="139">
        <v>0.5</v>
      </c>
      <c r="SZ20" s="139">
        <v>0.5</v>
      </c>
      <c r="TA20" s="139">
        <v>0.5</v>
      </c>
      <c r="TB20" s="139">
        <v>0.5</v>
      </c>
      <c r="TC20" s="139">
        <v>0.5</v>
      </c>
      <c r="TD20" s="153"/>
      <c r="TE20" s="153"/>
      <c r="TF20" s="153"/>
      <c r="TG20" s="153"/>
      <c r="TH20" s="146"/>
      <c r="TI20" s="145"/>
      <c r="TJ20" s="146"/>
      <c r="TK20" s="131">
        <f>SUM(SI20:TJ20)</f>
      </c>
      <c r="TL20" s="134"/>
      <c r="TM20" s="135"/>
      <c r="TN20" s="152"/>
      <c r="TO20" s="139">
        <v>0.5</v>
      </c>
      <c r="TP20" s="139">
        <v>0.5</v>
      </c>
      <c r="TQ20" s="139">
        <v>0.5</v>
      </c>
      <c r="TR20" s="139">
        <v>0.5</v>
      </c>
      <c r="TS20" s="139">
        <v>0.5</v>
      </c>
      <c r="TT20" s="138">
        <v>0.5</v>
      </c>
      <c r="TU20" s="139">
        <v>0.5</v>
      </c>
      <c r="TV20" s="155"/>
      <c r="TW20" s="137"/>
      <c r="TX20" s="138">
        <v>0.5</v>
      </c>
      <c r="TY20" s="149">
        <v>0.5</v>
      </c>
      <c r="TZ20" s="139">
        <v>0.5</v>
      </c>
      <c r="UA20" s="139">
        <v>0.5</v>
      </c>
      <c r="UB20" s="139">
        <v>0.5</v>
      </c>
      <c r="UC20" s="139">
        <v>0.5</v>
      </c>
      <c r="UD20" s="139">
        <v>0.5</v>
      </c>
      <c r="UE20" s="139">
        <v>0.5</v>
      </c>
      <c r="UF20" s="139">
        <v>0.5</v>
      </c>
      <c r="UG20" s="153"/>
      <c r="UH20" s="153"/>
      <c r="UI20" s="153"/>
      <c r="UJ20" s="153"/>
      <c r="UK20" s="146"/>
      <c r="UL20" s="145"/>
      <c r="UM20" s="146"/>
      <c r="UN20" s="131">
        <f>SUM(TL20:UM20)</f>
      </c>
      <c r="UO20" s="121"/>
      <c r="UP20" s="122"/>
      <c r="UQ20" s="151"/>
      <c r="UR20" s="125"/>
      <c r="US20" s="125"/>
      <c r="UT20" s="125"/>
      <c r="UU20" s="125"/>
      <c r="UV20" s="125"/>
      <c r="UW20" s="124"/>
      <c r="UX20" s="125"/>
      <c r="UY20" s="126"/>
      <c r="UZ20" s="124"/>
      <c r="VA20" s="124"/>
      <c r="VB20" s="127"/>
      <c r="VC20" s="125"/>
      <c r="VD20" s="125"/>
      <c r="VE20" s="125"/>
      <c r="VF20" s="125"/>
      <c r="VG20" s="125"/>
      <c r="VH20" s="125"/>
      <c r="VI20" s="125"/>
      <c r="VJ20" s="125"/>
      <c r="VK20" s="125"/>
      <c r="VL20" s="125"/>
      <c r="VM20" s="125"/>
      <c r="VN20" s="128"/>
      <c r="VO20" s="129"/>
      <c r="VP20" s="128"/>
      <c r="VQ20" s="131">
        <f>SUM(UO20:VP20)</f>
      </c>
      <c r="VR20" s="121"/>
      <c r="VS20" s="122"/>
      <c r="VT20" s="151"/>
      <c r="VU20" s="125"/>
      <c r="VV20" s="125"/>
      <c r="VW20" s="125"/>
      <c r="VX20" s="125"/>
      <c r="VY20" s="125"/>
      <c r="VZ20" s="124"/>
      <c r="WA20" s="125"/>
      <c r="WB20" s="126"/>
      <c r="WC20" s="124"/>
      <c r="WD20" s="124"/>
      <c r="WE20" s="127"/>
      <c r="WF20" s="125"/>
      <c r="WG20" s="125"/>
      <c r="WH20" s="125"/>
      <c r="WI20" s="125"/>
      <c r="WJ20" s="125"/>
      <c r="WK20" s="125"/>
      <c r="WL20" s="125"/>
      <c r="WM20" s="125"/>
      <c r="WN20" s="125"/>
      <c r="WO20" s="125"/>
      <c r="WP20" s="125"/>
      <c r="WQ20" s="128"/>
      <c r="WR20" s="129"/>
      <c r="WS20" s="128"/>
      <c r="WT20" s="131">
        <f>SUM(VR20:WS20)</f>
      </c>
      <c r="WU20" s="150">
        <f>QB20+RE20+SH20+TK20+UN20+VQ20+WT20</f>
      </c>
      <c r="WV20" s="133">
        <f>(COUNTIF(OZ20:WT20,"H")+COUNTIF(OZ20:WT20,"S")+COUNTIF(OZ20:WT20,"L")+COUNTIF(OZ20:WT20,"E")+COUNTIF(OZ20:WT20,"C"))/2</f>
      </c>
      <c r="WW20" s="131">
        <f>WU20+WV20</f>
      </c>
      <c r="WX20" s="134"/>
      <c r="WY20" s="135"/>
      <c r="WZ20" s="152"/>
      <c r="XA20" s="153"/>
      <c r="XB20" s="153"/>
      <c r="XC20" s="153"/>
      <c r="XD20" s="153"/>
      <c r="XE20" s="153"/>
      <c r="XF20" s="138">
        <v>0.5</v>
      </c>
      <c r="XG20" s="139">
        <v>0.5</v>
      </c>
      <c r="XH20" s="140">
        <v>0.5</v>
      </c>
      <c r="XI20" s="138">
        <v>0.5</v>
      </c>
      <c r="XJ20" s="137"/>
      <c r="XK20" s="141"/>
      <c r="XL20" s="139">
        <v>0.5</v>
      </c>
      <c r="XM20" s="139">
        <v>0.5</v>
      </c>
      <c r="XN20" s="154">
        <v>0.5</v>
      </c>
      <c r="XO20" s="154">
        <v>0.5</v>
      </c>
      <c r="XP20" s="154">
        <v>0.5</v>
      </c>
      <c r="XQ20" s="154">
        <v>0.5</v>
      </c>
      <c r="XR20" s="154">
        <v>0.5</v>
      </c>
      <c r="XS20" s="154">
        <v>0.5</v>
      </c>
      <c r="XT20" s="154">
        <v>0.5</v>
      </c>
      <c r="XU20" s="154">
        <v>0.5</v>
      </c>
      <c r="XV20" s="154">
        <v>0.5</v>
      </c>
      <c r="XW20" s="144">
        <v>0.5</v>
      </c>
      <c r="XX20" s="145"/>
      <c r="XY20" s="146"/>
      <c r="XZ20" s="131">
        <f>SUM(WX20:XY20)</f>
      </c>
      <c r="YA20" s="134"/>
      <c r="YB20" s="135"/>
      <c r="YC20" s="152"/>
      <c r="YD20" s="153"/>
      <c r="YE20" s="153"/>
      <c r="YF20" s="153"/>
      <c r="YG20" s="153"/>
      <c r="YH20" s="153"/>
      <c r="YI20" s="138">
        <v>0.5</v>
      </c>
      <c r="YJ20" s="139">
        <v>0.5</v>
      </c>
      <c r="YK20" s="140">
        <v>0.5</v>
      </c>
      <c r="YL20" s="138">
        <v>0.5</v>
      </c>
      <c r="YM20" s="137"/>
      <c r="YN20" s="141"/>
      <c r="YO20" s="139">
        <v>0.5</v>
      </c>
      <c r="YP20" s="139">
        <v>0.5</v>
      </c>
      <c r="YQ20" s="154">
        <v>0.5</v>
      </c>
      <c r="YR20" s="154">
        <v>0.5</v>
      </c>
      <c r="YS20" s="154">
        <v>0.5</v>
      </c>
      <c r="YT20" s="154">
        <v>0.5</v>
      </c>
      <c r="YU20" s="154">
        <v>0.5</v>
      </c>
      <c r="YV20" s="154">
        <v>0.5</v>
      </c>
      <c r="YW20" s="154">
        <v>0.5</v>
      </c>
      <c r="YX20" s="154">
        <v>0.5</v>
      </c>
      <c r="YY20" s="154">
        <v>0.5</v>
      </c>
      <c r="YZ20" s="144">
        <v>0.5</v>
      </c>
      <c r="ZA20" s="145"/>
      <c r="ZB20" s="146"/>
      <c r="ZC20" s="131">
        <f>SUM(YA20:ZB20)</f>
      </c>
      <c r="ZD20" s="134"/>
      <c r="ZE20" s="135"/>
      <c r="ZF20" s="152"/>
      <c r="ZG20" s="153"/>
      <c r="ZH20" s="153"/>
      <c r="ZI20" s="153"/>
      <c r="ZJ20" s="153"/>
      <c r="ZK20" s="153"/>
      <c r="ZL20" s="138">
        <v>0.5</v>
      </c>
      <c r="ZM20" s="139">
        <v>0.5</v>
      </c>
      <c r="ZN20" s="140">
        <v>0.5</v>
      </c>
      <c r="ZO20" s="138">
        <v>0.5</v>
      </c>
      <c r="ZP20" s="137"/>
      <c r="ZQ20" s="141"/>
      <c r="ZR20" s="139">
        <v>0.5</v>
      </c>
      <c r="ZS20" s="139">
        <v>0.5</v>
      </c>
      <c r="ZT20" s="154">
        <v>0.5</v>
      </c>
      <c r="ZU20" s="154">
        <v>0.5</v>
      </c>
      <c r="ZV20" s="154">
        <v>0.5</v>
      </c>
      <c r="ZW20" s="154">
        <v>0.5</v>
      </c>
      <c r="ZX20" s="154">
        <v>0.5</v>
      </c>
      <c r="ZY20" s="154">
        <v>0.5</v>
      </c>
      <c r="ZZ20" s="154">
        <v>0.5</v>
      </c>
      <c r="AAA20" s="154">
        <v>0.5</v>
      </c>
      <c r="AAB20" s="154">
        <v>0.5</v>
      </c>
      <c r="AAC20" s="144">
        <v>0.5</v>
      </c>
      <c r="AAD20" s="145"/>
      <c r="AAE20" s="146"/>
      <c r="AAF20" s="131">
        <f>SUM(ZD20:AAE20)</f>
      </c>
      <c r="AAG20" s="134"/>
      <c r="AAH20" s="135"/>
      <c r="AAI20" s="152"/>
      <c r="AAJ20" s="153"/>
      <c r="AAK20" s="153"/>
      <c r="AAL20" s="153"/>
      <c r="AAM20" s="153"/>
      <c r="AAN20" s="153"/>
      <c r="AAO20" s="138">
        <v>0.5</v>
      </c>
      <c r="AAP20" s="139">
        <v>0.5</v>
      </c>
      <c r="AAQ20" s="140">
        <v>0.5</v>
      </c>
      <c r="AAR20" s="138">
        <v>0.5</v>
      </c>
      <c r="AAS20" s="137"/>
      <c r="AAT20" s="141"/>
      <c r="AAU20" s="139">
        <v>0.5</v>
      </c>
      <c r="AAV20" s="139">
        <v>0.5</v>
      </c>
      <c r="AAW20" s="154">
        <v>0.5</v>
      </c>
      <c r="AAX20" s="154">
        <v>0.5</v>
      </c>
      <c r="AAY20" s="154">
        <v>0.5</v>
      </c>
      <c r="AAZ20" s="154">
        <v>0.5</v>
      </c>
      <c r="ABA20" s="154">
        <v>0.5</v>
      </c>
      <c r="ABB20" s="154">
        <v>0.5</v>
      </c>
      <c r="ABC20" s="154">
        <v>0.5</v>
      </c>
      <c r="ABD20" s="154">
        <v>0.5</v>
      </c>
      <c r="ABE20" s="154">
        <v>0.5</v>
      </c>
      <c r="ABF20" s="144">
        <v>0.5</v>
      </c>
      <c r="ABG20" s="145"/>
      <c r="ABH20" s="146"/>
      <c r="ABI20" s="131">
        <f>SUM(AAG20:ABH20)</f>
      </c>
      <c r="ABJ20" s="134"/>
      <c r="ABK20" s="135"/>
      <c r="ABL20" s="152"/>
      <c r="ABM20" s="153"/>
      <c r="ABN20" s="153"/>
      <c r="ABO20" s="153"/>
      <c r="ABP20" s="153"/>
      <c r="ABQ20" s="153"/>
      <c r="ABR20" s="216">
        <v>0.5</v>
      </c>
      <c r="ABS20" s="217">
        <v>0.5</v>
      </c>
      <c r="ABT20" s="218">
        <v>0.5</v>
      </c>
      <c r="ABU20" s="216">
        <v>0.5</v>
      </c>
      <c r="ABV20" s="137"/>
      <c r="ABW20" s="141"/>
      <c r="ABX20" s="217">
        <v>0.5</v>
      </c>
      <c r="ABY20" s="217">
        <v>0.5</v>
      </c>
      <c r="ABZ20" s="227">
        <v>0.5</v>
      </c>
      <c r="ACA20" s="227">
        <v>0.5</v>
      </c>
      <c r="ACB20" s="227">
        <v>0.5</v>
      </c>
      <c r="ACC20" s="227">
        <v>0.5</v>
      </c>
      <c r="ACD20" s="227">
        <v>0.5</v>
      </c>
      <c r="ACE20" s="227">
        <v>0.5</v>
      </c>
      <c r="ACF20" s="227">
        <v>0.5</v>
      </c>
      <c r="ACG20" s="227">
        <v>0.5</v>
      </c>
      <c r="ACH20" s="227">
        <v>0.5</v>
      </c>
      <c r="ACI20" s="221">
        <v>0.5</v>
      </c>
      <c r="ACJ20" s="145"/>
      <c r="ACK20" s="146"/>
      <c r="ACL20" s="131">
        <f>SUM(ABJ20:ACK20)</f>
      </c>
      <c r="ACM20" s="121"/>
      <c r="ACN20" s="122"/>
      <c r="ACO20" s="151"/>
      <c r="ACP20" s="125"/>
      <c r="ACQ20" s="125"/>
      <c r="ACR20" s="125"/>
      <c r="ACS20" s="125"/>
      <c r="ACT20" s="125"/>
      <c r="ACU20" s="124"/>
      <c r="ACV20" s="125"/>
      <c r="ACW20" s="126"/>
      <c r="ACX20" s="124"/>
      <c r="ACY20" s="124"/>
      <c r="ACZ20" s="127"/>
      <c r="ADA20" s="125"/>
      <c r="ADB20" s="125"/>
      <c r="ADC20" s="125"/>
      <c r="ADD20" s="125"/>
      <c r="ADE20" s="125"/>
      <c r="ADF20" s="125"/>
      <c r="ADG20" s="125"/>
      <c r="ADH20" s="125"/>
      <c r="ADI20" s="125"/>
      <c r="ADJ20" s="125"/>
      <c r="ADK20" s="125"/>
      <c r="ADL20" s="128"/>
      <c r="ADM20" s="129"/>
      <c r="ADN20" s="128"/>
      <c r="ADO20" s="131">
        <f>SUM(ACM20:ADN20)</f>
      </c>
      <c r="ADP20" s="121"/>
      <c r="ADQ20" s="122"/>
      <c r="ADR20" s="151"/>
      <c r="ADS20" s="125"/>
      <c r="ADT20" s="125"/>
      <c r="ADU20" s="125"/>
      <c r="ADV20" s="125"/>
      <c r="ADW20" s="125"/>
      <c r="ADX20" s="124"/>
      <c r="ADY20" s="125"/>
      <c r="ADZ20" s="126"/>
      <c r="AEA20" s="124"/>
      <c r="AEB20" s="124"/>
      <c r="AEC20" s="127"/>
      <c r="AED20" s="125"/>
      <c r="AEE20" s="125"/>
      <c r="AEF20" s="125"/>
      <c r="AEG20" s="125"/>
      <c r="AEH20" s="125"/>
      <c r="AEI20" s="125"/>
      <c r="AEJ20" s="125"/>
      <c r="AEK20" s="125"/>
      <c r="AEL20" s="125"/>
      <c r="AEM20" s="125"/>
      <c r="AEN20" s="125"/>
      <c r="AEO20" s="128"/>
      <c r="AEP20" s="129"/>
      <c r="AEQ20" s="128"/>
      <c r="AER20" s="131">
        <f>SUM(ADP20:AEQ20)</f>
      </c>
      <c r="AES20" s="150">
        <f>XZ20+ZC20+AAF20+ABI20+ACL20+ADO20+AER20</f>
      </c>
      <c r="AET20" s="133">
        <f>(COUNTIF(WX20:AER20,"H")+COUNTIF(WX20:AER20,"S")+COUNTIF(WX20:AER20,"L")+COUNTIF(WX20:AER20,"E")+COUNTIF(WX20:AER20,"C"))/2</f>
      </c>
      <c r="AEU20" s="131">
        <f>AES20+AET20</f>
      </c>
      <c r="AEV20" s="134"/>
      <c r="AEW20" s="135"/>
      <c r="AEX20" s="152"/>
      <c r="AEY20" s="139">
        <v>0.5</v>
      </c>
      <c r="AEZ20" s="139">
        <v>0.5</v>
      </c>
      <c r="AFA20" s="139">
        <v>0.5</v>
      </c>
      <c r="AFB20" s="139">
        <v>0.5</v>
      </c>
      <c r="AFC20" s="139">
        <v>0.5</v>
      </c>
      <c r="AFD20" s="138">
        <v>0.5</v>
      </c>
      <c r="AFE20" s="139">
        <v>0.5</v>
      </c>
      <c r="AFF20" s="155"/>
      <c r="AFG20" s="137"/>
      <c r="AFH20" s="138">
        <v>0.5</v>
      </c>
      <c r="AFI20" s="149">
        <v>0.5</v>
      </c>
      <c r="AFJ20" s="139">
        <v>0.5</v>
      </c>
      <c r="AFK20" s="139">
        <v>0.5</v>
      </c>
      <c r="AFL20" s="139">
        <v>0.5</v>
      </c>
      <c r="AFM20" s="139">
        <v>0.5</v>
      </c>
      <c r="AFN20" s="139">
        <v>0.5</v>
      </c>
      <c r="AFO20" s="139">
        <v>0.5</v>
      </c>
      <c r="AFP20" s="139">
        <v>0.5</v>
      </c>
      <c r="AFQ20" s="153"/>
      <c r="AFR20" s="153"/>
      <c r="AFS20" s="153"/>
      <c r="AFT20" s="153"/>
      <c r="AFU20" s="146"/>
      <c r="AFV20" s="145"/>
      <c r="AFW20" s="146"/>
      <c r="AFX20" s="131">
        <f>SUM(AEV20:AFW20)</f>
      </c>
      <c r="AFY20" s="134"/>
      <c r="AFZ20" s="135"/>
      <c r="AGA20" s="152"/>
      <c r="AGB20" s="139">
        <v>0.5</v>
      </c>
      <c r="AGC20" s="139">
        <v>0.5</v>
      </c>
      <c r="AGD20" s="139">
        <v>0.5</v>
      </c>
      <c r="AGE20" s="139">
        <v>0.5</v>
      </c>
      <c r="AGF20" s="139">
        <v>0.5</v>
      </c>
      <c r="AGG20" s="138">
        <v>0.5</v>
      </c>
      <c r="AGH20" s="139">
        <v>0.5</v>
      </c>
      <c r="AGI20" s="155"/>
      <c r="AGJ20" s="137"/>
      <c r="AGK20" s="138">
        <v>0.5</v>
      </c>
      <c r="AGL20" s="149">
        <v>0.5</v>
      </c>
      <c r="AGM20" s="139">
        <v>0.5</v>
      </c>
      <c r="AGN20" s="139">
        <v>0.5</v>
      </c>
      <c r="AGO20" s="139">
        <v>0.5</v>
      </c>
      <c r="AGP20" s="139">
        <v>0.5</v>
      </c>
      <c r="AGQ20" s="139">
        <v>0.5</v>
      </c>
      <c r="AGR20" s="139">
        <v>0.5</v>
      </c>
      <c r="AGS20" s="139">
        <v>0.5</v>
      </c>
      <c r="AGT20" s="153"/>
      <c r="AGU20" s="153"/>
      <c r="AGV20" s="153"/>
      <c r="AGW20" s="153"/>
      <c r="AGX20" s="146"/>
      <c r="AGY20" s="145"/>
      <c r="AGZ20" s="146"/>
      <c r="AHA20" s="131">
        <f>SUM(AFY20:AGZ20)</f>
      </c>
      <c r="AHB20" s="134"/>
      <c r="AHC20" s="135"/>
      <c r="AHD20" s="152"/>
      <c r="AHE20" s="139">
        <v>0.5</v>
      </c>
      <c r="AHF20" s="139">
        <v>0.5</v>
      </c>
      <c r="AHG20" s="139">
        <v>0.5</v>
      </c>
      <c r="AHH20" s="139">
        <v>0.5</v>
      </c>
      <c r="AHI20" s="139">
        <v>0.5</v>
      </c>
      <c r="AHJ20" s="138">
        <v>0.5</v>
      </c>
      <c r="AHK20" s="139">
        <v>0.5</v>
      </c>
      <c r="AHL20" s="155"/>
      <c r="AHM20" s="137"/>
      <c r="AHN20" s="138">
        <v>0.5</v>
      </c>
      <c r="AHO20" s="149">
        <v>0.5</v>
      </c>
      <c r="AHP20" s="139">
        <v>0.5</v>
      </c>
      <c r="AHQ20" s="139">
        <v>0.5</v>
      </c>
      <c r="AHR20" s="139">
        <v>0.5</v>
      </c>
      <c r="AHS20" s="139">
        <v>0.5</v>
      </c>
      <c r="AHT20" s="139">
        <v>0.5</v>
      </c>
      <c r="AHU20" s="139">
        <v>0.5</v>
      </c>
      <c r="AHV20" s="139">
        <v>0.5</v>
      </c>
      <c r="AHW20" s="153"/>
      <c r="AHX20" s="153"/>
      <c r="AHY20" s="153"/>
      <c r="AHZ20" s="153"/>
      <c r="AIA20" s="146"/>
      <c r="AIB20" s="145"/>
      <c r="AIC20" s="146"/>
      <c r="AID20" s="131">
        <f>SUM(AHB20:AIC20)</f>
      </c>
      <c r="AIE20" s="134"/>
      <c r="AIF20" s="135"/>
      <c r="AIG20" s="152"/>
      <c r="AIH20" s="139">
        <v>0.5</v>
      </c>
      <c r="AII20" s="139">
        <v>0.5</v>
      </c>
      <c r="AIJ20" s="139">
        <v>0.5</v>
      </c>
      <c r="AIK20" s="139">
        <v>0.5</v>
      </c>
      <c r="AIL20" s="139">
        <v>0.5</v>
      </c>
      <c r="AIM20" s="138">
        <v>0.5</v>
      </c>
      <c r="AIN20" s="139">
        <v>0.5</v>
      </c>
      <c r="AIO20" s="155"/>
      <c r="AIP20" s="137"/>
      <c r="AIQ20" s="138">
        <v>0.5</v>
      </c>
      <c r="AIR20" s="149">
        <v>0.5</v>
      </c>
      <c r="AIS20" s="139">
        <v>0.5</v>
      </c>
      <c r="AIT20" s="139">
        <v>0.5</v>
      </c>
      <c r="AIU20" s="139">
        <v>0.5</v>
      </c>
      <c r="AIV20" s="139">
        <v>0.5</v>
      </c>
      <c r="AIW20" s="139">
        <v>0.5</v>
      </c>
      <c r="AIX20" s="139">
        <v>0.5</v>
      </c>
      <c r="AIY20" s="139">
        <v>0.5</v>
      </c>
      <c r="AIZ20" s="153"/>
      <c r="AJA20" s="153"/>
      <c r="AJB20" s="153"/>
      <c r="AJC20" s="153"/>
      <c r="AJD20" s="146"/>
      <c r="AJE20" s="145"/>
      <c r="AJF20" s="146"/>
      <c r="AJG20" s="131">
        <f>SUM(AIE20:AJF20)</f>
      </c>
      <c r="AJH20" s="134"/>
      <c r="AJI20" s="135"/>
      <c r="AJJ20" s="152"/>
      <c r="AJK20" s="217">
        <v>0.5</v>
      </c>
      <c r="AJL20" s="217">
        <v>0.5</v>
      </c>
      <c r="AJM20" s="217">
        <v>0.5</v>
      </c>
      <c r="AJN20" s="217">
        <v>0.5</v>
      </c>
      <c r="AJO20" s="217">
        <v>0.5</v>
      </c>
      <c r="AJP20" s="216">
        <v>0.5</v>
      </c>
      <c r="AJQ20" s="217">
        <v>0.5</v>
      </c>
      <c r="AJR20" s="155"/>
      <c r="AJS20" s="137"/>
      <c r="AJT20" s="216">
        <v>0.5</v>
      </c>
      <c r="AJU20" s="226">
        <v>0.5</v>
      </c>
      <c r="AJV20" s="217">
        <v>0.5</v>
      </c>
      <c r="AJW20" s="217">
        <v>0.5</v>
      </c>
      <c r="AJX20" s="217">
        <v>0.5</v>
      </c>
      <c r="AJY20" s="217">
        <v>0.5</v>
      </c>
      <c r="AJZ20" s="217">
        <v>0.5</v>
      </c>
      <c r="AKA20" s="217">
        <v>0.5</v>
      </c>
      <c r="AKB20" s="217">
        <v>0.5</v>
      </c>
      <c r="AKC20" s="153"/>
      <c r="AKD20" s="153"/>
      <c r="AKE20" s="153"/>
      <c r="AKF20" s="153"/>
      <c r="AKG20" s="146"/>
      <c r="AKH20" s="145"/>
      <c r="AKI20" s="146"/>
      <c r="AKJ20" s="131">
        <f>SUM(AJH20:AKI20)</f>
      </c>
      <c r="AKK20" s="121"/>
      <c r="AKL20" s="122"/>
      <c r="AKM20" s="151"/>
      <c r="AKN20" s="125"/>
      <c r="AKO20" s="125"/>
      <c r="AKP20" s="125"/>
      <c r="AKQ20" s="125"/>
      <c r="AKR20" s="125"/>
      <c r="AKS20" s="124"/>
      <c r="AKT20" s="125"/>
      <c r="AKU20" s="126"/>
      <c r="AKV20" s="124"/>
      <c r="AKW20" s="124"/>
      <c r="AKX20" s="127"/>
      <c r="AKY20" s="125"/>
      <c r="AKZ20" s="125"/>
      <c r="ALA20" s="125"/>
      <c r="ALB20" s="125"/>
      <c r="ALC20" s="125"/>
      <c r="ALD20" s="125"/>
      <c r="ALE20" s="125"/>
      <c r="ALF20" s="125"/>
      <c r="ALG20" s="125"/>
      <c r="ALH20" s="125"/>
      <c r="ALI20" s="125"/>
      <c r="ALJ20" s="128"/>
      <c r="ALK20" s="129"/>
      <c r="ALL20" s="128"/>
      <c r="ALM20" s="131">
        <f>SUM(AKK20:ALL20)</f>
      </c>
      <c r="ALN20" s="121"/>
      <c r="ALO20" s="122"/>
      <c r="ALP20" s="151"/>
      <c r="ALQ20" s="125"/>
      <c r="ALR20" s="125"/>
      <c r="ALS20" s="125"/>
      <c r="ALT20" s="125"/>
      <c r="ALU20" s="125"/>
      <c r="ALV20" s="124"/>
      <c r="ALW20" s="125"/>
      <c r="ALX20" s="126"/>
      <c r="ALY20" s="124"/>
      <c r="ALZ20" s="124"/>
      <c r="AMA20" s="127"/>
      <c r="AMB20" s="125"/>
      <c r="AMC20" s="125"/>
      <c r="AMD20" s="125"/>
      <c r="AME20" s="125"/>
      <c r="AMF20" s="125"/>
      <c r="AMG20" s="125"/>
      <c r="AMH20" s="125"/>
      <c r="AMI20" s="125"/>
      <c r="AMJ20" s="125"/>
      <c r="AMK20" s="125"/>
      <c r="AML20" s="125"/>
      <c r="AMM20" s="128"/>
      <c r="AMN20" s="129"/>
      <c r="AMO20" s="128"/>
      <c r="AMP20" s="131">
        <f>SUM(ALN20:AMO20)</f>
      </c>
      <c r="AMQ20" s="150">
        <f>AFX20+AHA20+AID20+AJG20+AKJ20+ALM20+AMP20</f>
      </c>
      <c r="AMR20" s="133">
        <f>(COUNTIF(AEV20:AMP20,"H")+COUNTIF(AEV20:AMP20,"S")+COUNTIF(AEV20:AMP20,"L")+COUNTIF(AEV20:AMP20,"E")+COUNTIF(AEV20:AMP20,"C"))/2</f>
      </c>
      <c r="AMS20" s="131">
        <f>AMQ20+AMR20</f>
      </c>
      <c r="AMT20" s="4"/>
      <c r="AMU20" s="4"/>
      <c r="AMV20" s="4"/>
      <c r="AMW20" s="4"/>
      <c r="AMX20" s="4"/>
      <c r="AMY20" s="4"/>
      <c r="AMZ20" s="4"/>
      <c r="ANA20" s="4"/>
      <c r="ANB20" s="4"/>
      <c r="ANC20" s="4"/>
      <c r="AND20" s="4"/>
      <c r="ANE20" s="4"/>
      <c r="ANF20" s="4"/>
      <c r="ANG20" s="4"/>
      <c r="ANH20" s="4"/>
      <c r="ANI20" s="4"/>
      <c r="ANJ20" s="13"/>
      <c r="ANK20" s="13"/>
      <c r="ANL20" s="4"/>
      <c r="ANM20" s="4"/>
      <c r="ANN20" s="4"/>
      <c r="ANO20" s="4"/>
      <c r="ANP20" s="4"/>
      <c r="ANQ20" s="4"/>
      <c r="ANR20" s="4"/>
      <c r="ANS20" s="4"/>
      <c r="ANT20" s="4"/>
      <c r="ANU20" s="4"/>
      <c r="ANV20" s="4"/>
      <c r="ANW20" s="4"/>
      <c r="ANX20" s="4"/>
      <c r="ANY20" s="4"/>
      <c r="ANZ20" s="4"/>
      <c r="AOA20" s="4"/>
      <c r="AOB20" s="4"/>
      <c r="AOC20" s="4"/>
      <c r="AOD20" s="4"/>
      <c r="AOE20" s="4"/>
      <c r="AOF20" s="4"/>
      <c r="AOG20" s="4"/>
      <c r="AOH20" s="4"/>
      <c r="AOI20" s="4"/>
      <c r="AOJ20" s="4"/>
      <c r="AOK20" s="4"/>
      <c r="AOL20" s="4"/>
      <c r="AOM20" s="4"/>
      <c r="AON20" s="4"/>
      <c r="AOO20" s="4"/>
      <c r="AOP20" s="4"/>
      <c r="AOQ20" s="4"/>
      <c r="AOR20" s="4"/>
      <c r="AOS20" s="4"/>
      <c r="AOT20" s="4"/>
      <c r="AOU20" s="4"/>
      <c r="AOV20" s="4"/>
      <c r="AOW20" s="4"/>
      <c r="AOX20" s="4"/>
      <c r="AOY20" s="4"/>
      <c r="AOZ20" s="4"/>
      <c r="APA20" s="4"/>
      <c r="APB20" s="4"/>
      <c r="APC20" s="4"/>
      <c r="APD20" s="4"/>
      <c r="APE20" s="4"/>
      <c r="APF20" s="4"/>
      <c r="APG20" s="4"/>
      <c r="APH20" s="4"/>
      <c r="API20" s="4"/>
      <c r="APJ20" s="4"/>
      <c r="APK20" s="4"/>
      <c r="APL20" s="4"/>
      <c r="APM20" s="4"/>
      <c r="APN20" s="4"/>
      <c r="APO20" s="4"/>
      <c r="APP20" s="4"/>
      <c r="APQ20" s="4"/>
      <c r="APR20" s="4"/>
      <c r="APS20" s="4"/>
      <c r="APT20" s="4"/>
      <c r="APU20" s="4"/>
      <c r="APV20" s="4"/>
      <c r="APW20" s="4"/>
      <c r="APX20" s="4"/>
      <c r="APY20" s="4"/>
      <c r="APZ20" s="4"/>
      <c r="AQA20" s="4"/>
      <c r="AQB20" s="4"/>
      <c r="AQC20" s="4"/>
      <c r="AQD20" s="4"/>
      <c r="AQE20" s="4"/>
      <c r="AQF20" s="4"/>
      <c r="AQG20" s="4"/>
      <c r="AQH20" s="4"/>
      <c r="AQI20" s="4"/>
      <c r="AQJ20" s="4"/>
      <c r="AQK20" s="4"/>
      <c r="AQL20" s="4"/>
      <c r="AQM20" s="4"/>
      <c r="AQN20" s="4"/>
      <c r="AQO20" s="4"/>
      <c r="AQP20" s="4"/>
      <c r="AQQ20" s="4"/>
      <c r="AQR20" s="4"/>
      <c r="AQS20" s="4"/>
      <c r="AQT20" s="4"/>
      <c r="AQU20" s="4"/>
      <c r="AQV20" s="4"/>
      <c r="AQW20" s="4"/>
      <c r="AQX20" s="4"/>
      <c r="AQY20" s="4"/>
      <c r="AQZ20" s="4"/>
      <c r="ARA20" s="4"/>
      <c r="ARB20" s="4"/>
      <c r="ARC20" s="4"/>
      <c r="ARD20" s="4"/>
      <c r="ARE20" s="4"/>
      <c r="ARF20" s="4"/>
      <c r="ARG20" s="4"/>
      <c r="ARH20" s="4"/>
      <c r="ARI20" s="4"/>
      <c r="ARJ20" s="4"/>
      <c r="ARK20" s="4"/>
      <c r="ARL20" s="4"/>
      <c r="ARM20" s="4"/>
      <c r="ARN20" s="4"/>
      <c r="ARO20" s="4"/>
      <c r="ARP20" s="4"/>
      <c r="ARQ20" s="4"/>
      <c r="ARR20" s="4"/>
      <c r="ARS20" s="4"/>
      <c r="ART20" s="4"/>
      <c r="ARU20" s="4"/>
      <c r="ARV20" s="4"/>
      <c r="ARW20" s="4"/>
      <c r="ARX20" s="4"/>
      <c r="ARY20" s="4"/>
      <c r="ARZ20" s="4"/>
      <c r="ASA20" s="4"/>
      <c r="ASB20" s="4"/>
      <c r="ASC20" s="4"/>
      <c r="ASD20" s="4"/>
      <c r="ASE20" s="4"/>
      <c r="ASF20" s="4"/>
      <c r="ASG20" s="4"/>
      <c r="ASH20" s="4"/>
      <c r="ASI20" s="4"/>
      <c r="ASJ20" s="4"/>
      <c r="ASK20" s="4"/>
      <c r="ASL20" s="4"/>
      <c r="ASM20" s="4"/>
      <c r="ASN20" s="4"/>
      <c r="ASO20" s="4"/>
      <c r="ASP20" s="4"/>
      <c r="ASQ20" s="4"/>
      <c r="ASR20" s="4"/>
      <c r="ASS20" s="4"/>
      <c r="AST20" s="4"/>
      <c r="ASU20" s="4"/>
    </row>
    <row r="21" ht="15.75" customHeight="1" spans="1:1191" x14ac:dyDescent="0.25">
      <c r="A21" s="118"/>
      <c r="B21" s="119" t="s">
        <v>61</v>
      </c>
      <c r="C21" s="120" t="s">
        <v>52</v>
      </c>
      <c r="D21" s="121"/>
      <c r="E21" s="122"/>
      <c r="F21" s="123"/>
      <c r="G21" s="124"/>
      <c r="H21" s="124"/>
      <c r="I21" s="124"/>
      <c r="J21" s="124"/>
      <c r="K21" s="124"/>
      <c r="L21" s="124"/>
      <c r="M21" s="125"/>
      <c r="N21" s="126"/>
      <c r="O21" s="124"/>
      <c r="P21" s="124"/>
      <c r="Q21" s="127"/>
      <c r="R21" s="123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8"/>
      <c r="AD21" s="129"/>
      <c r="AE21" s="128"/>
      <c r="AF21" s="130">
        <f>SUM(D21:AE21)</f>
      </c>
      <c r="AG21" s="121"/>
      <c r="AH21" s="122"/>
      <c r="AI21" s="123"/>
      <c r="AJ21" s="124"/>
      <c r="AK21" s="124"/>
      <c r="AL21" s="124"/>
      <c r="AM21" s="124"/>
      <c r="AN21" s="124"/>
      <c r="AO21" s="124"/>
      <c r="AP21" s="125"/>
      <c r="AQ21" s="126"/>
      <c r="AR21" s="124"/>
      <c r="AS21" s="124"/>
      <c r="AT21" s="127"/>
      <c r="AU21" s="123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8"/>
      <c r="BG21" s="129"/>
      <c r="BH21" s="128"/>
      <c r="BI21" s="130">
        <f>SUM(AG21:BH21)</f>
      </c>
      <c r="BJ21" s="121"/>
      <c r="BK21" s="122"/>
      <c r="BL21" s="123"/>
      <c r="BM21" s="124"/>
      <c r="BN21" s="124"/>
      <c r="BO21" s="124"/>
      <c r="BP21" s="124"/>
      <c r="BQ21" s="124"/>
      <c r="BR21" s="124"/>
      <c r="BS21" s="125"/>
      <c r="BT21" s="126"/>
      <c r="BU21" s="124"/>
      <c r="BV21" s="124"/>
      <c r="BW21" s="127"/>
      <c r="BX21" s="123"/>
      <c r="BY21" s="124"/>
      <c r="BZ21" s="124"/>
      <c r="CA21" s="124"/>
      <c r="CB21" s="124"/>
      <c r="CC21" s="124"/>
      <c r="CD21" s="124"/>
      <c r="CE21" s="124"/>
      <c r="CF21" s="124"/>
      <c r="CG21" s="124"/>
      <c r="CH21" s="124"/>
      <c r="CI21" s="128"/>
      <c r="CJ21" s="129"/>
      <c r="CK21" s="128"/>
      <c r="CL21" s="130">
        <f>SUM(BJ21:CK21)</f>
      </c>
      <c r="CM21" s="121"/>
      <c r="CN21" s="122"/>
      <c r="CO21" s="123"/>
      <c r="CP21" s="124"/>
      <c r="CQ21" s="124"/>
      <c r="CR21" s="124"/>
      <c r="CS21" s="124"/>
      <c r="CT21" s="124"/>
      <c r="CU21" s="124"/>
      <c r="CV21" s="125"/>
      <c r="CW21" s="126"/>
      <c r="CX21" s="124"/>
      <c r="CY21" s="124"/>
      <c r="CZ21" s="127"/>
      <c r="DA21" s="123"/>
      <c r="DB21" s="124"/>
      <c r="DC21" s="124"/>
      <c r="DD21" s="124"/>
      <c r="DE21" s="124"/>
      <c r="DF21" s="124"/>
      <c r="DG21" s="124"/>
      <c r="DH21" s="124"/>
      <c r="DI21" s="124"/>
      <c r="DJ21" s="124"/>
      <c r="DK21" s="124"/>
      <c r="DL21" s="128"/>
      <c r="DM21" s="129"/>
      <c r="DN21" s="128"/>
      <c r="DO21" s="130">
        <f>SUM(CM21:DN21)</f>
      </c>
      <c r="DP21" s="121"/>
      <c r="DQ21" s="122"/>
      <c r="DR21" s="123"/>
      <c r="DS21" s="124"/>
      <c r="DT21" s="124"/>
      <c r="DU21" s="124"/>
      <c r="DV21" s="124"/>
      <c r="DW21" s="124"/>
      <c r="DX21" s="124"/>
      <c r="DY21" s="125"/>
      <c r="DZ21" s="126"/>
      <c r="EA21" s="124"/>
      <c r="EB21" s="124"/>
      <c r="EC21" s="127"/>
      <c r="ED21" s="123"/>
      <c r="EE21" s="124"/>
      <c r="EF21" s="124"/>
      <c r="EG21" s="124"/>
      <c r="EH21" s="124"/>
      <c r="EI21" s="124"/>
      <c r="EJ21" s="124"/>
      <c r="EK21" s="124"/>
      <c r="EL21" s="124"/>
      <c r="EM21" s="124"/>
      <c r="EN21" s="124"/>
      <c r="EO21" s="128"/>
      <c r="EP21" s="129"/>
      <c r="EQ21" s="128"/>
      <c r="ER21" s="130">
        <f>SUM(DP21:EQ21)</f>
      </c>
      <c r="ES21" s="121"/>
      <c r="ET21" s="122"/>
      <c r="EU21" s="123"/>
      <c r="EV21" s="124"/>
      <c r="EW21" s="124"/>
      <c r="EX21" s="124"/>
      <c r="EY21" s="124"/>
      <c r="EZ21" s="124"/>
      <c r="FA21" s="124"/>
      <c r="FB21" s="125"/>
      <c r="FC21" s="126"/>
      <c r="FD21" s="124"/>
      <c r="FE21" s="124"/>
      <c r="FF21" s="127"/>
      <c r="FG21" s="123"/>
      <c r="FH21" s="124"/>
      <c r="FI21" s="124"/>
      <c r="FJ21" s="124"/>
      <c r="FK21" s="124"/>
      <c r="FL21" s="124"/>
      <c r="FM21" s="124"/>
      <c r="FN21" s="124"/>
      <c r="FO21" s="124"/>
      <c r="FP21" s="124"/>
      <c r="FQ21" s="124"/>
      <c r="FR21" s="128"/>
      <c r="FS21" s="129"/>
      <c r="FT21" s="128"/>
      <c r="FU21" s="131">
        <f>SUM(ES21:FT21)</f>
      </c>
      <c r="FV21" s="121"/>
      <c r="FW21" s="122"/>
      <c r="FX21" s="123"/>
      <c r="FY21" s="124"/>
      <c r="FZ21" s="124"/>
      <c r="GA21" s="124"/>
      <c r="GB21" s="124"/>
      <c r="GC21" s="124"/>
      <c r="GD21" s="124"/>
      <c r="GE21" s="125"/>
      <c r="GF21" s="126"/>
      <c r="GG21" s="124"/>
      <c r="GH21" s="124"/>
      <c r="GI21" s="127"/>
      <c r="GJ21" s="123"/>
      <c r="GK21" s="124"/>
      <c r="GL21" s="124"/>
      <c r="GM21" s="124"/>
      <c r="GN21" s="124"/>
      <c r="GO21" s="124"/>
      <c r="GP21" s="124"/>
      <c r="GQ21" s="124"/>
      <c r="GR21" s="124"/>
      <c r="GS21" s="124"/>
      <c r="GT21" s="124"/>
      <c r="GU21" s="128"/>
      <c r="GV21" s="129"/>
      <c r="GW21" s="128"/>
      <c r="GX21" s="131">
        <f>SUM(FV21:GW21)</f>
      </c>
      <c r="GY21" s="132">
        <f>AF21+BI21+CL21+DO21+ER21+FU21+GX21</f>
      </c>
      <c r="GZ21" s="133">
        <f>(COUNTIF(D21:GX21,"H")+COUNTIF(D21:GX21,"S")+COUNTIF(D21:GX21,"L")+COUNTIF(D21:GX21,"E")+COUNTIF(D21:GX21,"C"))/2</f>
      </c>
      <c r="HA21" s="130">
        <f>GY21+GZ21</f>
      </c>
      <c r="HB21" s="134"/>
      <c r="HC21" s="135"/>
      <c r="HD21" s="136"/>
      <c r="HE21" s="137"/>
      <c r="HF21" s="137"/>
      <c r="HG21" s="137"/>
      <c r="HH21" s="143">
        <v>0.5</v>
      </c>
      <c r="HI21" s="143">
        <v>0.5</v>
      </c>
      <c r="HJ21" s="138">
        <v>0.5</v>
      </c>
      <c r="HK21" s="139">
        <v>0.5</v>
      </c>
      <c r="HL21" s="140">
        <v>0.5</v>
      </c>
      <c r="HM21" s="138">
        <v>0.5</v>
      </c>
      <c r="HN21" s="137"/>
      <c r="HO21" s="141"/>
      <c r="HP21" s="142">
        <v>0.5</v>
      </c>
      <c r="HQ21" s="138">
        <v>0.5</v>
      </c>
      <c r="HR21" s="143">
        <v>0.5</v>
      </c>
      <c r="HS21" s="143">
        <v>0.5</v>
      </c>
      <c r="HT21" s="143">
        <v>0.5</v>
      </c>
      <c r="HU21" s="143">
        <v>0.5</v>
      </c>
      <c r="HV21" s="143">
        <v>0.5</v>
      </c>
      <c r="HW21" s="143">
        <v>0.5</v>
      </c>
      <c r="HX21" s="143">
        <v>0.5</v>
      </c>
      <c r="HY21" s="143">
        <v>0.5</v>
      </c>
      <c r="HZ21" s="137"/>
      <c r="IA21" s="146"/>
      <c r="IB21" s="145"/>
      <c r="IC21" s="146"/>
      <c r="ID21" s="131">
        <f>SUM(HB21:IC21)</f>
      </c>
      <c r="IE21" s="134"/>
      <c r="IF21" s="135"/>
      <c r="IG21" s="136"/>
      <c r="IH21" s="137"/>
      <c r="II21" s="137"/>
      <c r="IJ21" s="137"/>
      <c r="IK21" s="143">
        <v>0.5</v>
      </c>
      <c r="IL21" s="143">
        <v>0.5</v>
      </c>
      <c r="IM21" s="138">
        <v>0.5</v>
      </c>
      <c r="IN21" s="139">
        <v>0.5</v>
      </c>
      <c r="IO21" s="140">
        <v>0.5</v>
      </c>
      <c r="IP21" s="138">
        <v>0.5</v>
      </c>
      <c r="IQ21" s="137"/>
      <c r="IR21" s="141"/>
      <c r="IS21" s="142">
        <v>0.5</v>
      </c>
      <c r="IT21" s="138">
        <v>0.5</v>
      </c>
      <c r="IU21" s="143">
        <v>0.5</v>
      </c>
      <c r="IV21" s="143">
        <v>0.5</v>
      </c>
      <c r="IW21" s="143">
        <v>0.5</v>
      </c>
      <c r="IX21" s="143">
        <v>0.5</v>
      </c>
      <c r="IY21" s="143">
        <v>0.5</v>
      </c>
      <c r="IZ21" s="143">
        <v>0.5</v>
      </c>
      <c r="JA21" s="143">
        <v>0.5</v>
      </c>
      <c r="JB21" s="143">
        <v>0.5</v>
      </c>
      <c r="JC21" s="137"/>
      <c r="JD21" s="146"/>
      <c r="JE21" s="145"/>
      <c r="JF21" s="146"/>
      <c r="JG21" s="131">
        <f>SUM(IE21:JF21)</f>
      </c>
      <c r="JH21" s="134"/>
      <c r="JI21" s="135"/>
      <c r="JJ21" s="136"/>
      <c r="JK21" s="137"/>
      <c r="JL21" s="137"/>
      <c r="JM21" s="137"/>
      <c r="JN21" s="143">
        <v>0.5</v>
      </c>
      <c r="JO21" s="143">
        <v>0.5</v>
      </c>
      <c r="JP21" s="138">
        <v>0.5</v>
      </c>
      <c r="JQ21" s="139">
        <v>0.5</v>
      </c>
      <c r="JR21" s="140">
        <v>0.5</v>
      </c>
      <c r="JS21" s="138">
        <v>0.5</v>
      </c>
      <c r="JT21" s="137"/>
      <c r="JU21" s="141"/>
      <c r="JV21" s="142">
        <v>0.5</v>
      </c>
      <c r="JW21" s="138">
        <v>0.5</v>
      </c>
      <c r="JX21" s="143">
        <v>0.5</v>
      </c>
      <c r="JY21" s="143">
        <v>0.5</v>
      </c>
      <c r="JZ21" s="143">
        <v>0.5</v>
      </c>
      <c r="KA21" s="143">
        <v>0.5</v>
      </c>
      <c r="KB21" s="143">
        <v>0.5</v>
      </c>
      <c r="KC21" s="143">
        <v>0.5</v>
      </c>
      <c r="KD21" s="143">
        <v>0.5</v>
      </c>
      <c r="KE21" s="143">
        <v>0.5</v>
      </c>
      <c r="KF21" s="137"/>
      <c r="KG21" s="146"/>
      <c r="KH21" s="145"/>
      <c r="KI21" s="146"/>
      <c r="KJ21" s="131">
        <f>SUM(JH21:KI21)</f>
      </c>
      <c r="KK21" s="134"/>
      <c r="KL21" s="135"/>
      <c r="KM21" s="136"/>
      <c r="KN21" s="137"/>
      <c r="KO21" s="137"/>
      <c r="KP21" s="137"/>
      <c r="KQ21" s="143">
        <v>0.5</v>
      </c>
      <c r="KR21" s="143">
        <v>0.5</v>
      </c>
      <c r="KS21" s="138">
        <v>0.5</v>
      </c>
      <c r="KT21" s="139">
        <v>0.5</v>
      </c>
      <c r="KU21" s="140">
        <v>0.5</v>
      </c>
      <c r="KV21" s="138">
        <v>0.5</v>
      </c>
      <c r="KW21" s="137"/>
      <c r="KX21" s="141"/>
      <c r="KY21" s="142">
        <v>0.5</v>
      </c>
      <c r="KZ21" s="138">
        <v>0.5</v>
      </c>
      <c r="LA21" s="143">
        <v>0.5</v>
      </c>
      <c r="LB21" s="143">
        <v>0.5</v>
      </c>
      <c r="LC21" s="143">
        <v>0.5</v>
      </c>
      <c r="LD21" s="143">
        <v>0.5</v>
      </c>
      <c r="LE21" s="143">
        <v>0.5</v>
      </c>
      <c r="LF21" s="143">
        <v>0.5</v>
      </c>
      <c r="LG21" s="143">
        <v>0.5</v>
      </c>
      <c r="LH21" s="143">
        <v>0.5</v>
      </c>
      <c r="LI21" s="137"/>
      <c r="LJ21" s="146"/>
      <c r="LK21" s="145"/>
      <c r="LL21" s="146"/>
      <c r="LM21" s="131">
        <f>SUM(KK21:LL21)</f>
      </c>
      <c r="LN21" s="134"/>
      <c r="LO21" s="135"/>
      <c r="LP21" s="136"/>
      <c r="LQ21" s="137"/>
      <c r="LR21" s="137"/>
      <c r="LS21" s="137"/>
      <c r="LT21" s="143">
        <v>0.5</v>
      </c>
      <c r="LU21" s="143">
        <v>0.5</v>
      </c>
      <c r="LV21" s="138">
        <v>0.5</v>
      </c>
      <c r="LW21" s="139">
        <v>0.5</v>
      </c>
      <c r="LX21" s="140">
        <v>0.5</v>
      </c>
      <c r="LY21" s="138">
        <v>0.5</v>
      </c>
      <c r="LZ21" s="137"/>
      <c r="MA21" s="141"/>
      <c r="MB21" s="142">
        <v>0.5</v>
      </c>
      <c r="MC21" s="138">
        <v>0.5</v>
      </c>
      <c r="MD21" s="143">
        <v>0.5</v>
      </c>
      <c r="ME21" s="143">
        <v>0.5</v>
      </c>
      <c r="MF21" s="143">
        <v>0.5</v>
      </c>
      <c r="MG21" s="143">
        <v>0.5</v>
      </c>
      <c r="MH21" s="143">
        <v>0.5</v>
      </c>
      <c r="MI21" s="143">
        <v>0.5</v>
      </c>
      <c r="MJ21" s="143">
        <v>0.5</v>
      </c>
      <c r="MK21" s="143">
        <v>0.5</v>
      </c>
      <c r="ML21" s="137"/>
      <c r="MM21" s="146"/>
      <c r="MN21" s="145"/>
      <c r="MO21" s="146"/>
      <c r="MP21" s="131">
        <f>SUM(LN21:MO21)</f>
      </c>
      <c r="MQ21" s="121"/>
      <c r="MR21" s="122"/>
      <c r="MS21" s="123"/>
      <c r="MT21" s="124"/>
      <c r="MU21" s="124"/>
      <c r="MV21" s="124"/>
      <c r="MW21" s="124"/>
      <c r="MX21" s="124"/>
      <c r="MY21" s="124"/>
      <c r="MZ21" s="125"/>
      <c r="NA21" s="126"/>
      <c r="NB21" s="124"/>
      <c r="NC21" s="124"/>
      <c r="ND21" s="127"/>
      <c r="NE21" s="123"/>
      <c r="NF21" s="124"/>
      <c r="NG21" s="124"/>
      <c r="NH21" s="124"/>
      <c r="NI21" s="124"/>
      <c r="NJ21" s="124"/>
      <c r="NK21" s="124"/>
      <c r="NL21" s="124"/>
      <c r="NM21" s="124"/>
      <c r="NN21" s="124"/>
      <c r="NO21" s="124"/>
      <c r="NP21" s="128"/>
      <c r="NQ21" s="129"/>
      <c r="NR21" s="128"/>
      <c r="NS21" s="131">
        <f>SUM(MQ21:NR21)</f>
      </c>
      <c r="NT21" s="121"/>
      <c r="NU21" s="122"/>
      <c r="NV21" s="123"/>
      <c r="NW21" s="124"/>
      <c r="NX21" s="124"/>
      <c r="NY21" s="124"/>
      <c r="NZ21" s="124"/>
      <c r="OA21" s="124"/>
      <c r="OB21" s="124"/>
      <c r="OC21" s="125"/>
      <c r="OD21" s="126"/>
      <c r="OE21" s="124"/>
      <c r="OF21" s="124"/>
      <c r="OG21" s="127"/>
      <c r="OH21" s="123"/>
      <c r="OI21" s="124"/>
      <c r="OJ21" s="124"/>
      <c r="OK21" s="124"/>
      <c r="OL21" s="124"/>
      <c r="OM21" s="124"/>
      <c r="ON21" s="124"/>
      <c r="OO21" s="124"/>
      <c r="OP21" s="124"/>
      <c r="OQ21" s="124"/>
      <c r="OR21" s="124"/>
      <c r="OS21" s="128"/>
      <c r="OT21" s="129"/>
      <c r="OU21" s="128"/>
      <c r="OV21" s="131">
        <f>SUM(NT21:OU21)</f>
      </c>
      <c r="OW21" s="132">
        <f>ID21+JG21+KJ21+LM21+MP21+NS21+OV21</f>
      </c>
      <c r="OX21" s="133">
        <f>(COUNTIF(HB21:OV21,"H")+COUNTIF(HB21:OV21,"S")+COUNTIF(HB21:OV21,"L")+COUNTIF(HB21:OV21,"E")+COUNTIF(HB21:OV21,"C"))/2</f>
      </c>
      <c r="OY21" s="130">
        <f>OW21+OX21</f>
      </c>
      <c r="OZ21" s="134"/>
      <c r="PA21" s="135"/>
      <c r="PB21" s="136"/>
      <c r="PC21" s="137"/>
      <c r="PD21" s="137"/>
      <c r="PE21" s="137"/>
      <c r="PF21" s="137"/>
      <c r="PG21" s="137"/>
      <c r="PH21" s="138">
        <v>0.5</v>
      </c>
      <c r="PI21" s="139">
        <v>0.5</v>
      </c>
      <c r="PJ21" s="140">
        <v>0.5</v>
      </c>
      <c r="PK21" s="138">
        <v>0.5</v>
      </c>
      <c r="PL21" s="137"/>
      <c r="PM21" s="141"/>
      <c r="PN21" s="142">
        <v>0.5</v>
      </c>
      <c r="PO21" s="138">
        <v>0.5</v>
      </c>
      <c r="PP21" s="143">
        <v>0.5</v>
      </c>
      <c r="PQ21" s="143">
        <v>0.5</v>
      </c>
      <c r="PR21" s="143">
        <v>0.5</v>
      </c>
      <c r="PS21" s="143">
        <v>0.5</v>
      </c>
      <c r="PT21" s="143">
        <v>0.5</v>
      </c>
      <c r="PU21" s="143">
        <v>0.5</v>
      </c>
      <c r="PV21" s="143">
        <v>0.5</v>
      </c>
      <c r="PW21" s="143">
        <v>0.5</v>
      </c>
      <c r="PX21" s="143">
        <v>0.5</v>
      </c>
      <c r="PY21" s="144">
        <v>0.5</v>
      </c>
      <c r="PZ21" s="145"/>
      <c r="QA21" s="146"/>
      <c r="QB21" s="131">
        <f>SUM(OZ21:QA21)</f>
      </c>
      <c r="QC21" s="134"/>
      <c r="QD21" s="135"/>
      <c r="QE21" s="136"/>
      <c r="QF21" s="137"/>
      <c r="QG21" s="137"/>
      <c r="QH21" s="137"/>
      <c r="QI21" s="137"/>
      <c r="QJ21" s="137"/>
      <c r="QK21" s="138">
        <v>0.5</v>
      </c>
      <c r="QL21" s="139">
        <v>0.5</v>
      </c>
      <c r="QM21" s="140">
        <v>0.5</v>
      </c>
      <c r="QN21" s="138">
        <v>0.5</v>
      </c>
      <c r="QO21" s="137"/>
      <c r="QP21" s="141"/>
      <c r="QQ21" s="142">
        <v>0.5</v>
      </c>
      <c r="QR21" s="138">
        <v>0.5</v>
      </c>
      <c r="QS21" s="143">
        <v>0.5</v>
      </c>
      <c r="QT21" s="143">
        <v>0.5</v>
      </c>
      <c r="QU21" s="143">
        <v>0.5</v>
      </c>
      <c r="QV21" s="143">
        <v>0.5</v>
      </c>
      <c r="QW21" s="143">
        <v>0.5</v>
      </c>
      <c r="QX21" s="143">
        <v>0.5</v>
      </c>
      <c r="QY21" s="143">
        <v>0.5</v>
      </c>
      <c r="QZ21" s="143">
        <v>0.5</v>
      </c>
      <c r="RA21" s="143">
        <v>0.5</v>
      </c>
      <c r="RB21" s="144">
        <v>0.5</v>
      </c>
      <c r="RC21" s="145"/>
      <c r="RD21" s="146"/>
      <c r="RE21" s="131">
        <f>SUM(QC21:RD21)</f>
      </c>
      <c r="RF21" s="134"/>
      <c r="RG21" s="135"/>
      <c r="RH21" s="136"/>
      <c r="RI21" s="137"/>
      <c r="RJ21" s="137"/>
      <c r="RK21" s="137"/>
      <c r="RL21" s="137"/>
      <c r="RM21" s="137"/>
      <c r="RN21" s="216">
        <v>0.5</v>
      </c>
      <c r="RO21" s="217">
        <v>0.5</v>
      </c>
      <c r="RP21" s="218">
        <v>0.5</v>
      </c>
      <c r="RQ21" s="216">
        <v>0.5</v>
      </c>
      <c r="RR21" s="137"/>
      <c r="RS21" s="141"/>
      <c r="RT21" s="219">
        <v>0.5</v>
      </c>
      <c r="RU21" s="216">
        <v>0.5</v>
      </c>
      <c r="RV21" s="220">
        <v>0.5</v>
      </c>
      <c r="RW21" s="220">
        <v>0.5</v>
      </c>
      <c r="RX21" s="220">
        <v>0.5</v>
      </c>
      <c r="RY21" s="220">
        <v>0.5</v>
      </c>
      <c r="RZ21" s="220">
        <v>0.5</v>
      </c>
      <c r="SA21" s="220">
        <v>0.5</v>
      </c>
      <c r="SB21" s="220">
        <v>0.5</v>
      </c>
      <c r="SC21" s="220">
        <v>0.5</v>
      </c>
      <c r="SD21" s="220">
        <v>0.5</v>
      </c>
      <c r="SE21" s="221">
        <v>0.5</v>
      </c>
      <c r="SF21" s="145"/>
      <c r="SG21" s="146"/>
      <c r="SH21" s="131">
        <f>SUM(RF21:SG21)</f>
      </c>
      <c r="SI21" s="134"/>
      <c r="SJ21" s="135"/>
      <c r="SK21" s="136"/>
      <c r="SL21" s="137"/>
      <c r="SM21" s="137"/>
      <c r="SN21" s="137"/>
      <c r="SO21" s="137"/>
      <c r="SP21" s="137"/>
      <c r="SQ21" s="138">
        <v>0.5</v>
      </c>
      <c r="SR21" s="139">
        <v>0.5</v>
      </c>
      <c r="SS21" s="140">
        <v>0.5</v>
      </c>
      <c r="ST21" s="138">
        <v>0.5</v>
      </c>
      <c r="SU21" s="137"/>
      <c r="SV21" s="141"/>
      <c r="SW21" s="142">
        <v>0.5</v>
      </c>
      <c r="SX21" s="138">
        <v>0.5</v>
      </c>
      <c r="SY21" s="143">
        <v>0.5</v>
      </c>
      <c r="SZ21" s="143">
        <v>0.5</v>
      </c>
      <c r="TA21" s="143">
        <v>0.5</v>
      </c>
      <c r="TB21" s="143">
        <v>0.5</v>
      </c>
      <c r="TC21" s="143">
        <v>0.5</v>
      </c>
      <c r="TD21" s="143">
        <v>0.5</v>
      </c>
      <c r="TE21" s="143">
        <v>0.5</v>
      </c>
      <c r="TF21" s="143">
        <v>0.5</v>
      </c>
      <c r="TG21" s="143">
        <v>0.5</v>
      </c>
      <c r="TH21" s="144">
        <v>0.5</v>
      </c>
      <c r="TI21" s="145"/>
      <c r="TJ21" s="146"/>
      <c r="TK21" s="131">
        <f>SUM(SI21:TJ21)</f>
      </c>
      <c r="TL21" s="134"/>
      <c r="TM21" s="135"/>
      <c r="TN21" s="136"/>
      <c r="TO21" s="137"/>
      <c r="TP21" s="137"/>
      <c r="TQ21" s="137"/>
      <c r="TR21" s="137"/>
      <c r="TS21" s="137"/>
      <c r="TT21" s="138">
        <v>0.5</v>
      </c>
      <c r="TU21" s="139">
        <v>0.5</v>
      </c>
      <c r="TV21" s="140">
        <v>0.5</v>
      </c>
      <c r="TW21" s="138">
        <v>0.5</v>
      </c>
      <c r="TX21" s="137"/>
      <c r="TY21" s="141"/>
      <c r="TZ21" s="142">
        <v>0.5</v>
      </c>
      <c r="UA21" s="138">
        <v>0.5</v>
      </c>
      <c r="UB21" s="143">
        <v>0.5</v>
      </c>
      <c r="UC21" s="143">
        <v>0.5</v>
      </c>
      <c r="UD21" s="143">
        <v>0.5</v>
      </c>
      <c r="UE21" s="143">
        <v>0.5</v>
      </c>
      <c r="UF21" s="143">
        <v>0.5</v>
      </c>
      <c r="UG21" s="143">
        <v>0.5</v>
      </c>
      <c r="UH21" s="143">
        <v>0.5</v>
      </c>
      <c r="UI21" s="143">
        <v>0.5</v>
      </c>
      <c r="UJ21" s="143">
        <v>0.5</v>
      </c>
      <c r="UK21" s="144">
        <v>0.5</v>
      </c>
      <c r="UL21" s="145"/>
      <c r="UM21" s="146"/>
      <c r="UN21" s="131">
        <f>SUM(TL21:UM21)</f>
      </c>
      <c r="UO21" s="121"/>
      <c r="UP21" s="122"/>
      <c r="UQ21" s="123"/>
      <c r="UR21" s="124"/>
      <c r="US21" s="124"/>
      <c r="UT21" s="124"/>
      <c r="UU21" s="124"/>
      <c r="UV21" s="124"/>
      <c r="UW21" s="124"/>
      <c r="UX21" s="125"/>
      <c r="UY21" s="126"/>
      <c r="UZ21" s="124"/>
      <c r="VA21" s="124"/>
      <c r="VB21" s="127"/>
      <c r="VC21" s="123"/>
      <c r="VD21" s="124"/>
      <c r="VE21" s="124"/>
      <c r="VF21" s="124"/>
      <c r="VG21" s="124"/>
      <c r="VH21" s="124"/>
      <c r="VI21" s="124"/>
      <c r="VJ21" s="124"/>
      <c r="VK21" s="124"/>
      <c r="VL21" s="124"/>
      <c r="VM21" s="124"/>
      <c r="VN21" s="128"/>
      <c r="VO21" s="129"/>
      <c r="VP21" s="128"/>
      <c r="VQ21" s="131">
        <f>SUM(UO21:VP21)</f>
      </c>
      <c r="VR21" s="121"/>
      <c r="VS21" s="122"/>
      <c r="VT21" s="123"/>
      <c r="VU21" s="124"/>
      <c r="VV21" s="124"/>
      <c r="VW21" s="124"/>
      <c r="VX21" s="124"/>
      <c r="VY21" s="124"/>
      <c r="VZ21" s="124"/>
      <c r="WA21" s="125"/>
      <c r="WB21" s="126"/>
      <c r="WC21" s="124"/>
      <c r="WD21" s="124"/>
      <c r="WE21" s="127"/>
      <c r="WF21" s="123"/>
      <c r="WG21" s="124"/>
      <c r="WH21" s="124"/>
      <c r="WI21" s="124"/>
      <c r="WJ21" s="124"/>
      <c r="WK21" s="124"/>
      <c r="WL21" s="124"/>
      <c r="WM21" s="124"/>
      <c r="WN21" s="124"/>
      <c r="WO21" s="124"/>
      <c r="WP21" s="124"/>
      <c r="WQ21" s="128"/>
      <c r="WR21" s="129"/>
      <c r="WS21" s="128"/>
      <c r="WT21" s="131">
        <f>SUM(VR21:WS21)</f>
      </c>
      <c r="WU21" s="132">
        <f>QB21+RE21+SH21+TK21+UN21+VQ21+WT21</f>
      </c>
      <c r="WV21" s="133">
        <f>(COUNTIF(OZ21:WT21,"H")+COUNTIF(OZ21:WT21,"S")+COUNTIF(OZ21:WT21,"L")+COUNTIF(OZ21:WT21,"E")+COUNTIF(OZ21:WT21,"C"))/2</f>
      </c>
      <c r="WW21" s="130">
        <f>WU21+WV21</f>
      </c>
      <c r="WX21" s="134"/>
      <c r="WY21" s="135"/>
      <c r="WZ21" s="136"/>
      <c r="XA21" s="137"/>
      <c r="XB21" s="137"/>
      <c r="XC21" s="137"/>
      <c r="XD21" s="143">
        <v>0.5</v>
      </c>
      <c r="XE21" s="143">
        <v>0.5</v>
      </c>
      <c r="XF21" s="138">
        <v>0.5</v>
      </c>
      <c r="XG21" s="139">
        <v>0.5</v>
      </c>
      <c r="XH21" s="140">
        <v>0.5</v>
      </c>
      <c r="XI21" s="138">
        <v>0.5</v>
      </c>
      <c r="XJ21" s="137"/>
      <c r="XK21" s="141"/>
      <c r="XL21" s="142">
        <v>0.5</v>
      </c>
      <c r="XM21" s="138">
        <v>0.5</v>
      </c>
      <c r="XN21" s="143">
        <v>0.5</v>
      </c>
      <c r="XO21" s="143">
        <v>0.5</v>
      </c>
      <c r="XP21" s="143">
        <v>0.5</v>
      </c>
      <c r="XQ21" s="143">
        <v>0.5</v>
      </c>
      <c r="XR21" s="143">
        <v>0.5</v>
      </c>
      <c r="XS21" s="143">
        <v>0.5</v>
      </c>
      <c r="XT21" s="143">
        <v>0.5</v>
      </c>
      <c r="XU21" s="143">
        <v>0.5</v>
      </c>
      <c r="XV21" s="137"/>
      <c r="XW21" s="146"/>
      <c r="XX21" s="145"/>
      <c r="XY21" s="146"/>
      <c r="XZ21" s="131">
        <f>SUM(WX21:XY21)</f>
      </c>
      <c r="YA21" s="134"/>
      <c r="YB21" s="135"/>
      <c r="YC21" s="136"/>
      <c r="YD21" s="137"/>
      <c r="YE21" s="137"/>
      <c r="YF21" s="137"/>
      <c r="YG21" s="143">
        <v>0.5</v>
      </c>
      <c r="YH21" s="143">
        <v>0.5</v>
      </c>
      <c r="YI21" s="138">
        <v>0.5</v>
      </c>
      <c r="YJ21" s="139">
        <v>0.5</v>
      </c>
      <c r="YK21" s="140">
        <v>0.5</v>
      </c>
      <c r="YL21" s="138">
        <v>0.5</v>
      </c>
      <c r="YM21" s="137"/>
      <c r="YN21" s="141"/>
      <c r="YO21" s="142">
        <v>0.5</v>
      </c>
      <c r="YP21" s="138">
        <v>0.5</v>
      </c>
      <c r="YQ21" s="143">
        <v>0.5</v>
      </c>
      <c r="YR21" s="143">
        <v>0.5</v>
      </c>
      <c r="YS21" s="143">
        <v>0.5</v>
      </c>
      <c r="YT21" s="143">
        <v>0.5</v>
      </c>
      <c r="YU21" s="143">
        <v>0.5</v>
      </c>
      <c r="YV21" s="143">
        <v>0.5</v>
      </c>
      <c r="YW21" s="143">
        <v>0.5</v>
      </c>
      <c r="YX21" s="143">
        <v>0.5</v>
      </c>
      <c r="YY21" s="137"/>
      <c r="YZ21" s="146"/>
      <c r="ZA21" s="145"/>
      <c r="ZB21" s="146"/>
      <c r="ZC21" s="131">
        <f>SUM(YA21:ZB21)</f>
      </c>
      <c r="ZD21" s="134"/>
      <c r="ZE21" s="135"/>
      <c r="ZF21" s="136"/>
      <c r="ZG21" s="137"/>
      <c r="ZH21" s="137"/>
      <c r="ZI21" s="137"/>
      <c r="ZJ21" s="143">
        <v>0.5</v>
      </c>
      <c r="ZK21" s="143">
        <v>0.5</v>
      </c>
      <c r="ZL21" s="138">
        <v>0.5</v>
      </c>
      <c r="ZM21" s="139">
        <v>0.5</v>
      </c>
      <c r="ZN21" s="140">
        <v>0.5</v>
      </c>
      <c r="ZO21" s="138">
        <v>0.5</v>
      </c>
      <c r="ZP21" s="137"/>
      <c r="ZQ21" s="141"/>
      <c r="ZR21" s="142">
        <v>0.5</v>
      </c>
      <c r="ZS21" s="138">
        <v>0.5</v>
      </c>
      <c r="ZT21" s="143">
        <v>0.5</v>
      </c>
      <c r="ZU21" s="143">
        <v>0.5</v>
      </c>
      <c r="ZV21" s="143">
        <v>0.5</v>
      </c>
      <c r="ZW21" s="143">
        <v>0.5</v>
      </c>
      <c r="ZX21" s="143">
        <v>0.5</v>
      </c>
      <c r="ZY21" s="143">
        <v>0.5</v>
      </c>
      <c r="ZZ21" s="143">
        <v>0.5</v>
      </c>
      <c r="AAA21" s="143">
        <v>0.5</v>
      </c>
      <c r="AAB21" s="137"/>
      <c r="AAC21" s="146"/>
      <c r="AAD21" s="145"/>
      <c r="AAE21" s="146"/>
      <c r="AAF21" s="131">
        <f>SUM(ZD21:AAE21)</f>
      </c>
      <c r="AAG21" s="134"/>
      <c r="AAH21" s="135"/>
      <c r="AAI21" s="136"/>
      <c r="AAJ21" s="137"/>
      <c r="AAK21" s="137"/>
      <c r="AAL21" s="137"/>
      <c r="AAM21" s="143">
        <v>0.5</v>
      </c>
      <c r="AAN21" s="143">
        <v>0.5</v>
      </c>
      <c r="AAO21" s="138">
        <v>0.5</v>
      </c>
      <c r="AAP21" s="139">
        <v>0.5</v>
      </c>
      <c r="AAQ21" s="140">
        <v>0.5</v>
      </c>
      <c r="AAR21" s="138">
        <v>0.5</v>
      </c>
      <c r="AAS21" s="137"/>
      <c r="AAT21" s="141"/>
      <c r="AAU21" s="142">
        <v>0.5</v>
      </c>
      <c r="AAV21" s="138">
        <v>0.5</v>
      </c>
      <c r="AAW21" s="143">
        <v>0.5</v>
      </c>
      <c r="AAX21" s="143">
        <v>0.5</v>
      </c>
      <c r="AAY21" s="143">
        <v>0.5</v>
      </c>
      <c r="AAZ21" s="143">
        <v>0.5</v>
      </c>
      <c r="ABA21" s="143">
        <v>0.5</v>
      </c>
      <c r="ABB21" s="143">
        <v>0.5</v>
      </c>
      <c r="ABC21" s="143">
        <v>0.5</v>
      </c>
      <c r="ABD21" s="143">
        <v>0.5</v>
      </c>
      <c r="ABE21" s="137"/>
      <c r="ABF21" s="146"/>
      <c r="ABG21" s="145"/>
      <c r="ABH21" s="146"/>
      <c r="ABI21" s="131">
        <f>SUM(AAG21:ABH21)</f>
      </c>
      <c r="ABJ21" s="134"/>
      <c r="ABK21" s="135"/>
      <c r="ABL21" s="136"/>
      <c r="ABM21" s="137"/>
      <c r="ABN21" s="137"/>
      <c r="ABO21" s="137"/>
      <c r="ABP21" s="220">
        <v>0.5</v>
      </c>
      <c r="ABQ21" s="220">
        <v>0.5</v>
      </c>
      <c r="ABR21" s="216">
        <v>0.5</v>
      </c>
      <c r="ABS21" s="217">
        <v>0.5</v>
      </c>
      <c r="ABT21" s="218">
        <v>0.5</v>
      </c>
      <c r="ABU21" s="216">
        <v>0.5</v>
      </c>
      <c r="ABV21" s="137"/>
      <c r="ABW21" s="141"/>
      <c r="ABX21" s="219">
        <v>0.5</v>
      </c>
      <c r="ABY21" s="216">
        <v>0.5</v>
      </c>
      <c r="ABZ21" s="220">
        <v>0.5</v>
      </c>
      <c r="ACA21" s="220">
        <v>0.5</v>
      </c>
      <c r="ACB21" s="220">
        <v>0.5</v>
      </c>
      <c r="ACC21" s="220">
        <v>0.5</v>
      </c>
      <c r="ACD21" s="220">
        <v>0.5</v>
      </c>
      <c r="ACE21" s="220">
        <v>0.5</v>
      </c>
      <c r="ACF21" s="220">
        <v>0.5</v>
      </c>
      <c r="ACG21" s="220">
        <v>0.5</v>
      </c>
      <c r="ACH21" s="137"/>
      <c r="ACI21" s="146"/>
      <c r="ACJ21" s="145"/>
      <c r="ACK21" s="146"/>
      <c r="ACL21" s="131">
        <f>SUM(ABJ21:ACK21)</f>
      </c>
      <c r="ACM21" s="121"/>
      <c r="ACN21" s="122"/>
      <c r="ACO21" s="123"/>
      <c r="ACP21" s="124"/>
      <c r="ACQ21" s="124"/>
      <c r="ACR21" s="124"/>
      <c r="ACS21" s="124"/>
      <c r="ACT21" s="124"/>
      <c r="ACU21" s="124"/>
      <c r="ACV21" s="125"/>
      <c r="ACW21" s="126"/>
      <c r="ACX21" s="124"/>
      <c r="ACY21" s="124"/>
      <c r="ACZ21" s="127"/>
      <c r="ADA21" s="123"/>
      <c r="ADB21" s="124"/>
      <c r="ADC21" s="124"/>
      <c r="ADD21" s="124"/>
      <c r="ADE21" s="124"/>
      <c r="ADF21" s="124"/>
      <c r="ADG21" s="124"/>
      <c r="ADH21" s="124"/>
      <c r="ADI21" s="124"/>
      <c r="ADJ21" s="124"/>
      <c r="ADK21" s="124"/>
      <c r="ADL21" s="128"/>
      <c r="ADM21" s="129"/>
      <c r="ADN21" s="128"/>
      <c r="ADO21" s="131">
        <f>SUM(ACM21:ADN21)</f>
      </c>
      <c r="ADP21" s="121"/>
      <c r="ADQ21" s="122"/>
      <c r="ADR21" s="123"/>
      <c r="ADS21" s="124"/>
      <c r="ADT21" s="124"/>
      <c r="ADU21" s="124"/>
      <c r="ADV21" s="124"/>
      <c r="ADW21" s="124"/>
      <c r="ADX21" s="124"/>
      <c r="ADY21" s="125"/>
      <c r="ADZ21" s="126"/>
      <c r="AEA21" s="124"/>
      <c r="AEB21" s="124"/>
      <c r="AEC21" s="127"/>
      <c r="AED21" s="123"/>
      <c r="AEE21" s="124"/>
      <c r="AEF21" s="124"/>
      <c r="AEG21" s="124"/>
      <c r="AEH21" s="124"/>
      <c r="AEI21" s="124"/>
      <c r="AEJ21" s="124"/>
      <c r="AEK21" s="124"/>
      <c r="AEL21" s="124"/>
      <c r="AEM21" s="124"/>
      <c r="AEN21" s="124"/>
      <c r="AEO21" s="128"/>
      <c r="AEP21" s="129"/>
      <c r="AEQ21" s="128"/>
      <c r="AER21" s="131">
        <f>SUM(ADP21:AEQ21)</f>
      </c>
      <c r="AES21" s="132">
        <f>XZ21+ZC21+AAF21+ABI21+ACL21+ADO21+AER21</f>
      </c>
      <c r="AET21" s="133">
        <f>(COUNTIF(WX21:AER21,"H")+COUNTIF(WX21:AER21,"S")+COUNTIF(WX21:AER21,"L")+COUNTIF(WX21:AER21,"E")+COUNTIF(WX21:AER21,"C"))/2</f>
      </c>
      <c r="AEU21" s="130">
        <f>AES21+AET21</f>
      </c>
      <c r="AEV21" s="134"/>
      <c r="AEW21" s="135"/>
      <c r="AEX21" s="136"/>
      <c r="AEY21" s="137"/>
      <c r="AEZ21" s="137"/>
      <c r="AFA21" s="137"/>
      <c r="AFB21" s="137"/>
      <c r="AFC21" s="137"/>
      <c r="AFD21" s="138">
        <v>0.5</v>
      </c>
      <c r="AFE21" s="139">
        <v>0.5</v>
      </c>
      <c r="AFF21" s="140">
        <v>0.5</v>
      </c>
      <c r="AFG21" s="138">
        <v>0.5</v>
      </c>
      <c r="AFH21" s="137"/>
      <c r="AFI21" s="141"/>
      <c r="AFJ21" s="142">
        <v>0.5</v>
      </c>
      <c r="AFK21" s="138">
        <v>0.5</v>
      </c>
      <c r="AFL21" s="143">
        <v>0.5</v>
      </c>
      <c r="AFM21" s="143">
        <v>0.5</v>
      </c>
      <c r="AFN21" s="143">
        <v>0.5</v>
      </c>
      <c r="AFO21" s="143">
        <v>0.5</v>
      </c>
      <c r="AFP21" s="143">
        <v>0.5</v>
      </c>
      <c r="AFQ21" s="143">
        <v>0.5</v>
      </c>
      <c r="AFR21" s="143">
        <v>0.5</v>
      </c>
      <c r="AFS21" s="143">
        <v>0.5</v>
      </c>
      <c r="AFT21" s="143">
        <v>0.5</v>
      </c>
      <c r="AFU21" s="144">
        <v>0.5</v>
      </c>
      <c r="AFV21" s="145"/>
      <c r="AFW21" s="146"/>
      <c r="AFX21" s="130">
        <f>SUM(AEV21:AFW21)</f>
      </c>
      <c r="AFY21" s="134"/>
      <c r="AFZ21" s="135"/>
      <c r="AGA21" s="136"/>
      <c r="AGB21" s="137"/>
      <c r="AGC21" s="137"/>
      <c r="AGD21" s="137"/>
      <c r="AGE21" s="137"/>
      <c r="AGF21" s="137"/>
      <c r="AGG21" s="138">
        <v>0.5</v>
      </c>
      <c r="AGH21" s="139">
        <v>0.5</v>
      </c>
      <c r="AGI21" s="140">
        <v>0.5</v>
      </c>
      <c r="AGJ21" s="138">
        <v>0.5</v>
      </c>
      <c r="AGK21" s="137"/>
      <c r="AGL21" s="141"/>
      <c r="AGM21" s="142">
        <v>0.5</v>
      </c>
      <c r="AGN21" s="138">
        <v>0.5</v>
      </c>
      <c r="AGO21" s="143">
        <v>0.5</v>
      </c>
      <c r="AGP21" s="143">
        <v>0.5</v>
      </c>
      <c r="AGQ21" s="143">
        <v>0.5</v>
      </c>
      <c r="AGR21" s="143">
        <v>0.5</v>
      </c>
      <c r="AGS21" s="143">
        <v>0.5</v>
      </c>
      <c r="AGT21" s="143">
        <v>0.5</v>
      </c>
      <c r="AGU21" s="143">
        <v>0.5</v>
      </c>
      <c r="AGV21" s="143">
        <v>0.5</v>
      </c>
      <c r="AGW21" s="143">
        <v>0.5</v>
      </c>
      <c r="AGX21" s="144">
        <v>0.5</v>
      </c>
      <c r="AGY21" s="145"/>
      <c r="AGZ21" s="146"/>
      <c r="AHA21" s="130">
        <f>SUM(AFY21:AGZ21)</f>
      </c>
      <c r="AHB21" s="134"/>
      <c r="AHC21" s="135"/>
      <c r="AHD21" s="136"/>
      <c r="AHE21" s="137"/>
      <c r="AHF21" s="137"/>
      <c r="AHG21" s="137"/>
      <c r="AHH21" s="137"/>
      <c r="AHI21" s="137"/>
      <c r="AHJ21" s="216">
        <v>0.5</v>
      </c>
      <c r="AHK21" s="217">
        <v>0.5</v>
      </c>
      <c r="AHL21" s="218">
        <v>0.5</v>
      </c>
      <c r="AHM21" s="216">
        <v>0.5</v>
      </c>
      <c r="AHN21" s="137"/>
      <c r="AHO21" s="141"/>
      <c r="AHP21" s="219">
        <v>0.5</v>
      </c>
      <c r="AHQ21" s="216">
        <v>0.5</v>
      </c>
      <c r="AHR21" s="220">
        <v>0.5</v>
      </c>
      <c r="AHS21" s="220">
        <v>0.5</v>
      </c>
      <c r="AHT21" s="220">
        <v>0.5</v>
      </c>
      <c r="AHU21" s="220">
        <v>0.5</v>
      </c>
      <c r="AHV21" s="220">
        <v>0.5</v>
      </c>
      <c r="AHW21" s="220">
        <v>0.5</v>
      </c>
      <c r="AHX21" s="220">
        <v>0.5</v>
      </c>
      <c r="AHY21" s="220">
        <v>0.5</v>
      </c>
      <c r="AHZ21" s="220">
        <v>0.5</v>
      </c>
      <c r="AIA21" s="221">
        <v>0.5</v>
      </c>
      <c r="AIB21" s="145"/>
      <c r="AIC21" s="146"/>
      <c r="AID21" s="130">
        <f>SUM(AHB21:AIC21)</f>
      </c>
      <c r="AIE21" s="134"/>
      <c r="AIF21" s="135"/>
      <c r="AIG21" s="136"/>
      <c r="AIH21" s="137"/>
      <c r="AII21" s="137"/>
      <c r="AIJ21" s="137"/>
      <c r="AIK21" s="137"/>
      <c r="AIL21" s="137"/>
      <c r="AIM21" s="138">
        <v>0.5</v>
      </c>
      <c r="AIN21" s="139">
        <v>0.5</v>
      </c>
      <c r="AIO21" s="140">
        <v>0.5</v>
      </c>
      <c r="AIP21" s="138">
        <v>0.5</v>
      </c>
      <c r="AIQ21" s="137"/>
      <c r="AIR21" s="141"/>
      <c r="AIS21" s="142">
        <v>0.5</v>
      </c>
      <c r="AIT21" s="138">
        <v>0.5</v>
      </c>
      <c r="AIU21" s="143">
        <v>0.5</v>
      </c>
      <c r="AIV21" s="143">
        <v>0.5</v>
      </c>
      <c r="AIW21" s="143">
        <v>0.5</v>
      </c>
      <c r="AIX21" s="143">
        <v>0.5</v>
      </c>
      <c r="AIY21" s="143">
        <v>0.5</v>
      </c>
      <c r="AIZ21" s="143">
        <v>0.5</v>
      </c>
      <c r="AJA21" s="143">
        <v>0.5</v>
      </c>
      <c r="AJB21" s="143">
        <v>0.5</v>
      </c>
      <c r="AJC21" s="143">
        <v>0.5</v>
      </c>
      <c r="AJD21" s="144">
        <v>0.5</v>
      </c>
      <c r="AJE21" s="145"/>
      <c r="AJF21" s="146"/>
      <c r="AJG21" s="130">
        <f>SUM(AIE21:AJF21)</f>
      </c>
      <c r="AJH21" s="134"/>
      <c r="AJI21" s="135"/>
      <c r="AJJ21" s="136"/>
      <c r="AJK21" s="137"/>
      <c r="AJL21" s="137"/>
      <c r="AJM21" s="137"/>
      <c r="AJN21" s="137"/>
      <c r="AJO21" s="137"/>
      <c r="AJP21" s="138">
        <v>0.5</v>
      </c>
      <c r="AJQ21" s="139">
        <v>0.5</v>
      </c>
      <c r="AJR21" s="140">
        <v>0.5</v>
      </c>
      <c r="AJS21" s="138">
        <v>0.5</v>
      </c>
      <c r="AJT21" s="137"/>
      <c r="AJU21" s="141"/>
      <c r="AJV21" s="142">
        <v>0.5</v>
      </c>
      <c r="AJW21" s="138">
        <v>0.5</v>
      </c>
      <c r="AJX21" s="143">
        <v>0.5</v>
      </c>
      <c r="AJY21" s="143">
        <v>0.5</v>
      </c>
      <c r="AJZ21" s="143">
        <v>0.5</v>
      </c>
      <c r="AKA21" s="143">
        <v>0.5</v>
      </c>
      <c r="AKB21" s="143">
        <v>0.5</v>
      </c>
      <c r="AKC21" s="143">
        <v>0.5</v>
      </c>
      <c r="AKD21" s="143">
        <v>0.5</v>
      </c>
      <c r="AKE21" s="143">
        <v>0.5</v>
      </c>
      <c r="AKF21" s="143">
        <v>0.5</v>
      </c>
      <c r="AKG21" s="144">
        <v>0.5</v>
      </c>
      <c r="AKH21" s="145"/>
      <c r="AKI21" s="146"/>
      <c r="AKJ21" s="130">
        <f>SUM(AJH21:AKI21)</f>
      </c>
      <c r="AKK21" s="121"/>
      <c r="AKL21" s="122"/>
      <c r="AKM21" s="123"/>
      <c r="AKN21" s="124"/>
      <c r="AKO21" s="124"/>
      <c r="AKP21" s="124"/>
      <c r="AKQ21" s="124"/>
      <c r="AKR21" s="124"/>
      <c r="AKS21" s="124"/>
      <c r="AKT21" s="125"/>
      <c r="AKU21" s="126"/>
      <c r="AKV21" s="124"/>
      <c r="AKW21" s="124"/>
      <c r="AKX21" s="127"/>
      <c r="AKY21" s="123"/>
      <c r="AKZ21" s="124"/>
      <c r="ALA21" s="124"/>
      <c r="ALB21" s="124"/>
      <c r="ALC21" s="124"/>
      <c r="ALD21" s="124"/>
      <c r="ALE21" s="124"/>
      <c r="ALF21" s="124"/>
      <c r="ALG21" s="124"/>
      <c r="ALH21" s="124"/>
      <c r="ALI21" s="124"/>
      <c r="ALJ21" s="128"/>
      <c r="ALK21" s="129"/>
      <c r="ALL21" s="128"/>
      <c r="ALM21" s="131">
        <f>SUM(AKK21:ALL21)</f>
      </c>
      <c r="ALN21" s="121"/>
      <c r="ALO21" s="122"/>
      <c r="ALP21" s="123"/>
      <c r="ALQ21" s="124"/>
      <c r="ALR21" s="124"/>
      <c r="ALS21" s="124"/>
      <c r="ALT21" s="124"/>
      <c r="ALU21" s="124"/>
      <c r="ALV21" s="124"/>
      <c r="ALW21" s="125"/>
      <c r="ALX21" s="126"/>
      <c r="ALY21" s="124"/>
      <c r="ALZ21" s="124"/>
      <c r="AMA21" s="127"/>
      <c r="AMB21" s="123"/>
      <c r="AMC21" s="124"/>
      <c r="AMD21" s="124"/>
      <c r="AME21" s="124"/>
      <c r="AMF21" s="124"/>
      <c r="AMG21" s="124"/>
      <c r="AMH21" s="124"/>
      <c r="AMI21" s="124"/>
      <c r="AMJ21" s="124"/>
      <c r="AMK21" s="124"/>
      <c r="AML21" s="124"/>
      <c r="AMM21" s="128"/>
      <c r="AMN21" s="129"/>
      <c r="AMO21" s="128"/>
      <c r="AMP21" s="131">
        <f>SUM(ALN21:AMO21)</f>
      </c>
      <c r="AMQ21" s="150">
        <f>AFX21+AHA21+AID21+AJG21+AKJ21+ALM21+AMP21</f>
      </c>
      <c r="AMR21" s="133">
        <f>(COUNTIF(AEV21:AMP21,"H")+COUNTIF(AEV21:AMP21,"S")+COUNTIF(AEV21:AMP21,"L")+COUNTIF(AEV21:AMP21,"E")+COUNTIF(AEV21:AMP21,"C"))/2</f>
      </c>
      <c r="AMS21" s="131">
        <f>AMQ21+AMR21</f>
      </c>
      <c r="AMT21" s="4"/>
      <c r="AMU21" s="4"/>
      <c r="AMV21" s="4"/>
      <c r="AMW21" s="4"/>
      <c r="AMX21" s="4"/>
      <c r="AMY21" s="4"/>
      <c r="AMZ21" s="4"/>
      <c r="ANA21" s="4"/>
      <c r="ANB21" s="4"/>
      <c r="ANC21" s="4"/>
      <c r="AND21" s="4"/>
      <c r="ANE21" s="4"/>
      <c r="ANF21" s="4"/>
      <c r="ANG21" s="4"/>
      <c r="ANH21" s="4"/>
      <c r="ANI21" s="4"/>
      <c r="ANJ21" s="13"/>
      <c r="ANK21" s="13"/>
      <c r="ANL21" s="4"/>
      <c r="ANM21" s="4"/>
      <c r="ANN21" s="4"/>
      <c r="ANO21" s="4"/>
      <c r="ANP21" s="4"/>
      <c r="ANQ21" s="4"/>
      <c r="ANR21" s="4"/>
      <c r="ANS21" s="4"/>
      <c r="ANT21" s="4"/>
      <c r="ANU21" s="4"/>
      <c r="ANV21" s="4"/>
      <c r="ANW21" s="4"/>
      <c r="ANX21" s="4"/>
      <c r="ANY21" s="4"/>
      <c r="ANZ21" s="4"/>
      <c r="AOA21" s="4"/>
      <c r="AOB21" s="4"/>
      <c r="AOC21" s="4"/>
      <c r="AOD21" s="4"/>
      <c r="AOE21" s="4"/>
      <c r="AOF21" s="4"/>
      <c r="AOG21" s="4"/>
      <c r="AOH21" s="4"/>
      <c r="AOI21" s="4"/>
      <c r="AOJ21" s="4"/>
      <c r="AOK21" s="4"/>
      <c r="AOL21" s="4"/>
      <c r="AOM21" s="4"/>
      <c r="AON21" s="4"/>
      <c r="AOO21" s="4"/>
      <c r="AOP21" s="4"/>
      <c r="AOQ21" s="4"/>
      <c r="AOR21" s="4"/>
      <c r="AOS21" s="4"/>
      <c r="AOT21" s="4"/>
      <c r="AOU21" s="4"/>
      <c r="AOV21" s="4"/>
      <c r="AOW21" s="4"/>
      <c r="AOX21" s="4"/>
      <c r="AOY21" s="4"/>
      <c r="AOZ21" s="4"/>
      <c r="APA21" s="4"/>
      <c r="APB21" s="4"/>
      <c r="APC21" s="4"/>
      <c r="APD21" s="4"/>
      <c r="APE21" s="4"/>
      <c r="APF21" s="4"/>
      <c r="APG21" s="4"/>
      <c r="APH21" s="4"/>
      <c r="API21" s="4"/>
      <c r="APJ21" s="4"/>
      <c r="APK21" s="4"/>
      <c r="APL21" s="4"/>
      <c r="APM21" s="4"/>
      <c r="APN21" s="4"/>
      <c r="APO21" s="4"/>
      <c r="APP21" s="4"/>
      <c r="APQ21" s="4"/>
      <c r="APR21" s="4"/>
      <c r="APS21" s="4"/>
      <c r="APT21" s="4"/>
      <c r="APU21" s="4"/>
      <c r="APV21" s="4"/>
      <c r="APW21" s="4"/>
      <c r="APX21" s="4"/>
      <c r="APY21" s="4"/>
      <c r="APZ21" s="4"/>
      <c r="AQA21" s="4"/>
      <c r="AQB21" s="4"/>
      <c r="AQC21" s="4"/>
      <c r="AQD21" s="4"/>
      <c r="AQE21" s="4"/>
      <c r="AQF21" s="4"/>
      <c r="AQG21" s="4"/>
      <c r="AQH21" s="4"/>
      <c r="AQI21" s="4"/>
      <c r="AQJ21" s="4"/>
      <c r="AQK21" s="4"/>
      <c r="AQL21" s="4"/>
      <c r="AQM21" s="4"/>
      <c r="AQN21" s="4"/>
      <c r="AQO21" s="4"/>
      <c r="AQP21" s="4"/>
      <c r="AQQ21" s="4"/>
      <c r="AQR21" s="4"/>
      <c r="AQS21" s="4"/>
      <c r="AQT21" s="4"/>
      <c r="AQU21" s="4"/>
      <c r="AQV21" s="4"/>
      <c r="AQW21" s="4"/>
      <c r="AQX21" s="4"/>
      <c r="AQY21" s="4"/>
      <c r="AQZ21" s="4"/>
      <c r="ARA21" s="4"/>
      <c r="ARB21" s="4"/>
      <c r="ARC21" s="4"/>
      <c r="ARD21" s="4"/>
      <c r="ARE21" s="4"/>
      <c r="ARF21" s="4"/>
      <c r="ARG21" s="4"/>
      <c r="ARH21" s="4"/>
      <c r="ARI21" s="4"/>
      <c r="ARJ21" s="4"/>
      <c r="ARK21" s="4"/>
      <c r="ARL21" s="4"/>
      <c r="ARM21" s="4"/>
      <c r="ARN21" s="4"/>
      <c r="ARO21" s="4"/>
      <c r="ARP21" s="4"/>
      <c r="ARQ21" s="4"/>
      <c r="ARR21" s="4"/>
      <c r="ARS21" s="4"/>
      <c r="ART21" s="4"/>
      <c r="ARU21" s="4"/>
      <c r="ARV21" s="4"/>
      <c r="ARW21" s="4"/>
      <c r="ARX21" s="4"/>
      <c r="ARY21" s="4"/>
      <c r="ARZ21" s="4"/>
      <c r="ASA21" s="4"/>
      <c r="ASB21" s="4"/>
      <c r="ASC21" s="4"/>
      <c r="ASD21" s="4"/>
      <c r="ASE21" s="4"/>
      <c r="ASF21" s="4"/>
      <c r="ASG21" s="4"/>
      <c r="ASH21" s="4"/>
      <c r="ASI21" s="4"/>
      <c r="ASJ21" s="4"/>
      <c r="ASK21" s="4"/>
      <c r="ASL21" s="4"/>
      <c r="ASM21" s="4"/>
      <c r="ASN21" s="4"/>
      <c r="ASO21" s="4"/>
      <c r="ASP21" s="4"/>
      <c r="ASQ21" s="4"/>
      <c r="ASR21" s="4"/>
      <c r="ASS21" s="4"/>
      <c r="AST21" s="4"/>
      <c r="ASU21" s="4"/>
    </row>
    <row r="22" ht="15" customHeight="1" spans="1:1191" x14ac:dyDescent="0.25">
      <c r="A22" s="118"/>
      <c r="B22" s="119" t="s">
        <v>62</v>
      </c>
      <c r="C22" s="120" t="s">
        <v>52</v>
      </c>
      <c r="D22" s="121"/>
      <c r="E22" s="122"/>
      <c r="F22" s="123"/>
      <c r="G22" s="124"/>
      <c r="H22" s="124"/>
      <c r="I22" s="124"/>
      <c r="J22" s="124"/>
      <c r="K22" s="124"/>
      <c r="L22" s="124"/>
      <c r="M22" s="125"/>
      <c r="N22" s="126"/>
      <c r="O22" s="124"/>
      <c r="P22" s="124"/>
      <c r="Q22" s="127"/>
      <c r="R22" s="123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8"/>
      <c r="AD22" s="129"/>
      <c r="AE22" s="128"/>
      <c r="AF22" s="130">
        <f>SUM(D22:AE22)</f>
      </c>
      <c r="AG22" s="121"/>
      <c r="AH22" s="122"/>
      <c r="AI22" s="123"/>
      <c r="AJ22" s="124"/>
      <c r="AK22" s="124"/>
      <c r="AL22" s="124"/>
      <c r="AM22" s="124"/>
      <c r="AN22" s="124"/>
      <c r="AO22" s="124"/>
      <c r="AP22" s="125"/>
      <c r="AQ22" s="126"/>
      <c r="AR22" s="124"/>
      <c r="AS22" s="124"/>
      <c r="AT22" s="127"/>
      <c r="AU22" s="123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8"/>
      <c r="BG22" s="129"/>
      <c r="BH22" s="128"/>
      <c r="BI22" s="130">
        <f>SUM(AG22:BH22)</f>
      </c>
      <c r="BJ22" s="121"/>
      <c r="BK22" s="122"/>
      <c r="BL22" s="123"/>
      <c r="BM22" s="124"/>
      <c r="BN22" s="124"/>
      <c r="BO22" s="124"/>
      <c r="BP22" s="124"/>
      <c r="BQ22" s="124"/>
      <c r="BR22" s="124"/>
      <c r="BS22" s="125"/>
      <c r="BT22" s="126"/>
      <c r="BU22" s="124"/>
      <c r="BV22" s="124"/>
      <c r="BW22" s="127"/>
      <c r="BX22" s="123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8"/>
      <c r="CJ22" s="129"/>
      <c r="CK22" s="128"/>
      <c r="CL22" s="130">
        <f>SUM(BJ22:CK22)</f>
      </c>
      <c r="CM22" s="121"/>
      <c r="CN22" s="122"/>
      <c r="CO22" s="123"/>
      <c r="CP22" s="124"/>
      <c r="CQ22" s="124"/>
      <c r="CR22" s="124"/>
      <c r="CS22" s="124"/>
      <c r="CT22" s="124"/>
      <c r="CU22" s="124"/>
      <c r="CV22" s="125"/>
      <c r="CW22" s="126"/>
      <c r="CX22" s="124"/>
      <c r="CY22" s="124"/>
      <c r="CZ22" s="127"/>
      <c r="DA22" s="123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8"/>
      <c r="DM22" s="129"/>
      <c r="DN22" s="128"/>
      <c r="DO22" s="130">
        <f>SUM(CM22:DN22)</f>
      </c>
      <c r="DP22" s="121"/>
      <c r="DQ22" s="122"/>
      <c r="DR22" s="123"/>
      <c r="DS22" s="124"/>
      <c r="DT22" s="124"/>
      <c r="DU22" s="124"/>
      <c r="DV22" s="124"/>
      <c r="DW22" s="124"/>
      <c r="DX22" s="124"/>
      <c r="DY22" s="125"/>
      <c r="DZ22" s="126"/>
      <c r="EA22" s="124"/>
      <c r="EB22" s="124"/>
      <c r="EC22" s="127"/>
      <c r="ED22" s="123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8"/>
      <c r="EP22" s="129"/>
      <c r="EQ22" s="128"/>
      <c r="ER22" s="130">
        <f>SUM(DP22:EQ22)</f>
      </c>
      <c r="ES22" s="121"/>
      <c r="ET22" s="122"/>
      <c r="EU22" s="123"/>
      <c r="EV22" s="124"/>
      <c r="EW22" s="124"/>
      <c r="EX22" s="124"/>
      <c r="EY22" s="124"/>
      <c r="EZ22" s="124"/>
      <c r="FA22" s="124"/>
      <c r="FB22" s="125"/>
      <c r="FC22" s="126"/>
      <c r="FD22" s="124"/>
      <c r="FE22" s="124"/>
      <c r="FF22" s="127"/>
      <c r="FG22" s="123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8"/>
      <c r="FS22" s="129"/>
      <c r="FT22" s="128"/>
      <c r="FU22" s="131">
        <f>SUM(ES22:FT22)</f>
      </c>
      <c r="FV22" s="121"/>
      <c r="FW22" s="122"/>
      <c r="FX22" s="123"/>
      <c r="FY22" s="124"/>
      <c r="FZ22" s="124"/>
      <c r="GA22" s="124"/>
      <c r="GB22" s="124"/>
      <c r="GC22" s="124"/>
      <c r="GD22" s="124"/>
      <c r="GE22" s="125"/>
      <c r="GF22" s="126"/>
      <c r="GG22" s="124"/>
      <c r="GH22" s="124"/>
      <c r="GI22" s="127"/>
      <c r="GJ22" s="123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8"/>
      <c r="GV22" s="129"/>
      <c r="GW22" s="128"/>
      <c r="GX22" s="131">
        <f>SUM(FV22:GW22)</f>
      </c>
      <c r="GY22" s="132">
        <f>AF22+BI22+CL22+DO22+ER22+FU22+GX22</f>
      </c>
      <c r="GZ22" s="133">
        <f>(COUNTIF(D22:GX22,"H")+COUNTIF(D22:GX22,"S")+COUNTIF(D22:GX22,"L")+COUNTIF(D22:GX22,"E")+COUNTIF(D22:GX22,"C"))/2</f>
      </c>
      <c r="HA22" s="130">
        <f>GY22+GZ22</f>
      </c>
      <c r="HB22" s="134"/>
      <c r="HC22" s="135"/>
      <c r="HD22" s="136"/>
      <c r="HE22" s="137"/>
      <c r="HF22" s="137"/>
      <c r="HG22" s="137"/>
      <c r="HH22" s="143">
        <v>0.5</v>
      </c>
      <c r="HI22" s="143">
        <v>0.5</v>
      </c>
      <c r="HJ22" s="138">
        <v>0.5</v>
      </c>
      <c r="HK22" s="139">
        <v>0.5</v>
      </c>
      <c r="HL22" s="140">
        <v>0.5</v>
      </c>
      <c r="HM22" s="138">
        <v>0.5</v>
      </c>
      <c r="HN22" s="137"/>
      <c r="HO22" s="141"/>
      <c r="HP22" s="142">
        <v>0.5</v>
      </c>
      <c r="HQ22" s="138">
        <v>0.5</v>
      </c>
      <c r="HR22" s="143">
        <v>0.5</v>
      </c>
      <c r="HS22" s="143">
        <v>0.5</v>
      </c>
      <c r="HT22" s="143">
        <v>0.5</v>
      </c>
      <c r="HU22" s="143">
        <v>0.5</v>
      </c>
      <c r="HV22" s="143">
        <v>0.5</v>
      </c>
      <c r="HW22" s="143">
        <v>0.5</v>
      </c>
      <c r="HX22" s="143">
        <v>0.5</v>
      </c>
      <c r="HY22" s="143">
        <v>0.5</v>
      </c>
      <c r="HZ22" s="137"/>
      <c r="IA22" s="146"/>
      <c r="IB22" s="145"/>
      <c r="IC22" s="146"/>
      <c r="ID22" s="131">
        <f>SUM(HB22:IC22)</f>
      </c>
      <c r="IE22" s="134"/>
      <c r="IF22" s="135"/>
      <c r="IG22" s="136"/>
      <c r="IH22" s="137"/>
      <c r="II22" s="137"/>
      <c r="IJ22" s="137"/>
      <c r="IK22" s="143">
        <v>0.5</v>
      </c>
      <c r="IL22" s="143">
        <v>0.5</v>
      </c>
      <c r="IM22" s="138">
        <v>0.5</v>
      </c>
      <c r="IN22" s="139">
        <v>0.5</v>
      </c>
      <c r="IO22" s="140">
        <v>0.5</v>
      </c>
      <c r="IP22" s="138">
        <v>0.5</v>
      </c>
      <c r="IQ22" s="137"/>
      <c r="IR22" s="141"/>
      <c r="IS22" s="142">
        <v>0.5</v>
      </c>
      <c r="IT22" s="138">
        <v>0.5</v>
      </c>
      <c r="IU22" s="143">
        <v>0.5</v>
      </c>
      <c r="IV22" s="143">
        <v>0.5</v>
      </c>
      <c r="IW22" s="143">
        <v>0.5</v>
      </c>
      <c r="IX22" s="143">
        <v>0.5</v>
      </c>
      <c r="IY22" s="143">
        <v>0.5</v>
      </c>
      <c r="IZ22" s="143">
        <v>0.5</v>
      </c>
      <c r="JA22" s="143">
        <v>0.5</v>
      </c>
      <c r="JB22" s="143">
        <v>0.5</v>
      </c>
      <c r="JC22" s="137"/>
      <c r="JD22" s="146"/>
      <c r="JE22" s="145"/>
      <c r="JF22" s="146"/>
      <c r="JG22" s="131">
        <f>SUM(IE22:JF22)</f>
      </c>
      <c r="JH22" s="134"/>
      <c r="JI22" s="135"/>
      <c r="JJ22" s="136"/>
      <c r="JK22" s="137"/>
      <c r="JL22" s="137"/>
      <c r="JM22" s="137"/>
      <c r="JN22" s="143">
        <v>0.5</v>
      </c>
      <c r="JO22" s="143">
        <v>0.5</v>
      </c>
      <c r="JP22" s="138">
        <v>0.5</v>
      </c>
      <c r="JQ22" s="139">
        <v>0.5</v>
      </c>
      <c r="JR22" s="140">
        <v>0.5</v>
      </c>
      <c r="JS22" s="138">
        <v>0.5</v>
      </c>
      <c r="JT22" s="137"/>
      <c r="JU22" s="141"/>
      <c r="JV22" s="142">
        <v>0.5</v>
      </c>
      <c r="JW22" s="138">
        <v>0.5</v>
      </c>
      <c r="JX22" s="143">
        <v>0.5</v>
      </c>
      <c r="JY22" s="143">
        <v>0.5</v>
      </c>
      <c r="JZ22" s="143">
        <v>0.5</v>
      </c>
      <c r="KA22" s="143">
        <v>0.5</v>
      </c>
      <c r="KB22" s="143">
        <v>0.5</v>
      </c>
      <c r="KC22" s="143">
        <v>0.5</v>
      </c>
      <c r="KD22" s="143">
        <v>0.5</v>
      </c>
      <c r="KE22" s="143">
        <v>0.5</v>
      </c>
      <c r="KF22" s="137"/>
      <c r="KG22" s="146"/>
      <c r="KH22" s="145"/>
      <c r="KI22" s="146"/>
      <c r="KJ22" s="131">
        <f>SUM(JH22:KI22)</f>
      </c>
      <c r="KK22" s="134"/>
      <c r="KL22" s="135"/>
      <c r="KM22" s="136"/>
      <c r="KN22" s="137"/>
      <c r="KO22" s="137"/>
      <c r="KP22" s="137"/>
      <c r="KQ22" s="143">
        <v>0.5</v>
      </c>
      <c r="KR22" s="143">
        <v>0.5</v>
      </c>
      <c r="KS22" s="138">
        <v>0.5</v>
      </c>
      <c r="KT22" s="139">
        <v>0.5</v>
      </c>
      <c r="KU22" s="140">
        <v>0.5</v>
      </c>
      <c r="KV22" s="138">
        <v>0.5</v>
      </c>
      <c r="KW22" s="137"/>
      <c r="KX22" s="141"/>
      <c r="KY22" s="142">
        <v>0.5</v>
      </c>
      <c r="KZ22" s="138">
        <v>0.5</v>
      </c>
      <c r="LA22" s="143">
        <v>0.5</v>
      </c>
      <c r="LB22" s="143">
        <v>0.5</v>
      </c>
      <c r="LC22" s="143">
        <v>0.5</v>
      </c>
      <c r="LD22" s="143">
        <v>0.5</v>
      </c>
      <c r="LE22" s="143">
        <v>0.5</v>
      </c>
      <c r="LF22" s="143">
        <v>0.5</v>
      </c>
      <c r="LG22" s="143">
        <v>0.5</v>
      </c>
      <c r="LH22" s="143">
        <v>0.5</v>
      </c>
      <c r="LI22" s="137"/>
      <c r="LJ22" s="146"/>
      <c r="LK22" s="145"/>
      <c r="LL22" s="146"/>
      <c r="LM22" s="131">
        <f>SUM(KK22:LL22)</f>
      </c>
      <c r="LN22" s="134"/>
      <c r="LO22" s="135"/>
      <c r="LP22" s="136"/>
      <c r="LQ22" s="137"/>
      <c r="LR22" s="137"/>
      <c r="LS22" s="137"/>
      <c r="LT22" s="220">
        <v>0.5</v>
      </c>
      <c r="LU22" s="220">
        <v>0.5</v>
      </c>
      <c r="LV22" s="216">
        <v>0.5</v>
      </c>
      <c r="LW22" s="217">
        <v>0.5</v>
      </c>
      <c r="LX22" s="218">
        <v>0.5</v>
      </c>
      <c r="LY22" s="216">
        <v>0.5</v>
      </c>
      <c r="LZ22" s="137"/>
      <c r="MA22" s="141"/>
      <c r="MB22" s="219">
        <v>0.5</v>
      </c>
      <c r="MC22" s="216">
        <v>0.5</v>
      </c>
      <c r="MD22" s="220">
        <v>0.5</v>
      </c>
      <c r="ME22" s="220">
        <v>0.5</v>
      </c>
      <c r="MF22" s="220">
        <v>0.5</v>
      </c>
      <c r="MG22" s="220">
        <v>0.5</v>
      </c>
      <c r="MH22" s="220">
        <v>0.5</v>
      </c>
      <c r="MI22" s="220">
        <v>0.5</v>
      </c>
      <c r="MJ22" s="220">
        <v>0.5</v>
      </c>
      <c r="MK22" s="220">
        <v>0.5</v>
      </c>
      <c r="ML22" s="137"/>
      <c r="MM22" s="146"/>
      <c r="MN22" s="145"/>
      <c r="MO22" s="146"/>
      <c r="MP22" s="131">
        <f>SUM(LN22:MO22)</f>
      </c>
      <c r="MQ22" s="121"/>
      <c r="MR22" s="122"/>
      <c r="MS22" s="123"/>
      <c r="MT22" s="124"/>
      <c r="MU22" s="124"/>
      <c r="MV22" s="124"/>
      <c r="MW22" s="124"/>
      <c r="MX22" s="124"/>
      <c r="MY22" s="124"/>
      <c r="MZ22" s="125"/>
      <c r="NA22" s="126"/>
      <c r="NB22" s="124"/>
      <c r="NC22" s="124"/>
      <c r="ND22" s="127"/>
      <c r="NE22" s="123"/>
      <c r="NF22" s="124"/>
      <c r="NG22" s="124"/>
      <c r="NH22" s="124"/>
      <c r="NI22" s="124"/>
      <c r="NJ22" s="124"/>
      <c r="NK22" s="124"/>
      <c r="NL22" s="124"/>
      <c r="NM22" s="124"/>
      <c r="NN22" s="124"/>
      <c r="NO22" s="124"/>
      <c r="NP22" s="128"/>
      <c r="NQ22" s="129"/>
      <c r="NR22" s="128"/>
      <c r="NS22" s="131">
        <f>SUM(MQ22:NR22)</f>
      </c>
      <c r="NT22" s="121"/>
      <c r="NU22" s="122"/>
      <c r="NV22" s="123"/>
      <c r="NW22" s="124"/>
      <c r="NX22" s="124"/>
      <c r="NY22" s="124"/>
      <c r="NZ22" s="124"/>
      <c r="OA22" s="124"/>
      <c r="OB22" s="124"/>
      <c r="OC22" s="125"/>
      <c r="OD22" s="126"/>
      <c r="OE22" s="124"/>
      <c r="OF22" s="124"/>
      <c r="OG22" s="127"/>
      <c r="OH22" s="123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8"/>
      <c r="OT22" s="129"/>
      <c r="OU22" s="128"/>
      <c r="OV22" s="131">
        <f>SUM(NT22:OU22)</f>
      </c>
      <c r="OW22" s="132">
        <f>ID22+JG22+KJ22+LM22+MP22+NS22+OV22</f>
      </c>
      <c r="OX22" s="133">
        <f>(COUNTIF(HB22:OV22,"H")+COUNTIF(HB22:OV22,"S")+COUNTIF(HB22:OV22,"L")+COUNTIF(HB22:OV22,"E")+COUNTIF(HB22:OV22,"C"))/2</f>
      </c>
      <c r="OY22" s="130">
        <f>OW22+OX22</f>
      </c>
      <c r="OZ22" s="134"/>
      <c r="PA22" s="135"/>
      <c r="PB22" s="136"/>
      <c r="PC22" s="137"/>
      <c r="PD22" s="137"/>
      <c r="PE22" s="137"/>
      <c r="PF22" s="143">
        <v>0.5</v>
      </c>
      <c r="PG22" s="143">
        <v>0.5</v>
      </c>
      <c r="PH22" s="138">
        <v>0.5</v>
      </c>
      <c r="PI22" s="139">
        <v>0.5</v>
      </c>
      <c r="PJ22" s="140">
        <v>0.5</v>
      </c>
      <c r="PK22" s="138">
        <v>0.5</v>
      </c>
      <c r="PL22" s="137"/>
      <c r="PM22" s="141"/>
      <c r="PN22" s="142">
        <v>0.5</v>
      </c>
      <c r="PO22" s="138">
        <v>0.5</v>
      </c>
      <c r="PP22" s="143">
        <v>0.5</v>
      </c>
      <c r="PQ22" s="143">
        <v>0.5</v>
      </c>
      <c r="PR22" s="143">
        <v>0.5</v>
      </c>
      <c r="PS22" s="143">
        <v>0.5</v>
      </c>
      <c r="PT22" s="143">
        <v>0.5</v>
      </c>
      <c r="PU22" s="143">
        <v>0.5</v>
      </c>
      <c r="PV22" s="143">
        <v>0.5</v>
      </c>
      <c r="PW22" s="143">
        <v>0.5</v>
      </c>
      <c r="PX22" s="137"/>
      <c r="PY22" s="146"/>
      <c r="PZ22" s="145"/>
      <c r="QA22" s="146"/>
      <c r="QB22" s="131">
        <f>SUM(OZ22:QA22)</f>
      </c>
      <c r="QC22" s="134"/>
      <c r="QD22" s="135"/>
      <c r="QE22" s="136"/>
      <c r="QF22" s="137"/>
      <c r="QG22" s="137"/>
      <c r="QH22" s="137"/>
      <c r="QI22" s="143">
        <v>0.5</v>
      </c>
      <c r="QJ22" s="143">
        <v>0.5</v>
      </c>
      <c r="QK22" s="138">
        <v>0.5</v>
      </c>
      <c r="QL22" s="139">
        <v>0.5</v>
      </c>
      <c r="QM22" s="140">
        <v>0.5</v>
      </c>
      <c r="QN22" s="138">
        <v>0.5</v>
      </c>
      <c r="QO22" s="137"/>
      <c r="QP22" s="141"/>
      <c r="QQ22" s="142">
        <v>0.5</v>
      </c>
      <c r="QR22" s="138">
        <v>0.5</v>
      </c>
      <c r="QS22" s="143">
        <v>0.5</v>
      </c>
      <c r="QT22" s="143">
        <v>0.5</v>
      </c>
      <c r="QU22" s="143">
        <v>0.5</v>
      </c>
      <c r="QV22" s="143">
        <v>0.5</v>
      </c>
      <c r="QW22" s="143">
        <v>0.5</v>
      </c>
      <c r="QX22" s="143">
        <v>0.5</v>
      </c>
      <c r="QY22" s="143">
        <v>0.5</v>
      </c>
      <c r="QZ22" s="143">
        <v>0.5</v>
      </c>
      <c r="RA22" s="137"/>
      <c r="RB22" s="146"/>
      <c r="RC22" s="145"/>
      <c r="RD22" s="146"/>
      <c r="RE22" s="131">
        <f>SUM(QC22:RD22)</f>
      </c>
      <c r="RF22" s="134"/>
      <c r="RG22" s="135"/>
      <c r="RH22" s="136"/>
      <c r="RI22" s="137"/>
      <c r="RJ22" s="137"/>
      <c r="RK22" s="137"/>
      <c r="RL22" s="143">
        <v>0.5</v>
      </c>
      <c r="RM22" s="143">
        <v>0.5</v>
      </c>
      <c r="RN22" s="138">
        <v>0.5</v>
      </c>
      <c r="RO22" s="139">
        <v>0.5</v>
      </c>
      <c r="RP22" s="140">
        <v>0.5</v>
      </c>
      <c r="RQ22" s="138">
        <v>0.5</v>
      </c>
      <c r="RR22" s="137"/>
      <c r="RS22" s="141"/>
      <c r="RT22" s="142">
        <v>0.5</v>
      </c>
      <c r="RU22" s="138">
        <v>0.5</v>
      </c>
      <c r="RV22" s="143">
        <v>0.5</v>
      </c>
      <c r="RW22" s="143">
        <v>0.5</v>
      </c>
      <c r="RX22" s="143">
        <v>0.5</v>
      </c>
      <c r="RY22" s="143">
        <v>0.5</v>
      </c>
      <c r="RZ22" s="143">
        <v>0.5</v>
      </c>
      <c r="SA22" s="143">
        <v>0.5</v>
      </c>
      <c r="SB22" s="143">
        <v>0.5</v>
      </c>
      <c r="SC22" s="143">
        <v>0.5</v>
      </c>
      <c r="SD22" s="137"/>
      <c r="SE22" s="146"/>
      <c r="SF22" s="145"/>
      <c r="SG22" s="146"/>
      <c r="SH22" s="131">
        <f>SUM(RF22:SG22)</f>
      </c>
      <c r="SI22" s="134"/>
      <c r="SJ22" s="135"/>
      <c r="SK22" s="136"/>
      <c r="SL22" s="137"/>
      <c r="SM22" s="137"/>
      <c r="SN22" s="137"/>
      <c r="SO22" s="143">
        <v>0.5</v>
      </c>
      <c r="SP22" s="143">
        <v>0.5</v>
      </c>
      <c r="SQ22" s="138">
        <v>0.5</v>
      </c>
      <c r="SR22" s="139">
        <v>0.5</v>
      </c>
      <c r="SS22" s="140">
        <v>0.5</v>
      </c>
      <c r="ST22" s="138">
        <v>0.5</v>
      </c>
      <c r="SU22" s="137"/>
      <c r="SV22" s="141"/>
      <c r="SW22" s="142">
        <v>0.5</v>
      </c>
      <c r="SX22" s="138">
        <v>0.5</v>
      </c>
      <c r="SY22" s="143">
        <v>0.5</v>
      </c>
      <c r="SZ22" s="143">
        <v>0.5</v>
      </c>
      <c r="TA22" s="143">
        <v>0.5</v>
      </c>
      <c r="TB22" s="143">
        <v>0.5</v>
      </c>
      <c r="TC22" s="143">
        <v>0.5</v>
      </c>
      <c r="TD22" s="143">
        <v>0.5</v>
      </c>
      <c r="TE22" s="143">
        <v>0.5</v>
      </c>
      <c r="TF22" s="143">
        <v>0.5</v>
      </c>
      <c r="TG22" s="137"/>
      <c r="TH22" s="146"/>
      <c r="TI22" s="145"/>
      <c r="TJ22" s="146"/>
      <c r="TK22" s="131">
        <f>SUM(SI22:TJ22)</f>
      </c>
      <c r="TL22" s="134"/>
      <c r="TM22" s="135"/>
      <c r="TN22" s="136"/>
      <c r="TO22" s="137"/>
      <c r="TP22" s="137"/>
      <c r="TQ22" s="137"/>
      <c r="TR22" s="220">
        <v>0.5</v>
      </c>
      <c r="TS22" s="220">
        <v>0.5</v>
      </c>
      <c r="TT22" s="216">
        <v>0.5</v>
      </c>
      <c r="TU22" s="217">
        <v>0.5</v>
      </c>
      <c r="TV22" s="218">
        <v>0.5</v>
      </c>
      <c r="TW22" s="216">
        <v>0.5</v>
      </c>
      <c r="TX22" s="137"/>
      <c r="TY22" s="141"/>
      <c r="TZ22" s="219">
        <v>0.5</v>
      </c>
      <c r="UA22" s="216">
        <v>0.5</v>
      </c>
      <c r="UB22" s="220">
        <v>0.5</v>
      </c>
      <c r="UC22" s="220">
        <v>0.5</v>
      </c>
      <c r="UD22" s="220">
        <v>0.5</v>
      </c>
      <c r="UE22" s="220">
        <v>0.5</v>
      </c>
      <c r="UF22" s="220">
        <v>0.5</v>
      </c>
      <c r="UG22" s="220">
        <v>0.5</v>
      </c>
      <c r="UH22" s="220">
        <v>0.5</v>
      </c>
      <c r="UI22" s="220">
        <v>0.5</v>
      </c>
      <c r="UJ22" s="137"/>
      <c r="UK22" s="146"/>
      <c r="UL22" s="145"/>
      <c r="UM22" s="146"/>
      <c r="UN22" s="131">
        <f>SUM(TL22:UM22)</f>
      </c>
      <c r="UO22" s="121"/>
      <c r="UP22" s="122"/>
      <c r="UQ22" s="123"/>
      <c r="UR22" s="124"/>
      <c r="US22" s="124"/>
      <c r="UT22" s="124"/>
      <c r="UU22" s="124"/>
      <c r="UV22" s="124"/>
      <c r="UW22" s="124"/>
      <c r="UX22" s="125"/>
      <c r="UY22" s="126"/>
      <c r="UZ22" s="124"/>
      <c r="VA22" s="124"/>
      <c r="VB22" s="127"/>
      <c r="VC22" s="123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8"/>
      <c r="VO22" s="129"/>
      <c r="VP22" s="128"/>
      <c r="VQ22" s="131">
        <f>SUM(UO22:VP22)</f>
      </c>
      <c r="VR22" s="121"/>
      <c r="VS22" s="122"/>
      <c r="VT22" s="123"/>
      <c r="VU22" s="124"/>
      <c r="VV22" s="124"/>
      <c r="VW22" s="124"/>
      <c r="VX22" s="124"/>
      <c r="VY22" s="124"/>
      <c r="VZ22" s="124"/>
      <c r="WA22" s="125"/>
      <c r="WB22" s="126"/>
      <c r="WC22" s="124"/>
      <c r="WD22" s="124"/>
      <c r="WE22" s="127"/>
      <c r="WF22" s="123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8"/>
      <c r="WR22" s="129"/>
      <c r="WS22" s="128"/>
      <c r="WT22" s="131">
        <f>SUM(VR22:WS22)</f>
      </c>
      <c r="WU22" s="132">
        <f>QB22+RE22+SH22+TK22+UN22+VQ22+WT22</f>
      </c>
      <c r="WV22" s="133">
        <f>(COUNTIF(OZ22:WT22,"H")+COUNTIF(OZ22:WT22,"S")+COUNTIF(OZ22:WT22,"L")+COUNTIF(OZ22:WT22,"E")+COUNTIF(OZ22:WT22,"C"))/2</f>
      </c>
      <c r="WW22" s="130">
        <f>WU22+WV22</f>
      </c>
      <c r="WX22" s="134"/>
      <c r="WY22" s="135"/>
      <c r="WZ22" s="136"/>
      <c r="XA22" s="137"/>
      <c r="XB22" s="137"/>
      <c r="XC22" s="137"/>
      <c r="XD22" s="143">
        <v>0.5</v>
      </c>
      <c r="XE22" s="143">
        <v>0.5</v>
      </c>
      <c r="XF22" s="138">
        <v>0.5</v>
      </c>
      <c r="XG22" s="139">
        <v>0.5</v>
      </c>
      <c r="XH22" s="140">
        <v>0.5</v>
      </c>
      <c r="XI22" s="138">
        <v>0.5</v>
      </c>
      <c r="XJ22" s="137"/>
      <c r="XK22" s="141"/>
      <c r="XL22" s="142">
        <v>0.5</v>
      </c>
      <c r="XM22" s="138">
        <v>0.5</v>
      </c>
      <c r="XN22" s="143">
        <v>0.5</v>
      </c>
      <c r="XO22" s="143">
        <v>0.5</v>
      </c>
      <c r="XP22" s="143">
        <v>0.5</v>
      </c>
      <c r="XQ22" s="143">
        <v>0.5</v>
      </c>
      <c r="XR22" s="143">
        <v>0.5</v>
      </c>
      <c r="XS22" s="143">
        <v>0.5</v>
      </c>
      <c r="XT22" s="143">
        <v>0.5</v>
      </c>
      <c r="XU22" s="143">
        <v>0.5</v>
      </c>
      <c r="XV22" s="137"/>
      <c r="XW22" s="146"/>
      <c r="XX22" s="145"/>
      <c r="XY22" s="146"/>
      <c r="XZ22" s="131">
        <f>SUM(WX22:XY22)</f>
      </c>
      <c r="YA22" s="134"/>
      <c r="YB22" s="135"/>
      <c r="YC22" s="136"/>
      <c r="YD22" s="137"/>
      <c r="YE22" s="137"/>
      <c r="YF22" s="137"/>
      <c r="YG22" s="143">
        <v>0.5</v>
      </c>
      <c r="YH22" s="143">
        <v>0.5</v>
      </c>
      <c r="YI22" s="138">
        <v>0.5</v>
      </c>
      <c r="YJ22" s="139">
        <v>0.5</v>
      </c>
      <c r="YK22" s="140">
        <v>0.5</v>
      </c>
      <c r="YL22" s="138">
        <v>0.5</v>
      </c>
      <c r="YM22" s="137"/>
      <c r="YN22" s="141"/>
      <c r="YO22" s="142">
        <v>0.5</v>
      </c>
      <c r="YP22" s="138">
        <v>0.5</v>
      </c>
      <c r="YQ22" s="143">
        <v>0.5</v>
      </c>
      <c r="YR22" s="143">
        <v>0.5</v>
      </c>
      <c r="YS22" s="143">
        <v>0.5</v>
      </c>
      <c r="YT22" s="143">
        <v>0.5</v>
      </c>
      <c r="YU22" s="143">
        <v>0.5</v>
      </c>
      <c r="YV22" s="143">
        <v>0.5</v>
      </c>
      <c r="YW22" s="143">
        <v>0.5</v>
      </c>
      <c r="YX22" s="143">
        <v>0.5</v>
      </c>
      <c r="YY22" s="137"/>
      <c r="YZ22" s="146"/>
      <c r="ZA22" s="145"/>
      <c r="ZB22" s="146"/>
      <c r="ZC22" s="131">
        <f>SUM(YA22:ZB22)</f>
      </c>
      <c r="ZD22" s="134"/>
      <c r="ZE22" s="135"/>
      <c r="ZF22" s="136"/>
      <c r="ZG22" s="137"/>
      <c r="ZH22" s="137"/>
      <c r="ZI22" s="137"/>
      <c r="ZJ22" s="143">
        <v>0.5</v>
      </c>
      <c r="ZK22" s="143">
        <v>0.5</v>
      </c>
      <c r="ZL22" s="138">
        <v>0.5</v>
      </c>
      <c r="ZM22" s="139">
        <v>0.5</v>
      </c>
      <c r="ZN22" s="140">
        <v>0.5</v>
      </c>
      <c r="ZO22" s="138">
        <v>0.5</v>
      </c>
      <c r="ZP22" s="137"/>
      <c r="ZQ22" s="141"/>
      <c r="ZR22" s="142">
        <v>0.5</v>
      </c>
      <c r="ZS22" s="138">
        <v>0.5</v>
      </c>
      <c r="ZT22" s="143">
        <v>0.5</v>
      </c>
      <c r="ZU22" s="143">
        <v>0.5</v>
      </c>
      <c r="ZV22" s="143">
        <v>0.5</v>
      </c>
      <c r="ZW22" s="143">
        <v>0.5</v>
      </c>
      <c r="ZX22" s="143">
        <v>0.5</v>
      </c>
      <c r="ZY22" s="143">
        <v>0.5</v>
      </c>
      <c r="ZZ22" s="143">
        <v>0.5</v>
      </c>
      <c r="AAA22" s="143">
        <v>0.5</v>
      </c>
      <c r="AAB22" s="137"/>
      <c r="AAC22" s="146"/>
      <c r="AAD22" s="145"/>
      <c r="AAE22" s="146"/>
      <c r="AAF22" s="131">
        <f>SUM(ZD22:AAE22)</f>
      </c>
      <c r="AAG22" s="134"/>
      <c r="AAH22" s="135"/>
      <c r="AAI22" s="136"/>
      <c r="AAJ22" s="137"/>
      <c r="AAK22" s="137"/>
      <c r="AAL22" s="137"/>
      <c r="AAM22" s="143">
        <v>0.5</v>
      </c>
      <c r="AAN22" s="143">
        <v>0.5</v>
      </c>
      <c r="AAO22" s="138">
        <v>0.5</v>
      </c>
      <c r="AAP22" s="139">
        <v>0.5</v>
      </c>
      <c r="AAQ22" s="140">
        <v>0.5</v>
      </c>
      <c r="AAR22" s="138">
        <v>0.5</v>
      </c>
      <c r="AAS22" s="137"/>
      <c r="AAT22" s="141"/>
      <c r="AAU22" s="142">
        <v>0.5</v>
      </c>
      <c r="AAV22" s="138">
        <v>0.5</v>
      </c>
      <c r="AAW22" s="143">
        <v>0.5</v>
      </c>
      <c r="AAX22" s="143">
        <v>0.5</v>
      </c>
      <c r="AAY22" s="143">
        <v>0.5</v>
      </c>
      <c r="AAZ22" s="143">
        <v>0.5</v>
      </c>
      <c r="ABA22" s="143">
        <v>0.5</v>
      </c>
      <c r="ABB22" s="143">
        <v>0.5</v>
      </c>
      <c r="ABC22" s="143">
        <v>0.5</v>
      </c>
      <c r="ABD22" s="143">
        <v>0.5</v>
      </c>
      <c r="ABE22" s="137"/>
      <c r="ABF22" s="146"/>
      <c r="ABG22" s="145"/>
      <c r="ABH22" s="146"/>
      <c r="ABI22" s="131">
        <f>SUM(AAG22:ABH22)</f>
      </c>
      <c r="ABJ22" s="134"/>
      <c r="ABK22" s="135"/>
      <c r="ABL22" s="136"/>
      <c r="ABM22" s="137"/>
      <c r="ABN22" s="137"/>
      <c r="ABO22" s="137"/>
      <c r="ABP22" s="220">
        <v>0.5</v>
      </c>
      <c r="ABQ22" s="220">
        <v>0.5</v>
      </c>
      <c r="ABR22" s="216">
        <v>0.5</v>
      </c>
      <c r="ABS22" s="217">
        <v>0.5</v>
      </c>
      <c r="ABT22" s="218">
        <v>0.5</v>
      </c>
      <c r="ABU22" s="216">
        <v>0.5</v>
      </c>
      <c r="ABV22" s="137"/>
      <c r="ABW22" s="141"/>
      <c r="ABX22" s="219">
        <v>0.5</v>
      </c>
      <c r="ABY22" s="216">
        <v>0.5</v>
      </c>
      <c r="ABZ22" s="220">
        <v>0.5</v>
      </c>
      <c r="ACA22" s="220">
        <v>0.5</v>
      </c>
      <c r="ACB22" s="220">
        <v>0.5</v>
      </c>
      <c r="ACC22" s="220">
        <v>0.5</v>
      </c>
      <c r="ACD22" s="220">
        <v>0.5</v>
      </c>
      <c r="ACE22" s="220">
        <v>0.5</v>
      </c>
      <c r="ACF22" s="220">
        <v>0.5</v>
      </c>
      <c r="ACG22" s="220">
        <v>0.5</v>
      </c>
      <c r="ACH22" s="137"/>
      <c r="ACI22" s="146"/>
      <c r="ACJ22" s="145"/>
      <c r="ACK22" s="146"/>
      <c r="ACL22" s="131">
        <f>SUM(ABJ22:ACK22)</f>
      </c>
      <c r="ACM22" s="121"/>
      <c r="ACN22" s="122"/>
      <c r="ACO22" s="123"/>
      <c r="ACP22" s="124"/>
      <c r="ACQ22" s="124"/>
      <c r="ACR22" s="124"/>
      <c r="ACS22" s="124"/>
      <c r="ACT22" s="124"/>
      <c r="ACU22" s="124"/>
      <c r="ACV22" s="125"/>
      <c r="ACW22" s="126"/>
      <c r="ACX22" s="124"/>
      <c r="ACY22" s="124"/>
      <c r="ACZ22" s="127"/>
      <c r="ADA22" s="123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8"/>
      <c r="ADM22" s="129"/>
      <c r="ADN22" s="128"/>
      <c r="ADO22" s="131">
        <f>SUM(ACM22:ADN22)</f>
      </c>
      <c r="ADP22" s="121"/>
      <c r="ADQ22" s="122"/>
      <c r="ADR22" s="123"/>
      <c r="ADS22" s="124"/>
      <c r="ADT22" s="124"/>
      <c r="ADU22" s="124"/>
      <c r="ADV22" s="124"/>
      <c r="ADW22" s="124"/>
      <c r="ADX22" s="124"/>
      <c r="ADY22" s="125"/>
      <c r="ADZ22" s="126"/>
      <c r="AEA22" s="124"/>
      <c r="AEB22" s="124"/>
      <c r="AEC22" s="127"/>
      <c r="AED22" s="123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8"/>
      <c r="AEP22" s="129"/>
      <c r="AEQ22" s="128"/>
      <c r="AER22" s="131">
        <f>SUM(ADP22:AEQ22)</f>
      </c>
      <c r="AES22" s="132">
        <f>XZ22+ZC22+AAF22+ABI22+ACL22+ADO22+AER22</f>
      </c>
      <c r="AET22" s="133">
        <f>(COUNTIF(WX22:AER22,"H")+COUNTIF(WX22:AER22,"S")+COUNTIF(WX22:AER22,"L")+COUNTIF(WX22:AER22,"E")+COUNTIF(WX22:AER22,"C"))/2</f>
      </c>
      <c r="AEU22" s="130">
        <f>AES22+AET22</f>
      </c>
      <c r="AEV22" s="134"/>
      <c r="AEW22" s="135"/>
      <c r="AEX22" s="136"/>
      <c r="AEY22" s="137"/>
      <c r="AEZ22" s="137"/>
      <c r="AFA22" s="137"/>
      <c r="AFB22" s="143">
        <v>0.5</v>
      </c>
      <c r="AFC22" s="143">
        <v>0.5</v>
      </c>
      <c r="AFD22" s="138">
        <v>0.5</v>
      </c>
      <c r="AFE22" s="139">
        <v>0.5</v>
      </c>
      <c r="AFF22" s="140">
        <v>0.5</v>
      </c>
      <c r="AFG22" s="138">
        <v>0.5</v>
      </c>
      <c r="AFH22" s="137"/>
      <c r="AFI22" s="141"/>
      <c r="AFJ22" s="142">
        <v>0.5</v>
      </c>
      <c r="AFK22" s="138">
        <v>0.5</v>
      </c>
      <c r="AFL22" s="143">
        <v>0.5</v>
      </c>
      <c r="AFM22" s="143">
        <v>0.5</v>
      </c>
      <c r="AFN22" s="143">
        <v>0.5</v>
      </c>
      <c r="AFO22" s="143">
        <v>0.5</v>
      </c>
      <c r="AFP22" s="143">
        <v>0.5</v>
      </c>
      <c r="AFQ22" s="143">
        <v>0.5</v>
      </c>
      <c r="AFR22" s="143">
        <v>0.5</v>
      </c>
      <c r="AFS22" s="143">
        <v>0.5</v>
      </c>
      <c r="AFT22" s="137"/>
      <c r="AFU22" s="146"/>
      <c r="AFV22" s="145"/>
      <c r="AFW22" s="146"/>
      <c r="AFX22" s="130">
        <f>SUM(AEV22:AFW22)</f>
      </c>
      <c r="AFY22" s="134"/>
      <c r="AFZ22" s="135"/>
      <c r="AGA22" s="136"/>
      <c r="AGB22" s="137"/>
      <c r="AGC22" s="137"/>
      <c r="AGD22" s="137"/>
      <c r="AGE22" s="143">
        <v>0.5</v>
      </c>
      <c r="AGF22" s="143">
        <v>0.5</v>
      </c>
      <c r="AGG22" s="138">
        <v>0.5</v>
      </c>
      <c r="AGH22" s="139">
        <v>0.5</v>
      </c>
      <c r="AGI22" s="140">
        <v>0.5</v>
      </c>
      <c r="AGJ22" s="138">
        <v>0.5</v>
      </c>
      <c r="AGK22" s="137"/>
      <c r="AGL22" s="141"/>
      <c r="AGM22" s="142">
        <v>0.5</v>
      </c>
      <c r="AGN22" s="138">
        <v>0.5</v>
      </c>
      <c r="AGO22" s="143">
        <v>0.5</v>
      </c>
      <c r="AGP22" s="143">
        <v>0.5</v>
      </c>
      <c r="AGQ22" s="143">
        <v>0.5</v>
      </c>
      <c r="AGR22" s="143">
        <v>0.5</v>
      </c>
      <c r="AGS22" s="143">
        <v>0.5</v>
      </c>
      <c r="AGT22" s="143">
        <v>0.5</v>
      </c>
      <c r="AGU22" s="143">
        <v>0.5</v>
      </c>
      <c r="AGV22" s="143">
        <v>0.5</v>
      </c>
      <c r="AGW22" s="137"/>
      <c r="AGX22" s="146"/>
      <c r="AGY22" s="145"/>
      <c r="AGZ22" s="146"/>
      <c r="AHA22" s="130">
        <f>SUM(AFY22:AGZ22)</f>
      </c>
      <c r="AHB22" s="134"/>
      <c r="AHC22" s="135"/>
      <c r="AHD22" s="136"/>
      <c r="AHE22" s="137"/>
      <c r="AHF22" s="137"/>
      <c r="AHG22" s="137"/>
      <c r="AHH22" s="143">
        <v>0.5</v>
      </c>
      <c r="AHI22" s="143">
        <v>0.5</v>
      </c>
      <c r="AHJ22" s="138">
        <v>0.5</v>
      </c>
      <c r="AHK22" s="139">
        <v>0.5</v>
      </c>
      <c r="AHL22" s="140">
        <v>0.5</v>
      </c>
      <c r="AHM22" s="138">
        <v>0.5</v>
      </c>
      <c r="AHN22" s="137"/>
      <c r="AHO22" s="141"/>
      <c r="AHP22" s="142">
        <v>0.5</v>
      </c>
      <c r="AHQ22" s="138">
        <v>0.5</v>
      </c>
      <c r="AHR22" s="143">
        <v>0.5</v>
      </c>
      <c r="AHS22" s="143">
        <v>0.5</v>
      </c>
      <c r="AHT22" s="143">
        <v>0.5</v>
      </c>
      <c r="AHU22" s="143">
        <v>0.5</v>
      </c>
      <c r="AHV22" s="143">
        <v>0.5</v>
      </c>
      <c r="AHW22" s="143">
        <v>0.5</v>
      </c>
      <c r="AHX22" s="143">
        <v>0.5</v>
      </c>
      <c r="AHY22" s="143">
        <v>0.5</v>
      </c>
      <c r="AHZ22" s="137"/>
      <c r="AIA22" s="146"/>
      <c r="AIB22" s="145"/>
      <c r="AIC22" s="146"/>
      <c r="AID22" s="130">
        <f>SUM(AHB22:AIC22)</f>
      </c>
      <c r="AIE22" s="134"/>
      <c r="AIF22" s="135"/>
      <c r="AIG22" s="136"/>
      <c r="AIH22" s="137"/>
      <c r="AII22" s="137"/>
      <c r="AIJ22" s="137"/>
      <c r="AIK22" s="143">
        <v>0.5</v>
      </c>
      <c r="AIL22" s="143">
        <v>0.5</v>
      </c>
      <c r="AIM22" s="138">
        <v>0.5</v>
      </c>
      <c r="AIN22" s="139">
        <v>0.5</v>
      </c>
      <c r="AIO22" s="140">
        <v>0.5</v>
      </c>
      <c r="AIP22" s="138">
        <v>0.5</v>
      </c>
      <c r="AIQ22" s="137"/>
      <c r="AIR22" s="141"/>
      <c r="AIS22" s="142">
        <v>0.5</v>
      </c>
      <c r="AIT22" s="138">
        <v>0.5</v>
      </c>
      <c r="AIU22" s="143">
        <v>0.5</v>
      </c>
      <c r="AIV22" s="143">
        <v>0.5</v>
      </c>
      <c r="AIW22" s="143">
        <v>0.5</v>
      </c>
      <c r="AIX22" s="143">
        <v>0.5</v>
      </c>
      <c r="AIY22" s="143">
        <v>0.5</v>
      </c>
      <c r="AIZ22" s="143">
        <v>0.5</v>
      </c>
      <c r="AJA22" s="143">
        <v>0.5</v>
      </c>
      <c r="AJB22" s="143">
        <v>0.5</v>
      </c>
      <c r="AJC22" s="137"/>
      <c r="AJD22" s="146"/>
      <c r="AJE22" s="145"/>
      <c r="AJF22" s="146"/>
      <c r="AJG22" s="130">
        <f>SUM(AIE22:AJF22)</f>
      </c>
      <c r="AJH22" s="134"/>
      <c r="AJI22" s="135"/>
      <c r="AJJ22" s="136"/>
      <c r="AJK22" s="137"/>
      <c r="AJL22" s="137"/>
      <c r="AJM22" s="137"/>
      <c r="AJN22" s="220">
        <v>0.5</v>
      </c>
      <c r="AJO22" s="220">
        <v>0.5</v>
      </c>
      <c r="AJP22" s="216">
        <v>0.5</v>
      </c>
      <c r="AJQ22" s="217">
        <v>0.5</v>
      </c>
      <c r="AJR22" s="218">
        <v>0.5</v>
      </c>
      <c r="AJS22" s="216">
        <v>0.5</v>
      </c>
      <c r="AJT22" s="137"/>
      <c r="AJU22" s="141"/>
      <c r="AJV22" s="219">
        <v>0.5</v>
      </c>
      <c r="AJW22" s="216">
        <v>0.5</v>
      </c>
      <c r="AJX22" s="220">
        <v>0.5</v>
      </c>
      <c r="AJY22" s="220">
        <v>0.5</v>
      </c>
      <c r="AJZ22" s="220">
        <v>0.5</v>
      </c>
      <c r="AKA22" s="220">
        <v>0.5</v>
      </c>
      <c r="AKB22" s="220">
        <v>0.5</v>
      </c>
      <c r="AKC22" s="220">
        <v>0.5</v>
      </c>
      <c r="AKD22" s="220">
        <v>0.5</v>
      </c>
      <c r="AKE22" s="220">
        <v>0.5</v>
      </c>
      <c r="AKF22" s="137"/>
      <c r="AKG22" s="146"/>
      <c r="AKH22" s="145"/>
      <c r="AKI22" s="146"/>
      <c r="AKJ22" s="130">
        <f>SUM(AJH22:AKI22)</f>
      </c>
      <c r="AKK22" s="121"/>
      <c r="AKL22" s="122"/>
      <c r="AKM22" s="123"/>
      <c r="AKN22" s="124"/>
      <c r="AKO22" s="124"/>
      <c r="AKP22" s="124"/>
      <c r="AKQ22" s="124"/>
      <c r="AKR22" s="124"/>
      <c r="AKS22" s="124"/>
      <c r="AKT22" s="125"/>
      <c r="AKU22" s="126"/>
      <c r="AKV22" s="124"/>
      <c r="AKW22" s="124"/>
      <c r="AKX22" s="127"/>
      <c r="AKY22" s="123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8"/>
      <c r="ALK22" s="129"/>
      <c r="ALL22" s="128"/>
      <c r="ALM22" s="131">
        <f>SUM(AKK22:ALL22)</f>
      </c>
      <c r="ALN22" s="121"/>
      <c r="ALO22" s="122"/>
      <c r="ALP22" s="123"/>
      <c r="ALQ22" s="124"/>
      <c r="ALR22" s="124"/>
      <c r="ALS22" s="124"/>
      <c r="ALT22" s="124"/>
      <c r="ALU22" s="124"/>
      <c r="ALV22" s="124"/>
      <c r="ALW22" s="125"/>
      <c r="ALX22" s="126"/>
      <c r="ALY22" s="124"/>
      <c r="ALZ22" s="124"/>
      <c r="AMA22" s="127"/>
      <c r="AMB22" s="123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8"/>
      <c r="AMN22" s="129"/>
      <c r="AMO22" s="128"/>
      <c r="AMP22" s="131">
        <f>SUM(ALN22:AMO22)</f>
      </c>
      <c r="AMQ22" s="150">
        <f>AFX22+AHA22+AID22+AJG22+AKJ22+ALM22+AMP22</f>
      </c>
      <c r="AMR22" s="133">
        <f>(COUNTIF(AEV22:AMP22,"H")+COUNTIF(AEV22:AMP22,"S")+COUNTIF(AEV22:AMP22,"L")+COUNTIF(AEV22:AMP22,"E")+COUNTIF(AEV22:AMP22,"C"))/2</f>
      </c>
      <c r="AMS22" s="131">
        <f>AMQ22+AMR22</f>
      </c>
      <c r="AMT22" s="4"/>
      <c r="AMU22" s="4"/>
      <c r="AMV22" s="4"/>
      <c r="AMW22" s="4"/>
      <c r="AMX22" s="4"/>
      <c r="AMY22" s="4"/>
      <c r="AMZ22" s="4"/>
      <c r="ANA22" s="4"/>
      <c r="ANB22" s="4"/>
      <c r="ANC22" s="4"/>
      <c r="AND22" s="4"/>
      <c r="ANE22" s="4"/>
      <c r="ANF22" s="4"/>
      <c r="ANG22" s="4"/>
      <c r="ANH22" s="4"/>
      <c r="ANI22" s="4"/>
      <c r="ANJ22" s="13"/>
      <c r="ANK22" s="13"/>
      <c r="ANL22" s="4"/>
      <c r="ANM22" s="4"/>
      <c r="ANN22" s="4"/>
      <c r="ANO22" s="4"/>
      <c r="ANP22" s="4"/>
      <c r="ANQ22" s="4"/>
      <c r="ANR22" s="4"/>
      <c r="ANS22" s="4"/>
      <c r="ANT22" s="4"/>
      <c r="ANU22" s="4"/>
      <c r="ANV22" s="4"/>
      <c r="ANW22" s="4"/>
      <c r="ANX22" s="4"/>
      <c r="ANY22" s="4"/>
      <c r="ANZ22" s="4"/>
      <c r="AOA22" s="4"/>
      <c r="AOB22" s="4"/>
      <c r="AOC22" s="4"/>
      <c r="AOD22" s="4"/>
      <c r="AOE22" s="4"/>
      <c r="AOF22" s="4"/>
      <c r="AOG22" s="4"/>
      <c r="AOH22" s="4"/>
      <c r="AOI22" s="4"/>
      <c r="AOJ22" s="4"/>
      <c r="AOK22" s="4"/>
      <c r="AOL22" s="4"/>
      <c r="AOM22" s="4"/>
      <c r="AON22" s="4"/>
      <c r="AOO22" s="4"/>
      <c r="AOP22" s="4"/>
      <c r="AOQ22" s="4"/>
      <c r="AOR22" s="4"/>
      <c r="AOS22" s="4"/>
      <c r="AOT22" s="4"/>
      <c r="AOU22" s="4"/>
      <c r="AOV22" s="4"/>
      <c r="AOW22" s="4"/>
      <c r="AOX22" s="4"/>
      <c r="AOY22" s="4"/>
      <c r="AOZ22" s="4"/>
      <c r="APA22" s="4"/>
      <c r="APB22" s="4"/>
      <c r="APC22" s="4"/>
      <c r="APD22" s="4"/>
      <c r="APE22" s="4"/>
      <c r="APF22" s="4"/>
      <c r="APG22" s="4"/>
      <c r="APH22" s="4"/>
      <c r="API22" s="4"/>
      <c r="APJ22" s="4"/>
      <c r="APK22" s="4"/>
      <c r="APL22" s="4"/>
      <c r="APM22" s="4"/>
      <c r="APN22" s="4"/>
      <c r="APO22" s="4"/>
      <c r="APP22" s="4"/>
      <c r="APQ22" s="4"/>
      <c r="APR22" s="4"/>
      <c r="APS22" s="4"/>
      <c r="APT22" s="4"/>
      <c r="APU22" s="4"/>
      <c r="APV22" s="4"/>
      <c r="APW22" s="4"/>
      <c r="APX22" s="4"/>
      <c r="APY22" s="4"/>
      <c r="APZ22" s="4"/>
      <c r="AQA22" s="4"/>
      <c r="AQB22" s="4"/>
      <c r="AQC22" s="4"/>
      <c r="AQD22" s="4"/>
      <c r="AQE22" s="4"/>
      <c r="AQF22" s="4"/>
      <c r="AQG22" s="4"/>
      <c r="AQH22" s="4"/>
      <c r="AQI22" s="4"/>
      <c r="AQJ22" s="4"/>
      <c r="AQK22" s="4"/>
      <c r="AQL22" s="4"/>
      <c r="AQM22" s="4"/>
      <c r="AQN22" s="4"/>
      <c r="AQO22" s="4"/>
      <c r="AQP22" s="4"/>
      <c r="AQQ22" s="4"/>
      <c r="AQR22" s="4"/>
      <c r="AQS22" s="4"/>
      <c r="AQT22" s="4"/>
      <c r="AQU22" s="4"/>
      <c r="AQV22" s="4"/>
      <c r="AQW22" s="4"/>
      <c r="AQX22" s="4"/>
      <c r="AQY22" s="4"/>
      <c r="AQZ22" s="4"/>
      <c r="ARA22" s="4"/>
      <c r="ARB22" s="4"/>
      <c r="ARC22" s="4"/>
      <c r="ARD22" s="4"/>
      <c r="ARE22" s="4"/>
      <c r="ARF22" s="4"/>
      <c r="ARG22" s="4"/>
      <c r="ARH22" s="4"/>
      <c r="ARI22" s="4"/>
      <c r="ARJ22" s="4"/>
      <c r="ARK22" s="4"/>
      <c r="ARL22" s="4"/>
      <c r="ARM22" s="4"/>
      <c r="ARN22" s="4"/>
      <c r="ARO22" s="4"/>
      <c r="ARP22" s="4"/>
      <c r="ARQ22" s="4"/>
      <c r="ARR22" s="4"/>
      <c r="ARS22" s="4"/>
      <c r="ART22" s="4"/>
      <c r="ARU22" s="4"/>
      <c r="ARV22" s="4"/>
      <c r="ARW22" s="4"/>
      <c r="ARX22" s="4"/>
      <c r="ARY22" s="4"/>
      <c r="ARZ22" s="4"/>
      <c r="ASA22" s="4"/>
      <c r="ASB22" s="4"/>
      <c r="ASC22" s="4"/>
      <c r="ASD22" s="4"/>
      <c r="ASE22" s="4"/>
      <c r="ASF22" s="4"/>
      <c r="ASG22" s="4"/>
      <c r="ASH22" s="4"/>
      <c r="ASI22" s="4"/>
      <c r="ASJ22" s="4"/>
      <c r="ASK22" s="4"/>
      <c r="ASL22" s="4"/>
      <c r="ASM22" s="4"/>
      <c r="ASN22" s="4"/>
      <c r="ASO22" s="4"/>
      <c r="ASP22" s="4"/>
      <c r="ASQ22" s="4"/>
      <c r="ASR22" s="4"/>
      <c r="ASS22" s="4"/>
      <c r="AST22" s="4"/>
      <c r="ASU22" s="4"/>
    </row>
    <row r="23" ht="15" customHeight="1" spans="1:1191" x14ac:dyDescent="0.25">
      <c r="A23" s="118"/>
      <c r="B23" s="228" t="s">
        <v>63</v>
      </c>
      <c r="C23" s="229" t="s">
        <v>55</v>
      </c>
      <c r="D23" s="121"/>
      <c r="E23" s="122"/>
      <c r="F23" s="123"/>
      <c r="G23" s="124"/>
      <c r="H23" s="124"/>
      <c r="I23" s="124"/>
      <c r="J23" s="124"/>
      <c r="K23" s="124"/>
      <c r="L23" s="124"/>
      <c r="M23" s="125"/>
      <c r="N23" s="126"/>
      <c r="O23" s="124"/>
      <c r="P23" s="124"/>
      <c r="Q23" s="127"/>
      <c r="R23" s="123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8"/>
      <c r="AD23" s="129"/>
      <c r="AE23" s="128"/>
      <c r="AF23" s="130">
        <f>SUM(D23:AE23)</f>
      </c>
      <c r="AG23" s="121"/>
      <c r="AH23" s="122"/>
      <c r="AI23" s="123"/>
      <c r="AJ23" s="124"/>
      <c r="AK23" s="124"/>
      <c r="AL23" s="124"/>
      <c r="AM23" s="124"/>
      <c r="AN23" s="124"/>
      <c r="AO23" s="124"/>
      <c r="AP23" s="125"/>
      <c r="AQ23" s="126"/>
      <c r="AR23" s="124"/>
      <c r="AS23" s="124"/>
      <c r="AT23" s="127"/>
      <c r="AU23" s="123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8"/>
      <c r="BG23" s="129"/>
      <c r="BH23" s="128"/>
      <c r="BI23" s="130">
        <f>SUM(AG23:BH23)</f>
      </c>
      <c r="BJ23" s="121"/>
      <c r="BK23" s="122"/>
      <c r="BL23" s="123"/>
      <c r="BM23" s="124"/>
      <c r="BN23" s="124"/>
      <c r="BO23" s="124"/>
      <c r="BP23" s="124"/>
      <c r="BQ23" s="124"/>
      <c r="BR23" s="124"/>
      <c r="BS23" s="125"/>
      <c r="BT23" s="126"/>
      <c r="BU23" s="124"/>
      <c r="BV23" s="124"/>
      <c r="BW23" s="127"/>
      <c r="BX23" s="123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8"/>
      <c r="CJ23" s="129"/>
      <c r="CK23" s="128"/>
      <c r="CL23" s="130">
        <f>SUM(BJ23:CK23)</f>
      </c>
      <c r="CM23" s="121"/>
      <c r="CN23" s="122"/>
      <c r="CO23" s="123"/>
      <c r="CP23" s="124"/>
      <c r="CQ23" s="124"/>
      <c r="CR23" s="124"/>
      <c r="CS23" s="124"/>
      <c r="CT23" s="124"/>
      <c r="CU23" s="124"/>
      <c r="CV23" s="125"/>
      <c r="CW23" s="126"/>
      <c r="CX23" s="124"/>
      <c r="CY23" s="124"/>
      <c r="CZ23" s="127"/>
      <c r="DA23" s="123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8"/>
      <c r="DM23" s="129"/>
      <c r="DN23" s="128"/>
      <c r="DO23" s="130">
        <f>SUM(CM23:DN23)</f>
      </c>
      <c r="DP23" s="121"/>
      <c r="DQ23" s="122"/>
      <c r="DR23" s="123"/>
      <c r="DS23" s="124"/>
      <c r="DT23" s="124"/>
      <c r="DU23" s="124"/>
      <c r="DV23" s="124"/>
      <c r="DW23" s="124"/>
      <c r="DX23" s="124"/>
      <c r="DY23" s="125"/>
      <c r="DZ23" s="126"/>
      <c r="EA23" s="124"/>
      <c r="EB23" s="124"/>
      <c r="EC23" s="127"/>
      <c r="ED23" s="123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8"/>
      <c r="EP23" s="129"/>
      <c r="EQ23" s="128"/>
      <c r="ER23" s="130">
        <f>SUM(DP23:EQ23)</f>
      </c>
      <c r="ES23" s="121"/>
      <c r="ET23" s="122"/>
      <c r="EU23" s="123"/>
      <c r="EV23" s="124"/>
      <c r="EW23" s="124"/>
      <c r="EX23" s="124"/>
      <c r="EY23" s="124"/>
      <c r="EZ23" s="124"/>
      <c r="FA23" s="124"/>
      <c r="FB23" s="125"/>
      <c r="FC23" s="126"/>
      <c r="FD23" s="124"/>
      <c r="FE23" s="124"/>
      <c r="FF23" s="127"/>
      <c r="FG23" s="123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8"/>
      <c r="FS23" s="129"/>
      <c r="FT23" s="128"/>
      <c r="FU23" s="131">
        <f>SUM(ES23:FT23)</f>
      </c>
      <c r="FV23" s="121"/>
      <c r="FW23" s="122"/>
      <c r="FX23" s="123"/>
      <c r="FY23" s="124"/>
      <c r="FZ23" s="124"/>
      <c r="GA23" s="124"/>
      <c r="GB23" s="124"/>
      <c r="GC23" s="124"/>
      <c r="GD23" s="124"/>
      <c r="GE23" s="125"/>
      <c r="GF23" s="126"/>
      <c r="GG23" s="124"/>
      <c r="GH23" s="124"/>
      <c r="GI23" s="127"/>
      <c r="GJ23" s="123"/>
      <c r="GK23" s="124"/>
      <c r="GL23" s="124"/>
      <c r="GM23" s="124"/>
      <c r="GN23" s="124"/>
      <c r="GO23" s="124"/>
      <c r="GP23" s="124"/>
      <c r="GQ23" s="124"/>
      <c r="GR23" s="124"/>
      <c r="GS23" s="124"/>
      <c r="GT23" s="124"/>
      <c r="GU23" s="128"/>
      <c r="GV23" s="129"/>
      <c r="GW23" s="128"/>
      <c r="GX23" s="131">
        <f>SUM(FV23:GW23)</f>
      </c>
      <c r="GY23" s="132">
        <f>AF23+BI23+CL23+DO23+ER23+FU23+GX23</f>
      </c>
      <c r="GZ23" s="133">
        <f>(COUNTIF(D23:GX23,"H")+COUNTIF(D23:GX23,"S")+COUNTIF(D23:GX23,"L")+COUNTIF(D23:GX23,"E")+COUNTIF(D23:GX23,"C"))/2</f>
      </c>
      <c r="HA23" s="130">
        <f>GY23+GZ23</f>
      </c>
      <c r="HB23" s="134"/>
      <c r="HC23" s="135"/>
      <c r="HD23" s="142">
        <v>0.5</v>
      </c>
      <c r="HE23" s="138">
        <v>0.5</v>
      </c>
      <c r="HF23" s="138">
        <v>0.5</v>
      </c>
      <c r="HG23" s="138">
        <v>0.5</v>
      </c>
      <c r="HH23" s="138">
        <v>0.5</v>
      </c>
      <c r="HI23" s="138">
        <v>0.5</v>
      </c>
      <c r="HJ23" s="138">
        <v>0.5</v>
      </c>
      <c r="HK23" s="139">
        <v>0.5</v>
      </c>
      <c r="HL23" s="147"/>
      <c r="HM23" s="148"/>
      <c r="HN23" s="138">
        <v>0.5</v>
      </c>
      <c r="HO23" s="149">
        <v>0.5</v>
      </c>
      <c r="HP23" s="142">
        <v>0.5</v>
      </c>
      <c r="HQ23" s="138">
        <v>0.5</v>
      </c>
      <c r="HR23" s="138">
        <v>0.5</v>
      </c>
      <c r="HS23" s="138">
        <v>0.5</v>
      </c>
      <c r="HT23" s="138">
        <v>0.5</v>
      </c>
      <c r="HU23" s="138">
        <v>0.5</v>
      </c>
      <c r="HV23" s="137"/>
      <c r="HW23" s="137"/>
      <c r="HX23" s="137"/>
      <c r="HY23" s="137"/>
      <c r="HZ23" s="137"/>
      <c r="IA23" s="146"/>
      <c r="IB23" s="145"/>
      <c r="IC23" s="146"/>
      <c r="ID23" s="131">
        <f>SUM(HB23:IC23)</f>
      </c>
      <c r="IE23" s="134"/>
      <c r="IF23" s="135"/>
      <c r="IG23" s="142">
        <v>0.5</v>
      </c>
      <c r="IH23" s="138">
        <v>0.5</v>
      </c>
      <c r="II23" s="138">
        <v>0.5</v>
      </c>
      <c r="IJ23" s="138">
        <v>0.5</v>
      </c>
      <c r="IK23" s="138">
        <v>0.5</v>
      </c>
      <c r="IL23" s="138">
        <v>0.5</v>
      </c>
      <c r="IM23" s="138">
        <v>0.5</v>
      </c>
      <c r="IN23" s="139">
        <v>0.5</v>
      </c>
      <c r="IO23" s="147"/>
      <c r="IP23" s="148"/>
      <c r="IQ23" s="138">
        <v>0.5</v>
      </c>
      <c r="IR23" s="149">
        <v>0.5</v>
      </c>
      <c r="IS23" s="142">
        <v>0.5</v>
      </c>
      <c r="IT23" s="138">
        <v>0.5</v>
      </c>
      <c r="IU23" s="138">
        <v>0.5</v>
      </c>
      <c r="IV23" s="138">
        <v>0.5</v>
      </c>
      <c r="IW23" s="138">
        <v>0.5</v>
      </c>
      <c r="IX23" s="138">
        <v>0.5</v>
      </c>
      <c r="IY23" s="137"/>
      <c r="IZ23" s="137"/>
      <c r="JA23" s="137"/>
      <c r="JB23" s="137"/>
      <c r="JC23" s="137"/>
      <c r="JD23" s="146"/>
      <c r="JE23" s="145"/>
      <c r="JF23" s="146"/>
      <c r="JG23" s="131">
        <f>SUM(IE23:JF23)</f>
      </c>
      <c r="JH23" s="134"/>
      <c r="JI23" s="135"/>
      <c r="JJ23" s="142">
        <v>0.5</v>
      </c>
      <c r="JK23" s="138">
        <v>0.5</v>
      </c>
      <c r="JL23" s="138">
        <v>0.5</v>
      </c>
      <c r="JM23" s="138">
        <v>0.5</v>
      </c>
      <c r="JN23" s="138">
        <v>0.5</v>
      </c>
      <c r="JO23" s="138">
        <v>0.5</v>
      </c>
      <c r="JP23" s="138">
        <v>0.5</v>
      </c>
      <c r="JQ23" s="139">
        <v>0.5</v>
      </c>
      <c r="JR23" s="147"/>
      <c r="JS23" s="148"/>
      <c r="JT23" s="138">
        <v>0.5</v>
      </c>
      <c r="JU23" s="149">
        <v>0.5</v>
      </c>
      <c r="JV23" s="142">
        <v>0.5</v>
      </c>
      <c r="JW23" s="138">
        <v>0.5</v>
      </c>
      <c r="JX23" s="138">
        <v>0.5</v>
      </c>
      <c r="JY23" s="138">
        <v>0.5</v>
      </c>
      <c r="JZ23" s="138">
        <v>0.5</v>
      </c>
      <c r="KA23" s="138">
        <v>0.5</v>
      </c>
      <c r="KB23" s="137"/>
      <c r="KC23" s="137"/>
      <c r="KD23" s="137"/>
      <c r="KE23" s="137"/>
      <c r="KF23" s="137"/>
      <c r="KG23" s="146"/>
      <c r="KH23" s="145"/>
      <c r="KI23" s="146"/>
      <c r="KJ23" s="131">
        <f>SUM(JH23:KI23)</f>
      </c>
      <c r="KK23" s="134"/>
      <c r="KL23" s="135"/>
      <c r="KM23" s="142">
        <v>0.5</v>
      </c>
      <c r="KN23" s="138">
        <v>0.5</v>
      </c>
      <c r="KO23" s="138">
        <v>0.5</v>
      </c>
      <c r="KP23" s="138">
        <v>0.5</v>
      </c>
      <c r="KQ23" s="138">
        <v>0.5</v>
      </c>
      <c r="KR23" s="138">
        <v>0.5</v>
      </c>
      <c r="KS23" s="138">
        <v>0.5</v>
      </c>
      <c r="KT23" s="139">
        <v>0.5</v>
      </c>
      <c r="KU23" s="147"/>
      <c r="KV23" s="148"/>
      <c r="KW23" s="138">
        <v>0.5</v>
      </c>
      <c r="KX23" s="149">
        <v>0.5</v>
      </c>
      <c r="KY23" s="142">
        <v>0.5</v>
      </c>
      <c r="KZ23" s="138">
        <v>0.5</v>
      </c>
      <c r="LA23" s="138">
        <v>0.5</v>
      </c>
      <c r="LB23" s="138">
        <v>0.5</v>
      </c>
      <c r="LC23" s="138">
        <v>0.5</v>
      </c>
      <c r="LD23" s="138">
        <v>0.5</v>
      </c>
      <c r="LE23" s="137"/>
      <c r="LF23" s="137"/>
      <c r="LG23" s="137"/>
      <c r="LH23" s="137"/>
      <c r="LI23" s="137"/>
      <c r="LJ23" s="146"/>
      <c r="LK23" s="145"/>
      <c r="LL23" s="146"/>
      <c r="LM23" s="131">
        <f>SUM(KK23:LL23)</f>
      </c>
      <c r="LN23" s="134"/>
      <c r="LO23" s="135"/>
      <c r="LP23" s="219">
        <v>0.5</v>
      </c>
      <c r="LQ23" s="216">
        <v>0.5</v>
      </c>
      <c r="LR23" s="216">
        <v>0.5</v>
      </c>
      <c r="LS23" s="216">
        <v>0.5</v>
      </c>
      <c r="LT23" s="216">
        <v>0.5</v>
      </c>
      <c r="LU23" s="216">
        <v>0.5</v>
      </c>
      <c r="LV23" s="216">
        <v>0.5</v>
      </c>
      <c r="LW23" s="217">
        <v>0.5</v>
      </c>
      <c r="LX23" s="147"/>
      <c r="LY23" s="148"/>
      <c r="LZ23" s="216">
        <v>0.5</v>
      </c>
      <c r="MA23" s="226">
        <v>0.5</v>
      </c>
      <c r="MB23" s="219">
        <v>0.5</v>
      </c>
      <c r="MC23" s="216">
        <v>0.5</v>
      </c>
      <c r="MD23" s="216">
        <v>0.5</v>
      </c>
      <c r="ME23" s="216">
        <v>0.5</v>
      </c>
      <c r="MF23" s="216">
        <v>0.5</v>
      </c>
      <c r="MG23" s="216">
        <v>0.5</v>
      </c>
      <c r="MH23" s="137"/>
      <c r="MI23" s="137"/>
      <c r="MJ23" s="137"/>
      <c r="MK23" s="137"/>
      <c r="ML23" s="137"/>
      <c r="MM23" s="146"/>
      <c r="MN23" s="145"/>
      <c r="MO23" s="146"/>
      <c r="MP23" s="131">
        <f>SUM(LN23:MO23)</f>
      </c>
      <c r="MQ23" s="121"/>
      <c r="MR23" s="122"/>
      <c r="MS23" s="123"/>
      <c r="MT23" s="124"/>
      <c r="MU23" s="124"/>
      <c r="MV23" s="124"/>
      <c r="MW23" s="124"/>
      <c r="MX23" s="124"/>
      <c r="MY23" s="124"/>
      <c r="MZ23" s="125"/>
      <c r="NA23" s="126"/>
      <c r="NB23" s="124"/>
      <c r="NC23" s="124"/>
      <c r="ND23" s="127"/>
      <c r="NE23" s="123"/>
      <c r="NF23" s="124"/>
      <c r="NG23" s="124"/>
      <c r="NH23" s="124"/>
      <c r="NI23" s="124"/>
      <c r="NJ23" s="124"/>
      <c r="NK23" s="124"/>
      <c r="NL23" s="124"/>
      <c r="NM23" s="124"/>
      <c r="NN23" s="124"/>
      <c r="NO23" s="124"/>
      <c r="NP23" s="128"/>
      <c r="NQ23" s="129"/>
      <c r="NR23" s="128"/>
      <c r="NS23" s="131">
        <f>SUM(MQ23:NR23)</f>
      </c>
      <c r="NT23" s="121"/>
      <c r="NU23" s="122"/>
      <c r="NV23" s="123"/>
      <c r="NW23" s="124"/>
      <c r="NX23" s="124"/>
      <c r="NY23" s="124"/>
      <c r="NZ23" s="124"/>
      <c r="OA23" s="124"/>
      <c r="OB23" s="124"/>
      <c r="OC23" s="125"/>
      <c r="OD23" s="126"/>
      <c r="OE23" s="124"/>
      <c r="OF23" s="124"/>
      <c r="OG23" s="127"/>
      <c r="OH23" s="123"/>
      <c r="OI23" s="124"/>
      <c r="OJ23" s="124"/>
      <c r="OK23" s="124"/>
      <c r="OL23" s="124"/>
      <c r="OM23" s="124"/>
      <c r="ON23" s="124"/>
      <c r="OO23" s="124"/>
      <c r="OP23" s="124"/>
      <c r="OQ23" s="124"/>
      <c r="OR23" s="124"/>
      <c r="OS23" s="128"/>
      <c r="OT23" s="129"/>
      <c r="OU23" s="128"/>
      <c r="OV23" s="131">
        <f>SUM(NT23:OU23)</f>
      </c>
      <c r="OW23" s="132">
        <f>ID23+JG23+KJ23+LM23+MP23+NS23+OV23</f>
      </c>
      <c r="OX23" s="133">
        <f>(COUNTIF(HB23:OV23,"H")+COUNTIF(HB23:OV23,"S")+COUNTIF(HB23:OV23,"L")+COUNTIF(HB23:OV23,"E")+COUNTIF(HB23:OV23,"C"))/2</f>
      </c>
      <c r="OY23" s="130">
        <f>OW23+OX23</f>
      </c>
      <c r="OZ23" s="134"/>
      <c r="PA23" s="135"/>
      <c r="PB23" s="142">
        <v>0.5</v>
      </c>
      <c r="PC23" s="138">
        <v>0.5</v>
      </c>
      <c r="PD23" s="138">
        <v>0.5</v>
      </c>
      <c r="PE23" s="138">
        <v>0.5</v>
      </c>
      <c r="PF23" s="138">
        <v>0.5</v>
      </c>
      <c r="PG23" s="138">
        <v>0.5</v>
      </c>
      <c r="PH23" s="138">
        <v>0.5</v>
      </c>
      <c r="PI23" s="139">
        <v>0.5</v>
      </c>
      <c r="PJ23" s="147"/>
      <c r="PK23" s="148"/>
      <c r="PL23" s="138">
        <v>0.5</v>
      </c>
      <c r="PM23" s="149">
        <v>0.5</v>
      </c>
      <c r="PN23" s="142">
        <v>0.5</v>
      </c>
      <c r="PO23" s="138">
        <v>0.5</v>
      </c>
      <c r="PP23" s="138">
        <v>0.5</v>
      </c>
      <c r="PQ23" s="138">
        <v>0.5</v>
      </c>
      <c r="PR23" s="138">
        <v>0.5</v>
      </c>
      <c r="PS23" s="138">
        <v>0.5</v>
      </c>
      <c r="PT23" s="137"/>
      <c r="PU23" s="137"/>
      <c r="PV23" s="137"/>
      <c r="PW23" s="137"/>
      <c r="PX23" s="137"/>
      <c r="PY23" s="146"/>
      <c r="PZ23" s="145"/>
      <c r="QA23" s="146"/>
      <c r="QB23" s="131">
        <f>SUM(OZ23:QA23)</f>
      </c>
      <c r="QC23" s="134"/>
      <c r="QD23" s="135"/>
      <c r="QE23" s="142">
        <v>0.5</v>
      </c>
      <c r="QF23" s="138">
        <v>0.5</v>
      </c>
      <c r="QG23" s="138">
        <v>0.5</v>
      </c>
      <c r="QH23" s="138">
        <v>0.5</v>
      </c>
      <c r="QI23" s="138">
        <v>0.5</v>
      </c>
      <c r="QJ23" s="138">
        <v>0.5</v>
      </c>
      <c r="QK23" s="138">
        <v>0.5</v>
      </c>
      <c r="QL23" s="139">
        <v>0.5</v>
      </c>
      <c r="QM23" s="147"/>
      <c r="QN23" s="148"/>
      <c r="QO23" s="138">
        <v>0.5</v>
      </c>
      <c r="QP23" s="149">
        <v>0.5</v>
      </c>
      <c r="QQ23" s="142">
        <v>0.5</v>
      </c>
      <c r="QR23" s="138">
        <v>0.5</v>
      </c>
      <c r="QS23" s="138">
        <v>0.5</v>
      </c>
      <c r="QT23" s="138">
        <v>0.5</v>
      </c>
      <c r="QU23" s="138">
        <v>0.5</v>
      </c>
      <c r="QV23" s="138">
        <v>0.5</v>
      </c>
      <c r="QW23" s="137"/>
      <c r="QX23" s="137"/>
      <c r="QY23" s="137"/>
      <c r="QZ23" s="137"/>
      <c r="RA23" s="137"/>
      <c r="RB23" s="146"/>
      <c r="RC23" s="145"/>
      <c r="RD23" s="146"/>
      <c r="RE23" s="131">
        <f>SUM(QC23:RD23)</f>
      </c>
      <c r="RF23" s="134"/>
      <c r="RG23" s="135"/>
      <c r="RH23" s="142">
        <v>0.5</v>
      </c>
      <c r="RI23" s="138">
        <v>0.5</v>
      </c>
      <c r="RJ23" s="138">
        <v>0.5</v>
      </c>
      <c r="RK23" s="138">
        <v>0.5</v>
      </c>
      <c r="RL23" s="138">
        <v>0.5</v>
      </c>
      <c r="RM23" s="138">
        <v>0.5</v>
      </c>
      <c r="RN23" s="138">
        <v>0.5</v>
      </c>
      <c r="RO23" s="139">
        <v>0.5</v>
      </c>
      <c r="RP23" s="147"/>
      <c r="RQ23" s="148"/>
      <c r="RR23" s="138">
        <v>0.5</v>
      </c>
      <c r="RS23" s="149">
        <v>0.5</v>
      </c>
      <c r="RT23" s="142">
        <v>0.5</v>
      </c>
      <c r="RU23" s="138">
        <v>0.5</v>
      </c>
      <c r="RV23" s="138">
        <v>0.5</v>
      </c>
      <c r="RW23" s="138">
        <v>0.5</v>
      </c>
      <c r="RX23" s="138">
        <v>0.5</v>
      </c>
      <c r="RY23" s="138">
        <v>0.5</v>
      </c>
      <c r="RZ23" s="137"/>
      <c r="SA23" s="137"/>
      <c r="SB23" s="137"/>
      <c r="SC23" s="137"/>
      <c r="SD23" s="137"/>
      <c r="SE23" s="146"/>
      <c r="SF23" s="145"/>
      <c r="SG23" s="146"/>
      <c r="SH23" s="131">
        <f>SUM(RF23:SG23)</f>
      </c>
      <c r="SI23" s="134"/>
      <c r="SJ23" s="135"/>
      <c r="SK23" s="142">
        <v>0.5</v>
      </c>
      <c r="SL23" s="138">
        <v>0.5</v>
      </c>
      <c r="SM23" s="138">
        <v>0.5</v>
      </c>
      <c r="SN23" s="138">
        <v>0.5</v>
      </c>
      <c r="SO23" s="138">
        <v>0.5</v>
      </c>
      <c r="SP23" s="138">
        <v>0.5</v>
      </c>
      <c r="SQ23" s="138">
        <v>0.5</v>
      </c>
      <c r="SR23" s="139">
        <v>0.5</v>
      </c>
      <c r="SS23" s="147"/>
      <c r="ST23" s="148"/>
      <c r="SU23" s="138">
        <v>0.5</v>
      </c>
      <c r="SV23" s="149">
        <v>0.5</v>
      </c>
      <c r="SW23" s="142">
        <v>0.5</v>
      </c>
      <c r="SX23" s="138">
        <v>0.5</v>
      </c>
      <c r="SY23" s="138">
        <v>0.5</v>
      </c>
      <c r="SZ23" s="138">
        <v>0.5</v>
      </c>
      <c r="TA23" s="138">
        <v>0.5</v>
      </c>
      <c r="TB23" s="138">
        <v>0.5</v>
      </c>
      <c r="TC23" s="137"/>
      <c r="TD23" s="137"/>
      <c r="TE23" s="137"/>
      <c r="TF23" s="137"/>
      <c r="TG23" s="137"/>
      <c r="TH23" s="146"/>
      <c r="TI23" s="145"/>
      <c r="TJ23" s="146"/>
      <c r="TK23" s="131">
        <f>SUM(SI23:TJ23)</f>
      </c>
      <c r="TL23" s="134"/>
      <c r="TM23" s="135"/>
      <c r="TN23" s="219">
        <v>0.5</v>
      </c>
      <c r="TO23" s="216">
        <v>0.5</v>
      </c>
      <c r="TP23" s="216">
        <v>0.5</v>
      </c>
      <c r="TQ23" s="216">
        <v>0.5</v>
      </c>
      <c r="TR23" s="216">
        <v>0.5</v>
      </c>
      <c r="TS23" s="216">
        <v>0.5</v>
      </c>
      <c r="TT23" s="216">
        <v>0.5</v>
      </c>
      <c r="TU23" s="217">
        <v>0.5</v>
      </c>
      <c r="TV23" s="147"/>
      <c r="TW23" s="148"/>
      <c r="TX23" s="216">
        <v>0.5</v>
      </c>
      <c r="TY23" s="226">
        <v>0.5</v>
      </c>
      <c r="TZ23" s="219">
        <v>0.5</v>
      </c>
      <c r="UA23" s="216">
        <v>0.5</v>
      </c>
      <c r="UB23" s="216">
        <v>0.5</v>
      </c>
      <c r="UC23" s="216">
        <v>0.5</v>
      </c>
      <c r="UD23" s="216">
        <v>0.5</v>
      </c>
      <c r="UE23" s="216">
        <v>0.5</v>
      </c>
      <c r="UF23" s="137"/>
      <c r="UG23" s="137"/>
      <c r="UH23" s="137"/>
      <c r="UI23" s="137"/>
      <c r="UJ23" s="137"/>
      <c r="UK23" s="146"/>
      <c r="UL23" s="145"/>
      <c r="UM23" s="146"/>
      <c r="UN23" s="131">
        <f>SUM(TL23:UM23)</f>
      </c>
      <c r="UO23" s="121"/>
      <c r="UP23" s="122"/>
      <c r="UQ23" s="123"/>
      <c r="UR23" s="124"/>
      <c r="US23" s="124"/>
      <c r="UT23" s="124"/>
      <c r="UU23" s="124"/>
      <c r="UV23" s="124"/>
      <c r="UW23" s="124"/>
      <c r="UX23" s="125"/>
      <c r="UY23" s="126"/>
      <c r="UZ23" s="124"/>
      <c r="VA23" s="124"/>
      <c r="VB23" s="127"/>
      <c r="VC23" s="123"/>
      <c r="VD23" s="124"/>
      <c r="VE23" s="124"/>
      <c r="VF23" s="124"/>
      <c r="VG23" s="124"/>
      <c r="VH23" s="124"/>
      <c r="VI23" s="124"/>
      <c r="VJ23" s="124"/>
      <c r="VK23" s="124"/>
      <c r="VL23" s="124"/>
      <c r="VM23" s="124"/>
      <c r="VN23" s="128"/>
      <c r="VO23" s="129"/>
      <c r="VP23" s="128"/>
      <c r="VQ23" s="131">
        <f>SUM(UO23:VP23)</f>
      </c>
      <c r="VR23" s="121"/>
      <c r="VS23" s="122"/>
      <c r="VT23" s="123"/>
      <c r="VU23" s="124"/>
      <c r="VV23" s="124"/>
      <c r="VW23" s="124"/>
      <c r="VX23" s="124"/>
      <c r="VY23" s="124"/>
      <c r="VZ23" s="124"/>
      <c r="WA23" s="125"/>
      <c r="WB23" s="126"/>
      <c r="WC23" s="124"/>
      <c r="WD23" s="124"/>
      <c r="WE23" s="127"/>
      <c r="WF23" s="123"/>
      <c r="WG23" s="124"/>
      <c r="WH23" s="124"/>
      <c r="WI23" s="124"/>
      <c r="WJ23" s="124"/>
      <c r="WK23" s="124"/>
      <c r="WL23" s="124"/>
      <c r="WM23" s="124"/>
      <c r="WN23" s="124"/>
      <c r="WO23" s="124"/>
      <c r="WP23" s="124"/>
      <c r="WQ23" s="128"/>
      <c r="WR23" s="129"/>
      <c r="WS23" s="128"/>
      <c r="WT23" s="131">
        <f>SUM(VR23:WS23)</f>
      </c>
      <c r="WU23" s="132">
        <f>QB23+RE23+SH23+TK23+UN23+VQ23+WT23</f>
      </c>
      <c r="WV23" s="133">
        <f>(COUNTIF(OZ23:WT23,"H")+COUNTIF(OZ23:WT23,"S")+COUNTIF(OZ23:WT23,"L")+COUNTIF(OZ23:WT23,"E")+COUNTIF(OZ23:WT23,"C"))/2</f>
      </c>
      <c r="WW23" s="130">
        <f>WU23+WV23</f>
      </c>
      <c r="WX23" s="134"/>
      <c r="WY23" s="135"/>
      <c r="WZ23" s="142">
        <v>0.5</v>
      </c>
      <c r="XA23" s="138">
        <v>0.5</v>
      </c>
      <c r="XB23" s="138">
        <v>0.5</v>
      </c>
      <c r="XC23" s="138">
        <v>0.5</v>
      </c>
      <c r="XD23" s="138">
        <v>0.5</v>
      </c>
      <c r="XE23" s="138">
        <v>0.5</v>
      </c>
      <c r="XF23" s="138">
        <v>0.5</v>
      </c>
      <c r="XG23" s="139">
        <v>0.5</v>
      </c>
      <c r="XH23" s="147"/>
      <c r="XI23" s="148"/>
      <c r="XJ23" s="138">
        <v>0.5</v>
      </c>
      <c r="XK23" s="149">
        <v>0.5</v>
      </c>
      <c r="XL23" s="142">
        <v>0.5</v>
      </c>
      <c r="XM23" s="138">
        <v>0.5</v>
      </c>
      <c r="XN23" s="138">
        <v>0.5</v>
      </c>
      <c r="XO23" s="138">
        <v>0.5</v>
      </c>
      <c r="XP23" s="138">
        <v>0.5</v>
      </c>
      <c r="XQ23" s="138">
        <v>0.5</v>
      </c>
      <c r="XR23" s="137"/>
      <c r="XS23" s="137"/>
      <c r="XT23" s="137"/>
      <c r="XU23" s="137"/>
      <c r="XV23" s="137"/>
      <c r="XW23" s="146"/>
      <c r="XX23" s="145"/>
      <c r="XY23" s="146"/>
      <c r="XZ23" s="131">
        <f>SUM(WX23:XY23)</f>
      </c>
      <c r="YA23" s="134"/>
      <c r="YB23" s="135"/>
      <c r="YC23" s="142">
        <v>0.5</v>
      </c>
      <c r="YD23" s="138">
        <v>0.5</v>
      </c>
      <c r="YE23" s="138">
        <v>0.5</v>
      </c>
      <c r="YF23" s="138">
        <v>0.5</v>
      </c>
      <c r="YG23" s="138">
        <v>0.5</v>
      </c>
      <c r="YH23" s="138">
        <v>0.5</v>
      </c>
      <c r="YI23" s="138">
        <v>0.5</v>
      </c>
      <c r="YJ23" s="139">
        <v>0.5</v>
      </c>
      <c r="YK23" s="147"/>
      <c r="YL23" s="148"/>
      <c r="YM23" s="138">
        <v>0.5</v>
      </c>
      <c r="YN23" s="149">
        <v>0.5</v>
      </c>
      <c r="YO23" s="142">
        <v>0.5</v>
      </c>
      <c r="YP23" s="138">
        <v>0.5</v>
      </c>
      <c r="YQ23" s="138">
        <v>0.5</v>
      </c>
      <c r="YR23" s="138">
        <v>0.5</v>
      </c>
      <c r="YS23" s="138">
        <v>0.5</v>
      </c>
      <c r="YT23" s="138">
        <v>0.5</v>
      </c>
      <c r="YU23" s="137"/>
      <c r="YV23" s="137"/>
      <c r="YW23" s="137"/>
      <c r="YX23" s="137"/>
      <c r="YY23" s="137"/>
      <c r="YZ23" s="146"/>
      <c r="ZA23" s="145"/>
      <c r="ZB23" s="146"/>
      <c r="ZC23" s="131">
        <f>SUM(YA23:ZB23)</f>
      </c>
      <c r="ZD23" s="134"/>
      <c r="ZE23" s="135"/>
      <c r="ZF23" s="142">
        <v>0.5</v>
      </c>
      <c r="ZG23" s="138">
        <v>0.5</v>
      </c>
      <c r="ZH23" s="138">
        <v>0.5</v>
      </c>
      <c r="ZI23" s="138">
        <v>0.5</v>
      </c>
      <c r="ZJ23" s="138">
        <v>0.5</v>
      </c>
      <c r="ZK23" s="138">
        <v>0.5</v>
      </c>
      <c r="ZL23" s="138">
        <v>0.5</v>
      </c>
      <c r="ZM23" s="139">
        <v>0.5</v>
      </c>
      <c r="ZN23" s="147"/>
      <c r="ZO23" s="148"/>
      <c r="ZP23" s="138">
        <v>0.5</v>
      </c>
      <c r="ZQ23" s="149">
        <v>0.5</v>
      </c>
      <c r="ZR23" s="142">
        <v>0.5</v>
      </c>
      <c r="ZS23" s="138">
        <v>0.5</v>
      </c>
      <c r="ZT23" s="138">
        <v>0.5</v>
      </c>
      <c r="ZU23" s="138">
        <v>0.5</v>
      </c>
      <c r="ZV23" s="138">
        <v>0.5</v>
      </c>
      <c r="ZW23" s="138">
        <v>0.5</v>
      </c>
      <c r="ZX23" s="137"/>
      <c r="ZY23" s="137"/>
      <c r="ZZ23" s="137"/>
      <c r="AAA23" s="137"/>
      <c r="AAB23" s="137"/>
      <c r="AAC23" s="146"/>
      <c r="AAD23" s="145"/>
      <c r="AAE23" s="146"/>
      <c r="AAF23" s="131">
        <f>SUM(ZD23:AAE23)</f>
      </c>
      <c r="AAG23" s="134"/>
      <c r="AAH23" s="135"/>
      <c r="AAI23" s="142">
        <v>0.5</v>
      </c>
      <c r="AAJ23" s="138">
        <v>0.5</v>
      </c>
      <c r="AAK23" s="138">
        <v>0.5</v>
      </c>
      <c r="AAL23" s="138">
        <v>0.5</v>
      </c>
      <c r="AAM23" s="138">
        <v>0.5</v>
      </c>
      <c r="AAN23" s="138">
        <v>0.5</v>
      </c>
      <c r="AAO23" s="138">
        <v>0.5</v>
      </c>
      <c r="AAP23" s="139">
        <v>0.5</v>
      </c>
      <c r="AAQ23" s="147"/>
      <c r="AAR23" s="148"/>
      <c r="AAS23" s="138">
        <v>0.5</v>
      </c>
      <c r="AAT23" s="149">
        <v>0.5</v>
      </c>
      <c r="AAU23" s="142">
        <v>0.5</v>
      </c>
      <c r="AAV23" s="138">
        <v>0.5</v>
      </c>
      <c r="AAW23" s="138">
        <v>0.5</v>
      </c>
      <c r="AAX23" s="138">
        <v>0.5</v>
      </c>
      <c r="AAY23" s="138">
        <v>0.5</v>
      </c>
      <c r="AAZ23" s="138">
        <v>0.5</v>
      </c>
      <c r="ABA23" s="137"/>
      <c r="ABB23" s="137"/>
      <c r="ABC23" s="137"/>
      <c r="ABD23" s="137"/>
      <c r="ABE23" s="137"/>
      <c r="ABF23" s="146"/>
      <c r="ABG23" s="145"/>
      <c r="ABH23" s="146"/>
      <c r="ABI23" s="131">
        <f>SUM(AAG23:ABH23)</f>
      </c>
      <c r="ABJ23" s="134"/>
      <c r="ABK23" s="135"/>
      <c r="ABL23" s="219">
        <v>0.5</v>
      </c>
      <c r="ABM23" s="216">
        <v>0.5</v>
      </c>
      <c r="ABN23" s="216">
        <v>0.5</v>
      </c>
      <c r="ABO23" s="216">
        <v>0.5</v>
      </c>
      <c r="ABP23" s="216">
        <v>0.5</v>
      </c>
      <c r="ABQ23" s="216">
        <v>0.5</v>
      </c>
      <c r="ABR23" s="216">
        <v>0.5</v>
      </c>
      <c r="ABS23" s="217">
        <v>0.5</v>
      </c>
      <c r="ABT23" s="147"/>
      <c r="ABU23" s="148"/>
      <c r="ABV23" s="216">
        <v>0.5</v>
      </c>
      <c r="ABW23" s="226">
        <v>0.5</v>
      </c>
      <c r="ABX23" s="219">
        <v>0.5</v>
      </c>
      <c r="ABY23" s="216">
        <v>0.5</v>
      </c>
      <c r="ABZ23" s="216">
        <v>0.5</v>
      </c>
      <c r="ACA23" s="216">
        <v>0.5</v>
      </c>
      <c r="ACB23" s="216">
        <v>0.5</v>
      </c>
      <c r="ACC23" s="216">
        <v>0.5</v>
      </c>
      <c r="ACD23" s="137"/>
      <c r="ACE23" s="137"/>
      <c r="ACF23" s="137"/>
      <c r="ACG23" s="137"/>
      <c r="ACH23" s="137"/>
      <c r="ACI23" s="146"/>
      <c r="ACJ23" s="145"/>
      <c r="ACK23" s="146"/>
      <c r="ACL23" s="131">
        <f>SUM(ABJ23:ACK23)</f>
      </c>
      <c r="ACM23" s="121"/>
      <c r="ACN23" s="122"/>
      <c r="ACO23" s="123"/>
      <c r="ACP23" s="124"/>
      <c r="ACQ23" s="124"/>
      <c r="ACR23" s="124"/>
      <c r="ACS23" s="124"/>
      <c r="ACT23" s="124"/>
      <c r="ACU23" s="124"/>
      <c r="ACV23" s="125"/>
      <c r="ACW23" s="126"/>
      <c r="ACX23" s="124"/>
      <c r="ACY23" s="124"/>
      <c r="ACZ23" s="127"/>
      <c r="ADA23" s="123"/>
      <c r="ADB23" s="124"/>
      <c r="ADC23" s="124"/>
      <c r="ADD23" s="124"/>
      <c r="ADE23" s="124"/>
      <c r="ADF23" s="124"/>
      <c r="ADG23" s="124"/>
      <c r="ADH23" s="124"/>
      <c r="ADI23" s="124"/>
      <c r="ADJ23" s="124"/>
      <c r="ADK23" s="124"/>
      <c r="ADL23" s="128"/>
      <c r="ADM23" s="129"/>
      <c r="ADN23" s="128"/>
      <c r="ADO23" s="131">
        <f>SUM(ACM23:ADN23)</f>
      </c>
      <c r="ADP23" s="121"/>
      <c r="ADQ23" s="122"/>
      <c r="ADR23" s="123"/>
      <c r="ADS23" s="124"/>
      <c r="ADT23" s="124"/>
      <c r="ADU23" s="124"/>
      <c r="ADV23" s="124"/>
      <c r="ADW23" s="124"/>
      <c r="ADX23" s="124"/>
      <c r="ADY23" s="125"/>
      <c r="ADZ23" s="126"/>
      <c r="AEA23" s="124"/>
      <c r="AEB23" s="124"/>
      <c r="AEC23" s="127"/>
      <c r="AED23" s="123"/>
      <c r="AEE23" s="124"/>
      <c r="AEF23" s="124"/>
      <c r="AEG23" s="124"/>
      <c r="AEH23" s="124"/>
      <c r="AEI23" s="124"/>
      <c r="AEJ23" s="124"/>
      <c r="AEK23" s="124"/>
      <c r="AEL23" s="124"/>
      <c r="AEM23" s="124"/>
      <c r="AEN23" s="124"/>
      <c r="AEO23" s="128"/>
      <c r="AEP23" s="129"/>
      <c r="AEQ23" s="128"/>
      <c r="AER23" s="131">
        <f>SUM(ADP23:AEQ23)</f>
      </c>
      <c r="AES23" s="132">
        <f>XZ23+ZC23+AAF23+ABI23+ACL23+ADO23+AER23</f>
      </c>
      <c r="AET23" s="133">
        <f>(COUNTIF(WX23:AER23,"H")+COUNTIF(WX23:AER23,"S")+COUNTIF(WX23:AER23,"L")+COUNTIF(WX23:AER23,"E")+COUNTIF(WX23:AER23,"C"))/2</f>
      </c>
      <c r="AEU23" s="130">
        <f>AES23+AET23</f>
      </c>
      <c r="AEV23" s="134"/>
      <c r="AEW23" s="135"/>
      <c r="AEX23" s="136"/>
      <c r="AEY23" s="137"/>
      <c r="AEZ23" s="137"/>
      <c r="AFA23" s="137"/>
      <c r="AFB23" s="137"/>
      <c r="AFC23" s="137"/>
      <c r="AFD23" s="138">
        <v>0.5</v>
      </c>
      <c r="AFE23" s="139">
        <v>0.5</v>
      </c>
      <c r="AFF23" s="140">
        <v>0.5</v>
      </c>
      <c r="AFG23" s="138">
        <v>0.5</v>
      </c>
      <c r="AFH23" s="137"/>
      <c r="AFI23" s="141"/>
      <c r="AFJ23" s="142">
        <v>0.5</v>
      </c>
      <c r="AFK23" s="138">
        <v>0.5</v>
      </c>
      <c r="AFL23" s="143">
        <v>0.5</v>
      </c>
      <c r="AFM23" s="143">
        <v>0.5</v>
      </c>
      <c r="AFN23" s="143">
        <v>0.5</v>
      </c>
      <c r="AFO23" s="143">
        <v>0.5</v>
      </c>
      <c r="AFP23" s="143">
        <v>0.5</v>
      </c>
      <c r="AFQ23" s="143">
        <v>0.5</v>
      </c>
      <c r="AFR23" s="143">
        <v>0.5</v>
      </c>
      <c r="AFS23" s="143">
        <v>0.5</v>
      </c>
      <c r="AFT23" s="143">
        <v>0.5</v>
      </c>
      <c r="AFU23" s="144">
        <v>0.5</v>
      </c>
      <c r="AFV23" s="145"/>
      <c r="AFW23" s="146"/>
      <c r="AFX23" s="130">
        <f>SUM(AEV23:AFW23)</f>
      </c>
      <c r="AFY23" s="134"/>
      <c r="AFZ23" s="135"/>
      <c r="AGA23" s="136"/>
      <c r="AGB23" s="137"/>
      <c r="AGC23" s="137"/>
      <c r="AGD23" s="137"/>
      <c r="AGE23" s="137"/>
      <c r="AGF23" s="137"/>
      <c r="AGG23" s="138">
        <v>0.5</v>
      </c>
      <c r="AGH23" s="139">
        <v>0.5</v>
      </c>
      <c r="AGI23" s="140">
        <v>0.5</v>
      </c>
      <c r="AGJ23" s="138">
        <v>0.5</v>
      </c>
      <c r="AGK23" s="137"/>
      <c r="AGL23" s="141"/>
      <c r="AGM23" s="142">
        <v>0.5</v>
      </c>
      <c r="AGN23" s="138">
        <v>0.5</v>
      </c>
      <c r="AGO23" s="143">
        <v>0.5</v>
      </c>
      <c r="AGP23" s="143">
        <v>0.5</v>
      </c>
      <c r="AGQ23" s="143">
        <v>0.5</v>
      </c>
      <c r="AGR23" s="143">
        <v>0.5</v>
      </c>
      <c r="AGS23" s="143">
        <v>0.5</v>
      </c>
      <c r="AGT23" s="143">
        <v>0.5</v>
      </c>
      <c r="AGU23" s="143">
        <v>0.5</v>
      </c>
      <c r="AGV23" s="143">
        <v>0.5</v>
      </c>
      <c r="AGW23" s="143">
        <v>0.5</v>
      </c>
      <c r="AGX23" s="144">
        <v>0.5</v>
      </c>
      <c r="AGY23" s="145"/>
      <c r="AGZ23" s="146"/>
      <c r="AHA23" s="130">
        <f>SUM(AFY23:AGZ23)</f>
      </c>
      <c r="AHB23" s="134"/>
      <c r="AHC23" s="135"/>
      <c r="AHD23" s="136"/>
      <c r="AHE23" s="137"/>
      <c r="AHF23" s="137"/>
      <c r="AHG23" s="137"/>
      <c r="AHH23" s="137"/>
      <c r="AHI23" s="137"/>
      <c r="AHJ23" s="138">
        <v>0.5</v>
      </c>
      <c r="AHK23" s="139">
        <v>0.5</v>
      </c>
      <c r="AHL23" s="140">
        <v>0.5</v>
      </c>
      <c r="AHM23" s="138">
        <v>0.5</v>
      </c>
      <c r="AHN23" s="137"/>
      <c r="AHO23" s="141"/>
      <c r="AHP23" s="142">
        <v>0.5</v>
      </c>
      <c r="AHQ23" s="138">
        <v>0.5</v>
      </c>
      <c r="AHR23" s="143">
        <v>0.5</v>
      </c>
      <c r="AHS23" s="143">
        <v>0.5</v>
      </c>
      <c r="AHT23" s="143">
        <v>0.5</v>
      </c>
      <c r="AHU23" s="143">
        <v>0.5</v>
      </c>
      <c r="AHV23" s="143">
        <v>0.5</v>
      </c>
      <c r="AHW23" s="143">
        <v>0.5</v>
      </c>
      <c r="AHX23" s="143">
        <v>0.5</v>
      </c>
      <c r="AHY23" s="143">
        <v>0.5</v>
      </c>
      <c r="AHZ23" s="143">
        <v>0.5</v>
      </c>
      <c r="AIA23" s="144">
        <v>0.5</v>
      </c>
      <c r="AIB23" s="145"/>
      <c r="AIC23" s="146"/>
      <c r="AID23" s="130">
        <f>SUM(AHB23:AIC23)</f>
      </c>
      <c r="AIE23" s="134"/>
      <c r="AIF23" s="135"/>
      <c r="AIG23" s="136"/>
      <c r="AIH23" s="137"/>
      <c r="AII23" s="137"/>
      <c r="AIJ23" s="137"/>
      <c r="AIK23" s="137"/>
      <c r="AIL23" s="137"/>
      <c r="AIM23" s="138">
        <v>0.5</v>
      </c>
      <c r="AIN23" s="139">
        <v>0.5</v>
      </c>
      <c r="AIO23" s="140">
        <v>0.5</v>
      </c>
      <c r="AIP23" s="138">
        <v>0.5</v>
      </c>
      <c r="AIQ23" s="137"/>
      <c r="AIR23" s="141"/>
      <c r="AIS23" s="142">
        <v>0.5</v>
      </c>
      <c r="AIT23" s="138">
        <v>0.5</v>
      </c>
      <c r="AIU23" s="143">
        <v>0.5</v>
      </c>
      <c r="AIV23" s="143">
        <v>0.5</v>
      </c>
      <c r="AIW23" s="143">
        <v>0.5</v>
      </c>
      <c r="AIX23" s="143">
        <v>0.5</v>
      </c>
      <c r="AIY23" s="143">
        <v>0.5</v>
      </c>
      <c r="AIZ23" s="143">
        <v>0.5</v>
      </c>
      <c r="AJA23" s="143">
        <v>0.5</v>
      </c>
      <c r="AJB23" s="143">
        <v>0.5</v>
      </c>
      <c r="AJC23" s="143">
        <v>0.5</v>
      </c>
      <c r="AJD23" s="144">
        <v>0.5</v>
      </c>
      <c r="AJE23" s="145"/>
      <c r="AJF23" s="146"/>
      <c r="AJG23" s="130">
        <f>SUM(AIE23:AJF23)</f>
      </c>
      <c r="AJH23" s="134"/>
      <c r="AJI23" s="135"/>
      <c r="AJJ23" s="136"/>
      <c r="AJK23" s="137"/>
      <c r="AJL23" s="137"/>
      <c r="AJM23" s="137"/>
      <c r="AJN23" s="137"/>
      <c r="AJO23" s="137"/>
      <c r="AJP23" s="216">
        <v>0.5</v>
      </c>
      <c r="AJQ23" s="217">
        <v>0.5</v>
      </c>
      <c r="AJR23" s="218">
        <v>0.5</v>
      </c>
      <c r="AJS23" s="216">
        <v>0.5</v>
      </c>
      <c r="AJT23" s="137"/>
      <c r="AJU23" s="141"/>
      <c r="AJV23" s="219">
        <v>0.5</v>
      </c>
      <c r="AJW23" s="216">
        <v>0.5</v>
      </c>
      <c r="AJX23" s="220">
        <v>0.5</v>
      </c>
      <c r="AJY23" s="220">
        <v>0.5</v>
      </c>
      <c r="AJZ23" s="220">
        <v>0.5</v>
      </c>
      <c r="AKA23" s="220">
        <v>0.5</v>
      </c>
      <c r="AKB23" s="220">
        <v>0.5</v>
      </c>
      <c r="AKC23" s="220">
        <v>0.5</v>
      </c>
      <c r="AKD23" s="220">
        <v>0.5</v>
      </c>
      <c r="AKE23" s="220">
        <v>0.5</v>
      </c>
      <c r="AKF23" s="220">
        <v>0.5</v>
      </c>
      <c r="AKG23" s="221">
        <v>0.5</v>
      </c>
      <c r="AKH23" s="145"/>
      <c r="AKI23" s="146"/>
      <c r="AKJ23" s="130">
        <f>SUM(AJH23:AKI23)</f>
      </c>
      <c r="AKK23" s="121"/>
      <c r="AKL23" s="122"/>
      <c r="AKM23" s="123"/>
      <c r="AKN23" s="124"/>
      <c r="AKO23" s="124"/>
      <c r="AKP23" s="124"/>
      <c r="AKQ23" s="124"/>
      <c r="AKR23" s="124"/>
      <c r="AKS23" s="124"/>
      <c r="AKT23" s="125"/>
      <c r="AKU23" s="126"/>
      <c r="AKV23" s="124"/>
      <c r="AKW23" s="124"/>
      <c r="AKX23" s="127"/>
      <c r="AKY23" s="123"/>
      <c r="AKZ23" s="124"/>
      <c r="ALA23" s="124"/>
      <c r="ALB23" s="124"/>
      <c r="ALC23" s="124"/>
      <c r="ALD23" s="124"/>
      <c r="ALE23" s="124"/>
      <c r="ALF23" s="124"/>
      <c r="ALG23" s="124"/>
      <c r="ALH23" s="124"/>
      <c r="ALI23" s="124"/>
      <c r="ALJ23" s="128"/>
      <c r="ALK23" s="129"/>
      <c r="ALL23" s="128"/>
      <c r="ALM23" s="131">
        <f>SUM(AKK23:ALL23)</f>
      </c>
      <c r="ALN23" s="121"/>
      <c r="ALO23" s="122"/>
      <c r="ALP23" s="123"/>
      <c r="ALQ23" s="124"/>
      <c r="ALR23" s="124"/>
      <c r="ALS23" s="124"/>
      <c r="ALT23" s="124"/>
      <c r="ALU23" s="124"/>
      <c r="ALV23" s="124"/>
      <c r="ALW23" s="125"/>
      <c r="ALX23" s="126"/>
      <c r="ALY23" s="124"/>
      <c r="ALZ23" s="124"/>
      <c r="AMA23" s="127"/>
      <c r="AMB23" s="123"/>
      <c r="AMC23" s="124"/>
      <c r="AMD23" s="124"/>
      <c r="AME23" s="124"/>
      <c r="AMF23" s="124"/>
      <c r="AMG23" s="124"/>
      <c r="AMH23" s="124"/>
      <c r="AMI23" s="124"/>
      <c r="AMJ23" s="124"/>
      <c r="AMK23" s="124"/>
      <c r="AML23" s="124"/>
      <c r="AMM23" s="128"/>
      <c r="AMN23" s="129"/>
      <c r="AMO23" s="128"/>
      <c r="AMP23" s="131">
        <f>SUM(ALN23:AMO23)</f>
      </c>
      <c r="AMQ23" s="150">
        <f>AFX23+AHA23+AID23+AJG23+AKJ23+ALM23+AMP23</f>
      </c>
      <c r="AMR23" s="133">
        <f>(COUNTIF(AEV23:AMP23,"H")+COUNTIF(AEV23:AMP23,"S")+COUNTIF(AEV23:AMP23,"L")+COUNTIF(AEV23:AMP23,"E")+COUNTIF(AEV23:AMP23,"C"))/2</f>
      </c>
      <c r="AMS23" s="131">
        <f>AMQ23+AMR23</f>
      </c>
      <c r="AMT23" s="4"/>
      <c r="AMU23" s="4"/>
      <c r="AMV23" s="4"/>
      <c r="AMW23" s="4"/>
      <c r="AMX23" s="4"/>
      <c r="AMY23" s="4"/>
      <c r="AMZ23" s="4"/>
      <c r="ANA23" s="4"/>
      <c r="ANB23" s="4"/>
      <c r="ANC23" s="4"/>
      <c r="AND23" s="4"/>
      <c r="ANE23" s="4"/>
      <c r="ANF23" s="4"/>
      <c r="ANG23" s="4"/>
      <c r="ANH23" s="4"/>
      <c r="ANI23" s="4"/>
      <c r="ANJ23" s="13"/>
      <c r="ANK23" s="13"/>
      <c r="ANL23" s="4"/>
      <c r="ANM23" s="4"/>
      <c r="ANN23" s="4"/>
      <c r="ANO23" s="4"/>
      <c r="ANP23" s="4"/>
      <c r="ANQ23" s="4"/>
      <c r="ANR23" s="4"/>
      <c r="ANS23" s="4"/>
      <c r="ANT23" s="4"/>
      <c r="ANU23" s="4"/>
      <c r="ANV23" s="4"/>
      <c r="ANW23" s="4"/>
      <c r="ANX23" s="4"/>
      <c r="ANY23" s="4"/>
      <c r="ANZ23" s="4"/>
      <c r="AOA23" s="4"/>
      <c r="AOB23" s="4"/>
      <c r="AOC23" s="4"/>
      <c r="AOD23" s="4"/>
      <c r="AOE23" s="4"/>
      <c r="AOF23" s="4"/>
      <c r="AOG23" s="4"/>
      <c r="AOH23" s="4"/>
      <c r="AOI23" s="4"/>
      <c r="AOJ23" s="4"/>
      <c r="AOK23" s="4"/>
      <c r="AOL23" s="4"/>
      <c r="AOM23" s="4"/>
      <c r="AON23" s="4"/>
      <c r="AOO23" s="4"/>
      <c r="AOP23" s="4"/>
      <c r="AOQ23" s="4"/>
      <c r="AOR23" s="4"/>
      <c r="AOS23" s="4"/>
      <c r="AOT23" s="4"/>
      <c r="AOU23" s="4"/>
      <c r="AOV23" s="4"/>
      <c r="AOW23" s="4"/>
      <c r="AOX23" s="4"/>
      <c r="AOY23" s="4"/>
      <c r="AOZ23" s="4"/>
      <c r="APA23" s="4"/>
      <c r="APB23" s="4"/>
      <c r="APC23" s="4"/>
      <c r="APD23" s="4"/>
      <c r="APE23" s="4"/>
      <c r="APF23" s="4"/>
      <c r="APG23" s="4"/>
      <c r="APH23" s="4"/>
      <c r="API23" s="4"/>
      <c r="APJ23" s="4"/>
      <c r="APK23" s="4"/>
      <c r="APL23" s="4"/>
      <c r="APM23" s="4"/>
      <c r="APN23" s="4"/>
      <c r="APO23" s="4"/>
      <c r="APP23" s="4"/>
      <c r="APQ23" s="4"/>
      <c r="APR23" s="4"/>
      <c r="APS23" s="4"/>
      <c r="APT23" s="4"/>
      <c r="APU23" s="4"/>
      <c r="APV23" s="4"/>
      <c r="APW23" s="4"/>
      <c r="APX23" s="4"/>
      <c r="APY23" s="4"/>
      <c r="APZ23" s="4"/>
      <c r="AQA23" s="4"/>
      <c r="AQB23" s="4"/>
      <c r="AQC23" s="4"/>
      <c r="AQD23" s="4"/>
      <c r="AQE23" s="4"/>
      <c r="AQF23" s="4"/>
      <c r="AQG23" s="4"/>
      <c r="AQH23" s="4"/>
      <c r="AQI23" s="4"/>
      <c r="AQJ23" s="4"/>
      <c r="AQK23" s="4"/>
      <c r="AQL23" s="4"/>
      <c r="AQM23" s="4"/>
      <c r="AQN23" s="4"/>
      <c r="AQO23" s="4"/>
      <c r="AQP23" s="4"/>
      <c r="AQQ23" s="4"/>
      <c r="AQR23" s="4"/>
      <c r="AQS23" s="4"/>
      <c r="AQT23" s="4"/>
      <c r="AQU23" s="4"/>
      <c r="AQV23" s="4"/>
      <c r="AQW23" s="4"/>
      <c r="AQX23" s="4"/>
      <c r="AQY23" s="4"/>
      <c r="AQZ23" s="4"/>
      <c r="ARA23" s="4"/>
      <c r="ARB23" s="4"/>
      <c r="ARC23" s="4"/>
      <c r="ARD23" s="4"/>
      <c r="ARE23" s="4"/>
      <c r="ARF23" s="4"/>
      <c r="ARG23" s="4"/>
      <c r="ARH23" s="4"/>
      <c r="ARI23" s="4"/>
      <c r="ARJ23" s="4"/>
      <c r="ARK23" s="4"/>
      <c r="ARL23" s="4"/>
      <c r="ARM23" s="4"/>
      <c r="ARN23" s="4"/>
      <c r="ARO23" s="4"/>
      <c r="ARP23" s="4"/>
      <c r="ARQ23" s="4"/>
      <c r="ARR23" s="4"/>
      <c r="ARS23" s="4"/>
      <c r="ART23" s="4"/>
      <c r="ARU23" s="4"/>
      <c r="ARV23" s="4"/>
      <c r="ARW23" s="4"/>
      <c r="ARX23" s="4"/>
      <c r="ARY23" s="4"/>
      <c r="ARZ23" s="4"/>
      <c r="ASA23" s="4"/>
      <c r="ASB23" s="4"/>
      <c r="ASC23" s="4"/>
      <c r="ASD23" s="4"/>
      <c r="ASE23" s="4"/>
      <c r="ASF23" s="4"/>
      <c r="ASG23" s="4"/>
      <c r="ASH23" s="4"/>
      <c r="ASI23" s="4"/>
      <c r="ASJ23" s="4"/>
      <c r="ASK23" s="4"/>
      <c r="ASL23" s="4"/>
      <c r="ASM23" s="4"/>
      <c r="ASN23" s="4"/>
      <c r="ASO23" s="4"/>
      <c r="ASP23" s="4"/>
      <c r="ASQ23" s="4"/>
      <c r="ASR23" s="4"/>
      <c r="ASS23" s="4"/>
      <c r="AST23" s="4"/>
      <c r="ASU23" s="4"/>
    </row>
    <row r="24" ht="15" customHeight="1" spans="1:1191" x14ac:dyDescent="0.25">
      <c r="A24" s="118"/>
      <c r="B24" s="119" t="s">
        <v>64</v>
      </c>
      <c r="C24" s="120" t="s">
        <v>52</v>
      </c>
      <c r="D24" s="121"/>
      <c r="E24" s="122"/>
      <c r="F24" s="123"/>
      <c r="G24" s="124"/>
      <c r="H24" s="124"/>
      <c r="I24" s="124"/>
      <c r="J24" s="124"/>
      <c r="K24" s="124"/>
      <c r="L24" s="124"/>
      <c r="M24" s="125"/>
      <c r="N24" s="126"/>
      <c r="O24" s="124"/>
      <c r="P24" s="124"/>
      <c r="Q24" s="127"/>
      <c r="R24" s="123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8"/>
      <c r="AD24" s="129"/>
      <c r="AE24" s="128"/>
      <c r="AF24" s="131">
        <f>SUM(D24:AE24)</f>
      </c>
      <c r="AG24" s="121"/>
      <c r="AH24" s="122"/>
      <c r="AI24" s="123"/>
      <c r="AJ24" s="124"/>
      <c r="AK24" s="124"/>
      <c r="AL24" s="124"/>
      <c r="AM24" s="124"/>
      <c r="AN24" s="124"/>
      <c r="AO24" s="124"/>
      <c r="AP24" s="125"/>
      <c r="AQ24" s="126"/>
      <c r="AR24" s="124"/>
      <c r="AS24" s="124"/>
      <c r="AT24" s="127"/>
      <c r="AU24" s="123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8"/>
      <c r="BG24" s="129"/>
      <c r="BH24" s="128"/>
      <c r="BI24" s="131">
        <f>SUM(AG24:BH24)</f>
      </c>
      <c r="BJ24" s="121"/>
      <c r="BK24" s="122"/>
      <c r="BL24" s="123"/>
      <c r="BM24" s="124"/>
      <c r="BN24" s="124"/>
      <c r="BO24" s="124"/>
      <c r="BP24" s="124"/>
      <c r="BQ24" s="124"/>
      <c r="BR24" s="124"/>
      <c r="BS24" s="125"/>
      <c r="BT24" s="126"/>
      <c r="BU24" s="124"/>
      <c r="BV24" s="124"/>
      <c r="BW24" s="127"/>
      <c r="BX24" s="123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8"/>
      <c r="CJ24" s="129"/>
      <c r="CK24" s="128"/>
      <c r="CL24" s="131">
        <f>SUM(BJ24:CK24)</f>
      </c>
      <c r="CM24" s="121"/>
      <c r="CN24" s="122"/>
      <c r="CO24" s="123"/>
      <c r="CP24" s="124"/>
      <c r="CQ24" s="124"/>
      <c r="CR24" s="124"/>
      <c r="CS24" s="124"/>
      <c r="CT24" s="124"/>
      <c r="CU24" s="124"/>
      <c r="CV24" s="125"/>
      <c r="CW24" s="126"/>
      <c r="CX24" s="124"/>
      <c r="CY24" s="124"/>
      <c r="CZ24" s="127"/>
      <c r="DA24" s="123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8"/>
      <c r="DM24" s="129"/>
      <c r="DN24" s="128"/>
      <c r="DO24" s="131">
        <f>SUM(CM24:DN24)</f>
      </c>
      <c r="DP24" s="121"/>
      <c r="DQ24" s="122"/>
      <c r="DR24" s="123"/>
      <c r="DS24" s="124"/>
      <c r="DT24" s="124"/>
      <c r="DU24" s="124"/>
      <c r="DV24" s="124"/>
      <c r="DW24" s="124"/>
      <c r="DX24" s="124"/>
      <c r="DY24" s="125"/>
      <c r="DZ24" s="126"/>
      <c r="EA24" s="124"/>
      <c r="EB24" s="124"/>
      <c r="EC24" s="127"/>
      <c r="ED24" s="123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8"/>
      <c r="EP24" s="129"/>
      <c r="EQ24" s="128"/>
      <c r="ER24" s="131">
        <f>SUM(DP24:EQ24)</f>
      </c>
      <c r="ES24" s="121"/>
      <c r="ET24" s="122"/>
      <c r="EU24" s="123"/>
      <c r="EV24" s="124"/>
      <c r="EW24" s="124"/>
      <c r="EX24" s="124"/>
      <c r="EY24" s="124"/>
      <c r="EZ24" s="124"/>
      <c r="FA24" s="124"/>
      <c r="FB24" s="125"/>
      <c r="FC24" s="126"/>
      <c r="FD24" s="124"/>
      <c r="FE24" s="124"/>
      <c r="FF24" s="127"/>
      <c r="FG24" s="123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8"/>
      <c r="FS24" s="129"/>
      <c r="FT24" s="128"/>
      <c r="FU24" s="131">
        <f>SUM(ES24:FT24)</f>
      </c>
      <c r="FV24" s="121"/>
      <c r="FW24" s="122"/>
      <c r="FX24" s="123"/>
      <c r="FY24" s="124"/>
      <c r="FZ24" s="124"/>
      <c r="GA24" s="124"/>
      <c r="GB24" s="124"/>
      <c r="GC24" s="124"/>
      <c r="GD24" s="124"/>
      <c r="GE24" s="125"/>
      <c r="GF24" s="126"/>
      <c r="GG24" s="124"/>
      <c r="GH24" s="124"/>
      <c r="GI24" s="127"/>
      <c r="GJ24" s="123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8"/>
      <c r="GV24" s="129"/>
      <c r="GW24" s="128"/>
      <c r="GX24" s="131">
        <f>SUM(FV24:GW24)</f>
      </c>
      <c r="GY24" s="132">
        <f>AF24+BI24+CL24+DO24+ER24+FU24+GX24</f>
      </c>
      <c r="GZ24" s="133">
        <f>(COUNTIF(D24:GX24,"H")+COUNTIF(D24:GX24,"S")+COUNTIF(D24:GX24,"L")+COUNTIF(D24:GX24,"E")+COUNTIF(D24:GX24,"C"))/2</f>
      </c>
      <c r="HA24" s="130">
        <f>GY24+GZ24</f>
      </c>
      <c r="HB24" s="134"/>
      <c r="HC24" s="135"/>
      <c r="HD24" s="136"/>
      <c r="HE24" s="137"/>
      <c r="HF24" s="143">
        <v>0.5</v>
      </c>
      <c r="HG24" s="143">
        <v>0.5</v>
      </c>
      <c r="HH24" s="143">
        <v>0.5</v>
      </c>
      <c r="HI24" s="143">
        <v>0.5</v>
      </c>
      <c r="HJ24" s="138">
        <v>0.5</v>
      </c>
      <c r="HK24" s="139">
        <v>0.5</v>
      </c>
      <c r="HL24" s="140">
        <v>0.5</v>
      </c>
      <c r="HM24" s="138">
        <v>0.5</v>
      </c>
      <c r="HN24" s="137"/>
      <c r="HO24" s="141"/>
      <c r="HP24" s="142">
        <v>0.5</v>
      </c>
      <c r="HQ24" s="138">
        <v>0.5</v>
      </c>
      <c r="HR24" s="143">
        <v>0.5</v>
      </c>
      <c r="HS24" s="143">
        <v>0.5</v>
      </c>
      <c r="HT24" s="143">
        <v>0.5</v>
      </c>
      <c r="HU24" s="143">
        <v>0.5</v>
      </c>
      <c r="HV24" s="143">
        <v>0.5</v>
      </c>
      <c r="HW24" s="143">
        <v>0.5</v>
      </c>
      <c r="HX24" s="137"/>
      <c r="HY24" s="137"/>
      <c r="HZ24" s="137"/>
      <c r="IA24" s="146"/>
      <c r="IB24" s="145"/>
      <c r="IC24" s="146"/>
      <c r="ID24" s="131">
        <f>SUM(HB24:IC24)</f>
      </c>
      <c r="IE24" s="134"/>
      <c r="IF24" s="135"/>
      <c r="IG24" s="136"/>
      <c r="IH24" s="137"/>
      <c r="II24" s="143">
        <v>0.5</v>
      </c>
      <c r="IJ24" s="143">
        <v>0.5</v>
      </c>
      <c r="IK24" s="143">
        <v>0.5</v>
      </c>
      <c r="IL24" s="143">
        <v>0.5</v>
      </c>
      <c r="IM24" s="138">
        <v>0.5</v>
      </c>
      <c r="IN24" s="139">
        <v>0.5</v>
      </c>
      <c r="IO24" s="140">
        <v>0.5</v>
      </c>
      <c r="IP24" s="138">
        <v>0.5</v>
      </c>
      <c r="IQ24" s="137"/>
      <c r="IR24" s="141"/>
      <c r="IS24" s="142">
        <v>0.5</v>
      </c>
      <c r="IT24" s="138">
        <v>0.5</v>
      </c>
      <c r="IU24" s="143">
        <v>0.5</v>
      </c>
      <c r="IV24" s="143">
        <v>0.5</v>
      </c>
      <c r="IW24" s="143">
        <v>0.5</v>
      </c>
      <c r="IX24" s="143">
        <v>0.5</v>
      </c>
      <c r="IY24" s="143">
        <v>0.5</v>
      </c>
      <c r="IZ24" s="143">
        <v>0.5</v>
      </c>
      <c r="JA24" s="137"/>
      <c r="JB24" s="137"/>
      <c r="JC24" s="137"/>
      <c r="JD24" s="146"/>
      <c r="JE24" s="145"/>
      <c r="JF24" s="146"/>
      <c r="JG24" s="131">
        <f>SUM(IE24:JF24)</f>
      </c>
      <c r="JH24" s="134"/>
      <c r="JI24" s="135"/>
      <c r="JJ24" s="136"/>
      <c r="JK24" s="137"/>
      <c r="JL24" s="143">
        <v>0.5</v>
      </c>
      <c r="JM24" s="143">
        <v>0.5</v>
      </c>
      <c r="JN24" s="143">
        <v>0.5</v>
      </c>
      <c r="JO24" s="143">
        <v>0.5</v>
      </c>
      <c r="JP24" s="138">
        <v>0.5</v>
      </c>
      <c r="JQ24" s="139">
        <v>0.5</v>
      </c>
      <c r="JR24" s="140">
        <v>0.5</v>
      </c>
      <c r="JS24" s="138">
        <v>0.5</v>
      </c>
      <c r="JT24" s="137"/>
      <c r="JU24" s="141"/>
      <c r="JV24" s="142">
        <v>0.5</v>
      </c>
      <c r="JW24" s="138">
        <v>0.5</v>
      </c>
      <c r="JX24" s="143">
        <v>0.5</v>
      </c>
      <c r="JY24" s="143">
        <v>0.5</v>
      </c>
      <c r="JZ24" s="143">
        <v>0.5</v>
      </c>
      <c r="KA24" s="143">
        <v>0.5</v>
      </c>
      <c r="KB24" s="143">
        <v>0.5</v>
      </c>
      <c r="KC24" s="143">
        <v>0.5</v>
      </c>
      <c r="KD24" s="137"/>
      <c r="KE24" s="137"/>
      <c r="KF24" s="137"/>
      <c r="KG24" s="146"/>
      <c r="KH24" s="145"/>
      <c r="KI24" s="146"/>
      <c r="KJ24" s="131">
        <f>SUM(JH24:KI24)</f>
      </c>
      <c r="KK24" s="134"/>
      <c r="KL24" s="135"/>
      <c r="KM24" s="136"/>
      <c r="KN24" s="137"/>
      <c r="KO24" s="143">
        <v>0.5</v>
      </c>
      <c r="KP24" s="143">
        <v>0.5</v>
      </c>
      <c r="KQ24" s="143">
        <v>0.5</v>
      </c>
      <c r="KR24" s="143">
        <v>0.5</v>
      </c>
      <c r="KS24" s="138">
        <v>0.5</v>
      </c>
      <c r="KT24" s="139">
        <v>0.5</v>
      </c>
      <c r="KU24" s="140">
        <v>0.5</v>
      </c>
      <c r="KV24" s="138">
        <v>0.5</v>
      </c>
      <c r="KW24" s="137"/>
      <c r="KX24" s="141"/>
      <c r="KY24" s="142">
        <v>0.5</v>
      </c>
      <c r="KZ24" s="138">
        <v>0.5</v>
      </c>
      <c r="LA24" s="143">
        <v>0.5</v>
      </c>
      <c r="LB24" s="143">
        <v>0.5</v>
      </c>
      <c r="LC24" s="143">
        <v>0.5</v>
      </c>
      <c r="LD24" s="143">
        <v>0.5</v>
      </c>
      <c r="LE24" s="143">
        <v>0.5</v>
      </c>
      <c r="LF24" s="143">
        <v>0.5</v>
      </c>
      <c r="LG24" s="137"/>
      <c r="LH24" s="137"/>
      <c r="LI24" s="137"/>
      <c r="LJ24" s="146"/>
      <c r="LK24" s="145"/>
      <c r="LL24" s="146"/>
      <c r="LM24" s="131">
        <f>SUM(KK24:LL24)</f>
      </c>
      <c r="LN24" s="134"/>
      <c r="LO24" s="135"/>
      <c r="LP24" s="136"/>
      <c r="LQ24" s="137"/>
      <c r="LR24" s="143">
        <v>0.5</v>
      </c>
      <c r="LS24" s="143">
        <v>0.5</v>
      </c>
      <c r="LT24" s="143">
        <v>0.5</v>
      </c>
      <c r="LU24" s="143">
        <v>0.5</v>
      </c>
      <c r="LV24" s="138">
        <v>0.5</v>
      </c>
      <c r="LW24" s="139">
        <v>0.5</v>
      </c>
      <c r="LX24" s="140">
        <v>0.5</v>
      </c>
      <c r="LY24" s="138">
        <v>0.5</v>
      </c>
      <c r="LZ24" s="137"/>
      <c r="MA24" s="141"/>
      <c r="MB24" s="142">
        <v>0.5</v>
      </c>
      <c r="MC24" s="138">
        <v>0.5</v>
      </c>
      <c r="MD24" s="143">
        <v>0.5</v>
      </c>
      <c r="ME24" s="143">
        <v>0.5</v>
      </c>
      <c r="MF24" s="143">
        <v>0.5</v>
      </c>
      <c r="MG24" s="143">
        <v>0.5</v>
      </c>
      <c r="MH24" s="143">
        <v>0.5</v>
      </c>
      <c r="MI24" s="143">
        <v>0.5</v>
      </c>
      <c r="MJ24" s="137"/>
      <c r="MK24" s="137"/>
      <c r="ML24" s="137"/>
      <c r="MM24" s="146"/>
      <c r="MN24" s="145"/>
      <c r="MO24" s="146"/>
      <c r="MP24" s="131">
        <f>SUM(LN24:MO24)</f>
      </c>
      <c r="MQ24" s="121"/>
      <c r="MR24" s="122"/>
      <c r="MS24" s="123"/>
      <c r="MT24" s="124"/>
      <c r="MU24" s="124"/>
      <c r="MV24" s="124"/>
      <c r="MW24" s="124"/>
      <c r="MX24" s="124"/>
      <c r="MY24" s="124"/>
      <c r="MZ24" s="125"/>
      <c r="NA24" s="126"/>
      <c r="NB24" s="124"/>
      <c r="NC24" s="124"/>
      <c r="ND24" s="127"/>
      <c r="NE24" s="123"/>
      <c r="NF24" s="124"/>
      <c r="NG24" s="124"/>
      <c r="NH24" s="124"/>
      <c r="NI24" s="124"/>
      <c r="NJ24" s="124"/>
      <c r="NK24" s="124"/>
      <c r="NL24" s="124"/>
      <c r="NM24" s="124"/>
      <c r="NN24" s="124"/>
      <c r="NO24" s="124"/>
      <c r="NP24" s="128"/>
      <c r="NQ24" s="129"/>
      <c r="NR24" s="128"/>
      <c r="NS24" s="131">
        <f>SUM(MQ24:NR24)</f>
      </c>
      <c r="NT24" s="121"/>
      <c r="NU24" s="122"/>
      <c r="NV24" s="123"/>
      <c r="NW24" s="124"/>
      <c r="NX24" s="124"/>
      <c r="NY24" s="124"/>
      <c r="NZ24" s="124"/>
      <c r="OA24" s="124"/>
      <c r="OB24" s="124"/>
      <c r="OC24" s="125"/>
      <c r="OD24" s="126"/>
      <c r="OE24" s="124"/>
      <c r="OF24" s="124"/>
      <c r="OG24" s="127"/>
      <c r="OH24" s="123"/>
      <c r="OI24" s="124"/>
      <c r="OJ24" s="124"/>
      <c r="OK24" s="124"/>
      <c r="OL24" s="124"/>
      <c r="OM24" s="124"/>
      <c r="ON24" s="124"/>
      <c r="OO24" s="124"/>
      <c r="OP24" s="124"/>
      <c r="OQ24" s="124"/>
      <c r="OR24" s="124"/>
      <c r="OS24" s="128"/>
      <c r="OT24" s="129"/>
      <c r="OU24" s="128"/>
      <c r="OV24" s="131">
        <f>SUM(NT24:OU24)</f>
      </c>
      <c r="OW24" s="132">
        <f>ID24+JG24+KJ24+LM24+MP24+NS24+OV24</f>
      </c>
      <c r="OX24" s="133">
        <f>(COUNTIF(HB24:OV24,"H")+COUNTIF(HB24:OV24,"S")+COUNTIF(HB24:OV24,"L")+COUNTIF(HB24:OV24,"E")+COUNTIF(HB24:OV24,"C"))/2</f>
      </c>
      <c r="OY24" s="130">
        <f>OW24+OX24</f>
      </c>
      <c r="OZ24" s="134"/>
      <c r="PA24" s="135"/>
      <c r="PB24" s="136"/>
      <c r="PC24" s="137"/>
      <c r="PD24" s="143">
        <v>0.5</v>
      </c>
      <c r="PE24" s="143">
        <v>0.5</v>
      </c>
      <c r="PF24" s="143">
        <v>0.5</v>
      </c>
      <c r="PG24" s="143">
        <v>0.5</v>
      </c>
      <c r="PH24" s="138">
        <v>0.5</v>
      </c>
      <c r="PI24" s="139">
        <v>0.5</v>
      </c>
      <c r="PJ24" s="140">
        <v>0.5</v>
      </c>
      <c r="PK24" s="138">
        <v>0.5</v>
      </c>
      <c r="PL24" s="137"/>
      <c r="PM24" s="141"/>
      <c r="PN24" s="142">
        <v>0.5</v>
      </c>
      <c r="PO24" s="138">
        <v>0.5</v>
      </c>
      <c r="PP24" s="143">
        <v>0.5</v>
      </c>
      <c r="PQ24" s="143">
        <v>0.5</v>
      </c>
      <c r="PR24" s="143">
        <v>0.5</v>
      </c>
      <c r="PS24" s="143">
        <v>0.5</v>
      </c>
      <c r="PT24" s="143">
        <v>0.5</v>
      </c>
      <c r="PU24" s="143">
        <v>0.5</v>
      </c>
      <c r="PV24" s="137"/>
      <c r="PW24" s="137"/>
      <c r="PX24" s="137"/>
      <c r="PY24" s="146"/>
      <c r="PZ24" s="145"/>
      <c r="QA24" s="146"/>
      <c r="QB24" s="131">
        <f>SUM(OZ24:QA24)</f>
      </c>
      <c r="QC24" s="134"/>
      <c r="QD24" s="135"/>
      <c r="QE24" s="136"/>
      <c r="QF24" s="137"/>
      <c r="QG24" s="143">
        <v>0.5</v>
      </c>
      <c r="QH24" s="143">
        <v>0.5</v>
      </c>
      <c r="QI24" s="143">
        <v>0.5</v>
      </c>
      <c r="QJ24" s="143">
        <v>0.5</v>
      </c>
      <c r="QK24" s="138">
        <v>0.5</v>
      </c>
      <c r="QL24" s="139">
        <v>0.5</v>
      </c>
      <c r="QM24" s="140">
        <v>0.5</v>
      </c>
      <c r="QN24" s="138">
        <v>0.5</v>
      </c>
      <c r="QO24" s="137"/>
      <c r="QP24" s="141"/>
      <c r="QQ24" s="142">
        <v>0.5</v>
      </c>
      <c r="QR24" s="138">
        <v>0.5</v>
      </c>
      <c r="QS24" s="143">
        <v>0.5</v>
      </c>
      <c r="QT24" s="143">
        <v>0.5</v>
      </c>
      <c r="QU24" s="143">
        <v>0.5</v>
      </c>
      <c r="QV24" s="143">
        <v>0.5</v>
      </c>
      <c r="QW24" s="143">
        <v>0.5</v>
      </c>
      <c r="QX24" s="143">
        <v>0.5</v>
      </c>
      <c r="QY24" s="137"/>
      <c r="QZ24" s="137"/>
      <c r="RA24" s="137"/>
      <c r="RB24" s="146"/>
      <c r="RC24" s="145"/>
      <c r="RD24" s="146"/>
      <c r="RE24" s="131">
        <f>SUM(QC24:RD24)</f>
      </c>
      <c r="RF24" s="134"/>
      <c r="RG24" s="135"/>
      <c r="RH24" s="136"/>
      <c r="RI24" s="137"/>
      <c r="RJ24" s="220">
        <v>0.5</v>
      </c>
      <c r="RK24" s="220">
        <v>0.5</v>
      </c>
      <c r="RL24" s="220">
        <v>0.5</v>
      </c>
      <c r="RM24" s="220">
        <v>0.5</v>
      </c>
      <c r="RN24" s="216">
        <v>0.5</v>
      </c>
      <c r="RO24" s="217">
        <v>0.5</v>
      </c>
      <c r="RP24" s="218">
        <v>0.5</v>
      </c>
      <c r="RQ24" s="216">
        <v>0.5</v>
      </c>
      <c r="RR24" s="137"/>
      <c r="RS24" s="141"/>
      <c r="RT24" s="219">
        <v>0.5</v>
      </c>
      <c r="RU24" s="216">
        <v>0.5</v>
      </c>
      <c r="RV24" s="220">
        <v>0.5</v>
      </c>
      <c r="RW24" s="220">
        <v>0.5</v>
      </c>
      <c r="RX24" s="220">
        <v>0.5</v>
      </c>
      <c r="RY24" s="220">
        <v>0.5</v>
      </c>
      <c r="RZ24" s="220">
        <v>0.5</v>
      </c>
      <c r="SA24" s="220">
        <v>0.5</v>
      </c>
      <c r="SB24" s="137"/>
      <c r="SC24" s="137"/>
      <c r="SD24" s="137"/>
      <c r="SE24" s="146"/>
      <c r="SF24" s="145"/>
      <c r="SG24" s="146"/>
      <c r="SH24" s="131">
        <f>SUM(RF24:SG24)</f>
      </c>
      <c r="SI24" s="134"/>
      <c r="SJ24" s="135"/>
      <c r="SK24" s="136"/>
      <c r="SL24" s="137"/>
      <c r="SM24" s="143">
        <v>0.5</v>
      </c>
      <c r="SN24" s="143">
        <v>0.5</v>
      </c>
      <c r="SO24" s="143">
        <v>0.5</v>
      </c>
      <c r="SP24" s="143">
        <v>0.5</v>
      </c>
      <c r="SQ24" s="138">
        <v>0.5</v>
      </c>
      <c r="SR24" s="139">
        <v>0.5</v>
      </c>
      <c r="SS24" s="140">
        <v>0.5</v>
      </c>
      <c r="ST24" s="138">
        <v>0.5</v>
      </c>
      <c r="SU24" s="137"/>
      <c r="SV24" s="141"/>
      <c r="SW24" s="142">
        <v>0.5</v>
      </c>
      <c r="SX24" s="138">
        <v>0.5</v>
      </c>
      <c r="SY24" s="143">
        <v>0.5</v>
      </c>
      <c r="SZ24" s="143">
        <v>0.5</v>
      </c>
      <c r="TA24" s="143">
        <v>0.5</v>
      </c>
      <c r="TB24" s="143">
        <v>0.5</v>
      </c>
      <c r="TC24" s="143">
        <v>0.5</v>
      </c>
      <c r="TD24" s="143">
        <v>0.5</v>
      </c>
      <c r="TE24" s="137"/>
      <c r="TF24" s="137"/>
      <c r="TG24" s="137"/>
      <c r="TH24" s="146"/>
      <c r="TI24" s="145"/>
      <c r="TJ24" s="146"/>
      <c r="TK24" s="131">
        <f>SUM(SI24:TJ24)</f>
      </c>
      <c r="TL24" s="134"/>
      <c r="TM24" s="135"/>
      <c r="TN24" s="136"/>
      <c r="TO24" s="137"/>
      <c r="TP24" s="143">
        <v>0.5</v>
      </c>
      <c r="TQ24" s="143">
        <v>0.5</v>
      </c>
      <c r="TR24" s="143">
        <v>0.5</v>
      </c>
      <c r="TS24" s="143">
        <v>0.5</v>
      </c>
      <c r="TT24" s="138">
        <v>0.5</v>
      </c>
      <c r="TU24" s="139">
        <v>0.5</v>
      </c>
      <c r="TV24" s="140">
        <v>0.5</v>
      </c>
      <c r="TW24" s="138">
        <v>0.5</v>
      </c>
      <c r="TX24" s="137"/>
      <c r="TY24" s="141"/>
      <c r="TZ24" s="142">
        <v>0.5</v>
      </c>
      <c r="UA24" s="138">
        <v>0.5</v>
      </c>
      <c r="UB24" s="143">
        <v>0.5</v>
      </c>
      <c r="UC24" s="143">
        <v>0.5</v>
      </c>
      <c r="UD24" s="143">
        <v>0.5</v>
      </c>
      <c r="UE24" s="143">
        <v>0.5</v>
      </c>
      <c r="UF24" s="143">
        <v>0.5</v>
      </c>
      <c r="UG24" s="143">
        <v>0.5</v>
      </c>
      <c r="UH24" s="137"/>
      <c r="UI24" s="137"/>
      <c r="UJ24" s="137"/>
      <c r="UK24" s="146"/>
      <c r="UL24" s="145"/>
      <c r="UM24" s="146"/>
      <c r="UN24" s="131">
        <f>SUM(TL24:UM24)</f>
      </c>
      <c r="UO24" s="121"/>
      <c r="UP24" s="122"/>
      <c r="UQ24" s="123"/>
      <c r="UR24" s="124"/>
      <c r="US24" s="124"/>
      <c r="UT24" s="124"/>
      <c r="UU24" s="124"/>
      <c r="UV24" s="124"/>
      <c r="UW24" s="124"/>
      <c r="UX24" s="125"/>
      <c r="UY24" s="126"/>
      <c r="UZ24" s="124"/>
      <c r="VA24" s="124"/>
      <c r="VB24" s="127"/>
      <c r="VC24" s="123"/>
      <c r="VD24" s="124"/>
      <c r="VE24" s="124"/>
      <c r="VF24" s="124"/>
      <c r="VG24" s="124"/>
      <c r="VH24" s="124"/>
      <c r="VI24" s="124"/>
      <c r="VJ24" s="124"/>
      <c r="VK24" s="124"/>
      <c r="VL24" s="124"/>
      <c r="VM24" s="124"/>
      <c r="VN24" s="128"/>
      <c r="VO24" s="129"/>
      <c r="VP24" s="128"/>
      <c r="VQ24" s="131">
        <f>SUM(UO24:VP24)</f>
      </c>
      <c r="VR24" s="121"/>
      <c r="VS24" s="122"/>
      <c r="VT24" s="123"/>
      <c r="VU24" s="124"/>
      <c r="VV24" s="124"/>
      <c r="VW24" s="124"/>
      <c r="VX24" s="124"/>
      <c r="VY24" s="124"/>
      <c r="VZ24" s="124"/>
      <c r="WA24" s="125"/>
      <c r="WB24" s="126"/>
      <c r="WC24" s="124"/>
      <c r="WD24" s="124"/>
      <c r="WE24" s="127"/>
      <c r="WF24" s="123"/>
      <c r="WG24" s="124"/>
      <c r="WH24" s="124"/>
      <c r="WI24" s="124"/>
      <c r="WJ24" s="124"/>
      <c r="WK24" s="124"/>
      <c r="WL24" s="124"/>
      <c r="WM24" s="124"/>
      <c r="WN24" s="124"/>
      <c r="WO24" s="124"/>
      <c r="WP24" s="124"/>
      <c r="WQ24" s="128"/>
      <c r="WR24" s="129"/>
      <c r="WS24" s="128"/>
      <c r="WT24" s="131">
        <f>SUM(VR24:WS24)</f>
      </c>
      <c r="WU24" s="150">
        <f>QB24+RE24+SH24+TK24+UN24+VQ24+WT24</f>
      </c>
      <c r="WV24" s="133">
        <f>(COUNTIF(OZ24:WT24,"H")+COUNTIF(OZ24:WT24,"S")+COUNTIF(OZ24:WT24,"L")+COUNTIF(OZ24:WT24,"E")+COUNTIF(OZ24:WT24,"C"))/2</f>
      </c>
      <c r="WW24" s="131">
        <f>WU24+WV24</f>
      </c>
      <c r="WX24" s="134"/>
      <c r="WY24" s="135"/>
      <c r="WZ24" s="136"/>
      <c r="XA24" s="137"/>
      <c r="XB24" s="143">
        <v>0.5</v>
      </c>
      <c r="XC24" s="143">
        <v>0.5</v>
      </c>
      <c r="XD24" s="143">
        <v>0.5</v>
      </c>
      <c r="XE24" s="143">
        <v>0.5</v>
      </c>
      <c r="XF24" s="138">
        <v>0.5</v>
      </c>
      <c r="XG24" s="139">
        <v>0.5</v>
      </c>
      <c r="XH24" s="140">
        <v>0.5</v>
      </c>
      <c r="XI24" s="138">
        <v>0.5</v>
      </c>
      <c r="XJ24" s="137"/>
      <c r="XK24" s="141"/>
      <c r="XL24" s="142">
        <v>0.5</v>
      </c>
      <c r="XM24" s="138">
        <v>0.5</v>
      </c>
      <c r="XN24" s="143">
        <v>0.5</v>
      </c>
      <c r="XO24" s="143">
        <v>0.5</v>
      </c>
      <c r="XP24" s="143">
        <v>0.5</v>
      </c>
      <c r="XQ24" s="143">
        <v>0.5</v>
      </c>
      <c r="XR24" s="143">
        <v>0.5</v>
      </c>
      <c r="XS24" s="143">
        <v>0.5</v>
      </c>
      <c r="XT24" s="137"/>
      <c r="XU24" s="137"/>
      <c r="XV24" s="137"/>
      <c r="XW24" s="146"/>
      <c r="XX24" s="145"/>
      <c r="XY24" s="146"/>
      <c r="XZ24" s="131">
        <f>SUM(WX24:XY24)</f>
      </c>
      <c r="YA24" s="134"/>
      <c r="YB24" s="135"/>
      <c r="YC24" s="136"/>
      <c r="YD24" s="137"/>
      <c r="YE24" s="143">
        <v>0.5</v>
      </c>
      <c r="YF24" s="143">
        <v>0.5</v>
      </c>
      <c r="YG24" s="143">
        <v>0.5</v>
      </c>
      <c r="YH24" s="143">
        <v>0.5</v>
      </c>
      <c r="YI24" s="138">
        <v>0.5</v>
      </c>
      <c r="YJ24" s="139">
        <v>0.5</v>
      </c>
      <c r="YK24" s="140">
        <v>0.5</v>
      </c>
      <c r="YL24" s="138">
        <v>0.5</v>
      </c>
      <c r="YM24" s="137"/>
      <c r="YN24" s="141"/>
      <c r="YO24" s="142">
        <v>0.5</v>
      </c>
      <c r="YP24" s="138">
        <v>0.5</v>
      </c>
      <c r="YQ24" s="143">
        <v>0.5</v>
      </c>
      <c r="YR24" s="143">
        <v>0.5</v>
      </c>
      <c r="YS24" s="143">
        <v>0.5</v>
      </c>
      <c r="YT24" s="143">
        <v>0.5</v>
      </c>
      <c r="YU24" s="143">
        <v>0.5</v>
      </c>
      <c r="YV24" s="143">
        <v>0.5</v>
      </c>
      <c r="YW24" s="137"/>
      <c r="YX24" s="137"/>
      <c r="YY24" s="137"/>
      <c r="YZ24" s="146"/>
      <c r="ZA24" s="145"/>
      <c r="ZB24" s="146"/>
      <c r="ZC24" s="131">
        <f>SUM(YA24:ZB24)</f>
      </c>
      <c r="ZD24" s="134"/>
      <c r="ZE24" s="135"/>
      <c r="ZF24" s="136"/>
      <c r="ZG24" s="137"/>
      <c r="ZH24" s="143">
        <v>0.5</v>
      </c>
      <c r="ZI24" s="143">
        <v>0.5</v>
      </c>
      <c r="ZJ24" s="143">
        <v>0.5</v>
      </c>
      <c r="ZK24" s="143">
        <v>0.5</v>
      </c>
      <c r="ZL24" s="138">
        <v>0.5</v>
      </c>
      <c r="ZM24" s="139">
        <v>0.5</v>
      </c>
      <c r="ZN24" s="140">
        <v>0.5</v>
      </c>
      <c r="ZO24" s="138">
        <v>0.5</v>
      </c>
      <c r="ZP24" s="137"/>
      <c r="ZQ24" s="141"/>
      <c r="ZR24" s="142">
        <v>0.5</v>
      </c>
      <c r="ZS24" s="138">
        <v>0.5</v>
      </c>
      <c r="ZT24" s="143">
        <v>0.5</v>
      </c>
      <c r="ZU24" s="143">
        <v>0.5</v>
      </c>
      <c r="ZV24" s="143">
        <v>0.5</v>
      </c>
      <c r="ZW24" s="143">
        <v>0.5</v>
      </c>
      <c r="ZX24" s="143">
        <v>0.5</v>
      </c>
      <c r="ZY24" s="143">
        <v>0.5</v>
      </c>
      <c r="ZZ24" s="137"/>
      <c r="AAA24" s="137"/>
      <c r="AAB24" s="137"/>
      <c r="AAC24" s="146"/>
      <c r="AAD24" s="145"/>
      <c r="AAE24" s="146"/>
      <c r="AAF24" s="131">
        <f>SUM(ZD24:AAE24)</f>
      </c>
      <c r="AAG24" s="134"/>
      <c r="AAH24" s="135"/>
      <c r="AAI24" s="136"/>
      <c r="AAJ24" s="137"/>
      <c r="AAK24" s="143">
        <v>0.5</v>
      </c>
      <c r="AAL24" s="143">
        <v>0.5</v>
      </c>
      <c r="AAM24" s="143">
        <v>0.5</v>
      </c>
      <c r="AAN24" s="143">
        <v>0.5</v>
      </c>
      <c r="AAO24" s="138">
        <v>0.5</v>
      </c>
      <c r="AAP24" s="139">
        <v>0.5</v>
      </c>
      <c r="AAQ24" s="140">
        <v>0.5</v>
      </c>
      <c r="AAR24" s="138">
        <v>0.5</v>
      </c>
      <c r="AAS24" s="137"/>
      <c r="AAT24" s="141"/>
      <c r="AAU24" s="142">
        <v>0.5</v>
      </c>
      <c r="AAV24" s="138">
        <v>0.5</v>
      </c>
      <c r="AAW24" s="143">
        <v>0.5</v>
      </c>
      <c r="AAX24" s="143">
        <v>0.5</v>
      </c>
      <c r="AAY24" s="143">
        <v>0.5</v>
      </c>
      <c r="AAZ24" s="143">
        <v>0.5</v>
      </c>
      <c r="ABA24" s="143">
        <v>0.5</v>
      </c>
      <c r="ABB24" s="143">
        <v>0.5</v>
      </c>
      <c r="ABC24" s="137"/>
      <c r="ABD24" s="137"/>
      <c r="ABE24" s="137"/>
      <c r="ABF24" s="146"/>
      <c r="ABG24" s="145"/>
      <c r="ABH24" s="146"/>
      <c r="ABI24" s="131">
        <f>SUM(AAG24:ABH24)</f>
      </c>
      <c r="ABJ24" s="134"/>
      <c r="ABK24" s="135"/>
      <c r="ABL24" s="136"/>
      <c r="ABM24" s="137"/>
      <c r="ABN24" s="220">
        <v>0.5</v>
      </c>
      <c r="ABO24" s="220">
        <v>0.5</v>
      </c>
      <c r="ABP24" s="220">
        <v>0.5</v>
      </c>
      <c r="ABQ24" s="220">
        <v>0.5</v>
      </c>
      <c r="ABR24" s="216">
        <v>0.5</v>
      </c>
      <c r="ABS24" s="217">
        <v>0.5</v>
      </c>
      <c r="ABT24" s="218">
        <v>0.5</v>
      </c>
      <c r="ABU24" s="216">
        <v>0.5</v>
      </c>
      <c r="ABV24" s="137"/>
      <c r="ABW24" s="141"/>
      <c r="ABX24" s="219">
        <v>0.5</v>
      </c>
      <c r="ABY24" s="216">
        <v>0.5</v>
      </c>
      <c r="ABZ24" s="220">
        <v>0.5</v>
      </c>
      <c r="ACA24" s="220">
        <v>0.5</v>
      </c>
      <c r="ACB24" s="220">
        <v>0.5</v>
      </c>
      <c r="ACC24" s="220">
        <v>0.5</v>
      </c>
      <c r="ACD24" s="220">
        <v>0.5</v>
      </c>
      <c r="ACE24" s="220">
        <v>0.5</v>
      </c>
      <c r="ACF24" s="137"/>
      <c r="ACG24" s="137"/>
      <c r="ACH24" s="137"/>
      <c r="ACI24" s="146"/>
      <c r="ACJ24" s="145"/>
      <c r="ACK24" s="146"/>
      <c r="ACL24" s="131">
        <f>SUM(ABJ24:ACK24)</f>
      </c>
      <c r="ACM24" s="121"/>
      <c r="ACN24" s="122"/>
      <c r="ACO24" s="123"/>
      <c r="ACP24" s="124"/>
      <c r="ACQ24" s="124"/>
      <c r="ACR24" s="124"/>
      <c r="ACS24" s="124"/>
      <c r="ACT24" s="124"/>
      <c r="ACU24" s="124"/>
      <c r="ACV24" s="125"/>
      <c r="ACW24" s="126"/>
      <c r="ACX24" s="124"/>
      <c r="ACY24" s="124"/>
      <c r="ACZ24" s="127"/>
      <c r="ADA24" s="123"/>
      <c r="ADB24" s="124"/>
      <c r="ADC24" s="124"/>
      <c r="ADD24" s="124"/>
      <c r="ADE24" s="124"/>
      <c r="ADF24" s="124"/>
      <c r="ADG24" s="124"/>
      <c r="ADH24" s="124"/>
      <c r="ADI24" s="124"/>
      <c r="ADJ24" s="124"/>
      <c r="ADK24" s="124"/>
      <c r="ADL24" s="128"/>
      <c r="ADM24" s="129"/>
      <c r="ADN24" s="128"/>
      <c r="ADO24" s="131">
        <f>SUM(ACM24:ADN24)</f>
      </c>
      <c r="ADP24" s="121"/>
      <c r="ADQ24" s="122"/>
      <c r="ADR24" s="123"/>
      <c r="ADS24" s="124"/>
      <c r="ADT24" s="124"/>
      <c r="ADU24" s="124"/>
      <c r="ADV24" s="124"/>
      <c r="ADW24" s="124"/>
      <c r="ADX24" s="124"/>
      <c r="ADY24" s="125"/>
      <c r="ADZ24" s="126"/>
      <c r="AEA24" s="124"/>
      <c r="AEB24" s="124"/>
      <c r="AEC24" s="127"/>
      <c r="AED24" s="123"/>
      <c r="AEE24" s="124"/>
      <c r="AEF24" s="124"/>
      <c r="AEG24" s="124"/>
      <c r="AEH24" s="124"/>
      <c r="AEI24" s="124"/>
      <c r="AEJ24" s="124"/>
      <c r="AEK24" s="124"/>
      <c r="AEL24" s="124"/>
      <c r="AEM24" s="124"/>
      <c r="AEN24" s="124"/>
      <c r="AEO24" s="128"/>
      <c r="AEP24" s="129"/>
      <c r="AEQ24" s="128"/>
      <c r="AER24" s="131">
        <f>SUM(ADP24:AEQ24)</f>
      </c>
      <c r="AES24" s="150">
        <f>XZ24+ZC24+AAF24+ABI24+ACL24+ADO24+AER24</f>
      </c>
      <c r="AET24" s="133">
        <f>(COUNTIF(WX24:AER24,"H")+COUNTIF(WX24:AER24,"S")+COUNTIF(WX24:AER24,"L")+COUNTIF(WX24:AER24,"E")+COUNTIF(WX24:AER24,"C"))/2</f>
      </c>
      <c r="AEU24" s="131">
        <f>AES24+AET24</f>
      </c>
      <c r="AEV24" s="134"/>
      <c r="AEW24" s="135"/>
      <c r="AEX24" s="136"/>
      <c r="AEY24" s="137"/>
      <c r="AEZ24" s="143">
        <v>0.5</v>
      </c>
      <c r="AFA24" s="143">
        <v>0.5</v>
      </c>
      <c r="AFB24" s="143">
        <v>0.5</v>
      </c>
      <c r="AFC24" s="143">
        <v>0.5</v>
      </c>
      <c r="AFD24" s="138">
        <v>0.5</v>
      </c>
      <c r="AFE24" s="139">
        <v>0.5</v>
      </c>
      <c r="AFF24" s="140">
        <v>0.5</v>
      </c>
      <c r="AFG24" s="138">
        <v>0.5</v>
      </c>
      <c r="AFH24" s="137"/>
      <c r="AFI24" s="141"/>
      <c r="AFJ24" s="142">
        <v>0.5</v>
      </c>
      <c r="AFK24" s="138">
        <v>0.5</v>
      </c>
      <c r="AFL24" s="143">
        <v>0.5</v>
      </c>
      <c r="AFM24" s="143">
        <v>0.5</v>
      </c>
      <c r="AFN24" s="143">
        <v>0.5</v>
      </c>
      <c r="AFO24" s="143">
        <v>0.5</v>
      </c>
      <c r="AFP24" s="143">
        <v>0.5</v>
      </c>
      <c r="AFQ24" s="143">
        <v>0.5</v>
      </c>
      <c r="AFR24" s="137"/>
      <c r="AFS24" s="137"/>
      <c r="AFT24" s="137"/>
      <c r="AFU24" s="146"/>
      <c r="AFV24" s="145"/>
      <c r="AFW24" s="146"/>
      <c r="AFX24" s="131">
        <f>SUM(AEV24:AFW24)</f>
      </c>
      <c r="AFY24" s="134"/>
      <c r="AFZ24" s="135"/>
      <c r="AGA24" s="136"/>
      <c r="AGB24" s="137"/>
      <c r="AGC24" s="143">
        <v>0.5</v>
      </c>
      <c r="AGD24" s="143">
        <v>0.5</v>
      </c>
      <c r="AGE24" s="143">
        <v>0.5</v>
      </c>
      <c r="AGF24" s="143">
        <v>0.5</v>
      </c>
      <c r="AGG24" s="138">
        <v>0.5</v>
      </c>
      <c r="AGH24" s="139">
        <v>0.5</v>
      </c>
      <c r="AGI24" s="140">
        <v>0.5</v>
      </c>
      <c r="AGJ24" s="138">
        <v>0.5</v>
      </c>
      <c r="AGK24" s="137"/>
      <c r="AGL24" s="141"/>
      <c r="AGM24" s="142">
        <v>0.5</v>
      </c>
      <c r="AGN24" s="138">
        <v>0.5</v>
      </c>
      <c r="AGO24" s="143">
        <v>0.5</v>
      </c>
      <c r="AGP24" s="143">
        <v>0.5</v>
      </c>
      <c r="AGQ24" s="143">
        <v>0.5</v>
      </c>
      <c r="AGR24" s="143">
        <v>0.5</v>
      </c>
      <c r="AGS24" s="143">
        <v>0.5</v>
      </c>
      <c r="AGT24" s="143">
        <v>0.5</v>
      </c>
      <c r="AGU24" s="137"/>
      <c r="AGV24" s="137"/>
      <c r="AGW24" s="137"/>
      <c r="AGX24" s="146"/>
      <c r="AGY24" s="145"/>
      <c r="AGZ24" s="146"/>
      <c r="AHA24" s="131">
        <f>SUM(AFY24:AGZ24)</f>
      </c>
      <c r="AHB24" s="134"/>
      <c r="AHC24" s="135"/>
      <c r="AHD24" s="136"/>
      <c r="AHE24" s="137"/>
      <c r="AHF24" s="220">
        <v>0.5</v>
      </c>
      <c r="AHG24" s="220">
        <v>0.5</v>
      </c>
      <c r="AHH24" s="220">
        <v>0.5</v>
      </c>
      <c r="AHI24" s="220">
        <v>0.5</v>
      </c>
      <c r="AHJ24" s="216">
        <v>0.5</v>
      </c>
      <c r="AHK24" s="217">
        <v>0.5</v>
      </c>
      <c r="AHL24" s="218">
        <v>0.5</v>
      </c>
      <c r="AHM24" s="216">
        <v>0.5</v>
      </c>
      <c r="AHN24" s="137"/>
      <c r="AHO24" s="141"/>
      <c r="AHP24" s="219">
        <v>0.5</v>
      </c>
      <c r="AHQ24" s="216">
        <v>0.5</v>
      </c>
      <c r="AHR24" s="220">
        <v>0.5</v>
      </c>
      <c r="AHS24" s="220">
        <v>0.5</v>
      </c>
      <c r="AHT24" s="220">
        <v>0.5</v>
      </c>
      <c r="AHU24" s="220">
        <v>0.5</v>
      </c>
      <c r="AHV24" s="220">
        <v>0.5</v>
      </c>
      <c r="AHW24" s="220">
        <v>0.5</v>
      </c>
      <c r="AHX24" s="137"/>
      <c r="AHY24" s="137"/>
      <c r="AHZ24" s="137"/>
      <c r="AIA24" s="146"/>
      <c r="AIB24" s="145"/>
      <c r="AIC24" s="146"/>
      <c r="AID24" s="131">
        <f>SUM(AHB24:AIC24)</f>
      </c>
      <c r="AIE24" s="134"/>
      <c r="AIF24" s="135"/>
      <c r="AIG24" s="136"/>
      <c r="AIH24" s="137"/>
      <c r="AII24" s="143">
        <v>0.5</v>
      </c>
      <c r="AIJ24" s="143">
        <v>0.5</v>
      </c>
      <c r="AIK24" s="143">
        <v>0.5</v>
      </c>
      <c r="AIL24" s="143">
        <v>0.5</v>
      </c>
      <c r="AIM24" s="138">
        <v>0.5</v>
      </c>
      <c r="AIN24" s="139">
        <v>0.5</v>
      </c>
      <c r="AIO24" s="140">
        <v>0.5</v>
      </c>
      <c r="AIP24" s="138">
        <v>0.5</v>
      </c>
      <c r="AIQ24" s="137"/>
      <c r="AIR24" s="141"/>
      <c r="AIS24" s="142">
        <v>0.5</v>
      </c>
      <c r="AIT24" s="138">
        <v>0.5</v>
      </c>
      <c r="AIU24" s="143">
        <v>0.5</v>
      </c>
      <c r="AIV24" s="143">
        <v>0.5</v>
      </c>
      <c r="AIW24" s="143">
        <v>0.5</v>
      </c>
      <c r="AIX24" s="143">
        <v>0.5</v>
      </c>
      <c r="AIY24" s="143">
        <v>0.5</v>
      </c>
      <c r="AIZ24" s="143">
        <v>0.5</v>
      </c>
      <c r="AJA24" s="137"/>
      <c r="AJB24" s="137"/>
      <c r="AJC24" s="137"/>
      <c r="AJD24" s="146"/>
      <c r="AJE24" s="145"/>
      <c r="AJF24" s="146"/>
      <c r="AJG24" s="131">
        <f>SUM(AIE24:AJF24)</f>
      </c>
      <c r="AJH24" s="134"/>
      <c r="AJI24" s="135"/>
      <c r="AJJ24" s="136"/>
      <c r="AJK24" s="137"/>
      <c r="AJL24" s="143">
        <v>0.5</v>
      </c>
      <c r="AJM24" s="143">
        <v>0.5</v>
      </c>
      <c r="AJN24" s="143">
        <v>0.5</v>
      </c>
      <c r="AJO24" s="143">
        <v>0.5</v>
      </c>
      <c r="AJP24" s="138">
        <v>0.5</v>
      </c>
      <c r="AJQ24" s="139">
        <v>0.5</v>
      </c>
      <c r="AJR24" s="140">
        <v>0.5</v>
      </c>
      <c r="AJS24" s="138">
        <v>0.5</v>
      </c>
      <c r="AJT24" s="137"/>
      <c r="AJU24" s="141"/>
      <c r="AJV24" s="142">
        <v>0.5</v>
      </c>
      <c r="AJW24" s="138">
        <v>0.5</v>
      </c>
      <c r="AJX24" s="143">
        <v>0.5</v>
      </c>
      <c r="AJY24" s="143">
        <v>0.5</v>
      </c>
      <c r="AJZ24" s="143">
        <v>0.5</v>
      </c>
      <c r="AKA24" s="143">
        <v>0.5</v>
      </c>
      <c r="AKB24" s="143">
        <v>0.5</v>
      </c>
      <c r="AKC24" s="143">
        <v>0.5</v>
      </c>
      <c r="AKD24" s="137"/>
      <c r="AKE24" s="137"/>
      <c r="AKF24" s="137"/>
      <c r="AKG24" s="146"/>
      <c r="AKH24" s="145"/>
      <c r="AKI24" s="146"/>
      <c r="AKJ24" s="131">
        <f>SUM(AJH24:AKI24)</f>
      </c>
      <c r="AKK24" s="121"/>
      <c r="AKL24" s="122"/>
      <c r="AKM24" s="123"/>
      <c r="AKN24" s="124"/>
      <c r="AKO24" s="124"/>
      <c r="AKP24" s="124"/>
      <c r="AKQ24" s="124"/>
      <c r="AKR24" s="124"/>
      <c r="AKS24" s="124"/>
      <c r="AKT24" s="125"/>
      <c r="AKU24" s="126"/>
      <c r="AKV24" s="124"/>
      <c r="AKW24" s="124"/>
      <c r="AKX24" s="127"/>
      <c r="AKY24" s="123"/>
      <c r="AKZ24" s="124"/>
      <c r="ALA24" s="124"/>
      <c r="ALB24" s="124"/>
      <c r="ALC24" s="124"/>
      <c r="ALD24" s="124"/>
      <c r="ALE24" s="124"/>
      <c r="ALF24" s="124"/>
      <c r="ALG24" s="124"/>
      <c r="ALH24" s="124"/>
      <c r="ALI24" s="124"/>
      <c r="ALJ24" s="128"/>
      <c r="ALK24" s="129"/>
      <c r="ALL24" s="128"/>
      <c r="ALM24" s="131">
        <f>SUM(AKK24:ALL24)</f>
      </c>
      <c r="ALN24" s="121"/>
      <c r="ALO24" s="122"/>
      <c r="ALP24" s="123"/>
      <c r="ALQ24" s="124"/>
      <c r="ALR24" s="124"/>
      <c r="ALS24" s="124"/>
      <c r="ALT24" s="124"/>
      <c r="ALU24" s="124"/>
      <c r="ALV24" s="124"/>
      <c r="ALW24" s="125"/>
      <c r="ALX24" s="126"/>
      <c r="ALY24" s="124"/>
      <c r="ALZ24" s="124"/>
      <c r="AMA24" s="127"/>
      <c r="AMB24" s="123"/>
      <c r="AMC24" s="124"/>
      <c r="AMD24" s="124"/>
      <c r="AME24" s="124"/>
      <c r="AMF24" s="124"/>
      <c r="AMG24" s="124"/>
      <c r="AMH24" s="124"/>
      <c r="AMI24" s="124"/>
      <c r="AMJ24" s="124"/>
      <c r="AMK24" s="124"/>
      <c r="AML24" s="124"/>
      <c r="AMM24" s="128"/>
      <c r="AMN24" s="129"/>
      <c r="AMO24" s="128"/>
      <c r="AMP24" s="131">
        <f>SUM(ALN24:AMO24)</f>
      </c>
      <c r="AMQ24" s="150">
        <f>AFX24+AHA24+AID24+AJG24+AKJ24+ALM24+AMP24</f>
      </c>
      <c r="AMR24" s="133">
        <f>(COUNTIF(AEV24:AMP24,"H")+COUNTIF(AEV24:AMP24,"S")+COUNTIF(AEV24:AMP24,"L")+COUNTIF(AEV24:AMP24,"E")+COUNTIF(AEV24:AMP24,"C"))/2</f>
      </c>
      <c r="AMS24" s="131">
        <f>AMQ24+AMR24</f>
      </c>
      <c r="AMT24" s="4"/>
      <c r="AMU24" s="4"/>
      <c r="AMV24" s="4"/>
      <c r="AMW24" s="4"/>
      <c r="AMX24" s="4"/>
      <c r="AMY24" s="4"/>
      <c r="AMZ24" s="4"/>
      <c r="ANA24" s="4"/>
      <c r="ANB24" s="4"/>
      <c r="ANC24" s="4"/>
      <c r="AND24" s="4"/>
      <c r="ANE24" s="4"/>
      <c r="ANF24" s="4"/>
      <c r="ANG24" s="4"/>
      <c r="ANH24" s="4"/>
      <c r="ANI24" s="4"/>
      <c r="ANJ24" s="13"/>
      <c r="ANK24" s="13"/>
      <c r="ANL24" s="4"/>
      <c r="ANM24" s="4"/>
      <c r="ANN24" s="4"/>
      <c r="ANO24" s="4"/>
      <c r="ANP24" s="4"/>
      <c r="ANQ24" s="4"/>
      <c r="ANR24" s="4"/>
      <c r="ANS24" s="4"/>
      <c r="ANT24" s="4"/>
      <c r="ANU24" s="4"/>
      <c r="ANV24" s="4"/>
      <c r="ANW24" s="4"/>
      <c r="ANX24" s="4"/>
      <c r="ANY24" s="4"/>
      <c r="ANZ24" s="4"/>
      <c r="AOA24" s="4"/>
      <c r="AOB24" s="4"/>
      <c r="AOC24" s="4"/>
      <c r="AOD24" s="4"/>
      <c r="AOE24" s="4"/>
      <c r="AOF24" s="4"/>
      <c r="AOG24" s="4"/>
      <c r="AOH24" s="4"/>
      <c r="AOI24" s="4"/>
      <c r="AOJ24" s="4"/>
      <c r="AOK24" s="4"/>
      <c r="AOL24" s="4"/>
      <c r="AOM24" s="4"/>
      <c r="AON24" s="4"/>
      <c r="AOO24" s="4"/>
      <c r="AOP24" s="4"/>
      <c r="AOQ24" s="4"/>
      <c r="AOR24" s="4"/>
      <c r="AOS24" s="4"/>
      <c r="AOT24" s="4"/>
      <c r="AOU24" s="4"/>
      <c r="AOV24" s="4"/>
      <c r="AOW24" s="4"/>
      <c r="AOX24" s="4"/>
      <c r="AOY24" s="4"/>
      <c r="AOZ24" s="4"/>
      <c r="APA24" s="4"/>
      <c r="APB24" s="4"/>
      <c r="APC24" s="4"/>
      <c r="APD24" s="4"/>
      <c r="APE24" s="4"/>
      <c r="APF24" s="4"/>
      <c r="APG24" s="4"/>
      <c r="APH24" s="4"/>
      <c r="API24" s="4"/>
      <c r="APJ24" s="4"/>
      <c r="APK24" s="4"/>
      <c r="APL24" s="4"/>
      <c r="APM24" s="4"/>
      <c r="APN24" s="4"/>
      <c r="APO24" s="4"/>
      <c r="APP24" s="4"/>
      <c r="APQ24" s="4"/>
      <c r="APR24" s="4"/>
      <c r="APS24" s="4"/>
      <c r="APT24" s="4"/>
      <c r="APU24" s="4"/>
      <c r="APV24" s="4"/>
      <c r="APW24" s="4"/>
      <c r="APX24" s="4"/>
      <c r="APY24" s="4"/>
      <c r="APZ24" s="4"/>
      <c r="AQA24" s="4"/>
      <c r="AQB24" s="4"/>
      <c r="AQC24" s="4"/>
      <c r="AQD24" s="4"/>
      <c r="AQE24" s="4"/>
      <c r="AQF24" s="4"/>
      <c r="AQG24" s="4"/>
      <c r="AQH24" s="4"/>
      <c r="AQI24" s="4"/>
      <c r="AQJ24" s="4"/>
      <c r="AQK24" s="4"/>
      <c r="AQL24" s="4"/>
      <c r="AQM24" s="4"/>
      <c r="AQN24" s="4"/>
      <c r="AQO24" s="4"/>
      <c r="AQP24" s="4"/>
      <c r="AQQ24" s="4"/>
      <c r="AQR24" s="4"/>
      <c r="AQS24" s="4"/>
      <c r="AQT24" s="4"/>
      <c r="AQU24" s="4"/>
      <c r="AQV24" s="4"/>
      <c r="AQW24" s="4"/>
      <c r="AQX24" s="4"/>
      <c r="AQY24" s="4"/>
      <c r="AQZ24" s="4"/>
      <c r="ARA24" s="4"/>
      <c r="ARB24" s="4"/>
      <c r="ARC24" s="4"/>
      <c r="ARD24" s="4"/>
      <c r="ARE24" s="4"/>
      <c r="ARF24" s="4"/>
      <c r="ARG24" s="4"/>
      <c r="ARH24" s="4"/>
      <c r="ARI24" s="4"/>
      <c r="ARJ24" s="4"/>
      <c r="ARK24" s="4"/>
      <c r="ARL24" s="4"/>
      <c r="ARM24" s="4"/>
      <c r="ARN24" s="4"/>
      <c r="ARO24" s="4"/>
      <c r="ARP24" s="4"/>
      <c r="ARQ24" s="4"/>
      <c r="ARR24" s="4"/>
      <c r="ARS24" s="4"/>
      <c r="ART24" s="4"/>
      <c r="ARU24" s="4"/>
      <c r="ARV24" s="4"/>
      <c r="ARW24" s="4"/>
      <c r="ARX24" s="4"/>
      <c r="ARY24" s="4"/>
      <c r="ARZ24" s="4"/>
      <c r="ASA24" s="4"/>
      <c r="ASB24" s="4"/>
      <c r="ASC24" s="4"/>
      <c r="ASD24" s="4"/>
      <c r="ASE24" s="4"/>
      <c r="ASF24" s="4"/>
      <c r="ASG24" s="4"/>
      <c r="ASH24" s="4"/>
      <c r="ASI24" s="4"/>
      <c r="ASJ24" s="4"/>
      <c r="ASK24" s="4"/>
      <c r="ASL24" s="4"/>
      <c r="ASM24" s="4"/>
      <c r="ASN24" s="4"/>
      <c r="ASO24" s="4"/>
      <c r="ASP24" s="4"/>
      <c r="ASQ24" s="4"/>
      <c r="ASR24" s="4"/>
      <c r="ASS24" s="4"/>
      <c r="AST24" s="4"/>
      <c r="ASU24" s="4"/>
    </row>
    <row r="25" ht="15" customHeight="1" spans="1:1191" x14ac:dyDescent="0.25">
      <c r="A25" s="118"/>
      <c r="B25" s="119" t="s">
        <v>65</v>
      </c>
      <c r="C25" s="120" t="s">
        <v>52</v>
      </c>
      <c r="D25" s="121"/>
      <c r="E25" s="122"/>
      <c r="F25" s="123"/>
      <c r="G25" s="124"/>
      <c r="H25" s="124"/>
      <c r="I25" s="124"/>
      <c r="J25" s="124"/>
      <c r="K25" s="124"/>
      <c r="L25" s="124"/>
      <c r="M25" s="125"/>
      <c r="N25" s="126"/>
      <c r="O25" s="124"/>
      <c r="P25" s="124"/>
      <c r="Q25" s="127"/>
      <c r="R25" s="123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8"/>
      <c r="AD25" s="129"/>
      <c r="AE25" s="128"/>
      <c r="AF25" s="131">
        <f>SUM(D25:AE25)</f>
      </c>
      <c r="AG25" s="121"/>
      <c r="AH25" s="122"/>
      <c r="AI25" s="123"/>
      <c r="AJ25" s="124"/>
      <c r="AK25" s="124"/>
      <c r="AL25" s="124"/>
      <c r="AM25" s="124"/>
      <c r="AN25" s="124"/>
      <c r="AO25" s="124"/>
      <c r="AP25" s="125"/>
      <c r="AQ25" s="126"/>
      <c r="AR25" s="124"/>
      <c r="AS25" s="124"/>
      <c r="AT25" s="127"/>
      <c r="AU25" s="123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8"/>
      <c r="BG25" s="129"/>
      <c r="BH25" s="128"/>
      <c r="BI25" s="131">
        <f>SUM(AG25:BH25)</f>
      </c>
      <c r="BJ25" s="121"/>
      <c r="BK25" s="122"/>
      <c r="BL25" s="123"/>
      <c r="BM25" s="124"/>
      <c r="BN25" s="124"/>
      <c r="BO25" s="124"/>
      <c r="BP25" s="124"/>
      <c r="BQ25" s="124"/>
      <c r="BR25" s="124"/>
      <c r="BS25" s="125"/>
      <c r="BT25" s="126"/>
      <c r="BU25" s="124"/>
      <c r="BV25" s="124"/>
      <c r="BW25" s="127"/>
      <c r="BX25" s="123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8"/>
      <c r="CJ25" s="129"/>
      <c r="CK25" s="128"/>
      <c r="CL25" s="131">
        <f>SUM(BJ25:CK25)</f>
      </c>
      <c r="CM25" s="121"/>
      <c r="CN25" s="122"/>
      <c r="CO25" s="123"/>
      <c r="CP25" s="124"/>
      <c r="CQ25" s="124"/>
      <c r="CR25" s="124"/>
      <c r="CS25" s="124"/>
      <c r="CT25" s="124"/>
      <c r="CU25" s="124"/>
      <c r="CV25" s="125"/>
      <c r="CW25" s="126"/>
      <c r="CX25" s="124"/>
      <c r="CY25" s="124"/>
      <c r="CZ25" s="127"/>
      <c r="DA25" s="123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8"/>
      <c r="DM25" s="129"/>
      <c r="DN25" s="128"/>
      <c r="DO25" s="131">
        <f>SUM(CM25:DN25)</f>
      </c>
      <c r="DP25" s="121"/>
      <c r="DQ25" s="122"/>
      <c r="DR25" s="123"/>
      <c r="DS25" s="124"/>
      <c r="DT25" s="124"/>
      <c r="DU25" s="124"/>
      <c r="DV25" s="124"/>
      <c r="DW25" s="124"/>
      <c r="DX25" s="124"/>
      <c r="DY25" s="125"/>
      <c r="DZ25" s="126"/>
      <c r="EA25" s="124"/>
      <c r="EB25" s="124"/>
      <c r="EC25" s="127"/>
      <c r="ED25" s="123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8"/>
      <c r="EP25" s="129"/>
      <c r="EQ25" s="128"/>
      <c r="ER25" s="131">
        <f>SUM(DP25:EQ25)</f>
      </c>
      <c r="ES25" s="121"/>
      <c r="ET25" s="122"/>
      <c r="EU25" s="123"/>
      <c r="EV25" s="124"/>
      <c r="EW25" s="124"/>
      <c r="EX25" s="124"/>
      <c r="EY25" s="124"/>
      <c r="EZ25" s="124"/>
      <c r="FA25" s="124"/>
      <c r="FB25" s="125"/>
      <c r="FC25" s="126"/>
      <c r="FD25" s="124"/>
      <c r="FE25" s="124"/>
      <c r="FF25" s="127"/>
      <c r="FG25" s="123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8"/>
      <c r="FS25" s="129"/>
      <c r="FT25" s="128"/>
      <c r="FU25" s="131">
        <f>SUM(ES25:FT25)</f>
      </c>
      <c r="FV25" s="121"/>
      <c r="FW25" s="122"/>
      <c r="FX25" s="123"/>
      <c r="FY25" s="124"/>
      <c r="FZ25" s="124"/>
      <c r="GA25" s="124"/>
      <c r="GB25" s="124"/>
      <c r="GC25" s="124"/>
      <c r="GD25" s="124"/>
      <c r="GE25" s="125"/>
      <c r="GF25" s="126"/>
      <c r="GG25" s="124"/>
      <c r="GH25" s="124"/>
      <c r="GI25" s="127"/>
      <c r="GJ25" s="123"/>
      <c r="GK25" s="124"/>
      <c r="GL25" s="124"/>
      <c r="GM25" s="124"/>
      <c r="GN25" s="124"/>
      <c r="GO25" s="124"/>
      <c r="GP25" s="124"/>
      <c r="GQ25" s="124"/>
      <c r="GR25" s="124"/>
      <c r="GS25" s="124"/>
      <c r="GT25" s="124"/>
      <c r="GU25" s="128"/>
      <c r="GV25" s="129"/>
      <c r="GW25" s="128"/>
      <c r="GX25" s="131">
        <f>SUM(FV25:GW25)</f>
      </c>
      <c r="GY25" s="132">
        <f>AF25+BI25+CL25+DO25+ER25+FU25+GX25</f>
      </c>
      <c r="GZ25" s="133">
        <f>(COUNTIF(D25:GX25,"H")+COUNTIF(D25:GX25,"S")+COUNTIF(D25:GX25,"L")+COUNTIF(D25:GX25,"E")+COUNTIF(D25:GX25,"C"))/2</f>
      </c>
      <c r="HA25" s="130">
        <f>GY25+GZ25</f>
      </c>
      <c r="HB25" s="134"/>
      <c r="HC25" s="135"/>
      <c r="HD25" s="136"/>
      <c r="HE25" s="137"/>
      <c r="HF25" s="137"/>
      <c r="HG25" s="137"/>
      <c r="HH25" s="143">
        <v>0.5</v>
      </c>
      <c r="HI25" s="143">
        <v>0.5</v>
      </c>
      <c r="HJ25" s="138">
        <v>0.5</v>
      </c>
      <c r="HK25" s="139">
        <v>0.5</v>
      </c>
      <c r="HL25" s="140">
        <v>0.5</v>
      </c>
      <c r="HM25" s="138">
        <v>0.5</v>
      </c>
      <c r="HN25" s="137"/>
      <c r="HO25" s="141"/>
      <c r="HP25" s="142">
        <v>0.5</v>
      </c>
      <c r="HQ25" s="138">
        <v>0.5</v>
      </c>
      <c r="HR25" s="143">
        <v>0.5</v>
      </c>
      <c r="HS25" s="143">
        <v>0.5</v>
      </c>
      <c r="HT25" s="143">
        <v>0.5</v>
      </c>
      <c r="HU25" s="143">
        <v>0.5</v>
      </c>
      <c r="HV25" s="143">
        <v>0.5</v>
      </c>
      <c r="HW25" s="143">
        <v>0.5</v>
      </c>
      <c r="HX25" s="143">
        <v>0.5</v>
      </c>
      <c r="HY25" s="143">
        <v>0.5</v>
      </c>
      <c r="HZ25" s="137"/>
      <c r="IA25" s="146"/>
      <c r="IB25" s="145"/>
      <c r="IC25" s="146"/>
      <c r="ID25" s="131">
        <f>SUM(HB25:IC25)</f>
      </c>
      <c r="IE25" s="134"/>
      <c r="IF25" s="135"/>
      <c r="IG25" s="136"/>
      <c r="IH25" s="137"/>
      <c r="II25" s="137"/>
      <c r="IJ25" s="137"/>
      <c r="IK25" s="143">
        <v>0.5</v>
      </c>
      <c r="IL25" s="143">
        <v>0.5</v>
      </c>
      <c r="IM25" s="138">
        <v>0.5</v>
      </c>
      <c r="IN25" s="139">
        <v>0.5</v>
      </c>
      <c r="IO25" s="140">
        <v>0.5</v>
      </c>
      <c r="IP25" s="138">
        <v>0.5</v>
      </c>
      <c r="IQ25" s="137"/>
      <c r="IR25" s="141"/>
      <c r="IS25" s="142">
        <v>0.5</v>
      </c>
      <c r="IT25" s="138">
        <v>0.5</v>
      </c>
      <c r="IU25" s="143">
        <v>0.5</v>
      </c>
      <c r="IV25" s="143">
        <v>0.5</v>
      </c>
      <c r="IW25" s="143">
        <v>0.5</v>
      </c>
      <c r="IX25" s="143">
        <v>0.5</v>
      </c>
      <c r="IY25" s="143">
        <v>0.5</v>
      </c>
      <c r="IZ25" s="143">
        <v>0.5</v>
      </c>
      <c r="JA25" s="143">
        <v>0.5</v>
      </c>
      <c r="JB25" s="143">
        <v>0.5</v>
      </c>
      <c r="JC25" s="137"/>
      <c r="JD25" s="146"/>
      <c r="JE25" s="145"/>
      <c r="JF25" s="146"/>
      <c r="JG25" s="131">
        <f>SUM(IE25:JF25)</f>
      </c>
      <c r="JH25" s="134"/>
      <c r="JI25" s="135"/>
      <c r="JJ25" s="136"/>
      <c r="JK25" s="137"/>
      <c r="JL25" s="137"/>
      <c r="JM25" s="137"/>
      <c r="JN25" s="143">
        <v>0.5</v>
      </c>
      <c r="JO25" s="143">
        <v>0.5</v>
      </c>
      <c r="JP25" s="138">
        <v>0.5</v>
      </c>
      <c r="JQ25" s="139">
        <v>0.5</v>
      </c>
      <c r="JR25" s="140">
        <v>0.5</v>
      </c>
      <c r="JS25" s="138">
        <v>0.5</v>
      </c>
      <c r="JT25" s="137"/>
      <c r="JU25" s="141"/>
      <c r="JV25" s="142">
        <v>0.5</v>
      </c>
      <c r="JW25" s="138">
        <v>0.5</v>
      </c>
      <c r="JX25" s="143">
        <v>0.5</v>
      </c>
      <c r="JY25" s="143">
        <v>0.5</v>
      </c>
      <c r="JZ25" s="143">
        <v>0.5</v>
      </c>
      <c r="KA25" s="143">
        <v>0.5</v>
      </c>
      <c r="KB25" s="143">
        <v>0.5</v>
      </c>
      <c r="KC25" s="143">
        <v>0.5</v>
      </c>
      <c r="KD25" s="143">
        <v>0.5</v>
      </c>
      <c r="KE25" s="143">
        <v>0.5</v>
      </c>
      <c r="KF25" s="137"/>
      <c r="KG25" s="146"/>
      <c r="KH25" s="145"/>
      <c r="KI25" s="146"/>
      <c r="KJ25" s="131">
        <f>SUM(JH25:KI25)</f>
      </c>
      <c r="KK25" s="134"/>
      <c r="KL25" s="135"/>
      <c r="KM25" s="136"/>
      <c r="KN25" s="137"/>
      <c r="KO25" s="137"/>
      <c r="KP25" s="137"/>
      <c r="KQ25" s="143">
        <v>0.5</v>
      </c>
      <c r="KR25" s="143">
        <v>0.5</v>
      </c>
      <c r="KS25" s="138">
        <v>0.5</v>
      </c>
      <c r="KT25" s="139">
        <v>0.5</v>
      </c>
      <c r="KU25" s="140">
        <v>0.5</v>
      </c>
      <c r="KV25" s="138">
        <v>0.5</v>
      </c>
      <c r="KW25" s="137"/>
      <c r="KX25" s="141"/>
      <c r="KY25" s="142">
        <v>0.5</v>
      </c>
      <c r="KZ25" s="138">
        <v>0.5</v>
      </c>
      <c r="LA25" s="143">
        <v>0.5</v>
      </c>
      <c r="LB25" s="143">
        <v>0.5</v>
      </c>
      <c r="LC25" s="143">
        <v>0.5</v>
      </c>
      <c r="LD25" s="143">
        <v>0.5</v>
      </c>
      <c r="LE25" s="143">
        <v>0.5</v>
      </c>
      <c r="LF25" s="143">
        <v>0.5</v>
      </c>
      <c r="LG25" s="143">
        <v>0.5</v>
      </c>
      <c r="LH25" s="143">
        <v>0.5</v>
      </c>
      <c r="LI25" s="137"/>
      <c r="LJ25" s="146"/>
      <c r="LK25" s="145"/>
      <c r="LL25" s="146"/>
      <c r="LM25" s="131">
        <f>SUM(KK25:LL25)</f>
      </c>
      <c r="LN25" s="134"/>
      <c r="LO25" s="135"/>
      <c r="LP25" s="136"/>
      <c r="LQ25" s="137"/>
      <c r="LR25" s="137"/>
      <c r="LS25" s="137"/>
      <c r="LT25" s="143">
        <v>0.5</v>
      </c>
      <c r="LU25" s="143">
        <v>0.5</v>
      </c>
      <c r="LV25" s="138">
        <v>0.5</v>
      </c>
      <c r="LW25" s="139">
        <v>0.5</v>
      </c>
      <c r="LX25" s="140">
        <v>0.5</v>
      </c>
      <c r="LY25" s="138">
        <v>0.5</v>
      </c>
      <c r="LZ25" s="137"/>
      <c r="MA25" s="141"/>
      <c r="MB25" s="142">
        <v>0.5</v>
      </c>
      <c r="MC25" s="138">
        <v>0.5</v>
      </c>
      <c r="MD25" s="143">
        <v>0.5</v>
      </c>
      <c r="ME25" s="143">
        <v>0.5</v>
      </c>
      <c r="MF25" s="143">
        <v>0.5</v>
      </c>
      <c r="MG25" s="143">
        <v>0.5</v>
      </c>
      <c r="MH25" s="143">
        <v>0.5</v>
      </c>
      <c r="MI25" s="143">
        <v>0.5</v>
      </c>
      <c r="MJ25" s="143">
        <v>0.5</v>
      </c>
      <c r="MK25" s="143">
        <v>0.5</v>
      </c>
      <c r="ML25" s="137"/>
      <c r="MM25" s="146"/>
      <c r="MN25" s="145"/>
      <c r="MO25" s="146"/>
      <c r="MP25" s="131">
        <f>SUM(LN25:MO25)</f>
      </c>
      <c r="MQ25" s="121"/>
      <c r="MR25" s="122"/>
      <c r="MS25" s="123"/>
      <c r="MT25" s="124"/>
      <c r="MU25" s="124"/>
      <c r="MV25" s="124"/>
      <c r="MW25" s="124"/>
      <c r="MX25" s="124"/>
      <c r="MY25" s="124"/>
      <c r="MZ25" s="125"/>
      <c r="NA25" s="126"/>
      <c r="NB25" s="124"/>
      <c r="NC25" s="124"/>
      <c r="ND25" s="127"/>
      <c r="NE25" s="123"/>
      <c r="NF25" s="124"/>
      <c r="NG25" s="124"/>
      <c r="NH25" s="124"/>
      <c r="NI25" s="124"/>
      <c r="NJ25" s="124"/>
      <c r="NK25" s="124"/>
      <c r="NL25" s="124"/>
      <c r="NM25" s="124"/>
      <c r="NN25" s="124"/>
      <c r="NO25" s="124"/>
      <c r="NP25" s="128"/>
      <c r="NQ25" s="129"/>
      <c r="NR25" s="128"/>
      <c r="NS25" s="131">
        <f>SUM(MQ25:NR25)</f>
      </c>
      <c r="NT25" s="121"/>
      <c r="NU25" s="122"/>
      <c r="NV25" s="123"/>
      <c r="NW25" s="124"/>
      <c r="NX25" s="124"/>
      <c r="NY25" s="124"/>
      <c r="NZ25" s="124"/>
      <c r="OA25" s="124"/>
      <c r="OB25" s="124"/>
      <c r="OC25" s="125"/>
      <c r="OD25" s="126"/>
      <c r="OE25" s="124"/>
      <c r="OF25" s="124"/>
      <c r="OG25" s="127"/>
      <c r="OH25" s="123"/>
      <c r="OI25" s="124"/>
      <c r="OJ25" s="124"/>
      <c r="OK25" s="124"/>
      <c r="OL25" s="124"/>
      <c r="OM25" s="124"/>
      <c r="ON25" s="124"/>
      <c r="OO25" s="124"/>
      <c r="OP25" s="124"/>
      <c r="OQ25" s="124"/>
      <c r="OR25" s="124"/>
      <c r="OS25" s="128"/>
      <c r="OT25" s="129"/>
      <c r="OU25" s="128"/>
      <c r="OV25" s="131">
        <f>SUM(NT25:OU25)</f>
      </c>
      <c r="OW25" s="132">
        <f>ID25+JG25+KJ25+LM25+MP25+NS25+OV25</f>
      </c>
      <c r="OX25" s="133">
        <f>(COUNTIF(HB25:OV25,"H")+COUNTIF(HB25:OV25,"S")+COUNTIF(HB25:OV25,"L")+COUNTIF(HB25:OV25,"E")+COUNTIF(HB25:OV25,"C"))/2</f>
      </c>
      <c r="OY25" s="130">
        <f>OW25+OX25</f>
      </c>
      <c r="OZ25" s="134"/>
      <c r="PA25" s="135"/>
      <c r="PB25" s="136"/>
      <c r="PC25" s="137"/>
      <c r="PD25" s="137"/>
      <c r="PE25" s="137"/>
      <c r="PF25" s="143">
        <v>0.5</v>
      </c>
      <c r="PG25" s="143">
        <v>0.5</v>
      </c>
      <c r="PH25" s="138">
        <v>0.5</v>
      </c>
      <c r="PI25" s="139">
        <v>0.5</v>
      </c>
      <c r="PJ25" s="140">
        <v>0.5</v>
      </c>
      <c r="PK25" s="138">
        <v>0.5</v>
      </c>
      <c r="PL25" s="137"/>
      <c r="PM25" s="141"/>
      <c r="PN25" s="142">
        <v>0.5</v>
      </c>
      <c r="PO25" s="138">
        <v>0.5</v>
      </c>
      <c r="PP25" s="143">
        <v>0.5</v>
      </c>
      <c r="PQ25" s="143">
        <v>0.5</v>
      </c>
      <c r="PR25" s="143">
        <v>0.5</v>
      </c>
      <c r="PS25" s="143">
        <v>0.5</v>
      </c>
      <c r="PT25" s="143">
        <v>0.5</v>
      </c>
      <c r="PU25" s="143">
        <v>0.5</v>
      </c>
      <c r="PV25" s="143">
        <v>0.5</v>
      </c>
      <c r="PW25" s="143">
        <v>0.5</v>
      </c>
      <c r="PX25" s="137"/>
      <c r="PY25" s="146"/>
      <c r="PZ25" s="145"/>
      <c r="QA25" s="146"/>
      <c r="QB25" s="131">
        <f>SUM(OZ25:QA25)</f>
      </c>
      <c r="QC25" s="134"/>
      <c r="QD25" s="135"/>
      <c r="QE25" s="136"/>
      <c r="QF25" s="137"/>
      <c r="QG25" s="137"/>
      <c r="QH25" s="137"/>
      <c r="QI25" s="143">
        <v>0.5</v>
      </c>
      <c r="QJ25" s="143">
        <v>0.5</v>
      </c>
      <c r="QK25" s="138">
        <v>0.5</v>
      </c>
      <c r="QL25" s="139">
        <v>0.5</v>
      </c>
      <c r="QM25" s="140">
        <v>0.5</v>
      </c>
      <c r="QN25" s="138">
        <v>0.5</v>
      </c>
      <c r="QO25" s="137"/>
      <c r="QP25" s="141"/>
      <c r="QQ25" s="142">
        <v>0.5</v>
      </c>
      <c r="QR25" s="138">
        <v>0.5</v>
      </c>
      <c r="QS25" s="143">
        <v>0.5</v>
      </c>
      <c r="QT25" s="143">
        <v>0.5</v>
      </c>
      <c r="QU25" s="143">
        <v>0.5</v>
      </c>
      <c r="QV25" s="143">
        <v>0.5</v>
      </c>
      <c r="QW25" s="143">
        <v>0.5</v>
      </c>
      <c r="QX25" s="143">
        <v>0.5</v>
      </c>
      <c r="QY25" s="143">
        <v>0.5</v>
      </c>
      <c r="QZ25" s="143">
        <v>0.5</v>
      </c>
      <c r="RA25" s="137"/>
      <c r="RB25" s="146"/>
      <c r="RC25" s="145"/>
      <c r="RD25" s="146"/>
      <c r="RE25" s="131">
        <f>SUM(QC25:RD25)</f>
      </c>
      <c r="RF25" s="134"/>
      <c r="RG25" s="135"/>
      <c r="RH25" s="136"/>
      <c r="RI25" s="137"/>
      <c r="RJ25" s="137"/>
      <c r="RK25" s="137"/>
      <c r="RL25" s="143">
        <v>0.5</v>
      </c>
      <c r="RM25" s="143">
        <v>0.5</v>
      </c>
      <c r="RN25" s="138">
        <v>0.5</v>
      </c>
      <c r="RO25" s="139">
        <v>0.5</v>
      </c>
      <c r="RP25" s="140">
        <v>0.5</v>
      </c>
      <c r="RQ25" s="138">
        <v>0.5</v>
      </c>
      <c r="RR25" s="137"/>
      <c r="RS25" s="141"/>
      <c r="RT25" s="142">
        <v>0.5</v>
      </c>
      <c r="RU25" s="138">
        <v>0.5</v>
      </c>
      <c r="RV25" s="143">
        <v>0.5</v>
      </c>
      <c r="RW25" s="143">
        <v>0.5</v>
      </c>
      <c r="RX25" s="143">
        <v>0.5</v>
      </c>
      <c r="RY25" s="143">
        <v>0.5</v>
      </c>
      <c r="RZ25" s="143">
        <v>0.5</v>
      </c>
      <c r="SA25" s="143">
        <v>0.5</v>
      </c>
      <c r="SB25" s="143">
        <v>0.5</v>
      </c>
      <c r="SC25" s="143">
        <v>0.5</v>
      </c>
      <c r="SD25" s="137"/>
      <c r="SE25" s="146"/>
      <c r="SF25" s="145"/>
      <c r="SG25" s="146"/>
      <c r="SH25" s="131">
        <f>SUM(RF25:SG25)</f>
      </c>
      <c r="SI25" s="134"/>
      <c r="SJ25" s="135"/>
      <c r="SK25" s="136"/>
      <c r="SL25" s="137"/>
      <c r="SM25" s="137"/>
      <c r="SN25" s="137"/>
      <c r="SO25" s="143">
        <v>0.5</v>
      </c>
      <c r="SP25" s="143">
        <v>0.5</v>
      </c>
      <c r="SQ25" s="138">
        <v>0.5</v>
      </c>
      <c r="SR25" s="139">
        <v>0.5</v>
      </c>
      <c r="SS25" s="140">
        <v>0.5</v>
      </c>
      <c r="ST25" s="138">
        <v>0.5</v>
      </c>
      <c r="SU25" s="137"/>
      <c r="SV25" s="141"/>
      <c r="SW25" s="142">
        <v>0.5</v>
      </c>
      <c r="SX25" s="138">
        <v>0.5</v>
      </c>
      <c r="SY25" s="143">
        <v>0.5</v>
      </c>
      <c r="SZ25" s="143">
        <v>0.5</v>
      </c>
      <c r="TA25" s="143">
        <v>0.5</v>
      </c>
      <c r="TB25" s="143">
        <v>0.5</v>
      </c>
      <c r="TC25" s="143">
        <v>0.5</v>
      </c>
      <c r="TD25" s="143">
        <v>0.5</v>
      </c>
      <c r="TE25" s="143">
        <v>0.5</v>
      </c>
      <c r="TF25" s="143">
        <v>0.5</v>
      </c>
      <c r="TG25" s="137"/>
      <c r="TH25" s="146"/>
      <c r="TI25" s="145"/>
      <c r="TJ25" s="146"/>
      <c r="TK25" s="131">
        <f>SUM(SI25:TJ25)</f>
      </c>
      <c r="TL25" s="134"/>
      <c r="TM25" s="135"/>
      <c r="TN25" s="136"/>
      <c r="TO25" s="137"/>
      <c r="TP25" s="137"/>
      <c r="TQ25" s="137"/>
      <c r="TR25" s="143">
        <v>0.5</v>
      </c>
      <c r="TS25" s="143">
        <v>0.5</v>
      </c>
      <c r="TT25" s="138">
        <v>0.5</v>
      </c>
      <c r="TU25" s="139">
        <v>0.5</v>
      </c>
      <c r="TV25" s="140">
        <v>0.5</v>
      </c>
      <c r="TW25" s="138">
        <v>0.5</v>
      </c>
      <c r="TX25" s="137"/>
      <c r="TY25" s="141"/>
      <c r="TZ25" s="142">
        <v>0.5</v>
      </c>
      <c r="UA25" s="138">
        <v>0.5</v>
      </c>
      <c r="UB25" s="143">
        <v>0.5</v>
      </c>
      <c r="UC25" s="143">
        <v>0.5</v>
      </c>
      <c r="UD25" s="143">
        <v>0.5</v>
      </c>
      <c r="UE25" s="143">
        <v>0.5</v>
      </c>
      <c r="UF25" s="143">
        <v>0.5</v>
      </c>
      <c r="UG25" s="143">
        <v>0.5</v>
      </c>
      <c r="UH25" s="143">
        <v>0.5</v>
      </c>
      <c r="UI25" s="143">
        <v>0.5</v>
      </c>
      <c r="UJ25" s="137"/>
      <c r="UK25" s="146"/>
      <c r="UL25" s="145"/>
      <c r="UM25" s="146"/>
      <c r="UN25" s="131">
        <f>SUM(TL25:UM25)</f>
      </c>
      <c r="UO25" s="121"/>
      <c r="UP25" s="122"/>
      <c r="UQ25" s="123"/>
      <c r="UR25" s="124"/>
      <c r="US25" s="124"/>
      <c r="UT25" s="124"/>
      <c r="UU25" s="124"/>
      <c r="UV25" s="124"/>
      <c r="UW25" s="124"/>
      <c r="UX25" s="125"/>
      <c r="UY25" s="126"/>
      <c r="UZ25" s="124"/>
      <c r="VA25" s="124"/>
      <c r="VB25" s="127"/>
      <c r="VC25" s="123"/>
      <c r="VD25" s="124"/>
      <c r="VE25" s="124"/>
      <c r="VF25" s="124"/>
      <c r="VG25" s="124"/>
      <c r="VH25" s="124"/>
      <c r="VI25" s="124"/>
      <c r="VJ25" s="124"/>
      <c r="VK25" s="124"/>
      <c r="VL25" s="124"/>
      <c r="VM25" s="124"/>
      <c r="VN25" s="128"/>
      <c r="VO25" s="129"/>
      <c r="VP25" s="128"/>
      <c r="VQ25" s="131">
        <f>SUM(UO25:VP25)</f>
      </c>
      <c r="VR25" s="121"/>
      <c r="VS25" s="122"/>
      <c r="VT25" s="123"/>
      <c r="VU25" s="124"/>
      <c r="VV25" s="124"/>
      <c r="VW25" s="124"/>
      <c r="VX25" s="124"/>
      <c r="VY25" s="124"/>
      <c r="VZ25" s="124"/>
      <c r="WA25" s="125"/>
      <c r="WB25" s="126"/>
      <c r="WC25" s="124"/>
      <c r="WD25" s="124"/>
      <c r="WE25" s="127"/>
      <c r="WF25" s="123"/>
      <c r="WG25" s="124"/>
      <c r="WH25" s="124"/>
      <c r="WI25" s="124"/>
      <c r="WJ25" s="124"/>
      <c r="WK25" s="124"/>
      <c r="WL25" s="124"/>
      <c r="WM25" s="124"/>
      <c r="WN25" s="124"/>
      <c r="WO25" s="124"/>
      <c r="WP25" s="124"/>
      <c r="WQ25" s="128"/>
      <c r="WR25" s="129"/>
      <c r="WS25" s="128"/>
      <c r="WT25" s="131">
        <f>SUM(VR25:WS25)</f>
      </c>
      <c r="WU25" s="150">
        <f>QB25+RE25+SH25+TK25+UN25+VQ25+WT25</f>
      </c>
      <c r="WV25" s="133">
        <f>(COUNTIF(OZ25:WT25,"H")+COUNTIF(OZ25:WT25,"S")+COUNTIF(OZ25:WT25,"L")+COUNTIF(OZ25:WT25,"E")+COUNTIF(OZ25:WT25,"C"))/2</f>
      </c>
      <c r="WW25" s="131">
        <f>WU25+WV25</f>
      </c>
      <c r="WX25" s="134"/>
      <c r="WY25" s="135"/>
      <c r="WZ25" s="136"/>
      <c r="XA25" s="137"/>
      <c r="XB25" s="137"/>
      <c r="XC25" s="137"/>
      <c r="XD25" s="143">
        <v>0.5</v>
      </c>
      <c r="XE25" s="143">
        <v>0.5</v>
      </c>
      <c r="XF25" s="138">
        <v>0.5</v>
      </c>
      <c r="XG25" s="139">
        <v>0.5</v>
      </c>
      <c r="XH25" s="140">
        <v>0.5</v>
      </c>
      <c r="XI25" s="138">
        <v>0.5</v>
      </c>
      <c r="XJ25" s="137"/>
      <c r="XK25" s="141"/>
      <c r="XL25" s="142">
        <v>0.5</v>
      </c>
      <c r="XM25" s="138">
        <v>0.5</v>
      </c>
      <c r="XN25" s="143">
        <v>0.5</v>
      </c>
      <c r="XO25" s="143">
        <v>0.5</v>
      </c>
      <c r="XP25" s="143">
        <v>0.5</v>
      </c>
      <c r="XQ25" s="143">
        <v>0.5</v>
      </c>
      <c r="XR25" s="143">
        <v>0.5</v>
      </c>
      <c r="XS25" s="143">
        <v>0.5</v>
      </c>
      <c r="XT25" s="143">
        <v>0.5</v>
      </c>
      <c r="XU25" s="143">
        <v>0.5</v>
      </c>
      <c r="XV25" s="137"/>
      <c r="XW25" s="146"/>
      <c r="XX25" s="145"/>
      <c r="XY25" s="146"/>
      <c r="XZ25" s="131">
        <f>SUM(WX25:XY25)</f>
      </c>
      <c r="YA25" s="134"/>
      <c r="YB25" s="135"/>
      <c r="YC25" s="136"/>
      <c r="YD25" s="137"/>
      <c r="YE25" s="137"/>
      <c r="YF25" s="137"/>
      <c r="YG25" s="143">
        <v>0.5</v>
      </c>
      <c r="YH25" s="143">
        <v>0.5</v>
      </c>
      <c r="YI25" s="138">
        <v>0.5</v>
      </c>
      <c r="YJ25" s="139">
        <v>0.5</v>
      </c>
      <c r="YK25" s="140">
        <v>0.5</v>
      </c>
      <c r="YL25" s="138">
        <v>0.5</v>
      </c>
      <c r="YM25" s="137"/>
      <c r="YN25" s="141"/>
      <c r="YO25" s="142">
        <v>0.5</v>
      </c>
      <c r="YP25" s="138">
        <v>0.5</v>
      </c>
      <c r="YQ25" s="143">
        <v>0.5</v>
      </c>
      <c r="YR25" s="143">
        <v>0.5</v>
      </c>
      <c r="YS25" s="143">
        <v>0.5</v>
      </c>
      <c r="YT25" s="143">
        <v>0.5</v>
      </c>
      <c r="YU25" s="143">
        <v>0.5</v>
      </c>
      <c r="YV25" s="143">
        <v>0.5</v>
      </c>
      <c r="YW25" s="143">
        <v>0.5</v>
      </c>
      <c r="YX25" s="143">
        <v>0.5</v>
      </c>
      <c r="YY25" s="137"/>
      <c r="YZ25" s="146"/>
      <c r="ZA25" s="145"/>
      <c r="ZB25" s="146"/>
      <c r="ZC25" s="131">
        <f>SUM(YA25:ZB25)</f>
      </c>
      <c r="ZD25" s="134"/>
      <c r="ZE25" s="135"/>
      <c r="ZF25" s="136"/>
      <c r="ZG25" s="137"/>
      <c r="ZH25" s="137"/>
      <c r="ZI25" s="137"/>
      <c r="ZJ25" s="143">
        <v>0.5</v>
      </c>
      <c r="ZK25" s="143">
        <v>0.5</v>
      </c>
      <c r="ZL25" s="138">
        <v>0.5</v>
      </c>
      <c r="ZM25" s="139">
        <v>0.5</v>
      </c>
      <c r="ZN25" s="140">
        <v>0.5</v>
      </c>
      <c r="ZO25" s="138">
        <v>0.5</v>
      </c>
      <c r="ZP25" s="137"/>
      <c r="ZQ25" s="141"/>
      <c r="ZR25" s="142">
        <v>0.5</v>
      </c>
      <c r="ZS25" s="138">
        <v>0.5</v>
      </c>
      <c r="ZT25" s="143">
        <v>0.5</v>
      </c>
      <c r="ZU25" s="143">
        <v>0.5</v>
      </c>
      <c r="ZV25" s="143">
        <v>0.5</v>
      </c>
      <c r="ZW25" s="143">
        <v>0.5</v>
      </c>
      <c r="ZX25" s="143">
        <v>0.5</v>
      </c>
      <c r="ZY25" s="143">
        <v>0.5</v>
      </c>
      <c r="ZZ25" s="143">
        <v>0.5</v>
      </c>
      <c r="AAA25" s="143">
        <v>0.5</v>
      </c>
      <c r="AAB25" s="137"/>
      <c r="AAC25" s="146"/>
      <c r="AAD25" s="145"/>
      <c r="AAE25" s="146"/>
      <c r="AAF25" s="131">
        <f>SUM(ZD25:AAE25)</f>
      </c>
      <c r="AAG25" s="134"/>
      <c r="AAH25" s="135"/>
      <c r="AAI25" s="136"/>
      <c r="AAJ25" s="137"/>
      <c r="AAK25" s="137"/>
      <c r="AAL25" s="137"/>
      <c r="AAM25" s="143">
        <v>0.5</v>
      </c>
      <c r="AAN25" s="143">
        <v>0.5</v>
      </c>
      <c r="AAO25" s="138">
        <v>0.5</v>
      </c>
      <c r="AAP25" s="139">
        <v>0.5</v>
      </c>
      <c r="AAQ25" s="140">
        <v>0.5</v>
      </c>
      <c r="AAR25" s="138">
        <v>0.5</v>
      </c>
      <c r="AAS25" s="137"/>
      <c r="AAT25" s="141"/>
      <c r="AAU25" s="142">
        <v>0.5</v>
      </c>
      <c r="AAV25" s="138">
        <v>0.5</v>
      </c>
      <c r="AAW25" s="143">
        <v>0.5</v>
      </c>
      <c r="AAX25" s="143">
        <v>0.5</v>
      </c>
      <c r="AAY25" s="143">
        <v>0.5</v>
      </c>
      <c r="AAZ25" s="143">
        <v>0.5</v>
      </c>
      <c r="ABA25" s="143">
        <v>0.5</v>
      </c>
      <c r="ABB25" s="143">
        <v>0.5</v>
      </c>
      <c r="ABC25" s="143">
        <v>0.5</v>
      </c>
      <c r="ABD25" s="143">
        <v>0.5</v>
      </c>
      <c r="ABE25" s="137"/>
      <c r="ABF25" s="146"/>
      <c r="ABG25" s="145"/>
      <c r="ABH25" s="146"/>
      <c r="ABI25" s="131">
        <f>SUM(AAG25:ABH25)</f>
      </c>
      <c r="ABJ25" s="134"/>
      <c r="ABK25" s="135"/>
      <c r="ABL25" s="136"/>
      <c r="ABM25" s="137"/>
      <c r="ABN25" s="137"/>
      <c r="ABO25" s="137"/>
      <c r="ABP25" s="143">
        <v>0.5</v>
      </c>
      <c r="ABQ25" s="143">
        <v>0.5</v>
      </c>
      <c r="ABR25" s="138">
        <v>0.5</v>
      </c>
      <c r="ABS25" s="139">
        <v>0.5</v>
      </c>
      <c r="ABT25" s="140">
        <v>0.5</v>
      </c>
      <c r="ABU25" s="138">
        <v>0.5</v>
      </c>
      <c r="ABV25" s="137"/>
      <c r="ABW25" s="141"/>
      <c r="ABX25" s="142">
        <v>0.5</v>
      </c>
      <c r="ABY25" s="138">
        <v>0.5</v>
      </c>
      <c r="ABZ25" s="143">
        <v>0.5</v>
      </c>
      <c r="ACA25" s="143">
        <v>0.5</v>
      </c>
      <c r="ACB25" s="143">
        <v>0.5</v>
      </c>
      <c r="ACC25" s="143">
        <v>0.5</v>
      </c>
      <c r="ACD25" s="143">
        <v>0.5</v>
      </c>
      <c r="ACE25" s="143">
        <v>0.5</v>
      </c>
      <c r="ACF25" s="143">
        <v>0.5</v>
      </c>
      <c r="ACG25" s="143">
        <v>0.5</v>
      </c>
      <c r="ACH25" s="137"/>
      <c r="ACI25" s="146"/>
      <c r="ACJ25" s="145"/>
      <c r="ACK25" s="146"/>
      <c r="ACL25" s="131">
        <f>SUM(ABJ25:ACK25)</f>
      </c>
      <c r="ACM25" s="121"/>
      <c r="ACN25" s="122"/>
      <c r="ACO25" s="123"/>
      <c r="ACP25" s="124"/>
      <c r="ACQ25" s="124"/>
      <c r="ACR25" s="124"/>
      <c r="ACS25" s="124"/>
      <c r="ACT25" s="124"/>
      <c r="ACU25" s="124"/>
      <c r="ACV25" s="125"/>
      <c r="ACW25" s="126"/>
      <c r="ACX25" s="124"/>
      <c r="ACY25" s="124"/>
      <c r="ACZ25" s="127"/>
      <c r="ADA25" s="123"/>
      <c r="ADB25" s="124"/>
      <c r="ADC25" s="124"/>
      <c r="ADD25" s="124"/>
      <c r="ADE25" s="124"/>
      <c r="ADF25" s="124"/>
      <c r="ADG25" s="124"/>
      <c r="ADH25" s="124"/>
      <c r="ADI25" s="124"/>
      <c r="ADJ25" s="124"/>
      <c r="ADK25" s="124"/>
      <c r="ADL25" s="128"/>
      <c r="ADM25" s="129"/>
      <c r="ADN25" s="128"/>
      <c r="ADO25" s="131">
        <f>SUM(ACM25:ADN25)</f>
      </c>
      <c r="ADP25" s="121"/>
      <c r="ADQ25" s="122"/>
      <c r="ADR25" s="123"/>
      <c r="ADS25" s="124"/>
      <c r="ADT25" s="124"/>
      <c r="ADU25" s="124"/>
      <c r="ADV25" s="124"/>
      <c r="ADW25" s="124"/>
      <c r="ADX25" s="124"/>
      <c r="ADY25" s="125"/>
      <c r="ADZ25" s="126"/>
      <c r="AEA25" s="124"/>
      <c r="AEB25" s="124"/>
      <c r="AEC25" s="127"/>
      <c r="AED25" s="123"/>
      <c r="AEE25" s="124"/>
      <c r="AEF25" s="124"/>
      <c r="AEG25" s="124"/>
      <c r="AEH25" s="124"/>
      <c r="AEI25" s="124"/>
      <c r="AEJ25" s="124"/>
      <c r="AEK25" s="124"/>
      <c r="AEL25" s="124"/>
      <c r="AEM25" s="124"/>
      <c r="AEN25" s="124"/>
      <c r="AEO25" s="128"/>
      <c r="AEP25" s="129"/>
      <c r="AEQ25" s="128"/>
      <c r="AER25" s="131">
        <f>SUM(ADP25:AEQ25)</f>
      </c>
      <c r="AES25" s="150">
        <f>XZ25+ZC25+AAF25+ABI25+ACL25+ADO25+AER25</f>
      </c>
      <c r="AET25" s="133">
        <f>(COUNTIF(WX25:AER25,"H")+COUNTIF(WX25:AER25,"S")+COUNTIF(WX25:AER25,"L")+COUNTIF(WX25:AER25,"E")+COUNTIF(WX25:AER25,"C"))/2</f>
      </c>
      <c r="AEU25" s="131">
        <f>AES25+AET25</f>
      </c>
      <c r="AEV25" s="134"/>
      <c r="AEW25" s="135"/>
      <c r="AEX25" s="136"/>
      <c r="AEY25" s="137"/>
      <c r="AEZ25" s="137"/>
      <c r="AFA25" s="137"/>
      <c r="AFB25" s="143">
        <v>0.5</v>
      </c>
      <c r="AFC25" s="143">
        <v>0.5</v>
      </c>
      <c r="AFD25" s="138">
        <v>0.5</v>
      </c>
      <c r="AFE25" s="139">
        <v>0.5</v>
      </c>
      <c r="AFF25" s="140">
        <v>0.5</v>
      </c>
      <c r="AFG25" s="138">
        <v>0.5</v>
      </c>
      <c r="AFH25" s="137"/>
      <c r="AFI25" s="141"/>
      <c r="AFJ25" s="142">
        <v>0.5</v>
      </c>
      <c r="AFK25" s="138">
        <v>0.5</v>
      </c>
      <c r="AFL25" s="143">
        <v>0.5</v>
      </c>
      <c r="AFM25" s="143">
        <v>0.5</v>
      </c>
      <c r="AFN25" s="143">
        <v>0.5</v>
      </c>
      <c r="AFO25" s="143">
        <v>0.5</v>
      </c>
      <c r="AFP25" s="143">
        <v>0.5</v>
      </c>
      <c r="AFQ25" s="143">
        <v>0.5</v>
      </c>
      <c r="AFR25" s="143">
        <v>0.5</v>
      </c>
      <c r="AFS25" s="143">
        <v>0.5</v>
      </c>
      <c r="AFT25" s="137"/>
      <c r="AFU25" s="146"/>
      <c r="AFV25" s="145"/>
      <c r="AFW25" s="146"/>
      <c r="AFX25" s="131">
        <f>SUM(AEV25:AFW25)</f>
      </c>
      <c r="AFY25" s="134"/>
      <c r="AFZ25" s="135"/>
      <c r="AGA25" s="136"/>
      <c r="AGB25" s="137"/>
      <c r="AGC25" s="137"/>
      <c r="AGD25" s="137"/>
      <c r="AGE25" s="143">
        <v>0.5</v>
      </c>
      <c r="AGF25" s="143">
        <v>0.5</v>
      </c>
      <c r="AGG25" s="138">
        <v>0.5</v>
      </c>
      <c r="AGH25" s="139">
        <v>0.5</v>
      </c>
      <c r="AGI25" s="140">
        <v>0.5</v>
      </c>
      <c r="AGJ25" s="138">
        <v>0.5</v>
      </c>
      <c r="AGK25" s="137"/>
      <c r="AGL25" s="141"/>
      <c r="AGM25" s="142">
        <v>0.5</v>
      </c>
      <c r="AGN25" s="138">
        <v>0.5</v>
      </c>
      <c r="AGO25" s="143">
        <v>0.5</v>
      </c>
      <c r="AGP25" s="143">
        <v>0.5</v>
      </c>
      <c r="AGQ25" s="143">
        <v>0.5</v>
      </c>
      <c r="AGR25" s="143">
        <v>0.5</v>
      </c>
      <c r="AGS25" s="143">
        <v>0.5</v>
      </c>
      <c r="AGT25" s="143">
        <v>0.5</v>
      </c>
      <c r="AGU25" s="143">
        <v>0.5</v>
      </c>
      <c r="AGV25" s="143">
        <v>0.5</v>
      </c>
      <c r="AGW25" s="137"/>
      <c r="AGX25" s="146"/>
      <c r="AGY25" s="145"/>
      <c r="AGZ25" s="146"/>
      <c r="AHA25" s="131">
        <f>SUM(AFY25:AGZ25)</f>
      </c>
      <c r="AHB25" s="134"/>
      <c r="AHC25" s="135"/>
      <c r="AHD25" s="136"/>
      <c r="AHE25" s="137"/>
      <c r="AHF25" s="137"/>
      <c r="AHG25" s="137"/>
      <c r="AHH25" s="143">
        <v>0.5</v>
      </c>
      <c r="AHI25" s="143">
        <v>0.5</v>
      </c>
      <c r="AHJ25" s="138">
        <v>0.5</v>
      </c>
      <c r="AHK25" s="139">
        <v>0.5</v>
      </c>
      <c r="AHL25" s="140">
        <v>0.5</v>
      </c>
      <c r="AHM25" s="138">
        <v>0.5</v>
      </c>
      <c r="AHN25" s="137"/>
      <c r="AHO25" s="141"/>
      <c r="AHP25" s="142">
        <v>0.5</v>
      </c>
      <c r="AHQ25" s="138">
        <v>0.5</v>
      </c>
      <c r="AHR25" s="143">
        <v>0.5</v>
      </c>
      <c r="AHS25" s="143">
        <v>0.5</v>
      </c>
      <c r="AHT25" s="143">
        <v>0.5</v>
      </c>
      <c r="AHU25" s="143">
        <v>0.5</v>
      </c>
      <c r="AHV25" s="143">
        <v>0.5</v>
      </c>
      <c r="AHW25" s="143">
        <v>0.5</v>
      </c>
      <c r="AHX25" s="143">
        <v>0.5</v>
      </c>
      <c r="AHY25" s="143">
        <v>0.5</v>
      </c>
      <c r="AHZ25" s="137"/>
      <c r="AIA25" s="146"/>
      <c r="AIB25" s="145"/>
      <c r="AIC25" s="146"/>
      <c r="AID25" s="131">
        <f>SUM(AHB25:AIC25)</f>
      </c>
      <c r="AIE25" s="134"/>
      <c r="AIF25" s="135"/>
      <c r="AIG25" s="136"/>
      <c r="AIH25" s="137"/>
      <c r="AII25" s="137"/>
      <c r="AIJ25" s="137"/>
      <c r="AIK25" s="143">
        <v>0.5</v>
      </c>
      <c r="AIL25" s="143">
        <v>0.5</v>
      </c>
      <c r="AIM25" s="138">
        <v>0.5</v>
      </c>
      <c r="AIN25" s="139">
        <v>0.5</v>
      </c>
      <c r="AIO25" s="140">
        <v>0.5</v>
      </c>
      <c r="AIP25" s="138">
        <v>0.5</v>
      </c>
      <c r="AIQ25" s="137"/>
      <c r="AIR25" s="141"/>
      <c r="AIS25" s="142">
        <v>0.5</v>
      </c>
      <c r="AIT25" s="138">
        <v>0.5</v>
      </c>
      <c r="AIU25" s="143">
        <v>0.5</v>
      </c>
      <c r="AIV25" s="143">
        <v>0.5</v>
      </c>
      <c r="AIW25" s="143">
        <v>0.5</v>
      </c>
      <c r="AIX25" s="143">
        <v>0.5</v>
      </c>
      <c r="AIY25" s="143">
        <v>0.5</v>
      </c>
      <c r="AIZ25" s="143">
        <v>0.5</v>
      </c>
      <c r="AJA25" s="143">
        <v>0.5</v>
      </c>
      <c r="AJB25" s="143">
        <v>0.5</v>
      </c>
      <c r="AJC25" s="137"/>
      <c r="AJD25" s="146"/>
      <c r="AJE25" s="145"/>
      <c r="AJF25" s="146"/>
      <c r="AJG25" s="131">
        <f>SUM(AIE25:AJF25)</f>
      </c>
      <c r="AJH25" s="134"/>
      <c r="AJI25" s="135"/>
      <c r="AJJ25" s="136"/>
      <c r="AJK25" s="137"/>
      <c r="AJL25" s="137"/>
      <c r="AJM25" s="137"/>
      <c r="AJN25" s="143">
        <v>0.5</v>
      </c>
      <c r="AJO25" s="143">
        <v>0.5</v>
      </c>
      <c r="AJP25" s="138">
        <v>0.5</v>
      </c>
      <c r="AJQ25" s="139">
        <v>0.5</v>
      </c>
      <c r="AJR25" s="140">
        <v>0.5</v>
      </c>
      <c r="AJS25" s="138">
        <v>0.5</v>
      </c>
      <c r="AJT25" s="137"/>
      <c r="AJU25" s="141"/>
      <c r="AJV25" s="142">
        <v>0.5</v>
      </c>
      <c r="AJW25" s="138">
        <v>0.5</v>
      </c>
      <c r="AJX25" s="143">
        <v>0.5</v>
      </c>
      <c r="AJY25" s="143">
        <v>0.5</v>
      </c>
      <c r="AJZ25" s="143">
        <v>0.5</v>
      </c>
      <c r="AKA25" s="143">
        <v>0.5</v>
      </c>
      <c r="AKB25" s="143">
        <v>0.5</v>
      </c>
      <c r="AKC25" s="143">
        <v>0.5</v>
      </c>
      <c r="AKD25" s="143">
        <v>0.5</v>
      </c>
      <c r="AKE25" s="143">
        <v>0.5</v>
      </c>
      <c r="AKF25" s="137"/>
      <c r="AKG25" s="146"/>
      <c r="AKH25" s="145"/>
      <c r="AKI25" s="146"/>
      <c r="AKJ25" s="131">
        <f>SUM(AJH25:AKI25)</f>
      </c>
      <c r="AKK25" s="121"/>
      <c r="AKL25" s="122"/>
      <c r="AKM25" s="123"/>
      <c r="AKN25" s="124"/>
      <c r="AKO25" s="124"/>
      <c r="AKP25" s="124"/>
      <c r="AKQ25" s="124"/>
      <c r="AKR25" s="124"/>
      <c r="AKS25" s="124"/>
      <c r="AKT25" s="125"/>
      <c r="AKU25" s="126"/>
      <c r="AKV25" s="124"/>
      <c r="AKW25" s="124"/>
      <c r="AKX25" s="127"/>
      <c r="AKY25" s="123"/>
      <c r="AKZ25" s="124"/>
      <c r="ALA25" s="124"/>
      <c r="ALB25" s="124"/>
      <c r="ALC25" s="124"/>
      <c r="ALD25" s="124"/>
      <c r="ALE25" s="124"/>
      <c r="ALF25" s="124"/>
      <c r="ALG25" s="124"/>
      <c r="ALH25" s="124"/>
      <c r="ALI25" s="124"/>
      <c r="ALJ25" s="128"/>
      <c r="ALK25" s="129"/>
      <c r="ALL25" s="128"/>
      <c r="ALM25" s="131">
        <f>SUM(AKK25:ALL25)</f>
      </c>
      <c r="ALN25" s="121"/>
      <c r="ALO25" s="122"/>
      <c r="ALP25" s="123"/>
      <c r="ALQ25" s="124"/>
      <c r="ALR25" s="124"/>
      <c r="ALS25" s="124"/>
      <c r="ALT25" s="124"/>
      <c r="ALU25" s="124"/>
      <c r="ALV25" s="124"/>
      <c r="ALW25" s="125"/>
      <c r="ALX25" s="126"/>
      <c r="ALY25" s="124"/>
      <c r="ALZ25" s="124"/>
      <c r="AMA25" s="127"/>
      <c r="AMB25" s="123"/>
      <c r="AMC25" s="124"/>
      <c r="AMD25" s="124"/>
      <c r="AME25" s="124"/>
      <c r="AMF25" s="124"/>
      <c r="AMG25" s="124"/>
      <c r="AMH25" s="124"/>
      <c r="AMI25" s="124"/>
      <c r="AMJ25" s="124"/>
      <c r="AMK25" s="124"/>
      <c r="AML25" s="124"/>
      <c r="AMM25" s="128"/>
      <c r="AMN25" s="129"/>
      <c r="AMO25" s="128"/>
      <c r="AMP25" s="131">
        <f>SUM(ALN25:AMO25)</f>
      </c>
      <c r="AMQ25" s="150">
        <f>AFX25+AHA25+AID25+AJG25+AKJ25+ALM25+AMP25</f>
      </c>
      <c r="AMR25" s="133">
        <f>(COUNTIF(AEV25:AMP25,"H")+COUNTIF(AEV25:AMP25,"S")+COUNTIF(AEV25:AMP25,"L")+COUNTIF(AEV25:AMP25,"E")+COUNTIF(AEV25:AMP25,"C"))/2</f>
      </c>
      <c r="AMS25" s="131">
        <f>AMQ25+AMR25</f>
      </c>
      <c r="AMT25" s="4"/>
      <c r="AMU25" s="4"/>
      <c r="AMV25" s="4"/>
      <c r="AMW25" s="4"/>
      <c r="AMX25" s="4"/>
      <c r="AMY25" s="4"/>
      <c r="AMZ25" s="4"/>
      <c r="ANA25" s="4"/>
      <c r="ANB25" s="4"/>
      <c r="ANC25" s="4"/>
      <c r="AND25" s="4"/>
      <c r="ANE25" s="4"/>
      <c r="ANF25" s="4"/>
      <c r="ANG25" s="4"/>
      <c r="ANH25" s="4"/>
      <c r="ANI25" s="4"/>
      <c r="ANJ25" s="13"/>
      <c r="ANK25" s="13"/>
      <c r="ANL25" s="4"/>
      <c r="ANM25" s="4"/>
      <c r="ANN25" s="4"/>
      <c r="ANO25" s="4"/>
      <c r="ANP25" s="4"/>
      <c r="ANQ25" s="4"/>
      <c r="ANR25" s="4"/>
      <c r="ANS25" s="4"/>
      <c r="ANT25" s="4"/>
      <c r="ANU25" s="4"/>
      <c r="ANV25" s="4"/>
      <c r="ANW25" s="4"/>
      <c r="ANX25" s="4"/>
      <c r="ANY25" s="4"/>
      <c r="ANZ25" s="4"/>
      <c r="AOA25" s="4"/>
      <c r="AOB25" s="4"/>
      <c r="AOC25" s="4"/>
      <c r="AOD25" s="4"/>
      <c r="AOE25" s="4"/>
      <c r="AOF25" s="4"/>
      <c r="AOG25" s="4"/>
      <c r="AOH25" s="4"/>
      <c r="AOI25" s="4"/>
      <c r="AOJ25" s="4"/>
      <c r="AOK25" s="4"/>
      <c r="AOL25" s="4"/>
      <c r="AOM25" s="4"/>
      <c r="AON25" s="4"/>
      <c r="AOO25" s="4"/>
      <c r="AOP25" s="4"/>
      <c r="AOQ25" s="4"/>
      <c r="AOR25" s="4"/>
      <c r="AOS25" s="4"/>
      <c r="AOT25" s="4"/>
      <c r="AOU25" s="4"/>
      <c r="AOV25" s="4"/>
      <c r="AOW25" s="4"/>
      <c r="AOX25" s="4"/>
      <c r="AOY25" s="4"/>
      <c r="AOZ25" s="4"/>
      <c r="APA25" s="4"/>
      <c r="APB25" s="4"/>
      <c r="APC25" s="4"/>
      <c r="APD25" s="4"/>
      <c r="APE25" s="4"/>
      <c r="APF25" s="4"/>
      <c r="APG25" s="4"/>
      <c r="APH25" s="4"/>
      <c r="API25" s="4"/>
      <c r="APJ25" s="4"/>
      <c r="APK25" s="4"/>
      <c r="APL25" s="4"/>
      <c r="APM25" s="4"/>
      <c r="APN25" s="4"/>
      <c r="APO25" s="4"/>
      <c r="APP25" s="4"/>
      <c r="APQ25" s="4"/>
      <c r="APR25" s="4"/>
      <c r="APS25" s="4"/>
      <c r="APT25" s="4"/>
      <c r="APU25" s="4"/>
      <c r="APV25" s="4"/>
      <c r="APW25" s="4"/>
      <c r="APX25" s="4"/>
      <c r="APY25" s="4"/>
      <c r="APZ25" s="4"/>
      <c r="AQA25" s="4"/>
      <c r="AQB25" s="4"/>
      <c r="AQC25" s="4"/>
      <c r="AQD25" s="4"/>
      <c r="AQE25" s="4"/>
      <c r="AQF25" s="4"/>
      <c r="AQG25" s="4"/>
      <c r="AQH25" s="4"/>
      <c r="AQI25" s="4"/>
      <c r="AQJ25" s="4"/>
      <c r="AQK25" s="4"/>
      <c r="AQL25" s="4"/>
      <c r="AQM25" s="4"/>
      <c r="AQN25" s="4"/>
      <c r="AQO25" s="4"/>
      <c r="AQP25" s="4"/>
      <c r="AQQ25" s="4"/>
      <c r="AQR25" s="4"/>
      <c r="AQS25" s="4"/>
      <c r="AQT25" s="4"/>
      <c r="AQU25" s="4"/>
      <c r="AQV25" s="4"/>
      <c r="AQW25" s="4"/>
      <c r="AQX25" s="4"/>
      <c r="AQY25" s="4"/>
      <c r="AQZ25" s="4"/>
      <c r="ARA25" s="4"/>
      <c r="ARB25" s="4"/>
      <c r="ARC25" s="4"/>
      <c r="ARD25" s="4"/>
      <c r="ARE25" s="4"/>
      <c r="ARF25" s="4"/>
      <c r="ARG25" s="4"/>
      <c r="ARH25" s="4"/>
      <c r="ARI25" s="4"/>
      <c r="ARJ25" s="4"/>
      <c r="ARK25" s="4"/>
      <c r="ARL25" s="4"/>
      <c r="ARM25" s="4"/>
      <c r="ARN25" s="4"/>
      <c r="ARO25" s="4"/>
      <c r="ARP25" s="4"/>
      <c r="ARQ25" s="4"/>
      <c r="ARR25" s="4"/>
      <c r="ARS25" s="4"/>
      <c r="ART25" s="4"/>
      <c r="ARU25" s="4"/>
      <c r="ARV25" s="4"/>
      <c r="ARW25" s="4"/>
      <c r="ARX25" s="4"/>
      <c r="ARY25" s="4"/>
      <c r="ARZ25" s="4"/>
      <c r="ASA25" s="4"/>
      <c r="ASB25" s="4"/>
      <c r="ASC25" s="4"/>
      <c r="ASD25" s="4"/>
      <c r="ASE25" s="4"/>
      <c r="ASF25" s="4"/>
      <c r="ASG25" s="4"/>
      <c r="ASH25" s="4"/>
      <c r="ASI25" s="4"/>
      <c r="ASJ25" s="4"/>
      <c r="ASK25" s="4"/>
      <c r="ASL25" s="4"/>
      <c r="ASM25" s="4"/>
      <c r="ASN25" s="4"/>
      <c r="ASO25" s="4"/>
      <c r="ASP25" s="4"/>
      <c r="ASQ25" s="4"/>
      <c r="ASR25" s="4"/>
      <c r="ASS25" s="4"/>
      <c r="AST25" s="4"/>
      <c r="ASU25" s="4"/>
    </row>
    <row r="26" ht="15" customHeight="1" spans="1:1191" x14ac:dyDescent="0.25">
      <c r="A26" s="118"/>
      <c r="B26" s="119" t="s">
        <v>66</v>
      </c>
      <c r="C26" s="120" t="s">
        <v>52</v>
      </c>
      <c r="D26" s="121"/>
      <c r="E26" s="122"/>
      <c r="F26" s="123"/>
      <c r="G26" s="124"/>
      <c r="H26" s="124"/>
      <c r="I26" s="124"/>
      <c r="J26" s="124"/>
      <c r="K26" s="124"/>
      <c r="L26" s="124"/>
      <c r="M26" s="125"/>
      <c r="N26" s="126"/>
      <c r="O26" s="124"/>
      <c r="P26" s="124"/>
      <c r="Q26" s="127"/>
      <c r="R26" s="123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8"/>
      <c r="AD26" s="129"/>
      <c r="AE26" s="128"/>
      <c r="AF26" s="131">
        <f>SUM(D26:AE26)</f>
      </c>
      <c r="AG26" s="121"/>
      <c r="AH26" s="122"/>
      <c r="AI26" s="123"/>
      <c r="AJ26" s="124"/>
      <c r="AK26" s="124"/>
      <c r="AL26" s="124"/>
      <c r="AM26" s="124"/>
      <c r="AN26" s="124"/>
      <c r="AO26" s="124"/>
      <c r="AP26" s="125"/>
      <c r="AQ26" s="126"/>
      <c r="AR26" s="124"/>
      <c r="AS26" s="124"/>
      <c r="AT26" s="127"/>
      <c r="AU26" s="123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8"/>
      <c r="BG26" s="129"/>
      <c r="BH26" s="128"/>
      <c r="BI26" s="131">
        <f>SUM(AG26:BH26)</f>
      </c>
      <c r="BJ26" s="121"/>
      <c r="BK26" s="122"/>
      <c r="BL26" s="123"/>
      <c r="BM26" s="124"/>
      <c r="BN26" s="124"/>
      <c r="BO26" s="124"/>
      <c r="BP26" s="124"/>
      <c r="BQ26" s="124"/>
      <c r="BR26" s="124"/>
      <c r="BS26" s="125"/>
      <c r="BT26" s="126"/>
      <c r="BU26" s="124"/>
      <c r="BV26" s="124"/>
      <c r="BW26" s="127"/>
      <c r="BX26" s="123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8"/>
      <c r="CJ26" s="129"/>
      <c r="CK26" s="128"/>
      <c r="CL26" s="131">
        <f>SUM(BJ26:CK26)</f>
      </c>
      <c r="CM26" s="121"/>
      <c r="CN26" s="122"/>
      <c r="CO26" s="123"/>
      <c r="CP26" s="124"/>
      <c r="CQ26" s="124"/>
      <c r="CR26" s="124"/>
      <c r="CS26" s="124"/>
      <c r="CT26" s="124"/>
      <c r="CU26" s="124"/>
      <c r="CV26" s="125"/>
      <c r="CW26" s="126"/>
      <c r="CX26" s="124"/>
      <c r="CY26" s="124"/>
      <c r="CZ26" s="127"/>
      <c r="DA26" s="123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8"/>
      <c r="DM26" s="129"/>
      <c r="DN26" s="128"/>
      <c r="DO26" s="131">
        <f>SUM(CM26:DN26)</f>
      </c>
      <c r="DP26" s="121"/>
      <c r="DQ26" s="122"/>
      <c r="DR26" s="123"/>
      <c r="DS26" s="124"/>
      <c r="DT26" s="124"/>
      <c r="DU26" s="124"/>
      <c r="DV26" s="124"/>
      <c r="DW26" s="124"/>
      <c r="DX26" s="124"/>
      <c r="DY26" s="125"/>
      <c r="DZ26" s="126"/>
      <c r="EA26" s="124"/>
      <c r="EB26" s="124"/>
      <c r="EC26" s="127"/>
      <c r="ED26" s="123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8"/>
      <c r="EP26" s="129"/>
      <c r="EQ26" s="128"/>
      <c r="ER26" s="131">
        <f>SUM(DP26:EQ26)</f>
      </c>
      <c r="ES26" s="121"/>
      <c r="ET26" s="122"/>
      <c r="EU26" s="123"/>
      <c r="EV26" s="124"/>
      <c r="EW26" s="124"/>
      <c r="EX26" s="124"/>
      <c r="EY26" s="124"/>
      <c r="EZ26" s="124"/>
      <c r="FA26" s="124"/>
      <c r="FB26" s="125"/>
      <c r="FC26" s="126"/>
      <c r="FD26" s="124"/>
      <c r="FE26" s="124"/>
      <c r="FF26" s="127"/>
      <c r="FG26" s="123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8"/>
      <c r="FS26" s="129"/>
      <c r="FT26" s="128"/>
      <c r="FU26" s="131">
        <f>SUM(ES26:FT26)</f>
      </c>
      <c r="FV26" s="121"/>
      <c r="FW26" s="122"/>
      <c r="FX26" s="123"/>
      <c r="FY26" s="124"/>
      <c r="FZ26" s="124"/>
      <c r="GA26" s="124"/>
      <c r="GB26" s="124"/>
      <c r="GC26" s="124"/>
      <c r="GD26" s="124"/>
      <c r="GE26" s="125"/>
      <c r="GF26" s="126"/>
      <c r="GG26" s="124"/>
      <c r="GH26" s="124"/>
      <c r="GI26" s="127"/>
      <c r="GJ26" s="123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8"/>
      <c r="GV26" s="129"/>
      <c r="GW26" s="128"/>
      <c r="GX26" s="131">
        <f>SUM(FV26:GW26)</f>
      </c>
      <c r="GY26" s="132">
        <f>AF26+BI26+CL26+DO26+ER26+FU26+GX26</f>
      </c>
      <c r="GZ26" s="133">
        <f>(COUNTIF(D26:GX26,"H")+COUNTIF(D26:GX26,"S")+COUNTIF(D26:GX26,"L")+COUNTIF(D26:GX26,"E")+COUNTIF(D26:GX26,"C"))/2</f>
      </c>
      <c r="HA26" s="130">
        <f>GY26+GZ26</f>
      </c>
      <c r="HB26" s="134"/>
      <c r="HC26" s="135"/>
      <c r="HD26" s="142">
        <v>0.5</v>
      </c>
      <c r="HE26" s="138">
        <v>0.5</v>
      </c>
      <c r="HF26" s="138">
        <v>0.5</v>
      </c>
      <c r="HG26" s="138">
        <v>0.5</v>
      </c>
      <c r="HH26" s="138">
        <v>0.5</v>
      </c>
      <c r="HI26" s="138">
        <v>0.5</v>
      </c>
      <c r="HJ26" s="138">
        <v>0.5</v>
      </c>
      <c r="HK26" s="139">
        <v>0.5</v>
      </c>
      <c r="HL26" s="147"/>
      <c r="HM26" s="148"/>
      <c r="HN26" s="138">
        <v>0.5</v>
      </c>
      <c r="HO26" s="149">
        <v>0.5</v>
      </c>
      <c r="HP26" s="142">
        <v>0.5</v>
      </c>
      <c r="HQ26" s="138">
        <v>0.5</v>
      </c>
      <c r="HR26" s="138">
        <v>0.5</v>
      </c>
      <c r="HS26" s="138">
        <v>0.5</v>
      </c>
      <c r="HT26" s="138">
        <v>0.5</v>
      </c>
      <c r="HU26" s="138">
        <v>0.5</v>
      </c>
      <c r="HV26" s="137"/>
      <c r="HW26" s="137"/>
      <c r="HX26" s="137"/>
      <c r="HY26" s="137"/>
      <c r="HZ26" s="137"/>
      <c r="IA26" s="146"/>
      <c r="IB26" s="145"/>
      <c r="IC26" s="146"/>
      <c r="ID26" s="131">
        <f>SUM(HB26:IC26)</f>
      </c>
      <c r="IE26" s="134"/>
      <c r="IF26" s="135"/>
      <c r="IG26" s="142">
        <v>0.5</v>
      </c>
      <c r="IH26" s="138">
        <v>0.5</v>
      </c>
      <c r="II26" s="138">
        <v>0.5</v>
      </c>
      <c r="IJ26" s="138">
        <v>0.5</v>
      </c>
      <c r="IK26" s="138">
        <v>0.5</v>
      </c>
      <c r="IL26" s="138">
        <v>0.5</v>
      </c>
      <c r="IM26" s="138">
        <v>0.5</v>
      </c>
      <c r="IN26" s="139">
        <v>0.5</v>
      </c>
      <c r="IO26" s="147"/>
      <c r="IP26" s="148"/>
      <c r="IQ26" s="138">
        <v>0.5</v>
      </c>
      <c r="IR26" s="149">
        <v>0.5</v>
      </c>
      <c r="IS26" s="142">
        <v>0.5</v>
      </c>
      <c r="IT26" s="138">
        <v>0.5</v>
      </c>
      <c r="IU26" s="138">
        <v>0.5</v>
      </c>
      <c r="IV26" s="138">
        <v>0.5</v>
      </c>
      <c r="IW26" s="138">
        <v>0.5</v>
      </c>
      <c r="IX26" s="138">
        <v>0.5</v>
      </c>
      <c r="IY26" s="137"/>
      <c r="IZ26" s="137"/>
      <c r="JA26" s="137"/>
      <c r="JB26" s="137"/>
      <c r="JC26" s="137"/>
      <c r="JD26" s="146"/>
      <c r="JE26" s="145"/>
      <c r="JF26" s="146"/>
      <c r="JG26" s="131">
        <f>SUM(IE26:JF26)</f>
      </c>
      <c r="JH26" s="134"/>
      <c r="JI26" s="135"/>
      <c r="JJ26" s="142">
        <v>0.5</v>
      </c>
      <c r="JK26" s="138">
        <v>0.5</v>
      </c>
      <c r="JL26" s="138">
        <v>0.5</v>
      </c>
      <c r="JM26" s="138">
        <v>0.5</v>
      </c>
      <c r="JN26" s="138">
        <v>0.5</v>
      </c>
      <c r="JO26" s="138">
        <v>0.5</v>
      </c>
      <c r="JP26" s="138">
        <v>0.5</v>
      </c>
      <c r="JQ26" s="139">
        <v>0.5</v>
      </c>
      <c r="JR26" s="147"/>
      <c r="JS26" s="148"/>
      <c r="JT26" s="138">
        <v>0.5</v>
      </c>
      <c r="JU26" s="149">
        <v>0.5</v>
      </c>
      <c r="JV26" s="142">
        <v>0.5</v>
      </c>
      <c r="JW26" s="138">
        <v>0.5</v>
      </c>
      <c r="JX26" s="138">
        <v>0.5</v>
      </c>
      <c r="JY26" s="138">
        <v>0.5</v>
      </c>
      <c r="JZ26" s="138">
        <v>0.5</v>
      </c>
      <c r="KA26" s="138">
        <v>0.5</v>
      </c>
      <c r="KB26" s="137"/>
      <c r="KC26" s="137"/>
      <c r="KD26" s="137"/>
      <c r="KE26" s="137"/>
      <c r="KF26" s="137"/>
      <c r="KG26" s="146"/>
      <c r="KH26" s="145"/>
      <c r="KI26" s="146"/>
      <c r="KJ26" s="131">
        <f>SUM(JH26:KI26)</f>
      </c>
      <c r="KK26" s="134"/>
      <c r="KL26" s="135"/>
      <c r="KM26" s="142">
        <v>0.5</v>
      </c>
      <c r="KN26" s="138">
        <v>0.5</v>
      </c>
      <c r="KO26" s="138">
        <v>0.5</v>
      </c>
      <c r="KP26" s="138">
        <v>0.5</v>
      </c>
      <c r="KQ26" s="138">
        <v>0.5</v>
      </c>
      <c r="KR26" s="138">
        <v>0.5</v>
      </c>
      <c r="KS26" s="138">
        <v>0.5</v>
      </c>
      <c r="KT26" s="139">
        <v>0.5</v>
      </c>
      <c r="KU26" s="147"/>
      <c r="KV26" s="148"/>
      <c r="KW26" s="138">
        <v>0.5</v>
      </c>
      <c r="KX26" s="149">
        <v>0.5</v>
      </c>
      <c r="KY26" s="142">
        <v>0.5</v>
      </c>
      <c r="KZ26" s="138">
        <v>0.5</v>
      </c>
      <c r="LA26" s="138">
        <v>0.5</v>
      </c>
      <c r="LB26" s="138">
        <v>0.5</v>
      </c>
      <c r="LC26" s="138">
        <v>0.5</v>
      </c>
      <c r="LD26" s="138">
        <v>0.5</v>
      </c>
      <c r="LE26" s="137"/>
      <c r="LF26" s="137"/>
      <c r="LG26" s="137"/>
      <c r="LH26" s="137"/>
      <c r="LI26" s="137"/>
      <c r="LJ26" s="146"/>
      <c r="LK26" s="145"/>
      <c r="LL26" s="146"/>
      <c r="LM26" s="131">
        <f>SUM(KK26:LL26)</f>
      </c>
      <c r="LN26" s="134"/>
      <c r="LO26" s="135"/>
      <c r="LP26" s="142">
        <v>0.5</v>
      </c>
      <c r="LQ26" s="138">
        <v>0.5</v>
      </c>
      <c r="LR26" s="138">
        <v>0.5</v>
      </c>
      <c r="LS26" s="138">
        <v>0.5</v>
      </c>
      <c r="LT26" s="138">
        <v>0.5</v>
      </c>
      <c r="LU26" s="138">
        <v>0.5</v>
      </c>
      <c r="LV26" s="138">
        <v>0.5</v>
      </c>
      <c r="LW26" s="139">
        <v>0.5</v>
      </c>
      <c r="LX26" s="147"/>
      <c r="LY26" s="148"/>
      <c r="LZ26" s="138">
        <v>0.5</v>
      </c>
      <c r="MA26" s="149">
        <v>0.5</v>
      </c>
      <c r="MB26" s="142">
        <v>0.5</v>
      </c>
      <c r="MC26" s="138">
        <v>0.5</v>
      </c>
      <c r="MD26" s="138">
        <v>0.5</v>
      </c>
      <c r="ME26" s="138">
        <v>0.5</v>
      </c>
      <c r="MF26" s="138">
        <v>0.5</v>
      </c>
      <c r="MG26" s="138">
        <v>0.5</v>
      </c>
      <c r="MH26" s="137"/>
      <c r="MI26" s="137"/>
      <c r="MJ26" s="137"/>
      <c r="MK26" s="137"/>
      <c r="ML26" s="137"/>
      <c r="MM26" s="146"/>
      <c r="MN26" s="145"/>
      <c r="MO26" s="146"/>
      <c r="MP26" s="131">
        <f>SUM(LN26:MO26)</f>
      </c>
      <c r="MQ26" s="121"/>
      <c r="MR26" s="122"/>
      <c r="MS26" s="123"/>
      <c r="MT26" s="124"/>
      <c r="MU26" s="124"/>
      <c r="MV26" s="124"/>
      <c r="MW26" s="124"/>
      <c r="MX26" s="124"/>
      <c r="MY26" s="124"/>
      <c r="MZ26" s="125"/>
      <c r="NA26" s="126"/>
      <c r="NB26" s="124"/>
      <c r="NC26" s="124"/>
      <c r="ND26" s="127"/>
      <c r="NE26" s="123"/>
      <c r="NF26" s="124"/>
      <c r="NG26" s="124"/>
      <c r="NH26" s="124"/>
      <c r="NI26" s="124"/>
      <c r="NJ26" s="124"/>
      <c r="NK26" s="124"/>
      <c r="NL26" s="124"/>
      <c r="NM26" s="124"/>
      <c r="NN26" s="124"/>
      <c r="NO26" s="124"/>
      <c r="NP26" s="128"/>
      <c r="NQ26" s="129"/>
      <c r="NR26" s="128"/>
      <c r="NS26" s="131">
        <f>SUM(MQ26:NR26)</f>
      </c>
      <c r="NT26" s="121"/>
      <c r="NU26" s="122"/>
      <c r="NV26" s="123"/>
      <c r="NW26" s="124"/>
      <c r="NX26" s="124"/>
      <c r="NY26" s="124"/>
      <c r="NZ26" s="124"/>
      <c r="OA26" s="124"/>
      <c r="OB26" s="124"/>
      <c r="OC26" s="125"/>
      <c r="OD26" s="126"/>
      <c r="OE26" s="124"/>
      <c r="OF26" s="124"/>
      <c r="OG26" s="127"/>
      <c r="OH26" s="123"/>
      <c r="OI26" s="124"/>
      <c r="OJ26" s="124"/>
      <c r="OK26" s="124"/>
      <c r="OL26" s="124"/>
      <c r="OM26" s="124"/>
      <c r="ON26" s="124"/>
      <c r="OO26" s="124"/>
      <c r="OP26" s="124"/>
      <c r="OQ26" s="124"/>
      <c r="OR26" s="124"/>
      <c r="OS26" s="128"/>
      <c r="OT26" s="129"/>
      <c r="OU26" s="128"/>
      <c r="OV26" s="131">
        <f>SUM(NT26:OU26)</f>
      </c>
      <c r="OW26" s="132">
        <f>ID26+JG26+KJ26+LM26+MP26+NS26+OV26</f>
      </c>
      <c r="OX26" s="133">
        <f>(COUNTIF(HB26:OV26,"H")+COUNTIF(HB26:OV26,"S")+COUNTIF(HB26:OV26,"L")+COUNTIF(HB26:OV26,"E")+COUNTIF(HB26:OV26,"C"))/2</f>
      </c>
      <c r="OY26" s="130">
        <f>OW26+OX26</f>
      </c>
      <c r="OZ26" s="134"/>
      <c r="PA26" s="135"/>
      <c r="PB26" s="142">
        <v>0.5</v>
      </c>
      <c r="PC26" s="138">
        <v>0.5</v>
      </c>
      <c r="PD26" s="138">
        <v>0.5</v>
      </c>
      <c r="PE26" s="138">
        <v>0.5</v>
      </c>
      <c r="PF26" s="138">
        <v>0.5</v>
      </c>
      <c r="PG26" s="138">
        <v>0.5</v>
      </c>
      <c r="PH26" s="138">
        <v>0.5</v>
      </c>
      <c r="PI26" s="139">
        <v>0.5</v>
      </c>
      <c r="PJ26" s="147"/>
      <c r="PK26" s="148"/>
      <c r="PL26" s="138">
        <v>0.5</v>
      </c>
      <c r="PM26" s="149">
        <v>0.5</v>
      </c>
      <c r="PN26" s="142">
        <v>0.5</v>
      </c>
      <c r="PO26" s="138">
        <v>0.5</v>
      </c>
      <c r="PP26" s="138">
        <v>0.5</v>
      </c>
      <c r="PQ26" s="138">
        <v>0.5</v>
      </c>
      <c r="PR26" s="138">
        <v>0.5</v>
      </c>
      <c r="PS26" s="138">
        <v>0.5</v>
      </c>
      <c r="PT26" s="137"/>
      <c r="PU26" s="137"/>
      <c r="PV26" s="137"/>
      <c r="PW26" s="137"/>
      <c r="PX26" s="137"/>
      <c r="PY26" s="146"/>
      <c r="PZ26" s="145"/>
      <c r="QA26" s="146"/>
      <c r="QB26" s="131">
        <f>SUM(OZ26:QA26)</f>
      </c>
      <c r="QC26" s="134"/>
      <c r="QD26" s="135"/>
      <c r="QE26" s="142">
        <v>0.5</v>
      </c>
      <c r="QF26" s="138">
        <v>0.5</v>
      </c>
      <c r="QG26" s="138">
        <v>0.5</v>
      </c>
      <c r="QH26" s="138">
        <v>0.5</v>
      </c>
      <c r="QI26" s="138">
        <v>0.5</v>
      </c>
      <c r="QJ26" s="138">
        <v>0.5</v>
      </c>
      <c r="QK26" s="138">
        <v>0.5</v>
      </c>
      <c r="QL26" s="139">
        <v>0.5</v>
      </c>
      <c r="QM26" s="147"/>
      <c r="QN26" s="148"/>
      <c r="QO26" s="138">
        <v>0.5</v>
      </c>
      <c r="QP26" s="149">
        <v>0.5</v>
      </c>
      <c r="QQ26" s="142">
        <v>0.5</v>
      </c>
      <c r="QR26" s="138">
        <v>0.5</v>
      </c>
      <c r="QS26" s="138">
        <v>0.5</v>
      </c>
      <c r="QT26" s="138">
        <v>0.5</v>
      </c>
      <c r="QU26" s="138">
        <v>0.5</v>
      </c>
      <c r="QV26" s="138">
        <v>0.5</v>
      </c>
      <c r="QW26" s="137"/>
      <c r="QX26" s="137"/>
      <c r="QY26" s="137"/>
      <c r="QZ26" s="137"/>
      <c r="RA26" s="137"/>
      <c r="RB26" s="146"/>
      <c r="RC26" s="145"/>
      <c r="RD26" s="146"/>
      <c r="RE26" s="131">
        <f>SUM(QC26:RD26)</f>
      </c>
      <c r="RF26" s="134"/>
      <c r="RG26" s="135"/>
      <c r="RH26" s="142">
        <v>0.5</v>
      </c>
      <c r="RI26" s="138">
        <v>0.5</v>
      </c>
      <c r="RJ26" s="138">
        <v>0.5</v>
      </c>
      <c r="RK26" s="138">
        <v>0.5</v>
      </c>
      <c r="RL26" s="138">
        <v>0.5</v>
      </c>
      <c r="RM26" s="138">
        <v>0.5</v>
      </c>
      <c r="RN26" s="138">
        <v>0.5</v>
      </c>
      <c r="RO26" s="139">
        <v>0.5</v>
      </c>
      <c r="RP26" s="147"/>
      <c r="RQ26" s="148"/>
      <c r="RR26" s="138">
        <v>0.5</v>
      </c>
      <c r="RS26" s="149">
        <v>0.5</v>
      </c>
      <c r="RT26" s="142">
        <v>0.5</v>
      </c>
      <c r="RU26" s="138">
        <v>0.5</v>
      </c>
      <c r="RV26" s="138">
        <v>0.5</v>
      </c>
      <c r="RW26" s="138">
        <v>0.5</v>
      </c>
      <c r="RX26" s="138">
        <v>0.5</v>
      </c>
      <c r="RY26" s="138">
        <v>0.5</v>
      </c>
      <c r="RZ26" s="137"/>
      <c r="SA26" s="137"/>
      <c r="SB26" s="137"/>
      <c r="SC26" s="137"/>
      <c r="SD26" s="137"/>
      <c r="SE26" s="146"/>
      <c r="SF26" s="145"/>
      <c r="SG26" s="146"/>
      <c r="SH26" s="131">
        <f>SUM(RF26:SG26)</f>
      </c>
      <c r="SI26" s="134"/>
      <c r="SJ26" s="135"/>
      <c r="SK26" s="142">
        <v>0.5</v>
      </c>
      <c r="SL26" s="138">
        <v>0.5</v>
      </c>
      <c r="SM26" s="138">
        <v>0.5</v>
      </c>
      <c r="SN26" s="138">
        <v>0.5</v>
      </c>
      <c r="SO26" s="138">
        <v>0.5</v>
      </c>
      <c r="SP26" s="138">
        <v>0.5</v>
      </c>
      <c r="SQ26" s="138">
        <v>0.5</v>
      </c>
      <c r="SR26" s="139">
        <v>0.5</v>
      </c>
      <c r="SS26" s="147"/>
      <c r="ST26" s="148"/>
      <c r="SU26" s="138">
        <v>0.5</v>
      </c>
      <c r="SV26" s="149">
        <v>0.5</v>
      </c>
      <c r="SW26" s="142">
        <v>0.5</v>
      </c>
      <c r="SX26" s="138">
        <v>0.5</v>
      </c>
      <c r="SY26" s="138">
        <v>0.5</v>
      </c>
      <c r="SZ26" s="138">
        <v>0.5</v>
      </c>
      <c r="TA26" s="138">
        <v>0.5</v>
      </c>
      <c r="TB26" s="138">
        <v>0.5</v>
      </c>
      <c r="TC26" s="137"/>
      <c r="TD26" s="137"/>
      <c r="TE26" s="137"/>
      <c r="TF26" s="137"/>
      <c r="TG26" s="137"/>
      <c r="TH26" s="146"/>
      <c r="TI26" s="145"/>
      <c r="TJ26" s="146"/>
      <c r="TK26" s="131">
        <f>SUM(SI26:TJ26)</f>
      </c>
      <c r="TL26" s="134"/>
      <c r="TM26" s="135"/>
      <c r="TN26" s="142">
        <v>0.5</v>
      </c>
      <c r="TO26" s="138">
        <v>0.5</v>
      </c>
      <c r="TP26" s="138">
        <v>0.5</v>
      </c>
      <c r="TQ26" s="138">
        <v>0.5</v>
      </c>
      <c r="TR26" s="138">
        <v>0.5</v>
      </c>
      <c r="TS26" s="138">
        <v>0.5</v>
      </c>
      <c r="TT26" s="138">
        <v>0.5</v>
      </c>
      <c r="TU26" s="139">
        <v>0.5</v>
      </c>
      <c r="TV26" s="147"/>
      <c r="TW26" s="148"/>
      <c r="TX26" s="138">
        <v>0.5</v>
      </c>
      <c r="TY26" s="149">
        <v>0.5</v>
      </c>
      <c r="TZ26" s="142">
        <v>0.5</v>
      </c>
      <c r="UA26" s="138">
        <v>0.5</v>
      </c>
      <c r="UB26" s="138">
        <v>0.5</v>
      </c>
      <c r="UC26" s="138">
        <v>0.5</v>
      </c>
      <c r="UD26" s="138">
        <v>0.5</v>
      </c>
      <c r="UE26" s="138">
        <v>0.5</v>
      </c>
      <c r="UF26" s="137"/>
      <c r="UG26" s="137"/>
      <c r="UH26" s="137"/>
      <c r="UI26" s="137"/>
      <c r="UJ26" s="137"/>
      <c r="UK26" s="146"/>
      <c r="UL26" s="145"/>
      <c r="UM26" s="146"/>
      <c r="UN26" s="131">
        <f>SUM(TL26:UM26)</f>
      </c>
      <c r="UO26" s="121"/>
      <c r="UP26" s="122"/>
      <c r="UQ26" s="123"/>
      <c r="UR26" s="124"/>
      <c r="US26" s="124"/>
      <c r="UT26" s="124"/>
      <c r="UU26" s="124"/>
      <c r="UV26" s="124"/>
      <c r="UW26" s="124"/>
      <c r="UX26" s="125"/>
      <c r="UY26" s="126"/>
      <c r="UZ26" s="124"/>
      <c r="VA26" s="124"/>
      <c r="VB26" s="127"/>
      <c r="VC26" s="123"/>
      <c r="VD26" s="124"/>
      <c r="VE26" s="124"/>
      <c r="VF26" s="124"/>
      <c r="VG26" s="124"/>
      <c r="VH26" s="124"/>
      <c r="VI26" s="124"/>
      <c r="VJ26" s="124"/>
      <c r="VK26" s="124"/>
      <c r="VL26" s="124"/>
      <c r="VM26" s="124"/>
      <c r="VN26" s="128"/>
      <c r="VO26" s="129"/>
      <c r="VP26" s="128"/>
      <c r="VQ26" s="131">
        <f>SUM(UO26:VP26)</f>
      </c>
      <c r="VR26" s="121"/>
      <c r="VS26" s="122"/>
      <c r="VT26" s="123"/>
      <c r="VU26" s="124"/>
      <c r="VV26" s="124"/>
      <c r="VW26" s="124"/>
      <c r="VX26" s="124"/>
      <c r="VY26" s="124"/>
      <c r="VZ26" s="124"/>
      <c r="WA26" s="125"/>
      <c r="WB26" s="126"/>
      <c r="WC26" s="124"/>
      <c r="WD26" s="124"/>
      <c r="WE26" s="127"/>
      <c r="WF26" s="123"/>
      <c r="WG26" s="124"/>
      <c r="WH26" s="124"/>
      <c r="WI26" s="124"/>
      <c r="WJ26" s="124"/>
      <c r="WK26" s="124"/>
      <c r="WL26" s="124"/>
      <c r="WM26" s="124"/>
      <c r="WN26" s="124"/>
      <c r="WO26" s="124"/>
      <c r="WP26" s="124"/>
      <c r="WQ26" s="128"/>
      <c r="WR26" s="129"/>
      <c r="WS26" s="128"/>
      <c r="WT26" s="131">
        <f>SUM(VR26:WS26)</f>
      </c>
      <c r="WU26" s="150">
        <f>QB26+RE26+SH26+TK26+UN26+VQ26+WT26</f>
      </c>
      <c r="WV26" s="133">
        <f>(COUNTIF(OZ26:WT26,"H")+COUNTIF(OZ26:WT26,"S")+COUNTIF(OZ26:WT26,"L")+COUNTIF(OZ26:WT26,"E")+COUNTIF(OZ26:WT26,"C"))/2</f>
      </c>
      <c r="WW26" s="131">
        <f>WU26+WV26</f>
      </c>
      <c r="WX26" s="134"/>
      <c r="WY26" s="135"/>
      <c r="WZ26" s="142">
        <v>0.5</v>
      </c>
      <c r="XA26" s="138">
        <v>0.5</v>
      </c>
      <c r="XB26" s="138">
        <v>0.5</v>
      </c>
      <c r="XC26" s="138">
        <v>0.5</v>
      </c>
      <c r="XD26" s="138">
        <v>0.5</v>
      </c>
      <c r="XE26" s="138">
        <v>0.5</v>
      </c>
      <c r="XF26" s="138">
        <v>0.5</v>
      </c>
      <c r="XG26" s="139">
        <v>0.5</v>
      </c>
      <c r="XH26" s="147"/>
      <c r="XI26" s="148"/>
      <c r="XJ26" s="138">
        <v>0.5</v>
      </c>
      <c r="XK26" s="149">
        <v>0.5</v>
      </c>
      <c r="XL26" s="142">
        <v>0.5</v>
      </c>
      <c r="XM26" s="138">
        <v>0.5</v>
      </c>
      <c r="XN26" s="138">
        <v>0.5</v>
      </c>
      <c r="XO26" s="138">
        <v>0.5</v>
      </c>
      <c r="XP26" s="138">
        <v>0.5</v>
      </c>
      <c r="XQ26" s="138">
        <v>0.5</v>
      </c>
      <c r="XR26" s="137"/>
      <c r="XS26" s="137"/>
      <c r="XT26" s="137"/>
      <c r="XU26" s="137"/>
      <c r="XV26" s="137"/>
      <c r="XW26" s="146"/>
      <c r="XX26" s="145"/>
      <c r="XY26" s="146"/>
      <c r="XZ26" s="131">
        <f>SUM(WX26:XY26)</f>
      </c>
      <c r="YA26" s="134"/>
      <c r="YB26" s="135"/>
      <c r="YC26" s="142">
        <v>0.5</v>
      </c>
      <c r="YD26" s="138">
        <v>0.5</v>
      </c>
      <c r="YE26" s="138">
        <v>0.5</v>
      </c>
      <c r="YF26" s="138">
        <v>0.5</v>
      </c>
      <c r="YG26" s="138">
        <v>0.5</v>
      </c>
      <c r="YH26" s="138">
        <v>0.5</v>
      </c>
      <c r="YI26" s="138">
        <v>0.5</v>
      </c>
      <c r="YJ26" s="139">
        <v>0.5</v>
      </c>
      <c r="YK26" s="147"/>
      <c r="YL26" s="148"/>
      <c r="YM26" s="138">
        <v>0.5</v>
      </c>
      <c r="YN26" s="149">
        <v>0.5</v>
      </c>
      <c r="YO26" s="142">
        <v>0.5</v>
      </c>
      <c r="YP26" s="138">
        <v>0.5</v>
      </c>
      <c r="YQ26" s="138">
        <v>0.5</v>
      </c>
      <c r="YR26" s="138">
        <v>0.5</v>
      </c>
      <c r="YS26" s="138">
        <v>0.5</v>
      </c>
      <c r="YT26" s="138">
        <v>0.5</v>
      </c>
      <c r="YU26" s="137"/>
      <c r="YV26" s="137"/>
      <c r="YW26" s="137"/>
      <c r="YX26" s="137"/>
      <c r="YY26" s="137"/>
      <c r="YZ26" s="146"/>
      <c r="ZA26" s="145"/>
      <c r="ZB26" s="146"/>
      <c r="ZC26" s="131">
        <f>SUM(YA26:ZB26)</f>
      </c>
      <c r="ZD26" s="134"/>
      <c r="ZE26" s="135"/>
      <c r="ZF26" s="142">
        <v>0.5</v>
      </c>
      <c r="ZG26" s="138">
        <v>0.5</v>
      </c>
      <c r="ZH26" s="138">
        <v>0.5</v>
      </c>
      <c r="ZI26" s="138">
        <v>0.5</v>
      </c>
      <c r="ZJ26" s="138">
        <v>0.5</v>
      </c>
      <c r="ZK26" s="138">
        <v>0.5</v>
      </c>
      <c r="ZL26" s="138">
        <v>0.5</v>
      </c>
      <c r="ZM26" s="139">
        <v>0.5</v>
      </c>
      <c r="ZN26" s="147"/>
      <c r="ZO26" s="148"/>
      <c r="ZP26" s="138">
        <v>0.5</v>
      </c>
      <c r="ZQ26" s="149">
        <v>0.5</v>
      </c>
      <c r="ZR26" s="142">
        <v>0.5</v>
      </c>
      <c r="ZS26" s="138">
        <v>0.5</v>
      </c>
      <c r="ZT26" s="138">
        <v>0.5</v>
      </c>
      <c r="ZU26" s="138">
        <v>0.5</v>
      </c>
      <c r="ZV26" s="138">
        <v>0.5</v>
      </c>
      <c r="ZW26" s="138">
        <v>0.5</v>
      </c>
      <c r="ZX26" s="137"/>
      <c r="ZY26" s="137"/>
      <c r="ZZ26" s="137"/>
      <c r="AAA26" s="137"/>
      <c r="AAB26" s="137"/>
      <c r="AAC26" s="146"/>
      <c r="AAD26" s="145"/>
      <c r="AAE26" s="146"/>
      <c r="AAF26" s="131">
        <f>SUM(ZD26:AAE26)</f>
      </c>
      <c r="AAG26" s="134"/>
      <c r="AAH26" s="135"/>
      <c r="AAI26" s="142">
        <v>0.5</v>
      </c>
      <c r="AAJ26" s="138">
        <v>0.5</v>
      </c>
      <c r="AAK26" s="138">
        <v>0.5</v>
      </c>
      <c r="AAL26" s="138">
        <v>0.5</v>
      </c>
      <c r="AAM26" s="138">
        <v>0.5</v>
      </c>
      <c r="AAN26" s="138">
        <v>0.5</v>
      </c>
      <c r="AAO26" s="138">
        <v>0.5</v>
      </c>
      <c r="AAP26" s="139">
        <v>0.5</v>
      </c>
      <c r="AAQ26" s="147"/>
      <c r="AAR26" s="148"/>
      <c r="AAS26" s="138">
        <v>0.5</v>
      </c>
      <c r="AAT26" s="149">
        <v>0.5</v>
      </c>
      <c r="AAU26" s="142">
        <v>0.5</v>
      </c>
      <c r="AAV26" s="138">
        <v>0.5</v>
      </c>
      <c r="AAW26" s="138">
        <v>0.5</v>
      </c>
      <c r="AAX26" s="138">
        <v>0.5</v>
      </c>
      <c r="AAY26" s="138">
        <v>0.5</v>
      </c>
      <c r="AAZ26" s="138">
        <v>0.5</v>
      </c>
      <c r="ABA26" s="137"/>
      <c r="ABB26" s="137"/>
      <c r="ABC26" s="137"/>
      <c r="ABD26" s="137"/>
      <c r="ABE26" s="137"/>
      <c r="ABF26" s="146"/>
      <c r="ABG26" s="145"/>
      <c r="ABH26" s="146"/>
      <c r="ABI26" s="131">
        <f>SUM(AAG26:ABH26)</f>
      </c>
      <c r="ABJ26" s="134"/>
      <c r="ABK26" s="135"/>
      <c r="ABL26" s="142">
        <v>0.5</v>
      </c>
      <c r="ABM26" s="138">
        <v>0.5</v>
      </c>
      <c r="ABN26" s="138">
        <v>0.5</v>
      </c>
      <c r="ABO26" s="138">
        <v>0.5</v>
      </c>
      <c r="ABP26" s="138">
        <v>0.5</v>
      </c>
      <c r="ABQ26" s="138">
        <v>0.5</v>
      </c>
      <c r="ABR26" s="138">
        <v>0.5</v>
      </c>
      <c r="ABS26" s="139">
        <v>0.5</v>
      </c>
      <c r="ABT26" s="147"/>
      <c r="ABU26" s="148"/>
      <c r="ABV26" s="138">
        <v>0.5</v>
      </c>
      <c r="ABW26" s="149">
        <v>0.5</v>
      </c>
      <c r="ABX26" s="142">
        <v>0.5</v>
      </c>
      <c r="ABY26" s="138">
        <v>0.5</v>
      </c>
      <c r="ABZ26" s="138">
        <v>0.5</v>
      </c>
      <c r="ACA26" s="138">
        <v>0.5</v>
      </c>
      <c r="ACB26" s="138">
        <v>0.5</v>
      </c>
      <c r="ACC26" s="138">
        <v>0.5</v>
      </c>
      <c r="ACD26" s="137"/>
      <c r="ACE26" s="137"/>
      <c r="ACF26" s="137"/>
      <c r="ACG26" s="137"/>
      <c r="ACH26" s="137"/>
      <c r="ACI26" s="146"/>
      <c r="ACJ26" s="145"/>
      <c r="ACK26" s="146"/>
      <c r="ACL26" s="131">
        <f>SUM(ABJ26:ACK26)</f>
      </c>
      <c r="ACM26" s="121"/>
      <c r="ACN26" s="122"/>
      <c r="ACO26" s="123"/>
      <c r="ACP26" s="124"/>
      <c r="ACQ26" s="124"/>
      <c r="ACR26" s="124"/>
      <c r="ACS26" s="124"/>
      <c r="ACT26" s="124"/>
      <c r="ACU26" s="124"/>
      <c r="ACV26" s="125"/>
      <c r="ACW26" s="126"/>
      <c r="ACX26" s="124"/>
      <c r="ACY26" s="124"/>
      <c r="ACZ26" s="127"/>
      <c r="ADA26" s="123"/>
      <c r="ADB26" s="124"/>
      <c r="ADC26" s="124"/>
      <c r="ADD26" s="124"/>
      <c r="ADE26" s="124"/>
      <c r="ADF26" s="124"/>
      <c r="ADG26" s="124"/>
      <c r="ADH26" s="124"/>
      <c r="ADI26" s="124"/>
      <c r="ADJ26" s="124"/>
      <c r="ADK26" s="124"/>
      <c r="ADL26" s="128"/>
      <c r="ADM26" s="129"/>
      <c r="ADN26" s="128"/>
      <c r="ADO26" s="131">
        <f>SUM(ACM26:ADN26)</f>
      </c>
      <c r="ADP26" s="121"/>
      <c r="ADQ26" s="122"/>
      <c r="ADR26" s="123"/>
      <c r="ADS26" s="124"/>
      <c r="ADT26" s="124"/>
      <c r="ADU26" s="124"/>
      <c r="ADV26" s="124"/>
      <c r="ADW26" s="124"/>
      <c r="ADX26" s="124"/>
      <c r="ADY26" s="125"/>
      <c r="ADZ26" s="126"/>
      <c r="AEA26" s="124"/>
      <c r="AEB26" s="124"/>
      <c r="AEC26" s="127"/>
      <c r="AED26" s="123"/>
      <c r="AEE26" s="124"/>
      <c r="AEF26" s="124"/>
      <c r="AEG26" s="124"/>
      <c r="AEH26" s="124"/>
      <c r="AEI26" s="124"/>
      <c r="AEJ26" s="124"/>
      <c r="AEK26" s="124"/>
      <c r="AEL26" s="124"/>
      <c r="AEM26" s="124"/>
      <c r="AEN26" s="124"/>
      <c r="AEO26" s="128"/>
      <c r="AEP26" s="129"/>
      <c r="AEQ26" s="128"/>
      <c r="AER26" s="131">
        <f>SUM(ADP26:AEQ26)</f>
      </c>
      <c r="AES26" s="150">
        <f>XZ26+ZC26+AAF26+ABI26+ACL26+ADO26+AER26</f>
      </c>
      <c r="AET26" s="133">
        <f>(COUNTIF(WX26:AER26,"H")+COUNTIF(WX26:AER26,"S")+COUNTIF(WX26:AER26,"L")+COUNTIF(WX26:AER26,"E")+COUNTIF(WX26:AER26,"C"))/2</f>
      </c>
      <c r="AEU26" s="131">
        <f>AES26+AET26</f>
      </c>
      <c r="AEV26" s="134"/>
      <c r="AEW26" s="135"/>
      <c r="AEX26" s="142">
        <v>0.5</v>
      </c>
      <c r="AEY26" s="138">
        <v>0.5</v>
      </c>
      <c r="AEZ26" s="138">
        <v>0.5</v>
      </c>
      <c r="AFA26" s="138">
        <v>0.5</v>
      </c>
      <c r="AFB26" s="138">
        <v>0.5</v>
      </c>
      <c r="AFC26" s="138">
        <v>0.5</v>
      </c>
      <c r="AFD26" s="138">
        <v>0.5</v>
      </c>
      <c r="AFE26" s="139">
        <v>0.5</v>
      </c>
      <c r="AFF26" s="147"/>
      <c r="AFG26" s="148"/>
      <c r="AFH26" s="138">
        <v>0.5</v>
      </c>
      <c r="AFI26" s="149">
        <v>0.5</v>
      </c>
      <c r="AFJ26" s="142">
        <v>0.5</v>
      </c>
      <c r="AFK26" s="138">
        <v>0.5</v>
      </c>
      <c r="AFL26" s="138">
        <v>0.5</v>
      </c>
      <c r="AFM26" s="138">
        <v>0.5</v>
      </c>
      <c r="AFN26" s="138">
        <v>0.5</v>
      </c>
      <c r="AFO26" s="138">
        <v>0.5</v>
      </c>
      <c r="AFP26" s="137"/>
      <c r="AFQ26" s="137"/>
      <c r="AFR26" s="137"/>
      <c r="AFS26" s="137"/>
      <c r="AFT26" s="137"/>
      <c r="AFU26" s="146"/>
      <c r="AFV26" s="145"/>
      <c r="AFW26" s="146"/>
      <c r="AFX26" s="131">
        <f>SUM(AEV26:AFW26)</f>
      </c>
      <c r="AFY26" s="134"/>
      <c r="AFZ26" s="135"/>
      <c r="AGA26" s="142">
        <v>0.5</v>
      </c>
      <c r="AGB26" s="138">
        <v>0.5</v>
      </c>
      <c r="AGC26" s="138">
        <v>0.5</v>
      </c>
      <c r="AGD26" s="138">
        <v>0.5</v>
      </c>
      <c r="AGE26" s="138">
        <v>0.5</v>
      </c>
      <c r="AGF26" s="138">
        <v>0.5</v>
      </c>
      <c r="AGG26" s="138">
        <v>0.5</v>
      </c>
      <c r="AGH26" s="139">
        <v>0.5</v>
      </c>
      <c r="AGI26" s="147"/>
      <c r="AGJ26" s="148"/>
      <c r="AGK26" s="138">
        <v>0.5</v>
      </c>
      <c r="AGL26" s="149">
        <v>0.5</v>
      </c>
      <c r="AGM26" s="142">
        <v>0.5</v>
      </c>
      <c r="AGN26" s="138">
        <v>0.5</v>
      </c>
      <c r="AGO26" s="138">
        <v>0.5</v>
      </c>
      <c r="AGP26" s="138">
        <v>0.5</v>
      </c>
      <c r="AGQ26" s="138">
        <v>0.5</v>
      </c>
      <c r="AGR26" s="138">
        <v>0.5</v>
      </c>
      <c r="AGS26" s="137"/>
      <c r="AGT26" s="137"/>
      <c r="AGU26" s="137"/>
      <c r="AGV26" s="137"/>
      <c r="AGW26" s="137"/>
      <c r="AGX26" s="146"/>
      <c r="AGY26" s="145"/>
      <c r="AGZ26" s="146"/>
      <c r="AHA26" s="131">
        <f>SUM(AFY26:AGZ26)</f>
      </c>
      <c r="AHB26" s="134"/>
      <c r="AHC26" s="135"/>
      <c r="AHD26" s="142">
        <v>0.5</v>
      </c>
      <c r="AHE26" s="138">
        <v>0.5</v>
      </c>
      <c r="AHF26" s="138">
        <v>0.5</v>
      </c>
      <c r="AHG26" s="138">
        <v>0.5</v>
      </c>
      <c r="AHH26" s="138">
        <v>0.5</v>
      </c>
      <c r="AHI26" s="138">
        <v>0.5</v>
      </c>
      <c r="AHJ26" s="138">
        <v>0.5</v>
      </c>
      <c r="AHK26" s="139">
        <v>0.5</v>
      </c>
      <c r="AHL26" s="147"/>
      <c r="AHM26" s="148"/>
      <c r="AHN26" s="138">
        <v>0.5</v>
      </c>
      <c r="AHO26" s="149">
        <v>0.5</v>
      </c>
      <c r="AHP26" s="142">
        <v>0.5</v>
      </c>
      <c r="AHQ26" s="138">
        <v>0.5</v>
      </c>
      <c r="AHR26" s="138">
        <v>0.5</v>
      </c>
      <c r="AHS26" s="138">
        <v>0.5</v>
      </c>
      <c r="AHT26" s="138">
        <v>0.5</v>
      </c>
      <c r="AHU26" s="138">
        <v>0.5</v>
      </c>
      <c r="AHV26" s="137"/>
      <c r="AHW26" s="137"/>
      <c r="AHX26" s="137"/>
      <c r="AHY26" s="137"/>
      <c r="AHZ26" s="137"/>
      <c r="AIA26" s="146"/>
      <c r="AIB26" s="145"/>
      <c r="AIC26" s="146"/>
      <c r="AID26" s="131">
        <f>SUM(AHB26:AIC26)</f>
      </c>
      <c r="AIE26" s="134"/>
      <c r="AIF26" s="135"/>
      <c r="AIG26" s="142">
        <v>0.5</v>
      </c>
      <c r="AIH26" s="138">
        <v>0.5</v>
      </c>
      <c r="AII26" s="138">
        <v>0.5</v>
      </c>
      <c r="AIJ26" s="138">
        <v>0.5</v>
      </c>
      <c r="AIK26" s="138">
        <v>0.5</v>
      </c>
      <c r="AIL26" s="138">
        <v>0.5</v>
      </c>
      <c r="AIM26" s="138">
        <v>0.5</v>
      </c>
      <c r="AIN26" s="139">
        <v>0.5</v>
      </c>
      <c r="AIO26" s="147"/>
      <c r="AIP26" s="148"/>
      <c r="AIQ26" s="138">
        <v>0.5</v>
      </c>
      <c r="AIR26" s="149">
        <v>0.5</v>
      </c>
      <c r="AIS26" s="142">
        <v>0.5</v>
      </c>
      <c r="AIT26" s="138">
        <v>0.5</v>
      </c>
      <c r="AIU26" s="138">
        <v>0.5</v>
      </c>
      <c r="AIV26" s="138">
        <v>0.5</v>
      </c>
      <c r="AIW26" s="138">
        <v>0.5</v>
      </c>
      <c r="AIX26" s="138">
        <v>0.5</v>
      </c>
      <c r="AIY26" s="137"/>
      <c r="AIZ26" s="137"/>
      <c r="AJA26" s="137"/>
      <c r="AJB26" s="137"/>
      <c r="AJC26" s="137"/>
      <c r="AJD26" s="146"/>
      <c r="AJE26" s="145"/>
      <c r="AJF26" s="146"/>
      <c r="AJG26" s="131">
        <f>SUM(AIE26:AJF26)</f>
      </c>
      <c r="AJH26" s="134"/>
      <c r="AJI26" s="135"/>
      <c r="AJJ26" s="142">
        <v>0.5</v>
      </c>
      <c r="AJK26" s="138">
        <v>0.5</v>
      </c>
      <c r="AJL26" s="138">
        <v>0.5</v>
      </c>
      <c r="AJM26" s="138">
        <v>0.5</v>
      </c>
      <c r="AJN26" s="138">
        <v>0.5</v>
      </c>
      <c r="AJO26" s="138">
        <v>0.5</v>
      </c>
      <c r="AJP26" s="138">
        <v>0.5</v>
      </c>
      <c r="AJQ26" s="139">
        <v>0.5</v>
      </c>
      <c r="AJR26" s="147"/>
      <c r="AJS26" s="148"/>
      <c r="AJT26" s="138">
        <v>0.5</v>
      </c>
      <c r="AJU26" s="149">
        <v>0.5</v>
      </c>
      <c r="AJV26" s="142">
        <v>0.5</v>
      </c>
      <c r="AJW26" s="138">
        <v>0.5</v>
      </c>
      <c r="AJX26" s="138">
        <v>0.5</v>
      </c>
      <c r="AJY26" s="138">
        <v>0.5</v>
      </c>
      <c r="AJZ26" s="138">
        <v>0.5</v>
      </c>
      <c r="AKA26" s="138">
        <v>0.5</v>
      </c>
      <c r="AKB26" s="137"/>
      <c r="AKC26" s="137"/>
      <c r="AKD26" s="137"/>
      <c r="AKE26" s="137"/>
      <c r="AKF26" s="137"/>
      <c r="AKG26" s="146"/>
      <c r="AKH26" s="145"/>
      <c r="AKI26" s="146"/>
      <c r="AKJ26" s="131">
        <f>SUM(AJH26:AKI26)</f>
      </c>
      <c r="AKK26" s="121"/>
      <c r="AKL26" s="122"/>
      <c r="AKM26" s="123"/>
      <c r="AKN26" s="124"/>
      <c r="AKO26" s="124"/>
      <c r="AKP26" s="124"/>
      <c r="AKQ26" s="124"/>
      <c r="AKR26" s="124"/>
      <c r="AKS26" s="124"/>
      <c r="AKT26" s="125"/>
      <c r="AKU26" s="126"/>
      <c r="AKV26" s="124"/>
      <c r="AKW26" s="124"/>
      <c r="AKX26" s="127"/>
      <c r="AKY26" s="123"/>
      <c r="AKZ26" s="124"/>
      <c r="ALA26" s="124"/>
      <c r="ALB26" s="124"/>
      <c r="ALC26" s="124"/>
      <c r="ALD26" s="124"/>
      <c r="ALE26" s="124"/>
      <c r="ALF26" s="124"/>
      <c r="ALG26" s="124"/>
      <c r="ALH26" s="124"/>
      <c r="ALI26" s="124"/>
      <c r="ALJ26" s="128"/>
      <c r="ALK26" s="129"/>
      <c r="ALL26" s="128"/>
      <c r="ALM26" s="131">
        <f>SUM(AKK26:ALL26)</f>
      </c>
      <c r="ALN26" s="121"/>
      <c r="ALO26" s="122"/>
      <c r="ALP26" s="123"/>
      <c r="ALQ26" s="124"/>
      <c r="ALR26" s="124"/>
      <c r="ALS26" s="124"/>
      <c r="ALT26" s="124"/>
      <c r="ALU26" s="124"/>
      <c r="ALV26" s="124"/>
      <c r="ALW26" s="125"/>
      <c r="ALX26" s="126"/>
      <c r="ALY26" s="124"/>
      <c r="ALZ26" s="124"/>
      <c r="AMA26" s="127"/>
      <c r="AMB26" s="123"/>
      <c r="AMC26" s="124"/>
      <c r="AMD26" s="124"/>
      <c r="AME26" s="124"/>
      <c r="AMF26" s="124"/>
      <c r="AMG26" s="124"/>
      <c r="AMH26" s="124"/>
      <c r="AMI26" s="124"/>
      <c r="AMJ26" s="124"/>
      <c r="AMK26" s="124"/>
      <c r="AML26" s="124"/>
      <c r="AMM26" s="128"/>
      <c r="AMN26" s="129"/>
      <c r="AMO26" s="128"/>
      <c r="AMP26" s="131">
        <f>SUM(ALN26:AMO26)</f>
      </c>
      <c r="AMQ26" s="150">
        <f>AFX26+AHA26+AID26+AJG26+AKJ26+ALM26+AMP26</f>
      </c>
      <c r="AMR26" s="133">
        <f>(COUNTIF(AEV26:AMP26,"H")+COUNTIF(AEV26:AMP26,"S")+COUNTIF(AEV26:AMP26,"L")+COUNTIF(AEV26:AMP26,"E")+COUNTIF(AEV26:AMP26,"C"))/2</f>
      </c>
      <c r="AMS26" s="131">
        <f>AMQ26+AMR26</f>
      </c>
      <c r="AMT26" s="4"/>
      <c r="AMU26" s="4"/>
      <c r="AMV26" s="4"/>
      <c r="AMW26" s="4"/>
      <c r="AMX26" s="4"/>
      <c r="AMY26" s="4"/>
      <c r="AMZ26" s="4"/>
      <c r="ANA26" s="4"/>
      <c r="ANB26" s="4"/>
      <c r="ANC26" s="4"/>
      <c r="AND26" s="4"/>
      <c r="ANE26" s="4"/>
      <c r="ANF26" s="4"/>
      <c r="ANG26" s="4"/>
      <c r="ANH26" s="4"/>
      <c r="ANI26" s="4"/>
      <c r="ANJ26" s="13"/>
      <c r="ANK26" s="13"/>
      <c r="ANL26" s="4"/>
      <c r="ANM26" s="4"/>
      <c r="ANN26" s="4"/>
      <c r="ANO26" s="4"/>
      <c r="ANP26" s="4"/>
      <c r="ANQ26" s="4"/>
      <c r="ANR26" s="4"/>
      <c r="ANS26" s="4"/>
      <c r="ANT26" s="4"/>
      <c r="ANU26" s="4"/>
      <c r="ANV26" s="4"/>
      <c r="ANW26" s="4"/>
      <c r="ANX26" s="4"/>
      <c r="ANY26" s="4"/>
      <c r="ANZ26" s="4"/>
      <c r="AOA26" s="4"/>
      <c r="AOB26" s="4"/>
      <c r="AOC26" s="4"/>
      <c r="AOD26" s="4"/>
      <c r="AOE26" s="4"/>
      <c r="AOF26" s="4"/>
      <c r="AOG26" s="4"/>
      <c r="AOH26" s="4"/>
      <c r="AOI26" s="4"/>
      <c r="AOJ26" s="4"/>
      <c r="AOK26" s="4"/>
      <c r="AOL26" s="4"/>
      <c r="AOM26" s="4"/>
      <c r="AON26" s="4"/>
      <c r="AOO26" s="4"/>
      <c r="AOP26" s="4"/>
      <c r="AOQ26" s="4"/>
      <c r="AOR26" s="4"/>
      <c r="AOS26" s="4"/>
      <c r="AOT26" s="4"/>
      <c r="AOU26" s="4"/>
      <c r="AOV26" s="4"/>
      <c r="AOW26" s="4"/>
      <c r="AOX26" s="4"/>
      <c r="AOY26" s="4"/>
      <c r="AOZ26" s="4"/>
      <c r="APA26" s="4"/>
      <c r="APB26" s="4"/>
      <c r="APC26" s="4"/>
      <c r="APD26" s="4"/>
      <c r="APE26" s="4"/>
      <c r="APF26" s="4"/>
      <c r="APG26" s="4"/>
      <c r="APH26" s="4"/>
      <c r="API26" s="4"/>
      <c r="APJ26" s="4"/>
      <c r="APK26" s="4"/>
      <c r="APL26" s="4"/>
      <c r="APM26" s="4"/>
      <c r="APN26" s="4"/>
      <c r="APO26" s="4"/>
      <c r="APP26" s="4"/>
      <c r="APQ26" s="4"/>
      <c r="APR26" s="4"/>
      <c r="APS26" s="4"/>
      <c r="APT26" s="4"/>
      <c r="APU26" s="4"/>
      <c r="APV26" s="4"/>
      <c r="APW26" s="4"/>
      <c r="APX26" s="4"/>
      <c r="APY26" s="4"/>
      <c r="APZ26" s="4"/>
      <c r="AQA26" s="4"/>
      <c r="AQB26" s="4"/>
      <c r="AQC26" s="4"/>
      <c r="AQD26" s="4"/>
      <c r="AQE26" s="4"/>
      <c r="AQF26" s="4"/>
      <c r="AQG26" s="4"/>
      <c r="AQH26" s="4"/>
      <c r="AQI26" s="4"/>
      <c r="AQJ26" s="4"/>
      <c r="AQK26" s="4"/>
      <c r="AQL26" s="4"/>
      <c r="AQM26" s="4"/>
      <c r="AQN26" s="4"/>
      <c r="AQO26" s="4"/>
      <c r="AQP26" s="4"/>
      <c r="AQQ26" s="4"/>
      <c r="AQR26" s="4"/>
      <c r="AQS26" s="4"/>
      <c r="AQT26" s="4"/>
      <c r="AQU26" s="4"/>
      <c r="AQV26" s="4"/>
      <c r="AQW26" s="4"/>
      <c r="AQX26" s="4"/>
      <c r="AQY26" s="4"/>
      <c r="AQZ26" s="4"/>
      <c r="ARA26" s="4"/>
      <c r="ARB26" s="4"/>
      <c r="ARC26" s="4"/>
      <c r="ARD26" s="4"/>
      <c r="ARE26" s="4"/>
      <c r="ARF26" s="4"/>
      <c r="ARG26" s="4"/>
      <c r="ARH26" s="4"/>
      <c r="ARI26" s="4"/>
      <c r="ARJ26" s="4"/>
      <c r="ARK26" s="4"/>
      <c r="ARL26" s="4"/>
      <c r="ARM26" s="4"/>
      <c r="ARN26" s="4"/>
      <c r="ARO26" s="4"/>
      <c r="ARP26" s="4"/>
      <c r="ARQ26" s="4"/>
      <c r="ARR26" s="4"/>
      <c r="ARS26" s="4"/>
      <c r="ART26" s="4"/>
      <c r="ARU26" s="4"/>
      <c r="ARV26" s="4"/>
      <c r="ARW26" s="4"/>
      <c r="ARX26" s="4"/>
      <c r="ARY26" s="4"/>
      <c r="ARZ26" s="4"/>
      <c r="ASA26" s="4"/>
      <c r="ASB26" s="4"/>
      <c r="ASC26" s="4"/>
      <c r="ASD26" s="4"/>
      <c r="ASE26" s="4"/>
      <c r="ASF26" s="4"/>
      <c r="ASG26" s="4"/>
      <c r="ASH26" s="4"/>
      <c r="ASI26" s="4"/>
      <c r="ASJ26" s="4"/>
      <c r="ASK26" s="4"/>
      <c r="ASL26" s="4"/>
      <c r="ASM26" s="4"/>
      <c r="ASN26" s="4"/>
      <c r="ASO26" s="4"/>
      <c r="ASP26" s="4"/>
      <c r="ASQ26" s="4"/>
      <c r="ASR26" s="4"/>
      <c r="ASS26" s="4"/>
      <c r="AST26" s="4"/>
      <c r="ASU26" s="4"/>
    </row>
    <row r="27" ht="15" customHeight="1" spans="1:1191" x14ac:dyDescent="0.25">
      <c r="A27" s="118"/>
      <c r="B27" s="119" t="s">
        <v>67</v>
      </c>
      <c r="C27" s="120" t="s">
        <v>52</v>
      </c>
      <c r="D27" s="121"/>
      <c r="E27" s="122"/>
      <c r="F27" s="123"/>
      <c r="G27" s="124"/>
      <c r="H27" s="124"/>
      <c r="I27" s="124"/>
      <c r="J27" s="124"/>
      <c r="K27" s="124"/>
      <c r="L27" s="124"/>
      <c r="M27" s="125"/>
      <c r="N27" s="126"/>
      <c r="O27" s="124"/>
      <c r="P27" s="124"/>
      <c r="Q27" s="127"/>
      <c r="R27" s="123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8"/>
      <c r="AD27" s="129"/>
      <c r="AE27" s="128"/>
      <c r="AF27" s="131">
        <f>SUM(D27:AE27)</f>
      </c>
      <c r="AG27" s="121"/>
      <c r="AH27" s="122"/>
      <c r="AI27" s="123"/>
      <c r="AJ27" s="124"/>
      <c r="AK27" s="124"/>
      <c r="AL27" s="124"/>
      <c r="AM27" s="124"/>
      <c r="AN27" s="124"/>
      <c r="AO27" s="124"/>
      <c r="AP27" s="125"/>
      <c r="AQ27" s="126"/>
      <c r="AR27" s="124"/>
      <c r="AS27" s="124"/>
      <c r="AT27" s="127"/>
      <c r="AU27" s="123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8"/>
      <c r="BG27" s="129"/>
      <c r="BH27" s="128"/>
      <c r="BI27" s="131">
        <f>SUM(AG27:BH27)</f>
      </c>
      <c r="BJ27" s="121"/>
      <c r="BK27" s="122"/>
      <c r="BL27" s="123"/>
      <c r="BM27" s="124"/>
      <c r="BN27" s="124"/>
      <c r="BO27" s="124"/>
      <c r="BP27" s="124"/>
      <c r="BQ27" s="124"/>
      <c r="BR27" s="124"/>
      <c r="BS27" s="125"/>
      <c r="BT27" s="126"/>
      <c r="BU27" s="124"/>
      <c r="BV27" s="124"/>
      <c r="BW27" s="127"/>
      <c r="BX27" s="123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8"/>
      <c r="CJ27" s="129"/>
      <c r="CK27" s="128"/>
      <c r="CL27" s="131">
        <f>SUM(BJ27:CK27)</f>
      </c>
      <c r="CM27" s="121"/>
      <c r="CN27" s="122"/>
      <c r="CO27" s="123"/>
      <c r="CP27" s="124"/>
      <c r="CQ27" s="124"/>
      <c r="CR27" s="124"/>
      <c r="CS27" s="124"/>
      <c r="CT27" s="124"/>
      <c r="CU27" s="124"/>
      <c r="CV27" s="125"/>
      <c r="CW27" s="126"/>
      <c r="CX27" s="124"/>
      <c r="CY27" s="124"/>
      <c r="CZ27" s="127"/>
      <c r="DA27" s="123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8"/>
      <c r="DM27" s="129"/>
      <c r="DN27" s="128"/>
      <c r="DO27" s="131">
        <f>SUM(CM27:DN27)</f>
      </c>
      <c r="DP27" s="121"/>
      <c r="DQ27" s="122"/>
      <c r="DR27" s="123"/>
      <c r="DS27" s="124"/>
      <c r="DT27" s="124"/>
      <c r="DU27" s="124"/>
      <c r="DV27" s="124"/>
      <c r="DW27" s="124"/>
      <c r="DX27" s="124"/>
      <c r="DY27" s="125"/>
      <c r="DZ27" s="126"/>
      <c r="EA27" s="124"/>
      <c r="EB27" s="124"/>
      <c r="EC27" s="127"/>
      <c r="ED27" s="123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8"/>
      <c r="EP27" s="129"/>
      <c r="EQ27" s="128"/>
      <c r="ER27" s="131">
        <f>SUM(DP27:EQ27)</f>
      </c>
      <c r="ES27" s="121"/>
      <c r="ET27" s="122"/>
      <c r="EU27" s="123"/>
      <c r="EV27" s="124"/>
      <c r="EW27" s="124"/>
      <c r="EX27" s="124"/>
      <c r="EY27" s="124"/>
      <c r="EZ27" s="124"/>
      <c r="FA27" s="124"/>
      <c r="FB27" s="125"/>
      <c r="FC27" s="126"/>
      <c r="FD27" s="124"/>
      <c r="FE27" s="124"/>
      <c r="FF27" s="127"/>
      <c r="FG27" s="123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8"/>
      <c r="FS27" s="129"/>
      <c r="FT27" s="128"/>
      <c r="FU27" s="131">
        <f>SUM(ES27:FT27)</f>
      </c>
      <c r="FV27" s="121"/>
      <c r="FW27" s="122"/>
      <c r="FX27" s="123"/>
      <c r="FY27" s="124"/>
      <c r="FZ27" s="124"/>
      <c r="GA27" s="124"/>
      <c r="GB27" s="124"/>
      <c r="GC27" s="124"/>
      <c r="GD27" s="124"/>
      <c r="GE27" s="125"/>
      <c r="GF27" s="126"/>
      <c r="GG27" s="124"/>
      <c r="GH27" s="124"/>
      <c r="GI27" s="127"/>
      <c r="GJ27" s="123"/>
      <c r="GK27" s="124"/>
      <c r="GL27" s="124"/>
      <c r="GM27" s="124"/>
      <c r="GN27" s="124"/>
      <c r="GO27" s="124"/>
      <c r="GP27" s="124"/>
      <c r="GQ27" s="124"/>
      <c r="GR27" s="124"/>
      <c r="GS27" s="124"/>
      <c r="GT27" s="124"/>
      <c r="GU27" s="128"/>
      <c r="GV27" s="129"/>
      <c r="GW27" s="128"/>
      <c r="GX27" s="131">
        <f>SUM(FV27:GW27)</f>
      </c>
      <c r="GY27" s="132">
        <f>AF27+BI27+CL27+DO27+ER27+FU27+GX27</f>
      </c>
      <c r="GZ27" s="133">
        <f>(COUNTIF(D27:GX27,"H")+COUNTIF(D27:GX27,"S")+COUNTIF(D27:GX27,"L")+COUNTIF(D27:GX27,"E")+COUNTIF(D27:GX27,"C"))/2</f>
      </c>
      <c r="HA27" s="130">
        <f>GY27+GZ27</f>
      </c>
      <c r="HB27" s="134"/>
      <c r="HC27" s="135"/>
      <c r="HD27" s="142">
        <v>0.5</v>
      </c>
      <c r="HE27" s="138">
        <v>0.5</v>
      </c>
      <c r="HF27" s="138">
        <v>0.5</v>
      </c>
      <c r="HG27" s="138">
        <v>0.5</v>
      </c>
      <c r="HH27" s="138">
        <v>0.5</v>
      </c>
      <c r="HI27" s="138">
        <v>0.5</v>
      </c>
      <c r="HJ27" s="138">
        <v>0.5</v>
      </c>
      <c r="HK27" s="139">
        <v>0.5</v>
      </c>
      <c r="HL27" s="147"/>
      <c r="HM27" s="148"/>
      <c r="HN27" s="138">
        <v>0.5</v>
      </c>
      <c r="HO27" s="149">
        <v>0.5</v>
      </c>
      <c r="HP27" s="142">
        <v>0.5</v>
      </c>
      <c r="HQ27" s="138">
        <v>0.5</v>
      </c>
      <c r="HR27" s="138">
        <v>0.5</v>
      </c>
      <c r="HS27" s="138">
        <v>0.5</v>
      </c>
      <c r="HT27" s="138">
        <v>0.5</v>
      </c>
      <c r="HU27" s="138">
        <v>0.5</v>
      </c>
      <c r="HV27" s="137"/>
      <c r="HW27" s="137"/>
      <c r="HX27" s="137"/>
      <c r="HY27" s="137"/>
      <c r="HZ27" s="137"/>
      <c r="IA27" s="146"/>
      <c r="IB27" s="145"/>
      <c r="IC27" s="146"/>
      <c r="ID27" s="131">
        <f>SUM(HB27:IC27)</f>
      </c>
      <c r="IE27" s="134"/>
      <c r="IF27" s="135"/>
      <c r="IG27" s="142">
        <v>0.5</v>
      </c>
      <c r="IH27" s="138">
        <v>0.5</v>
      </c>
      <c r="II27" s="138">
        <v>0.5</v>
      </c>
      <c r="IJ27" s="138">
        <v>0.5</v>
      </c>
      <c r="IK27" s="138">
        <v>0.5</v>
      </c>
      <c r="IL27" s="138">
        <v>0.5</v>
      </c>
      <c r="IM27" s="138">
        <v>0.5</v>
      </c>
      <c r="IN27" s="139">
        <v>0.5</v>
      </c>
      <c r="IO27" s="147"/>
      <c r="IP27" s="148"/>
      <c r="IQ27" s="138">
        <v>0.5</v>
      </c>
      <c r="IR27" s="149">
        <v>0.5</v>
      </c>
      <c r="IS27" s="142">
        <v>0.5</v>
      </c>
      <c r="IT27" s="138">
        <v>0.5</v>
      </c>
      <c r="IU27" s="138">
        <v>0.5</v>
      </c>
      <c r="IV27" s="138">
        <v>0.5</v>
      </c>
      <c r="IW27" s="138">
        <v>0.5</v>
      </c>
      <c r="IX27" s="138">
        <v>0.5</v>
      </c>
      <c r="IY27" s="137"/>
      <c r="IZ27" s="137"/>
      <c r="JA27" s="137"/>
      <c r="JB27" s="137"/>
      <c r="JC27" s="137"/>
      <c r="JD27" s="146"/>
      <c r="JE27" s="145"/>
      <c r="JF27" s="146"/>
      <c r="JG27" s="131">
        <f>SUM(IE27:JF27)</f>
      </c>
      <c r="JH27" s="134"/>
      <c r="JI27" s="135"/>
      <c r="JJ27" s="142">
        <v>0.5</v>
      </c>
      <c r="JK27" s="138">
        <v>0.5</v>
      </c>
      <c r="JL27" s="138">
        <v>0.5</v>
      </c>
      <c r="JM27" s="138">
        <v>0.5</v>
      </c>
      <c r="JN27" s="138">
        <v>0.5</v>
      </c>
      <c r="JO27" s="138">
        <v>0.5</v>
      </c>
      <c r="JP27" s="138">
        <v>0.5</v>
      </c>
      <c r="JQ27" s="139">
        <v>0.5</v>
      </c>
      <c r="JR27" s="147"/>
      <c r="JS27" s="148"/>
      <c r="JT27" s="138">
        <v>0.5</v>
      </c>
      <c r="JU27" s="149">
        <v>0.5</v>
      </c>
      <c r="JV27" s="142">
        <v>0.5</v>
      </c>
      <c r="JW27" s="138">
        <v>0.5</v>
      </c>
      <c r="JX27" s="138">
        <v>0.5</v>
      </c>
      <c r="JY27" s="138">
        <v>0.5</v>
      </c>
      <c r="JZ27" s="138">
        <v>0.5</v>
      </c>
      <c r="KA27" s="138">
        <v>0.5</v>
      </c>
      <c r="KB27" s="137"/>
      <c r="KC27" s="137"/>
      <c r="KD27" s="137"/>
      <c r="KE27" s="137"/>
      <c r="KF27" s="137"/>
      <c r="KG27" s="146"/>
      <c r="KH27" s="145"/>
      <c r="KI27" s="146"/>
      <c r="KJ27" s="131">
        <f>SUM(JH27:KI27)</f>
      </c>
      <c r="KK27" s="134"/>
      <c r="KL27" s="135"/>
      <c r="KM27" s="142">
        <v>0.5</v>
      </c>
      <c r="KN27" s="138">
        <v>0.5</v>
      </c>
      <c r="KO27" s="138">
        <v>0.5</v>
      </c>
      <c r="KP27" s="138">
        <v>0.5</v>
      </c>
      <c r="KQ27" s="138">
        <v>0.5</v>
      </c>
      <c r="KR27" s="138">
        <v>0.5</v>
      </c>
      <c r="KS27" s="138">
        <v>0.5</v>
      </c>
      <c r="KT27" s="139">
        <v>0.5</v>
      </c>
      <c r="KU27" s="147"/>
      <c r="KV27" s="148"/>
      <c r="KW27" s="138">
        <v>0.5</v>
      </c>
      <c r="KX27" s="149">
        <v>0.5</v>
      </c>
      <c r="KY27" s="142">
        <v>0.5</v>
      </c>
      <c r="KZ27" s="138">
        <v>0.5</v>
      </c>
      <c r="LA27" s="138">
        <v>0.5</v>
      </c>
      <c r="LB27" s="138">
        <v>0.5</v>
      </c>
      <c r="LC27" s="138">
        <v>0.5</v>
      </c>
      <c r="LD27" s="138">
        <v>0.5</v>
      </c>
      <c r="LE27" s="137"/>
      <c r="LF27" s="137"/>
      <c r="LG27" s="137"/>
      <c r="LH27" s="137"/>
      <c r="LI27" s="137"/>
      <c r="LJ27" s="146"/>
      <c r="LK27" s="145"/>
      <c r="LL27" s="146"/>
      <c r="LM27" s="131">
        <f>SUM(KK27:LL27)</f>
      </c>
      <c r="LN27" s="134"/>
      <c r="LO27" s="135"/>
      <c r="LP27" s="219">
        <v>0.5</v>
      </c>
      <c r="LQ27" s="216">
        <v>0.5</v>
      </c>
      <c r="LR27" s="216">
        <v>0.5</v>
      </c>
      <c r="LS27" s="216">
        <v>0.5</v>
      </c>
      <c r="LT27" s="216">
        <v>0.5</v>
      </c>
      <c r="LU27" s="216">
        <v>0.5</v>
      </c>
      <c r="LV27" s="216">
        <v>0.5</v>
      </c>
      <c r="LW27" s="217">
        <v>0.5</v>
      </c>
      <c r="LX27" s="147"/>
      <c r="LY27" s="148"/>
      <c r="LZ27" s="216">
        <v>0.5</v>
      </c>
      <c r="MA27" s="226">
        <v>0.5</v>
      </c>
      <c r="MB27" s="219">
        <v>0.5</v>
      </c>
      <c r="MC27" s="216">
        <v>0.5</v>
      </c>
      <c r="MD27" s="216">
        <v>0.5</v>
      </c>
      <c r="ME27" s="216">
        <v>0.5</v>
      </c>
      <c r="MF27" s="216">
        <v>0.5</v>
      </c>
      <c r="MG27" s="216">
        <v>0.5</v>
      </c>
      <c r="MH27" s="137"/>
      <c r="MI27" s="137"/>
      <c r="MJ27" s="137"/>
      <c r="MK27" s="137"/>
      <c r="ML27" s="137"/>
      <c r="MM27" s="146"/>
      <c r="MN27" s="145"/>
      <c r="MO27" s="146"/>
      <c r="MP27" s="131">
        <f>SUM(LN27:MO27)</f>
      </c>
      <c r="MQ27" s="121"/>
      <c r="MR27" s="122"/>
      <c r="MS27" s="123"/>
      <c r="MT27" s="124"/>
      <c r="MU27" s="124"/>
      <c r="MV27" s="124"/>
      <c r="MW27" s="124"/>
      <c r="MX27" s="124"/>
      <c r="MY27" s="124"/>
      <c r="MZ27" s="125"/>
      <c r="NA27" s="126"/>
      <c r="NB27" s="124"/>
      <c r="NC27" s="124"/>
      <c r="ND27" s="127"/>
      <c r="NE27" s="123"/>
      <c r="NF27" s="124"/>
      <c r="NG27" s="124"/>
      <c r="NH27" s="124"/>
      <c r="NI27" s="124"/>
      <c r="NJ27" s="124"/>
      <c r="NK27" s="124"/>
      <c r="NL27" s="124"/>
      <c r="NM27" s="124"/>
      <c r="NN27" s="124"/>
      <c r="NO27" s="124"/>
      <c r="NP27" s="128"/>
      <c r="NQ27" s="129"/>
      <c r="NR27" s="128"/>
      <c r="NS27" s="131">
        <f>SUM(MQ27:NR27)</f>
      </c>
      <c r="NT27" s="121"/>
      <c r="NU27" s="122"/>
      <c r="NV27" s="123"/>
      <c r="NW27" s="124"/>
      <c r="NX27" s="124"/>
      <c r="NY27" s="124"/>
      <c r="NZ27" s="124"/>
      <c r="OA27" s="124"/>
      <c r="OB27" s="124"/>
      <c r="OC27" s="125"/>
      <c r="OD27" s="126"/>
      <c r="OE27" s="124"/>
      <c r="OF27" s="124"/>
      <c r="OG27" s="127"/>
      <c r="OH27" s="123"/>
      <c r="OI27" s="124"/>
      <c r="OJ27" s="124"/>
      <c r="OK27" s="124"/>
      <c r="OL27" s="124"/>
      <c r="OM27" s="124"/>
      <c r="ON27" s="124"/>
      <c r="OO27" s="124"/>
      <c r="OP27" s="124"/>
      <c r="OQ27" s="124"/>
      <c r="OR27" s="124"/>
      <c r="OS27" s="128"/>
      <c r="OT27" s="129"/>
      <c r="OU27" s="128"/>
      <c r="OV27" s="131">
        <f>SUM(NT27:OU27)</f>
      </c>
      <c r="OW27" s="132">
        <f>ID27+JG27+KJ27+LM27+MP27+NS27+OV27</f>
      </c>
      <c r="OX27" s="133">
        <f>(COUNTIF(HB27:OV27,"H")+COUNTIF(HB27:OV27,"S")+COUNTIF(HB27:OV27,"L")+COUNTIF(HB27:OV27,"E")+COUNTIF(HB27:OV27,"C"))/2</f>
      </c>
      <c r="OY27" s="130">
        <f>OW27+OX27</f>
      </c>
      <c r="OZ27" s="134"/>
      <c r="PA27" s="135"/>
      <c r="PB27" s="142">
        <v>0.5</v>
      </c>
      <c r="PC27" s="138">
        <v>0.5</v>
      </c>
      <c r="PD27" s="138">
        <v>0.5</v>
      </c>
      <c r="PE27" s="138">
        <v>0.5</v>
      </c>
      <c r="PF27" s="138">
        <v>0.5</v>
      </c>
      <c r="PG27" s="138">
        <v>0.5</v>
      </c>
      <c r="PH27" s="138">
        <v>0.5</v>
      </c>
      <c r="PI27" s="139">
        <v>0.5</v>
      </c>
      <c r="PJ27" s="147"/>
      <c r="PK27" s="148"/>
      <c r="PL27" s="138">
        <v>0.5</v>
      </c>
      <c r="PM27" s="149">
        <v>0.5</v>
      </c>
      <c r="PN27" s="142">
        <v>0.5</v>
      </c>
      <c r="PO27" s="138">
        <v>0.5</v>
      </c>
      <c r="PP27" s="138">
        <v>0.5</v>
      </c>
      <c r="PQ27" s="138">
        <v>0.5</v>
      </c>
      <c r="PR27" s="138">
        <v>0.5</v>
      </c>
      <c r="PS27" s="138">
        <v>0.5</v>
      </c>
      <c r="PT27" s="137"/>
      <c r="PU27" s="137"/>
      <c r="PV27" s="137"/>
      <c r="PW27" s="137"/>
      <c r="PX27" s="137"/>
      <c r="PY27" s="146"/>
      <c r="PZ27" s="145"/>
      <c r="QA27" s="146"/>
      <c r="QB27" s="131">
        <f>SUM(OZ27:QA27)</f>
      </c>
      <c r="QC27" s="134"/>
      <c r="QD27" s="135"/>
      <c r="QE27" s="142">
        <v>0.5</v>
      </c>
      <c r="QF27" s="138">
        <v>0.5</v>
      </c>
      <c r="QG27" s="138">
        <v>0.5</v>
      </c>
      <c r="QH27" s="138">
        <v>0.5</v>
      </c>
      <c r="QI27" s="138">
        <v>0.5</v>
      </c>
      <c r="QJ27" s="138">
        <v>0.5</v>
      </c>
      <c r="QK27" s="138">
        <v>0.5</v>
      </c>
      <c r="QL27" s="139">
        <v>0.5</v>
      </c>
      <c r="QM27" s="147"/>
      <c r="QN27" s="148"/>
      <c r="QO27" s="138">
        <v>0.5</v>
      </c>
      <c r="QP27" s="149">
        <v>0.5</v>
      </c>
      <c r="QQ27" s="142">
        <v>0.5</v>
      </c>
      <c r="QR27" s="138">
        <v>0.5</v>
      </c>
      <c r="QS27" s="138">
        <v>0.5</v>
      </c>
      <c r="QT27" s="138">
        <v>0.5</v>
      </c>
      <c r="QU27" s="138">
        <v>0.5</v>
      </c>
      <c r="QV27" s="138">
        <v>0.5</v>
      </c>
      <c r="QW27" s="137"/>
      <c r="QX27" s="137"/>
      <c r="QY27" s="137"/>
      <c r="QZ27" s="137"/>
      <c r="RA27" s="137"/>
      <c r="RB27" s="146"/>
      <c r="RC27" s="145"/>
      <c r="RD27" s="146"/>
      <c r="RE27" s="131">
        <f>SUM(QC27:RD27)</f>
      </c>
      <c r="RF27" s="134"/>
      <c r="RG27" s="135"/>
      <c r="RH27" s="142">
        <v>0.5</v>
      </c>
      <c r="RI27" s="138">
        <v>0.5</v>
      </c>
      <c r="RJ27" s="138">
        <v>0.5</v>
      </c>
      <c r="RK27" s="138">
        <v>0.5</v>
      </c>
      <c r="RL27" s="138">
        <v>0.5</v>
      </c>
      <c r="RM27" s="138">
        <v>0.5</v>
      </c>
      <c r="RN27" s="138">
        <v>0.5</v>
      </c>
      <c r="RO27" s="139">
        <v>0.5</v>
      </c>
      <c r="RP27" s="147"/>
      <c r="RQ27" s="148"/>
      <c r="RR27" s="138">
        <v>0.5</v>
      </c>
      <c r="RS27" s="149">
        <v>0.5</v>
      </c>
      <c r="RT27" s="142">
        <v>0.5</v>
      </c>
      <c r="RU27" s="138">
        <v>0.5</v>
      </c>
      <c r="RV27" s="138">
        <v>0.5</v>
      </c>
      <c r="RW27" s="138">
        <v>0.5</v>
      </c>
      <c r="RX27" s="138">
        <v>0.5</v>
      </c>
      <c r="RY27" s="138">
        <v>0.5</v>
      </c>
      <c r="RZ27" s="137"/>
      <c r="SA27" s="137"/>
      <c r="SB27" s="137"/>
      <c r="SC27" s="137"/>
      <c r="SD27" s="137"/>
      <c r="SE27" s="146"/>
      <c r="SF27" s="145"/>
      <c r="SG27" s="146"/>
      <c r="SH27" s="131">
        <f>SUM(RF27:SG27)</f>
      </c>
      <c r="SI27" s="134"/>
      <c r="SJ27" s="135"/>
      <c r="SK27" s="142">
        <v>0.5</v>
      </c>
      <c r="SL27" s="138">
        <v>0.5</v>
      </c>
      <c r="SM27" s="138">
        <v>0.5</v>
      </c>
      <c r="SN27" s="138">
        <v>0.5</v>
      </c>
      <c r="SO27" s="138">
        <v>0.5</v>
      </c>
      <c r="SP27" s="138">
        <v>0.5</v>
      </c>
      <c r="SQ27" s="138">
        <v>0.5</v>
      </c>
      <c r="SR27" s="139">
        <v>0.5</v>
      </c>
      <c r="SS27" s="147"/>
      <c r="ST27" s="148"/>
      <c r="SU27" s="138">
        <v>0.5</v>
      </c>
      <c r="SV27" s="149">
        <v>0.5</v>
      </c>
      <c r="SW27" s="142">
        <v>0.5</v>
      </c>
      <c r="SX27" s="138">
        <v>0.5</v>
      </c>
      <c r="SY27" s="138">
        <v>0.5</v>
      </c>
      <c r="SZ27" s="138">
        <v>0.5</v>
      </c>
      <c r="TA27" s="138">
        <v>0.5</v>
      </c>
      <c r="TB27" s="138">
        <v>0.5</v>
      </c>
      <c r="TC27" s="137"/>
      <c r="TD27" s="137"/>
      <c r="TE27" s="137"/>
      <c r="TF27" s="137"/>
      <c r="TG27" s="137"/>
      <c r="TH27" s="146"/>
      <c r="TI27" s="145"/>
      <c r="TJ27" s="146"/>
      <c r="TK27" s="131">
        <f>SUM(SI27:TJ27)</f>
      </c>
      <c r="TL27" s="134"/>
      <c r="TM27" s="135"/>
      <c r="TN27" s="219">
        <v>0.5</v>
      </c>
      <c r="TO27" s="216">
        <v>0.5</v>
      </c>
      <c r="TP27" s="216">
        <v>0.5</v>
      </c>
      <c r="TQ27" s="216">
        <v>0.5</v>
      </c>
      <c r="TR27" s="216">
        <v>0.5</v>
      </c>
      <c r="TS27" s="216">
        <v>0.5</v>
      </c>
      <c r="TT27" s="216">
        <v>0.5</v>
      </c>
      <c r="TU27" s="217">
        <v>0.5</v>
      </c>
      <c r="TV27" s="147"/>
      <c r="TW27" s="148"/>
      <c r="TX27" s="216">
        <v>0.5</v>
      </c>
      <c r="TY27" s="226">
        <v>0.5</v>
      </c>
      <c r="TZ27" s="219">
        <v>0.5</v>
      </c>
      <c r="UA27" s="216">
        <v>0.5</v>
      </c>
      <c r="UB27" s="216">
        <v>0.5</v>
      </c>
      <c r="UC27" s="216">
        <v>0.5</v>
      </c>
      <c r="UD27" s="216">
        <v>0.5</v>
      </c>
      <c r="UE27" s="216">
        <v>0.5</v>
      </c>
      <c r="UF27" s="137"/>
      <c r="UG27" s="137"/>
      <c r="UH27" s="137"/>
      <c r="UI27" s="137"/>
      <c r="UJ27" s="137"/>
      <c r="UK27" s="146"/>
      <c r="UL27" s="145"/>
      <c r="UM27" s="146"/>
      <c r="UN27" s="131">
        <f>SUM(TL27:UM27)</f>
      </c>
      <c r="UO27" s="121"/>
      <c r="UP27" s="122"/>
      <c r="UQ27" s="123"/>
      <c r="UR27" s="124"/>
      <c r="US27" s="124"/>
      <c r="UT27" s="124"/>
      <c r="UU27" s="124"/>
      <c r="UV27" s="124"/>
      <c r="UW27" s="124"/>
      <c r="UX27" s="125"/>
      <c r="UY27" s="126"/>
      <c r="UZ27" s="124"/>
      <c r="VA27" s="124"/>
      <c r="VB27" s="127"/>
      <c r="VC27" s="123"/>
      <c r="VD27" s="124"/>
      <c r="VE27" s="124"/>
      <c r="VF27" s="124"/>
      <c r="VG27" s="124"/>
      <c r="VH27" s="124"/>
      <c r="VI27" s="124"/>
      <c r="VJ27" s="124"/>
      <c r="VK27" s="124"/>
      <c r="VL27" s="124"/>
      <c r="VM27" s="124"/>
      <c r="VN27" s="128"/>
      <c r="VO27" s="129"/>
      <c r="VP27" s="128"/>
      <c r="VQ27" s="131">
        <f>SUM(UO27:VP27)</f>
      </c>
      <c r="VR27" s="121"/>
      <c r="VS27" s="122"/>
      <c r="VT27" s="123"/>
      <c r="VU27" s="124"/>
      <c r="VV27" s="124"/>
      <c r="VW27" s="124"/>
      <c r="VX27" s="124"/>
      <c r="VY27" s="124"/>
      <c r="VZ27" s="124"/>
      <c r="WA27" s="125"/>
      <c r="WB27" s="126"/>
      <c r="WC27" s="124"/>
      <c r="WD27" s="124"/>
      <c r="WE27" s="127"/>
      <c r="WF27" s="123"/>
      <c r="WG27" s="124"/>
      <c r="WH27" s="124"/>
      <c r="WI27" s="124"/>
      <c r="WJ27" s="124"/>
      <c r="WK27" s="124"/>
      <c r="WL27" s="124"/>
      <c r="WM27" s="124"/>
      <c r="WN27" s="124"/>
      <c r="WO27" s="124"/>
      <c r="WP27" s="124"/>
      <c r="WQ27" s="128"/>
      <c r="WR27" s="129"/>
      <c r="WS27" s="128"/>
      <c r="WT27" s="131">
        <f>SUM(VR27:WS27)</f>
      </c>
      <c r="WU27" s="150">
        <f>QB27+RE27+SH27+TK27+UN27+VQ27+WT27</f>
      </c>
      <c r="WV27" s="133">
        <f>(COUNTIF(OZ27:WT27,"H")+COUNTIF(OZ27:WT27,"S")+COUNTIF(OZ27:WT27,"L")+COUNTIF(OZ27:WT27,"E")+COUNTIF(OZ27:WT27,"C"))/2</f>
      </c>
      <c r="WW27" s="131">
        <f>WU27+WV27</f>
      </c>
      <c r="WX27" s="134"/>
      <c r="WY27" s="135"/>
      <c r="WZ27" s="142">
        <v>0.5</v>
      </c>
      <c r="XA27" s="138">
        <v>0.5</v>
      </c>
      <c r="XB27" s="138">
        <v>0.5</v>
      </c>
      <c r="XC27" s="138">
        <v>0.5</v>
      </c>
      <c r="XD27" s="138">
        <v>0.5</v>
      </c>
      <c r="XE27" s="138">
        <v>0.5</v>
      </c>
      <c r="XF27" s="138">
        <v>0.5</v>
      </c>
      <c r="XG27" s="139">
        <v>0.5</v>
      </c>
      <c r="XH27" s="147"/>
      <c r="XI27" s="148"/>
      <c r="XJ27" s="138">
        <v>0.5</v>
      </c>
      <c r="XK27" s="149">
        <v>0.5</v>
      </c>
      <c r="XL27" s="142">
        <v>0.5</v>
      </c>
      <c r="XM27" s="138">
        <v>0.5</v>
      </c>
      <c r="XN27" s="138">
        <v>0.5</v>
      </c>
      <c r="XO27" s="138">
        <v>0.5</v>
      </c>
      <c r="XP27" s="138">
        <v>0.5</v>
      </c>
      <c r="XQ27" s="138">
        <v>0.5</v>
      </c>
      <c r="XR27" s="137"/>
      <c r="XS27" s="137"/>
      <c r="XT27" s="137"/>
      <c r="XU27" s="137"/>
      <c r="XV27" s="137"/>
      <c r="XW27" s="146"/>
      <c r="XX27" s="145"/>
      <c r="XY27" s="146"/>
      <c r="XZ27" s="131">
        <f>SUM(WX27:XY27)</f>
      </c>
      <c r="YA27" s="134"/>
      <c r="YB27" s="135"/>
      <c r="YC27" s="142">
        <v>0.5</v>
      </c>
      <c r="YD27" s="138">
        <v>0.5</v>
      </c>
      <c r="YE27" s="138">
        <v>0.5</v>
      </c>
      <c r="YF27" s="138">
        <v>0.5</v>
      </c>
      <c r="YG27" s="138">
        <v>0.5</v>
      </c>
      <c r="YH27" s="138">
        <v>0.5</v>
      </c>
      <c r="YI27" s="138">
        <v>0.5</v>
      </c>
      <c r="YJ27" s="139">
        <v>0.5</v>
      </c>
      <c r="YK27" s="147"/>
      <c r="YL27" s="148"/>
      <c r="YM27" s="138">
        <v>0.5</v>
      </c>
      <c r="YN27" s="149">
        <v>0.5</v>
      </c>
      <c r="YO27" s="142">
        <v>0.5</v>
      </c>
      <c r="YP27" s="138">
        <v>0.5</v>
      </c>
      <c r="YQ27" s="138">
        <v>0.5</v>
      </c>
      <c r="YR27" s="138">
        <v>0.5</v>
      </c>
      <c r="YS27" s="138">
        <v>0.5</v>
      </c>
      <c r="YT27" s="138">
        <v>0.5</v>
      </c>
      <c r="YU27" s="137"/>
      <c r="YV27" s="137"/>
      <c r="YW27" s="137"/>
      <c r="YX27" s="137"/>
      <c r="YY27" s="137"/>
      <c r="YZ27" s="146"/>
      <c r="ZA27" s="145"/>
      <c r="ZB27" s="146"/>
      <c r="ZC27" s="131">
        <f>SUM(YA27:ZB27)</f>
      </c>
      <c r="ZD27" s="134"/>
      <c r="ZE27" s="135"/>
      <c r="ZF27" s="142">
        <v>0.5</v>
      </c>
      <c r="ZG27" s="138">
        <v>0.5</v>
      </c>
      <c r="ZH27" s="138">
        <v>0.5</v>
      </c>
      <c r="ZI27" s="138">
        <v>0.5</v>
      </c>
      <c r="ZJ27" s="138">
        <v>0.5</v>
      </c>
      <c r="ZK27" s="138">
        <v>0.5</v>
      </c>
      <c r="ZL27" s="138">
        <v>0.5</v>
      </c>
      <c r="ZM27" s="139">
        <v>0.5</v>
      </c>
      <c r="ZN27" s="147"/>
      <c r="ZO27" s="148"/>
      <c r="ZP27" s="138">
        <v>0.5</v>
      </c>
      <c r="ZQ27" s="149">
        <v>0.5</v>
      </c>
      <c r="ZR27" s="142">
        <v>0.5</v>
      </c>
      <c r="ZS27" s="138">
        <v>0.5</v>
      </c>
      <c r="ZT27" s="138">
        <v>0.5</v>
      </c>
      <c r="ZU27" s="138">
        <v>0.5</v>
      </c>
      <c r="ZV27" s="138">
        <v>0.5</v>
      </c>
      <c r="ZW27" s="138">
        <v>0.5</v>
      </c>
      <c r="ZX27" s="137"/>
      <c r="ZY27" s="137"/>
      <c r="ZZ27" s="137"/>
      <c r="AAA27" s="137"/>
      <c r="AAB27" s="137"/>
      <c r="AAC27" s="146"/>
      <c r="AAD27" s="145"/>
      <c r="AAE27" s="146"/>
      <c r="AAF27" s="131">
        <f>SUM(ZD27:AAE27)</f>
      </c>
      <c r="AAG27" s="134"/>
      <c r="AAH27" s="135"/>
      <c r="AAI27" s="142">
        <v>0.5</v>
      </c>
      <c r="AAJ27" s="138">
        <v>0.5</v>
      </c>
      <c r="AAK27" s="138">
        <v>0.5</v>
      </c>
      <c r="AAL27" s="138">
        <v>0.5</v>
      </c>
      <c r="AAM27" s="138">
        <v>0.5</v>
      </c>
      <c r="AAN27" s="138">
        <v>0.5</v>
      </c>
      <c r="AAO27" s="138">
        <v>0.5</v>
      </c>
      <c r="AAP27" s="139">
        <v>0.5</v>
      </c>
      <c r="AAQ27" s="147"/>
      <c r="AAR27" s="148"/>
      <c r="AAS27" s="138">
        <v>0.5</v>
      </c>
      <c r="AAT27" s="149">
        <v>0.5</v>
      </c>
      <c r="AAU27" s="142">
        <v>0.5</v>
      </c>
      <c r="AAV27" s="138">
        <v>0.5</v>
      </c>
      <c r="AAW27" s="138">
        <v>0.5</v>
      </c>
      <c r="AAX27" s="138">
        <v>0.5</v>
      </c>
      <c r="AAY27" s="138">
        <v>0.5</v>
      </c>
      <c r="AAZ27" s="138">
        <v>0.5</v>
      </c>
      <c r="ABA27" s="137"/>
      <c r="ABB27" s="137"/>
      <c r="ABC27" s="137"/>
      <c r="ABD27" s="137"/>
      <c r="ABE27" s="137"/>
      <c r="ABF27" s="146"/>
      <c r="ABG27" s="145"/>
      <c r="ABH27" s="146"/>
      <c r="ABI27" s="131">
        <f>SUM(AAG27:ABH27)</f>
      </c>
      <c r="ABJ27" s="134"/>
      <c r="ABK27" s="135"/>
      <c r="ABL27" s="219">
        <v>0.5</v>
      </c>
      <c r="ABM27" s="216">
        <v>0.5</v>
      </c>
      <c r="ABN27" s="216">
        <v>0.5</v>
      </c>
      <c r="ABO27" s="216">
        <v>0.5</v>
      </c>
      <c r="ABP27" s="216">
        <v>0.5</v>
      </c>
      <c r="ABQ27" s="216">
        <v>0.5</v>
      </c>
      <c r="ABR27" s="216">
        <v>0.5</v>
      </c>
      <c r="ABS27" s="217">
        <v>0.5</v>
      </c>
      <c r="ABT27" s="147"/>
      <c r="ABU27" s="148"/>
      <c r="ABV27" s="216">
        <v>0.5</v>
      </c>
      <c r="ABW27" s="226">
        <v>0.5</v>
      </c>
      <c r="ABX27" s="219">
        <v>0.5</v>
      </c>
      <c r="ABY27" s="216">
        <v>0.5</v>
      </c>
      <c r="ABZ27" s="216">
        <v>0.5</v>
      </c>
      <c r="ACA27" s="216">
        <v>0.5</v>
      </c>
      <c r="ACB27" s="216">
        <v>0.5</v>
      </c>
      <c r="ACC27" s="216">
        <v>0.5</v>
      </c>
      <c r="ACD27" s="137"/>
      <c r="ACE27" s="137"/>
      <c r="ACF27" s="137"/>
      <c r="ACG27" s="137"/>
      <c r="ACH27" s="137"/>
      <c r="ACI27" s="146"/>
      <c r="ACJ27" s="145"/>
      <c r="ACK27" s="146"/>
      <c r="ACL27" s="131">
        <f>SUM(ABJ27:ACK27)</f>
      </c>
      <c r="ACM27" s="121"/>
      <c r="ACN27" s="122"/>
      <c r="ACO27" s="123"/>
      <c r="ACP27" s="124"/>
      <c r="ACQ27" s="124"/>
      <c r="ACR27" s="124"/>
      <c r="ACS27" s="124"/>
      <c r="ACT27" s="124"/>
      <c r="ACU27" s="124"/>
      <c r="ACV27" s="125"/>
      <c r="ACW27" s="126"/>
      <c r="ACX27" s="124"/>
      <c r="ACY27" s="124"/>
      <c r="ACZ27" s="127"/>
      <c r="ADA27" s="123"/>
      <c r="ADB27" s="124"/>
      <c r="ADC27" s="124"/>
      <c r="ADD27" s="124"/>
      <c r="ADE27" s="124"/>
      <c r="ADF27" s="124"/>
      <c r="ADG27" s="124"/>
      <c r="ADH27" s="124"/>
      <c r="ADI27" s="124"/>
      <c r="ADJ27" s="124"/>
      <c r="ADK27" s="124"/>
      <c r="ADL27" s="128"/>
      <c r="ADM27" s="129"/>
      <c r="ADN27" s="128"/>
      <c r="ADO27" s="131">
        <f>SUM(ACM27:ADN27)</f>
      </c>
      <c r="ADP27" s="121"/>
      <c r="ADQ27" s="122"/>
      <c r="ADR27" s="123"/>
      <c r="ADS27" s="124"/>
      <c r="ADT27" s="124"/>
      <c r="ADU27" s="124"/>
      <c r="ADV27" s="124"/>
      <c r="ADW27" s="124"/>
      <c r="ADX27" s="124"/>
      <c r="ADY27" s="125"/>
      <c r="ADZ27" s="126"/>
      <c r="AEA27" s="124"/>
      <c r="AEB27" s="124"/>
      <c r="AEC27" s="127"/>
      <c r="AED27" s="123"/>
      <c r="AEE27" s="124"/>
      <c r="AEF27" s="124"/>
      <c r="AEG27" s="124"/>
      <c r="AEH27" s="124"/>
      <c r="AEI27" s="124"/>
      <c r="AEJ27" s="124"/>
      <c r="AEK27" s="124"/>
      <c r="AEL27" s="124"/>
      <c r="AEM27" s="124"/>
      <c r="AEN27" s="124"/>
      <c r="AEO27" s="128"/>
      <c r="AEP27" s="129"/>
      <c r="AEQ27" s="128"/>
      <c r="AER27" s="131">
        <f>SUM(ADP27:AEQ27)</f>
      </c>
      <c r="AES27" s="150">
        <f>XZ27+ZC27+AAF27+ABI27+ACL27+ADO27+AER27</f>
      </c>
      <c r="AET27" s="133">
        <f>(COUNTIF(WX27:AER27,"H")+COUNTIF(WX27:AER27,"S")+COUNTIF(WX27:AER27,"L")+COUNTIF(WX27:AER27,"E")+COUNTIF(WX27:AER27,"C"))/2</f>
      </c>
      <c r="AEU27" s="131">
        <f>AES27+AET27</f>
      </c>
      <c r="AEV27" s="134"/>
      <c r="AEW27" s="135"/>
      <c r="AEX27" s="142">
        <v>0.5</v>
      </c>
      <c r="AEY27" s="138">
        <v>0.5</v>
      </c>
      <c r="AEZ27" s="138">
        <v>0.5</v>
      </c>
      <c r="AFA27" s="138">
        <v>0.5</v>
      </c>
      <c r="AFB27" s="138">
        <v>0.5</v>
      </c>
      <c r="AFC27" s="138">
        <v>0.5</v>
      </c>
      <c r="AFD27" s="138">
        <v>0.5</v>
      </c>
      <c r="AFE27" s="139">
        <v>0.5</v>
      </c>
      <c r="AFF27" s="147"/>
      <c r="AFG27" s="148"/>
      <c r="AFH27" s="138">
        <v>0.5</v>
      </c>
      <c r="AFI27" s="149">
        <v>0.5</v>
      </c>
      <c r="AFJ27" s="142">
        <v>0.5</v>
      </c>
      <c r="AFK27" s="138">
        <v>0.5</v>
      </c>
      <c r="AFL27" s="138">
        <v>0.5</v>
      </c>
      <c r="AFM27" s="138">
        <v>0.5</v>
      </c>
      <c r="AFN27" s="138">
        <v>0.5</v>
      </c>
      <c r="AFO27" s="138">
        <v>0.5</v>
      </c>
      <c r="AFP27" s="137"/>
      <c r="AFQ27" s="137"/>
      <c r="AFR27" s="137"/>
      <c r="AFS27" s="137"/>
      <c r="AFT27" s="137"/>
      <c r="AFU27" s="146"/>
      <c r="AFV27" s="145"/>
      <c r="AFW27" s="146"/>
      <c r="AFX27" s="131">
        <f>SUM(AEV27:AFW27)</f>
      </c>
      <c r="AFY27" s="134"/>
      <c r="AFZ27" s="135"/>
      <c r="AGA27" s="142">
        <v>0.5</v>
      </c>
      <c r="AGB27" s="138">
        <v>0.5</v>
      </c>
      <c r="AGC27" s="138">
        <v>0.5</v>
      </c>
      <c r="AGD27" s="138">
        <v>0.5</v>
      </c>
      <c r="AGE27" s="138">
        <v>0.5</v>
      </c>
      <c r="AGF27" s="138">
        <v>0.5</v>
      </c>
      <c r="AGG27" s="138">
        <v>0.5</v>
      </c>
      <c r="AGH27" s="139">
        <v>0.5</v>
      </c>
      <c r="AGI27" s="147"/>
      <c r="AGJ27" s="148"/>
      <c r="AGK27" s="138">
        <v>0.5</v>
      </c>
      <c r="AGL27" s="149">
        <v>0.5</v>
      </c>
      <c r="AGM27" s="142">
        <v>0.5</v>
      </c>
      <c r="AGN27" s="138">
        <v>0.5</v>
      </c>
      <c r="AGO27" s="138">
        <v>0.5</v>
      </c>
      <c r="AGP27" s="138">
        <v>0.5</v>
      </c>
      <c r="AGQ27" s="138">
        <v>0.5</v>
      </c>
      <c r="AGR27" s="138">
        <v>0.5</v>
      </c>
      <c r="AGS27" s="137"/>
      <c r="AGT27" s="137"/>
      <c r="AGU27" s="137"/>
      <c r="AGV27" s="137"/>
      <c r="AGW27" s="137"/>
      <c r="AGX27" s="146"/>
      <c r="AGY27" s="145"/>
      <c r="AGZ27" s="146"/>
      <c r="AHA27" s="131">
        <f>SUM(AFY27:AGZ27)</f>
      </c>
      <c r="AHB27" s="134"/>
      <c r="AHC27" s="135"/>
      <c r="AHD27" s="142">
        <v>0.5</v>
      </c>
      <c r="AHE27" s="138">
        <v>0.5</v>
      </c>
      <c r="AHF27" s="138">
        <v>0.5</v>
      </c>
      <c r="AHG27" s="138">
        <v>0.5</v>
      </c>
      <c r="AHH27" s="138">
        <v>0.5</v>
      </c>
      <c r="AHI27" s="138">
        <v>0.5</v>
      </c>
      <c r="AHJ27" s="138">
        <v>0.5</v>
      </c>
      <c r="AHK27" s="139">
        <v>0.5</v>
      </c>
      <c r="AHL27" s="147"/>
      <c r="AHM27" s="148"/>
      <c r="AHN27" s="138">
        <v>0.5</v>
      </c>
      <c r="AHO27" s="149">
        <v>0.5</v>
      </c>
      <c r="AHP27" s="142">
        <v>0.5</v>
      </c>
      <c r="AHQ27" s="138">
        <v>0.5</v>
      </c>
      <c r="AHR27" s="138">
        <v>0.5</v>
      </c>
      <c r="AHS27" s="138">
        <v>0.5</v>
      </c>
      <c r="AHT27" s="138">
        <v>0.5</v>
      </c>
      <c r="AHU27" s="138">
        <v>0.5</v>
      </c>
      <c r="AHV27" s="137"/>
      <c r="AHW27" s="137"/>
      <c r="AHX27" s="137"/>
      <c r="AHY27" s="137"/>
      <c r="AHZ27" s="137"/>
      <c r="AIA27" s="146"/>
      <c r="AIB27" s="145"/>
      <c r="AIC27" s="146"/>
      <c r="AID27" s="131">
        <f>SUM(AHB27:AIC27)</f>
      </c>
      <c r="AIE27" s="134"/>
      <c r="AIF27" s="135"/>
      <c r="AIG27" s="142">
        <v>0.5</v>
      </c>
      <c r="AIH27" s="138">
        <v>0.5</v>
      </c>
      <c r="AII27" s="138">
        <v>0.5</v>
      </c>
      <c r="AIJ27" s="138">
        <v>0.5</v>
      </c>
      <c r="AIK27" s="138">
        <v>0.5</v>
      </c>
      <c r="AIL27" s="138">
        <v>0.5</v>
      </c>
      <c r="AIM27" s="138">
        <v>0.5</v>
      </c>
      <c r="AIN27" s="139">
        <v>0.5</v>
      </c>
      <c r="AIO27" s="147"/>
      <c r="AIP27" s="148"/>
      <c r="AIQ27" s="138">
        <v>0.5</v>
      </c>
      <c r="AIR27" s="149">
        <v>0.5</v>
      </c>
      <c r="AIS27" s="142">
        <v>0.5</v>
      </c>
      <c r="AIT27" s="138">
        <v>0.5</v>
      </c>
      <c r="AIU27" s="138">
        <v>0.5</v>
      </c>
      <c r="AIV27" s="138">
        <v>0.5</v>
      </c>
      <c r="AIW27" s="138">
        <v>0.5</v>
      </c>
      <c r="AIX27" s="138">
        <v>0.5</v>
      </c>
      <c r="AIY27" s="137"/>
      <c r="AIZ27" s="137"/>
      <c r="AJA27" s="137"/>
      <c r="AJB27" s="137"/>
      <c r="AJC27" s="137"/>
      <c r="AJD27" s="146"/>
      <c r="AJE27" s="145"/>
      <c r="AJF27" s="146"/>
      <c r="AJG27" s="131">
        <f>SUM(AIE27:AJF27)</f>
      </c>
      <c r="AJH27" s="134"/>
      <c r="AJI27" s="135"/>
      <c r="AJJ27" s="219">
        <v>0.5</v>
      </c>
      <c r="AJK27" s="216">
        <v>0.5</v>
      </c>
      <c r="AJL27" s="216">
        <v>0.5</v>
      </c>
      <c r="AJM27" s="216">
        <v>0.5</v>
      </c>
      <c r="AJN27" s="216">
        <v>0.5</v>
      </c>
      <c r="AJO27" s="216">
        <v>0.5</v>
      </c>
      <c r="AJP27" s="216">
        <v>0.5</v>
      </c>
      <c r="AJQ27" s="217">
        <v>0.5</v>
      </c>
      <c r="AJR27" s="147"/>
      <c r="AJS27" s="148"/>
      <c r="AJT27" s="216">
        <v>0.5</v>
      </c>
      <c r="AJU27" s="226">
        <v>0.5</v>
      </c>
      <c r="AJV27" s="219">
        <v>0.5</v>
      </c>
      <c r="AJW27" s="216">
        <v>0.5</v>
      </c>
      <c r="AJX27" s="216">
        <v>0.5</v>
      </c>
      <c r="AJY27" s="216">
        <v>0.5</v>
      </c>
      <c r="AJZ27" s="216">
        <v>0.5</v>
      </c>
      <c r="AKA27" s="216">
        <v>0.5</v>
      </c>
      <c r="AKB27" s="137"/>
      <c r="AKC27" s="137"/>
      <c r="AKD27" s="137"/>
      <c r="AKE27" s="137"/>
      <c r="AKF27" s="137"/>
      <c r="AKG27" s="146"/>
      <c r="AKH27" s="145"/>
      <c r="AKI27" s="146"/>
      <c r="AKJ27" s="131">
        <f>SUM(AJH27:AKI27)</f>
      </c>
      <c r="AKK27" s="121"/>
      <c r="AKL27" s="122"/>
      <c r="AKM27" s="123"/>
      <c r="AKN27" s="124"/>
      <c r="AKO27" s="124"/>
      <c r="AKP27" s="124"/>
      <c r="AKQ27" s="124"/>
      <c r="AKR27" s="124"/>
      <c r="AKS27" s="124"/>
      <c r="AKT27" s="125"/>
      <c r="AKU27" s="126"/>
      <c r="AKV27" s="124"/>
      <c r="AKW27" s="124"/>
      <c r="AKX27" s="127"/>
      <c r="AKY27" s="123"/>
      <c r="AKZ27" s="124"/>
      <c r="ALA27" s="124"/>
      <c r="ALB27" s="124"/>
      <c r="ALC27" s="124"/>
      <c r="ALD27" s="124"/>
      <c r="ALE27" s="124"/>
      <c r="ALF27" s="124"/>
      <c r="ALG27" s="124"/>
      <c r="ALH27" s="124"/>
      <c r="ALI27" s="124"/>
      <c r="ALJ27" s="128"/>
      <c r="ALK27" s="129"/>
      <c r="ALL27" s="128"/>
      <c r="ALM27" s="131">
        <f>SUM(AKK27:ALL27)</f>
      </c>
      <c r="ALN27" s="121"/>
      <c r="ALO27" s="122"/>
      <c r="ALP27" s="123"/>
      <c r="ALQ27" s="124"/>
      <c r="ALR27" s="124"/>
      <c r="ALS27" s="124"/>
      <c r="ALT27" s="124"/>
      <c r="ALU27" s="124"/>
      <c r="ALV27" s="124"/>
      <c r="ALW27" s="125"/>
      <c r="ALX27" s="126"/>
      <c r="ALY27" s="124"/>
      <c r="ALZ27" s="124"/>
      <c r="AMA27" s="127"/>
      <c r="AMB27" s="123"/>
      <c r="AMC27" s="124"/>
      <c r="AMD27" s="124"/>
      <c r="AME27" s="124"/>
      <c r="AMF27" s="124"/>
      <c r="AMG27" s="124"/>
      <c r="AMH27" s="124"/>
      <c r="AMI27" s="124"/>
      <c r="AMJ27" s="124"/>
      <c r="AMK27" s="124"/>
      <c r="AML27" s="124"/>
      <c r="AMM27" s="128"/>
      <c r="AMN27" s="129"/>
      <c r="AMO27" s="128"/>
      <c r="AMP27" s="131">
        <f>SUM(ALN27:AMO27)</f>
      </c>
      <c r="AMQ27" s="150">
        <f>AFX27+AHA27+AID27+AJG27+AKJ27+ALM27+AMP27</f>
      </c>
      <c r="AMR27" s="133">
        <f>(COUNTIF(AEV27:AMP27,"H")+COUNTIF(AEV27:AMP27,"S")+COUNTIF(AEV27:AMP27,"L")+COUNTIF(AEV27:AMP27,"E")+COUNTIF(AEV27:AMP27,"C"))/2</f>
      </c>
      <c r="AMS27" s="131">
        <f>AMQ27+AMR27</f>
      </c>
      <c r="AMT27" s="4"/>
      <c r="AMU27" s="4"/>
      <c r="AMV27" s="4"/>
      <c r="AMW27" s="4"/>
      <c r="AMX27" s="4"/>
      <c r="AMY27" s="4"/>
      <c r="AMZ27" s="4"/>
      <c r="ANA27" s="4"/>
      <c r="ANB27" s="4"/>
      <c r="ANC27" s="4"/>
      <c r="AND27" s="4"/>
      <c r="ANE27" s="4"/>
      <c r="ANF27" s="4"/>
      <c r="ANG27" s="4"/>
      <c r="ANH27" s="4"/>
      <c r="ANI27" s="4"/>
      <c r="ANJ27" s="13"/>
      <c r="ANK27" s="13"/>
      <c r="ANL27" s="4"/>
      <c r="ANM27" s="4"/>
      <c r="ANN27" s="4"/>
      <c r="ANO27" s="4"/>
      <c r="ANP27" s="4"/>
      <c r="ANQ27" s="4"/>
      <c r="ANR27" s="4"/>
      <c r="ANS27" s="4"/>
      <c r="ANT27" s="4"/>
      <c r="ANU27" s="4"/>
      <c r="ANV27" s="4"/>
      <c r="ANW27" s="4"/>
      <c r="ANX27" s="4"/>
      <c r="ANY27" s="4"/>
      <c r="ANZ27" s="4"/>
      <c r="AOA27" s="4"/>
      <c r="AOB27" s="4"/>
      <c r="AOC27" s="4"/>
      <c r="AOD27" s="4"/>
      <c r="AOE27" s="4"/>
      <c r="AOF27" s="4"/>
      <c r="AOG27" s="4"/>
      <c r="AOH27" s="4"/>
      <c r="AOI27" s="4"/>
      <c r="AOJ27" s="4"/>
      <c r="AOK27" s="4"/>
      <c r="AOL27" s="4"/>
      <c r="AOM27" s="4"/>
      <c r="AON27" s="4"/>
      <c r="AOO27" s="4"/>
      <c r="AOP27" s="4"/>
      <c r="AOQ27" s="4"/>
      <c r="AOR27" s="4"/>
      <c r="AOS27" s="4"/>
      <c r="AOT27" s="4"/>
      <c r="AOU27" s="4"/>
      <c r="AOV27" s="4"/>
      <c r="AOW27" s="4"/>
      <c r="AOX27" s="4"/>
      <c r="AOY27" s="4"/>
      <c r="AOZ27" s="4"/>
      <c r="APA27" s="4"/>
      <c r="APB27" s="4"/>
      <c r="APC27" s="4"/>
      <c r="APD27" s="4"/>
      <c r="APE27" s="4"/>
      <c r="APF27" s="4"/>
      <c r="APG27" s="4"/>
      <c r="APH27" s="4"/>
      <c r="API27" s="4"/>
      <c r="APJ27" s="4"/>
      <c r="APK27" s="4"/>
      <c r="APL27" s="4"/>
      <c r="APM27" s="4"/>
      <c r="APN27" s="4"/>
      <c r="APO27" s="4"/>
      <c r="APP27" s="4"/>
      <c r="APQ27" s="4"/>
      <c r="APR27" s="4"/>
      <c r="APS27" s="4"/>
      <c r="APT27" s="4"/>
      <c r="APU27" s="4"/>
      <c r="APV27" s="4"/>
      <c r="APW27" s="4"/>
      <c r="APX27" s="4"/>
      <c r="APY27" s="4"/>
      <c r="APZ27" s="4"/>
      <c r="AQA27" s="4"/>
      <c r="AQB27" s="4"/>
      <c r="AQC27" s="4"/>
      <c r="AQD27" s="4"/>
      <c r="AQE27" s="4"/>
      <c r="AQF27" s="4"/>
      <c r="AQG27" s="4"/>
      <c r="AQH27" s="4"/>
      <c r="AQI27" s="4"/>
      <c r="AQJ27" s="4"/>
      <c r="AQK27" s="4"/>
      <c r="AQL27" s="4"/>
      <c r="AQM27" s="4"/>
      <c r="AQN27" s="4"/>
      <c r="AQO27" s="4"/>
      <c r="AQP27" s="4"/>
      <c r="AQQ27" s="4"/>
      <c r="AQR27" s="4"/>
      <c r="AQS27" s="4"/>
      <c r="AQT27" s="4"/>
      <c r="AQU27" s="4"/>
      <c r="AQV27" s="4"/>
      <c r="AQW27" s="4"/>
      <c r="AQX27" s="4"/>
      <c r="AQY27" s="4"/>
      <c r="AQZ27" s="4"/>
      <c r="ARA27" s="4"/>
      <c r="ARB27" s="4"/>
      <c r="ARC27" s="4"/>
      <c r="ARD27" s="4"/>
      <c r="ARE27" s="4"/>
      <c r="ARF27" s="4"/>
      <c r="ARG27" s="4"/>
      <c r="ARH27" s="4"/>
      <c r="ARI27" s="4"/>
      <c r="ARJ27" s="4"/>
      <c r="ARK27" s="4"/>
      <c r="ARL27" s="4"/>
      <c r="ARM27" s="4"/>
      <c r="ARN27" s="4"/>
      <c r="ARO27" s="4"/>
      <c r="ARP27" s="4"/>
      <c r="ARQ27" s="4"/>
      <c r="ARR27" s="4"/>
      <c r="ARS27" s="4"/>
      <c r="ART27" s="4"/>
      <c r="ARU27" s="4"/>
      <c r="ARV27" s="4"/>
      <c r="ARW27" s="4"/>
      <c r="ARX27" s="4"/>
      <c r="ARY27" s="4"/>
      <c r="ARZ27" s="4"/>
      <c r="ASA27" s="4"/>
      <c r="ASB27" s="4"/>
      <c r="ASC27" s="4"/>
      <c r="ASD27" s="4"/>
      <c r="ASE27" s="4"/>
      <c r="ASF27" s="4"/>
      <c r="ASG27" s="4"/>
      <c r="ASH27" s="4"/>
      <c r="ASI27" s="4"/>
      <c r="ASJ27" s="4"/>
      <c r="ASK27" s="4"/>
      <c r="ASL27" s="4"/>
      <c r="ASM27" s="4"/>
      <c r="ASN27" s="4"/>
      <c r="ASO27" s="4"/>
      <c r="ASP27" s="4"/>
      <c r="ASQ27" s="4"/>
      <c r="ASR27" s="4"/>
      <c r="ASS27" s="4"/>
      <c r="AST27" s="4"/>
      <c r="ASU27" s="4"/>
    </row>
    <row r="28" ht="15" customHeight="1" spans="1:1191" x14ac:dyDescent="0.25">
      <c r="A28" s="118"/>
      <c r="B28" s="119" t="s">
        <v>68</v>
      </c>
      <c r="C28" s="120" t="s">
        <v>52</v>
      </c>
      <c r="D28" s="121"/>
      <c r="E28" s="122"/>
      <c r="F28" s="123"/>
      <c r="G28" s="124"/>
      <c r="H28" s="124"/>
      <c r="I28" s="124"/>
      <c r="J28" s="124"/>
      <c r="K28" s="124"/>
      <c r="L28" s="124"/>
      <c r="M28" s="125"/>
      <c r="N28" s="126"/>
      <c r="O28" s="124"/>
      <c r="P28" s="124"/>
      <c r="Q28" s="127"/>
      <c r="R28" s="123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8"/>
      <c r="AD28" s="129"/>
      <c r="AE28" s="128"/>
      <c r="AF28" s="131">
        <f>SUM(D28:AE28)</f>
      </c>
      <c r="AG28" s="121"/>
      <c r="AH28" s="122"/>
      <c r="AI28" s="123"/>
      <c r="AJ28" s="124"/>
      <c r="AK28" s="124"/>
      <c r="AL28" s="124"/>
      <c r="AM28" s="124"/>
      <c r="AN28" s="124"/>
      <c r="AO28" s="124"/>
      <c r="AP28" s="125"/>
      <c r="AQ28" s="126"/>
      <c r="AR28" s="124"/>
      <c r="AS28" s="124"/>
      <c r="AT28" s="127"/>
      <c r="AU28" s="123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8"/>
      <c r="BG28" s="129"/>
      <c r="BH28" s="128"/>
      <c r="BI28" s="131">
        <f>SUM(AG28:BH28)</f>
      </c>
      <c r="BJ28" s="121"/>
      <c r="BK28" s="122"/>
      <c r="BL28" s="123"/>
      <c r="BM28" s="124"/>
      <c r="BN28" s="124"/>
      <c r="BO28" s="124"/>
      <c r="BP28" s="124"/>
      <c r="BQ28" s="124"/>
      <c r="BR28" s="124"/>
      <c r="BS28" s="125"/>
      <c r="BT28" s="126"/>
      <c r="BU28" s="124"/>
      <c r="BV28" s="124"/>
      <c r="BW28" s="127"/>
      <c r="BX28" s="123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8"/>
      <c r="CJ28" s="129"/>
      <c r="CK28" s="128"/>
      <c r="CL28" s="131">
        <f>SUM(BJ28:CK28)</f>
      </c>
      <c r="CM28" s="121"/>
      <c r="CN28" s="122"/>
      <c r="CO28" s="123"/>
      <c r="CP28" s="124"/>
      <c r="CQ28" s="124"/>
      <c r="CR28" s="124"/>
      <c r="CS28" s="124"/>
      <c r="CT28" s="124"/>
      <c r="CU28" s="124"/>
      <c r="CV28" s="125"/>
      <c r="CW28" s="126"/>
      <c r="CX28" s="124"/>
      <c r="CY28" s="124"/>
      <c r="CZ28" s="127"/>
      <c r="DA28" s="123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8"/>
      <c r="DM28" s="129"/>
      <c r="DN28" s="128"/>
      <c r="DO28" s="131">
        <f>SUM(CM28:DN28)</f>
      </c>
      <c r="DP28" s="121"/>
      <c r="DQ28" s="122"/>
      <c r="DR28" s="123"/>
      <c r="DS28" s="124"/>
      <c r="DT28" s="124"/>
      <c r="DU28" s="124"/>
      <c r="DV28" s="124"/>
      <c r="DW28" s="124"/>
      <c r="DX28" s="124"/>
      <c r="DY28" s="125"/>
      <c r="DZ28" s="126"/>
      <c r="EA28" s="124"/>
      <c r="EB28" s="124"/>
      <c r="EC28" s="127"/>
      <c r="ED28" s="123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8"/>
      <c r="EP28" s="129"/>
      <c r="EQ28" s="128"/>
      <c r="ER28" s="131">
        <f>SUM(DP28:EQ28)</f>
      </c>
      <c r="ES28" s="121"/>
      <c r="ET28" s="122"/>
      <c r="EU28" s="123"/>
      <c r="EV28" s="124"/>
      <c r="EW28" s="124"/>
      <c r="EX28" s="124"/>
      <c r="EY28" s="124"/>
      <c r="EZ28" s="124"/>
      <c r="FA28" s="124"/>
      <c r="FB28" s="125"/>
      <c r="FC28" s="126"/>
      <c r="FD28" s="124"/>
      <c r="FE28" s="124"/>
      <c r="FF28" s="127"/>
      <c r="FG28" s="123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8"/>
      <c r="FS28" s="129"/>
      <c r="FT28" s="128"/>
      <c r="FU28" s="131">
        <f>SUM(ES28:FT28)</f>
      </c>
      <c r="FV28" s="121"/>
      <c r="FW28" s="122"/>
      <c r="FX28" s="123"/>
      <c r="FY28" s="124"/>
      <c r="FZ28" s="124"/>
      <c r="GA28" s="124"/>
      <c r="GB28" s="124"/>
      <c r="GC28" s="124"/>
      <c r="GD28" s="124"/>
      <c r="GE28" s="125"/>
      <c r="GF28" s="126"/>
      <c r="GG28" s="124"/>
      <c r="GH28" s="124"/>
      <c r="GI28" s="127"/>
      <c r="GJ28" s="123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8"/>
      <c r="GV28" s="129"/>
      <c r="GW28" s="128"/>
      <c r="GX28" s="131">
        <f>SUM(FV28:GW28)</f>
      </c>
      <c r="GY28" s="132">
        <f>AF28+BI28+CL28+DO28+ER28+FU28+GX28</f>
      </c>
      <c r="GZ28" s="133">
        <f>(COUNTIF(D28:GX28,"H")+COUNTIF(D28:GX28,"S")+COUNTIF(D28:GX28,"L")+COUNTIF(D28:GX28,"E")+COUNTIF(D28:GX28,"C"))/2</f>
      </c>
      <c r="HA28" s="130">
        <f>GY28+GZ28</f>
      </c>
      <c r="HB28" s="134"/>
      <c r="HC28" s="135"/>
      <c r="HD28" s="142">
        <v>0.5</v>
      </c>
      <c r="HE28" s="138">
        <v>0.5</v>
      </c>
      <c r="HF28" s="138">
        <v>0.5</v>
      </c>
      <c r="HG28" s="138">
        <v>0.5</v>
      </c>
      <c r="HH28" s="138">
        <v>0.5</v>
      </c>
      <c r="HI28" s="138">
        <v>0.5</v>
      </c>
      <c r="HJ28" s="138">
        <v>0.5</v>
      </c>
      <c r="HK28" s="139">
        <v>0.5</v>
      </c>
      <c r="HL28" s="147"/>
      <c r="HM28" s="148"/>
      <c r="HN28" s="138">
        <v>0.5</v>
      </c>
      <c r="HO28" s="149">
        <v>0.5</v>
      </c>
      <c r="HP28" s="142">
        <v>0.5</v>
      </c>
      <c r="HQ28" s="138">
        <v>0.5</v>
      </c>
      <c r="HR28" s="138">
        <v>0.5</v>
      </c>
      <c r="HS28" s="138">
        <v>0.5</v>
      </c>
      <c r="HT28" s="138">
        <v>0.5</v>
      </c>
      <c r="HU28" s="138">
        <v>0.5</v>
      </c>
      <c r="HV28" s="137"/>
      <c r="HW28" s="137"/>
      <c r="HX28" s="137"/>
      <c r="HY28" s="137"/>
      <c r="HZ28" s="137"/>
      <c r="IA28" s="146"/>
      <c r="IB28" s="145"/>
      <c r="IC28" s="146"/>
      <c r="ID28" s="131">
        <f>SUM(HB28:IC28)</f>
      </c>
      <c r="IE28" s="134"/>
      <c r="IF28" s="135"/>
      <c r="IG28" s="142">
        <v>0.5</v>
      </c>
      <c r="IH28" s="138">
        <v>0.5</v>
      </c>
      <c r="II28" s="138">
        <v>0.5</v>
      </c>
      <c r="IJ28" s="138">
        <v>0.5</v>
      </c>
      <c r="IK28" s="138">
        <v>0.5</v>
      </c>
      <c r="IL28" s="138">
        <v>0.5</v>
      </c>
      <c r="IM28" s="138">
        <v>0.5</v>
      </c>
      <c r="IN28" s="139">
        <v>0.5</v>
      </c>
      <c r="IO28" s="147"/>
      <c r="IP28" s="148"/>
      <c r="IQ28" s="138">
        <v>0.5</v>
      </c>
      <c r="IR28" s="149">
        <v>0.5</v>
      </c>
      <c r="IS28" s="142">
        <v>0.5</v>
      </c>
      <c r="IT28" s="138">
        <v>0.5</v>
      </c>
      <c r="IU28" s="138">
        <v>0.5</v>
      </c>
      <c r="IV28" s="138">
        <v>0.5</v>
      </c>
      <c r="IW28" s="138">
        <v>0.5</v>
      </c>
      <c r="IX28" s="138">
        <v>0.5</v>
      </c>
      <c r="IY28" s="137"/>
      <c r="IZ28" s="137"/>
      <c r="JA28" s="137"/>
      <c r="JB28" s="137"/>
      <c r="JC28" s="137"/>
      <c r="JD28" s="146"/>
      <c r="JE28" s="145"/>
      <c r="JF28" s="146"/>
      <c r="JG28" s="131">
        <f>SUM(IE28:JF28)</f>
      </c>
      <c r="JH28" s="134"/>
      <c r="JI28" s="135"/>
      <c r="JJ28" s="142">
        <v>0.5</v>
      </c>
      <c r="JK28" s="138">
        <v>0.5</v>
      </c>
      <c r="JL28" s="138">
        <v>0.5</v>
      </c>
      <c r="JM28" s="138">
        <v>0.5</v>
      </c>
      <c r="JN28" s="138">
        <v>0.5</v>
      </c>
      <c r="JO28" s="138">
        <v>0.5</v>
      </c>
      <c r="JP28" s="138">
        <v>0.5</v>
      </c>
      <c r="JQ28" s="139">
        <v>0.5</v>
      </c>
      <c r="JR28" s="147"/>
      <c r="JS28" s="148"/>
      <c r="JT28" s="138">
        <v>0.5</v>
      </c>
      <c r="JU28" s="149">
        <v>0.5</v>
      </c>
      <c r="JV28" s="142">
        <v>0.5</v>
      </c>
      <c r="JW28" s="138">
        <v>0.5</v>
      </c>
      <c r="JX28" s="138">
        <v>0.5</v>
      </c>
      <c r="JY28" s="138">
        <v>0.5</v>
      </c>
      <c r="JZ28" s="138">
        <v>0.5</v>
      </c>
      <c r="KA28" s="138">
        <v>0.5</v>
      </c>
      <c r="KB28" s="137"/>
      <c r="KC28" s="137"/>
      <c r="KD28" s="137"/>
      <c r="KE28" s="137"/>
      <c r="KF28" s="137"/>
      <c r="KG28" s="146"/>
      <c r="KH28" s="145"/>
      <c r="KI28" s="146"/>
      <c r="KJ28" s="131">
        <f>SUM(JH28:KI28)</f>
      </c>
      <c r="KK28" s="134"/>
      <c r="KL28" s="135"/>
      <c r="KM28" s="142">
        <v>0.5</v>
      </c>
      <c r="KN28" s="138">
        <v>0.5</v>
      </c>
      <c r="KO28" s="138">
        <v>0.5</v>
      </c>
      <c r="KP28" s="138">
        <v>0.5</v>
      </c>
      <c r="KQ28" s="138">
        <v>0.5</v>
      </c>
      <c r="KR28" s="138">
        <v>0.5</v>
      </c>
      <c r="KS28" s="138">
        <v>0.5</v>
      </c>
      <c r="KT28" s="139">
        <v>0.5</v>
      </c>
      <c r="KU28" s="147"/>
      <c r="KV28" s="148"/>
      <c r="KW28" s="138">
        <v>0.5</v>
      </c>
      <c r="KX28" s="149">
        <v>0.5</v>
      </c>
      <c r="KY28" s="142">
        <v>0.5</v>
      </c>
      <c r="KZ28" s="138">
        <v>0.5</v>
      </c>
      <c r="LA28" s="138">
        <v>0.5</v>
      </c>
      <c r="LB28" s="138">
        <v>0.5</v>
      </c>
      <c r="LC28" s="138">
        <v>0.5</v>
      </c>
      <c r="LD28" s="138">
        <v>0.5</v>
      </c>
      <c r="LE28" s="137"/>
      <c r="LF28" s="137"/>
      <c r="LG28" s="137"/>
      <c r="LH28" s="137"/>
      <c r="LI28" s="137"/>
      <c r="LJ28" s="146"/>
      <c r="LK28" s="145"/>
      <c r="LL28" s="146"/>
      <c r="LM28" s="131">
        <f>SUM(KK28:LL28)</f>
      </c>
      <c r="LN28" s="134"/>
      <c r="LO28" s="135"/>
      <c r="LP28" s="142">
        <v>0.5</v>
      </c>
      <c r="LQ28" s="138">
        <v>0.5</v>
      </c>
      <c r="LR28" s="138">
        <v>0.5</v>
      </c>
      <c r="LS28" s="138">
        <v>0.5</v>
      </c>
      <c r="LT28" s="138">
        <v>0.5</v>
      </c>
      <c r="LU28" s="138">
        <v>0.5</v>
      </c>
      <c r="LV28" s="138">
        <v>0.5</v>
      </c>
      <c r="LW28" s="139">
        <v>0.5</v>
      </c>
      <c r="LX28" s="147"/>
      <c r="LY28" s="148"/>
      <c r="LZ28" s="138">
        <v>0.5</v>
      </c>
      <c r="MA28" s="149">
        <v>0.5</v>
      </c>
      <c r="MB28" s="142">
        <v>0.5</v>
      </c>
      <c r="MC28" s="138">
        <v>0.5</v>
      </c>
      <c r="MD28" s="138">
        <v>0.5</v>
      </c>
      <c r="ME28" s="138">
        <v>0.5</v>
      </c>
      <c r="MF28" s="138">
        <v>0.5</v>
      </c>
      <c r="MG28" s="138">
        <v>0.5</v>
      </c>
      <c r="MH28" s="137"/>
      <c r="MI28" s="137"/>
      <c r="MJ28" s="137"/>
      <c r="MK28" s="137"/>
      <c r="ML28" s="137"/>
      <c r="MM28" s="146"/>
      <c r="MN28" s="145"/>
      <c r="MO28" s="146"/>
      <c r="MP28" s="131">
        <f>SUM(LN28:MO28)</f>
      </c>
      <c r="MQ28" s="121"/>
      <c r="MR28" s="122"/>
      <c r="MS28" s="123"/>
      <c r="MT28" s="124"/>
      <c r="MU28" s="124"/>
      <c r="MV28" s="124"/>
      <c r="MW28" s="124"/>
      <c r="MX28" s="124"/>
      <c r="MY28" s="124"/>
      <c r="MZ28" s="125"/>
      <c r="NA28" s="126"/>
      <c r="NB28" s="124"/>
      <c r="NC28" s="124"/>
      <c r="ND28" s="127"/>
      <c r="NE28" s="123"/>
      <c r="NF28" s="124"/>
      <c r="NG28" s="124"/>
      <c r="NH28" s="124"/>
      <c r="NI28" s="124"/>
      <c r="NJ28" s="124"/>
      <c r="NK28" s="124"/>
      <c r="NL28" s="124"/>
      <c r="NM28" s="124"/>
      <c r="NN28" s="124"/>
      <c r="NO28" s="124"/>
      <c r="NP28" s="128"/>
      <c r="NQ28" s="129"/>
      <c r="NR28" s="128"/>
      <c r="NS28" s="131">
        <f>SUM(MQ28:NR28)</f>
      </c>
      <c r="NT28" s="121"/>
      <c r="NU28" s="122"/>
      <c r="NV28" s="123"/>
      <c r="NW28" s="124"/>
      <c r="NX28" s="124"/>
      <c r="NY28" s="124"/>
      <c r="NZ28" s="124"/>
      <c r="OA28" s="124"/>
      <c r="OB28" s="124"/>
      <c r="OC28" s="125"/>
      <c r="OD28" s="126"/>
      <c r="OE28" s="124"/>
      <c r="OF28" s="124"/>
      <c r="OG28" s="127"/>
      <c r="OH28" s="123"/>
      <c r="OI28" s="124"/>
      <c r="OJ28" s="124"/>
      <c r="OK28" s="124"/>
      <c r="OL28" s="124"/>
      <c r="OM28" s="124"/>
      <c r="ON28" s="124"/>
      <c r="OO28" s="124"/>
      <c r="OP28" s="124"/>
      <c r="OQ28" s="124"/>
      <c r="OR28" s="124"/>
      <c r="OS28" s="128"/>
      <c r="OT28" s="129"/>
      <c r="OU28" s="128"/>
      <c r="OV28" s="131">
        <f>SUM(NT28:OU28)</f>
      </c>
      <c r="OW28" s="132">
        <f>ID28+JG28+KJ28+LM28+MP28+NS28+OV28</f>
      </c>
      <c r="OX28" s="133">
        <f>(COUNTIF(HB28:OV28,"H")+COUNTIF(HB28:OV28,"S")+COUNTIF(HB28:OV28,"L")+COUNTIF(HB28:OV28,"E")+COUNTIF(HB28:OV28,"C"))/2</f>
      </c>
      <c r="OY28" s="130">
        <f>OW28+OX28</f>
      </c>
      <c r="OZ28" s="134"/>
      <c r="PA28" s="135"/>
      <c r="PB28" s="142">
        <v>0.5</v>
      </c>
      <c r="PC28" s="138">
        <v>0.5</v>
      </c>
      <c r="PD28" s="138">
        <v>0.5</v>
      </c>
      <c r="PE28" s="138">
        <v>0.5</v>
      </c>
      <c r="PF28" s="138">
        <v>0.5</v>
      </c>
      <c r="PG28" s="138">
        <v>0.5</v>
      </c>
      <c r="PH28" s="138">
        <v>0.5</v>
      </c>
      <c r="PI28" s="139">
        <v>0.5</v>
      </c>
      <c r="PJ28" s="147"/>
      <c r="PK28" s="148"/>
      <c r="PL28" s="138">
        <v>0.5</v>
      </c>
      <c r="PM28" s="149">
        <v>0.5</v>
      </c>
      <c r="PN28" s="142">
        <v>0.5</v>
      </c>
      <c r="PO28" s="138">
        <v>0.5</v>
      </c>
      <c r="PP28" s="138">
        <v>0.5</v>
      </c>
      <c r="PQ28" s="138">
        <v>0.5</v>
      </c>
      <c r="PR28" s="138">
        <v>0.5</v>
      </c>
      <c r="PS28" s="138">
        <v>0.5</v>
      </c>
      <c r="PT28" s="137"/>
      <c r="PU28" s="137"/>
      <c r="PV28" s="137"/>
      <c r="PW28" s="137"/>
      <c r="PX28" s="137"/>
      <c r="PY28" s="146"/>
      <c r="PZ28" s="145"/>
      <c r="QA28" s="146"/>
      <c r="QB28" s="131">
        <f>SUM(OZ28:QA28)</f>
      </c>
      <c r="QC28" s="134"/>
      <c r="QD28" s="135"/>
      <c r="QE28" s="142">
        <v>0.5</v>
      </c>
      <c r="QF28" s="138">
        <v>0.5</v>
      </c>
      <c r="QG28" s="138">
        <v>0.5</v>
      </c>
      <c r="QH28" s="138">
        <v>0.5</v>
      </c>
      <c r="QI28" s="138">
        <v>0.5</v>
      </c>
      <c r="QJ28" s="138">
        <v>0.5</v>
      </c>
      <c r="QK28" s="138">
        <v>0.5</v>
      </c>
      <c r="QL28" s="139">
        <v>0.5</v>
      </c>
      <c r="QM28" s="147"/>
      <c r="QN28" s="148"/>
      <c r="QO28" s="138">
        <v>0.5</v>
      </c>
      <c r="QP28" s="149">
        <v>0.5</v>
      </c>
      <c r="QQ28" s="142">
        <v>0.5</v>
      </c>
      <c r="QR28" s="138">
        <v>0.5</v>
      </c>
      <c r="QS28" s="138">
        <v>0.5</v>
      </c>
      <c r="QT28" s="138">
        <v>0.5</v>
      </c>
      <c r="QU28" s="138">
        <v>0.5</v>
      </c>
      <c r="QV28" s="138">
        <v>0.5</v>
      </c>
      <c r="QW28" s="137"/>
      <c r="QX28" s="137"/>
      <c r="QY28" s="137"/>
      <c r="QZ28" s="137"/>
      <c r="RA28" s="137"/>
      <c r="RB28" s="146"/>
      <c r="RC28" s="145"/>
      <c r="RD28" s="146"/>
      <c r="RE28" s="131">
        <f>SUM(QC28:RD28)</f>
      </c>
      <c r="RF28" s="134"/>
      <c r="RG28" s="135"/>
      <c r="RH28" s="142">
        <v>0.5</v>
      </c>
      <c r="RI28" s="138">
        <v>0.5</v>
      </c>
      <c r="RJ28" s="138">
        <v>0.5</v>
      </c>
      <c r="RK28" s="138">
        <v>0.5</v>
      </c>
      <c r="RL28" s="138">
        <v>0.5</v>
      </c>
      <c r="RM28" s="138">
        <v>0.5</v>
      </c>
      <c r="RN28" s="138">
        <v>0.5</v>
      </c>
      <c r="RO28" s="139">
        <v>0.5</v>
      </c>
      <c r="RP28" s="147"/>
      <c r="RQ28" s="148"/>
      <c r="RR28" s="138">
        <v>0.5</v>
      </c>
      <c r="RS28" s="149">
        <v>0.5</v>
      </c>
      <c r="RT28" s="142">
        <v>0.5</v>
      </c>
      <c r="RU28" s="138">
        <v>0.5</v>
      </c>
      <c r="RV28" s="138">
        <v>0.5</v>
      </c>
      <c r="RW28" s="138">
        <v>0.5</v>
      </c>
      <c r="RX28" s="138">
        <v>0.5</v>
      </c>
      <c r="RY28" s="138">
        <v>0.5</v>
      </c>
      <c r="RZ28" s="137"/>
      <c r="SA28" s="137"/>
      <c r="SB28" s="137"/>
      <c r="SC28" s="137"/>
      <c r="SD28" s="137"/>
      <c r="SE28" s="146"/>
      <c r="SF28" s="145"/>
      <c r="SG28" s="146"/>
      <c r="SH28" s="131">
        <f>SUM(RF28:SG28)</f>
      </c>
      <c r="SI28" s="134"/>
      <c r="SJ28" s="135"/>
      <c r="SK28" s="142">
        <v>0.5</v>
      </c>
      <c r="SL28" s="138">
        <v>0.5</v>
      </c>
      <c r="SM28" s="138">
        <v>0.5</v>
      </c>
      <c r="SN28" s="138">
        <v>0.5</v>
      </c>
      <c r="SO28" s="138">
        <v>0.5</v>
      </c>
      <c r="SP28" s="138">
        <v>0.5</v>
      </c>
      <c r="SQ28" s="138">
        <v>0.5</v>
      </c>
      <c r="SR28" s="139">
        <v>0.5</v>
      </c>
      <c r="SS28" s="147"/>
      <c r="ST28" s="148"/>
      <c r="SU28" s="138">
        <v>0.5</v>
      </c>
      <c r="SV28" s="149">
        <v>0.5</v>
      </c>
      <c r="SW28" s="142">
        <v>0.5</v>
      </c>
      <c r="SX28" s="138">
        <v>0.5</v>
      </c>
      <c r="SY28" s="138">
        <v>0.5</v>
      </c>
      <c r="SZ28" s="138">
        <v>0.5</v>
      </c>
      <c r="TA28" s="138">
        <v>0.5</v>
      </c>
      <c r="TB28" s="138">
        <v>0.5</v>
      </c>
      <c r="TC28" s="137"/>
      <c r="TD28" s="137"/>
      <c r="TE28" s="137"/>
      <c r="TF28" s="137"/>
      <c r="TG28" s="137"/>
      <c r="TH28" s="146"/>
      <c r="TI28" s="145"/>
      <c r="TJ28" s="146"/>
      <c r="TK28" s="131">
        <f>SUM(SI28:TJ28)</f>
      </c>
      <c r="TL28" s="134"/>
      <c r="TM28" s="135"/>
      <c r="TN28" s="142">
        <v>0.5</v>
      </c>
      <c r="TO28" s="138">
        <v>0.5</v>
      </c>
      <c r="TP28" s="138">
        <v>0.5</v>
      </c>
      <c r="TQ28" s="138">
        <v>0.5</v>
      </c>
      <c r="TR28" s="138">
        <v>0.5</v>
      </c>
      <c r="TS28" s="138">
        <v>0.5</v>
      </c>
      <c r="TT28" s="138">
        <v>0.5</v>
      </c>
      <c r="TU28" s="139">
        <v>0.5</v>
      </c>
      <c r="TV28" s="147"/>
      <c r="TW28" s="148"/>
      <c r="TX28" s="138">
        <v>0.5</v>
      </c>
      <c r="TY28" s="149">
        <v>0.5</v>
      </c>
      <c r="TZ28" s="142">
        <v>0.5</v>
      </c>
      <c r="UA28" s="138">
        <v>0.5</v>
      </c>
      <c r="UB28" s="138">
        <v>0.5</v>
      </c>
      <c r="UC28" s="138">
        <v>0.5</v>
      </c>
      <c r="UD28" s="138">
        <v>0.5</v>
      </c>
      <c r="UE28" s="138">
        <v>0.5</v>
      </c>
      <c r="UF28" s="137"/>
      <c r="UG28" s="137"/>
      <c r="UH28" s="137"/>
      <c r="UI28" s="137"/>
      <c r="UJ28" s="137"/>
      <c r="UK28" s="146"/>
      <c r="UL28" s="145"/>
      <c r="UM28" s="146"/>
      <c r="UN28" s="131">
        <f>SUM(TL28:UM28)</f>
      </c>
      <c r="UO28" s="121"/>
      <c r="UP28" s="122"/>
      <c r="UQ28" s="123"/>
      <c r="UR28" s="124"/>
      <c r="US28" s="124"/>
      <c r="UT28" s="124"/>
      <c r="UU28" s="124"/>
      <c r="UV28" s="124"/>
      <c r="UW28" s="124"/>
      <c r="UX28" s="125"/>
      <c r="UY28" s="126"/>
      <c r="UZ28" s="124"/>
      <c r="VA28" s="124"/>
      <c r="VB28" s="127"/>
      <c r="VC28" s="123"/>
      <c r="VD28" s="124"/>
      <c r="VE28" s="124"/>
      <c r="VF28" s="124"/>
      <c r="VG28" s="124"/>
      <c r="VH28" s="124"/>
      <c r="VI28" s="124"/>
      <c r="VJ28" s="124"/>
      <c r="VK28" s="124"/>
      <c r="VL28" s="124"/>
      <c r="VM28" s="124"/>
      <c r="VN28" s="128"/>
      <c r="VO28" s="129"/>
      <c r="VP28" s="128"/>
      <c r="VQ28" s="131">
        <f>SUM(UO28:VP28)</f>
      </c>
      <c r="VR28" s="121"/>
      <c r="VS28" s="122"/>
      <c r="VT28" s="123"/>
      <c r="VU28" s="124"/>
      <c r="VV28" s="124"/>
      <c r="VW28" s="124"/>
      <c r="VX28" s="124"/>
      <c r="VY28" s="124"/>
      <c r="VZ28" s="124"/>
      <c r="WA28" s="125"/>
      <c r="WB28" s="126"/>
      <c r="WC28" s="124"/>
      <c r="WD28" s="124"/>
      <c r="WE28" s="127"/>
      <c r="WF28" s="123"/>
      <c r="WG28" s="124"/>
      <c r="WH28" s="124"/>
      <c r="WI28" s="124"/>
      <c r="WJ28" s="124"/>
      <c r="WK28" s="124"/>
      <c r="WL28" s="124"/>
      <c r="WM28" s="124"/>
      <c r="WN28" s="124"/>
      <c r="WO28" s="124"/>
      <c r="WP28" s="124"/>
      <c r="WQ28" s="128"/>
      <c r="WR28" s="129"/>
      <c r="WS28" s="128"/>
      <c r="WT28" s="131">
        <f>SUM(VR28:WS28)</f>
      </c>
      <c r="WU28" s="150">
        <f>QB28+RE28+SH28+TK28+UN28+VQ28+WT28</f>
      </c>
      <c r="WV28" s="133">
        <f>(COUNTIF(OZ28:WT28,"H")+COUNTIF(OZ28:WT28,"S")+COUNTIF(OZ28:WT28,"L")+COUNTIF(OZ28:WT28,"E")+COUNTIF(OZ28:WT28,"C"))/2</f>
      </c>
      <c r="WW28" s="131">
        <f>WU28+WV28</f>
      </c>
      <c r="WX28" s="134"/>
      <c r="WY28" s="135"/>
      <c r="WZ28" s="142">
        <v>0.5</v>
      </c>
      <c r="XA28" s="138">
        <v>0.5</v>
      </c>
      <c r="XB28" s="138">
        <v>0.5</v>
      </c>
      <c r="XC28" s="138">
        <v>0.5</v>
      </c>
      <c r="XD28" s="138">
        <v>0.5</v>
      </c>
      <c r="XE28" s="138">
        <v>0.5</v>
      </c>
      <c r="XF28" s="138">
        <v>0.5</v>
      </c>
      <c r="XG28" s="139">
        <v>0.5</v>
      </c>
      <c r="XH28" s="147"/>
      <c r="XI28" s="148"/>
      <c r="XJ28" s="138">
        <v>0.5</v>
      </c>
      <c r="XK28" s="149">
        <v>0.5</v>
      </c>
      <c r="XL28" s="142">
        <v>0.5</v>
      </c>
      <c r="XM28" s="138">
        <v>0.5</v>
      </c>
      <c r="XN28" s="138">
        <v>0.5</v>
      </c>
      <c r="XO28" s="138">
        <v>0.5</v>
      </c>
      <c r="XP28" s="138">
        <v>0.5</v>
      </c>
      <c r="XQ28" s="138">
        <v>0.5</v>
      </c>
      <c r="XR28" s="137"/>
      <c r="XS28" s="137"/>
      <c r="XT28" s="137"/>
      <c r="XU28" s="137"/>
      <c r="XV28" s="137"/>
      <c r="XW28" s="146"/>
      <c r="XX28" s="145"/>
      <c r="XY28" s="146"/>
      <c r="XZ28" s="131">
        <f>SUM(WX28:XY28)</f>
      </c>
      <c r="YA28" s="134"/>
      <c r="YB28" s="135"/>
      <c r="YC28" s="142">
        <v>0.5</v>
      </c>
      <c r="YD28" s="138">
        <v>0.5</v>
      </c>
      <c r="YE28" s="138">
        <v>0.5</v>
      </c>
      <c r="YF28" s="138">
        <v>0.5</v>
      </c>
      <c r="YG28" s="138">
        <v>0.5</v>
      </c>
      <c r="YH28" s="138">
        <v>0.5</v>
      </c>
      <c r="YI28" s="138">
        <v>0.5</v>
      </c>
      <c r="YJ28" s="139">
        <v>0.5</v>
      </c>
      <c r="YK28" s="147"/>
      <c r="YL28" s="148"/>
      <c r="YM28" s="138">
        <v>0.5</v>
      </c>
      <c r="YN28" s="149">
        <v>0.5</v>
      </c>
      <c r="YO28" s="142">
        <v>0.5</v>
      </c>
      <c r="YP28" s="138">
        <v>0.5</v>
      </c>
      <c r="YQ28" s="138">
        <v>0.5</v>
      </c>
      <c r="YR28" s="138">
        <v>0.5</v>
      </c>
      <c r="YS28" s="138">
        <v>0.5</v>
      </c>
      <c r="YT28" s="138">
        <v>0.5</v>
      </c>
      <c r="YU28" s="137"/>
      <c r="YV28" s="137"/>
      <c r="YW28" s="137"/>
      <c r="YX28" s="137"/>
      <c r="YY28" s="137"/>
      <c r="YZ28" s="146"/>
      <c r="ZA28" s="145"/>
      <c r="ZB28" s="146"/>
      <c r="ZC28" s="131">
        <f>SUM(YA28:ZB28)</f>
      </c>
      <c r="ZD28" s="134"/>
      <c r="ZE28" s="135"/>
      <c r="ZF28" s="142">
        <v>0.5</v>
      </c>
      <c r="ZG28" s="138">
        <v>0.5</v>
      </c>
      <c r="ZH28" s="138">
        <v>0.5</v>
      </c>
      <c r="ZI28" s="138">
        <v>0.5</v>
      </c>
      <c r="ZJ28" s="138">
        <v>0.5</v>
      </c>
      <c r="ZK28" s="138">
        <v>0.5</v>
      </c>
      <c r="ZL28" s="138">
        <v>0.5</v>
      </c>
      <c r="ZM28" s="139">
        <v>0.5</v>
      </c>
      <c r="ZN28" s="147"/>
      <c r="ZO28" s="148"/>
      <c r="ZP28" s="138">
        <v>0.5</v>
      </c>
      <c r="ZQ28" s="149">
        <v>0.5</v>
      </c>
      <c r="ZR28" s="142">
        <v>0.5</v>
      </c>
      <c r="ZS28" s="138">
        <v>0.5</v>
      </c>
      <c r="ZT28" s="138">
        <v>0.5</v>
      </c>
      <c r="ZU28" s="138">
        <v>0.5</v>
      </c>
      <c r="ZV28" s="138">
        <v>0.5</v>
      </c>
      <c r="ZW28" s="138">
        <v>0.5</v>
      </c>
      <c r="ZX28" s="137"/>
      <c r="ZY28" s="137"/>
      <c r="ZZ28" s="137"/>
      <c r="AAA28" s="137"/>
      <c r="AAB28" s="137"/>
      <c r="AAC28" s="146"/>
      <c r="AAD28" s="145"/>
      <c r="AAE28" s="146"/>
      <c r="AAF28" s="131">
        <f>SUM(ZD28:AAE28)</f>
      </c>
      <c r="AAG28" s="134"/>
      <c r="AAH28" s="135"/>
      <c r="AAI28" s="142">
        <v>0.5</v>
      </c>
      <c r="AAJ28" s="138">
        <v>0.5</v>
      </c>
      <c r="AAK28" s="138">
        <v>0.5</v>
      </c>
      <c r="AAL28" s="138">
        <v>0.5</v>
      </c>
      <c r="AAM28" s="138">
        <v>0.5</v>
      </c>
      <c r="AAN28" s="138">
        <v>0.5</v>
      </c>
      <c r="AAO28" s="138">
        <v>0.5</v>
      </c>
      <c r="AAP28" s="139">
        <v>0.5</v>
      </c>
      <c r="AAQ28" s="147"/>
      <c r="AAR28" s="148"/>
      <c r="AAS28" s="138">
        <v>0.5</v>
      </c>
      <c r="AAT28" s="149">
        <v>0.5</v>
      </c>
      <c r="AAU28" s="142">
        <v>0.5</v>
      </c>
      <c r="AAV28" s="138">
        <v>0.5</v>
      </c>
      <c r="AAW28" s="138">
        <v>0.5</v>
      </c>
      <c r="AAX28" s="138">
        <v>0.5</v>
      </c>
      <c r="AAY28" s="138">
        <v>0.5</v>
      </c>
      <c r="AAZ28" s="138">
        <v>0.5</v>
      </c>
      <c r="ABA28" s="137"/>
      <c r="ABB28" s="137"/>
      <c r="ABC28" s="137"/>
      <c r="ABD28" s="137"/>
      <c r="ABE28" s="137"/>
      <c r="ABF28" s="146"/>
      <c r="ABG28" s="145"/>
      <c r="ABH28" s="146"/>
      <c r="ABI28" s="131">
        <f>SUM(AAG28:ABH28)</f>
      </c>
      <c r="ABJ28" s="134"/>
      <c r="ABK28" s="135"/>
      <c r="ABL28" s="142">
        <v>0.5</v>
      </c>
      <c r="ABM28" s="138">
        <v>0.5</v>
      </c>
      <c r="ABN28" s="138">
        <v>0.5</v>
      </c>
      <c r="ABO28" s="138">
        <v>0.5</v>
      </c>
      <c r="ABP28" s="138">
        <v>0.5</v>
      </c>
      <c r="ABQ28" s="138">
        <v>0.5</v>
      </c>
      <c r="ABR28" s="138">
        <v>0.5</v>
      </c>
      <c r="ABS28" s="139">
        <v>0.5</v>
      </c>
      <c r="ABT28" s="147"/>
      <c r="ABU28" s="148"/>
      <c r="ABV28" s="138">
        <v>0.5</v>
      </c>
      <c r="ABW28" s="149">
        <v>0.5</v>
      </c>
      <c r="ABX28" s="142">
        <v>0.5</v>
      </c>
      <c r="ABY28" s="138">
        <v>0.5</v>
      </c>
      <c r="ABZ28" s="138">
        <v>0.5</v>
      </c>
      <c r="ACA28" s="138">
        <v>0.5</v>
      </c>
      <c r="ACB28" s="138">
        <v>0.5</v>
      </c>
      <c r="ACC28" s="138">
        <v>0.5</v>
      </c>
      <c r="ACD28" s="137"/>
      <c r="ACE28" s="137"/>
      <c r="ACF28" s="137"/>
      <c r="ACG28" s="137"/>
      <c r="ACH28" s="137"/>
      <c r="ACI28" s="146"/>
      <c r="ACJ28" s="145"/>
      <c r="ACK28" s="146"/>
      <c r="ACL28" s="131">
        <f>SUM(ABJ28:ACK28)</f>
      </c>
      <c r="ACM28" s="121"/>
      <c r="ACN28" s="122"/>
      <c r="ACO28" s="123"/>
      <c r="ACP28" s="124"/>
      <c r="ACQ28" s="124"/>
      <c r="ACR28" s="124"/>
      <c r="ACS28" s="124"/>
      <c r="ACT28" s="124"/>
      <c r="ACU28" s="124"/>
      <c r="ACV28" s="125"/>
      <c r="ACW28" s="126"/>
      <c r="ACX28" s="124"/>
      <c r="ACY28" s="124"/>
      <c r="ACZ28" s="127"/>
      <c r="ADA28" s="123"/>
      <c r="ADB28" s="124"/>
      <c r="ADC28" s="124"/>
      <c r="ADD28" s="124"/>
      <c r="ADE28" s="124"/>
      <c r="ADF28" s="124"/>
      <c r="ADG28" s="124"/>
      <c r="ADH28" s="124"/>
      <c r="ADI28" s="124"/>
      <c r="ADJ28" s="124"/>
      <c r="ADK28" s="124"/>
      <c r="ADL28" s="128"/>
      <c r="ADM28" s="129"/>
      <c r="ADN28" s="128"/>
      <c r="ADO28" s="131">
        <f>SUM(ACM28:ADN28)</f>
      </c>
      <c r="ADP28" s="121"/>
      <c r="ADQ28" s="122"/>
      <c r="ADR28" s="123"/>
      <c r="ADS28" s="124"/>
      <c r="ADT28" s="124"/>
      <c r="ADU28" s="124"/>
      <c r="ADV28" s="124"/>
      <c r="ADW28" s="124"/>
      <c r="ADX28" s="124"/>
      <c r="ADY28" s="125"/>
      <c r="ADZ28" s="126"/>
      <c r="AEA28" s="124"/>
      <c r="AEB28" s="124"/>
      <c r="AEC28" s="127"/>
      <c r="AED28" s="123"/>
      <c r="AEE28" s="124"/>
      <c r="AEF28" s="124"/>
      <c r="AEG28" s="124"/>
      <c r="AEH28" s="124"/>
      <c r="AEI28" s="124"/>
      <c r="AEJ28" s="124"/>
      <c r="AEK28" s="124"/>
      <c r="AEL28" s="124"/>
      <c r="AEM28" s="124"/>
      <c r="AEN28" s="124"/>
      <c r="AEO28" s="128"/>
      <c r="AEP28" s="129"/>
      <c r="AEQ28" s="128"/>
      <c r="AER28" s="131">
        <f>SUM(ADP28:AEQ28)</f>
      </c>
      <c r="AES28" s="150">
        <f>XZ28+ZC28+AAF28+ABI28+ACL28+ADO28+AER28</f>
      </c>
      <c r="AET28" s="133">
        <f>(COUNTIF(WX28:AER28,"H")+COUNTIF(WX28:AER28,"S")+COUNTIF(WX28:AER28,"L")+COUNTIF(WX28:AER28,"E")+COUNTIF(WX28:AER28,"C"))/2</f>
      </c>
      <c r="AEU28" s="131">
        <f>AES28+AET28</f>
      </c>
      <c r="AEV28" s="134"/>
      <c r="AEW28" s="135"/>
      <c r="AEX28" s="142">
        <v>0.5</v>
      </c>
      <c r="AEY28" s="138">
        <v>0.5</v>
      </c>
      <c r="AEZ28" s="138">
        <v>0.5</v>
      </c>
      <c r="AFA28" s="138">
        <v>0.5</v>
      </c>
      <c r="AFB28" s="138">
        <v>0.5</v>
      </c>
      <c r="AFC28" s="138">
        <v>0.5</v>
      </c>
      <c r="AFD28" s="138">
        <v>0.5</v>
      </c>
      <c r="AFE28" s="139">
        <v>0.5</v>
      </c>
      <c r="AFF28" s="147"/>
      <c r="AFG28" s="148"/>
      <c r="AFH28" s="138">
        <v>0.5</v>
      </c>
      <c r="AFI28" s="149">
        <v>0.5</v>
      </c>
      <c r="AFJ28" s="142">
        <v>0.5</v>
      </c>
      <c r="AFK28" s="138">
        <v>0.5</v>
      </c>
      <c r="AFL28" s="138">
        <v>0.5</v>
      </c>
      <c r="AFM28" s="138">
        <v>0.5</v>
      </c>
      <c r="AFN28" s="138">
        <v>0.5</v>
      </c>
      <c r="AFO28" s="138">
        <v>0.5</v>
      </c>
      <c r="AFP28" s="137"/>
      <c r="AFQ28" s="137"/>
      <c r="AFR28" s="137"/>
      <c r="AFS28" s="137"/>
      <c r="AFT28" s="137"/>
      <c r="AFU28" s="146"/>
      <c r="AFV28" s="145"/>
      <c r="AFW28" s="146"/>
      <c r="AFX28" s="131">
        <f>SUM(AEV28:AFW28)</f>
      </c>
      <c r="AFY28" s="134"/>
      <c r="AFZ28" s="135"/>
      <c r="AGA28" s="142">
        <v>0.5</v>
      </c>
      <c r="AGB28" s="138">
        <v>0.5</v>
      </c>
      <c r="AGC28" s="138">
        <v>0.5</v>
      </c>
      <c r="AGD28" s="138">
        <v>0.5</v>
      </c>
      <c r="AGE28" s="138">
        <v>0.5</v>
      </c>
      <c r="AGF28" s="138">
        <v>0.5</v>
      </c>
      <c r="AGG28" s="138">
        <v>0.5</v>
      </c>
      <c r="AGH28" s="139">
        <v>0.5</v>
      </c>
      <c r="AGI28" s="147"/>
      <c r="AGJ28" s="148"/>
      <c r="AGK28" s="138">
        <v>0.5</v>
      </c>
      <c r="AGL28" s="149">
        <v>0.5</v>
      </c>
      <c r="AGM28" s="142">
        <v>0.5</v>
      </c>
      <c r="AGN28" s="138">
        <v>0.5</v>
      </c>
      <c r="AGO28" s="138">
        <v>0.5</v>
      </c>
      <c r="AGP28" s="138">
        <v>0.5</v>
      </c>
      <c r="AGQ28" s="138">
        <v>0.5</v>
      </c>
      <c r="AGR28" s="138">
        <v>0.5</v>
      </c>
      <c r="AGS28" s="137"/>
      <c r="AGT28" s="137"/>
      <c r="AGU28" s="137"/>
      <c r="AGV28" s="137"/>
      <c r="AGW28" s="137"/>
      <c r="AGX28" s="146"/>
      <c r="AGY28" s="145"/>
      <c r="AGZ28" s="146"/>
      <c r="AHA28" s="131">
        <f>SUM(AFY28:AGZ28)</f>
      </c>
      <c r="AHB28" s="134"/>
      <c r="AHC28" s="135"/>
      <c r="AHD28" s="142">
        <v>0.5</v>
      </c>
      <c r="AHE28" s="138">
        <v>0.5</v>
      </c>
      <c r="AHF28" s="138">
        <v>0.5</v>
      </c>
      <c r="AHG28" s="138">
        <v>0.5</v>
      </c>
      <c r="AHH28" s="138">
        <v>0.5</v>
      </c>
      <c r="AHI28" s="138">
        <v>0.5</v>
      </c>
      <c r="AHJ28" s="138">
        <v>0.5</v>
      </c>
      <c r="AHK28" s="139">
        <v>0.5</v>
      </c>
      <c r="AHL28" s="147"/>
      <c r="AHM28" s="148"/>
      <c r="AHN28" s="138">
        <v>0.5</v>
      </c>
      <c r="AHO28" s="149">
        <v>0.5</v>
      </c>
      <c r="AHP28" s="142">
        <v>0.5</v>
      </c>
      <c r="AHQ28" s="138">
        <v>0.5</v>
      </c>
      <c r="AHR28" s="138">
        <v>0.5</v>
      </c>
      <c r="AHS28" s="138">
        <v>0.5</v>
      </c>
      <c r="AHT28" s="138">
        <v>0.5</v>
      </c>
      <c r="AHU28" s="138">
        <v>0.5</v>
      </c>
      <c r="AHV28" s="137"/>
      <c r="AHW28" s="137"/>
      <c r="AHX28" s="137"/>
      <c r="AHY28" s="137"/>
      <c r="AHZ28" s="137"/>
      <c r="AIA28" s="146"/>
      <c r="AIB28" s="145"/>
      <c r="AIC28" s="146"/>
      <c r="AID28" s="131">
        <f>SUM(AHB28:AIC28)</f>
      </c>
      <c r="AIE28" s="134"/>
      <c r="AIF28" s="135"/>
      <c r="AIG28" s="142">
        <v>0.5</v>
      </c>
      <c r="AIH28" s="138">
        <v>0.5</v>
      </c>
      <c r="AII28" s="138">
        <v>0.5</v>
      </c>
      <c r="AIJ28" s="138">
        <v>0.5</v>
      </c>
      <c r="AIK28" s="138">
        <v>0.5</v>
      </c>
      <c r="AIL28" s="138">
        <v>0.5</v>
      </c>
      <c r="AIM28" s="138">
        <v>0.5</v>
      </c>
      <c r="AIN28" s="139">
        <v>0.5</v>
      </c>
      <c r="AIO28" s="147"/>
      <c r="AIP28" s="148"/>
      <c r="AIQ28" s="138">
        <v>0.5</v>
      </c>
      <c r="AIR28" s="149">
        <v>0.5</v>
      </c>
      <c r="AIS28" s="142">
        <v>0.5</v>
      </c>
      <c r="AIT28" s="138">
        <v>0.5</v>
      </c>
      <c r="AIU28" s="138">
        <v>0.5</v>
      </c>
      <c r="AIV28" s="138">
        <v>0.5</v>
      </c>
      <c r="AIW28" s="138">
        <v>0.5</v>
      </c>
      <c r="AIX28" s="138">
        <v>0.5</v>
      </c>
      <c r="AIY28" s="137"/>
      <c r="AIZ28" s="137"/>
      <c r="AJA28" s="137"/>
      <c r="AJB28" s="137"/>
      <c r="AJC28" s="137"/>
      <c r="AJD28" s="146"/>
      <c r="AJE28" s="145"/>
      <c r="AJF28" s="146"/>
      <c r="AJG28" s="131">
        <f>SUM(AIE28:AJF28)</f>
      </c>
      <c r="AJH28" s="134"/>
      <c r="AJI28" s="135"/>
      <c r="AJJ28" s="142">
        <v>0.5</v>
      </c>
      <c r="AJK28" s="138">
        <v>0.5</v>
      </c>
      <c r="AJL28" s="138">
        <v>0.5</v>
      </c>
      <c r="AJM28" s="138">
        <v>0.5</v>
      </c>
      <c r="AJN28" s="138">
        <v>0.5</v>
      </c>
      <c r="AJO28" s="138">
        <v>0.5</v>
      </c>
      <c r="AJP28" s="138">
        <v>0.5</v>
      </c>
      <c r="AJQ28" s="139">
        <v>0.5</v>
      </c>
      <c r="AJR28" s="147"/>
      <c r="AJS28" s="148"/>
      <c r="AJT28" s="138">
        <v>0.5</v>
      </c>
      <c r="AJU28" s="149">
        <v>0.5</v>
      </c>
      <c r="AJV28" s="142">
        <v>0.5</v>
      </c>
      <c r="AJW28" s="138">
        <v>0.5</v>
      </c>
      <c r="AJX28" s="138">
        <v>0.5</v>
      </c>
      <c r="AJY28" s="138">
        <v>0.5</v>
      </c>
      <c r="AJZ28" s="138">
        <v>0.5</v>
      </c>
      <c r="AKA28" s="138">
        <v>0.5</v>
      </c>
      <c r="AKB28" s="137"/>
      <c r="AKC28" s="137"/>
      <c r="AKD28" s="137"/>
      <c r="AKE28" s="137"/>
      <c r="AKF28" s="137"/>
      <c r="AKG28" s="146"/>
      <c r="AKH28" s="145"/>
      <c r="AKI28" s="146"/>
      <c r="AKJ28" s="131">
        <f>SUM(AJH28:AKI28)</f>
      </c>
      <c r="AKK28" s="121"/>
      <c r="AKL28" s="122"/>
      <c r="AKM28" s="123"/>
      <c r="AKN28" s="124"/>
      <c r="AKO28" s="124"/>
      <c r="AKP28" s="124"/>
      <c r="AKQ28" s="124"/>
      <c r="AKR28" s="124"/>
      <c r="AKS28" s="124"/>
      <c r="AKT28" s="125"/>
      <c r="AKU28" s="126"/>
      <c r="AKV28" s="124"/>
      <c r="AKW28" s="124"/>
      <c r="AKX28" s="127"/>
      <c r="AKY28" s="123"/>
      <c r="AKZ28" s="124"/>
      <c r="ALA28" s="124"/>
      <c r="ALB28" s="124"/>
      <c r="ALC28" s="124"/>
      <c r="ALD28" s="124"/>
      <c r="ALE28" s="124"/>
      <c r="ALF28" s="124"/>
      <c r="ALG28" s="124"/>
      <c r="ALH28" s="124"/>
      <c r="ALI28" s="124"/>
      <c r="ALJ28" s="128"/>
      <c r="ALK28" s="129"/>
      <c r="ALL28" s="128"/>
      <c r="ALM28" s="131">
        <f>SUM(AKK28:ALL28)</f>
      </c>
      <c r="ALN28" s="121"/>
      <c r="ALO28" s="122"/>
      <c r="ALP28" s="123"/>
      <c r="ALQ28" s="124"/>
      <c r="ALR28" s="124"/>
      <c r="ALS28" s="124"/>
      <c r="ALT28" s="124"/>
      <c r="ALU28" s="124"/>
      <c r="ALV28" s="124"/>
      <c r="ALW28" s="125"/>
      <c r="ALX28" s="126"/>
      <c r="ALY28" s="124"/>
      <c r="ALZ28" s="124"/>
      <c r="AMA28" s="127"/>
      <c r="AMB28" s="123"/>
      <c r="AMC28" s="124"/>
      <c r="AMD28" s="124"/>
      <c r="AME28" s="124"/>
      <c r="AMF28" s="124"/>
      <c r="AMG28" s="124"/>
      <c r="AMH28" s="124"/>
      <c r="AMI28" s="124"/>
      <c r="AMJ28" s="124"/>
      <c r="AMK28" s="124"/>
      <c r="AML28" s="124"/>
      <c r="AMM28" s="128"/>
      <c r="AMN28" s="129"/>
      <c r="AMO28" s="128"/>
      <c r="AMP28" s="131">
        <f>SUM(ALN28:AMO28)</f>
      </c>
      <c r="AMQ28" s="150">
        <f>AFX28+AHA28+AID28+AJG28+AKJ28+ALM28+AMP28</f>
      </c>
      <c r="AMR28" s="133">
        <f>(COUNTIF(AEV28:AMP28,"H")+COUNTIF(AEV28:AMP28,"S")+COUNTIF(AEV28:AMP28,"L")+COUNTIF(AEV28:AMP28,"E")+COUNTIF(AEV28:AMP28,"C"))/2</f>
      </c>
      <c r="AMS28" s="131">
        <f>AMQ28+AMR28</f>
      </c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13"/>
      <c r="ANK28" s="13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</row>
    <row r="29" ht="15" customHeight="1" spans="1:1191" x14ac:dyDescent="0.25">
      <c r="A29" s="118"/>
      <c r="B29" s="230" t="s">
        <v>69</v>
      </c>
      <c r="C29" s="231" t="s">
        <v>55</v>
      </c>
      <c r="D29" s="121"/>
      <c r="E29" s="122"/>
      <c r="F29" s="123"/>
      <c r="G29" s="124"/>
      <c r="H29" s="124"/>
      <c r="I29" s="124"/>
      <c r="J29" s="124"/>
      <c r="K29" s="124"/>
      <c r="L29" s="124"/>
      <c r="M29" s="125"/>
      <c r="N29" s="126"/>
      <c r="O29" s="124"/>
      <c r="P29" s="124"/>
      <c r="Q29" s="127"/>
      <c r="R29" s="123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8"/>
      <c r="AD29" s="129"/>
      <c r="AE29" s="128"/>
      <c r="AF29" s="131">
        <f>SUM(D29:AE29)</f>
      </c>
      <c r="AG29" s="121"/>
      <c r="AH29" s="122"/>
      <c r="AI29" s="123"/>
      <c r="AJ29" s="124"/>
      <c r="AK29" s="124"/>
      <c r="AL29" s="124"/>
      <c r="AM29" s="124"/>
      <c r="AN29" s="124"/>
      <c r="AO29" s="124"/>
      <c r="AP29" s="125"/>
      <c r="AQ29" s="126"/>
      <c r="AR29" s="124"/>
      <c r="AS29" s="124"/>
      <c r="AT29" s="127"/>
      <c r="AU29" s="123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8"/>
      <c r="BG29" s="129"/>
      <c r="BH29" s="128"/>
      <c r="BI29" s="131">
        <f>SUM(AG29:BH29)</f>
      </c>
      <c r="BJ29" s="121"/>
      <c r="BK29" s="122"/>
      <c r="BL29" s="123"/>
      <c r="BM29" s="124"/>
      <c r="BN29" s="124"/>
      <c r="BO29" s="124"/>
      <c r="BP29" s="124"/>
      <c r="BQ29" s="124"/>
      <c r="BR29" s="124"/>
      <c r="BS29" s="125"/>
      <c r="BT29" s="126"/>
      <c r="BU29" s="124"/>
      <c r="BV29" s="124"/>
      <c r="BW29" s="127"/>
      <c r="BX29" s="123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8"/>
      <c r="CJ29" s="129"/>
      <c r="CK29" s="128"/>
      <c r="CL29" s="131">
        <f>SUM(BJ29:CK29)</f>
      </c>
      <c r="CM29" s="121"/>
      <c r="CN29" s="122"/>
      <c r="CO29" s="123"/>
      <c r="CP29" s="124"/>
      <c r="CQ29" s="124"/>
      <c r="CR29" s="124"/>
      <c r="CS29" s="124"/>
      <c r="CT29" s="124"/>
      <c r="CU29" s="124"/>
      <c r="CV29" s="125"/>
      <c r="CW29" s="126"/>
      <c r="CX29" s="124"/>
      <c r="CY29" s="124"/>
      <c r="CZ29" s="127"/>
      <c r="DA29" s="123"/>
      <c r="DB29" s="124"/>
      <c r="DC29" s="124"/>
      <c r="DD29" s="124"/>
      <c r="DE29" s="124"/>
      <c r="DF29" s="124"/>
      <c r="DG29" s="124"/>
      <c r="DH29" s="124"/>
      <c r="DI29" s="124"/>
      <c r="DJ29" s="124"/>
      <c r="DK29" s="124"/>
      <c r="DL29" s="128"/>
      <c r="DM29" s="129"/>
      <c r="DN29" s="128"/>
      <c r="DO29" s="131">
        <f>SUM(CM29:DN29)</f>
      </c>
      <c r="DP29" s="121"/>
      <c r="DQ29" s="122"/>
      <c r="DR29" s="123"/>
      <c r="DS29" s="124"/>
      <c r="DT29" s="124"/>
      <c r="DU29" s="124"/>
      <c r="DV29" s="124"/>
      <c r="DW29" s="124"/>
      <c r="DX29" s="124"/>
      <c r="DY29" s="125"/>
      <c r="DZ29" s="126"/>
      <c r="EA29" s="124"/>
      <c r="EB29" s="124"/>
      <c r="EC29" s="127"/>
      <c r="ED29" s="123"/>
      <c r="EE29" s="124"/>
      <c r="EF29" s="124"/>
      <c r="EG29" s="124"/>
      <c r="EH29" s="124"/>
      <c r="EI29" s="124"/>
      <c r="EJ29" s="124"/>
      <c r="EK29" s="124"/>
      <c r="EL29" s="124"/>
      <c r="EM29" s="124"/>
      <c r="EN29" s="124"/>
      <c r="EO29" s="128"/>
      <c r="EP29" s="129"/>
      <c r="EQ29" s="128"/>
      <c r="ER29" s="131">
        <f>SUM(DP29:EQ29)</f>
      </c>
      <c r="ES29" s="121"/>
      <c r="ET29" s="122"/>
      <c r="EU29" s="123"/>
      <c r="EV29" s="124"/>
      <c r="EW29" s="124"/>
      <c r="EX29" s="124"/>
      <c r="EY29" s="124"/>
      <c r="EZ29" s="124"/>
      <c r="FA29" s="124"/>
      <c r="FB29" s="125"/>
      <c r="FC29" s="126"/>
      <c r="FD29" s="124"/>
      <c r="FE29" s="124"/>
      <c r="FF29" s="127"/>
      <c r="FG29" s="123"/>
      <c r="FH29" s="124"/>
      <c r="FI29" s="124"/>
      <c r="FJ29" s="124"/>
      <c r="FK29" s="124"/>
      <c r="FL29" s="124"/>
      <c r="FM29" s="124"/>
      <c r="FN29" s="124"/>
      <c r="FO29" s="124"/>
      <c r="FP29" s="124"/>
      <c r="FQ29" s="124"/>
      <c r="FR29" s="128"/>
      <c r="FS29" s="129"/>
      <c r="FT29" s="128"/>
      <c r="FU29" s="131">
        <f>SUM(ES29:FT29)</f>
      </c>
      <c r="FV29" s="121"/>
      <c r="FW29" s="122"/>
      <c r="FX29" s="123"/>
      <c r="FY29" s="124"/>
      <c r="FZ29" s="124"/>
      <c r="GA29" s="124"/>
      <c r="GB29" s="124"/>
      <c r="GC29" s="124"/>
      <c r="GD29" s="124"/>
      <c r="GE29" s="125"/>
      <c r="GF29" s="126"/>
      <c r="GG29" s="124"/>
      <c r="GH29" s="124"/>
      <c r="GI29" s="127"/>
      <c r="GJ29" s="123"/>
      <c r="GK29" s="124"/>
      <c r="GL29" s="124"/>
      <c r="GM29" s="124"/>
      <c r="GN29" s="124"/>
      <c r="GO29" s="124"/>
      <c r="GP29" s="124"/>
      <c r="GQ29" s="124"/>
      <c r="GR29" s="124"/>
      <c r="GS29" s="124"/>
      <c r="GT29" s="124"/>
      <c r="GU29" s="128"/>
      <c r="GV29" s="129"/>
      <c r="GW29" s="128"/>
      <c r="GX29" s="131">
        <f>SUM(FV29:GW29)</f>
      </c>
      <c r="GY29" s="132">
        <f>AF29+BI29+CL29+DO29+ER29+FU29+GX29</f>
      </c>
      <c r="GZ29" s="133">
        <f>(COUNTIF(D29:GX29,"H")+COUNTIF(D29:GX29,"S")+COUNTIF(D29:GX29,"L")+COUNTIF(D29:GX29,"E")+COUNTIF(D29:GX29,"C"))/2</f>
      </c>
      <c r="HA29" s="130">
        <f>GY29+GZ29</f>
      </c>
      <c r="HB29" s="134"/>
      <c r="HC29" s="135"/>
      <c r="HD29" s="136"/>
      <c r="HE29" s="138">
        <v>0.5</v>
      </c>
      <c r="HF29" s="138">
        <v>0.5</v>
      </c>
      <c r="HG29" s="138">
        <v>0.5</v>
      </c>
      <c r="HH29" s="138">
        <v>0.5</v>
      </c>
      <c r="HI29" s="138">
        <v>0.5</v>
      </c>
      <c r="HJ29" s="138">
        <v>0.5</v>
      </c>
      <c r="HK29" s="139">
        <v>0.5</v>
      </c>
      <c r="HL29" s="155"/>
      <c r="HM29" s="137"/>
      <c r="HN29" s="138">
        <v>0.5</v>
      </c>
      <c r="HO29" s="149">
        <v>0.5</v>
      </c>
      <c r="HP29" s="142">
        <v>0.5</v>
      </c>
      <c r="HQ29" s="138">
        <v>0.5</v>
      </c>
      <c r="HR29" s="138">
        <v>0.5</v>
      </c>
      <c r="HS29" s="138">
        <v>0.5</v>
      </c>
      <c r="HT29" s="138">
        <v>0.5</v>
      </c>
      <c r="HU29" s="138">
        <v>0.5</v>
      </c>
      <c r="HV29" s="138">
        <v>0.5</v>
      </c>
      <c r="HW29" s="137"/>
      <c r="HX29" s="137"/>
      <c r="HY29" s="137"/>
      <c r="HZ29" s="137"/>
      <c r="IA29" s="146"/>
      <c r="IB29" s="145"/>
      <c r="IC29" s="146"/>
      <c r="ID29" s="131">
        <f>SUM(HB29:IC29)</f>
      </c>
      <c r="IE29" s="134"/>
      <c r="IF29" s="135"/>
      <c r="IG29" s="136"/>
      <c r="IH29" s="138">
        <v>0.5</v>
      </c>
      <c r="II29" s="138">
        <v>0.5</v>
      </c>
      <c r="IJ29" s="138">
        <v>0.5</v>
      </c>
      <c r="IK29" s="138">
        <v>0.5</v>
      </c>
      <c r="IL29" s="138">
        <v>0.5</v>
      </c>
      <c r="IM29" s="138">
        <v>0.5</v>
      </c>
      <c r="IN29" s="139">
        <v>0.5</v>
      </c>
      <c r="IO29" s="155"/>
      <c r="IP29" s="137"/>
      <c r="IQ29" s="138">
        <v>0.5</v>
      </c>
      <c r="IR29" s="149">
        <v>0.5</v>
      </c>
      <c r="IS29" s="142">
        <v>0.5</v>
      </c>
      <c r="IT29" s="138">
        <v>0.5</v>
      </c>
      <c r="IU29" s="138">
        <v>0.5</v>
      </c>
      <c r="IV29" s="138">
        <v>0.5</v>
      </c>
      <c r="IW29" s="138">
        <v>0.5</v>
      </c>
      <c r="IX29" s="138">
        <v>0.5</v>
      </c>
      <c r="IY29" s="138">
        <v>0.5</v>
      </c>
      <c r="IZ29" s="137"/>
      <c r="JA29" s="137"/>
      <c r="JB29" s="137"/>
      <c r="JC29" s="137"/>
      <c r="JD29" s="146"/>
      <c r="JE29" s="145"/>
      <c r="JF29" s="146"/>
      <c r="JG29" s="131">
        <f>SUM(IE29:JF29)</f>
      </c>
      <c r="JH29" s="134"/>
      <c r="JI29" s="135"/>
      <c r="JJ29" s="136"/>
      <c r="JK29" s="138">
        <v>0.5</v>
      </c>
      <c r="JL29" s="138">
        <v>0.5</v>
      </c>
      <c r="JM29" s="138">
        <v>0.5</v>
      </c>
      <c r="JN29" s="138">
        <v>0.5</v>
      </c>
      <c r="JO29" s="138">
        <v>0.5</v>
      </c>
      <c r="JP29" s="138">
        <v>0.5</v>
      </c>
      <c r="JQ29" s="139">
        <v>0.5</v>
      </c>
      <c r="JR29" s="155"/>
      <c r="JS29" s="137"/>
      <c r="JT29" s="138">
        <v>0.5</v>
      </c>
      <c r="JU29" s="149">
        <v>0.5</v>
      </c>
      <c r="JV29" s="142">
        <v>0.5</v>
      </c>
      <c r="JW29" s="138">
        <v>0.5</v>
      </c>
      <c r="JX29" s="138">
        <v>0.5</v>
      </c>
      <c r="JY29" s="138">
        <v>0.5</v>
      </c>
      <c r="JZ29" s="138">
        <v>0.5</v>
      </c>
      <c r="KA29" s="138">
        <v>0.5</v>
      </c>
      <c r="KB29" s="138">
        <v>0.5</v>
      </c>
      <c r="KC29" s="137"/>
      <c r="KD29" s="137"/>
      <c r="KE29" s="137"/>
      <c r="KF29" s="137"/>
      <c r="KG29" s="146"/>
      <c r="KH29" s="145"/>
      <c r="KI29" s="146"/>
      <c r="KJ29" s="131">
        <f>SUM(JH29:KI29)</f>
      </c>
      <c r="KK29" s="134"/>
      <c r="KL29" s="135"/>
      <c r="KM29" s="136"/>
      <c r="KN29" s="138">
        <v>0.5</v>
      </c>
      <c r="KO29" s="138">
        <v>0.5</v>
      </c>
      <c r="KP29" s="138">
        <v>0.5</v>
      </c>
      <c r="KQ29" s="138">
        <v>0.5</v>
      </c>
      <c r="KR29" s="138">
        <v>0.5</v>
      </c>
      <c r="KS29" s="138">
        <v>0.5</v>
      </c>
      <c r="KT29" s="139">
        <v>0.5</v>
      </c>
      <c r="KU29" s="155"/>
      <c r="KV29" s="137"/>
      <c r="KW29" s="138">
        <v>0.5</v>
      </c>
      <c r="KX29" s="149">
        <v>0.5</v>
      </c>
      <c r="KY29" s="142">
        <v>0.5</v>
      </c>
      <c r="KZ29" s="138">
        <v>0.5</v>
      </c>
      <c r="LA29" s="138">
        <v>0.5</v>
      </c>
      <c r="LB29" s="138">
        <v>0.5</v>
      </c>
      <c r="LC29" s="138">
        <v>0.5</v>
      </c>
      <c r="LD29" s="138">
        <v>0.5</v>
      </c>
      <c r="LE29" s="138">
        <v>0.5</v>
      </c>
      <c r="LF29" s="137"/>
      <c r="LG29" s="137"/>
      <c r="LH29" s="137"/>
      <c r="LI29" s="137"/>
      <c r="LJ29" s="146"/>
      <c r="LK29" s="145"/>
      <c r="LL29" s="146"/>
      <c r="LM29" s="131">
        <f>SUM(KK29:LL29)</f>
      </c>
      <c r="LN29" s="134"/>
      <c r="LO29" s="135"/>
      <c r="LP29" s="136"/>
      <c r="LQ29" s="138">
        <v>0.5</v>
      </c>
      <c r="LR29" s="138">
        <v>0.5</v>
      </c>
      <c r="LS29" s="138">
        <v>0.5</v>
      </c>
      <c r="LT29" s="138">
        <v>0.5</v>
      </c>
      <c r="LU29" s="138">
        <v>0.5</v>
      </c>
      <c r="LV29" s="138">
        <v>0.5</v>
      </c>
      <c r="LW29" s="139">
        <v>0.5</v>
      </c>
      <c r="LX29" s="155"/>
      <c r="LY29" s="137"/>
      <c r="LZ29" s="138">
        <v>0.5</v>
      </c>
      <c r="MA29" s="149">
        <v>0.5</v>
      </c>
      <c r="MB29" s="142">
        <v>0.5</v>
      </c>
      <c r="MC29" s="138">
        <v>0.5</v>
      </c>
      <c r="MD29" s="138">
        <v>0.5</v>
      </c>
      <c r="ME29" s="138">
        <v>0.5</v>
      </c>
      <c r="MF29" s="138">
        <v>0.5</v>
      </c>
      <c r="MG29" s="138">
        <v>0.5</v>
      </c>
      <c r="MH29" s="138">
        <v>0.5</v>
      </c>
      <c r="MI29" s="137"/>
      <c r="MJ29" s="137"/>
      <c r="MK29" s="137"/>
      <c r="ML29" s="137"/>
      <c r="MM29" s="146"/>
      <c r="MN29" s="145"/>
      <c r="MO29" s="146"/>
      <c r="MP29" s="131">
        <f>SUM(LN29:MO29)</f>
      </c>
      <c r="MQ29" s="121"/>
      <c r="MR29" s="122"/>
      <c r="MS29" s="123"/>
      <c r="MT29" s="124"/>
      <c r="MU29" s="124"/>
      <c r="MV29" s="124"/>
      <c r="MW29" s="124"/>
      <c r="MX29" s="124"/>
      <c r="MY29" s="124"/>
      <c r="MZ29" s="125"/>
      <c r="NA29" s="126"/>
      <c r="NB29" s="124"/>
      <c r="NC29" s="124"/>
      <c r="ND29" s="127"/>
      <c r="NE29" s="123"/>
      <c r="NF29" s="124"/>
      <c r="NG29" s="124"/>
      <c r="NH29" s="124"/>
      <c r="NI29" s="124"/>
      <c r="NJ29" s="124"/>
      <c r="NK29" s="124"/>
      <c r="NL29" s="124"/>
      <c r="NM29" s="124"/>
      <c r="NN29" s="124"/>
      <c r="NO29" s="124"/>
      <c r="NP29" s="128"/>
      <c r="NQ29" s="129"/>
      <c r="NR29" s="128"/>
      <c r="NS29" s="131">
        <f>SUM(MQ29:NR29)</f>
      </c>
      <c r="NT29" s="121"/>
      <c r="NU29" s="122"/>
      <c r="NV29" s="123"/>
      <c r="NW29" s="124"/>
      <c r="NX29" s="124"/>
      <c r="NY29" s="124"/>
      <c r="NZ29" s="124"/>
      <c r="OA29" s="124"/>
      <c r="OB29" s="124"/>
      <c r="OC29" s="125"/>
      <c r="OD29" s="126"/>
      <c r="OE29" s="124"/>
      <c r="OF29" s="124"/>
      <c r="OG29" s="127"/>
      <c r="OH29" s="123"/>
      <c r="OI29" s="124"/>
      <c r="OJ29" s="124"/>
      <c r="OK29" s="124"/>
      <c r="OL29" s="124"/>
      <c r="OM29" s="124"/>
      <c r="ON29" s="124"/>
      <c r="OO29" s="124"/>
      <c r="OP29" s="124"/>
      <c r="OQ29" s="124"/>
      <c r="OR29" s="124"/>
      <c r="OS29" s="128"/>
      <c r="OT29" s="129"/>
      <c r="OU29" s="128"/>
      <c r="OV29" s="131">
        <f>SUM(NT29:OU29)</f>
      </c>
      <c r="OW29" s="132">
        <f>ID29+JG29+KJ29+LM29+MP29+NS29+OV29</f>
      </c>
      <c r="OX29" s="133">
        <f>(COUNTIF(HB29:OV29,"H")+COUNTIF(HB29:OV29,"S")+COUNTIF(HB29:OV29,"L")+COUNTIF(HB29:OV29,"E")+COUNTIF(HB29:OV29,"C"))/2</f>
      </c>
      <c r="OY29" s="130">
        <f>OW29+OX29</f>
      </c>
      <c r="OZ29" s="134"/>
      <c r="PA29" s="135"/>
      <c r="PB29" s="136"/>
      <c r="PC29" s="138">
        <v>0.5</v>
      </c>
      <c r="PD29" s="138">
        <v>0.5</v>
      </c>
      <c r="PE29" s="138">
        <v>0.5</v>
      </c>
      <c r="PF29" s="138">
        <v>0.5</v>
      </c>
      <c r="PG29" s="138">
        <v>0.5</v>
      </c>
      <c r="PH29" s="138">
        <v>0.5</v>
      </c>
      <c r="PI29" s="139">
        <v>0.5</v>
      </c>
      <c r="PJ29" s="155"/>
      <c r="PK29" s="137"/>
      <c r="PL29" s="138">
        <v>0.5</v>
      </c>
      <c r="PM29" s="149">
        <v>0.5</v>
      </c>
      <c r="PN29" s="142">
        <v>0.5</v>
      </c>
      <c r="PO29" s="138">
        <v>0.5</v>
      </c>
      <c r="PP29" s="138">
        <v>0.5</v>
      </c>
      <c r="PQ29" s="138">
        <v>0.5</v>
      </c>
      <c r="PR29" s="138">
        <v>0.5</v>
      </c>
      <c r="PS29" s="138">
        <v>0.5</v>
      </c>
      <c r="PT29" s="138">
        <v>0.5</v>
      </c>
      <c r="PU29" s="137"/>
      <c r="PV29" s="137"/>
      <c r="PW29" s="137"/>
      <c r="PX29" s="137"/>
      <c r="PY29" s="146"/>
      <c r="PZ29" s="145"/>
      <c r="QA29" s="146"/>
      <c r="QB29" s="131">
        <f>SUM(OZ29:QA29)</f>
      </c>
      <c r="QC29" s="134"/>
      <c r="QD29" s="135"/>
      <c r="QE29" s="136"/>
      <c r="QF29" s="138">
        <v>0.5</v>
      </c>
      <c r="QG29" s="138">
        <v>0.5</v>
      </c>
      <c r="QH29" s="138">
        <v>0.5</v>
      </c>
      <c r="QI29" s="138">
        <v>0.5</v>
      </c>
      <c r="QJ29" s="138">
        <v>0.5</v>
      </c>
      <c r="QK29" s="138">
        <v>0.5</v>
      </c>
      <c r="QL29" s="139">
        <v>0.5</v>
      </c>
      <c r="QM29" s="155"/>
      <c r="QN29" s="137"/>
      <c r="QO29" s="138">
        <v>0.5</v>
      </c>
      <c r="QP29" s="149">
        <v>0.5</v>
      </c>
      <c r="QQ29" s="142">
        <v>0.5</v>
      </c>
      <c r="QR29" s="138">
        <v>0.5</v>
      </c>
      <c r="QS29" s="138">
        <v>0.5</v>
      </c>
      <c r="QT29" s="138">
        <v>0.5</v>
      </c>
      <c r="QU29" s="138">
        <v>0.5</v>
      </c>
      <c r="QV29" s="138">
        <v>0.5</v>
      </c>
      <c r="QW29" s="138">
        <v>0.5</v>
      </c>
      <c r="QX29" s="137"/>
      <c r="QY29" s="137"/>
      <c r="QZ29" s="137"/>
      <c r="RA29" s="137"/>
      <c r="RB29" s="146"/>
      <c r="RC29" s="145"/>
      <c r="RD29" s="146"/>
      <c r="RE29" s="131">
        <f>SUM(QC29:RD29)</f>
      </c>
      <c r="RF29" s="134"/>
      <c r="RG29" s="135"/>
      <c r="RH29" s="136"/>
      <c r="RI29" s="138">
        <v>0.5</v>
      </c>
      <c r="RJ29" s="138">
        <v>0.5</v>
      </c>
      <c r="RK29" s="138">
        <v>0.5</v>
      </c>
      <c r="RL29" s="138">
        <v>0.5</v>
      </c>
      <c r="RM29" s="138">
        <v>0.5</v>
      </c>
      <c r="RN29" s="138">
        <v>0.5</v>
      </c>
      <c r="RO29" s="139">
        <v>0.5</v>
      </c>
      <c r="RP29" s="155"/>
      <c r="RQ29" s="137"/>
      <c r="RR29" s="138">
        <v>0.5</v>
      </c>
      <c r="RS29" s="149">
        <v>0.5</v>
      </c>
      <c r="RT29" s="142">
        <v>0.5</v>
      </c>
      <c r="RU29" s="138">
        <v>0.5</v>
      </c>
      <c r="RV29" s="138">
        <v>0.5</v>
      </c>
      <c r="RW29" s="138">
        <v>0.5</v>
      </c>
      <c r="RX29" s="138">
        <v>0.5</v>
      </c>
      <c r="RY29" s="138">
        <v>0.5</v>
      </c>
      <c r="RZ29" s="138">
        <v>0.5</v>
      </c>
      <c r="SA29" s="137"/>
      <c r="SB29" s="137"/>
      <c r="SC29" s="137"/>
      <c r="SD29" s="137"/>
      <c r="SE29" s="146"/>
      <c r="SF29" s="145"/>
      <c r="SG29" s="146"/>
      <c r="SH29" s="131">
        <f>SUM(RF29:SG29)</f>
      </c>
      <c r="SI29" s="134"/>
      <c r="SJ29" s="135"/>
      <c r="SK29" s="136"/>
      <c r="SL29" s="138">
        <v>0.5</v>
      </c>
      <c r="SM29" s="138">
        <v>0.5</v>
      </c>
      <c r="SN29" s="138">
        <v>0.5</v>
      </c>
      <c r="SO29" s="138">
        <v>0.5</v>
      </c>
      <c r="SP29" s="138">
        <v>0.5</v>
      </c>
      <c r="SQ29" s="138">
        <v>0.5</v>
      </c>
      <c r="SR29" s="139">
        <v>0.5</v>
      </c>
      <c r="SS29" s="155"/>
      <c r="ST29" s="137"/>
      <c r="SU29" s="138">
        <v>0.5</v>
      </c>
      <c r="SV29" s="149">
        <v>0.5</v>
      </c>
      <c r="SW29" s="142">
        <v>0.5</v>
      </c>
      <c r="SX29" s="138">
        <v>0.5</v>
      </c>
      <c r="SY29" s="138">
        <v>0.5</v>
      </c>
      <c r="SZ29" s="138">
        <v>0.5</v>
      </c>
      <c r="TA29" s="138">
        <v>0.5</v>
      </c>
      <c r="TB29" s="138">
        <v>0.5</v>
      </c>
      <c r="TC29" s="138">
        <v>0.5</v>
      </c>
      <c r="TD29" s="137"/>
      <c r="TE29" s="137"/>
      <c r="TF29" s="137"/>
      <c r="TG29" s="137"/>
      <c r="TH29" s="146"/>
      <c r="TI29" s="145"/>
      <c r="TJ29" s="146"/>
      <c r="TK29" s="131">
        <f>SUM(SI29:TJ29)</f>
      </c>
      <c r="TL29" s="134"/>
      <c r="TM29" s="135"/>
      <c r="TN29" s="136"/>
      <c r="TO29" s="138">
        <v>0.5</v>
      </c>
      <c r="TP29" s="138">
        <v>0.5</v>
      </c>
      <c r="TQ29" s="138">
        <v>0.5</v>
      </c>
      <c r="TR29" s="138">
        <v>0.5</v>
      </c>
      <c r="TS29" s="138">
        <v>0.5</v>
      </c>
      <c r="TT29" s="138">
        <v>0.5</v>
      </c>
      <c r="TU29" s="139">
        <v>0.5</v>
      </c>
      <c r="TV29" s="155"/>
      <c r="TW29" s="137"/>
      <c r="TX29" s="138">
        <v>0.5</v>
      </c>
      <c r="TY29" s="149">
        <v>0.5</v>
      </c>
      <c r="TZ29" s="142">
        <v>0.5</v>
      </c>
      <c r="UA29" s="138">
        <v>0.5</v>
      </c>
      <c r="UB29" s="138">
        <v>0.5</v>
      </c>
      <c r="UC29" s="138">
        <v>0.5</v>
      </c>
      <c r="UD29" s="138">
        <v>0.5</v>
      </c>
      <c r="UE29" s="138">
        <v>0.5</v>
      </c>
      <c r="UF29" s="138">
        <v>0.5</v>
      </c>
      <c r="UG29" s="137"/>
      <c r="UH29" s="137"/>
      <c r="UI29" s="137"/>
      <c r="UJ29" s="137"/>
      <c r="UK29" s="146"/>
      <c r="UL29" s="145"/>
      <c r="UM29" s="146"/>
      <c r="UN29" s="131">
        <f>SUM(TL29:UM29)</f>
      </c>
      <c r="UO29" s="121"/>
      <c r="UP29" s="122"/>
      <c r="UQ29" s="123"/>
      <c r="UR29" s="124"/>
      <c r="US29" s="124"/>
      <c r="UT29" s="124"/>
      <c r="UU29" s="124"/>
      <c r="UV29" s="124"/>
      <c r="UW29" s="124"/>
      <c r="UX29" s="125"/>
      <c r="UY29" s="126"/>
      <c r="UZ29" s="124"/>
      <c r="VA29" s="124"/>
      <c r="VB29" s="127"/>
      <c r="VC29" s="123"/>
      <c r="VD29" s="124"/>
      <c r="VE29" s="124"/>
      <c r="VF29" s="124"/>
      <c r="VG29" s="124"/>
      <c r="VH29" s="124"/>
      <c r="VI29" s="124"/>
      <c r="VJ29" s="124"/>
      <c r="VK29" s="124"/>
      <c r="VL29" s="124"/>
      <c r="VM29" s="124"/>
      <c r="VN29" s="128"/>
      <c r="VO29" s="129"/>
      <c r="VP29" s="128"/>
      <c r="VQ29" s="131">
        <f>SUM(UO29:VP29)</f>
      </c>
      <c r="VR29" s="121"/>
      <c r="VS29" s="122"/>
      <c r="VT29" s="123"/>
      <c r="VU29" s="124"/>
      <c r="VV29" s="124"/>
      <c r="VW29" s="124"/>
      <c r="VX29" s="124"/>
      <c r="VY29" s="124"/>
      <c r="VZ29" s="124"/>
      <c r="WA29" s="125"/>
      <c r="WB29" s="126"/>
      <c r="WC29" s="124"/>
      <c r="WD29" s="124"/>
      <c r="WE29" s="127"/>
      <c r="WF29" s="123"/>
      <c r="WG29" s="124"/>
      <c r="WH29" s="124"/>
      <c r="WI29" s="124"/>
      <c r="WJ29" s="124"/>
      <c r="WK29" s="124"/>
      <c r="WL29" s="124"/>
      <c r="WM29" s="124"/>
      <c r="WN29" s="124"/>
      <c r="WO29" s="124"/>
      <c r="WP29" s="124"/>
      <c r="WQ29" s="128"/>
      <c r="WR29" s="129"/>
      <c r="WS29" s="128"/>
      <c r="WT29" s="131">
        <f>SUM(VR29:WS29)</f>
      </c>
      <c r="WU29" s="150">
        <f>QB29+RE29+SH29+TK29+UN29+VQ29+WT29</f>
      </c>
      <c r="WV29" s="133">
        <f>(COUNTIF(OZ29:WT29,"H")+COUNTIF(OZ29:WT29,"S")+COUNTIF(OZ29:WT29,"L")+COUNTIF(OZ29:WT29,"E")+COUNTIF(OZ29:WT29,"C"))/2</f>
      </c>
      <c r="WW29" s="131">
        <f>WU29+WV29</f>
      </c>
      <c r="WX29" s="134"/>
      <c r="WY29" s="135"/>
      <c r="WZ29" s="136"/>
      <c r="XA29" s="138">
        <v>0.5</v>
      </c>
      <c r="XB29" s="138">
        <v>0.5</v>
      </c>
      <c r="XC29" s="138">
        <v>0.5</v>
      </c>
      <c r="XD29" s="138">
        <v>0.5</v>
      </c>
      <c r="XE29" s="138">
        <v>0.5</v>
      </c>
      <c r="XF29" s="138">
        <v>0.5</v>
      </c>
      <c r="XG29" s="139">
        <v>0.5</v>
      </c>
      <c r="XH29" s="155"/>
      <c r="XI29" s="137"/>
      <c r="XJ29" s="138">
        <v>0.5</v>
      </c>
      <c r="XK29" s="149">
        <v>0.5</v>
      </c>
      <c r="XL29" s="142">
        <v>0.5</v>
      </c>
      <c r="XM29" s="138">
        <v>0.5</v>
      </c>
      <c r="XN29" s="138">
        <v>0.5</v>
      </c>
      <c r="XO29" s="138">
        <v>0.5</v>
      </c>
      <c r="XP29" s="138">
        <v>0.5</v>
      </c>
      <c r="XQ29" s="138">
        <v>0.5</v>
      </c>
      <c r="XR29" s="138">
        <v>0.5</v>
      </c>
      <c r="XS29" s="137"/>
      <c r="XT29" s="137"/>
      <c r="XU29" s="137"/>
      <c r="XV29" s="137"/>
      <c r="XW29" s="146"/>
      <c r="XX29" s="145"/>
      <c r="XY29" s="146"/>
      <c r="XZ29" s="131">
        <f>SUM(WX29:XY29)</f>
      </c>
      <c r="YA29" s="134"/>
      <c r="YB29" s="135"/>
      <c r="YC29" s="136"/>
      <c r="YD29" s="138">
        <v>0.5</v>
      </c>
      <c r="YE29" s="138">
        <v>0.5</v>
      </c>
      <c r="YF29" s="138">
        <v>0.5</v>
      </c>
      <c r="YG29" s="138">
        <v>0.5</v>
      </c>
      <c r="YH29" s="138">
        <v>0.5</v>
      </c>
      <c r="YI29" s="138">
        <v>0.5</v>
      </c>
      <c r="YJ29" s="139">
        <v>0.5</v>
      </c>
      <c r="YK29" s="155"/>
      <c r="YL29" s="137"/>
      <c r="YM29" s="138">
        <v>0.5</v>
      </c>
      <c r="YN29" s="149">
        <v>0.5</v>
      </c>
      <c r="YO29" s="142">
        <v>0.5</v>
      </c>
      <c r="YP29" s="138">
        <v>0.5</v>
      </c>
      <c r="YQ29" s="138">
        <v>0.5</v>
      </c>
      <c r="YR29" s="138">
        <v>0.5</v>
      </c>
      <c r="YS29" s="138">
        <v>0.5</v>
      </c>
      <c r="YT29" s="138">
        <v>0.5</v>
      </c>
      <c r="YU29" s="138">
        <v>0.5</v>
      </c>
      <c r="YV29" s="137"/>
      <c r="YW29" s="137"/>
      <c r="YX29" s="137"/>
      <c r="YY29" s="137"/>
      <c r="YZ29" s="146"/>
      <c r="ZA29" s="145"/>
      <c r="ZB29" s="146"/>
      <c r="ZC29" s="131">
        <f>SUM(YA29:ZB29)</f>
      </c>
      <c r="ZD29" s="134"/>
      <c r="ZE29" s="135"/>
      <c r="ZF29" s="136"/>
      <c r="ZG29" s="138">
        <v>0.5</v>
      </c>
      <c r="ZH29" s="138">
        <v>0.5</v>
      </c>
      <c r="ZI29" s="138">
        <v>0.5</v>
      </c>
      <c r="ZJ29" s="138">
        <v>0.5</v>
      </c>
      <c r="ZK29" s="138">
        <v>0.5</v>
      </c>
      <c r="ZL29" s="138">
        <v>0.5</v>
      </c>
      <c r="ZM29" s="139">
        <v>0.5</v>
      </c>
      <c r="ZN29" s="155"/>
      <c r="ZO29" s="137"/>
      <c r="ZP29" s="138">
        <v>0.5</v>
      </c>
      <c r="ZQ29" s="149">
        <v>0.5</v>
      </c>
      <c r="ZR29" s="142">
        <v>0.5</v>
      </c>
      <c r="ZS29" s="138">
        <v>0.5</v>
      </c>
      <c r="ZT29" s="138">
        <v>0.5</v>
      </c>
      <c r="ZU29" s="138">
        <v>0.5</v>
      </c>
      <c r="ZV29" s="138">
        <v>0.5</v>
      </c>
      <c r="ZW29" s="138">
        <v>0.5</v>
      </c>
      <c r="ZX29" s="138">
        <v>0.5</v>
      </c>
      <c r="ZY29" s="137"/>
      <c r="ZZ29" s="137"/>
      <c r="AAA29" s="137"/>
      <c r="AAB29" s="137"/>
      <c r="AAC29" s="146"/>
      <c r="AAD29" s="145"/>
      <c r="AAE29" s="146"/>
      <c r="AAF29" s="131">
        <f>SUM(ZD29:AAE29)</f>
      </c>
      <c r="AAG29" s="134"/>
      <c r="AAH29" s="135"/>
      <c r="AAI29" s="136"/>
      <c r="AAJ29" s="138">
        <v>0.5</v>
      </c>
      <c r="AAK29" s="138">
        <v>0.5</v>
      </c>
      <c r="AAL29" s="138">
        <v>0.5</v>
      </c>
      <c r="AAM29" s="138">
        <v>0.5</v>
      </c>
      <c r="AAN29" s="138">
        <v>0.5</v>
      </c>
      <c r="AAO29" s="138">
        <v>0.5</v>
      </c>
      <c r="AAP29" s="139">
        <v>0.5</v>
      </c>
      <c r="AAQ29" s="155"/>
      <c r="AAR29" s="137"/>
      <c r="AAS29" s="138">
        <v>0.5</v>
      </c>
      <c r="AAT29" s="149">
        <v>0.5</v>
      </c>
      <c r="AAU29" s="142">
        <v>0.5</v>
      </c>
      <c r="AAV29" s="138">
        <v>0.5</v>
      </c>
      <c r="AAW29" s="138">
        <v>0.5</v>
      </c>
      <c r="AAX29" s="138">
        <v>0.5</v>
      </c>
      <c r="AAY29" s="138">
        <v>0.5</v>
      </c>
      <c r="AAZ29" s="138">
        <v>0.5</v>
      </c>
      <c r="ABA29" s="138">
        <v>0.5</v>
      </c>
      <c r="ABB29" s="137"/>
      <c r="ABC29" s="137"/>
      <c r="ABD29" s="137"/>
      <c r="ABE29" s="137"/>
      <c r="ABF29" s="146"/>
      <c r="ABG29" s="145"/>
      <c r="ABH29" s="146"/>
      <c r="ABI29" s="131">
        <f>SUM(AAG29:ABH29)</f>
      </c>
      <c r="ABJ29" s="134"/>
      <c r="ABK29" s="135"/>
      <c r="ABL29" s="136"/>
      <c r="ABM29" s="138">
        <v>0.5</v>
      </c>
      <c r="ABN29" s="138">
        <v>0.5</v>
      </c>
      <c r="ABO29" s="138">
        <v>0.5</v>
      </c>
      <c r="ABP29" s="138">
        <v>0.5</v>
      </c>
      <c r="ABQ29" s="138">
        <v>0.5</v>
      </c>
      <c r="ABR29" s="138">
        <v>0.5</v>
      </c>
      <c r="ABS29" s="139">
        <v>0.5</v>
      </c>
      <c r="ABT29" s="155"/>
      <c r="ABU29" s="137"/>
      <c r="ABV29" s="138">
        <v>0.5</v>
      </c>
      <c r="ABW29" s="149">
        <v>0.5</v>
      </c>
      <c r="ABX29" s="142">
        <v>0.5</v>
      </c>
      <c r="ABY29" s="138">
        <v>0.5</v>
      </c>
      <c r="ABZ29" s="138">
        <v>0.5</v>
      </c>
      <c r="ACA29" s="138">
        <v>0.5</v>
      </c>
      <c r="ACB29" s="138">
        <v>0.5</v>
      </c>
      <c r="ACC29" s="138">
        <v>0.5</v>
      </c>
      <c r="ACD29" s="138">
        <v>0.5</v>
      </c>
      <c r="ACE29" s="137"/>
      <c r="ACF29" s="137"/>
      <c r="ACG29" s="137"/>
      <c r="ACH29" s="137"/>
      <c r="ACI29" s="146"/>
      <c r="ACJ29" s="145"/>
      <c r="ACK29" s="146"/>
      <c r="ACL29" s="131">
        <f>SUM(ABJ29:ACK29)</f>
      </c>
      <c r="ACM29" s="121"/>
      <c r="ACN29" s="122"/>
      <c r="ACO29" s="123"/>
      <c r="ACP29" s="124"/>
      <c r="ACQ29" s="124"/>
      <c r="ACR29" s="124"/>
      <c r="ACS29" s="124"/>
      <c r="ACT29" s="124"/>
      <c r="ACU29" s="124"/>
      <c r="ACV29" s="125"/>
      <c r="ACW29" s="126"/>
      <c r="ACX29" s="124"/>
      <c r="ACY29" s="124"/>
      <c r="ACZ29" s="127"/>
      <c r="ADA29" s="123"/>
      <c r="ADB29" s="124"/>
      <c r="ADC29" s="124"/>
      <c r="ADD29" s="124"/>
      <c r="ADE29" s="124"/>
      <c r="ADF29" s="124"/>
      <c r="ADG29" s="124"/>
      <c r="ADH29" s="124"/>
      <c r="ADI29" s="124"/>
      <c r="ADJ29" s="124"/>
      <c r="ADK29" s="124"/>
      <c r="ADL29" s="128"/>
      <c r="ADM29" s="129"/>
      <c r="ADN29" s="128"/>
      <c r="ADO29" s="131">
        <f>SUM(ACM29:ADN29)</f>
      </c>
      <c r="ADP29" s="121"/>
      <c r="ADQ29" s="122"/>
      <c r="ADR29" s="123"/>
      <c r="ADS29" s="124"/>
      <c r="ADT29" s="124"/>
      <c r="ADU29" s="124"/>
      <c r="ADV29" s="124"/>
      <c r="ADW29" s="124"/>
      <c r="ADX29" s="124"/>
      <c r="ADY29" s="125"/>
      <c r="ADZ29" s="126"/>
      <c r="AEA29" s="124"/>
      <c r="AEB29" s="124"/>
      <c r="AEC29" s="127"/>
      <c r="AED29" s="123"/>
      <c r="AEE29" s="124"/>
      <c r="AEF29" s="124"/>
      <c r="AEG29" s="124"/>
      <c r="AEH29" s="124"/>
      <c r="AEI29" s="124"/>
      <c r="AEJ29" s="124"/>
      <c r="AEK29" s="124"/>
      <c r="AEL29" s="124"/>
      <c r="AEM29" s="124"/>
      <c r="AEN29" s="124"/>
      <c r="AEO29" s="128"/>
      <c r="AEP29" s="129"/>
      <c r="AEQ29" s="128"/>
      <c r="AER29" s="131">
        <f>SUM(ADP29:AEQ29)</f>
      </c>
      <c r="AES29" s="150">
        <f>XZ29+ZC29+AAF29+ABI29+ACL29+ADO29+AER29</f>
      </c>
      <c r="AET29" s="133">
        <f>(COUNTIF(WX29:AER29,"H")+COUNTIF(WX29:AER29,"S")+COUNTIF(WX29:AER29,"L")+COUNTIF(WX29:AER29,"E")+COUNTIF(WX29:AER29,"C"))/2</f>
      </c>
      <c r="AEU29" s="131">
        <f>AES29+AET29</f>
      </c>
      <c r="AEV29" s="134"/>
      <c r="AEW29" s="135"/>
      <c r="AEX29" s="136"/>
      <c r="AEY29" s="138">
        <v>0.5</v>
      </c>
      <c r="AEZ29" s="138">
        <v>0.5</v>
      </c>
      <c r="AFA29" s="138">
        <v>0.5</v>
      </c>
      <c r="AFB29" s="138">
        <v>0.5</v>
      </c>
      <c r="AFC29" s="138">
        <v>0.5</v>
      </c>
      <c r="AFD29" s="138">
        <v>0.5</v>
      </c>
      <c r="AFE29" s="139">
        <v>0.5</v>
      </c>
      <c r="AFF29" s="155"/>
      <c r="AFG29" s="137"/>
      <c r="AFH29" s="138">
        <v>0.5</v>
      </c>
      <c r="AFI29" s="149">
        <v>0.5</v>
      </c>
      <c r="AFJ29" s="142">
        <v>0.5</v>
      </c>
      <c r="AFK29" s="138">
        <v>0.5</v>
      </c>
      <c r="AFL29" s="138">
        <v>0.5</v>
      </c>
      <c r="AFM29" s="138">
        <v>0.5</v>
      </c>
      <c r="AFN29" s="138">
        <v>0.5</v>
      </c>
      <c r="AFO29" s="138">
        <v>0.5</v>
      </c>
      <c r="AFP29" s="138">
        <v>0.5</v>
      </c>
      <c r="AFQ29" s="137"/>
      <c r="AFR29" s="137"/>
      <c r="AFS29" s="137"/>
      <c r="AFT29" s="137"/>
      <c r="AFU29" s="146"/>
      <c r="AFV29" s="145"/>
      <c r="AFW29" s="146"/>
      <c r="AFX29" s="131">
        <f>SUM(AEV29:AFW29)</f>
      </c>
      <c r="AFY29" s="134"/>
      <c r="AFZ29" s="135"/>
      <c r="AGA29" s="136"/>
      <c r="AGB29" s="138">
        <v>0.5</v>
      </c>
      <c r="AGC29" s="138">
        <v>0.5</v>
      </c>
      <c r="AGD29" s="138">
        <v>0.5</v>
      </c>
      <c r="AGE29" s="138">
        <v>0.5</v>
      </c>
      <c r="AGF29" s="138">
        <v>0.5</v>
      </c>
      <c r="AGG29" s="138">
        <v>0.5</v>
      </c>
      <c r="AGH29" s="139">
        <v>0.5</v>
      </c>
      <c r="AGI29" s="155"/>
      <c r="AGJ29" s="137"/>
      <c r="AGK29" s="138">
        <v>0.5</v>
      </c>
      <c r="AGL29" s="149">
        <v>0.5</v>
      </c>
      <c r="AGM29" s="142">
        <v>0.5</v>
      </c>
      <c r="AGN29" s="138">
        <v>0.5</v>
      </c>
      <c r="AGO29" s="138">
        <v>0.5</v>
      </c>
      <c r="AGP29" s="138">
        <v>0.5</v>
      </c>
      <c r="AGQ29" s="138">
        <v>0.5</v>
      </c>
      <c r="AGR29" s="138">
        <v>0.5</v>
      </c>
      <c r="AGS29" s="138">
        <v>0.5</v>
      </c>
      <c r="AGT29" s="137"/>
      <c r="AGU29" s="137"/>
      <c r="AGV29" s="137"/>
      <c r="AGW29" s="137"/>
      <c r="AGX29" s="146"/>
      <c r="AGY29" s="145"/>
      <c r="AGZ29" s="146"/>
      <c r="AHA29" s="131">
        <f>SUM(AFY29:AGZ29)</f>
      </c>
      <c r="AHB29" s="134"/>
      <c r="AHC29" s="135"/>
      <c r="AHD29" s="136"/>
      <c r="AHE29" s="138">
        <v>0.5</v>
      </c>
      <c r="AHF29" s="138">
        <v>0.5</v>
      </c>
      <c r="AHG29" s="138">
        <v>0.5</v>
      </c>
      <c r="AHH29" s="138">
        <v>0.5</v>
      </c>
      <c r="AHI29" s="138">
        <v>0.5</v>
      </c>
      <c r="AHJ29" s="138">
        <v>0.5</v>
      </c>
      <c r="AHK29" s="139">
        <v>0.5</v>
      </c>
      <c r="AHL29" s="155"/>
      <c r="AHM29" s="137"/>
      <c r="AHN29" s="138">
        <v>0.5</v>
      </c>
      <c r="AHO29" s="149">
        <v>0.5</v>
      </c>
      <c r="AHP29" s="142">
        <v>0.5</v>
      </c>
      <c r="AHQ29" s="138">
        <v>0.5</v>
      </c>
      <c r="AHR29" s="138">
        <v>0.5</v>
      </c>
      <c r="AHS29" s="138">
        <v>0.5</v>
      </c>
      <c r="AHT29" s="138">
        <v>0.5</v>
      </c>
      <c r="AHU29" s="138">
        <v>0.5</v>
      </c>
      <c r="AHV29" s="138">
        <v>0.5</v>
      </c>
      <c r="AHW29" s="137"/>
      <c r="AHX29" s="137"/>
      <c r="AHY29" s="137"/>
      <c r="AHZ29" s="137"/>
      <c r="AIA29" s="146"/>
      <c r="AIB29" s="145"/>
      <c r="AIC29" s="146"/>
      <c r="AID29" s="131">
        <f>SUM(AHB29:AIC29)</f>
      </c>
      <c r="AIE29" s="134"/>
      <c r="AIF29" s="135"/>
      <c r="AIG29" s="136"/>
      <c r="AIH29" s="138">
        <v>0.5</v>
      </c>
      <c r="AII29" s="138">
        <v>0.5</v>
      </c>
      <c r="AIJ29" s="138">
        <v>0.5</v>
      </c>
      <c r="AIK29" s="138">
        <v>0.5</v>
      </c>
      <c r="AIL29" s="138">
        <v>0.5</v>
      </c>
      <c r="AIM29" s="138">
        <v>0.5</v>
      </c>
      <c r="AIN29" s="139">
        <v>0.5</v>
      </c>
      <c r="AIO29" s="155"/>
      <c r="AIP29" s="137"/>
      <c r="AIQ29" s="138">
        <v>0.5</v>
      </c>
      <c r="AIR29" s="149">
        <v>0.5</v>
      </c>
      <c r="AIS29" s="142">
        <v>0.5</v>
      </c>
      <c r="AIT29" s="138">
        <v>0.5</v>
      </c>
      <c r="AIU29" s="138">
        <v>0.5</v>
      </c>
      <c r="AIV29" s="138">
        <v>0.5</v>
      </c>
      <c r="AIW29" s="138">
        <v>0.5</v>
      </c>
      <c r="AIX29" s="138">
        <v>0.5</v>
      </c>
      <c r="AIY29" s="138">
        <v>0.5</v>
      </c>
      <c r="AIZ29" s="137"/>
      <c r="AJA29" s="137"/>
      <c r="AJB29" s="137"/>
      <c r="AJC29" s="137"/>
      <c r="AJD29" s="146"/>
      <c r="AJE29" s="145"/>
      <c r="AJF29" s="146"/>
      <c r="AJG29" s="131">
        <f>SUM(AIE29:AJF29)</f>
      </c>
      <c r="AJH29" s="134"/>
      <c r="AJI29" s="135"/>
      <c r="AJJ29" s="136"/>
      <c r="AJK29" s="138">
        <v>0.5</v>
      </c>
      <c r="AJL29" s="138">
        <v>0.5</v>
      </c>
      <c r="AJM29" s="138">
        <v>0.5</v>
      </c>
      <c r="AJN29" s="138">
        <v>0.5</v>
      </c>
      <c r="AJO29" s="138">
        <v>0.5</v>
      </c>
      <c r="AJP29" s="138">
        <v>0.5</v>
      </c>
      <c r="AJQ29" s="139">
        <v>0.5</v>
      </c>
      <c r="AJR29" s="155"/>
      <c r="AJS29" s="137"/>
      <c r="AJT29" s="138">
        <v>0.5</v>
      </c>
      <c r="AJU29" s="149">
        <v>0.5</v>
      </c>
      <c r="AJV29" s="142">
        <v>0.5</v>
      </c>
      <c r="AJW29" s="138">
        <v>0.5</v>
      </c>
      <c r="AJX29" s="138">
        <v>0.5</v>
      </c>
      <c r="AJY29" s="138">
        <v>0.5</v>
      </c>
      <c r="AJZ29" s="138">
        <v>0.5</v>
      </c>
      <c r="AKA29" s="138">
        <v>0.5</v>
      </c>
      <c r="AKB29" s="138">
        <v>0.5</v>
      </c>
      <c r="AKC29" s="137"/>
      <c r="AKD29" s="137"/>
      <c r="AKE29" s="137"/>
      <c r="AKF29" s="137"/>
      <c r="AKG29" s="146"/>
      <c r="AKH29" s="145"/>
      <c r="AKI29" s="146"/>
      <c r="AKJ29" s="131">
        <f>SUM(AJH29:AKI29)</f>
      </c>
      <c r="AKK29" s="121"/>
      <c r="AKL29" s="122"/>
      <c r="AKM29" s="123"/>
      <c r="AKN29" s="124"/>
      <c r="AKO29" s="124"/>
      <c r="AKP29" s="124"/>
      <c r="AKQ29" s="124"/>
      <c r="AKR29" s="124"/>
      <c r="AKS29" s="124"/>
      <c r="AKT29" s="125"/>
      <c r="AKU29" s="126"/>
      <c r="AKV29" s="124"/>
      <c r="AKW29" s="124"/>
      <c r="AKX29" s="127"/>
      <c r="AKY29" s="123"/>
      <c r="AKZ29" s="124"/>
      <c r="ALA29" s="124"/>
      <c r="ALB29" s="124"/>
      <c r="ALC29" s="124"/>
      <c r="ALD29" s="124"/>
      <c r="ALE29" s="124"/>
      <c r="ALF29" s="124"/>
      <c r="ALG29" s="124"/>
      <c r="ALH29" s="124"/>
      <c r="ALI29" s="124"/>
      <c r="ALJ29" s="128"/>
      <c r="ALK29" s="129"/>
      <c r="ALL29" s="128"/>
      <c r="ALM29" s="131">
        <f>SUM(AKK29:ALL29)</f>
      </c>
      <c r="ALN29" s="121"/>
      <c r="ALO29" s="122"/>
      <c r="ALP29" s="123"/>
      <c r="ALQ29" s="124"/>
      <c r="ALR29" s="124"/>
      <c r="ALS29" s="124"/>
      <c r="ALT29" s="124"/>
      <c r="ALU29" s="124"/>
      <c r="ALV29" s="124"/>
      <c r="ALW29" s="125"/>
      <c r="ALX29" s="126"/>
      <c r="ALY29" s="124"/>
      <c r="ALZ29" s="124"/>
      <c r="AMA29" s="127"/>
      <c r="AMB29" s="123"/>
      <c r="AMC29" s="124"/>
      <c r="AMD29" s="124"/>
      <c r="AME29" s="124"/>
      <c r="AMF29" s="124"/>
      <c r="AMG29" s="124"/>
      <c r="AMH29" s="124"/>
      <c r="AMI29" s="124"/>
      <c r="AMJ29" s="124"/>
      <c r="AMK29" s="124"/>
      <c r="AML29" s="124"/>
      <c r="AMM29" s="128"/>
      <c r="AMN29" s="129"/>
      <c r="AMO29" s="128"/>
      <c r="AMP29" s="131">
        <f>SUM(ALN29:AMO29)</f>
      </c>
      <c r="AMQ29" s="150">
        <f>AFX29+AHA29+AID29+AJG29+AKJ29+ALM29+AMP29</f>
      </c>
      <c r="AMR29" s="133">
        <f>(COUNTIF(AEV29:AMP29,"H")+COUNTIF(AEV29:AMP29,"S")+COUNTIF(AEV29:AMP29,"L")+COUNTIF(AEV29:AMP29,"E")+COUNTIF(AEV29:AMP29,"C"))/2</f>
      </c>
      <c r="AMS29" s="131">
        <f>AMQ29+AMR29</f>
      </c>
      <c r="AMT29" s="4"/>
      <c r="AMU29" s="4"/>
      <c r="AMV29" s="4"/>
      <c r="AMW29" s="4"/>
      <c r="AMX29" s="4"/>
      <c r="AMY29" s="4"/>
      <c r="AMZ29" s="4"/>
      <c r="ANA29" s="4"/>
      <c r="ANB29" s="4"/>
      <c r="ANC29" s="4"/>
      <c r="AND29" s="4"/>
      <c r="ANE29" s="4"/>
      <c r="ANF29" s="4"/>
      <c r="ANG29" s="4"/>
      <c r="ANH29" s="4"/>
      <c r="ANI29" s="4"/>
      <c r="ANJ29" s="13"/>
      <c r="ANK29" s="13"/>
      <c r="ANL29" s="4"/>
      <c r="ANM29" s="4"/>
      <c r="ANN29" s="4"/>
      <c r="ANO29" s="4"/>
      <c r="ANP29" s="4"/>
      <c r="ANQ29" s="4"/>
      <c r="ANR29" s="4"/>
      <c r="ANS29" s="4"/>
      <c r="ANT29" s="4"/>
      <c r="ANU29" s="4"/>
      <c r="ANV29" s="4"/>
      <c r="ANW29" s="4"/>
      <c r="ANX29" s="4"/>
      <c r="ANY29" s="4"/>
      <c r="ANZ29" s="4"/>
      <c r="AOA29" s="4"/>
      <c r="AOB29" s="4"/>
      <c r="AOC29" s="4"/>
      <c r="AOD29" s="4"/>
      <c r="AOE29" s="4"/>
      <c r="AOF29" s="4"/>
      <c r="AOG29" s="4"/>
      <c r="AOH29" s="4"/>
      <c r="AOI29" s="4"/>
      <c r="AOJ29" s="4"/>
      <c r="AOK29" s="4"/>
      <c r="AOL29" s="4"/>
      <c r="AOM29" s="4"/>
      <c r="AON29" s="4"/>
      <c r="AOO29" s="4"/>
      <c r="AOP29" s="4"/>
      <c r="AOQ29" s="4"/>
      <c r="AOR29" s="4"/>
      <c r="AOS29" s="4"/>
      <c r="AOT29" s="4"/>
      <c r="AOU29" s="4"/>
      <c r="AOV29" s="4"/>
      <c r="AOW29" s="4"/>
      <c r="AOX29" s="4"/>
      <c r="AOY29" s="4"/>
      <c r="AOZ29" s="4"/>
      <c r="APA29" s="4"/>
      <c r="APB29" s="4"/>
      <c r="APC29" s="4"/>
      <c r="APD29" s="4"/>
      <c r="APE29" s="4"/>
      <c r="APF29" s="4"/>
      <c r="APG29" s="4"/>
      <c r="APH29" s="4"/>
      <c r="API29" s="4"/>
      <c r="APJ29" s="4"/>
      <c r="APK29" s="4"/>
      <c r="APL29" s="4"/>
      <c r="APM29" s="4"/>
      <c r="APN29" s="4"/>
      <c r="APO29" s="4"/>
      <c r="APP29" s="4"/>
      <c r="APQ29" s="4"/>
      <c r="APR29" s="4"/>
      <c r="APS29" s="4"/>
      <c r="APT29" s="4"/>
      <c r="APU29" s="4"/>
      <c r="APV29" s="4"/>
      <c r="APW29" s="4"/>
      <c r="APX29" s="4"/>
      <c r="APY29" s="4"/>
      <c r="APZ29" s="4"/>
      <c r="AQA29" s="4"/>
      <c r="AQB29" s="4"/>
      <c r="AQC29" s="4"/>
      <c r="AQD29" s="4"/>
      <c r="AQE29" s="4"/>
      <c r="AQF29" s="4"/>
      <c r="AQG29" s="4"/>
      <c r="AQH29" s="4"/>
      <c r="AQI29" s="4"/>
      <c r="AQJ29" s="4"/>
      <c r="AQK29" s="4"/>
      <c r="AQL29" s="4"/>
      <c r="AQM29" s="4"/>
      <c r="AQN29" s="4"/>
      <c r="AQO29" s="4"/>
      <c r="AQP29" s="4"/>
      <c r="AQQ29" s="4"/>
      <c r="AQR29" s="4"/>
      <c r="AQS29" s="4"/>
      <c r="AQT29" s="4"/>
      <c r="AQU29" s="4"/>
      <c r="AQV29" s="4"/>
      <c r="AQW29" s="4"/>
      <c r="AQX29" s="4"/>
      <c r="AQY29" s="4"/>
      <c r="AQZ29" s="4"/>
      <c r="ARA29" s="4"/>
      <c r="ARB29" s="4"/>
      <c r="ARC29" s="4"/>
      <c r="ARD29" s="4"/>
      <c r="ARE29" s="4"/>
      <c r="ARF29" s="4"/>
      <c r="ARG29" s="4"/>
      <c r="ARH29" s="4"/>
      <c r="ARI29" s="4"/>
      <c r="ARJ29" s="4"/>
      <c r="ARK29" s="4"/>
      <c r="ARL29" s="4"/>
      <c r="ARM29" s="4"/>
      <c r="ARN29" s="4"/>
      <c r="ARO29" s="4"/>
      <c r="ARP29" s="4"/>
      <c r="ARQ29" s="4"/>
      <c r="ARR29" s="4"/>
      <c r="ARS29" s="4"/>
      <c r="ART29" s="4"/>
      <c r="ARU29" s="4"/>
      <c r="ARV29" s="4"/>
      <c r="ARW29" s="4"/>
      <c r="ARX29" s="4"/>
      <c r="ARY29" s="4"/>
      <c r="ARZ29" s="4"/>
      <c r="ASA29" s="4"/>
      <c r="ASB29" s="4"/>
      <c r="ASC29" s="4"/>
      <c r="ASD29" s="4"/>
      <c r="ASE29" s="4"/>
      <c r="ASF29" s="4"/>
      <c r="ASG29" s="4"/>
      <c r="ASH29" s="4"/>
      <c r="ASI29" s="4"/>
      <c r="ASJ29" s="4"/>
      <c r="ASK29" s="4"/>
      <c r="ASL29" s="4"/>
      <c r="ASM29" s="4"/>
      <c r="ASN29" s="4"/>
      <c r="ASO29" s="4"/>
      <c r="ASP29" s="4"/>
      <c r="ASQ29" s="4"/>
      <c r="ASR29" s="4"/>
      <c r="ASS29" s="4"/>
      <c r="AST29" s="4"/>
      <c r="ASU29" s="4"/>
    </row>
    <row r="30" ht="15.75" customHeight="1" spans="1:1191" x14ac:dyDescent="0.25">
      <c r="A30" s="118"/>
      <c r="B30" s="119" t="s">
        <v>70</v>
      </c>
      <c r="C30" s="120" t="s">
        <v>52</v>
      </c>
      <c r="D30" s="121"/>
      <c r="E30" s="122"/>
      <c r="F30" s="123"/>
      <c r="G30" s="124"/>
      <c r="H30" s="124"/>
      <c r="I30" s="124"/>
      <c r="J30" s="124"/>
      <c r="K30" s="124"/>
      <c r="L30" s="124"/>
      <c r="M30" s="125"/>
      <c r="N30" s="126"/>
      <c r="O30" s="124"/>
      <c r="P30" s="124"/>
      <c r="Q30" s="127"/>
      <c r="R30" s="123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8"/>
      <c r="AD30" s="129"/>
      <c r="AE30" s="128"/>
      <c r="AF30" s="130">
        <f>SUM(D30:AE30)</f>
      </c>
      <c r="AG30" s="121"/>
      <c r="AH30" s="122"/>
      <c r="AI30" s="123"/>
      <c r="AJ30" s="124"/>
      <c r="AK30" s="124"/>
      <c r="AL30" s="124"/>
      <c r="AM30" s="124"/>
      <c r="AN30" s="124"/>
      <c r="AO30" s="124"/>
      <c r="AP30" s="125"/>
      <c r="AQ30" s="126"/>
      <c r="AR30" s="124"/>
      <c r="AS30" s="124"/>
      <c r="AT30" s="127"/>
      <c r="AU30" s="123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8"/>
      <c r="BG30" s="129"/>
      <c r="BH30" s="128"/>
      <c r="BI30" s="130">
        <f>SUM(AG30:BH30)</f>
      </c>
      <c r="BJ30" s="121"/>
      <c r="BK30" s="122"/>
      <c r="BL30" s="123"/>
      <c r="BM30" s="124"/>
      <c r="BN30" s="124"/>
      <c r="BO30" s="124"/>
      <c r="BP30" s="124"/>
      <c r="BQ30" s="124"/>
      <c r="BR30" s="124"/>
      <c r="BS30" s="125"/>
      <c r="BT30" s="126"/>
      <c r="BU30" s="124"/>
      <c r="BV30" s="124"/>
      <c r="BW30" s="127"/>
      <c r="BX30" s="123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8"/>
      <c r="CJ30" s="129"/>
      <c r="CK30" s="128"/>
      <c r="CL30" s="130">
        <f>SUM(BJ30:CK30)</f>
      </c>
      <c r="CM30" s="121"/>
      <c r="CN30" s="122"/>
      <c r="CO30" s="123"/>
      <c r="CP30" s="124"/>
      <c r="CQ30" s="124"/>
      <c r="CR30" s="124"/>
      <c r="CS30" s="124"/>
      <c r="CT30" s="124"/>
      <c r="CU30" s="124"/>
      <c r="CV30" s="125"/>
      <c r="CW30" s="126"/>
      <c r="CX30" s="124"/>
      <c r="CY30" s="124"/>
      <c r="CZ30" s="127"/>
      <c r="DA30" s="123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8"/>
      <c r="DM30" s="129"/>
      <c r="DN30" s="128"/>
      <c r="DO30" s="130">
        <f>SUM(CM30:DN30)</f>
      </c>
      <c r="DP30" s="121"/>
      <c r="DQ30" s="122"/>
      <c r="DR30" s="123"/>
      <c r="DS30" s="124"/>
      <c r="DT30" s="124"/>
      <c r="DU30" s="124"/>
      <c r="DV30" s="124"/>
      <c r="DW30" s="124"/>
      <c r="DX30" s="124"/>
      <c r="DY30" s="125"/>
      <c r="DZ30" s="126"/>
      <c r="EA30" s="124"/>
      <c r="EB30" s="124"/>
      <c r="EC30" s="127"/>
      <c r="ED30" s="123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8"/>
      <c r="EP30" s="129"/>
      <c r="EQ30" s="128"/>
      <c r="ER30" s="130">
        <f>SUM(DP30:EQ30)</f>
      </c>
      <c r="ES30" s="121"/>
      <c r="ET30" s="122"/>
      <c r="EU30" s="123"/>
      <c r="EV30" s="124"/>
      <c r="EW30" s="124"/>
      <c r="EX30" s="124"/>
      <c r="EY30" s="124"/>
      <c r="EZ30" s="124"/>
      <c r="FA30" s="124"/>
      <c r="FB30" s="125"/>
      <c r="FC30" s="126"/>
      <c r="FD30" s="124"/>
      <c r="FE30" s="124"/>
      <c r="FF30" s="127"/>
      <c r="FG30" s="123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8"/>
      <c r="FS30" s="129"/>
      <c r="FT30" s="128"/>
      <c r="FU30" s="131">
        <f>SUM(ES30:FT30)</f>
      </c>
      <c r="FV30" s="121"/>
      <c r="FW30" s="122"/>
      <c r="FX30" s="123"/>
      <c r="FY30" s="124"/>
      <c r="FZ30" s="124"/>
      <c r="GA30" s="124"/>
      <c r="GB30" s="124"/>
      <c r="GC30" s="124"/>
      <c r="GD30" s="124"/>
      <c r="GE30" s="125"/>
      <c r="GF30" s="126"/>
      <c r="GG30" s="124"/>
      <c r="GH30" s="124"/>
      <c r="GI30" s="127"/>
      <c r="GJ30" s="123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8"/>
      <c r="GV30" s="129"/>
      <c r="GW30" s="128"/>
      <c r="GX30" s="131">
        <f>SUM(FV30:GW30)</f>
      </c>
      <c r="GY30" s="132">
        <f>AF30+BI30+CL30+DO30+ER30+FU30+GX30</f>
      </c>
      <c r="GZ30" s="133">
        <f>(COUNTIF(D30:GX30,"H")+COUNTIF(D30:GX30,"S")+COUNTIF(D30:GX30,"L")+COUNTIF(D30:GX30,"E")+COUNTIF(D30:GX30,"C"))/2</f>
      </c>
      <c r="HA30" s="130">
        <f>GY30+GZ30</f>
      </c>
      <c r="HB30" s="134"/>
      <c r="HC30" s="135"/>
      <c r="HD30" s="136"/>
      <c r="HE30" s="138">
        <v>0.5</v>
      </c>
      <c r="HF30" s="138">
        <v>0.5</v>
      </c>
      <c r="HG30" s="138">
        <v>0.5</v>
      </c>
      <c r="HH30" s="138">
        <v>0.5</v>
      </c>
      <c r="HI30" s="138">
        <v>0.5</v>
      </c>
      <c r="HJ30" s="138">
        <v>0.5</v>
      </c>
      <c r="HK30" s="139">
        <v>0.5</v>
      </c>
      <c r="HL30" s="155"/>
      <c r="HM30" s="137"/>
      <c r="HN30" s="138">
        <v>0.5</v>
      </c>
      <c r="HO30" s="149">
        <v>0.5</v>
      </c>
      <c r="HP30" s="142">
        <v>0.5</v>
      </c>
      <c r="HQ30" s="138">
        <v>0.5</v>
      </c>
      <c r="HR30" s="138">
        <v>0.5</v>
      </c>
      <c r="HS30" s="138">
        <v>0.5</v>
      </c>
      <c r="HT30" s="138">
        <v>0.5</v>
      </c>
      <c r="HU30" s="138">
        <v>0.5</v>
      </c>
      <c r="HV30" s="138">
        <v>0.5</v>
      </c>
      <c r="HW30" s="137"/>
      <c r="HX30" s="137"/>
      <c r="HY30" s="137"/>
      <c r="HZ30" s="137"/>
      <c r="IA30" s="146"/>
      <c r="IB30" s="145"/>
      <c r="IC30" s="146"/>
      <c r="ID30" s="131">
        <f>SUM(HB30:IC30)</f>
      </c>
      <c r="IE30" s="134"/>
      <c r="IF30" s="135"/>
      <c r="IG30" s="136"/>
      <c r="IH30" s="138">
        <v>0.5</v>
      </c>
      <c r="II30" s="138">
        <v>0.5</v>
      </c>
      <c r="IJ30" s="138">
        <v>0.5</v>
      </c>
      <c r="IK30" s="138">
        <v>0.5</v>
      </c>
      <c r="IL30" s="138">
        <v>0.5</v>
      </c>
      <c r="IM30" s="138">
        <v>0.5</v>
      </c>
      <c r="IN30" s="139">
        <v>0.5</v>
      </c>
      <c r="IO30" s="155"/>
      <c r="IP30" s="137"/>
      <c r="IQ30" s="138">
        <v>0.5</v>
      </c>
      <c r="IR30" s="149">
        <v>0.5</v>
      </c>
      <c r="IS30" s="142">
        <v>0.5</v>
      </c>
      <c r="IT30" s="138">
        <v>0.5</v>
      </c>
      <c r="IU30" s="138">
        <v>0.5</v>
      </c>
      <c r="IV30" s="138">
        <v>0.5</v>
      </c>
      <c r="IW30" s="138">
        <v>0.5</v>
      </c>
      <c r="IX30" s="138">
        <v>0.5</v>
      </c>
      <c r="IY30" s="138">
        <v>0.5</v>
      </c>
      <c r="IZ30" s="137"/>
      <c r="JA30" s="137"/>
      <c r="JB30" s="137"/>
      <c r="JC30" s="137"/>
      <c r="JD30" s="146"/>
      <c r="JE30" s="145"/>
      <c r="JF30" s="146"/>
      <c r="JG30" s="131">
        <f>SUM(IE30:JF30)</f>
      </c>
      <c r="JH30" s="134"/>
      <c r="JI30" s="135"/>
      <c r="JJ30" s="136"/>
      <c r="JK30" s="138">
        <v>0.5</v>
      </c>
      <c r="JL30" s="138">
        <v>0.5</v>
      </c>
      <c r="JM30" s="138">
        <v>0.5</v>
      </c>
      <c r="JN30" s="138">
        <v>0.5</v>
      </c>
      <c r="JO30" s="138">
        <v>0.5</v>
      </c>
      <c r="JP30" s="138">
        <v>0.5</v>
      </c>
      <c r="JQ30" s="139">
        <v>0.5</v>
      </c>
      <c r="JR30" s="155"/>
      <c r="JS30" s="137"/>
      <c r="JT30" s="138">
        <v>0.5</v>
      </c>
      <c r="JU30" s="149">
        <v>0.5</v>
      </c>
      <c r="JV30" s="142">
        <v>0.5</v>
      </c>
      <c r="JW30" s="138">
        <v>0.5</v>
      </c>
      <c r="JX30" s="138">
        <v>0.5</v>
      </c>
      <c r="JY30" s="138">
        <v>0.5</v>
      </c>
      <c r="JZ30" s="138">
        <v>0.5</v>
      </c>
      <c r="KA30" s="138">
        <v>0.5</v>
      </c>
      <c r="KB30" s="138">
        <v>0.5</v>
      </c>
      <c r="KC30" s="137"/>
      <c r="KD30" s="137"/>
      <c r="KE30" s="137"/>
      <c r="KF30" s="137"/>
      <c r="KG30" s="146"/>
      <c r="KH30" s="145"/>
      <c r="KI30" s="146"/>
      <c r="KJ30" s="131">
        <f>SUM(JH30:KI30)</f>
      </c>
      <c r="KK30" s="134"/>
      <c r="KL30" s="135"/>
      <c r="KM30" s="136"/>
      <c r="KN30" s="138">
        <v>0.5</v>
      </c>
      <c r="KO30" s="138">
        <v>0.5</v>
      </c>
      <c r="KP30" s="138">
        <v>0.5</v>
      </c>
      <c r="KQ30" s="138">
        <v>0.5</v>
      </c>
      <c r="KR30" s="138">
        <v>0.5</v>
      </c>
      <c r="KS30" s="138">
        <v>0.5</v>
      </c>
      <c r="KT30" s="139">
        <v>0.5</v>
      </c>
      <c r="KU30" s="155"/>
      <c r="KV30" s="137"/>
      <c r="KW30" s="138">
        <v>0.5</v>
      </c>
      <c r="KX30" s="149">
        <v>0.5</v>
      </c>
      <c r="KY30" s="142">
        <v>0.5</v>
      </c>
      <c r="KZ30" s="138">
        <v>0.5</v>
      </c>
      <c r="LA30" s="138">
        <v>0.5</v>
      </c>
      <c r="LB30" s="138">
        <v>0.5</v>
      </c>
      <c r="LC30" s="138">
        <v>0.5</v>
      </c>
      <c r="LD30" s="138">
        <v>0.5</v>
      </c>
      <c r="LE30" s="138">
        <v>0.5</v>
      </c>
      <c r="LF30" s="137"/>
      <c r="LG30" s="137"/>
      <c r="LH30" s="137"/>
      <c r="LI30" s="137"/>
      <c r="LJ30" s="146"/>
      <c r="LK30" s="145"/>
      <c r="LL30" s="146"/>
      <c r="LM30" s="131">
        <f>SUM(KK30:LL30)</f>
      </c>
      <c r="LN30" s="134"/>
      <c r="LO30" s="135"/>
      <c r="LP30" s="136"/>
      <c r="LQ30" s="138">
        <v>0.5</v>
      </c>
      <c r="LR30" s="138">
        <v>0.5</v>
      </c>
      <c r="LS30" s="138">
        <v>0.5</v>
      </c>
      <c r="LT30" s="138">
        <v>0.5</v>
      </c>
      <c r="LU30" s="138">
        <v>0.5</v>
      </c>
      <c r="LV30" s="138">
        <v>0.5</v>
      </c>
      <c r="LW30" s="139">
        <v>0.5</v>
      </c>
      <c r="LX30" s="155"/>
      <c r="LY30" s="137"/>
      <c r="LZ30" s="138">
        <v>0.5</v>
      </c>
      <c r="MA30" s="149">
        <v>0.5</v>
      </c>
      <c r="MB30" s="142">
        <v>0.5</v>
      </c>
      <c r="MC30" s="138">
        <v>0.5</v>
      </c>
      <c r="MD30" s="138">
        <v>0.5</v>
      </c>
      <c r="ME30" s="138">
        <v>0.5</v>
      </c>
      <c r="MF30" s="138">
        <v>0.5</v>
      </c>
      <c r="MG30" s="138">
        <v>0.5</v>
      </c>
      <c r="MH30" s="138">
        <v>0.5</v>
      </c>
      <c r="MI30" s="137"/>
      <c r="MJ30" s="137"/>
      <c r="MK30" s="137"/>
      <c r="ML30" s="137"/>
      <c r="MM30" s="146"/>
      <c r="MN30" s="145"/>
      <c r="MO30" s="146"/>
      <c r="MP30" s="131">
        <f>SUM(LN30:MO30)</f>
      </c>
      <c r="MQ30" s="121"/>
      <c r="MR30" s="122"/>
      <c r="MS30" s="123"/>
      <c r="MT30" s="124"/>
      <c r="MU30" s="124"/>
      <c r="MV30" s="124"/>
      <c r="MW30" s="124"/>
      <c r="MX30" s="124"/>
      <c r="MY30" s="124"/>
      <c r="MZ30" s="125"/>
      <c r="NA30" s="126"/>
      <c r="NB30" s="124"/>
      <c r="NC30" s="124"/>
      <c r="ND30" s="127"/>
      <c r="NE30" s="123"/>
      <c r="NF30" s="124"/>
      <c r="NG30" s="124"/>
      <c r="NH30" s="124"/>
      <c r="NI30" s="124"/>
      <c r="NJ30" s="124"/>
      <c r="NK30" s="124"/>
      <c r="NL30" s="124"/>
      <c r="NM30" s="124"/>
      <c r="NN30" s="124"/>
      <c r="NO30" s="124"/>
      <c r="NP30" s="128"/>
      <c r="NQ30" s="129"/>
      <c r="NR30" s="128"/>
      <c r="NS30" s="131">
        <f>SUM(MQ30:NR30)</f>
      </c>
      <c r="NT30" s="121"/>
      <c r="NU30" s="122"/>
      <c r="NV30" s="123"/>
      <c r="NW30" s="124"/>
      <c r="NX30" s="124"/>
      <c r="NY30" s="124"/>
      <c r="NZ30" s="124"/>
      <c r="OA30" s="124"/>
      <c r="OB30" s="124"/>
      <c r="OC30" s="125"/>
      <c r="OD30" s="126"/>
      <c r="OE30" s="124"/>
      <c r="OF30" s="124"/>
      <c r="OG30" s="127"/>
      <c r="OH30" s="123"/>
      <c r="OI30" s="124"/>
      <c r="OJ30" s="124"/>
      <c r="OK30" s="124"/>
      <c r="OL30" s="124"/>
      <c r="OM30" s="124"/>
      <c r="ON30" s="124"/>
      <c r="OO30" s="124"/>
      <c r="OP30" s="124"/>
      <c r="OQ30" s="124"/>
      <c r="OR30" s="124"/>
      <c r="OS30" s="128"/>
      <c r="OT30" s="129"/>
      <c r="OU30" s="128"/>
      <c r="OV30" s="131">
        <f>SUM(NT30:OU30)</f>
      </c>
      <c r="OW30" s="132">
        <f>ID30+JG30+KJ30+LM30+MP30+NS30+OV30</f>
      </c>
      <c r="OX30" s="133">
        <f>(COUNTIF(HB30:OV30,"H")+COUNTIF(HB30:OV30,"S")+COUNTIF(HB30:OV30,"L")+COUNTIF(HB30:OV30,"E")+COUNTIF(HB30:OV30,"C"))/2</f>
      </c>
      <c r="OY30" s="130">
        <f>OW30+OX30</f>
      </c>
      <c r="OZ30" s="134"/>
      <c r="PA30" s="135"/>
      <c r="PB30" s="136"/>
      <c r="PC30" s="138">
        <v>0.5</v>
      </c>
      <c r="PD30" s="138">
        <v>0.5</v>
      </c>
      <c r="PE30" s="138">
        <v>0.5</v>
      </c>
      <c r="PF30" s="138">
        <v>0.5</v>
      </c>
      <c r="PG30" s="138">
        <v>0.5</v>
      </c>
      <c r="PH30" s="138">
        <v>0.5</v>
      </c>
      <c r="PI30" s="139">
        <v>0.5</v>
      </c>
      <c r="PJ30" s="155"/>
      <c r="PK30" s="137"/>
      <c r="PL30" s="138">
        <v>0.5</v>
      </c>
      <c r="PM30" s="149">
        <v>0.5</v>
      </c>
      <c r="PN30" s="142">
        <v>0.5</v>
      </c>
      <c r="PO30" s="138">
        <v>0.5</v>
      </c>
      <c r="PP30" s="138">
        <v>0.5</v>
      </c>
      <c r="PQ30" s="138">
        <v>0.5</v>
      </c>
      <c r="PR30" s="138">
        <v>0.5</v>
      </c>
      <c r="PS30" s="138">
        <v>0.5</v>
      </c>
      <c r="PT30" s="138">
        <v>0.5</v>
      </c>
      <c r="PU30" s="137"/>
      <c r="PV30" s="137"/>
      <c r="PW30" s="137"/>
      <c r="PX30" s="137"/>
      <c r="PY30" s="146"/>
      <c r="PZ30" s="145"/>
      <c r="QA30" s="146"/>
      <c r="QB30" s="131">
        <f>SUM(OZ30:QA30)</f>
      </c>
      <c r="QC30" s="134"/>
      <c r="QD30" s="135"/>
      <c r="QE30" s="136"/>
      <c r="QF30" s="138">
        <v>0.5</v>
      </c>
      <c r="QG30" s="138">
        <v>0.5</v>
      </c>
      <c r="QH30" s="138">
        <v>0.5</v>
      </c>
      <c r="QI30" s="138">
        <v>0.5</v>
      </c>
      <c r="QJ30" s="138">
        <v>0.5</v>
      </c>
      <c r="QK30" s="138">
        <v>0.5</v>
      </c>
      <c r="QL30" s="139">
        <v>0.5</v>
      </c>
      <c r="QM30" s="155"/>
      <c r="QN30" s="137"/>
      <c r="QO30" s="138">
        <v>0.5</v>
      </c>
      <c r="QP30" s="149">
        <v>0.5</v>
      </c>
      <c r="QQ30" s="142">
        <v>0.5</v>
      </c>
      <c r="QR30" s="138">
        <v>0.5</v>
      </c>
      <c r="QS30" s="138">
        <v>0.5</v>
      </c>
      <c r="QT30" s="138">
        <v>0.5</v>
      </c>
      <c r="QU30" s="138">
        <v>0.5</v>
      </c>
      <c r="QV30" s="138">
        <v>0.5</v>
      </c>
      <c r="QW30" s="138">
        <v>0.5</v>
      </c>
      <c r="QX30" s="137"/>
      <c r="QY30" s="137"/>
      <c r="QZ30" s="137"/>
      <c r="RA30" s="137"/>
      <c r="RB30" s="146"/>
      <c r="RC30" s="145"/>
      <c r="RD30" s="146"/>
      <c r="RE30" s="131">
        <f>SUM(QC30:RD30)</f>
      </c>
      <c r="RF30" s="134"/>
      <c r="RG30" s="135"/>
      <c r="RH30" s="136"/>
      <c r="RI30" s="138">
        <v>0.5</v>
      </c>
      <c r="RJ30" s="138">
        <v>0.5</v>
      </c>
      <c r="RK30" s="138">
        <v>0.5</v>
      </c>
      <c r="RL30" s="138">
        <v>0.5</v>
      </c>
      <c r="RM30" s="138">
        <v>0.5</v>
      </c>
      <c r="RN30" s="138">
        <v>0.5</v>
      </c>
      <c r="RO30" s="139">
        <v>0.5</v>
      </c>
      <c r="RP30" s="155"/>
      <c r="RQ30" s="137"/>
      <c r="RR30" s="138">
        <v>0.5</v>
      </c>
      <c r="RS30" s="149">
        <v>0.5</v>
      </c>
      <c r="RT30" s="142">
        <v>0.5</v>
      </c>
      <c r="RU30" s="138">
        <v>0.5</v>
      </c>
      <c r="RV30" s="138">
        <v>0.5</v>
      </c>
      <c r="RW30" s="138">
        <v>0.5</v>
      </c>
      <c r="RX30" s="138">
        <v>0.5</v>
      </c>
      <c r="RY30" s="138">
        <v>0.5</v>
      </c>
      <c r="RZ30" s="138">
        <v>0.5</v>
      </c>
      <c r="SA30" s="137"/>
      <c r="SB30" s="137"/>
      <c r="SC30" s="137"/>
      <c r="SD30" s="137"/>
      <c r="SE30" s="146"/>
      <c r="SF30" s="145"/>
      <c r="SG30" s="146"/>
      <c r="SH30" s="131">
        <f>SUM(RF30:SG30)</f>
      </c>
      <c r="SI30" s="134"/>
      <c r="SJ30" s="135"/>
      <c r="SK30" s="136"/>
      <c r="SL30" s="138">
        <v>0.5</v>
      </c>
      <c r="SM30" s="138">
        <v>0.5</v>
      </c>
      <c r="SN30" s="138">
        <v>0.5</v>
      </c>
      <c r="SO30" s="138">
        <v>0.5</v>
      </c>
      <c r="SP30" s="138">
        <v>0.5</v>
      </c>
      <c r="SQ30" s="138">
        <v>0.5</v>
      </c>
      <c r="SR30" s="139">
        <v>0.5</v>
      </c>
      <c r="SS30" s="155"/>
      <c r="ST30" s="137"/>
      <c r="SU30" s="138">
        <v>0.5</v>
      </c>
      <c r="SV30" s="149">
        <v>0.5</v>
      </c>
      <c r="SW30" s="142">
        <v>0.5</v>
      </c>
      <c r="SX30" s="138">
        <v>0.5</v>
      </c>
      <c r="SY30" s="138">
        <v>0.5</v>
      </c>
      <c r="SZ30" s="138">
        <v>0.5</v>
      </c>
      <c r="TA30" s="138">
        <v>0.5</v>
      </c>
      <c r="TB30" s="138">
        <v>0.5</v>
      </c>
      <c r="TC30" s="138">
        <v>0.5</v>
      </c>
      <c r="TD30" s="137"/>
      <c r="TE30" s="137"/>
      <c r="TF30" s="137"/>
      <c r="TG30" s="137"/>
      <c r="TH30" s="146"/>
      <c r="TI30" s="145"/>
      <c r="TJ30" s="146"/>
      <c r="TK30" s="131">
        <f>SUM(SI30:TJ30)</f>
      </c>
      <c r="TL30" s="134"/>
      <c r="TM30" s="135"/>
      <c r="TN30" s="136"/>
      <c r="TO30" s="138">
        <v>0.5</v>
      </c>
      <c r="TP30" s="138">
        <v>0.5</v>
      </c>
      <c r="TQ30" s="138">
        <v>0.5</v>
      </c>
      <c r="TR30" s="138">
        <v>0.5</v>
      </c>
      <c r="TS30" s="138">
        <v>0.5</v>
      </c>
      <c r="TT30" s="138">
        <v>0.5</v>
      </c>
      <c r="TU30" s="139">
        <v>0.5</v>
      </c>
      <c r="TV30" s="155"/>
      <c r="TW30" s="137"/>
      <c r="TX30" s="138">
        <v>0.5</v>
      </c>
      <c r="TY30" s="149">
        <v>0.5</v>
      </c>
      <c r="TZ30" s="142">
        <v>0.5</v>
      </c>
      <c r="UA30" s="138">
        <v>0.5</v>
      </c>
      <c r="UB30" s="138">
        <v>0.5</v>
      </c>
      <c r="UC30" s="138">
        <v>0.5</v>
      </c>
      <c r="UD30" s="138">
        <v>0.5</v>
      </c>
      <c r="UE30" s="138">
        <v>0.5</v>
      </c>
      <c r="UF30" s="138">
        <v>0.5</v>
      </c>
      <c r="UG30" s="137"/>
      <c r="UH30" s="137"/>
      <c r="UI30" s="137"/>
      <c r="UJ30" s="137"/>
      <c r="UK30" s="146"/>
      <c r="UL30" s="145"/>
      <c r="UM30" s="146"/>
      <c r="UN30" s="131">
        <f>SUM(TL30:UM30)</f>
      </c>
      <c r="UO30" s="121"/>
      <c r="UP30" s="122"/>
      <c r="UQ30" s="123"/>
      <c r="UR30" s="124"/>
      <c r="US30" s="124"/>
      <c r="UT30" s="124"/>
      <c r="UU30" s="124"/>
      <c r="UV30" s="124"/>
      <c r="UW30" s="124"/>
      <c r="UX30" s="125"/>
      <c r="UY30" s="126"/>
      <c r="UZ30" s="124"/>
      <c r="VA30" s="124"/>
      <c r="VB30" s="127"/>
      <c r="VC30" s="123"/>
      <c r="VD30" s="124"/>
      <c r="VE30" s="124"/>
      <c r="VF30" s="124"/>
      <c r="VG30" s="124"/>
      <c r="VH30" s="124"/>
      <c r="VI30" s="124"/>
      <c r="VJ30" s="124"/>
      <c r="VK30" s="124"/>
      <c r="VL30" s="124"/>
      <c r="VM30" s="124"/>
      <c r="VN30" s="128"/>
      <c r="VO30" s="129"/>
      <c r="VP30" s="128"/>
      <c r="VQ30" s="131">
        <f>SUM(UO30:VP30)</f>
      </c>
      <c r="VR30" s="121"/>
      <c r="VS30" s="122"/>
      <c r="VT30" s="123"/>
      <c r="VU30" s="124"/>
      <c r="VV30" s="124"/>
      <c r="VW30" s="124"/>
      <c r="VX30" s="124"/>
      <c r="VY30" s="124"/>
      <c r="VZ30" s="124"/>
      <c r="WA30" s="125"/>
      <c r="WB30" s="126"/>
      <c r="WC30" s="124"/>
      <c r="WD30" s="124"/>
      <c r="WE30" s="127"/>
      <c r="WF30" s="123"/>
      <c r="WG30" s="124"/>
      <c r="WH30" s="124"/>
      <c r="WI30" s="124"/>
      <c r="WJ30" s="124"/>
      <c r="WK30" s="124"/>
      <c r="WL30" s="124"/>
      <c r="WM30" s="124"/>
      <c r="WN30" s="124"/>
      <c r="WO30" s="124"/>
      <c r="WP30" s="124"/>
      <c r="WQ30" s="128"/>
      <c r="WR30" s="129"/>
      <c r="WS30" s="128"/>
      <c r="WT30" s="131">
        <f>SUM(VR30:WS30)</f>
      </c>
      <c r="WU30" s="132">
        <f>QB30+RE30+SH30+TK30+UN30+VQ30+WT30</f>
      </c>
      <c r="WV30" s="133">
        <f>(COUNTIF(OZ30:WT30,"H")+COUNTIF(OZ30:WT30,"S")+COUNTIF(OZ30:WT30,"L")+COUNTIF(OZ30:WT30,"E")+COUNTIF(OZ30:WT30,"C"))/2</f>
      </c>
      <c r="WW30" s="130">
        <f>WU30+WV30</f>
      </c>
      <c r="WX30" s="134"/>
      <c r="WY30" s="135"/>
      <c r="WZ30" s="136"/>
      <c r="XA30" s="138">
        <v>0.5</v>
      </c>
      <c r="XB30" s="138">
        <v>0.5</v>
      </c>
      <c r="XC30" s="138">
        <v>0.5</v>
      </c>
      <c r="XD30" s="138">
        <v>0.5</v>
      </c>
      <c r="XE30" s="138">
        <v>0.5</v>
      </c>
      <c r="XF30" s="138">
        <v>0.5</v>
      </c>
      <c r="XG30" s="139">
        <v>0.5</v>
      </c>
      <c r="XH30" s="155"/>
      <c r="XI30" s="137"/>
      <c r="XJ30" s="138">
        <v>0.5</v>
      </c>
      <c r="XK30" s="149">
        <v>0.5</v>
      </c>
      <c r="XL30" s="142">
        <v>0.5</v>
      </c>
      <c r="XM30" s="138">
        <v>0.5</v>
      </c>
      <c r="XN30" s="138">
        <v>0.5</v>
      </c>
      <c r="XO30" s="138">
        <v>0.5</v>
      </c>
      <c r="XP30" s="138">
        <v>0.5</v>
      </c>
      <c r="XQ30" s="138">
        <v>0.5</v>
      </c>
      <c r="XR30" s="138">
        <v>0.5</v>
      </c>
      <c r="XS30" s="137"/>
      <c r="XT30" s="137"/>
      <c r="XU30" s="137"/>
      <c r="XV30" s="137"/>
      <c r="XW30" s="146"/>
      <c r="XX30" s="145"/>
      <c r="XY30" s="146"/>
      <c r="XZ30" s="131">
        <f>SUM(WX30:XY30)</f>
      </c>
      <c r="YA30" s="134"/>
      <c r="YB30" s="135"/>
      <c r="YC30" s="136"/>
      <c r="YD30" s="138">
        <v>0.5</v>
      </c>
      <c r="YE30" s="138">
        <v>0.5</v>
      </c>
      <c r="YF30" s="138">
        <v>0.5</v>
      </c>
      <c r="YG30" s="138">
        <v>0.5</v>
      </c>
      <c r="YH30" s="138">
        <v>0.5</v>
      </c>
      <c r="YI30" s="138">
        <v>0.5</v>
      </c>
      <c r="YJ30" s="139">
        <v>0.5</v>
      </c>
      <c r="YK30" s="155"/>
      <c r="YL30" s="137"/>
      <c r="YM30" s="138">
        <v>0.5</v>
      </c>
      <c r="YN30" s="149">
        <v>0.5</v>
      </c>
      <c r="YO30" s="142">
        <v>0.5</v>
      </c>
      <c r="YP30" s="138">
        <v>0.5</v>
      </c>
      <c r="YQ30" s="138">
        <v>0.5</v>
      </c>
      <c r="YR30" s="138">
        <v>0.5</v>
      </c>
      <c r="YS30" s="138">
        <v>0.5</v>
      </c>
      <c r="YT30" s="138">
        <v>0.5</v>
      </c>
      <c r="YU30" s="138">
        <v>0.5</v>
      </c>
      <c r="YV30" s="137"/>
      <c r="YW30" s="137"/>
      <c r="YX30" s="137"/>
      <c r="YY30" s="137"/>
      <c r="YZ30" s="146"/>
      <c r="ZA30" s="145"/>
      <c r="ZB30" s="146"/>
      <c r="ZC30" s="131">
        <f>SUM(YA30:ZB30)</f>
      </c>
      <c r="ZD30" s="134"/>
      <c r="ZE30" s="135"/>
      <c r="ZF30" s="136"/>
      <c r="ZG30" s="138">
        <v>0.5</v>
      </c>
      <c r="ZH30" s="138">
        <v>0.5</v>
      </c>
      <c r="ZI30" s="138">
        <v>0.5</v>
      </c>
      <c r="ZJ30" s="138">
        <v>0.5</v>
      </c>
      <c r="ZK30" s="138">
        <v>0.5</v>
      </c>
      <c r="ZL30" s="138">
        <v>0.5</v>
      </c>
      <c r="ZM30" s="139">
        <v>0.5</v>
      </c>
      <c r="ZN30" s="155"/>
      <c r="ZO30" s="137"/>
      <c r="ZP30" s="138">
        <v>0.5</v>
      </c>
      <c r="ZQ30" s="149">
        <v>0.5</v>
      </c>
      <c r="ZR30" s="142">
        <v>0.5</v>
      </c>
      <c r="ZS30" s="138">
        <v>0.5</v>
      </c>
      <c r="ZT30" s="138">
        <v>0.5</v>
      </c>
      <c r="ZU30" s="138">
        <v>0.5</v>
      </c>
      <c r="ZV30" s="138">
        <v>0.5</v>
      </c>
      <c r="ZW30" s="138">
        <v>0.5</v>
      </c>
      <c r="ZX30" s="138">
        <v>0.5</v>
      </c>
      <c r="ZY30" s="137"/>
      <c r="ZZ30" s="137"/>
      <c r="AAA30" s="137"/>
      <c r="AAB30" s="137"/>
      <c r="AAC30" s="146"/>
      <c r="AAD30" s="145"/>
      <c r="AAE30" s="146"/>
      <c r="AAF30" s="131">
        <f>SUM(ZD30:AAE30)</f>
      </c>
      <c r="AAG30" s="134"/>
      <c r="AAH30" s="135"/>
      <c r="AAI30" s="136"/>
      <c r="AAJ30" s="138">
        <v>0.5</v>
      </c>
      <c r="AAK30" s="138">
        <v>0.5</v>
      </c>
      <c r="AAL30" s="138">
        <v>0.5</v>
      </c>
      <c r="AAM30" s="138">
        <v>0.5</v>
      </c>
      <c r="AAN30" s="138">
        <v>0.5</v>
      </c>
      <c r="AAO30" s="138">
        <v>0.5</v>
      </c>
      <c r="AAP30" s="139">
        <v>0.5</v>
      </c>
      <c r="AAQ30" s="155"/>
      <c r="AAR30" s="137"/>
      <c r="AAS30" s="138">
        <v>0.5</v>
      </c>
      <c r="AAT30" s="149">
        <v>0.5</v>
      </c>
      <c r="AAU30" s="142">
        <v>0.5</v>
      </c>
      <c r="AAV30" s="138">
        <v>0.5</v>
      </c>
      <c r="AAW30" s="138">
        <v>0.5</v>
      </c>
      <c r="AAX30" s="138">
        <v>0.5</v>
      </c>
      <c r="AAY30" s="138">
        <v>0.5</v>
      </c>
      <c r="AAZ30" s="138">
        <v>0.5</v>
      </c>
      <c r="ABA30" s="138">
        <v>0.5</v>
      </c>
      <c r="ABB30" s="137"/>
      <c r="ABC30" s="137"/>
      <c r="ABD30" s="137"/>
      <c r="ABE30" s="137"/>
      <c r="ABF30" s="146"/>
      <c r="ABG30" s="145"/>
      <c r="ABH30" s="146"/>
      <c r="ABI30" s="131">
        <f>SUM(AAG30:ABH30)</f>
      </c>
      <c r="ABJ30" s="134"/>
      <c r="ABK30" s="135"/>
      <c r="ABL30" s="136"/>
      <c r="ABM30" s="138">
        <v>0.5</v>
      </c>
      <c r="ABN30" s="138">
        <v>0.5</v>
      </c>
      <c r="ABO30" s="138">
        <v>0.5</v>
      </c>
      <c r="ABP30" s="138">
        <v>0.5</v>
      </c>
      <c r="ABQ30" s="138">
        <v>0.5</v>
      </c>
      <c r="ABR30" s="138">
        <v>0.5</v>
      </c>
      <c r="ABS30" s="139">
        <v>0.5</v>
      </c>
      <c r="ABT30" s="155"/>
      <c r="ABU30" s="137"/>
      <c r="ABV30" s="138">
        <v>0.5</v>
      </c>
      <c r="ABW30" s="149">
        <v>0.5</v>
      </c>
      <c r="ABX30" s="142">
        <v>0.5</v>
      </c>
      <c r="ABY30" s="138">
        <v>0.5</v>
      </c>
      <c r="ABZ30" s="138">
        <v>0.5</v>
      </c>
      <c r="ACA30" s="138">
        <v>0.5</v>
      </c>
      <c r="ACB30" s="138">
        <v>0.5</v>
      </c>
      <c r="ACC30" s="138">
        <v>0.5</v>
      </c>
      <c r="ACD30" s="138">
        <v>0.5</v>
      </c>
      <c r="ACE30" s="137"/>
      <c r="ACF30" s="137"/>
      <c r="ACG30" s="137"/>
      <c r="ACH30" s="137"/>
      <c r="ACI30" s="146"/>
      <c r="ACJ30" s="145"/>
      <c r="ACK30" s="146"/>
      <c r="ACL30" s="131">
        <f>SUM(ABJ30:ACK30)</f>
      </c>
      <c r="ACM30" s="121"/>
      <c r="ACN30" s="122"/>
      <c r="ACO30" s="123"/>
      <c r="ACP30" s="124"/>
      <c r="ACQ30" s="124"/>
      <c r="ACR30" s="124"/>
      <c r="ACS30" s="124"/>
      <c r="ACT30" s="124"/>
      <c r="ACU30" s="124"/>
      <c r="ACV30" s="125"/>
      <c r="ACW30" s="126"/>
      <c r="ACX30" s="124"/>
      <c r="ACY30" s="124"/>
      <c r="ACZ30" s="127"/>
      <c r="ADA30" s="123"/>
      <c r="ADB30" s="124"/>
      <c r="ADC30" s="124"/>
      <c r="ADD30" s="124"/>
      <c r="ADE30" s="124"/>
      <c r="ADF30" s="124"/>
      <c r="ADG30" s="124"/>
      <c r="ADH30" s="124"/>
      <c r="ADI30" s="124"/>
      <c r="ADJ30" s="124"/>
      <c r="ADK30" s="124"/>
      <c r="ADL30" s="128"/>
      <c r="ADM30" s="129"/>
      <c r="ADN30" s="128"/>
      <c r="ADO30" s="131">
        <f>SUM(ACM30:ADN30)</f>
      </c>
      <c r="ADP30" s="121"/>
      <c r="ADQ30" s="122"/>
      <c r="ADR30" s="123"/>
      <c r="ADS30" s="124"/>
      <c r="ADT30" s="124"/>
      <c r="ADU30" s="124"/>
      <c r="ADV30" s="124"/>
      <c r="ADW30" s="124"/>
      <c r="ADX30" s="124"/>
      <c r="ADY30" s="125"/>
      <c r="ADZ30" s="126"/>
      <c r="AEA30" s="124"/>
      <c r="AEB30" s="124"/>
      <c r="AEC30" s="127"/>
      <c r="AED30" s="123"/>
      <c r="AEE30" s="124"/>
      <c r="AEF30" s="124"/>
      <c r="AEG30" s="124"/>
      <c r="AEH30" s="124"/>
      <c r="AEI30" s="124"/>
      <c r="AEJ30" s="124"/>
      <c r="AEK30" s="124"/>
      <c r="AEL30" s="124"/>
      <c r="AEM30" s="124"/>
      <c r="AEN30" s="124"/>
      <c r="AEO30" s="128"/>
      <c r="AEP30" s="129"/>
      <c r="AEQ30" s="128"/>
      <c r="AER30" s="131">
        <f>SUM(ADP30:AEQ30)</f>
      </c>
      <c r="AES30" s="132">
        <f>XZ30+ZC30+AAF30+ABI30+ACL30+ADO30+AER30</f>
      </c>
      <c r="AET30" s="133">
        <f>(COUNTIF(WX30:AER30,"H")+COUNTIF(WX30:AER30,"S")+COUNTIF(WX30:AER30,"L")+COUNTIF(WX30:AER30,"E")+COUNTIF(WX30:AER30,"C"))/2</f>
      </c>
      <c r="AEU30" s="130">
        <f>AES30+AET30</f>
      </c>
      <c r="AEV30" s="134"/>
      <c r="AEW30" s="135"/>
      <c r="AEX30" s="142">
        <v>0.5</v>
      </c>
      <c r="AEY30" s="138">
        <v>0.5</v>
      </c>
      <c r="AEZ30" s="138">
        <v>0.5</v>
      </c>
      <c r="AFA30" s="138">
        <v>0.5</v>
      </c>
      <c r="AFB30" s="138">
        <v>0.5</v>
      </c>
      <c r="AFC30" s="138">
        <v>0.5</v>
      </c>
      <c r="AFD30" s="138">
        <v>0.5</v>
      </c>
      <c r="AFE30" s="139">
        <v>0.5</v>
      </c>
      <c r="AFF30" s="147"/>
      <c r="AFG30" s="148"/>
      <c r="AFH30" s="138">
        <v>0.5</v>
      </c>
      <c r="AFI30" s="149">
        <v>0.5</v>
      </c>
      <c r="AFJ30" s="142">
        <v>0.5</v>
      </c>
      <c r="AFK30" s="138">
        <v>0.5</v>
      </c>
      <c r="AFL30" s="138">
        <v>0.5</v>
      </c>
      <c r="AFM30" s="138">
        <v>0.5</v>
      </c>
      <c r="AFN30" s="138">
        <v>0.5</v>
      </c>
      <c r="AFO30" s="138">
        <v>0.5</v>
      </c>
      <c r="AFP30" s="137"/>
      <c r="AFQ30" s="137"/>
      <c r="AFR30" s="137"/>
      <c r="AFS30" s="137"/>
      <c r="AFT30" s="137"/>
      <c r="AFU30" s="146"/>
      <c r="AFV30" s="145"/>
      <c r="AFW30" s="146"/>
      <c r="AFX30" s="130">
        <f>SUM(AEV30:AFW30)</f>
      </c>
      <c r="AFY30" s="134"/>
      <c r="AFZ30" s="135"/>
      <c r="AGA30" s="142">
        <v>0.5</v>
      </c>
      <c r="AGB30" s="138">
        <v>0.5</v>
      </c>
      <c r="AGC30" s="138">
        <v>0.5</v>
      </c>
      <c r="AGD30" s="138">
        <v>0.5</v>
      </c>
      <c r="AGE30" s="138">
        <v>0.5</v>
      </c>
      <c r="AGF30" s="138">
        <v>0.5</v>
      </c>
      <c r="AGG30" s="138">
        <v>0.5</v>
      </c>
      <c r="AGH30" s="139">
        <v>0.5</v>
      </c>
      <c r="AGI30" s="147"/>
      <c r="AGJ30" s="148"/>
      <c r="AGK30" s="138">
        <v>0.5</v>
      </c>
      <c r="AGL30" s="149">
        <v>0.5</v>
      </c>
      <c r="AGM30" s="142">
        <v>0.5</v>
      </c>
      <c r="AGN30" s="138">
        <v>0.5</v>
      </c>
      <c r="AGO30" s="138">
        <v>0.5</v>
      </c>
      <c r="AGP30" s="138">
        <v>0.5</v>
      </c>
      <c r="AGQ30" s="138">
        <v>0.5</v>
      </c>
      <c r="AGR30" s="138">
        <v>0.5</v>
      </c>
      <c r="AGS30" s="137"/>
      <c r="AGT30" s="137"/>
      <c r="AGU30" s="137"/>
      <c r="AGV30" s="137"/>
      <c r="AGW30" s="137"/>
      <c r="AGX30" s="146"/>
      <c r="AGY30" s="145"/>
      <c r="AGZ30" s="146"/>
      <c r="AHA30" s="130">
        <f>SUM(AFY30:AGZ30)</f>
      </c>
      <c r="AHB30" s="134"/>
      <c r="AHC30" s="135"/>
      <c r="AHD30" s="142">
        <v>0.5</v>
      </c>
      <c r="AHE30" s="138">
        <v>0.5</v>
      </c>
      <c r="AHF30" s="138">
        <v>0.5</v>
      </c>
      <c r="AHG30" s="138">
        <v>0.5</v>
      </c>
      <c r="AHH30" s="138">
        <v>0.5</v>
      </c>
      <c r="AHI30" s="138">
        <v>0.5</v>
      </c>
      <c r="AHJ30" s="138">
        <v>0.5</v>
      </c>
      <c r="AHK30" s="139">
        <v>0.5</v>
      </c>
      <c r="AHL30" s="147"/>
      <c r="AHM30" s="148"/>
      <c r="AHN30" s="138">
        <v>0.5</v>
      </c>
      <c r="AHO30" s="149">
        <v>0.5</v>
      </c>
      <c r="AHP30" s="142">
        <v>0.5</v>
      </c>
      <c r="AHQ30" s="138">
        <v>0.5</v>
      </c>
      <c r="AHR30" s="138">
        <v>0.5</v>
      </c>
      <c r="AHS30" s="138">
        <v>0.5</v>
      </c>
      <c r="AHT30" s="138">
        <v>0.5</v>
      </c>
      <c r="AHU30" s="138">
        <v>0.5</v>
      </c>
      <c r="AHV30" s="137"/>
      <c r="AHW30" s="137"/>
      <c r="AHX30" s="137"/>
      <c r="AHY30" s="137"/>
      <c r="AHZ30" s="137"/>
      <c r="AIA30" s="146"/>
      <c r="AIB30" s="145"/>
      <c r="AIC30" s="146"/>
      <c r="AID30" s="130">
        <f>SUM(AHB30:AIC30)</f>
      </c>
      <c r="AIE30" s="134"/>
      <c r="AIF30" s="135"/>
      <c r="AIG30" s="142">
        <v>0.5</v>
      </c>
      <c r="AIH30" s="138">
        <v>0.5</v>
      </c>
      <c r="AII30" s="138">
        <v>0.5</v>
      </c>
      <c r="AIJ30" s="138">
        <v>0.5</v>
      </c>
      <c r="AIK30" s="138">
        <v>0.5</v>
      </c>
      <c r="AIL30" s="138">
        <v>0.5</v>
      </c>
      <c r="AIM30" s="138">
        <v>0.5</v>
      </c>
      <c r="AIN30" s="139">
        <v>0.5</v>
      </c>
      <c r="AIO30" s="147"/>
      <c r="AIP30" s="148"/>
      <c r="AIQ30" s="138">
        <v>0.5</v>
      </c>
      <c r="AIR30" s="149">
        <v>0.5</v>
      </c>
      <c r="AIS30" s="142">
        <v>0.5</v>
      </c>
      <c r="AIT30" s="138">
        <v>0.5</v>
      </c>
      <c r="AIU30" s="138">
        <v>0.5</v>
      </c>
      <c r="AIV30" s="138">
        <v>0.5</v>
      </c>
      <c r="AIW30" s="138">
        <v>0.5</v>
      </c>
      <c r="AIX30" s="138">
        <v>0.5</v>
      </c>
      <c r="AIY30" s="137"/>
      <c r="AIZ30" s="137"/>
      <c r="AJA30" s="137"/>
      <c r="AJB30" s="137"/>
      <c r="AJC30" s="137"/>
      <c r="AJD30" s="146"/>
      <c r="AJE30" s="145"/>
      <c r="AJF30" s="146"/>
      <c r="AJG30" s="130">
        <f>SUM(AIE30:AJF30)</f>
      </c>
      <c r="AJH30" s="134"/>
      <c r="AJI30" s="135"/>
      <c r="AJJ30" s="142">
        <v>0.5</v>
      </c>
      <c r="AJK30" s="138">
        <v>0.5</v>
      </c>
      <c r="AJL30" s="138">
        <v>0.5</v>
      </c>
      <c r="AJM30" s="138">
        <v>0.5</v>
      </c>
      <c r="AJN30" s="138">
        <v>0.5</v>
      </c>
      <c r="AJO30" s="138">
        <v>0.5</v>
      </c>
      <c r="AJP30" s="138">
        <v>0.5</v>
      </c>
      <c r="AJQ30" s="139">
        <v>0.5</v>
      </c>
      <c r="AJR30" s="147"/>
      <c r="AJS30" s="148"/>
      <c r="AJT30" s="138">
        <v>0.5</v>
      </c>
      <c r="AJU30" s="149">
        <v>0.5</v>
      </c>
      <c r="AJV30" s="142">
        <v>0.5</v>
      </c>
      <c r="AJW30" s="138">
        <v>0.5</v>
      </c>
      <c r="AJX30" s="138">
        <v>0.5</v>
      </c>
      <c r="AJY30" s="138">
        <v>0.5</v>
      </c>
      <c r="AJZ30" s="138">
        <v>0.5</v>
      </c>
      <c r="AKA30" s="138">
        <v>0.5</v>
      </c>
      <c r="AKB30" s="137"/>
      <c r="AKC30" s="137"/>
      <c r="AKD30" s="137"/>
      <c r="AKE30" s="137"/>
      <c r="AKF30" s="137"/>
      <c r="AKG30" s="146"/>
      <c r="AKH30" s="145"/>
      <c r="AKI30" s="146"/>
      <c r="AKJ30" s="130">
        <f>SUM(AJH30:AKI30)</f>
      </c>
      <c r="AKK30" s="121"/>
      <c r="AKL30" s="122"/>
      <c r="AKM30" s="123"/>
      <c r="AKN30" s="124"/>
      <c r="AKO30" s="124"/>
      <c r="AKP30" s="124"/>
      <c r="AKQ30" s="124"/>
      <c r="AKR30" s="124"/>
      <c r="AKS30" s="124"/>
      <c r="AKT30" s="125"/>
      <c r="AKU30" s="126"/>
      <c r="AKV30" s="124"/>
      <c r="AKW30" s="124"/>
      <c r="AKX30" s="127"/>
      <c r="AKY30" s="123"/>
      <c r="AKZ30" s="124"/>
      <c r="ALA30" s="124"/>
      <c r="ALB30" s="124"/>
      <c r="ALC30" s="124"/>
      <c r="ALD30" s="124"/>
      <c r="ALE30" s="124"/>
      <c r="ALF30" s="124"/>
      <c r="ALG30" s="124"/>
      <c r="ALH30" s="124"/>
      <c r="ALI30" s="124"/>
      <c r="ALJ30" s="128"/>
      <c r="ALK30" s="129"/>
      <c r="ALL30" s="128"/>
      <c r="ALM30" s="131">
        <f>SUM(AKK30:ALL30)</f>
      </c>
      <c r="ALN30" s="121"/>
      <c r="ALO30" s="122"/>
      <c r="ALP30" s="123"/>
      <c r="ALQ30" s="124"/>
      <c r="ALR30" s="124"/>
      <c r="ALS30" s="124"/>
      <c r="ALT30" s="124"/>
      <c r="ALU30" s="124"/>
      <c r="ALV30" s="124"/>
      <c r="ALW30" s="125"/>
      <c r="ALX30" s="126"/>
      <c r="ALY30" s="124"/>
      <c r="ALZ30" s="124"/>
      <c r="AMA30" s="127"/>
      <c r="AMB30" s="123"/>
      <c r="AMC30" s="124"/>
      <c r="AMD30" s="124"/>
      <c r="AME30" s="124"/>
      <c r="AMF30" s="124"/>
      <c r="AMG30" s="124"/>
      <c r="AMH30" s="124"/>
      <c r="AMI30" s="124"/>
      <c r="AMJ30" s="124"/>
      <c r="AMK30" s="124"/>
      <c r="AML30" s="124"/>
      <c r="AMM30" s="128"/>
      <c r="AMN30" s="129"/>
      <c r="AMO30" s="128"/>
      <c r="AMP30" s="131">
        <f>SUM(ALN30:AMO30)</f>
      </c>
      <c r="AMQ30" s="150">
        <f>AFX30+AHA30+AID30+AJG30+AKJ30+ALM30+AMP30</f>
      </c>
      <c r="AMR30" s="133">
        <f>(COUNTIF(AEV30:AMP30,"H")+COUNTIF(AEV30:AMP30,"S")+COUNTIF(AEV30:AMP30,"L")+COUNTIF(AEV30:AMP30,"E")+COUNTIF(AEV30:AMP30,"C"))/2</f>
      </c>
      <c r="AMS30" s="131">
        <f>AMQ30+AMR30</f>
      </c>
      <c r="AMT30" s="4"/>
      <c r="AMU30" s="4"/>
      <c r="AMV30" s="4"/>
      <c r="AMW30" s="4"/>
      <c r="AMX30" s="4"/>
      <c r="AMY30" s="4"/>
      <c r="AMZ30" s="4"/>
      <c r="ANA30" s="4"/>
      <c r="ANB30" s="4"/>
      <c r="ANC30" s="4"/>
      <c r="AND30" s="4"/>
      <c r="ANE30" s="4"/>
      <c r="ANF30" s="4"/>
      <c r="ANG30" s="4"/>
      <c r="ANH30" s="4"/>
      <c r="ANI30" s="4"/>
      <c r="ANJ30" s="13"/>
      <c r="ANK30" s="13"/>
      <c r="ANL30" s="4"/>
      <c r="ANM30" s="4"/>
      <c r="ANN30" s="4"/>
      <c r="ANO30" s="4"/>
      <c r="ANP30" s="4"/>
      <c r="ANQ30" s="4"/>
      <c r="ANR30" s="4"/>
      <c r="ANS30" s="4"/>
      <c r="ANT30" s="4"/>
      <c r="ANU30" s="4"/>
      <c r="ANV30" s="4"/>
      <c r="ANW30" s="4"/>
      <c r="ANX30" s="4"/>
      <c r="ANY30" s="4"/>
      <c r="ANZ30" s="4"/>
      <c r="AOA30" s="4"/>
      <c r="AOB30" s="4"/>
      <c r="AOC30" s="4"/>
      <c r="AOD30" s="4"/>
      <c r="AOE30" s="4"/>
      <c r="AOF30" s="4"/>
      <c r="AOG30" s="4"/>
      <c r="AOH30" s="4"/>
      <c r="AOI30" s="4"/>
      <c r="AOJ30" s="4"/>
      <c r="AOK30" s="4"/>
      <c r="AOL30" s="4"/>
      <c r="AOM30" s="4"/>
      <c r="AON30" s="4"/>
      <c r="AOO30" s="4"/>
      <c r="AOP30" s="4"/>
      <c r="AOQ30" s="4"/>
      <c r="AOR30" s="4"/>
      <c r="AOS30" s="4"/>
      <c r="AOT30" s="4"/>
      <c r="AOU30" s="4"/>
      <c r="AOV30" s="4"/>
      <c r="AOW30" s="4"/>
      <c r="AOX30" s="4"/>
      <c r="AOY30" s="4"/>
      <c r="AOZ30" s="4"/>
      <c r="APA30" s="4"/>
      <c r="APB30" s="4"/>
      <c r="APC30" s="4"/>
      <c r="APD30" s="4"/>
      <c r="APE30" s="4"/>
      <c r="APF30" s="4"/>
      <c r="APG30" s="4"/>
      <c r="APH30" s="4"/>
      <c r="API30" s="4"/>
      <c r="APJ30" s="4"/>
      <c r="APK30" s="4"/>
      <c r="APL30" s="4"/>
      <c r="APM30" s="4"/>
      <c r="APN30" s="4"/>
      <c r="APO30" s="4"/>
      <c r="APP30" s="4"/>
      <c r="APQ30" s="4"/>
      <c r="APR30" s="4"/>
      <c r="APS30" s="4"/>
      <c r="APT30" s="4"/>
      <c r="APU30" s="4"/>
      <c r="APV30" s="4"/>
      <c r="APW30" s="4"/>
      <c r="APX30" s="4"/>
      <c r="APY30" s="4"/>
      <c r="APZ30" s="4"/>
      <c r="AQA30" s="4"/>
      <c r="AQB30" s="4"/>
      <c r="AQC30" s="4"/>
      <c r="AQD30" s="4"/>
      <c r="AQE30" s="4"/>
      <c r="AQF30" s="4"/>
      <c r="AQG30" s="4"/>
      <c r="AQH30" s="4"/>
      <c r="AQI30" s="4"/>
      <c r="AQJ30" s="4"/>
      <c r="AQK30" s="4"/>
      <c r="AQL30" s="4"/>
      <c r="AQM30" s="4"/>
      <c r="AQN30" s="4"/>
      <c r="AQO30" s="4"/>
      <c r="AQP30" s="4"/>
      <c r="AQQ30" s="4"/>
      <c r="AQR30" s="4"/>
      <c r="AQS30" s="4"/>
      <c r="AQT30" s="4"/>
      <c r="AQU30" s="4"/>
      <c r="AQV30" s="4"/>
      <c r="AQW30" s="4"/>
      <c r="AQX30" s="4"/>
      <c r="AQY30" s="4"/>
      <c r="AQZ30" s="4"/>
      <c r="ARA30" s="4"/>
      <c r="ARB30" s="4"/>
      <c r="ARC30" s="4"/>
      <c r="ARD30" s="4"/>
      <c r="ARE30" s="4"/>
      <c r="ARF30" s="4"/>
      <c r="ARG30" s="4"/>
      <c r="ARH30" s="4"/>
      <c r="ARI30" s="4"/>
      <c r="ARJ30" s="4"/>
      <c r="ARK30" s="4"/>
      <c r="ARL30" s="4"/>
      <c r="ARM30" s="4"/>
      <c r="ARN30" s="4"/>
      <c r="ARO30" s="4"/>
      <c r="ARP30" s="4"/>
      <c r="ARQ30" s="4"/>
      <c r="ARR30" s="4"/>
      <c r="ARS30" s="4"/>
      <c r="ART30" s="4"/>
      <c r="ARU30" s="4"/>
      <c r="ARV30" s="4"/>
      <c r="ARW30" s="4"/>
      <c r="ARX30" s="4"/>
      <c r="ARY30" s="4"/>
      <c r="ARZ30" s="4"/>
      <c r="ASA30" s="4"/>
      <c r="ASB30" s="4"/>
      <c r="ASC30" s="4"/>
      <c r="ASD30" s="4"/>
      <c r="ASE30" s="4"/>
      <c r="ASF30" s="4"/>
      <c r="ASG30" s="4"/>
      <c r="ASH30" s="4"/>
      <c r="ASI30" s="4"/>
      <c r="ASJ30" s="4"/>
      <c r="ASK30" s="4"/>
      <c r="ASL30" s="4"/>
      <c r="ASM30" s="4"/>
      <c r="ASN30" s="4"/>
      <c r="ASO30" s="4"/>
      <c r="ASP30" s="4"/>
      <c r="ASQ30" s="4"/>
      <c r="ASR30" s="4"/>
      <c r="ASS30" s="4"/>
      <c r="AST30" s="4"/>
      <c r="ASU30" s="4"/>
    </row>
    <row r="31" ht="15.75" customHeight="1" spans="1:1191" x14ac:dyDescent="0.25">
      <c r="A31" s="118"/>
      <c r="B31" s="119" t="s">
        <v>71</v>
      </c>
      <c r="C31" s="120" t="s">
        <v>52</v>
      </c>
      <c r="D31" s="121"/>
      <c r="E31" s="122"/>
      <c r="F31" s="123"/>
      <c r="G31" s="124"/>
      <c r="H31" s="124"/>
      <c r="I31" s="124"/>
      <c r="J31" s="124"/>
      <c r="K31" s="124"/>
      <c r="L31" s="124"/>
      <c r="M31" s="125"/>
      <c r="N31" s="126"/>
      <c r="O31" s="124"/>
      <c r="P31" s="124"/>
      <c r="Q31" s="127"/>
      <c r="R31" s="123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8"/>
      <c r="AD31" s="129"/>
      <c r="AE31" s="128"/>
      <c r="AF31" s="130">
        <f>SUM(D31:AE31)</f>
      </c>
      <c r="AG31" s="121"/>
      <c r="AH31" s="122"/>
      <c r="AI31" s="123"/>
      <c r="AJ31" s="124"/>
      <c r="AK31" s="124"/>
      <c r="AL31" s="124"/>
      <c r="AM31" s="124"/>
      <c r="AN31" s="124"/>
      <c r="AO31" s="124"/>
      <c r="AP31" s="125"/>
      <c r="AQ31" s="126"/>
      <c r="AR31" s="124"/>
      <c r="AS31" s="124"/>
      <c r="AT31" s="127"/>
      <c r="AU31" s="123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8"/>
      <c r="BG31" s="129"/>
      <c r="BH31" s="128"/>
      <c r="BI31" s="130">
        <f>SUM(AG31:BH31)</f>
      </c>
      <c r="BJ31" s="121"/>
      <c r="BK31" s="122"/>
      <c r="BL31" s="123"/>
      <c r="BM31" s="124"/>
      <c r="BN31" s="124"/>
      <c r="BO31" s="124"/>
      <c r="BP31" s="124"/>
      <c r="BQ31" s="124"/>
      <c r="BR31" s="124"/>
      <c r="BS31" s="125"/>
      <c r="BT31" s="126"/>
      <c r="BU31" s="124"/>
      <c r="BV31" s="124"/>
      <c r="BW31" s="127"/>
      <c r="BX31" s="123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8"/>
      <c r="CJ31" s="129"/>
      <c r="CK31" s="128"/>
      <c r="CL31" s="130">
        <f>SUM(BJ31:CK31)</f>
      </c>
      <c r="CM31" s="121"/>
      <c r="CN31" s="122"/>
      <c r="CO31" s="123"/>
      <c r="CP31" s="124"/>
      <c r="CQ31" s="124"/>
      <c r="CR31" s="124"/>
      <c r="CS31" s="124"/>
      <c r="CT31" s="124"/>
      <c r="CU31" s="124"/>
      <c r="CV31" s="125"/>
      <c r="CW31" s="126"/>
      <c r="CX31" s="124"/>
      <c r="CY31" s="124"/>
      <c r="CZ31" s="127"/>
      <c r="DA31" s="123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8"/>
      <c r="DM31" s="129"/>
      <c r="DN31" s="128"/>
      <c r="DO31" s="130">
        <f>SUM(CM31:DN31)</f>
      </c>
      <c r="DP31" s="121"/>
      <c r="DQ31" s="122"/>
      <c r="DR31" s="123"/>
      <c r="DS31" s="124"/>
      <c r="DT31" s="124"/>
      <c r="DU31" s="124"/>
      <c r="DV31" s="124"/>
      <c r="DW31" s="124"/>
      <c r="DX31" s="124"/>
      <c r="DY31" s="125"/>
      <c r="DZ31" s="126"/>
      <c r="EA31" s="124"/>
      <c r="EB31" s="124"/>
      <c r="EC31" s="127"/>
      <c r="ED31" s="123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8"/>
      <c r="EP31" s="129"/>
      <c r="EQ31" s="128"/>
      <c r="ER31" s="130">
        <f>SUM(DP31:EQ31)</f>
      </c>
      <c r="ES31" s="121"/>
      <c r="ET31" s="122"/>
      <c r="EU31" s="123"/>
      <c r="EV31" s="124"/>
      <c r="EW31" s="124"/>
      <c r="EX31" s="124"/>
      <c r="EY31" s="124"/>
      <c r="EZ31" s="124"/>
      <c r="FA31" s="124"/>
      <c r="FB31" s="125"/>
      <c r="FC31" s="126"/>
      <c r="FD31" s="124"/>
      <c r="FE31" s="124"/>
      <c r="FF31" s="127"/>
      <c r="FG31" s="123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8"/>
      <c r="FS31" s="129"/>
      <c r="FT31" s="128"/>
      <c r="FU31" s="131">
        <f>SUM(ES31:FT31)</f>
      </c>
      <c r="FV31" s="121"/>
      <c r="FW31" s="122"/>
      <c r="FX31" s="123"/>
      <c r="FY31" s="124"/>
      <c r="FZ31" s="124"/>
      <c r="GA31" s="124"/>
      <c r="GB31" s="124"/>
      <c r="GC31" s="124"/>
      <c r="GD31" s="124"/>
      <c r="GE31" s="125"/>
      <c r="GF31" s="126"/>
      <c r="GG31" s="124"/>
      <c r="GH31" s="124"/>
      <c r="GI31" s="127"/>
      <c r="GJ31" s="123"/>
      <c r="GK31" s="124"/>
      <c r="GL31" s="124"/>
      <c r="GM31" s="124"/>
      <c r="GN31" s="124"/>
      <c r="GO31" s="124"/>
      <c r="GP31" s="124"/>
      <c r="GQ31" s="124"/>
      <c r="GR31" s="124"/>
      <c r="GS31" s="124"/>
      <c r="GT31" s="124"/>
      <c r="GU31" s="128"/>
      <c r="GV31" s="129"/>
      <c r="GW31" s="128"/>
      <c r="GX31" s="131">
        <f>SUM(FV31:GW31)</f>
      </c>
      <c r="GY31" s="132">
        <f>AF31+BI31+CL31+DO31+ER31+FU31+GX31</f>
      </c>
      <c r="GZ31" s="133">
        <f>(COUNTIF(D31:GX31,"H")+COUNTIF(D31:GX31,"S")+COUNTIF(D31:GX31,"L")+COUNTIF(D31:GX31,"E")+COUNTIF(D31:GX31,"C"))/2</f>
      </c>
      <c r="HA31" s="130">
        <f>GY31+GZ31</f>
      </c>
      <c r="HB31" s="134"/>
      <c r="HC31" s="135"/>
      <c r="HD31" s="136"/>
      <c r="HE31" s="137"/>
      <c r="HF31" s="143">
        <v>0.5</v>
      </c>
      <c r="HG31" s="143">
        <v>0.5</v>
      </c>
      <c r="HH31" s="143">
        <v>0.5</v>
      </c>
      <c r="HI31" s="143">
        <v>0.5</v>
      </c>
      <c r="HJ31" s="138">
        <v>0.5</v>
      </c>
      <c r="HK31" s="139">
        <v>0.5</v>
      </c>
      <c r="HL31" s="140">
        <v>0.5</v>
      </c>
      <c r="HM31" s="138">
        <v>0.5</v>
      </c>
      <c r="HN31" s="137"/>
      <c r="HO31" s="141"/>
      <c r="HP31" s="142">
        <v>0.5</v>
      </c>
      <c r="HQ31" s="138">
        <v>0.5</v>
      </c>
      <c r="HR31" s="143">
        <v>0.5</v>
      </c>
      <c r="HS31" s="143">
        <v>0.5</v>
      </c>
      <c r="HT31" s="143">
        <v>0.5</v>
      </c>
      <c r="HU31" s="143">
        <v>0.5</v>
      </c>
      <c r="HV31" s="143">
        <v>0.5</v>
      </c>
      <c r="HW31" s="143">
        <v>0.5</v>
      </c>
      <c r="HX31" s="137"/>
      <c r="HY31" s="137"/>
      <c r="HZ31" s="137"/>
      <c r="IA31" s="146"/>
      <c r="IB31" s="145"/>
      <c r="IC31" s="146"/>
      <c r="ID31" s="131">
        <f>SUM(HB31:IC31)</f>
      </c>
      <c r="IE31" s="134"/>
      <c r="IF31" s="135"/>
      <c r="IG31" s="136"/>
      <c r="IH31" s="137"/>
      <c r="II31" s="143">
        <v>0.5</v>
      </c>
      <c r="IJ31" s="143">
        <v>0.5</v>
      </c>
      <c r="IK31" s="143">
        <v>0.5</v>
      </c>
      <c r="IL31" s="143">
        <v>0.5</v>
      </c>
      <c r="IM31" s="138">
        <v>0.5</v>
      </c>
      <c r="IN31" s="139">
        <v>0.5</v>
      </c>
      <c r="IO31" s="140">
        <v>0.5</v>
      </c>
      <c r="IP31" s="138">
        <v>0.5</v>
      </c>
      <c r="IQ31" s="137"/>
      <c r="IR31" s="141"/>
      <c r="IS31" s="142">
        <v>0.5</v>
      </c>
      <c r="IT31" s="138">
        <v>0.5</v>
      </c>
      <c r="IU31" s="143">
        <v>0.5</v>
      </c>
      <c r="IV31" s="143">
        <v>0.5</v>
      </c>
      <c r="IW31" s="143">
        <v>0.5</v>
      </c>
      <c r="IX31" s="143">
        <v>0.5</v>
      </c>
      <c r="IY31" s="143">
        <v>0.5</v>
      </c>
      <c r="IZ31" s="143">
        <v>0.5</v>
      </c>
      <c r="JA31" s="137"/>
      <c r="JB31" s="137"/>
      <c r="JC31" s="137"/>
      <c r="JD31" s="146"/>
      <c r="JE31" s="145"/>
      <c r="JF31" s="146"/>
      <c r="JG31" s="131">
        <f>SUM(IE31:JF31)</f>
      </c>
      <c r="JH31" s="134"/>
      <c r="JI31" s="135"/>
      <c r="JJ31" s="136"/>
      <c r="JK31" s="137"/>
      <c r="JL31" s="143">
        <v>0.5</v>
      </c>
      <c r="JM31" s="143">
        <v>0.5</v>
      </c>
      <c r="JN31" s="143">
        <v>0.5</v>
      </c>
      <c r="JO31" s="143">
        <v>0.5</v>
      </c>
      <c r="JP31" s="138">
        <v>0.5</v>
      </c>
      <c r="JQ31" s="139">
        <v>0.5</v>
      </c>
      <c r="JR31" s="140">
        <v>0.5</v>
      </c>
      <c r="JS31" s="138">
        <v>0.5</v>
      </c>
      <c r="JT31" s="137"/>
      <c r="JU31" s="141"/>
      <c r="JV31" s="142">
        <v>0.5</v>
      </c>
      <c r="JW31" s="138">
        <v>0.5</v>
      </c>
      <c r="JX31" s="143">
        <v>0.5</v>
      </c>
      <c r="JY31" s="143">
        <v>0.5</v>
      </c>
      <c r="JZ31" s="143">
        <v>0.5</v>
      </c>
      <c r="KA31" s="143">
        <v>0.5</v>
      </c>
      <c r="KB31" s="143">
        <v>0.5</v>
      </c>
      <c r="KC31" s="143">
        <v>0.5</v>
      </c>
      <c r="KD31" s="137"/>
      <c r="KE31" s="137"/>
      <c r="KF31" s="137"/>
      <c r="KG31" s="146"/>
      <c r="KH31" s="145"/>
      <c r="KI31" s="146"/>
      <c r="KJ31" s="131">
        <f>SUM(JH31:KI31)</f>
      </c>
      <c r="KK31" s="134"/>
      <c r="KL31" s="135"/>
      <c r="KM31" s="136"/>
      <c r="KN31" s="137"/>
      <c r="KO31" s="143">
        <v>0.5</v>
      </c>
      <c r="KP31" s="143">
        <v>0.5</v>
      </c>
      <c r="KQ31" s="143">
        <v>0.5</v>
      </c>
      <c r="KR31" s="143">
        <v>0.5</v>
      </c>
      <c r="KS31" s="138">
        <v>0.5</v>
      </c>
      <c r="KT31" s="139">
        <v>0.5</v>
      </c>
      <c r="KU31" s="140">
        <v>0.5</v>
      </c>
      <c r="KV31" s="138">
        <v>0.5</v>
      </c>
      <c r="KW31" s="137"/>
      <c r="KX31" s="141"/>
      <c r="KY31" s="142">
        <v>0.5</v>
      </c>
      <c r="KZ31" s="138">
        <v>0.5</v>
      </c>
      <c r="LA31" s="143">
        <v>0.5</v>
      </c>
      <c r="LB31" s="143">
        <v>0.5</v>
      </c>
      <c r="LC31" s="143">
        <v>0.5</v>
      </c>
      <c r="LD31" s="143">
        <v>0.5</v>
      </c>
      <c r="LE31" s="143">
        <v>0.5</v>
      </c>
      <c r="LF31" s="143">
        <v>0.5</v>
      </c>
      <c r="LG31" s="137"/>
      <c r="LH31" s="137"/>
      <c r="LI31" s="137"/>
      <c r="LJ31" s="146"/>
      <c r="LK31" s="145"/>
      <c r="LL31" s="146"/>
      <c r="LM31" s="131">
        <f>SUM(KK31:LL31)</f>
      </c>
      <c r="LN31" s="134"/>
      <c r="LO31" s="135"/>
      <c r="LP31" s="136"/>
      <c r="LQ31" s="137"/>
      <c r="LR31" s="143">
        <v>0.5</v>
      </c>
      <c r="LS31" s="143">
        <v>0.5</v>
      </c>
      <c r="LT31" s="143">
        <v>0.5</v>
      </c>
      <c r="LU31" s="143">
        <v>0.5</v>
      </c>
      <c r="LV31" s="138">
        <v>0.5</v>
      </c>
      <c r="LW31" s="139">
        <v>0.5</v>
      </c>
      <c r="LX31" s="140">
        <v>0.5</v>
      </c>
      <c r="LY31" s="138">
        <v>0.5</v>
      </c>
      <c r="LZ31" s="137"/>
      <c r="MA31" s="141"/>
      <c r="MB31" s="142">
        <v>0.5</v>
      </c>
      <c r="MC31" s="138">
        <v>0.5</v>
      </c>
      <c r="MD31" s="143">
        <v>0.5</v>
      </c>
      <c r="ME31" s="143">
        <v>0.5</v>
      </c>
      <c r="MF31" s="143">
        <v>0.5</v>
      </c>
      <c r="MG31" s="143">
        <v>0.5</v>
      </c>
      <c r="MH31" s="143">
        <v>0.5</v>
      </c>
      <c r="MI31" s="143">
        <v>0.5</v>
      </c>
      <c r="MJ31" s="137"/>
      <c r="MK31" s="137"/>
      <c r="ML31" s="137"/>
      <c r="MM31" s="146"/>
      <c r="MN31" s="145"/>
      <c r="MO31" s="146"/>
      <c r="MP31" s="131">
        <f>SUM(LN31:MO31)</f>
      </c>
      <c r="MQ31" s="121"/>
      <c r="MR31" s="122"/>
      <c r="MS31" s="123"/>
      <c r="MT31" s="124"/>
      <c r="MU31" s="124"/>
      <c r="MV31" s="124"/>
      <c r="MW31" s="124"/>
      <c r="MX31" s="124"/>
      <c r="MY31" s="124"/>
      <c r="MZ31" s="125"/>
      <c r="NA31" s="126"/>
      <c r="NB31" s="124"/>
      <c r="NC31" s="124"/>
      <c r="ND31" s="127"/>
      <c r="NE31" s="123"/>
      <c r="NF31" s="124"/>
      <c r="NG31" s="124"/>
      <c r="NH31" s="124"/>
      <c r="NI31" s="124"/>
      <c r="NJ31" s="124"/>
      <c r="NK31" s="124"/>
      <c r="NL31" s="124"/>
      <c r="NM31" s="124"/>
      <c r="NN31" s="124"/>
      <c r="NO31" s="124"/>
      <c r="NP31" s="128"/>
      <c r="NQ31" s="129"/>
      <c r="NR31" s="128"/>
      <c r="NS31" s="131">
        <f>SUM(MQ31:NR31)</f>
      </c>
      <c r="NT31" s="121"/>
      <c r="NU31" s="122"/>
      <c r="NV31" s="123"/>
      <c r="NW31" s="124"/>
      <c r="NX31" s="124"/>
      <c r="NY31" s="124"/>
      <c r="NZ31" s="124"/>
      <c r="OA31" s="124"/>
      <c r="OB31" s="124"/>
      <c r="OC31" s="125"/>
      <c r="OD31" s="126"/>
      <c r="OE31" s="124"/>
      <c r="OF31" s="124"/>
      <c r="OG31" s="127"/>
      <c r="OH31" s="123"/>
      <c r="OI31" s="124"/>
      <c r="OJ31" s="124"/>
      <c r="OK31" s="124"/>
      <c r="OL31" s="124"/>
      <c r="OM31" s="124"/>
      <c r="ON31" s="124"/>
      <c r="OO31" s="124"/>
      <c r="OP31" s="124"/>
      <c r="OQ31" s="124"/>
      <c r="OR31" s="124"/>
      <c r="OS31" s="128"/>
      <c r="OT31" s="129"/>
      <c r="OU31" s="128"/>
      <c r="OV31" s="131">
        <f>SUM(NT31:OU31)</f>
      </c>
      <c r="OW31" s="132">
        <f>ID31+JG31+KJ31+LM31+MP31+NS31+OV31</f>
      </c>
      <c r="OX31" s="133">
        <f>(COUNTIF(HB31:OV31,"H")+COUNTIF(HB31:OV31,"S")+COUNTIF(HB31:OV31,"L")+COUNTIF(HB31:OV31,"E")+COUNTIF(HB31:OV31,"C"))/2</f>
      </c>
      <c r="OY31" s="130">
        <f>OW31+OX31</f>
      </c>
      <c r="OZ31" s="134"/>
      <c r="PA31" s="135"/>
      <c r="PB31" s="136"/>
      <c r="PC31" s="137"/>
      <c r="PD31" s="143">
        <v>0.5</v>
      </c>
      <c r="PE31" s="143">
        <v>0.5</v>
      </c>
      <c r="PF31" s="143">
        <v>0.5</v>
      </c>
      <c r="PG31" s="143">
        <v>0.5</v>
      </c>
      <c r="PH31" s="138">
        <v>0.5</v>
      </c>
      <c r="PI31" s="139">
        <v>0.5</v>
      </c>
      <c r="PJ31" s="140">
        <v>0.5</v>
      </c>
      <c r="PK31" s="138">
        <v>0.5</v>
      </c>
      <c r="PL31" s="137"/>
      <c r="PM31" s="141"/>
      <c r="PN31" s="142">
        <v>0.5</v>
      </c>
      <c r="PO31" s="138">
        <v>0.5</v>
      </c>
      <c r="PP31" s="143">
        <v>0.5</v>
      </c>
      <c r="PQ31" s="143">
        <v>0.5</v>
      </c>
      <c r="PR31" s="143">
        <v>0.5</v>
      </c>
      <c r="PS31" s="143">
        <v>0.5</v>
      </c>
      <c r="PT31" s="143">
        <v>0.5</v>
      </c>
      <c r="PU31" s="143">
        <v>0.5</v>
      </c>
      <c r="PV31" s="137"/>
      <c r="PW31" s="137"/>
      <c r="PX31" s="137"/>
      <c r="PY31" s="146"/>
      <c r="PZ31" s="145"/>
      <c r="QA31" s="146"/>
      <c r="QB31" s="131">
        <f>SUM(OZ31:QA31)</f>
      </c>
      <c r="QC31" s="134"/>
      <c r="QD31" s="135"/>
      <c r="QE31" s="136"/>
      <c r="QF31" s="137"/>
      <c r="QG31" s="143">
        <v>0.5</v>
      </c>
      <c r="QH31" s="143">
        <v>0.5</v>
      </c>
      <c r="QI31" s="143">
        <v>0.5</v>
      </c>
      <c r="QJ31" s="143">
        <v>0.5</v>
      </c>
      <c r="QK31" s="138">
        <v>0.5</v>
      </c>
      <c r="QL31" s="139">
        <v>0.5</v>
      </c>
      <c r="QM31" s="140">
        <v>0.5</v>
      </c>
      <c r="QN31" s="138">
        <v>0.5</v>
      </c>
      <c r="QO31" s="137"/>
      <c r="QP31" s="141"/>
      <c r="QQ31" s="142">
        <v>0.5</v>
      </c>
      <c r="QR31" s="138">
        <v>0.5</v>
      </c>
      <c r="QS31" s="143">
        <v>0.5</v>
      </c>
      <c r="QT31" s="143">
        <v>0.5</v>
      </c>
      <c r="QU31" s="143">
        <v>0.5</v>
      </c>
      <c r="QV31" s="143">
        <v>0.5</v>
      </c>
      <c r="QW31" s="143">
        <v>0.5</v>
      </c>
      <c r="QX31" s="143">
        <v>0.5</v>
      </c>
      <c r="QY31" s="137"/>
      <c r="QZ31" s="137"/>
      <c r="RA31" s="137"/>
      <c r="RB31" s="146"/>
      <c r="RC31" s="145"/>
      <c r="RD31" s="146"/>
      <c r="RE31" s="131">
        <f>SUM(QC31:RD31)</f>
      </c>
      <c r="RF31" s="134"/>
      <c r="RG31" s="135"/>
      <c r="RH31" s="136"/>
      <c r="RI31" s="137"/>
      <c r="RJ31" s="143">
        <v>0.5</v>
      </c>
      <c r="RK31" s="143">
        <v>0.5</v>
      </c>
      <c r="RL31" s="143">
        <v>0.5</v>
      </c>
      <c r="RM31" s="143">
        <v>0.5</v>
      </c>
      <c r="RN31" s="138">
        <v>0.5</v>
      </c>
      <c r="RO31" s="139">
        <v>0.5</v>
      </c>
      <c r="RP31" s="140">
        <v>0.5</v>
      </c>
      <c r="RQ31" s="138">
        <v>0.5</v>
      </c>
      <c r="RR31" s="137"/>
      <c r="RS31" s="141"/>
      <c r="RT31" s="142">
        <v>0.5</v>
      </c>
      <c r="RU31" s="138">
        <v>0.5</v>
      </c>
      <c r="RV31" s="143">
        <v>0.5</v>
      </c>
      <c r="RW31" s="143">
        <v>0.5</v>
      </c>
      <c r="RX31" s="143">
        <v>0.5</v>
      </c>
      <c r="RY31" s="143">
        <v>0.5</v>
      </c>
      <c r="RZ31" s="143">
        <v>0.5</v>
      </c>
      <c r="SA31" s="143">
        <v>0.5</v>
      </c>
      <c r="SB31" s="137"/>
      <c r="SC31" s="137"/>
      <c r="SD31" s="137"/>
      <c r="SE31" s="146"/>
      <c r="SF31" s="145"/>
      <c r="SG31" s="146"/>
      <c r="SH31" s="131">
        <f>SUM(RF31:SG31)</f>
      </c>
      <c r="SI31" s="134"/>
      <c r="SJ31" s="135"/>
      <c r="SK31" s="136"/>
      <c r="SL31" s="137"/>
      <c r="SM31" s="143">
        <v>0.5</v>
      </c>
      <c r="SN31" s="143">
        <v>0.5</v>
      </c>
      <c r="SO31" s="143">
        <v>0.5</v>
      </c>
      <c r="SP31" s="143">
        <v>0.5</v>
      </c>
      <c r="SQ31" s="138">
        <v>0.5</v>
      </c>
      <c r="SR31" s="139">
        <v>0.5</v>
      </c>
      <c r="SS31" s="140">
        <v>0.5</v>
      </c>
      <c r="ST31" s="138">
        <v>0.5</v>
      </c>
      <c r="SU31" s="137"/>
      <c r="SV31" s="141"/>
      <c r="SW31" s="142">
        <v>0.5</v>
      </c>
      <c r="SX31" s="138">
        <v>0.5</v>
      </c>
      <c r="SY31" s="143">
        <v>0.5</v>
      </c>
      <c r="SZ31" s="143">
        <v>0.5</v>
      </c>
      <c r="TA31" s="143">
        <v>0.5</v>
      </c>
      <c r="TB31" s="143">
        <v>0.5</v>
      </c>
      <c r="TC31" s="143">
        <v>0.5</v>
      </c>
      <c r="TD31" s="143">
        <v>0.5</v>
      </c>
      <c r="TE31" s="137"/>
      <c r="TF31" s="137"/>
      <c r="TG31" s="137"/>
      <c r="TH31" s="146"/>
      <c r="TI31" s="145"/>
      <c r="TJ31" s="146"/>
      <c r="TK31" s="131">
        <f>SUM(SI31:TJ31)</f>
      </c>
      <c r="TL31" s="134"/>
      <c r="TM31" s="135"/>
      <c r="TN31" s="136"/>
      <c r="TO31" s="137"/>
      <c r="TP31" s="143">
        <v>0.5</v>
      </c>
      <c r="TQ31" s="143">
        <v>0.5</v>
      </c>
      <c r="TR31" s="143">
        <v>0.5</v>
      </c>
      <c r="TS31" s="143">
        <v>0.5</v>
      </c>
      <c r="TT31" s="138">
        <v>0.5</v>
      </c>
      <c r="TU31" s="139">
        <v>0.5</v>
      </c>
      <c r="TV31" s="140">
        <v>0.5</v>
      </c>
      <c r="TW31" s="138">
        <v>0.5</v>
      </c>
      <c r="TX31" s="137"/>
      <c r="TY31" s="141"/>
      <c r="TZ31" s="142">
        <v>0.5</v>
      </c>
      <c r="UA31" s="138">
        <v>0.5</v>
      </c>
      <c r="UB31" s="143">
        <v>0.5</v>
      </c>
      <c r="UC31" s="143">
        <v>0.5</v>
      </c>
      <c r="UD31" s="143">
        <v>0.5</v>
      </c>
      <c r="UE31" s="143">
        <v>0.5</v>
      </c>
      <c r="UF31" s="143">
        <v>0.5</v>
      </c>
      <c r="UG31" s="143">
        <v>0.5</v>
      </c>
      <c r="UH31" s="137"/>
      <c r="UI31" s="137"/>
      <c r="UJ31" s="137"/>
      <c r="UK31" s="146"/>
      <c r="UL31" s="145"/>
      <c r="UM31" s="146"/>
      <c r="UN31" s="131">
        <f>SUM(TL31:UM31)</f>
      </c>
      <c r="UO31" s="121"/>
      <c r="UP31" s="122"/>
      <c r="UQ31" s="123"/>
      <c r="UR31" s="124"/>
      <c r="US31" s="124"/>
      <c r="UT31" s="124"/>
      <c r="UU31" s="124"/>
      <c r="UV31" s="124"/>
      <c r="UW31" s="124"/>
      <c r="UX31" s="125"/>
      <c r="UY31" s="126"/>
      <c r="UZ31" s="124"/>
      <c r="VA31" s="124"/>
      <c r="VB31" s="127"/>
      <c r="VC31" s="123"/>
      <c r="VD31" s="124"/>
      <c r="VE31" s="124"/>
      <c r="VF31" s="124"/>
      <c r="VG31" s="124"/>
      <c r="VH31" s="124"/>
      <c r="VI31" s="124"/>
      <c r="VJ31" s="124"/>
      <c r="VK31" s="124"/>
      <c r="VL31" s="124"/>
      <c r="VM31" s="124"/>
      <c r="VN31" s="128"/>
      <c r="VO31" s="129"/>
      <c r="VP31" s="128"/>
      <c r="VQ31" s="131">
        <f>SUM(UO31:VP31)</f>
      </c>
      <c r="VR31" s="121"/>
      <c r="VS31" s="122"/>
      <c r="VT31" s="123"/>
      <c r="VU31" s="124"/>
      <c r="VV31" s="124"/>
      <c r="VW31" s="124"/>
      <c r="VX31" s="124"/>
      <c r="VY31" s="124"/>
      <c r="VZ31" s="124"/>
      <c r="WA31" s="125"/>
      <c r="WB31" s="126"/>
      <c r="WC31" s="124"/>
      <c r="WD31" s="124"/>
      <c r="WE31" s="127"/>
      <c r="WF31" s="123"/>
      <c r="WG31" s="124"/>
      <c r="WH31" s="124"/>
      <c r="WI31" s="124"/>
      <c r="WJ31" s="124"/>
      <c r="WK31" s="124"/>
      <c r="WL31" s="124"/>
      <c r="WM31" s="124"/>
      <c r="WN31" s="124"/>
      <c r="WO31" s="124"/>
      <c r="WP31" s="124"/>
      <c r="WQ31" s="128"/>
      <c r="WR31" s="129"/>
      <c r="WS31" s="128"/>
      <c r="WT31" s="131">
        <f>SUM(VR31:WS31)</f>
      </c>
      <c r="WU31" s="132">
        <f>QB31+RE31+SH31+TK31+UN31+VQ31+WT31</f>
      </c>
      <c r="WV31" s="133">
        <f>(COUNTIF(OZ31:WT31,"H")+COUNTIF(OZ31:WT31,"S")+COUNTIF(OZ31:WT31,"L")+COUNTIF(OZ31:WT31,"E")+COUNTIF(OZ31:WT31,"C"))/2</f>
      </c>
      <c r="WW31" s="130">
        <f>WU31+WV31</f>
      </c>
      <c r="WX31" s="134"/>
      <c r="WY31" s="135"/>
      <c r="WZ31" s="136"/>
      <c r="XA31" s="137"/>
      <c r="XB31" s="143">
        <v>0.5</v>
      </c>
      <c r="XC31" s="143">
        <v>0.5</v>
      </c>
      <c r="XD31" s="143">
        <v>0.5</v>
      </c>
      <c r="XE31" s="143">
        <v>0.5</v>
      </c>
      <c r="XF31" s="138">
        <v>0.5</v>
      </c>
      <c r="XG31" s="139">
        <v>0.5</v>
      </c>
      <c r="XH31" s="140">
        <v>0.5</v>
      </c>
      <c r="XI31" s="138">
        <v>0.5</v>
      </c>
      <c r="XJ31" s="137"/>
      <c r="XK31" s="141"/>
      <c r="XL31" s="142">
        <v>0.5</v>
      </c>
      <c r="XM31" s="138">
        <v>0.5</v>
      </c>
      <c r="XN31" s="143">
        <v>0.5</v>
      </c>
      <c r="XO31" s="143">
        <v>0.5</v>
      </c>
      <c r="XP31" s="143">
        <v>0.5</v>
      </c>
      <c r="XQ31" s="143">
        <v>0.5</v>
      </c>
      <c r="XR31" s="143">
        <v>0.5</v>
      </c>
      <c r="XS31" s="143">
        <v>0.5</v>
      </c>
      <c r="XT31" s="137"/>
      <c r="XU31" s="137"/>
      <c r="XV31" s="137"/>
      <c r="XW31" s="146"/>
      <c r="XX31" s="145"/>
      <c r="XY31" s="146"/>
      <c r="XZ31" s="131">
        <f>SUM(WX31:XY31)</f>
      </c>
      <c r="YA31" s="134"/>
      <c r="YB31" s="135"/>
      <c r="YC31" s="136"/>
      <c r="YD31" s="137"/>
      <c r="YE31" s="143">
        <v>0.5</v>
      </c>
      <c r="YF31" s="143">
        <v>0.5</v>
      </c>
      <c r="YG31" s="143">
        <v>0.5</v>
      </c>
      <c r="YH31" s="143">
        <v>0.5</v>
      </c>
      <c r="YI31" s="138">
        <v>0.5</v>
      </c>
      <c r="YJ31" s="139">
        <v>0.5</v>
      </c>
      <c r="YK31" s="140">
        <v>0.5</v>
      </c>
      <c r="YL31" s="138">
        <v>0.5</v>
      </c>
      <c r="YM31" s="137"/>
      <c r="YN31" s="141"/>
      <c r="YO31" s="142">
        <v>0.5</v>
      </c>
      <c r="YP31" s="138">
        <v>0.5</v>
      </c>
      <c r="YQ31" s="143">
        <v>0.5</v>
      </c>
      <c r="YR31" s="143">
        <v>0.5</v>
      </c>
      <c r="YS31" s="143">
        <v>0.5</v>
      </c>
      <c r="YT31" s="143">
        <v>0.5</v>
      </c>
      <c r="YU31" s="143">
        <v>0.5</v>
      </c>
      <c r="YV31" s="143">
        <v>0.5</v>
      </c>
      <c r="YW31" s="137"/>
      <c r="YX31" s="137"/>
      <c r="YY31" s="137"/>
      <c r="YZ31" s="146"/>
      <c r="ZA31" s="145"/>
      <c r="ZB31" s="146"/>
      <c r="ZC31" s="131">
        <f>SUM(YA31:ZB31)</f>
      </c>
      <c r="ZD31" s="134"/>
      <c r="ZE31" s="135"/>
      <c r="ZF31" s="136"/>
      <c r="ZG31" s="137"/>
      <c r="ZH31" s="143">
        <v>0.5</v>
      </c>
      <c r="ZI31" s="143">
        <v>0.5</v>
      </c>
      <c r="ZJ31" s="143">
        <v>0.5</v>
      </c>
      <c r="ZK31" s="143">
        <v>0.5</v>
      </c>
      <c r="ZL31" s="138">
        <v>0.5</v>
      </c>
      <c r="ZM31" s="139">
        <v>0.5</v>
      </c>
      <c r="ZN31" s="140">
        <v>0.5</v>
      </c>
      <c r="ZO31" s="138">
        <v>0.5</v>
      </c>
      <c r="ZP31" s="137"/>
      <c r="ZQ31" s="141"/>
      <c r="ZR31" s="142">
        <v>0.5</v>
      </c>
      <c r="ZS31" s="138">
        <v>0.5</v>
      </c>
      <c r="ZT31" s="143">
        <v>0.5</v>
      </c>
      <c r="ZU31" s="143">
        <v>0.5</v>
      </c>
      <c r="ZV31" s="143">
        <v>0.5</v>
      </c>
      <c r="ZW31" s="143">
        <v>0.5</v>
      </c>
      <c r="ZX31" s="143">
        <v>0.5</v>
      </c>
      <c r="ZY31" s="143">
        <v>0.5</v>
      </c>
      <c r="ZZ31" s="137"/>
      <c r="AAA31" s="137"/>
      <c r="AAB31" s="137"/>
      <c r="AAC31" s="146"/>
      <c r="AAD31" s="145"/>
      <c r="AAE31" s="146"/>
      <c r="AAF31" s="131">
        <f>SUM(ZD31:AAE31)</f>
      </c>
      <c r="AAG31" s="134"/>
      <c r="AAH31" s="135"/>
      <c r="AAI31" s="136"/>
      <c r="AAJ31" s="137"/>
      <c r="AAK31" s="143">
        <v>0.5</v>
      </c>
      <c r="AAL31" s="143">
        <v>0.5</v>
      </c>
      <c r="AAM31" s="143">
        <v>0.5</v>
      </c>
      <c r="AAN31" s="143">
        <v>0.5</v>
      </c>
      <c r="AAO31" s="138">
        <v>0.5</v>
      </c>
      <c r="AAP31" s="139">
        <v>0.5</v>
      </c>
      <c r="AAQ31" s="140">
        <v>0.5</v>
      </c>
      <c r="AAR31" s="138">
        <v>0.5</v>
      </c>
      <c r="AAS31" s="137"/>
      <c r="AAT31" s="141"/>
      <c r="AAU31" s="142">
        <v>0.5</v>
      </c>
      <c r="AAV31" s="138">
        <v>0.5</v>
      </c>
      <c r="AAW31" s="143">
        <v>0.5</v>
      </c>
      <c r="AAX31" s="143">
        <v>0.5</v>
      </c>
      <c r="AAY31" s="143">
        <v>0.5</v>
      </c>
      <c r="AAZ31" s="143">
        <v>0.5</v>
      </c>
      <c r="ABA31" s="143">
        <v>0.5</v>
      </c>
      <c r="ABB31" s="143">
        <v>0.5</v>
      </c>
      <c r="ABC31" s="137"/>
      <c r="ABD31" s="137"/>
      <c r="ABE31" s="137"/>
      <c r="ABF31" s="146"/>
      <c r="ABG31" s="145"/>
      <c r="ABH31" s="146"/>
      <c r="ABI31" s="131">
        <f>SUM(AAG31:ABH31)</f>
      </c>
      <c r="ABJ31" s="134"/>
      <c r="ABK31" s="135"/>
      <c r="ABL31" s="136"/>
      <c r="ABM31" s="137"/>
      <c r="ABN31" s="143">
        <v>0.5</v>
      </c>
      <c r="ABO31" s="143">
        <v>0.5</v>
      </c>
      <c r="ABP31" s="143">
        <v>0.5</v>
      </c>
      <c r="ABQ31" s="143">
        <v>0.5</v>
      </c>
      <c r="ABR31" s="138">
        <v>0.5</v>
      </c>
      <c r="ABS31" s="139">
        <v>0.5</v>
      </c>
      <c r="ABT31" s="140">
        <v>0.5</v>
      </c>
      <c r="ABU31" s="138">
        <v>0.5</v>
      </c>
      <c r="ABV31" s="137"/>
      <c r="ABW31" s="141"/>
      <c r="ABX31" s="142">
        <v>0.5</v>
      </c>
      <c r="ABY31" s="138">
        <v>0.5</v>
      </c>
      <c r="ABZ31" s="143">
        <v>0.5</v>
      </c>
      <c r="ACA31" s="143">
        <v>0.5</v>
      </c>
      <c r="ACB31" s="143">
        <v>0.5</v>
      </c>
      <c r="ACC31" s="143">
        <v>0.5</v>
      </c>
      <c r="ACD31" s="143">
        <v>0.5</v>
      </c>
      <c r="ACE31" s="143">
        <v>0.5</v>
      </c>
      <c r="ACF31" s="137"/>
      <c r="ACG31" s="137"/>
      <c r="ACH31" s="137"/>
      <c r="ACI31" s="146"/>
      <c r="ACJ31" s="145"/>
      <c r="ACK31" s="146"/>
      <c r="ACL31" s="131">
        <f>SUM(ABJ31:ACK31)</f>
      </c>
      <c r="ACM31" s="121"/>
      <c r="ACN31" s="122"/>
      <c r="ACO31" s="123"/>
      <c r="ACP31" s="124"/>
      <c r="ACQ31" s="124"/>
      <c r="ACR31" s="124"/>
      <c r="ACS31" s="124"/>
      <c r="ACT31" s="124"/>
      <c r="ACU31" s="124"/>
      <c r="ACV31" s="125"/>
      <c r="ACW31" s="126"/>
      <c r="ACX31" s="124"/>
      <c r="ACY31" s="124"/>
      <c r="ACZ31" s="127"/>
      <c r="ADA31" s="123"/>
      <c r="ADB31" s="124"/>
      <c r="ADC31" s="124"/>
      <c r="ADD31" s="124"/>
      <c r="ADE31" s="124"/>
      <c r="ADF31" s="124"/>
      <c r="ADG31" s="124"/>
      <c r="ADH31" s="124"/>
      <c r="ADI31" s="124"/>
      <c r="ADJ31" s="124"/>
      <c r="ADK31" s="124"/>
      <c r="ADL31" s="128"/>
      <c r="ADM31" s="129"/>
      <c r="ADN31" s="128"/>
      <c r="ADO31" s="131">
        <f>SUM(ACM31:ADN31)</f>
      </c>
      <c r="ADP31" s="121"/>
      <c r="ADQ31" s="122"/>
      <c r="ADR31" s="123"/>
      <c r="ADS31" s="124"/>
      <c r="ADT31" s="124"/>
      <c r="ADU31" s="124"/>
      <c r="ADV31" s="124"/>
      <c r="ADW31" s="124"/>
      <c r="ADX31" s="124"/>
      <c r="ADY31" s="125"/>
      <c r="ADZ31" s="126"/>
      <c r="AEA31" s="124"/>
      <c r="AEB31" s="124"/>
      <c r="AEC31" s="127"/>
      <c r="AED31" s="123"/>
      <c r="AEE31" s="124"/>
      <c r="AEF31" s="124"/>
      <c r="AEG31" s="124"/>
      <c r="AEH31" s="124"/>
      <c r="AEI31" s="124"/>
      <c r="AEJ31" s="124"/>
      <c r="AEK31" s="124"/>
      <c r="AEL31" s="124"/>
      <c r="AEM31" s="124"/>
      <c r="AEN31" s="124"/>
      <c r="AEO31" s="128"/>
      <c r="AEP31" s="129"/>
      <c r="AEQ31" s="128"/>
      <c r="AER31" s="131">
        <f>SUM(ADP31:AEQ31)</f>
      </c>
      <c r="AES31" s="132">
        <f>XZ31+ZC31+AAF31+ABI31+ACL31+ADO31+AER31</f>
      </c>
      <c r="AET31" s="133">
        <f>(COUNTIF(WX31:AER31,"H")+COUNTIF(WX31:AER31,"S")+COUNTIF(WX31:AER31,"L")+COUNTIF(WX31:AER31,"E")+COUNTIF(WX31:AER31,"C"))/2</f>
      </c>
      <c r="AEU31" s="130">
        <f>AES31+AET31</f>
      </c>
      <c r="AEV31" s="134"/>
      <c r="AEW31" s="135"/>
      <c r="AEX31" s="136"/>
      <c r="AEY31" s="137"/>
      <c r="AEZ31" s="143">
        <v>0.5</v>
      </c>
      <c r="AFA31" s="143">
        <v>0.5</v>
      </c>
      <c r="AFB31" s="143">
        <v>0.5</v>
      </c>
      <c r="AFC31" s="143">
        <v>0.5</v>
      </c>
      <c r="AFD31" s="138">
        <v>0.5</v>
      </c>
      <c r="AFE31" s="139">
        <v>0.5</v>
      </c>
      <c r="AFF31" s="140">
        <v>0.5</v>
      </c>
      <c r="AFG31" s="138">
        <v>0.5</v>
      </c>
      <c r="AFH31" s="137"/>
      <c r="AFI31" s="141"/>
      <c r="AFJ31" s="142">
        <v>0.5</v>
      </c>
      <c r="AFK31" s="138">
        <v>0.5</v>
      </c>
      <c r="AFL31" s="143">
        <v>0.5</v>
      </c>
      <c r="AFM31" s="143">
        <v>0.5</v>
      </c>
      <c r="AFN31" s="143">
        <v>0.5</v>
      </c>
      <c r="AFO31" s="143">
        <v>0.5</v>
      </c>
      <c r="AFP31" s="143">
        <v>0.5</v>
      </c>
      <c r="AFQ31" s="143">
        <v>0.5</v>
      </c>
      <c r="AFR31" s="137"/>
      <c r="AFS31" s="137"/>
      <c r="AFT31" s="137"/>
      <c r="AFU31" s="146"/>
      <c r="AFV31" s="145"/>
      <c r="AFW31" s="146"/>
      <c r="AFX31" s="130">
        <f>SUM(AEV31:AFW31)</f>
      </c>
      <c r="AFY31" s="134"/>
      <c r="AFZ31" s="135"/>
      <c r="AGA31" s="136"/>
      <c r="AGB31" s="137"/>
      <c r="AGC31" s="143">
        <v>0.5</v>
      </c>
      <c r="AGD31" s="143">
        <v>0.5</v>
      </c>
      <c r="AGE31" s="143">
        <v>0.5</v>
      </c>
      <c r="AGF31" s="143">
        <v>0.5</v>
      </c>
      <c r="AGG31" s="138">
        <v>0.5</v>
      </c>
      <c r="AGH31" s="139">
        <v>0.5</v>
      </c>
      <c r="AGI31" s="140">
        <v>0.5</v>
      </c>
      <c r="AGJ31" s="138">
        <v>0.5</v>
      </c>
      <c r="AGK31" s="137"/>
      <c r="AGL31" s="141"/>
      <c r="AGM31" s="142">
        <v>0.5</v>
      </c>
      <c r="AGN31" s="138">
        <v>0.5</v>
      </c>
      <c r="AGO31" s="143">
        <v>0.5</v>
      </c>
      <c r="AGP31" s="143">
        <v>0.5</v>
      </c>
      <c r="AGQ31" s="143">
        <v>0.5</v>
      </c>
      <c r="AGR31" s="143">
        <v>0.5</v>
      </c>
      <c r="AGS31" s="143">
        <v>0.5</v>
      </c>
      <c r="AGT31" s="143">
        <v>0.5</v>
      </c>
      <c r="AGU31" s="137"/>
      <c r="AGV31" s="137"/>
      <c r="AGW31" s="137"/>
      <c r="AGX31" s="146"/>
      <c r="AGY31" s="145"/>
      <c r="AGZ31" s="146"/>
      <c r="AHA31" s="130">
        <f>SUM(AFY31:AGZ31)</f>
      </c>
      <c r="AHB31" s="134"/>
      <c r="AHC31" s="135"/>
      <c r="AHD31" s="136"/>
      <c r="AHE31" s="137"/>
      <c r="AHF31" s="143">
        <v>0.5</v>
      </c>
      <c r="AHG31" s="143">
        <v>0.5</v>
      </c>
      <c r="AHH31" s="143">
        <v>0.5</v>
      </c>
      <c r="AHI31" s="143">
        <v>0.5</v>
      </c>
      <c r="AHJ31" s="138">
        <v>0.5</v>
      </c>
      <c r="AHK31" s="139">
        <v>0.5</v>
      </c>
      <c r="AHL31" s="140">
        <v>0.5</v>
      </c>
      <c r="AHM31" s="138">
        <v>0.5</v>
      </c>
      <c r="AHN31" s="137"/>
      <c r="AHO31" s="141"/>
      <c r="AHP31" s="142">
        <v>0.5</v>
      </c>
      <c r="AHQ31" s="138">
        <v>0.5</v>
      </c>
      <c r="AHR31" s="143">
        <v>0.5</v>
      </c>
      <c r="AHS31" s="143">
        <v>0.5</v>
      </c>
      <c r="AHT31" s="143">
        <v>0.5</v>
      </c>
      <c r="AHU31" s="143">
        <v>0.5</v>
      </c>
      <c r="AHV31" s="143">
        <v>0.5</v>
      </c>
      <c r="AHW31" s="143">
        <v>0.5</v>
      </c>
      <c r="AHX31" s="137"/>
      <c r="AHY31" s="137"/>
      <c r="AHZ31" s="137"/>
      <c r="AIA31" s="146"/>
      <c r="AIB31" s="145"/>
      <c r="AIC31" s="146"/>
      <c r="AID31" s="130">
        <f>SUM(AHB31:AIC31)</f>
      </c>
      <c r="AIE31" s="134"/>
      <c r="AIF31" s="135"/>
      <c r="AIG31" s="136"/>
      <c r="AIH31" s="137"/>
      <c r="AII31" s="143">
        <v>0.5</v>
      </c>
      <c r="AIJ31" s="143">
        <v>0.5</v>
      </c>
      <c r="AIK31" s="143">
        <v>0.5</v>
      </c>
      <c r="AIL31" s="143">
        <v>0.5</v>
      </c>
      <c r="AIM31" s="138">
        <v>0.5</v>
      </c>
      <c r="AIN31" s="139">
        <v>0.5</v>
      </c>
      <c r="AIO31" s="140">
        <v>0.5</v>
      </c>
      <c r="AIP31" s="138">
        <v>0.5</v>
      </c>
      <c r="AIQ31" s="137"/>
      <c r="AIR31" s="141"/>
      <c r="AIS31" s="142">
        <v>0.5</v>
      </c>
      <c r="AIT31" s="138">
        <v>0.5</v>
      </c>
      <c r="AIU31" s="143">
        <v>0.5</v>
      </c>
      <c r="AIV31" s="143">
        <v>0.5</v>
      </c>
      <c r="AIW31" s="143">
        <v>0.5</v>
      </c>
      <c r="AIX31" s="143">
        <v>0.5</v>
      </c>
      <c r="AIY31" s="143">
        <v>0.5</v>
      </c>
      <c r="AIZ31" s="143">
        <v>0.5</v>
      </c>
      <c r="AJA31" s="137"/>
      <c r="AJB31" s="137"/>
      <c r="AJC31" s="137"/>
      <c r="AJD31" s="146"/>
      <c r="AJE31" s="145"/>
      <c r="AJF31" s="146"/>
      <c r="AJG31" s="130">
        <f>SUM(AIE31:AJF31)</f>
      </c>
      <c r="AJH31" s="134"/>
      <c r="AJI31" s="135"/>
      <c r="AJJ31" s="136"/>
      <c r="AJK31" s="137"/>
      <c r="AJL31" s="143">
        <v>0.5</v>
      </c>
      <c r="AJM31" s="143">
        <v>0.5</v>
      </c>
      <c r="AJN31" s="143">
        <v>0.5</v>
      </c>
      <c r="AJO31" s="143">
        <v>0.5</v>
      </c>
      <c r="AJP31" s="138">
        <v>0.5</v>
      </c>
      <c r="AJQ31" s="139">
        <v>0.5</v>
      </c>
      <c r="AJR31" s="140">
        <v>0.5</v>
      </c>
      <c r="AJS31" s="138">
        <v>0.5</v>
      </c>
      <c r="AJT31" s="137"/>
      <c r="AJU31" s="141"/>
      <c r="AJV31" s="142">
        <v>0.5</v>
      </c>
      <c r="AJW31" s="138">
        <v>0.5</v>
      </c>
      <c r="AJX31" s="143">
        <v>0.5</v>
      </c>
      <c r="AJY31" s="143">
        <v>0.5</v>
      </c>
      <c r="AJZ31" s="143">
        <v>0.5</v>
      </c>
      <c r="AKA31" s="143">
        <v>0.5</v>
      </c>
      <c r="AKB31" s="143">
        <v>0.5</v>
      </c>
      <c r="AKC31" s="143">
        <v>0.5</v>
      </c>
      <c r="AKD31" s="137"/>
      <c r="AKE31" s="137"/>
      <c r="AKF31" s="137"/>
      <c r="AKG31" s="146"/>
      <c r="AKH31" s="145"/>
      <c r="AKI31" s="146"/>
      <c r="AKJ31" s="130">
        <f>SUM(AJH31:AKI31)</f>
      </c>
      <c r="AKK31" s="121"/>
      <c r="AKL31" s="122"/>
      <c r="AKM31" s="123"/>
      <c r="AKN31" s="124"/>
      <c r="AKO31" s="124"/>
      <c r="AKP31" s="124"/>
      <c r="AKQ31" s="124"/>
      <c r="AKR31" s="124"/>
      <c r="AKS31" s="124"/>
      <c r="AKT31" s="125"/>
      <c r="AKU31" s="126"/>
      <c r="AKV31" s="124"/>
      <c r="AKW31" s="124"/>
      <c r="AKX31" s="127"/>
      <c r="AKY31" s="123"/>
      <c r="AKZ31" s="124"/>
      <c r="ALA31" s="124"/>
      <c r="ALB31" s="124"/>
      <c r="ALC31" s="124"/>
      <c r="ALD31" s="124"/>
      <c r="ALE31" s="124"/>
      <c r="ALF31" s="124"/>
      <c r="ALG31" s="124"/>
      <c r="ALH31" s="124"/>
      <c r="ALI31" s="124"/>
      <c r="ALJ31" s="128"/>
      <c r="ALK31" s="129"/>
      <c r="ALL31" s="128"/>
      <c r="ALM31" s="131">
        <f>SUM(AKK31:ALL31)</f>
      </c>
      <c r="ALN31" s="121"/>
      <c r="ALO31" s="122"/>
      <c r="ALP31" s="123"/>
      <c r="ALQ31" s="124"/>
      <c r="ALR31" s="124"/>
      <c r="ALS31" s="124"/>
      <c r="ALT31" s="124"/>
      <c r="ALU31" s="124"/>
      <c r="ALV31" s="124"/>
      <c r="ALW31" s="125"/>
      <c r="ALX31" s="126"/>
      <c r="ALY31" s="124"/>
      <c r="ALZ31" s="124"/>
      <c r="AMA31" s="127"/>
      <c r="AMB31" s="123"/>
      <c r="AMC31" s="124"/>
      <c r="AMD31" s="124"/>
      <c r="AME31" s="124"/>
      <c r="AMF31" s="124"/>
      <c r="AMG31" s="124"/>
      <c r="AMH31" s="124"/>
      <c r="AMI31" s="124"/>
      <c r="AMJ31" s="124"/>
      <c r="AMK31" s="124"/>
      <c r="AML31" s="124"/>
      <c r="AMM31" s="128"/>
      <c r="AMN31" s="129"/>
      <c r="AMO31" s="128"/>
      <c r="AMP31" s="131">
        <f>SUM(ALN31:AMO31)</f>
      </c>
      <c r="AMQ31" s="150">
        <f>AFX31+AHA31+AID31+AJG31+AKJ31+ALM31+AMP31</f>
      </c>
      <c r="AMR31" s="133">
        <f>(COUNTIF(AEV31:AMP31,"H")+COUNTIF(AEV31:AMP31,"S")+COUNTIF(AEV31:AMP31,"L")+COUNTIF(AEV31:AMP31,"E")+COUNTIF(AEV31:AMP31,"C"))/2</f>
      </c>
      <c r="AMS31" s="131">
        <f>AMQ31+AMR31</f>
      </c>
      <c r="AMT31" s="4"/>
      <c r="AMU31" s="4"/>
      <c r="AMV31" s="4"/>
      <c r="AMW31" s="4"/>
      <c r="AMX31" s="4"/>
      <c r="AMY31" s="4"/>
      <c r="AMZ31" s="4"/>
      <c r="ANA31" s="4"/>
      <c r="ANB31" s="4"/>
      <c r="ANC31" s="4"/>
      <c r="AND31" s="4"/>
      <c r="ANE31" s="4"/>
      <c r="ANF31" s="4"/>
      <c r="ANG31" s="4"/>
      <c r="ANH31" s="4"/>
      <c r="ANI31" s="4"/>
      <c r="ANJ31" s="13"/>
      <c r="ANK31" s="13"/>
      <c r="ANL31" s="4"/>
      <c r="ANM31" s="4"/>
      <c r="ANN31" s="4"/>
      <c r="ANO31" s="4"/>
      <c r="ANP31" s="4"/>
      <c r="ANQ31" s="4"/>
      <c r="ANR31" s="4"/>
      <c r="ANS31" s="4"/>
      <c r="ANT31" s="4"/>
      <c r="ANU31" s="4"/>
      <c r="ANV31" s="4"/>
      <c r="ANW31" s="4"/>
      <c r="ANX31" s="4"/>
      <c r="ANY31" s="4"/>
      <c r="ANZ31" s="4"/>
      <c r="AOA31" s="4"/>
      <c r="AOB31" s="4"/>
      <c r="AOC31" s="4"/>
      <c r="AOD31" s="4"/>
      <c r="AOE31" s="4"/>
      <c r="AOF31" s="4"/>
      <c r="AOG31" s="4"/>
      <c r="AOH31" s="4"/>
      <c r="AOI31" s="4"/>
      <c r="AOJ31" s="4"/>
      <c r="AOK31" s="4"/>
      <c r="AOL31" s="4"/>
      <c r="AOM31" s="4"/>
      <c r="AON31" s="4"/>
      <c r="AOO31" s="4"/>
      <c r="AOP31" s="4"/>
      <c r="AOQ31" s="4"/>
      <c r="AOR31" s="4"/>
      <c r="AOS31" s="4"/>
      <c r="AOT31" s="4"/>
      <c r="AOU31" s="4"/>
      <c r="AOV31" s="4"/>
      <c r="AOW31" s="4"/>
      <c r="AOX31" s="4"/>
      <c r="AOY31" s="4"/>
      <c r="AOZ31" s="4"/>
      <c r="APA31" s="4"/>
      <c r="APB31" s="4"/>
      <c r="APC31" s="4"/>
      <c r="APD31" s="4"/>
      <c r="APE31" s="4"/>
      <c r="APF31" s="4"/>
      <c r="APG31" s="4"/>
      <c r="APH31" s="4"/>
      <c r="API31" s="4"/>
      <c r="APJ31" s="4"/>
      <c r="APK31" s="4"/>
      <c r="APL31" s="4"/>
      <c r="APM31" s="4"/>
      <c r="APN31" s="4"/>
      <c r="APO31" s="4"/>
      <c r="APP31" s="4"/>
      <c r="APQ31" s="4"/>
      <c r="APR31" s="4"/>
      <c r="APS31" s="4"/>
      <c r="APT31" s="4"/>
      <c r="APU31" s="4"/>
      <c r="APV31" s="4"/>
      <c r="APW31" s="4"/>
      <c r="APX31" s="4"/>
      <c r="APY31" s="4"/>
      <c r="APZ31" s="4"/>
      <c r="AQA31" s="4"/>
      <c r="AQB31" s="4"/>
      <c r="AQC31" s="4"/>
      <c r="AQD31" s="4"/>
      <c r="AQE31" s="4"/>
      <c r="AQF31" s="4"/>
      <c r="AQG31" s="4"/>
      <c r="AQH31" s="4"/>
      <c r="AQI31" s="4"/>
      <c r="AQJ31" s="4"/>
      <c r="AQK31" s="4"/>
      <c r="AQL31" s="4"/>
      <c r="AQM31" s="4"/>
      <c r="AQN31" s="4"/>
      <c r="AQO31" s="4"/>
      <c r="AQP31" s="4"/>
      <c r="AQQ31" s="4"/>
      <c r="AQR31" s="4"/>
      <c r="AQS31" s="4"/>
      <c r="AQT31" s="4"/>
      <c r="AQU31" s="4"/>
      <c r="AQV31" s="4"/>
      <c r="AQW31" s="4"/>
      <c r="AQX31" s="4"/>
      <c r="AQY31" s="4"/>
      <c r="AQZ31" s="4"/>
      <c r="ARA31" s="4"/>
      <c r="ARB31" s="4"/>
      <c r="ARC31" s="4"/>
      <c r="ARD31" s="4"/>
      <c r="ARE31" s="4"/>
      <c r="ARF31" s="4"/>
      <c r="ARG31" s="4"/>
      <c r="ARH31" s="4"/>
      <c r="ARI31" s="4"/>
      <c r="ARJ31" s="4"/>
      <c r="ARK31" s="4"/>
      <c r="ARL31" s="4"/>
      <c r="ARM31" s="4"/>
      <c r="ARN31" s="4"/>
      <c r="ARO31" s="4"/>
      <c r="ARP31" s="4"/>
      <c r="ARQ31" s="4"/>
      <c r="ARR31" s="4"/>
      <c r="ARS31" s="4"/>
      <c r="ART31" s="4"/>
      <c r="ARU31" s="4"/>
      <c r="ARV31" s="4"/>
      <c r="ARW31" s="4"/>
      <c r="ARX31" s="4"/>
      <c r="ARY31" s="4"/>
      <c r="ARZ31" s="4"/>
      <c r="ASA31" s="4"/>
      <c r="ASB31" s="4"/>
      <c r="ASC31" s="4"/>
      <c r="ASD31" s="4"/>
      <c r="ASE31" s="4"/>
      <c r="ASF31" s="4"/>
      <c r="ASG31" s="4"/>
      <c r="ASH31" s="4"/>
      <c r="ASI31" s="4"/>
      <c r="ASJ31" s="4"/>
      <c r="ASK31" s="4"/>
      <c r="ASL31" s="4"/>
      <c r="ASM31" s="4"/>
      <c r="ASN31" s="4"/>
      <c r="ASO31" s="4"/>
      <c r="ASP31" s="4"/>
      <c r="ASQ31" s="4"/>
      <c r="ASR31" s="4"/>
      <c r="ASS31" s="4"/>
      <c r="AST31" s="4"/>
      <c r="ASU31" s="4"/>
    </row>
    <row r="32" ht="15.75" customHeight="1" spans="1:1191" x14ac:dyDescent="0.25">
      <c r="A32" s="232"/>
      <c r="B32" s="233" t="s">
        <v>72</v>
      </c>
      <c r="C32" s="234" t="s">
        <v>52</v>
      </c>
      <c r="D32" s="235"/>
      <c r="E32" s="236"/>
      <c r="F32" s="237"/>
      <c r="G32" s="238"/>
      <c r="H32" s="238"/>
      <c r="I32" s="238"/>
      <c r="J32" s="238"/>
      <c r="K32" s="238"/>
      <c r="L32" s="239"/>
      <c r="M32" s="238"/>
      <c r="N32" s="240"/>
      <c r="O32" s="239"/>
      <c r="P32" s="239"/>
      <c r="Q32" s="241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42"/>
      <c r="AD32" s="243"/>
      <c r="AE32" s="242"/>
      <c r="AF32" s="244">
        <f>SUM(D32:AE32)</f>
      </c>
      <c r="AG32" s="235"/>
      <c r="AH32" s="236"/>
      <c r="AI32" s="237"/>
      <c r="AJ32" s="238"/>
      <c r="AK32" s="238"/>
      <c r="AL32" s="238"/>
      <c r="AM32" s="238"/>
      <c r="AN32" s="238"/>
      <c r="AO32" s="239"/>
      <c r="AP32" s="238"/>
      <c r="AQ32" s="240"/>
      <c r="AR32" s="239"/>
      <c r="AS32" s="239"/>
      <c r="AT32" s="241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8"/>
      <c r="BF32" s="242"/>
      <c r="BG32" s="243"/>
      <c r="BH32" s="242"/>
      <c r="BI32" s="244">
        <f>SUM(AG32:BH32)</f>
      </c>
      <c r="BJ32" s="235"/>
      <c r="BK32" s="236"/>
      <c r="BL32" s="237"/>
      <c r="BM32" s="238"/>
      <c r="BN32" s="238"/>
      <c r="BO32" s="238"/>
      <c r="BP32" s="238"/>
      <c r="BQ32" s="238"/>
      <c r="BR32" s="239"/>
      <c r="BS32" s="238"/>
      <c r="BT32" s="240"/>
      <c r="BU32" s="239"/>
      <c r="BV32" s="239"/>
      <c r="BW32" s="241"/>
      <c r="BX32" s="238"/>
      <c r="BY32" s="238"/>
      <c r="BZ32" s="238"/>
      <c r="CA32" s="238"/>
      <c r="CB32" s="238"/>
      <c r="CC32" s="238"/>
      <c r="CD32" s="238"/>
      <c r="CE32" s="238"/>
      <c r="CF32" s="238"/>
      <c r="CG32" s="238"/>
      <c r="CH32" s="238"/>
      <c r="CI32" s="242"/>
      <c r="CJ32" s="243"/>
      <c r="CK32" s="242"/>
      <c r="CL32" s="244">
        <f>SUM(BJ32:CK32)</f>
      </c>
      <c r="CM32" s="235"/>
      <c r="CN32" s="236"/>
      <c r="CO32" s="237"/>
      <c r="CP32" s="238"/>
      <c r="CQ32" s="238"/>
      <c r="CR32" s="238"/>
      <c r="CS32" s="238"/>
      <c r="CT32" s="238"/>
      <c r="CU32" s="239"/>
      <c r="CV32" s="238"/>
      <c r="CW32" s="240"/>
      <c r="CX32" s="239"/>
      <c r="CY32" s="239"/>
      <c r="CZ32" s="241"/>
      <c r="DA32" s="238"/>
      <c r="DB32" s="238"/>
      <c r="DC32" s="238"/>
      <c r="DD32" s="238"/>
      <c r="DE32" s="238"/>
      <c r="DF32" s="238"/>
      <c r="DG32" s="238"/>
      <c r="DH32" s="238"/>
      <c r="DI32" s="238"/>
      <c r="DJ32" s="238"/>
      <c r="DK32" s="238"/>
      <c r="DL32" s="242"/>
      <c r="DM32" s="243"/>
      <c r="DN32" s="242"/>
      <c r="DO32" s="244">
        <f>SUM(CM32:DN32)</f>
      </c>
      <c r="DP32" s="235"/>
      <c r="DQ32" s="236"/>
      <c r="DR32" s="237"/>
      <c r="DS32" s="238"/>
      <c r="DT32" s="238"/>
      <c r="DU32" s="238"/>
      <c r="DV32" s="238"/>
      <c r="DW32" s="238"/>
      <c r="DX32" s="239"/>
      <c r="DY32" s="238"/>
      <c r="DZ32" s="240"/>
      <c r="EA32" s="239"/>
      <c r="EB32" s="239"/>
      <c r="EC32" s="241"/>
      <c r="ED32" s="238"/>
      <c r="EE32" s="238"/>
      <c r="EF32" s="238"/>
      <c r="EG32" s="238"/>
      <c r="EH32" s="238"/>
      <c r="EI32" s="238"/>
      <c r="EJ32" s="238"/>
      <c r="EK32" s="238"/>
      <c r="EL32" s="238"/>
      <c r="EM32" s="238"/>
      <c r="EN32" s="238"/>
      <c r="EO32" s="242"/>
      <c r="EP32" s="243"/>
      <c r="EQ32" s="242"/>
      <c r="ER32" s="244">
        <f>SUM(DP32:EQ32)</f>
      </c>
      <c r="ES32" s="235"/>
      <c r="ET32" s="236"/>
      <c r="EU32" s="237"/>
      <c r="EV32" s="238"/>
      <c r="EW32" s="238"/>
      <c r="EX32" s="238"/>
      <c r="EY32" s="238"/>
      <c r="EZ32" s="238"/>
      <c r="FA32" s="239"/>
      <c r="FB32" s="238"/>
      <c r="FC32" s="240"/>
      <c r="FD32" s="239"/>
      <c r="FE32" s="239"/>
      <c r="FF32" s="241"/>
      <c r="FG32" s="238"/>
      <c r="FH32" s="238"/>
      <c r="FI32" s="238"/>
      <c r="FJ32" s="238"/>
      <c r="FK32" s="238"/>
      <c r="FL32" s="238"/>
      <c r="FM32" s="238"/>
      <c r="FN32" s="238"/>
      <c r="FO32" s="238"/>
      <c r="FP32" s="238"/>
      <c r="FQ32" s="238"/>
      <c r="FR32" s="242"/>
      <c r="FS32" s="243"/>
      <c r="FT32" s="242"/>
      <c r="FU32" s="244">
        <f>SUM(ES32:FT32)</f>
      </c>
      <c r="FV32" s="235"/>
      <c r="FW32" s="236"/>
      <c r="FX32" s="237"/>
      <c r="FY32" s="238"/>
      <c r="FZ32" s="238"/>
      <c r="GA32" s="238"/>
      <c r="GB32" s="238"/>
      <c r="GC32" s="238"/>
      <c r="GD32" s="239"/>
      <c r="GE32" s="238"/>
      <c r="GF32" s="240"/>
      <c r="GG32" s="239"/>
      <c r="GH32" s="239"/>
      <c r="GI32" s="241"/>
      <c r="GJ32" s="238"/>
      <c r="GK32" s="238"/>
      <c r="GL32" s="238"/>
      <c r="GM32" s="238"/>
      <c r="GN32" s="238"/>
      <c r="GO32" s="238"/>
      <c r="GP32" s="238"/>
      <c r="GQ32" s="238"/>
      <c r="GR32" s="238"/>
      <c r="GS32" s="238"/>
      <c r="GT32" s="238"/>
      <c r="GU32" s="242"/>
      <c r="GV32" s="243"/>
      <c r="GW32" s="242"/>
      <c r="GX32" s="244">
        <f>SUM(FV32:GW32)</f>
      </c>
      <c r="GY32" s="245">
        <f>AF32+BI32+CL32+DO32+ER32+FU32+GX32</f>
      </c>
      <c r="GZ32" s="246">
        <f>(COUNTIF(D32:GX32,"H")+COUNTIF(D32:GX32,"S")+COUNTIF(D32:GX32,"L")+COUNTIF(D32:GX32,"E")+COUNTIF(D32:GX32,"C"))/2</f>
      </c>
      <c r="HA32" s="247">
        <f>GY32+GZ32</f>
      </c>
      <c r="HB32" s="248"/>
      <c r="HC32" s="249"/>
      <c r="HD32" s="250"/>
      <c r="HE32" s="251"/>
      <c r="HF32" s="252">
        <v>0.5</v>
      </c>
      <c r="HG32" s="252">
        <v>0.5</v>
      </c>
      <c r="HH32" s="252">
        <v>0.5</v>
      </c>
      <c r="HI32" s="252">
        <v>0.5</v>
      </c>
      <c r="HJ32" s="253">
        <v>0.5</v>
      </c>
      <c r="HK32" s="254">
        <v>0.5</v>
      </c>
      <c r="HL32" s="255">
        <v>0.5</v>
      </c>
      <c r="HM32" s="253">
        <v>0.5</v>
      </c>
      <c r="HN32" s="256"/>
      <c r="HO32" s="257"/>
      <c r="HP32" s="254">
        <v>0.5</v>
      </c>
      <c r="HQ32" s="254">
        <v>0.5</v>
      </c>
      <c r="HR32" s="252">
        <v>0.5</v>
      </c>
      <c r="HS32" s="252">
        <v>0.5</v>
      </c>
      <c r="HT32" s="252">
        <v>0.5</v>
      </c>
      <c r="HU32" s="252">
        <v>0.5</v>
      </c>
      <c r="HV32" s="252">
        <v>0.5</v>
      </c>
      <c r="HW32" s="252">
        <v>0.5</v>
      </c>
      <c r="HX32" s="251"/>
      <c r="HY32" s="251"/>
      <c r="HZ32" s="251"/>
      <c r="IA32" s="258"/>
      <c r="IB32" s="259"/>
      <c r="IC32" s="258"/>
      <c r="ID32" s="244">
        <f>SUM(HB32:IC32)</f>
      </c>
      <c r="IE32" s="248"/>
      <c r="IF32" s="249"/>
      <c r="IG32" s="250"/>
      <c r="IH32" s="251"/>
      <c r="II32" s="260">
        <v>0.5</v>
      </c>
      <c r="IJ32" s="260">
        <v>0.5</v>
      </c>
      <c r="IK32" s="260">
        <v>0.5</v>
      </c>
      <c r="IL32" s="260">
        <v>0.5</v>
      </c>
      <c r="IM32" s="261">
        <v>0.5</v>
      </c>
      <c r="IN32" s="262">
        <v>0.5</v>
      </c>
      <c r="IO32" s="263">
        <v>0.5</v>
      </c>
      <c r="IP32" s="261">
        <v>0.5</v>
      </c>
      <c r="IQ32" s="256"/>
      <c r="IR32" s="257"/>
      <c r="IS32" s="262">
        <v>0.5</v>
      </c>
      <c r="IT32" s="262">
        <v>0.5</v>
      </c>
      <c r="IU32" s="260">
        <v>0.5</v>
      </c>
      <c r="IV32" s="260">
        <v>0.5</v>
      </c>
      <c r="IW32" s="260">
        <v>0.5</v>
      </c>
      <c r="IX32" s="260">
        <v>0.5</v>
      </c>
      <c r="IY32" s="260">
        <v>0.5</v>
      </c>
      <c r="IZ32" s="260">
        <v>0.5</v>
      </c>
      <c r="JA32" s="251"/>
      <c r="JB32" s="251"/>
      <c r="JC32" s="251"/>
      <c r="JD32" s="258"/>
      <c r="JE32" s="259"/>
      <c r="JF32" s="258"/>
      <c r="JG32" s="244">
        <f>SUM(IE32:JF32)</f>
      </c>
      <c r="JH32" s="248"/>
      <c r="JI32" s="249"/>
      <c r="JJ32" s="250"/>
      <c r="JK32" s="251"/>
      <c r="JL32" s="260">
        <v>0.5</v>
      </c>
      <c r="JM32" s="260">
        <v>0.5</v>
      </c>
      <c r="JN32" s="260">
        <v>0.5</v>
      </c>
      <c r="JO32" s="260">
        <v>0.5</v>
      </c>
      <c r="JP32" s="261">
        <v>0.5</v>
      </c>
      <c r="JQ32" s="262">
        <v>0.5</v>
      </c>
      <c r="JR32" s="263">
        <v>0.5</v>
      </c>
      <c r="JS32" s="261">
        <v>0.5</v>
      </c>
      <c r="JT32" s="256"/>
      <c r="JU32" s="257"/>
      <c r="JV32" s="262">
        <v>0.5</v>
      </c>
      <c r="JW32" s="262">
        <v>0.5</v>
      </c>
      <c r="JX32" s="260">
        <v>0.5</v>
      </c>
      <c r="JY32" s="260">
        <v>0.5</v>
      </c>
      <c r="JZ32" s="260">
        <v>0.5</v>
      </c>
      <c r="KA32" s="260">
        <v>0.5</v>
      </c>
      <c r="KB32" s="260">
        <v>0.5</v>
      </c>
      <c r="KC32" s="260">
        <v>0.5</v>
      </c>
      <c r="KD32" s="251"/>
      <c r="KE32" s="251"/>
      <c r="KF32" s="251"/>
      <c r="KG32" s="258"/>
      <c r="KH32" s="259"/>
      <c r="KI32" s="258"/>
      <c r="KJ32" s="244">
        <f>SUM(JH32:KI32)</f>
      </c>
      <c r="KK32" s="248"/>
      <c r="KL32" s="249"/>
      <c r="KM32" s="250"/>
      <c r="KN32" s="251"/>
      <c r="KO32" s="260">
        <v>0.5</v>
      </c>
      <c r="KP32" s="260">
        <v>0.5</v>
      </c>
      <c r="KQ32" s="260">
        <v>0.5</v>
      </c>
      <c r="KR32" s="260">
        <v>0.5</v>
      </c>
      <c r="KS32" s="261">
        <v>0.5</v>
      </c>
      <c r="KT32" s="262">
        <v>0.5</v>
      </c>
      <c r="KU32" s="263">
        <v>0.5</v>
      </c>
      <c r="KV32" s="261">
        <v>0.5</v>
      </c>
      <c r="KW32" s="256"/>
      <c r="KX32" s="257"/>
      <c r="KY32" s="262">
        <v>0.5</v>
      </c>
      <c r="KZ32" s="262">
        <v>0.5</v>
      </c>
      <c r="LA32" s="260">
        <v>0.5</v>
      </c>
      <c r="LB32" s="260">
        <v>0.5</v>
      </c>
      <c r="LC32" s="260">
        <v>0.5</v>
      </c>
      <c r="LD32" s="260">
        <v>0.5</v>
      </c>
      <c r="LE32" s="260">
        <v>0.5</v>
      </c>
      <c r="LF32" s="260">
        <v>0.5</v>
      </c>
      <c r="LG32" s="251"/>
      <c r="LH32" s="251"/>
      <c r="LI32" s="251"/>
      <c r="LJ32" s="258"/>
      <c r="LK32" s="259"/>
      <c r="LL32" s="258"/>
      <c r="LM32" s="244">
        <f>SUM(KK32:LL32)</f>
      </c>
      <c r="LN32" s="248"/>
      <c r="LO32" s="249"/>
      <c r="LP32" s="250"/>
      <c r="LQ32" s="251"/>
      <c r="LR32" s="260">
        <v>0.5</v>
      </c>
      <c r="LS32" s="260">
        <v>0.5</v>
      </c>
      <c r="LT32" s="260">
        <v>0.5</v>
      </c>
      <c r="LU32" s="260">
        <v>0.5</v>
      </c>
      <c r="LV32" s="261">
        <v>0.5</v>
      </c>
      <c r="LW32" s="262">
        <v>0.5</v>
      </c>
      <c r="LX32" s="263">
        <v>0.5</v>
      </c>
      <c r="LY32" s="261">
        <v>0.5</v>
      </c>
      <c r="LZ32" s="256"/>
      <c r="MA32" s="257"/>
      <c r="MB32" s="262">
        <v>0.5</v>
      </c>
      <c r="MC32" s="262">
        <v>0.5</v>
      </c>
      <c r="MD32" s="260">
        <v>0.5</v>
      </c>
      <c r="ME32" s="260">
        <v>0.5</v>
      </c>
      <c r="MF32" s="260">
        <v>0.5</v>
      </c>
      <c r="MG32" s="260">
        <v>0.5</v>
      </c>
      <c r="MH32" s="260">
        <v>0.5</v>
      </c>
      <c r="MI32" s="260">
        <v>0.5</v>
      </c>
      <c r="MJ32" s="251"/>
      <c r="MK32" s="251"/>
      <c r="ML32" s="251"/>
      <c r="MM32" s="258"/>
      <c r="MN32" s="259"/>
      <c r="MO32" s="258"/>
      <c r="MP32" s="244">
        <f>SUM(LN32:MO32)</f>
      </c>
      <c r="MQ32" s="235"/>
      <c r="MR32" s="236"/>
      <c r="MS32" s="237"/>
      <c r="MT32" s="238"/>
      <c r="MU32" s="238"/>
      <c r="MV32" s="238"/>
      <c r="MW32" s="238"/>
      <c r="MX32" s="238"/>
      <c r="MY32" s="239"/>
      <c r="MZ32" s="238"/>
      <c r="NA32" s="240"/>
      <c r="NB32" s="239"/>
      <c r="NC32" s="239"/>
      <c r="ND32" s="241"/>
      <c r="NE32" s="238"/>
      <c r="NF32" s="238"/>
      <c r="NG32" s="238"/>
      <c r="NH32" s="238"/>
      <c r="NI32" s="238"/>
      <c r="NJ32" s="238"/>
      <c r="NK32" s="238"/>
      <c r="NL32" s="238"/>
      <c r="NM32" s="238"/>
      <c r="NN32" s="238"/>
      <c r="NO32" s="238"/>
      <c r="NP32" s="242"/>
      <c r="NQ32" s="243"/>
      <c r="NR32" s="242"/>
      <c r="NS32" s="244">
        <f>SUM(MQ32:NR32)</f>
      </c>
      <c r="NT32" s="235"/>
      <c r="NU32" s="236"/>
      <c r="NV32" s="237"/>
      <c r="NW32" s="238"/>
      <c r="NX32" s="238"/>
      <c r="NY32" s="238"/>
      <c r="NZ32" s="238"/>
      <c r="OA32" s="238"/>
      <c r="OB32" s="239"/>
      <c r="OC32" s="238"/>
      <c r="OD32" s="240"/>
      <c r="OE32" s="239"/>
      <c r="OF32" s="239"/>
      <c r="OG32" s="241"/>
      <c r="OH32" s="238"/>
      <c r="OI32" s="238"/>
      <c r="OJ32" s="238"/>
      <c r="OK32" s="238"/>
      <c r="OL32" s="238"/>
      <c r="OM32" s="238"/>
      <c r="ON32" s="238"/>
      <c r="OO32" s="238"/>
      <c r="OP32" s="238"/>
      <c r="OQ32" s="238"/>
      <c r="OR32" s="238"/>
      <c r="OS32" s="242"/>
      <c r="OT32" s="243"/>
      <c r="OU32" s="242"/>
      <c r="OV32" s="244">
        <f>SUM(NT32:OU32)</f>
      </c>
      <c r="OW32" s="245">
        <f>ID32+JG32+KJ32+LM32+MP32+NS32+OV32</f>
      </c>
      <c r="OX32" s="246">
        <f>(COUNTIF(HB32:OV32,"H")+COUNTIF(HB32:OV32,"S")+COUNTIF(HB32:OV32,"L")+COUNTIF(HB32:OV32,"E")+COUNTIF(HB32:OV32,"C"))/2</f>
      </c>
      <c r="OY32" s="247">
        <f>OW32+OX32</f>
      </c>
      <c r="OZ32" s="248"/>
      <c r="PA32" s="249"/>
      <c r="PB32" s="250"/>
      <c r="PC32" s="251"/>
      <c r="PD32" s="252">
        <v>0.5</v>
      </c>
      <c r="PE32" s="252">
        <v>0.5</v>
      </c>
      <c r="PF32" s="252">
        <v>0.5</v>
      </c>
      <c r="PG32" s="252">
        <v>0.5</v>
      </c>
      <c r="PH32" s="253">
        <v>0.5</v>
      </c>
      <c r="PI32" s="254">
        <v>0.5</v>
      </c>
      <c r="PJ32" s="255">
        <v>0.5</v>
      </c>
      <c r="PK32" s="253">
        <v>0.5</v>
      </c>
      <c r="PL32" s="256"/>
      <c r="PM32" s="257"/>
      <c r="PN32" s="254">
        <v>0.5</v>
      </c>
      <c r="PO32" s="254">
        <v>0.5</v>
      </c>
      <c r="PP32" s="252">
        <v>0.5</v>
      </c>
      <c r="PQ32" s="252">
        <v>0.5</v>
      </c>
      <c r="PR32" s="252">
        <v>0.5</v>
      </c>
      <c r="PS32" s="252">
        <v>0.5</v>
      </c>
      <c r="PT32" s="252">
        <v>0.5</v>
      </c>
      <c r="PU32" s="252">
        <v>0.5</v>
      </c>
      <c r="PV32" s="251"/>
      <c r="PW32" s="251"/>
      <c r="PX32" s="251"/>
      <c r="PY32" s="258"/>
      <c r="PZ32" s="259"/>
      <c r="QA32" s="258"/>
      <c r="QB32" s="244">
        <f>SUM(OZ32:QA32)</f>
      </c>
      <c r="QC32" s="248"/>
      <c r="QD32" s="249"/>
      <c r="QE32" s="250"/>
      <c r="QF32" s="251"/>
      <c r="QG32" s="260">
        <v>0.5</v>
      </c>
      <c r="QH32" s="260">
        <v>0.5</v>
      </c>
      <c r="QI32" s="260">
        <v>0.5</v>
      </c>
      <c r="QJ32" s="260">
        <v>0.5</v>
      </c>
      <c r="QK32" s="261">
        <v>0.5</v>
      </c>
      <c r="QL32" s="262">
        <v>0.5</v>
      </c>
      <c r="QM32" s="263">
        <v>0.5</v>
      </c>
      <c r="QN32" s="261">
        <v>0.5</v>
      </c>
      <c r="QO32" s="256"/>
      <c r="QP32" s="257"/>
      <c r="QQ32" s="262">
        <v>0.5</v>
      </c>
      <c r="QR32" s="262">
        <v>0.5</v>
      </c>
      <c r="QS32" s="260">
        <v>0.5</v>
      </c>
      <c r="QT32" s="260">
        <v>0.5</v>
      </c>
      <c r="QU32" s="260">
        <v>0.5</v>
      </c>
      <c r="QV32" s="260">
        <v>0.5</v>
      </c>
      <c r="QW32" s="260">
        <v>0.5</v>
      </c>
      <c r="QX32" s="260">
        <v>0.5</v>
      </c>
      <c r="QY32" s="251"/>
      <c r="QZ32" s="251"/>
      <c r="RA32" s="251"/>
      <c r="RB32" s="258"/>
      <c r="RC32" s="259"/>
      <c r="RD32" s="258"/>
      <c r="RE32" s="244">
        <f>SUM(QC32:RD32)</f>
      </c>
      <c r="RF32" s="248"/>
      <c r="RG32" s="249"/>
      <c r="RH32" s="250"/>
      <c r="RI32" s="251"/>
      <c r="RJ32" s="260">
        <v>0.5</v>
      </c>
      <c r="RK32" s="260">
        <v>0.5</v>
      </c>
      <c r="RL32" s="260">
        <v>0.5</v>
      </c>
      <c r="RM32" s="260">
        <v>0.5</v>
      </c>
      <c r="RN32" s="261">
        <v>0.5</v>
      </c>
      <c r="RO32" s="262">
        <v>0.5</v>
      </c>
      <c r="RP32" s="263">
        <v>0.5</v>
      </c>
      <c r="RQ32" s="261">
        <v>0.5</v>
      </c>
      <c r="RR32" s="256"/>
      <c r="RS32" s="257"/>
      <c r="RT32" s="262">
        <v>0.5</v>
      </c>
      <c r="RU32" s="262">
        <v>0.5</v>
      </c>
      <c r="RV32" s="260">
        <v>0.5</v>
      </c>
      <c r="RW32" s="260">
        <v>0.5</v>
      </c>
      <c r="RX32" s="260">
        <v>0.5</v>
      </c>
      <c r="RY32" s="260">
        <v>0.5</v>
      </c>
      <c r="RZ32" s="260">
        <v>0.5</v>
      </c>
      <c r="SA32" s="260">
        <v>0.5</v>
      </c>
      <c r="SB32" s="251"/>
      <c r="SC32" s="251"/>
      <c r="SD32" s="251"/>
      <c r="SE32" s="258"/>
      <c r="SF32" s="259"/>
      <c r="SG32" s="258"/>
      <c r="SH32" s="244">
        <f>SUM(RF32:SG32)</f>
      </c>
      <c r="SI32" s="248"/>
      <c r="SJ32" s="249"/>
      <c r="SK32" s="250"/>
      <c r="SL32" s="251"/>
      <c r="SM32" s="260">
        <v>0.5</v>
      </c>
      <c r="SN32" s="260">
        <v>0.5</v>
      </c>
      <c r="SO32" s="260">
        <v>0.5</v>
      </c>
      <c r="SP32" s="260">
        <v>0.5</v>
      </c>
      <c r="SQ32" s="261">
        <v>0.5</v>
      </c>
      <c r="SR32" s="262">
        <v>0.5</v>
      </c>
      <c r="SS32" s="263">
        <v>0.5</v>
      </c>
      <c r="ST32" s="261">
        <v>0.5</v>
      </c>
      <c r="SU32" s="256"/>
      <c r="SV32" s="257"/>
      <c r="SW32" s="262">
        <v>0.5</v>
      </c>
      <c r="SX32" s="262">
        <v>0.5</v>
      </c>
      <c r="SY32" s="260">
        <v>0.5</v>
      </c>
      <c r="SZ32" s="260">
        <v>0.5</v>
      </c>
      <c r="TA32" s="260">
        <v>0.5</v>
      </c>
      <c r="TB32" s="260">
        <v>0.5</v>
      </c>
      <c r="TC32" s="260">
        <v>0.5</v>
      </c>
      <c r="TD32" s="260">
        <v>0.5</v>
      </c>
      <c r="TE32" s="251"/>
      <c r="TF32" s="251"/>
      <c r="TG32" s="251"/>
      <c r="TH32" s="258"/>
      <c r="TI32" s="259"/>
      <c r="TJ32" s="258"/>
      <c r="TK32" s="244">
        <f>SUM(SI32:TJ32)</f>
      </c>
      <c r="TL32" s="248"/>
      <c r="TM32" s="249"/>
      <c r="TN32" s="250"/>
      <c r="TO32" s="251"/>
      <c r="TP32" s="260">
        <v>0.5</v>
      </c>
      <c r="TQ32" s="260">
        <v>0.5</v>
      </c>
      <c r="TR32" s="260">
        <v>0.5</v>
      </c>
      <c r="TS32" s="260">
        <v>0.5</v>
      </c>
      <c r="TT32" s="261">
        <v>0.5</v>
      </c>
      <c r="TU32" s="262">
        <v>0.5</v>
      </c>
      <c r="TV32" s="263">
        <v>0.5</v>
      </c>
      <c r="TW32" s="261">
        <v>0.5</v>
      </c>
      <c r="TX32" s="256"/>
      <c r="TY32" s="257"/>
      <c r="TZ32" s="262">
        <v>0.5</v>
      </c>
      <c r="UA32" s="262">
        <v>0.5</v>
      </c>
      <c r="UB32" s="260">
        <v>0.5</v>
      </c>
      <c r="UC32" s="260">
        <v>0.5</v>
      </c>
      <c r="UD32" s="260">
        <v>0.5</v>
      </c>
      <c r="UE32" s="260">
        <v>0.5</v>
      </c>
      <c r="UF32" s="260">
        <v>0.5</v>
      </c>
      <c r="UG32" s="260">
        <v>0.5</v>
      </c>
      <c r="UH32" s="251"/>
      <c r="UI32" s="251"/>
      <c r="UJ32" s="251"/>
      <c r="UK32" s="258"/>
      <c r="UL32" s="259"/>
      <c r="UM32" s="258"/>
      <c r="UN32" s="244">
        <f>SUM(TL32:UM32)</f>
      </c>
      <c r="UO32" s="235"/>
      <c r="UP32" s="236"/>
      <c r="UQ32" s="237"/>
      <c r="UR32" s="238"/>
      <c r="US32" s="238"/>
      <c r="UT32" s="238"/>
      <c r="UU32" s="238"/>
      <c r="UV32" s="238"/>
      <c r="UW32" s="239"/>
      <c r="UX32" s="238"/>
      <c r="UY32" s="240"/>
      <c r="UZ32" s="239"/>
      <c r="VA32" s="239"/>
      <c r="VB32" s="241"/>
      <c r="VC32" s="238"/>
      <c r="VD32" s="238"/>
      <c r="VE32" s="238"/>
      <c r="VF32" s="238"/>
      <c r="VG32" s="238"/>
      <c r="VH32" s="238"/>
      <c r="VI32" s="238"/>
      <c r="VJ32" s="238"/>
      <c r="VK32" s="238"/>
      <c r="VL32" s="238"/>
      <c r="VM32" s="238"/>
      <c r="VN32" s="242"/>
      <c r="VO32" s="243"/>
      <c r="VP32" s="242"/>
      <c r="VQ32" s="244">
        <f>SUM(UO32:VP32)</f>
      </c>
      <c r="VR32" s="235"/>
      <c r="VS32" s="236"/>
      <c r="VT32" s="237"/>
      <c r="VU32" s="238"/>
      <c r="VV32" s="238"/>
      <c r="VW32" s="238"/>
      <c r="VX32" s="238"/>
      <c r="VY32" s="238"/>
      <c r="VZ32" s="239"/>
      <c r="WA32" s="238"/>
      <c r="WB32" s="240"/>
      <c r="WC32" s="239"/>
      <c r="WD32" s="239"/>
      <c r="WE32" s="241"/>
      <c r="WF32" s="238"/>
      <c r="WG32" s="238"/>
      <c r="WH32" s="238"/>
      <c r="WI32" s="238"/>
      <c r="WJ32" s="238"/>
      <c r="WK32" s="238"/>
      <c r="WL32" s="238"/>
      <c r="WM32" s="238"/>
      <c r="WN32" s="238"/>
      <c r="WO32" s="238"/>
      <c r="WP32" s="238"/>
      <c r="WQ32" s="242"/>
      <c r="WR32" s="243"/>
      <c r="WS32" s="242"/>
      <c r="WT32" s="244">
        <f>SUM(VR32:WS32)</f>
      </c>
      <c r="WU32" s="264">
        <f>QB32+RE32+SH32+TK32+UN32+VQ32+WT32</f>
      </c>
      <c r="WV32" s="246">
        <f>(COUNTIF(OZ32:WT32,"H")+COUNTIF(OZ32:WT32,"S")+COUNTIF(OZ32:WT32,"L")+COUNTIF(OZ32:WT32,"E")+COUNTIF(OZ32:WT32,"C"))/2</f>
      </c>
      <c r="WW32" s="244">
        <f>WU32+WV32</f>
      </c>
      <c r="WX32" s="248"/>
      <c r="WY32" s="249"/>
      <c r="WZ32" s="250"/>
      <c r="XA32" s="262">
        <v>0.5</v>
      </c>
      <c r="XB32" s="262">
        <v>0.5</v>
      </c>
      <c r="XC32" s="262">
        <v>0.5</v>
      </c>
      <c r="XD32" s="262">
        <v>0.5</v>
      </c>
      <c r="XE32" s="262">
        <v>0.5</v>
      </c>
      <c r="XF32" s="261">
        <v>0.5</v>
      </c>
      <c r="XG32" s="262">
        <v>0.5</v>
      </c>
      <c r="XH32" s="265"/>
      <c r="XI32" s="256"/>
      <c r="XJ32" s="261">
        <v>0.5</v>
      </c>
      <c r="XK32" s="266">
        <v>0.5</v>
      </c>
      <c r="XL32" s="262">
        <v>0.5</v>
      </c>
      <c r="XM32" s="262">
        <v>0.5</v>
      </c>
      <c r="XN32" s="262">
        <v>0.5</v>
      </c>
      <c r="XO32" s="262">
        <v>0.5</v>
      </c>
      <c r="XP32" s="262">
        <v>0.5</v>
      </c>
      <c r="XQ32" s="262">
        <v>0.5</v>
      </c>
      <c r="XR32" s="262">
        <v>0.5</v>
      </c>
      <c r="XS32" s="251"/>
      <c r="XT32" s="251"/>
      <c r="XU32" s="251"/>
      <c r="XV32" s="251"/>
      <c r="XW32" s="258"/>
      <c r="XX32" s="259"/>
      <c r="XY32" s="258"/>
      <c r="XZ32" s="244">
        <f>SUM(WX32:XY32)</f>
      </c>
      <c r="YA32" s="248"/>
      <c r="YB32" s="249"/>
      <c r="YC32" s="250"/>
      <c r="YD32" s="262">
        <v>0.5</v>
      </c>
      <c r="YE32" s="262">
        <v>0.5</v>
      </c>
      <c r="YF32" s="262">
        <v>0.5</v>
      </c>
      <c r="YG32" s="262">
        <v>0.5</v>
      </c>
      <c r="YH32" s="262">
        <v>0.5</v>
      </c>
      <c r="YI32" s="261">
        <v>0.5</v>
      </c>
      <c r="YJ32" s="262">
        <v>0.5</v>
      </c>
      <c r="YK32" s="265"/>
      <c r="YL32" s="256"/>
      <c r="YM32" s="261">
        <v>0.5</v>
      </c>
      <c r="YN32" s="266">
        <v>0.5</v>
      </c>
      <c r="YO32" s="262">
        <v>0.5</v>
      </c>
      <c r="YP32" s="262">
        <v>0.5</v>
      </c>
      <c r="YQ32" s="262">
        <v>0.5</v>
      </c>
      <c r="YR32" s="262">
        <v>0.5</v>
      </c>
      <c r="YS32" s="262">
        <v>0.5</v>
      </c>
      <c r="YT32" s="262">
        <v>0.5</v>
      </c>
      <c r="YU32" s="262">
        <v>0.5</v>
      </c>
      <c r="YV32" s="251"/>
      <c r="YW32" s="251"/>
      <c r="YX32" s="251"/>
      <c r="YY32" s="251"/>
      <c r="YZ32" s="258"/>
      <c r="ZA32" s="259"/>
      <c r="ZB32" s="258"/>
      <c r="ZC32" s="244">
        <f>SUM(YA32:ZB32)</f>
      </c>
      <c r="ZD32" s="248"/>
      <c r="ZE32" s="249"/>
      <c r="ZF32" s="250"/>
      <c r="ZG32" s="262">
        <v>0.5</v>
      </c>
      <c r="ZH32" s="262">
        <v>0.5</v>
      </c>
      <c r="ZI32" s="262">
        <v>0.5</v>
      </c>
      <c r="ZJ32" s="262">
        <v>0.5</v>
      </c>
      <c r="ZK32" s="262">
        <v>0.5</v>
      </c>
      <c r="ZL32" s="261">
        <v>0.5</v>
      </c>
      <c r="ZM32" s="262">
        <v>0.5</v>
      </c>
      <c r="ZN32" s="265"/>
      <c r="ZO32" s="256"/>
      <c r="ZP32" s="261">
        <v>0.5</v>
      </c>
      <c r="ZQ32" s="266">
        <v>0.5</v>
      </c>
      <c r="ZR32" s="262">
        <v>0.5</v>
      </c>
      <c r="ZS32" s="262">
        <v>0.5</v>
      </c>
      <c r="ZT32" s="262">
        <v>0.5</v>
      </c>
      <c r="ZU32" s="262">
        <v>0.5</v>
      </c>
      <c r="ZV32" s="262">
        <v>0.5</v>
      </c>
      <c r="ZW32" s="262">
        <v>0.5</v>
      </c>
      <c r="ZX32" s="262">
        <v>0.5</v>
      </c>
      <c r="ZY32" s="251"/>
      <c r="ZZ32" s="251"/>
      <c r="AAA32" s="251"/>
      <c r="AAB32" s="251"/>
      <c r="AAC32" s="258"/>
      <c r="AAD32" s="259"/>
      <c r="AAE32" s="258"/>
      <c r="AAF32" s="244">
        <f>SUM(ZD32:AAE32)</f>
      </c>
      <c r="AAG32" s="248"/>
      <c r="AAH32" s="249"/>
      <c r="AAI32" s="250"/>
      <c r="AAJ32" s="262">
        <v>0.5</v>
      </c>
      <c r="AAK32" s="262">
        <v>0.5</v>
      </c>
      <c r="AAL32" s="262">
        <v>0.5</v>
      </c>
      <c r="AAM32" s="262">
        <v>0.5</v>
      </c>
      <c r="AAN32" s="262">
        <v>0.5</v>
      </c>
      <c r="AAO32" s="261">
        <v>0.5</v>
      </c>
      <c r="AAP32" s="262">
        <v>0.5</v>
      </c>
      <c r="AAQ32" s="265"/>
      <c r="AAR32" s="256"/>
      <c r="AAS32" s="261">
        <v>0.5</v>
      </c>
      <c r="AAT32" s="266">
        <v>0.5</v>
      </c>
      <c r="AAU32" s="262">
        <v>0.5</v>
      </c>
      <c r="AAV32" s="262">
        <v>0.5</v>
      </c>
      <c r="AAW32" s="262">
        <v>0.5</v>
      </c>
      <c r="AAX32" s="262">
        <v>0.5</v>
      </c>
      <c r="AAY32" s="262">
        <v>0.5</v>
      </c>
      <c r="AAZ32" s="262">
        <v>0.5</v>
      </c>
      <c r="ABA32" s="262">
        <v>0.5</v>
      </c>
      <c r="ABB32" s="251"/>
      <c r="ABC32" s="251"/>
      <c r="ABD32" s="251"/>
      <c r="ABE32" s="251"/>
      <c r="ABF32" s="258"/>
      <c r="ABG32" s="259"/>
      <c r="ABH32" s="258"/>
      <c r="ABI32" s="244">
        <f>SUM(AAG32:ABH32)</f>
      </c>
      <c r="ABJ32" s="248"/>
      <c r="ABK32" s="249"/>
      <c r="ABL32" s="250"/>
      <c r="ABM32" s="254">
        <v>0.5</v>
      </c>
      <c r="ABN32" s="254">
        <v>0.5</v>
      </c>
      <c r="ABO32" s="254">
        <v>0.5</v>
      </c>
      <c r="ABP32" s="254">
        <v>0.5</v>
      </c>
      <c r="ABQ32" s="254">
        <v>0.5</v>
      </c>
      <c r="ABR32" s="253">
        <v>0.5</v>
      </c>
      <c r="ABS32" s="254">
        <v>0.5</v>
      </c>
      <c r="ABT32" s="265"/>
      <c r="ABU32" s="256"/>
      <c r="ABV32" s="253">
        <v>0.5</v>
      </c>
      <c r="ABW32" s="267">
        <v>0.5</v>
      </c>
      <c r="ABX32" s="254">
        <v>0.5</v>
      </c>
      <c r="ABY32" s="254">
        <v>0.5</v>
      </c>
      <c r="ABZ32" s="254">
        <v>0.5</v>
      </c>
      <c r="ACA32" s="254">
        <v>0.5</v>
      </c>
      <c r="ACB32" s="254">
        <v>0.5</v>
      </c>
      <c r="ACC32" s="254">
        <v>0.5</v>
      </c>
      <c r="ACD32" s="254">
        <v>0.5</v>
      </c>
      <c r="ACE32" s="251"/>
      <c r="ACF32" s="251"/>
      <c r="ACG32" s="251"/>
      <c r="ACH32" s="251"/>
      <c r="ACI32" s="258"/>
      <c r="ACJ32" s="259"/>
      <c r="ACK32" s="258"/>
      <c r="ACL32" s="244">
        <f>SUM(ABJ32:ACK32)</f>
      </c>
      <c r="ACM32" s="235"/>
      <c r="ACN32" s="236"/>
      <c r="ACO32" s="237"/>
      <c r="ACP32" s="238"/>
      <c r="ACQ32" s="238"/>
      <c r="ACR32" s="238"/>
      <c r="ACS32" s="238"/>
      <c r="ACT32" s="238"/>
      <c r="ACU32" s="239"/>
      <c r="ACV32" s="238"/>
      <c r="ACW32" s="240"/>
      <c r="ACX32" s="239"/>
      <c r="ACY32" s="239"/>
      <c r="ACZ32" s="241"/>
      <c r="ADA32" s="238"/>
      <c r="ADB32" s="238"/>
      <c r="ADC32" s="238"/>
      <c r="ADD32" s="238"/>
      <c r="ADE32" s="238"/>
      <c r="ADF32" s="238"/>
      <c r="ADG32" s="238"/>
      <c r="ADH32" s="238"/>
      <c r="ADI32" s="238"/>
      <c r="ADJ32" s="238"/>
      <c r="ADK32" s="238"/>
      <c r="ADL32" s="242"/>
      <c r="ADM32" s="243"/>
      <c r="ADN32" s="242"/>
      <c r="ADO32" s="244">
        <f>SUM(ACM32:ADN32)</f>
      </c>
      <c r="ADP32" s="235"/>
      <c r="ADQ32" s="236"/>
      <c r="ADR32" s="237"/>
      <c r="ADS32" s="238"/>
      <c r="ADT32" s="238"/>
      <c r="ADU32" s="238"/>
      <c r="ADV32" s="238"/>
      <c r="ADW32" s="238"/>
      <c r="ADX32" s="239"/>
      <c r="ADY32" s="238"/>
      <c r="ADZ32" s="240"/>
      <c r="AEA32" s="239"/>
      <c r="AEB32" s="239"/>
      <c r="AEC32" s="241"/>
      <c r="AED32" s="238"/>
      <c r="AEE32" s="238"/>
      <c r="AEF32" s="238"/>
      <c r="AEG32" s="238"/>
      <c r="AEH32" s="238"/>
      <c r="AEI32" s="238"/>
      <c r="AEJ32" s="238"/>
      <c r="AEK32" s="238"/>
      <c r="AEL32" s="238"/>
      <c r="AEM32" s="238"/>
      <c r="AEN32" s="238"/>
      <c r="AEO32" s="242"/>
      <c r="AEP32" s="243"/>
      <c r="AEQ32" s="242"/>
      <c r="AER32" s="244">
        <f>SUM(ADP32:AEQ32)</f>
      </c>
      <c r="AES32" s="264">
        <f>XZ32+ZC32+AAF32+ABI32+ACL32+ADO32+AER32</f>
      </c>
      <c r="AET32" s="246">
        <f>(COUNTIF(WX32:AER32,"H")+COUNTIF(WX32:AER32,"S")+COUNTIF(WX32:AER32,"L")+COUNTIF(WX32:AER32,"E")+COUNTIF(WX32:AER32,"C"))/2</f>
      </c>
      <c r="AEU32" s="244">
        <f>AES32+AET32</f>
      </c>
      <c r="AEV32" s="248"/>
      <c r="AEW32" s="249"/>
      <c r="AEX32" s="250"/>
      <c r="AEY32" s="251"/>
      <c r="AEZ32" s="252">
        <v>0.5</v>
      </c>
      <c r="AFA32" s="252">
        <v>0.5</v>
      </c>
      <c r="AFB32" s="252">
        <v>0.5</v>
      </c>
      <c r="AFC32" s="252">
        <v>0.5</v>
      </c>
      <c r="AFD32" s="253">
        <v>0.5</v>
      </c>
      <c r="AFE32" s="254">
        <v>0.5</v>
      </c>
      <c r="AFF32" s="255">
        <v>0.5</v>
      </c>
      <c r="AFG32" s="253">
        <v>0.5</v>
      </c>
      <c r="AFH32" s="256"/>
      <c r="AFI32" s="257"/>
      <c r="AFJ32" s="254">
        <v>0.5</v>
      </c>
      <c r="AFK32" s="254">
        <v>0.5</v>
      </c>
      <c r="AFL32" s="252">
        <v>0.5</v>
      </c>
      <c r="AFM32" s="252">
        <v>0.5</v>
      </c>
      <c r="AFN32" s="252">
        <v>0.5</v>
      </c>
      <c r="AFO32" s="252">
        <v>0.5</v>
      </c>
      <c r="AFP32" s="252">
        <v>0.5</v>
      </c>
      <c r="AFQ32" s="252">
        <v>0.5</v>
      </c>
      <c r="AFR32" s="251"/>
      <c r="AFS32" s="251"/>
      <c r="AFT32" s="251"/>
      <c r="AFU32" s="258"/>
      <c r="AFV32" s="259"/>
      <c r="AFW32" s="258"/>
      <c r="AFX32" s="244">
        <f>SUM(AEV32:AFW32)</f>
      </c>
      <c r="AFY32" s="248"/>
      <c r="AFZ32" s="249"/>
      <c r="AGA32" s="250"/>
      <c r="AGB32" s="251"/>
      <c r="AGC32" s="260">
        <v>0.5</v>
      </c>
      <c r="AGD32" s="260">
        <v>0.5</v>
      </c>
      <c r="AGE32" s="260">
        <v>0.5</v>
      </c>
      <c r="AGF32" s="260">
        <v>0.5</v>
      </c>
      <c r="AGG32" s="261">
        <v>0.5</v>
      </c>
      <c r="AGH32" s="262">
        <v>0.5</v>
      </c>
      <c r="AGI32" s="263">
        <v>0.5</v>
      </c>
      <c r="AGJ32" s="261">
        <v>0.5</v>
      </c>
      <c r="AGK32" s="256"/>
      <c r="AGL32" s="257"/>
      <c r="AGM32" s="262">
        <v>0.5</v>
      </c>
      <c r="AGN32" s="262">
        <v>0.5</v>
      </c>
      <c r="AGO32" s="260">
        <v>0.5</v>
      </c>
      <c r="AGP32" s="260">
        <v>0.5</v>
      </c>
      <c r="AGQ32" s="260">
        <v>0.5</v>
      </c>
      <c r="AGR32" s="260">
        <v>0.5</v>
      </c>
      <c r="AGS32" s="260">
        <v>0.5</v>
      </c>
      <c r="AGT32" s="260">
        <v>0.5</v>
      </c>
      <c r="AGU32" s="251"/>
      <c r="AGV32" s="251"/>
      <c r="AGW32" s="251"/>
      <c r="AGX32" s="258"/>
      <c r="AGY32" s="259"/>
      <c r="AGZ32" s="258"/>
      <c r="AHA32" s="244">
        <f>SUM(AFY32:AGZ32)</f>
      </c>
      <c r="AHB32" s="248"/>
      <c r="AHC32" s="249"/>
      <c r="AHD32" s="250"/>
      <c r="AHE32" s="251"/>
      <c r="AHF32" s="260">
        <v>0.5</v>
      </c>
      <c r="AHG32" s="260">
        <v>0.5</v>
      </c>
      <c r="AHH32" s="260">
        <v>0.5</v>
      </c>
      <c r="AHI32" s="260">
        <v>0.5</v>
      </c>
      <c r="AHJ32" s="261">
        <v>0.5</v>
      </c>
      <c r="AHK32" s="262">
        <v>0.5</v>
      </c>
      <c r="AHL32" s="263">
        <v>0.5</v>
      </c>
      <c r="AHM32" s="261">
        <v>0.5</v>
      </c>
      <c r="AHN32" s="256"/>
      <c r="AHO32" s="257"/>
      <c r="AHP32" s="262">
        <v>0.5</v>
      </c>
      <c r="AHQ32" s="262">
        <v>0.5</v>
      </c>
      <c r="AHR32" s="260">
        <v>0.5</v>
      </c>
      <c r="AHS32" s="260">
        <v>0.5</v>
      </c>
      <c r="AHT32" s="260">
        <v>0.5</v>
      </c>
      <c r="AHU32" s="260">
        <v>0.5</v>
      </c>
      <c r="AHV32" s="260">
        <v>0.5</v>
      </c>
      <c r="AHW32" s="260">
        <v>0.5</v>
      </c>
      <c r="AHX32" s="251"/>
      <c r="AHY32" s="251"/>
      <c r="AHZ32" s="251"/>
      <c r="AIA32" s="258"/>
      <c r="AIB32" s="259"/>
      <c r="AIC32" s="258"/>
      <c r="AID32" s="244">
        <f>SUM(AHB32:AIC32)</f>
      </c>
      <c r="AIE32" s="248"/>
      <c r="AIF32" s="249"/>
      <c r="AIG32" s="250"/>
      <c r="AIH32" s="251"/>
      <c r="AII32" s="260">
        <v>0.5</v>
      </c>
      <c r="AIJ32" s="260">
        <v>0.5</v>
      </c>
      <c r="AIK32" s="260">
        <v>0.5</v>
      </c>
      <c r="AIL32" s="260">
        <v>0.5</v>
      </c>
      <c r="AIM32" s="261">
        <v>0.5</v>
      </c>
      <c r="AIN32" s="262">
        <v>0.5</v>
      </c>
      <c r="AIO32" s="263">
        <v>0.5</v>
      </c>
      <c r="AIP32" s="261">
        <v>0.5</v>
      </c>
      <c r="AIQ32" s="256"/>
      <c r="AIR32" s="257"/>
      <c r="AIS32" s="262">
        <v>0.5</v>
      </c>
      <c r="AIT32" s="262">
        <v>0.5</v>
      </c>
      <c r="AIU32" s="260">
        <v>0.5</v>
      </c>
      <c r="AIV32" s="260">
        <v>0.5</v>
      </c>
      <c r="AIW32" s="260">
        <v>0.5</v>
      </c>
      <c r="AIX32" s="260">
        <v>0.5</v>
      </c>
      <c r="AIY32" s="260">
        <v>0.5</v>
      </c>
      <c r="AIZ32" s="260">
        <v>0.5</v>
      </c>
      <c r="AJA32" s="251"/>
      <c r="AJB32" s="251"/>
      <c r="AJC32" s="251"/>
      <c r="AJD32" s="258"/>
      <c r="AJE32" s="259"/>
      <c r="AJF32" s="258"/>
      <c r="AJG32" s="244">
        <f>SUM(AIE32:AJF32)</f>
      </c>
      <c r="AJH32" s="248"/>
      <c r="AJI32" s="249"/>
      <c r="AJJ32" s="250"/>
      <c r="AJK32" s="251"/>
      <c r="AJL32" s="260">
        <v>0.5</v>
      </c>
      <c r="AJM32" s="260">
        <v>0.5</v>
      </c>
      <c r="AJN32" s="260">
        <v>0.5</v>
      </c>
      <c r="AJO32" s="260">
        <v>0.5</v>
      </c>
      <c r="AJP32" s="261">
        <v>0.5</v>
      </c>
      <c r="AJQ32" s="262">
        <v>0.5</v>
      </c>
      <c r="AJR32" s="263">
        <v>0.5</v>
      </c>
      <c r="AJS32" s="261">
        <v>0.5</v>
      </c>
      <c r="AJT32" s="256"/>
      <c r="AJU32" s="257"/>
      <c r="AJV32" s="262">
        <v>0.5</v>
      </c>
      <c r="AJW32" s="262">
        <v>0.5</v>
      </c>
      <c r="AJX32" s="260">
        <v>0.5</v>
      </c>
      <c r="AJY32" s="260">
        <v>0.5</v>
      </c>
      <c r="AJZ32" s="260">
        <v>0.5</v>
      </c>
      <c r="AKA32" s="260">
        <v>0.5</v>
      </c>
      <c r="AKB32" s="260">
        <v>0.5</v>
      </c>
      <c r="AKC32" s="260">
        <v>0.5</v>
      </c>
      <c r="AKD32" s="251"/>
      <c r="AKE32" s="251"/>
      <c r="AKF32" s="251"/>
      <c r="AKG32" s="258"/>
      <c r="AKH32" s="259"/>
      <c r="AKI32" s="258"/>
      <c r="AKJ32" s="244">
        <f>SUM(AJH32:AKI32)</f>
      </c>
      <c r="AKK32" s="235"/>
      <c r="AKL32" s="236"/>
      <c r="AKM32" s="237"/>
      <c r="AKN32" s="238"/>
      <c r="AKO32" s="238"/>
      <c r="AKP32" s="238"/>
      <c r="AKQ32" s="238"/>
      <c r="AKR32" s="238"/>
      <c r="AKS32" s="239"/>
      <c r="AKT32" s="238"/>
      <c r="AKU32" s="240"/>
      <c r="AKV32" s="239"/>
      <c r="AKW32" s="239"/>
      <c r="AKX32" s="241"/>
      <c r="AKY32" s="238"/>
      <c r="AKZ32" s="238"/>
      <c r="ALA32" s="238"/>
      <c r="ALB32" s="238"/>
      <c r="ALC32" s="238"/>
      <c r="ALD32" s="238"/>
      <c r="ALE32" s="238"/>
      <c r="ALF32" s="238"/>
      <c r="ALG32" s="238"/>
      <c r="ALH32" s="238"/>
      <c r="ALI32" s="238"/>
      <c r="ALJ32" s="242"/>
      <c r="ALK32" s="243"/>
      <c r="ALL32" s="242"/>
      <c r="ALM32" s="244">
        <f>SUM(AKK32:ALL32)</f>
      </c>
      <c r="ALN32" s="235"/>
      <c r="ALO32" s="236"/>
      <c r="ALP32" s="237"/>
      <c r="ALQ32" s="238"/>
      <c r="ALR32" s="238"/>
      <c r="ALS32" s="238"/>
      <c r="ALT32" s="238"/>
      <c r="ALU32" s="238"/>
      <c r="ALV32" s="239"/>
      <c r="ALW32" s="238"/>
      <c r="ALX32" s="240"/>
      <c r="ALY32" s="239"/>
      <c r="ALZ32" s="239"/>
      <c r="AMA32" s="241"/>
      <c r="AMB32" s="238"/>
      <c r="AMC32" s="238"/>
      <c r="AMD32" s="238"/>
      <c r="AME32" s="238"/>
      <c r="AMF32" s="238"/>
      <c r="AMG32" s="238"/>
      <c r="AMH32" s="238"/>
      <c r="AMI32" s="238"/>
      <c r="AMJ32" s="238"/>
      <c r="AMK32" s="238"/>
      <c r="AML32" s="238"/>
      <c r="AMM32" s="242"/>
      <c r="AMN32" s="243"/>
      <c r="AMO32" s="242"/>
      <c r="AMP32" s="244">
        <f>SUM(ALN32:AMO32)</f>
      </c>
      <c r="AMQ32" s="264">
        <f>AFX32+AHA32+AID32+AJG32+AKJ32+ALM32+AMP32</f>
      </c>
      <c r="AMR32" s="246">
        <f>(COUNTIF(AEV32:AMP32,"H")+COUNTIF(AEV32:AMP32,"S")+COUNTIF(AEV32:AMP32,"L")+COUNTIF(AEV32:AMP32,"E")+COUNTIF(AEV32:AMP32,"C"))/2</f>
      </c>
      <c r="AMS32" s="244">
        <f>AMQ32+AMR32</f>
      </c>
      <c r="AMT32" s="4"/>
      <c r="AMU32" s="4"/>
      <c r="AMV32" s="4"/>
      <c r="AMW32" s="4"/>
      <c r="AMX32" s="4"/>
      <c r="AMY32" s="4"/>
      <c r="AMZ32" s="4"/>
      <c r="ANA32" s="4"/>
      <c r="ANB32" s="4"/>
      <c r="ANC32" s="4"/>
      <c r="AND32" s="4"/>
      <c r="ANE32" s="4"/>
      <c r="ANF32" s="4"/>
      <c r="ANG32" s="4"/>
      <c r="ANH32" s="4"/>
      <c r="ANI32" s="4"/>
      <c r="ANJ32" s="13"/>
      <c r="ANK32" s="13"/>
      <c r="ANL32" s="4"/>
      <c r="ANM32" s="4"/>
      <c r="ANN32" s="4"/>
      <c r="ANO32" s="4"/>
      <c r="ANP32" s="4"/>
      <c r="ANQ32" s="4"/>
      <c r="ANR32" s="4"/>
      <c r="ANS32" s="4"/>
      <c r="ANT32" s="4"/>
      <c r="ANU32" s="4"/>
      <c r="ANV32" s="4"/>
      <c r="ANW32" s="4"/>
      <c r="ANX32" s="4"/>
      <c r="ANY32" s="4"/>
      <c r="ANZ32" s="4"/>
      <c r="AOA32" s="4"/>
      <c r="AOB32" s="4"/>
      <c r="AOC32" s="4"/>
      <c r="AOD32" s="4"/>
      <c r="AOE32" s="4"/>
      <c r="AOF32" s="4"/>
      <c r="AOG32" s="4"/>
      <c r="AOH32" s="4"/>
      <c r="AOI32" s="4"/>
      <c r="AOJ32" s="4"/>
      <c r="AOK32" s="4"/>
      <c r="AOL32" s="4"/>
      <c r="AOM32" s="4"/>
      <c r="AON32" s="4"/>
      <c r="AOO32" s="4"/>
      <c r="AOP32" s="4"/>
      <c r="AOQ32" s="4"/>
      <c r="AOR32" s="4"/>
      <c r="AOS32" s="4"/>
      <c r="AOT32" s="4"/>
      <c r="AOU32" s="4"/>
      <c r="AOV32" s="4"/>
      <c r="AOW32" s="4"/>
      <c r="AOX32" s="4"/>
      <c r="AOY32" s="4"/>
      <c r="AOZ32" s="4"/>
      <c r="APA32" s="4"/>
      <c r="APB32" s="4"/>
      <c r="APC32" s="4"/>
      <c r="APD32" s="4"/>
      <c r="APE32" s="4"/>
      <c r="APF32" s="4"/>
      <c r="APG32" s="4"/>
      <c r="APH32" s="4"/>
      <c r="API32" s="4"/>
      <c r="APJ32" s="4"/>
      <c r="APK32" s="4"/>
      <c r="APL32" s="4"/>
      <c r="APM32" s="4"/>
      <c r="APN32" s="4"/>
      <c r="APO32" s="4"/>
      <c r="APP32" s="4"/>
      <c r="APQ32" s="4"/>
      <c r="APR32" s="4"/>
      <c r="APS32" s="4"/>
      <c r="APT32" s="4"/>
      <c r="APU32" s="4"/>
      <c r="APV32" s="4"/>
      <c r="APW32" s="4"/>
      <c r="APX32" s="4"/>
      <c r="APY32" s="4"/>
      <c r="APZ32" s="4"/>
      <c r="AQA32" s="4"/>
      <c r="AQB32" s="4"/>
      <c r="AQC32" s="4"/>
      <c r="AQD32" s="4"/>
      <c r="AQE32" s="4"/>
      <c r="AQF32" s="4"/>
      <c r="AQG32" s="4"/>
      <c r="AQH32" s="4"/>
      <c r="AQI32" s="4"/>
      <c r="AQJ32" s="4"/>
      <c r="AQK32" s="4"/>
      <c r="AQL32" s="4"/>
      <c r="AQM32" s="4"/>
      <c r="AQN32" s="4"/>
      <c r="AQO32" s="4"/>
      <c r="AQP32" s="4"/>
      <c r="AQQ32" s="4"/>
      <c r="AQR32" s="4"/>
      <c r="AQS32" s="4"/>
      <c r="AQT32" s="4"/>
      <c r="AQU32" s="4"/>
      <c r="AQV32" s="4"/>
      <c r="AQW32" s="4"/>
      <c r="AQX32" s="4"/>
      <c r="AQY32" s="4"/>
      <c r="AQZ32" s="4"/>
      <c r="ARA32" s="4"/>
      <c r="ARB32" s="4"/>
      <c r="ARC32" s="4"/>
      <c r="ARD32" s="4"/>
      <c r="ARE32" s="4"/>
      <c r="ARF32" s="4"/>
      <c r="ARG32" s="4"/>
      <c r="ARH32" s="4"/>
      <c r="ARI32" s="4"/>
      <c r="ARJ32" s="4"/>
      <c r="ARK32" s="4"/>
      <c r="ARL32" s="4"/>
      <c r="ARM32" s="4"/>
      <c r="ARN32" s="4"/>
      <c r="ARO32" s="4"/>
      <c r="ARP32" s="4"/>
      <c r="ARQ32" s="4"/>
      <c r="ARR32" s="4"/>
      <c r="ARS32" s="4"/>
      <c r="ART32" s="4"/>
      <c r="ARU32" s="4"/>
      <c r="ARV32" s="4"/>
      <c r="ARW32" s="4"/>
      <c r="ARX32" s="4"/>
      <c r="ARY32" s="4"/>
      <c r="ARZ32" s="4"/>
      <c r="ASA32" s="4"/>
      <c r="ASB32" s="4"/>
      <c r="ASC32" s="4"/>
      <c r="ASD32" s="4"/>
      <c r="ASE32" s="4"/>
      <c r="ASF32" s="4"/>
      <c r="ASG32" s="4"/>
      <c r="ASH32" s="4"/>
      <c r="ASI32" s="4"/>
      <c r="ASJ32" s="4"/>
      <c r="ASK32" s="4"/>
      <c r="ASL32" s="4"/>
      <c r="ASM32" s="4"/>
      <c r="ASN32" s="4"/>
      <c r="ASO32" s="4"/>
      <c r="ASP32" s="4"/>
      <c r="ASQ32" s="4"/>
      <c r="ASR32" s="4"/>
      <c r="ASS32" s="4"/>
      <c r="AST32" s="4"/>
      <c r="ASU32" s="4"/>
    </row>
    <row r="33" spans="1:1191" s="74" customFormat="1" x14ac:dyDescent="0.25">
      <c r="A33" s="4"/>
      <c r="B33" s="268" t="s">
        <v>73</v>
      </c>
      <c r="C33" s="269">
        <f>COUNTA(C13:C32)</f>
      </c>
      <c r="D33" s="270"/>
      <c r="E33" s="270"/>
      <c r="F33" s="271">
        <f>COUNTIF(F13:F32,0.5)</f>
      </c>
      <c r="G33" s="271">
        <f>COUNTIF(G13:G32,0.5)</f>
      </c>
      <c r="H33" s="271">
        <f>COUNTIF(H13:H32,0.5)</f>
      </c>
      <c r="I33" s="271">
        <f>COUNTIF(I13:I32,0.5)</f>
      </c>
      <c r="J33" s="271">
        <f>COUNTIF(J13:J32,0.5)</f>
      </c>
      <c r="K33" s="271">
        <f>COUNTIF(K13:K32,0.5)</f>
      </c>
      <c r="L33" s="271">
        <f>COUNTIF(L13:L32,0.5)</f>
      </c>
      <c r="M33" s="271">
        <f>COUNTIF(M13:M32,0.5)</f>
      </c>
      <c r="N33" s="271">
        <f>COUNTIF(N13:N32,0.5)</f>
      </c>
      <c r="O33" s="271">
        <f>COUNTIF(O13:O32,0.5)</f>
      </c>
      <c r="P33" s="271">
        <f>COUNTIF(P13:P32,0.5)</f>
      </c>
      <c r="Q33" s="271">
        <f>COUNTIF(Q13:Q32,0.5)</f>
      </c>
      <c r="R33" s="271">
        <f>COUNTIF(R13:R32,0.5)</f>
      </c>
      <c r="S33" s="271">
        <f>COUNTIF(S13:S32,0.5)</f>
      </c>
      <c r="T33" s="271">
        <f>COUNTIF(T13:T32,0.5)</f>
      </c>
      <c r="U33" s="271">
        <f>COUNTIF(U13:U32,0.5)</f>
      </c>
      <c r="V33" s="271">
        <f>COUNTIF(V13:V32,0.5)</f>
      </c>
      <c r="W33" s="271">
        <f>COUNTIF(W13:W32,0.5)</f>
      </c>
      <c r="X33" s="271">
        <f>COUNTIF(X13:X32,0.5)</f>
      </c>
      <c r="Y33" s="271">
        <f>COUNTIF(Y13:Y32,0.5)</f>
      </c>
      <c r="Z33" s="271">
        <f>COUNTIF(Z13:Z32,0.5)</f>
      </c>
      <c r="AA33" s="271">
        <f>COUNTIF(AA13:AA32,0.5)</f>
      </c>
      <c r="AB33" s="271">
        <f>COUNTIF(AB13:AB32,0.5)</f>
      </c>
      <c r="AC33" s="271">
        <f>COUNTIF(AC13:AC32,0.5)</f>
      </c>
      <c r="AD33" s="269"/>
      <c r="AE33" s="269"/>
      <c r="AF33" s="4"/>
      <c r="AG33" s="4"/>
      <c r="AH33" s="270"/>
      <c r="AI33" s="271">
        <f>COUNTIF(AI13:AI32,0.5)</f>
      </c>
      <c r="AJ33" s="271">
        <f>COUNTIF(AJ13:AJ32,0.5)</f>
      </c>
      <c r="AK33" s="271">
        <f>COUNTIF(AK13:AK32,0.5)</f>
      </c>
      <c r="AL33" s="271">
        <f>COUNTIF(AL13:AL32,0.5)</f>
      </c>
      <c r="AM33" s="271">
        <f>COUNTIF(AM13:AM32,0.5)</f>
      </c>
      <c r="AN33" s="271">
        <f>COUNTIF(AN13:AN32,0.5)</f>
      </c>
      <c r="AO33" s="271">
        <f>COUNTIF(AO13:AO32,0.5)</f>
      </c>
      <c r="AP33" s="271">
        <f>COUNTIF(AP13:AP32,0.5)</f>
      </c>
      <c r="AQ33" s="271">
        <f>COUNTIF(AQ13:AQ32,0.5)</f>
      </c>
      <c r="AR33" s="271">
        <f>COUNTIF(AR13:AR32,0.5)</f>
      </c>
      <c r="AS33" s="271">
        <f>COUNTIF(AS13:AS32,0.5)</f>
      </c>
      <c r="AT33" s="271">
        <f>COUNTIF(AT13:AT32,0.5)</f>
      </c>
      <c r="AU33" s="271">
        <f>COUNTIF(AU13:AU32,0.5)</f>
      </c>
      <c r="AV33" s="271">
        <f>COUNTIF(AV13:AV32,0.5)</f>
      </c>
      <c r="AW33" s="271">
        <f>COUNTIF(AW13:AW32,0.5)</f>
      </c>
      <c r="AX33" s="271">
        <f>COUNTIF(AX13:AX32,0.5)</f>
      </c>
      <c r="AY33" s="271">
        <f>COUNTIF(AY13:AY32,0.5)</f>
      </c>
      <c r="AZ33" s="271">
        <f>COUNTIF(AZ13:AZ32,0.5)</f>
      </c>
      <c r="BA33" s="271">
        <f>COUNTIF(BA13:BA32,0.5)</f>
      </c>
      <c r="BB33" s="271">
        <f>COUNTIF(BB13:BB32,0.5)</f>
      </c>
      <c r="BC33" s="271">
        <f>COUNTIF(BC13:BC32,0.5)</f>
      </c>
      <c r="BD33" s="271">
        <f>COUNTIF(BD13:BD32,0.5)</f>
      </c>
      <c r="BE33" s="271">
        <f>COUNTIF(BE13:BE32,0.5)</f>
      </c>
      <c r="BF33" s="271">
        <f>COUNTIF(BF13:BF32,0.5)</f>
      </c>
      <c r="BG33" s="269"/>
      <c r="BH33" s="269"/>
      <c r="BI33" s="4"/>
      <c r="BJ33" s="4"/>
      <c r="BK33" s="270"/>
      <c r="BL33" s="271">
        <f>COUNTIF(BL13:BL32,0.5)</f>
      </c>
      <c r="BM33" s="271">
        <f>COUNTIF(BM13:BM32,0.5)</f>
      </c>
      <c r="BN33" s="271">
        <f>COUNTIF(BN13:BN32,0.5)</f>
      </c>
      <c r="BO33" s="271">
        <f>COUNTIF(BO13:BO32,0.5)</f>
      </c>
      <c r="BP33" s="271">
        <f>COUNTIF(BP13:BP32,0.5)</f>
      </c>
      <c r="BQ33" s="271">
        <f>COUNTIF(BQ13:BQ32,0.5)</f>
      </c>
      <c r="BR33" s="271">
        <f>COUNTIF(BR13:BR32,0.5)</f>
      </c>
      <c r="BS33" s="271">
        <f>COUNTIF(BS13:BS32,0.5)</f>
      </c>
      <c r="BT33" s="271">
        <f>COUNTIF(BT13:BT32,0.5)</f>
      </c>
      <c r="BU33" s="271">
        <f>COUNTIF(BU13:BU32,0.5)</f>
      </c>
      <c r="BV33" s="271">
        <f>COUNTIF(BV13:BV32,0.5)</f>
      </c>
      <c r="BW33" s="271">
        <f>COUNTIF(BW13:BW32,0.5)</f>
      </c>
      <c r="BX33" s="271">
        <f>COUNTIF(BX13:BX32,0.5)</f>
      </c>
      <c r="BY33" s="271">
        <f>COUNTIF(BY13:BY32,0.5)</f>
      </c>
      <c r="BZ33" s="271">
        <f>COUNTIF(BZ13:BZ32,0.5)</f>
      </c>
      <c r="CA33" s="271">
        <f>COUNTIF(CA13:CA32,0.5)</f>
      </c>
      <c r="CB33" s="271">
        <f>COUNTIF(CB13:CB32,0.5)</f>
      </c>
      <c r="CC33" s="271">
        <f>COUNTIF(CC13:CC32,0.5)</f>
      </c>
      <c r="CD33" s="271">
        <f>COUNTIF(CD13:CD32,0.5)</f>
      </c>
      <c r="CE33" s="271">
        <f>COUNTIF(CE13:CE32,0.5)</f>
      </c>
      <c r="CF33" s="271">
        <f>COUNTIF(CF13:CF32,0.5)</f>
      </c>
      <c r="CG33" s="271">
        <f>COUNTIF(CG13:CG32,0.5)</f>
      </c>
      <c r="CH33" s="271">
        <f>COUNTIF(CH13:CH32,0.5)</f>
      </c>
      <c r="CI33" s="271">
        <f>COUNTIF(CI13:CI32,0.5)</f>
      </c>
      <c r="CJ33" s="269"/>
      <c r="CK33" s="269"/>
      <c r="CL33" s="4"/>
      <c r="CM33" s="4"/>
      <c r="CN33" s="270"/>
      <c r="CO33" s="271">
        <f>COUNTIF(CO13:CO32,0.5)</f>
      </c>
      <c r="CP33" s="271">
        <f>COUNTIF(CP13:CP32,0.5)</f>
      </c>
      <c r="CQ33" s="271">
        <f>COUNTIF(CQ13:CQ32,0.5)</f>
      </c>
      <c r="CR33" s="271">
        <f>COUNTIF(CR13:CR32,0.5)</f>
      </c>
      <c r="CS33" s="271">
        <f>COUNTIF(CS13:CS32,0.5)</f>
      </c>
      <c r="CT33" s="271">
        <f>COUNTIF(CT13:CT32,0.5)</f>
      </c>
      <c r="CU33" s="271">
        <f>COUNTIF(CU13:CU32,0.5)</f>
      </c>
      <c r="CV33" s="271">
        <f>COUNTIF(CV13:CV32,0.5)</f>
      </c>
      <c r="CW33" s="271">
        <f>COUNTIF(CW13:CW32,0.5)</f>
      </c>
      <c r="CX33" s="271">
        <f>COUNTIF(CX13:CX32,0.5)</f>
      </c>
      <c r="CY33" s="271">
        <f>COUNTIF(CY13:CY32,0.5)</f>
      </c>
      <c r="CZ33" s="271">
        <f>COUNTIF(CZ13:CZ32,0.5)</f>
      </c>
      <c r="DA33" s="271">
        <f>COUNTIF(DA13:DA32,0.5)</f>
      </c>
      <c r="DB33" s="271">
        <f>COUNTIF(DB13:DB32,0.5)</f>
      </c>
      <c r="DC33" s="271">
        <f>COUNTIF(DC13:DC32,0.5)</f>
      </c>
      <c r="DD33" s="271">
        <f>COUNTIF(DD13:DD32,0.5)</f>
      </c>
      <c r="DE33" s="271">
        <f>COUNTIF(DE13:DE32,0.5)</f>
      </c>
      <c r="DF33" s="271">
        <f>COUNTIF(DF13:DF32,0.5)</f>
      </c>
      <c r="DG33" s="271">
        <f>COUNTIF(DG13:DG32,0.5)</f>
      </c>
      <c r="DH33" s="271">
        <f>COUNTIF(DH13:DH32,0.5)</f>
      </c>
      <c r="DI33" s="271">
        <f>COUNTIF(DI13:DI32,0.5)</f>
      </c>
      <c r="DJ33" s="271">
        <f>COUNTIF(DJ13:DJ32,0.5)</f>
      </c>
      <c r="DK33" s="271">
        <f>COUNTIF(DK13:DK32,0.5)</f>
      </c>
      <c r="DL33" s="271">
        <f>COUNTIF(DL13:DL32,0.5)</f>
      </c>
      <c r="DM33" s="269"/>
      <c r="DN33" s="269"/>
      <c r="DO33" s="4"/>
      <c r="DP33" s="4"/>
      <c r="DQ33" s="270"/>
      <c r="DR33" s="271">
        <f>COUNTIF(DR13:DR32,0.5)</f>
      </c>
      <c r="DS33" s="271">
        <f>COUNTIF(DS13:DS32,0.5)</f>
      </c>
      <c r="DT33" s="271">
        <f>COUNTIF(DT13:DT32,0.5)</f>
      </c>
      <c r="DU33" s="271">
        <f>COUNTIF(DU13:DU32,0.5)</f>
      </c>
      <c r="DV33" s="271">
        <f>COUNTIF(DV13:DV32,0.5)</f>
      </c>
      <c r="DW33" s="271">
        <f>COUNTIF(DW13:DW32,0.5)</f>
      </c>
      <c r="DX33" s="271">
        <f>COUNTIF(DX13:DX32,0.5)</f>
      </c>
      <c r="DY33" s="271">
        <f>COUNTIF(DY13:DY32,0.5)</f>
      </c>
      <c r="DZ33" s="271">
        <f>COUNTIF(DZ13:DZ32,0.5)</f>
      </c>
      <c r="EA33" s="271">
        <f>COUNTIF(EA13:EA32,0.5)</f>
      </c>
      <c r="EB33" s="271">
        <f>COUNTIF(EB13:EB32,0.5)</f>
      </c>
      <c r="EC33" s="271">
        <f>COUNTIF(EC13:EC32,0.5)</f>
      </c>
      <c r="ED33" s="271">
        <f>COUNTIF(ED13:ED32,0.5)</f>
      </c>
      <c r="EE33" s="271">
        <f>COUNTIF(EE13:EE32,0.5)</f>
      </c>
      <c r="EF33" s="271">
        <f>COUNTIF(EF13:EF32,0.5)</f>
      </c>
      <c r="EG33" s="271">
        <f>COUNTIF(EG13:EG32,0.5)</f>
      </c>
      <c r="EH33" s="271">
        <f>COUNTIF(EH13:EH32,0.5)</f>
      </c>
      <c r="EI33" s="271">
        <f>COUNTIF(EI13:EI32,0.5)</f>
      </c>
      <c r="EJ33" s="271">
        <f>COUNTIF(EJ13:EJ32,0.5)</f>
      </c>
      <c r="EK33" s="271">
        <f>COUNTIF(EK13:EK32,0.5)</f>
      </c>
      <c r="EL33" s="271">
        <f>COUNTIF(EL13:EL32,0.5)</f>
      </c>
      <c r="EM33" s="271">
        <f>COUNTIF(EM13:EM32,0.5)</f>
      </c>
      <c r="EN33" s="271">
        <f>COUNTIF(EN13:EN32,0.5)</f>
      </c>
      <c r="EO33" s="271">
        <f>COUNTIF(EO13:EO32,0.5)</f>
      </c>
      <c r="EP33" s="269"/>
      <c r="EQ33" s="269"/>
      <c r="ER33" s="4"/>
      <c r="ES33" s="4"/>
      <c r="ET33" s="270"/>
      <c r="EU33" s="269"/>
      <c r="EV33" s="269"/>
      <c r="EW33" s="269"/>
      <c r="EX33" s="269"/>
      <c r="EY33" s="269"/>
      <c r="EZ33" s="269"/>
      <c r="FA33" s="269"/>
      <c r="FB33" s="269"/>
      <c r="FC33" s="269"/>
      <c r="FD33" s="269"/>
      <c r="FE33" s="269"/>
      <c r="FF33" s="269"/>
      <c r="FG33" s="269"/>
      <c r="FH33" s="269"/>
      <c r="FI33" s="269"/>
      <c r="FJ33" s="269"/>
      <c r="FK33" s="269"/>
      <c r="FL33" s="269"/>
      <c r="FM33" s="269"/>
      <c r="FN33" s="269"/>
      <c r="FO33" s="269"/>
      <c r="FP33" s="269"/>
      <c r="FQ33" s="269"/>
      <c r="FR33" s="269"/>
      <c r="FS33" s="269"/>
      <c r="FT33" s="269"/>
      <c r="FU33" s="4"/>
      <c r="FV33" s="4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69"/>
      <c r="GW33" s="269"/>
      <c r="GX33" s="4"/>
      <c r="GY33" s="4"/>
      <c r="GZ33" s="4"/>
      <c r="HA33" s="272"/>
      <c r="HB33" s="273"/>
      <c r="HC33" s="270"/>
      <c r="HD33" s="271">
        <f>COUNTIF(HD13:HD32,0.5)</f>
      </c>
      <c r="HE33" s="271">
        <f>COUNTIF(HE13:HE32,0.5)</f>
      </c>
      <c r="HF33" s="271">
        <f>COUNTIF(HF13:HF32,0.5)</f>
      </c>
      <c r="HG33" s="271">
        <f>COUNTIF(HG13:HG32,0.5)</f>
      </c>
      <c r="HH33" s="271">
        <f>COUNTIF(HH13:HH32,0.5)</f>
      </c>
      <c r="HI33" s="271">
        <f>COUNTIF(HI13:HI32,0.5)</f>
      </c>
      <c r="HJ33" s="271">
        <f>COUNTIF(HJ13:HJ32,0.5)</f>
      </c>
      <c r="HK33" s="271">
        <f>COUNTIF(HK13:HK32,0.5)</f>
      </c>
      <c r="HL33" s="271">
        <f>COUNTIF(HL13:HL32,0.5)</f>
      </c>
      <c r="HM33" s="271">
        <f>COUNTIF(HM13:HM32,0.5)</f>
      </c>
      <c r="HN33" s="271">
        <f>COUNTIF(HN13:HN32,0.5)</f>
      </c>
      <c r="HO33" s="271">
        <f>COUNTIF(HO13:HO32,0.5)</f>
      </c>
      <c r="HP33" s="271">
        <f>COUNTIF(HP13:HP32,0.5)</f>
      </c>
      <c r="HQ33" s="271">
        <f>COUNTIF(HQ13:HQ32,0.5)</f>
      </c>
      <c r="HR33" s="271">
        <f>COUNTIF(HR13:HR32,0.5)</f>
      </c>
      <c r="HS33" s="271">
        <f>COUNTIF(HS13:HS32,0.5)</f>
      </c>
      <c r="HT33" s="271">
        <f>COUNTIF(HT13:HT32,0.5)</f>
      </c>
      <c r="HU33" s="271">
        <f>COUNTIF(HU13:HU32,0.5)</f>
      </c>
      <c r="HV33" s="271">
        <f>COUNTIF(HV13:HV32,0.5)</f>
      </c>
      <c r="HW33" s="271">
        <f>COUNTIF(HW13:HW32,0.5)</f>
      </c>
      <c r="HX33" s="271">
        <f>COUNTIF(HX13:HX32,0.5)</f>
      </c>
      <c r="HY33" s="271">
        <f>COUNTIF(HY13:HY32,0.5)</f>
      </c>
      <c r="HZ33" s="271">
        <f>COUNTIF(HZ13:HZ32,0.5)</f>
      </c>
      <c r="IA33" s="271">
        <f>COUNTIF(IA13:IA32,0.5)</f>
      </c>
      <c r="IB33" s="269"/>
      <c r="IC33" s="269"/>
      <c r="ID33" s="4"/>
      <c r="IE33" s="4"/>
      <c r="IF33" s="270"/>
      <c r="IG33" s="271">
        <f>COUNTIF(IG13:IG32,0.5)</f>
      </c>
      <c r="IH33" s="271">
        <f>COUNTIF(IH13:IH32,0.5)</f>
      </c>
      <c r="II33" s="271">
        <f>COUNTIF(II13:II32,0.5)</f>
      </c>
      <c r="IJ33" s="271">
        <f>COUNTIF(IJ13:IJ32,0.5)</f>
      </c>
      <c r="IK33" s="271">
        <f>COUNTIF(IK13:IK32,0.5)</f>
      </c>
      <c r="IL33" s="271">
        <f>COUNTIF(IL13:IL32,0.5)</f>
      </c>
      <c r="IM33" s="271">
        <f>COUNTIF(IM13:IM32,0.5)</f>
      </c>
      <c r="IN33" s="271">
        <f>COUNTIF(IN13:IN32,0.5)</f>
      </c>
      <c r="IO33" s="271">
        <f>COUNTIF(IO13:IO32,0.5)</f>
      </c>
      <c r="IP33" s="271">
        <f>COUNTIF(IP13:IP32,0.5)</f>
      </c>
      <c r="IQ33" s="271">
        <f>COUNTIF(IQ13:IQ32,0.5)</f>
      </c>
      <c r="IR33" s="271">
        <f>COUNTIF(IR13:IR32,0.5)</f>
      </c>
      <c r="IS33" s="271">
        <f>COUNTIF(IS13:IS32,0.5)</f>
      </c>
      <c r="IT33" s="271">
        <f>COUNTIF(IT13:IT32,0.5)</f>
      </c>
      <c r="IU33" s="271">
        <f>COUNTIF(IU13:IU32,0.5)</f>
      </c>
      <c r="IV33" s="271">
        <f>COUNTIF(IV13:IV32,0.5)</f>
      </c>
      <c r="IW33" s="271">
        <f>COUNTIF(IW13:IW32,0.5)</f>
      </c>
      <c r="IX33" s="271">
        <f>COUNTIF(IX13:IX32,0.5)</f>
      </c>
      <c r="IY33" s="271">
        <f>COUNTIF(IY13:IY32,0.5)</f>
      </c>
      <c r="IZ33" s="271">
        <f>COUNTIF(IZ13:IZ32,0.5)</f>
      </c>
      <c r="JA33" s="271">
        <f>COUNTIF(JA13:JA32,0.5)</f>
      </c>
      <c r="JB33" s="271">
        <f>COUNTIF(JB13:JB32,0.5)</f>
      </c>
      <c r="JC33" s="271">
        <f>COUNTIF(JC13:JC32,0.5)</f>
      </c>
      <c r="JD33" s="271">
        <f>COUNTIF(JD13:JD32,0.5)</f>
      </c>
      <c r="JE33" s="269"/>
      <c r="JF33" s="269"/>
      <c r="JG33" s="4"/>
      <c r="JH33" s="4"/>
      <c r="JI33" s="270"/>
      <c r="JJ33" s="271">
        <f>COUNTIF(JJ13:JJ32,0.5)</f>
      </c>
      <c r="JK33" s="271">
        <f>COUNTIF(JK13:JK32,0.5)</f>
      </c>
      <c r="JL33" s="271">
        <f>COUNTIF(JL13:JL32,0.5)</f>
      </c>
      <c r="JM33" s="271">
        <f>COUNTIF(JM13:JM32,0.5)</f>
      </c>
      <c r="JN33" s="271">
        <f>COUNTIF(JN13:JN32,0.5)</f>
      </c>
      <c r="JO33" s="271">
        <f>COUNTIF(JO13:JO32,0.5)</f>
      </c>
      <c r="JP33" s="271">
        <f>COUNTIF(JP13:JP32,0.5)</f>
      </c>
      <c r="JQ33" s="271">
        <f>COUNTIF(JQ13:JQ32,0.5)</f>
      </c>
      <c r="JR33" s="271">
        <f>COUNTIF(JR13:JR32,0.5)</f>
      </c>
      <c r="JS33" s="271">
        <f>COUNTIF(JS13:JS32,0.5)</f>
      </c>
      <c r="JT33" s="271">
        <f>COUNTIF(JT13:JT32,0.5)</f>
      </c>
      <c r="JU33" s="271">
        <f>COUNTIF(JU13:JU32,0.5)</f>
      </c>
      <c r="JV33" s="271">
        <f>COUNTIF(JV13:JV32,0.5)</f>
      </c>
      <c r="JW33" s="271">
        <f>COUNTIF(JW13:JW32,0.5)</f>
      </c>
      <c r="JX33" s="271">
        <f>COUNTIF(JX13:JX32,0.5)</f>
      </c>
      <c r="JY33" s="271">
        <f>COUNTIF(JY13:JY32,0.5)</f>
      </c>
      <c r="JZ33" s="271">
        <f>COUNTIF(JZ13:JZ32,0.5)</f>
      </c>
      <c r="KA33" s="271">
        <f>COUNTIF(KA13:KA32,0.5)</f>
      </c>
      <c r="KB33" s="271">
        <f>COUNTIF(KB13:KB32,0.5)</f>
      </c>
      <c r="KC33" s="271">
        <f>COUNTIF(KC13:KC32,0.5)</f>
      </c>
      <c r="KD33" s="271">
        <f>COUNTIF(KD13:KD32,0.5)</f>
      </c>
      <c r="KE33" s="271">
        <f>COUNTIF(KE13:KE32,0.5)</f>
      </c>
      <c r="KF33" s="271">
        <f>COUNTIF(KF13:KF32,0.5)</f>
      </c>
      <c r="KG33" s="271">
        <f>COUNTIF(KG13:KG32,0.5)</f>
      </c>
      <c r="KH33" s="269"/>
      <c r="KI33" s="269"/>
      <c r="KJ33" s="4"/>
      <c r="KK33" s="4"/>
      <c r="KL33" s="270"/>
      <c r="KM33" s="271">
        <f>COUNTIF(KM13:KM32,0.5)</f>
      </c>
      <c r="KN33" s="271">
        <f>COUNTIF(KN13:KN32,0.5)</f>
      </c>
      <c r="KO33" s="271">
        <f>COUNTIF(KO13:KO32,0.5)</f>
      </c>
      <c r="KP33" s="271">
        <f>COUNTIF(KP13:KP32,0.5)</f>
      </c>
      <c r="KQ33" s="271">
        <f>COUNTIF(KQ13:KQ32,0.5)</f>
      </c>
      <c r="KR33" s="271">
        <f>COUNTIF(KR13:KR32,0.5)</f>
      </c>
      <c r="KS33" s="271">
        <f>COUNTIF(KS13:KS32,0.5)</f>
      </c>
      <c r="KT33" s="271">
        <f>COUNTIF(KT13:KT32,0.5)</f>
      </c>
      <c r="KU33" s="271">
        <f>COUNTIF(KU13:KU32,0.5)</f>
      </c>
      <c r="KV33" s="271">
        <f>COUNTIF(KV13:KV32,0.5)</f>
      </c>
      <c r="KW33" s="271">
        <f>COUNTIF(KW13:KW32,0.5)</f>
      </c>
      <c r="KX33" s="271">
        <f>COUNTIF(KX13:KX32,0.5)</f>
      </c>
      <c r="KY33" s="271">
        <f>COUNTIF(KY13:KY32,0.5)</f>
      </c>
      <c r="KZ33" s="271">
        <f>COUNTIF(KZ13:KZ32,0.5)</f>
      </c>
      <c r="LA33" s="271">
        <f>COUNTIF(LA13:LA32,0.5)</f>
      </c>
      <c r="LB33" s="271">
        <f>COUNTIF(LB13:LB32,0.5)</f>
      </c>
      <c r="LC33" s="271">
        <f>COUNTIF(LC13:LC32,0.5)</f>
      </c>
      <c r="LD33" s="271">
        <f>COUNTIF(LD13:LD32,0.5)</f>
      </c>
      <c r="LE33" s="271">
        <f>COUNTIF(LE13:LE32,0.5)</f>
      </c>
      <c r="LF33" s="271">
        <f>COUNTIF(LF13:LF32,0.5)</f>
      </c>
      <c r="LG33" s="271">
        <f>COUNTIF(LG13:LG32,0.5)</f>
      </c>
      <c r="LH33" s="271">
        <f>COUNTIF(LH13:LH32,0.5)</f>
      </c>
      <c r="LI33" s="271">
        <f>COUNTIF(LI13:LI32,0.5)</f>
      </c>
      <c r="LJ33" s="271">
        <f>COUNTIF(LJ13:LJ32,0.5)</f>
      </c>
      <c r="LK33" s="269"/>
      <c r="LL33" s="269"/>
      <c r="LM33" s="4"/>
      <c r="LN33" s="4"/>
      <c r="LO33" s="270"/>
      <c r="LP33" s="271">
        <f>COUNTIF(LP13:LP32,0.5)</f>
      </c>
      <c r="LQ33" s="271">
        <f>COUNTIF(LQ13:LQ32,0.5)</f>
      </c>
      <c r="LR33" s="271">
        <f>COUNTIF(LR13:LR32,0.5)</f>
      </c>
      <c r="LS33" s="271">
        <f>COUNTIF(LS13:LS32,0.5)</f>
      </c>
      <c r="LT33" s="271">
        <f>COUNTIF(LT13:LT32,0.5)</f>
      </c>
      <c r="LU33" s="271">
        <f>COUNTIF(LU13:LU32,0.5)</f>
      </c>
      <c r="LV33" s="271">
        <f>COUNTIF(LV13:LV32,0.5)</f>
      </c>
      <c r="LW33" s="271">
        <f>COUNTIF(LW13:LW32,0.5)</f>
      </c>
      <c r="LX33" s="271">
        <f>COUNTIF(LX13:LX32,0.5)</f>
      </c>
      <c r="LY33" s="271">
        <f>COUNTIF(LY13:LY32,0.5)</f>
      </c>
      <c r="LZ33" s="271">
        <f>COUNTIF(LZ13:LZ32,0.5)</f>
      </c>
      <c r="MA33" s="271">
        <f>COUNTIF(MA13:MA32,0.5)</f>
      </c>
      <c r="MB33" s="271">
        <f>COUNTIF(MB13:MB32,0.5)</f>
      </c>
      <c r="MC33" s="271">
        <f>COUNTIF(MC13:MC32,0.5)</f>
      </c>
      <c r="MD33" s="271">
        <f>COUNTIF(MD13:MD32,0.5)</f>
      </c>
      <c r="ME33" s="271">
        <f>COUNTIF(ME13:ME32,0.5)</f>
      </c>
      <c r="MF33" s="271">
        <f>COUNTIF(MF13:MF32,0.5)</f>
      </c>
      <c r="MG33" s="271">
        <f>COUNTIF(MG13:MG32,0.5)</f>
      </c>
      <c r="MH33" s="271">
        <f>COUNTIF(MH13:MH32,0.5)</f>
      </c>
      <c r="MI33" s="271">
        <f>COUNTIF(MI13:MI32,0.5)</f>
      </c>
      <c r="MJ33" s="271">
        <f>COUNTIF(MJ13:MJ32,0.5)</f>
      </c>
      <c r="MK33" s="271">
        <f>COUNTIF(MK13:MK32,0.5)</f>
      </c>
      <c r="ML33" s="271">
        <f>COUNTIF(ML13:ML32,0.5)</f>
      </c>
      <c r="MM33" s="271">
        <f>COUNTIF(MM13:MM32,0.5)</f>
      </c>
      <c r="MN33" s="269"/>
      <c r="MO33" s="269"/>
      <c r="MP33" s="4"/>
      <c r="MQ33" s="4"/>
      <c r="MR33" s="270"/>
      <c r="MS33" s="269"/>
      <c r="MT33" s="269"/>
      <c r="MU33" s="269"/>
      <c r="MV33" s="269"/>
      <c r="MW33" s="269"/>
      <c r="MX33" s="269"/>
      <c r="MY33" s="269"/>
      <c r="MZ33" s="269"/>
      <c r="NA33" s="269"/>
      <c r="NB33" s="269"/>
      <c r="NC33" s="269"/>
      <c r="ND33" s="269"/>
      <c r="NE33" s="269"/>
      <c r="NF33" s="269"/>
      <c r="NG33" s="269"/>
      <c r="NH33" s="269"/>
      <c r="NI33" s="269"/>
      <c r="NJ33" s="269"/>
      <c r="NK33" s="269"/>
      <c r="NL33" s="269"/>
      <c r="NM33" s="269"/>
      <c r="NN33" s="269"/>
      <c r="NO33" s="269"/>
      <c r="NP33" s="269"/>
      <c r="NQ33" s="269"/>
      <c r="NR33" s="269"/>
      <c r="NS33" s="4"/>
      <c r="NT33" s="4"/>
      <c r="NU33" s="270"/>
      <c r="NV33" s="270"/>
      <c r="NW33" s="270"/>
      <c r="NX33" s="270"/>
      <c r="NY33" s="270"/>
      <c r="NZ33" s="270"/>
      <c r="OA33" s="270"/>
      <c r="OB33" s="270"/>
      <c r="OC33" s="270"/>
      <c r="OD33" s="270"/>
      <c r="OE33" s="270"/>
      <c r="OF33" s="270"/>
      <c r="OG33" s="270"/>
      <c r="OH33" s="270"/>
      <c r="OI33" s="270"/>
      <c r="OJ33" s="270"/>
      <c r="OK33" s="270"/>
      <c r="OL33" s="270"/>
      <c r="OM33" s="270"/>
      <c r="ON33" s="270"/>
      <c r="OO33" s="270"/>
      <c r="OP33" s="270"/>
      <c r="OQ33" s="270"/>
      <c r="OR33" s="270"/>
      <c r="OS33" s="270"/>
      <c r="OT33" s="269"/>
      <c r="OU33" s="269"/>
      <c r="OV33" s="4"/>
      <c r="OW33" s="4"/>
      <c r="OX33" s="4"/>
      <c r="OY33" s="40"/>
      <c r="OZ33" s="274"/>
      <c r="PA33" s="270"/>
      <c r="PB33" s="271">
        <f>COUNTIF(PB13:PB32,0.5)</f>
      </c>
      <c r="PC33" s="271">
        <f>COUNTIF(PC13:PC32,0.5)</f>
      </c>
      <c r="PD33" s="271">
        <f>COUNTIF(PD13:PD32,0.5)</f>
      </c>
      <c r="PE33" s="271">
        <f>COUNTIF(PE13:PE32,0.5)</f>
      </c>
      <c r="PF33" s="271">
        <f>COUNTIF(PF13:PF32,0.5)</f>
      </c>
      <c r="PG33" s="271">
        <f>COUNTIF(PG13:PG32,0.5)</f>
      </c>
      <c r="PH33" s="271">
        <f>COUNTIF(PH13:PH32,0.5)</f>
      </c>
      <c r="PI33" s="271">
        <f>COUNTIF(PI13:PI32,0.5)</f>
      </c>
      <c r="PJ33" s="271">
        <f>COUNTIF(PJ13:PJ32,0.5)</f>
      </c>
      <c r="PK33" s="271">
        <f>COUNTIF(PK13:PK32,0.5)</f>
      </c>
      <c r="PL33" s="271">
        <f>COUNTIF(PL13:PL32,0.5)</f>
      </c>
      <c r="PM33" s="271">
        <f>COUNTIF(PM13:PM32,0.5)</f>
      </c>
      <c r="PN33" s="271">
        <f>COUNTIF(PN13:PN32,0.5)</f>
      </c>
      <c r="PO33" s="271">
        <f>COUNTIF(PO13:PO32,0.5)</f>
      </c>
      <c r="PP33" s="271">
        <f>COUNTIF(PP13:PP32,0.5)</f>
      </c>
      <c r="PQ33" s="271">
        <f>COUNTIF(PQ13:PQ32,0.5)</f>
      </c>
      <c r="PR33" s="271">
        <f>COUNTIF(PR13:PR32,0.5)</f>
      </c>
      <c r="PS33" s="271">
        <f>COUNTIF(PS13:PS32,0.5)</f>
      </c>
      <c r="PT33" s="271">
        <f>COUNTIF(PT13:PT32,0.5)</f>
      </c>
      <c r="PU33" s="271">
        <f>COUNTIF(PU13:PU32,0.5)</f>
      </c>
      <c r="PV33" s="271">
        <f>COUNTIF(PV13:PV32,0.5)</f>
      </c>
      <c r="PW33" s="271">
        <f>COUNTIF(PW13:PW32,0.5)</f>
      </c>
      <c r="PX33" s="271">
        <f>COUNTIF(PX13:PX32,0.5)</f>
      </c>
      <c r="PY33" s="271">
        <f>COUNTIF(PY13:PY32,0.5)</f>
      </c>
      <c r="PZ33" s="269"/>
      <c r="QA33" s="269"/>
      <c r="QB33" s="4"/>
      <c r="QC33" s="4"/>
      <c r="QD33" s="270"/>
      <c r="QE33" s="271">
        <f>COUNTIF(QE13:QE32,0.5)</f>
      </c>
      <c r="QF33" s="271">
        <f>COUNTIF(QF13:QF32,0.5)</f>
      </c>
      <c r="QG33" s="271">
        <f>COUNTIF(QG13:QG32,0.5)</f>
      </c>
      <c r="QH33" s="271">
        <f>COUNTIF(QH13:QH32,0.5)</f>
      </c>
      <c r="QI33" s="271">
        <f>COUNTIF(QI13:QI32,0.5)</f>
      </c>
      <c r="QJ33" s="271">
        <f>COUNTIF(QJ13:QJ32,0.5)</f>
      </c>
      <c r="QK33" s="271">
        <f>COUNTIF(QK13:QK32,0.5)</f>
      </c>
      <c r="QL33" s="271">
        <f>COUNTIF(QL13:QL32,0.5)</f>
      </c>
      <c r="QM33" s="271">
        <f>COUNTIF(QM13:QM32,0.5)</f>
      </c>
      <c r="QN33" s="271">
        <f>COUNTIF(QN13:QN32,0.5)</f>
      </c>
      <c r="QO33" s="271">
        <f>COUNTIF(QO13:QO32,0.5)</f>
      </c>
      <c r="QP33" s="271">
        <f>COUNTIF(QP13:QP32,0.5)</f>
      </c>
      <c r="QQ33" s="271">
        <f>COUNTIF(QQ13:QQ32,0.5)</f>
      </c>
      <c r="QR33" s="271">
        <f>COUNTIF(QR13:QR32,0.5)</f>
      </c>
      <c r="QS33" s="271">
        <f>COUNTIF(QS13:QS32,0.5)</f>
      </c>
      <c r="QT33" s="271">
        <f>COUNTIF(QT13:QT32,0.5)</f>
      </c>
      <c r="QU33" s="271">
        <f>COUNTIF(QU13:QU32,0.5)</f>
      </c>
      <c r="QV33" s="271">
        <f>COUNTIF(QV13:QV32,0.5)</f>
      </c>
      <c r="QW33" s="271">
        <f>COUNTIF(QW13:QW32,0.5)</f>
      </c>
      <c r="QX33" s="271">
        <f>COUNTIF(QX13:QX32,0.5)</f>
      </c>
      <c r="QY33" s="271">
        <f>COUNTIF(QY13:QY32,0.5)</f>
      </c>
      <c r="QZ33" s="271">
        <f>COUNTIF(QZ13:QZ32,0.5)</f>
      </c>
      <c r="RA33" s="271">
        <f>COUNTIF(RA13:RA32,0.5)</f>
      </c>
      <c r="RB33" s="271">
        <f>COUNTIF(RB13:RB32,0.5)</f>
      </c>
      <c r="RC33" s="269"/>
      <c r="RD33" s="269"/>
      <c r="RE33" s="4"/>
      <c r="RF33" s="4"/>
      <c r="RG33" s="270"/>
      <c r="RH33" s="271">
        <f>COUNTIF(RH13:RH32,0.5)</f>
      </c>
      <c r="RI33" s="271">
        <f>COUNTIF(RI13:RI32,0.5)</f>
      </c>
      <c r="RJ33" s="271">
        <f>COUNTIF(RJ13:RJ32,0.5)</f>
      </c>
      <c r="RK33" s="271">
        <f>COUNTIF(RK13:RK32,0.5)</f>
      </c>
      <c r="RL33" s="271">
        <f>COUNTIF(RL13:RL32,0.5)</f>
      </c>
      <c r="RM33" s="271">
        <f>COUNTIF(RM13:RM32,0.5)</f>
      </c>
      <c r="RN33" s="271">
        <f>COUNTIF(RN13:RN32,0.5)</f>
      </c>
      <c r="RO33" s="271">
        <f>COUNTIF(RO13:RO32,0.5)</f>
      </c>
      <c r="RP33" s="271">
        <f>COUNTIF(RP13:RP32,0.5)</f>
      </c>
      <c r="RQ33" s="271">
        <f>COUNTIF(RQ13:RQ32,0.5)</f>
      </c>
      <c r="RR33" s="271">
        <f>COUNTIF(RR13:RR32,0.5)</f>
      </c>
      <c r="RS33" s="271">
        <f>COUNTIF(RS13:RS32,0.5)</f>
      </c>
      <c r="RT33" s="271">
        <f>COUNTIF(RT13:RT32,0.5)</f>
      </c>
      <c r="RU33" s="271">
        <f>COUNTIF(RU13:RU32,0.5)</f>
      </c>
      <c r="RV33" s="271">
        <f>COUNTIF(RV13:RV32,0.5)</f>
      </c>
      <c r="RW33" s="271">
        <f>COUNTIF(RW13:RW32,0.5)</f>
      </c>
      <c r="RX33" s="271">
        <f>COUNTIF(RX13:RX32,0.5)</f>
      </c>
      <c r="RY33" s="271">
        <f>COUNTIF(RY13:RY32,0.5)</f>
      </c>
      <c r="RZ33" s="271">
        <f>COUNTIF(RZ13:RZ32,0.5)</f>
      </c>
      <c r="SA33" s="271">
        <f>COUNTIF(SA13:SA32,0.5)</f>
      </c>
      <c r="SB33" s="271">
        <f>COUNTIF(SB13:SB32,0.5)</f>
      </c>
      <c r="SC33" s="271">
        <f>COUNTIF(SC13:SC32,0.5)</f>
      </c>
      <c r="SD33" s="271">
        <f>COUNTIF(SD13:SD32,0.5)</f>
      </c>
      <c r="SE33" s="271">
        <f>COUNTIF(SE13:SE32,0.5)</f>
      </c>
      <c r="SF33" s="269"/>
      <c r="SG33" s="269"/>
      <c r="SH33" s="4"/>
      <c r="SI33" s="4"/>
      <c r="SJ33" s="270"/>
      <c r="SK33" s="271">
        <f>COUNTIF(SK13:SK32,0.5)</f>
      </c>
      <c r="SL33" s="271">
        <f>COUNTIF(SL13:SL32,0.5)</f>
      </c>
      <c r="SM33" s="271">
        <f>COUNTIF(SM13:SM32,0.5)</f>
      </c>
      <c r="SN33" s="271">
        <f>COUNTIF(SN13:SN32,0.5)</f>
      </c>
      <c r="SO33" s="271">
        <f>COUNTIF(SO13:SO32,0.5)</f>
      </c>
      <c r="SP33" s="271">
        <f>COUNTIF(SP13:SP32,0.5)</f>
      </c>
      <c r="SQ33" s="271">
        <f>COUNTIF(SQ13:SQ32,0.5)</f>
      </c>
      <c r="SR33" s="271">
        <f>COUNTIF(SR13:SR32,0.5)</f>
      </c>
      <c r="SS33" s="271">
        <f>COUNTIF(SS13:SS32,0.5)</f>
      </c>
      <c r="ST33" s="271">
        <f>COUNTIF(ST13:ST32,0.5)</f>
      </c>
      <c r="SU33" s="271">
        <f>COUNTIF(SU13:SU32,0.5)</f>
      </c>
      <c r="SV33" s="271">
        <f>COUNTIF(SV13:SV32,0.5)</f>
      </c>
      <c r="SW33" s="271">
        <f>COUNTIF(SW13:SW32,0.5)</f>
      </c>
      <c r="SX33" s="271">
        <f>COUNTIF(SX13:SX32,0.5)</f>
      </c>
      <c r="SY33" s="271">
        <f>COUNTIF(SY13:SY32,0.5)</f>
      </c>
      <c r="SZ33" s="271">
        <f>COUNTIF(SZ13:SZ32,0.5)</f>
      </c>
      <c r="TA33" s="271">
        <f>COUNTIF(TA13:TA32,0.5)</f>
      </c>
      <c r="TB33" s="271">
        <f>COUNTIF(TB13:TB32,0.5)</f>
      </c>
      <c r="TC33" s="271">
        <f>COUNTIF(TC13:TC32,0.5)</f>
      </c>
      <c r="TD33" s="271">
        <f>COUNTIF(TD13:TD32,0.5)</f>
      </c>
      <c r="TE33" s="271">
        <f>COUNTIF(TE13:TE32,0.5)</f>
      </c>
      <c r="TF33" s="271">
        <f>COUNTIF(TF13:TF32,0.5)</f>
      </c>
      <c r="TG33" s="271">
        <f>COUNTIF(TG13:TG32,0.5)</f>
      </c>
      <c r="TH33" s="271">
        <f>COUNTIF(TH13:TH32,0.5)</f>
      </c>
      <c r="TI33" s="269"/>
      <c r="TJ33" s="269"/>
      <c r="TK33" s="4"/>
      <c r="TL33" s="4"/>
      <c r="TM33" s="270"/>
      <c r="TN33" s="271">
        <f>COUNTIF(TN13:TN32,0.5)</f>
      </c>
      <c r="TO33" s="271">
        <f>COUNTIF(TO13:TO32,0.5)</f>
      </c>
      <c r="TP33" s="271">
        <f>COUNTIF(TP13:TP32,0.5)</f>
      </c>
      <c r="TQ33" s="271">
        <f>COUNTIF(TQ13:TQ32,0.5)</f>
      </c>
      <c r="TR33" s="271">
        <f>COUNTIF(TR13:TR32,0.5)</f>
      </c>
      <c r="TS33" s="271">
        <f>COUNTIF(TS13:TS32,0.5)</f>
      </c>
      <c r="TT33" s="271">
        <f>COUNTIF(TT13:TT32,0.5)</f>
      </c>
      <c r="TU33" s="271">
        <f>COUNTIF(TU13:TU32,0.5)</f>
      </c>
      <c r="TV33" s="271">
        <f>COUNTIF(TV13:TV32,0.5)</f>
      </c>
      <c r="TW33" s="271">
        <f>COUNTIF(TW13:TW32,0.5)</f>
      </c>
      <c r="TX33" s="271">
        <f>COUNTIF(TX13:TX32,0.5)</f>
      </c>
      <c r="TY33" s="271">
        <f>COUNTIF(TY13:TY32,0.5)</f>
      </c>
      <c r="TZ33" s="271">
        <f>COUNTIF(TZ13:TZ32,0.5)</f>
      </c>
      <c r="UA33" s="271">
        <f>COUNTIF(UA13:UA32,0.5)</f>
      </c>
      <c r="UB33" s="271">
        <f>COUNTIF(UB13:UB32,0.5)</f>
      </c>
      <c r="UC33" s="271">
        <f>COUNTIF(UC13:UC32,0.5)</f>
      </c>
      <c r="UD33" s="271">
        <f>COUNTIF(UD13:UD32,0.5)</f>
      </c>
      <c r="UE33" s="271">
        <f>COUNTIF(UE13:UE32,0.5)</f>
      </c>
      <c r="UF33" s="271">
        <f>COUNTIF(UF13:UF32,0.5)</f>
      </c>
      <c r="UG33" s="271">
        <f>COUNTIF(UG13:UG32,0.5)</f>
      </c>
      <c r="UH33" s="271">
        <f>COUNTIF(UH13:UH32,0.5)</f>
      </c>
      <c r="UI33" s="271">
        <f>COUNTIF(UI13:UI32,0.5)</f>
      </c>
      <c r="UJ33" s="271">
        <f>COUNTIF(UJ13:UJ32,0.5)</f>
      </c>
      <c r="UK33" s="271">
        <f>COUNTIF(UK13:UK32,0.5)</f>
      </c>
      <c r="UL33" s="269"/>
      <c r="UM33" s="269"/>
      <c r="UN33" s="4"/>
      <c r="UO33" s="4"/>
      <c r="UP33" s="270"/>
      <c r="UQ33" s="269"/>
      <c r="UR33" s="269"/>
      <c r="US33" s="269"/>
      <c r="UT33" s="269"/>
      <c r="UU33" s="269"/>
      <c r="UV33" s="269"/>
      <c r="UW33" s="269"/>
      <c r="UX33" s="269"/>
      <c r="UY33" s="269"/>
      <c r="UZ33" s="269"/>
      <c r="VA33" s="269"/>
      <c r="VB33" s="269"/>
      <c r="VC33" s="269"/>
      <c r="VD33" s="269"/>
      <c r="VE33" s="269"/>
      <c r="VF33" s="269"/>
      <c r="VG33" s="269"/>
      <c r="VH33" s="269"/>
      <c r="VI33" s="269"/>
      <c r="VJ33" s="269"/>
      <c r="VK33" s="269"/>
      <c r="VL33" s="269"/>
      <c r="VM33" s="269"/>
      <c r="VN33" s="269"/>
      <c r="VO33" s="269"/>
      <c r="VP33" s="269"/>
      <c r="VQ33" s="4"/>
      <c r="VR33" s="4"/>
      <c r="VS33" s="270"/>
      <c r="VT33" s="270"/>
      <c r="VU33" s="270"/>
      <c r="VV33" s="270"/>
      <c r="VW33" s="270"/>
      <c r="VX33" s="270"/>
      <c r="VY33" s="270"/>
      <c r="VZ33" s="270"/>
      <c r="WA33" s="270"/>
      <c r="WB33" s="270"/>
      <c r="WC33" s="270"/>
      <c r="WD33" s="270"/>
      <c r="WE33" s="270"/>
      <c r="WF33" s="270"/>
      <c r="WG33" s="270"/>
      <c r="WH33" s="270"/>
      <c r="WI33" s="270"/>
      <c r="WJ33" s="270"/>
      <c r="WK33" s="270"/>
      <c r="WL33" s="270"/>
      <c r="WM33" s="270"/>
      <c r="WN33" s="270"/>
      <c r="WO33" s="270"/>
      <c r="WP33" s="270"/>
      <c r="WQ33" s="270"/>
      <c r="WR33" s="269"/>
      <c r="WS33" s="269"/>
      <c r="WT33" s="4"/>
      <c r="WU33" s="4"/>
      <c r="WV33" s="4"/>
      <c r="WW33" s="40"/>
      <c r="WX33" s="274"/>
      <c r="WY33" s="270"/>
      <c r="WZ33" s="271">
        <f>COUNTIF(WZ13:WZ32,0.5)</f>
      </c>
      <c r="XA33" s="271">
        <f>COUNTIF(XA13:XA32,0.5)</f>
      </c>
      <c r="XB33" s="271">
        <f>COUNTIF(XB13:XB32,0.5)</f>
      </c>
      <c r="XC33" s="271">
        <f>COUNTIF(XC13:XC32,0.5)</f>
      </c>
      <c r="XD33" s="271">
        <f>COUNTIF(XD13:XD32,0.5)</f>
      </c>
      <c r="XE33" s="271">
        <f>COUNTIF(XE13:XE32,0.5)</f>
      </c>
      <c r="XF33" s="271">
        <f>COUNTIF(XF13:XF32,0.5)</f>
      </c>
      <c r="XG33" s="271">
        <f>COUNTIF(XG13:XG32,0.5)</f>
      </c>
      <c r="XH33" s="271">
        <f>COUNTIF(XH13:XH32,0.5)</f>
      </c>
      <c r="XI33" s="271">
        <f>COUNTIF(XI13:XI32,0.5)</f>
      </c>
      <c r="XJ33" s="271">
        <f>COUNTIF(XJ13:XJ32,0.5)</f>
      </c>
      <c r="XK33" s="271">
        <f>COUNTIF(XK13:XK32,0.5)</f>
      </c>
      <c r="XL33" s="271">
        <f>COUNTIF(XL13:XL32,0.5)</f>
      </c>
      <c r="XM33" s="271">
        <f>COUNTIF(XM13:XM32,0.5)</f>
      </c>
      <c r="XN33" s="271">
        <f>COUNTIF(XN13:XN32,0.5)</f>
      </c>
      <c r="XO33" s="271">
        <f>COUNTIF(XO13:XO32,0.5)</f>
      </c>
      <c r="XP33" s="271">
        <f>COUNTIF(XP13:XP32,0.5)</f>
      </c>
      <c r="XQ33" s="271">
        <f>COUNTIF(XQ13:XQ32,0.5)</f>
      </c>
      <c r="XR33" s="271">
        <f>COUNTIF(XR13:XR32,0.5)</f>
      </c>
      <c r="XS33" s="271">
        <f>COUNTIF(XS13:XS32,0.5)</f>
      </c>
      <c r="XT33" s="271">
        <f>COUNTIF(XT13:XT32,0.5)</f>
      </c>
      <c r="XU33" s="271">
        <f>COUNTIF(XU13:XU32,0.5)</f>
      </c>
      <c r="XV33" s="271">
        <f>COUNTIF(XV13:XV32,0.5)</f>
      </c>
      <c r="XW33" s="271">
        <f>COUNTIF(XW13:XW32,0.5)</f>
      </c>
      <c r="XX33" s="269"/>
      <c r="XY33" s="269"/>
      <c r="XZ33" s="4"/>
      <c r="YA33" s="4"/>
      <c r="YB33" s="270"/>
      <c r="YC33" s="271">
        <f>COUNTIF(YC13:YC32,0.5)</f>
      </c>
      <c r="YD33" s="271">
        <f>COUNTIF(YD13:YD32,0.5)</f>
      </c>
      <c r="YE33" s="271">
        <f>COUNTIF(YE13:YE32,0.5)</f>
      </c>
      <c r="YF33" s="271">
        <f>COUNTIF(YF13:YF32,0.5)</f>
      </c>
      <c r="YG33" s="271">
        <f>COUNTIF(YG13:YG32,0.5)</f>
      </c>
      <c r="YH33" s="271">
        <f>COUNTIF(YH13:YH32,0.5)</f>
      </c>
      <c r="YI33" s="271">
        <f>COUNTIF(YI13:YI32,0.5)</f>
      </c>
      <c r="YJ33" s="271">
        <f>COUNTIF(YJ13:YJ32,0.5)</f>
      </c>
      <c r="YK33" s="271">
        <f>COUNTIF(YK13:YK32,0.5)</f>
      </c>
      <c r="YL33" s="271">
        <f>COUNTIF(YL13:YL32,0.5)</f>
      </c>
      <c r="YM33" s="271">
        <f>COUNTIF(YM13:YM32,0.5)</f>
      </c>
      <c r="YN33" s="271">
        <f>COUNTIF(YN13:YN32,0.5)</f>
      </c>
      <c r="YO33" s="271">
        <f>COUNTIF(YO13:YO32,0.5)</f>
      </c>
      <c r="YP33" s="271">
        <f>COUNTIF(YP13:YP32,0.5)</f>
      </c>
      <c r="YQ33" s="271">
        <f>COUNTIF(YQ13:YQ32,0.5)</f>
      </c>
      <c r="YR33" s="271">
        <f>COUNTIF(YR13:YR32,0.5)</f>
      </c>
      <c r="YS33" s="271">
        <f>COUNTIF(YS13:YS32,0.5)</f>
      </c>
      <c r="YT33" s="271">
        <f>COUNTIF(YT13:YT32,0.5)</f>
      </c>
      <c r="YU33" s="271">
        <f>COUNTIF(YU13:YU32,0.5)</f>
      </c>
      <c r="YV33" s="271">
        <f>COUNTIF(YV13:YV32,0.5)</f>
      </c>
      <c r="YW33" s="271">
        <f>COUNTIF(YW13:YW32,0.5)</f>
      </c>
      <c r="YX33" s="271">
        <f>COUNTIF(YX13:YX32,0.5)</f>
      </c>
      <c r="YY33" s="271">
        <f>COUNTIF(YY13:YY32,0.5)</f>
      </c>
      <c r="YZ33" s="271">
        <f>COUNTIF(YZ13:YZ32,0.5)</f>
      </c>
      <c r="ZA33" s="269"/>
      <c r="ZB33" s="269"/>
      <c r="ZC33" s="4"/>
      <c r="ZD33" s="4"/>
      <c r="ZE33" s="270"/>
      <c r="ZF33" s="271">
        <f>COUNTIF(ZF13:ZF32,0.5)</f>
      </c>
      <c r="ZG33" s="271">
        <f>COUNTIF(ZG13:ZG32,0.5)</f>
      </c>
      <c r="ZH33" s="271">
        <f>COUNTIF(ZH13:ZH32,0.5)</f>
      </c>
      <c r="ZI33" s="271">
        <f>COUNTIF(ZI13:ZI32,0.5)</f>
      </c>
      <c r="ZJ33" s="271">
        <f>COUNTIF(ZJ13:ZJ32,0.5)</f>
      </c>
      <c r="ZK33" s="271">
        <f>COUNTIF(ZK13:ZK32,0.5)</f>
      </c>
      <c r="ZL33" s="271">
        <f>COUNTIF(ZL13:ZL32,0.5)</f>
      </c>
      <c r="ZM33" s="271">
        <f>COUNTIF(ZM13:ZM32,0.5)</f>
      </c>
      <c r="ZN33" s="271">
        <f>COUNTIF(ZN13:ZN32,0.5)</f>
      </c>
      <c r="ZO33" s="271">
        <f>COUNTIF(ZO13:ZO32,0.5)</f>
      </c>
      <c r="ZP33" s="271">
        <f>COUNTIF(ZP13:ZP32,0.5)</f>
      </c>
      <c r="ZQ33" s="271">
        <f>COUNTIF(ZQ13:ZQ32,0.5)</f>
      </c>
      <c r="ZR33" s="271">
        <f>COUNTIF(ZR13:ZR32,0.5)</f>
      </c>
      <c r="ZS33" s="271">
        <f>COUNTIF(ZS13:ZS32,0.5)</f>
      </c>
      <c r="ZT33" s="271">
        <f>COUNTIF(ZT13:ZT32,0.5)</f>
      </c>
      <c r="ZU33" s="271">
        <f>COUNTIF(ZU13:ZU32,0.5)</f>
      </c>
      <c r="ZV33" s="271">
        <f>COUNTIF(ZV13:ZV32,0.5)</f>
      </c>
      <c r="ZW33" s="271">
        <f>COUNTIF(ZW13:ZW32,0.5)</f>
      </c>
      <c r="ZX33" s="271">
        <f>COUNTIF(ZX13:ZX32,0.5)</f>
      </c>
      <c r="ZY33" s="271">
        <f>COUNTIF(ZY13:ZY32,0.5)</f>
      </c>
      <c r="ZZ33" s="271">
        <f>COUNTIF(ZZ13:ZZ32,0.5)</f>
      </c>
      <c r="AAA33" s="271">
        <f>COUNTIF(AAA13:AAA32,0.5)</f>
      </c>
      <c r="AAB33" s="271">
        <f>COUNTIF(AAB13:AAB32,0.5)</f>
      </c>
      <c r="AAC33" s="271">
        <f>COUNTIF(AAC13:AAC32,0.5)</f>
      </c>
      <c r="AAD33" s="269"/>
      <c r="AAE33" s="269"/>
      <c r="AAF33" s="4"/>
      <c r="AAG33" s="4"/>
      <c r="AAH33" s="270"/>
      <c r="AAI33" s="271">
        <f>COUNTIF(AAI13:AAI32,0.5)</f>
      </c>
      <c r="AAJ33" s="271">
        <f>COUNTIF(AAJ13:AAJ32,0.5)</f>
      </c>
      <c r="AAK33" s="271">
        <f>COUNTIF(AAK13:AAK32,0.5)</f>
      </c>
      <c r="AAL33" s="271">
        <f>COUNTIF(AAL13:AAL32,0.5)</f>
      </c>
      <c r="AAM33" s="271">
        <f>COUNTIF(AAM13:AAM32,0.5)</f>
      </c>
      <c r="AAN33" s="271">
        <f>COUNTIF(AAN13:AAN32,0.5)</f>
      </c>
      <c r="AAO33" s="271">
        <f>COUNTIF(AAO13:AAO32,0.5)</f>
      </c>
      <c r="AAP33" s="271">
        <f>COUNTIF(AAP13:AAP32,0.5)</f>
      </c>
      <c r="AAQ33" s="271">
        <f>COUNTIF(AAQ13:AAQ32,0.5)</f>
      </c>
      <c r="AAR33" s="271">
        <f>COUNTIF(AAR13:AAR32,0.5)</f>
      </c>
      <c r="AAS33" s="271">
        <f>COUNTIF(AAS13:AAS32,0.5)</f>
      </c>
      <c r="AAT33" s="271">
        <f>COUNTIF(AAT13:AAT32,0.5)</f>
      </c>
      <c r="AAU33" s="271">
        <f>COUNTIF(AAU13:AAU32,0.5)</f>
      </c>
      <c r="AAV33" s="271">
        <f>COUNTIF(AAV13:AAV32,0.5)</f>
      </c>
      <c r="AAW33" s="271">
        <f>COUNTIF(AAW13:AAW32,0.5)</f>
      </c>
      <c r="AAX33" s="271">
        <f>COUNTIF(AAX13:AAX32,0.5)</f>
      </c>
      <c r="AAY33" s="271">
        <f>COUNTIF(AAY13:AAY32,0.5)</f>
      </c>
      <c r="AAZ33" s="271">
        <f>COUNTIF(AAZ13:AAZ32,0.5)</f>
      </c>
      <c r="ABA33" s="271">
        <f>COUNTIF(ABA13:ABA32,0.5)</f>
      </c>
      <c r="ABB33" s="271">
        <f>COUNTIF(ABB13:ABB32,0.5)</f>
      </c>
      <c r="ABC33" s="271">
        <f>COUNTIF(ABC13:ABC32,0.5)</f>
      </c>
      <c r="ABD33" s="271">
        <f>COUNTIF(ABD13:ABD32,0.5)</f>
      </c>
      <c r="ABE33" s="271">
        <f>COUNTIF(ABE13:ABE32,0.5)</f>
      </c>
      <c r="ABF33" s="271">
        <f>COUNTIF(ABF13:ABF32,0.5)</f>
      </c>
      <c r="ABG33" s="269"/>
      <c r="ABH33" s="269"/>
      <c r="ABI33" s="4"/>
      <c r="ABJ33" s="4"/>
      <c r="ABK33" s="270"/>
      <c r="ABL33" s="271">
        <f>COUNTIF(ABL13:ABL32,0.5)</f>
      </c>
      <c r="ABM33" s="271">
        <f>COUNTIF(ABM13:ABM32,0.5)</f>
      </c>
      <c r="ABN33" s="271">
        <f>COUNTIF(ABN13:ABN32,0.5)</f>
      </c>
      <c r="ABO33" s="271">
        <f>COUNTIF(ABO13:ABO32,0.5)</f>
      </c>
      <c r="ABP33" s="271">
        <f>COUNTIF(ABP13:ABP32,0.5)</f>
      </c>
      <c r="ABQ33" s="271">
        <f>COUNTIF(ABQ13:ABQ32,0.5)</f>
      </c>
      <c r="ABR33" s="271">
        <f>COUNTIF(ABR13:ABR32,0.5)</f>
      </c>
      <c r="ABS33" s="271">
        <f>COUNTIF(ABS13:ABS32,0.5)</f>
      </c>
      <c r="ABT33" s="271">
        <f>COUNTIF(ABT13:ABT32,0.5)</f>
      </c>
      <c r="ABU33" s="271">
        <f>COUNTIF(ABU13:ABU32,0.5)</f>
      </c>
      <c r="ABV33" s="271">
        <f>COUNTIF(ABV13:ABV32,0.5)</f>
      </c>
      <c r="ABW33" s="271">
        <f>COUNTIF(ABW13:ABW32,0.5)</f>
      </c>
      <c r="ABX33" s="271">
        <f>COUNTIF(ABX13:ABX32,0.5)</f>
      </c>
      <c r="ABY33" s="271">
        <f>COUNTIF(ABY13:ABY32,0.5)</f>
      </c>
      <c r="ABZ33" s="271">
        <f>COUNTIF(ABZ13:ABZ32,0.5)</f>
      </c>
      <c r="ACA33" s="271">
        <f>COUNTIF(ACA13:ACA32,0.5)</f>
      </c>
      <c r="ACB33" s="271">
        <f>COUNTIF(ACB13:ACB32,0.5)</f>
      </c>
      <c r="ACC33" s="271">
        <f>COUNTIF(ACC13:ACC32,0.5)</f>
      </c>
      <c r="ACD33" s="271">
        <f>COUNTIF(ACD13:ACD32,0.5)</f>
      </c>
      <c r="ACE33" s="271">
        <f>COUNTIF(ACE13:ACE32,0.5)</f>
      </c>
      <c r="ACF33" s="271">
        <f>COUNTIF(ACF13:ACF32,0.5)</f>
      </c>
      <c r="ACG33" s="271">
        <f>COUNTIF(ACG13:ACG32,0.5)</f>
      </c>
      <c r="ACH33" s="271">
        <f>COUNTIF(ACH13:ACH32,0.5)</f>
      </c>
      <c r="ACI33" s="271">
        <f>COUNTIF(ACI13:ACI32,0.5)</f>
      </c>
      <c r="ACJ33" s="269"/>
      <c r="ACK33" s="269"/>
      <c r="ACL33" s="4"/>
      <c r="ACM33" s="4"/>
      <c r="ACN33" s="270"/>
      <c r="ACO33" s="269"/>
      <c r="ACP33" s="269"/>
      <c r="ACQ33" s="269"/>
      <c r="ACR33" s="269"/>
      <c r="ACS33" s="269"/>
      <c r="ACT33" s="269"/>
      <c r="ACU33" s="269"/>
      <c r="ACV33" s="269"/>
      <c r="ACW33" s="269"/>
      <c r="ACX33" s="269"/>
      <c r="ACY33" s="269"/>
      <c r="ACZ33" s="269"/>
      <c r="ADA33" s="269"/>
      <c r="ADB33" s="269"/>
      <c r="ADC33" s="269"/>
      <c r="ADD33" s="269"/>
      <c r="ADE33" s="269"/>
      <c r="ADF33" s="269"/>
      <c r="ADG33" s="269"/>
      <c r="ADH33" s="269"/>
      <c r="ADI33" s="269"/>
      <c r="ADJ33" s="269"/>
      <c r="ADK33" s="269"/>
      <c r="ADL33" s="269"/>
      <c r="ADM33" s="269"/>
      <c r="ADN33" s="269"/>
      <c r="ADO33" s="4"/>
      <c r="ADP33" s="4"/>
      <c r="ADQ33" s="270"/>
      <c r="ADR33" s="270"/>
      <c r="ADS33" s="270"/>
      <c r="ADT33" s="270"/>
      <c r="ADU33" s="270"/>
      <c r="ADV33" s="270"/>
      <c r="ADW33" s="270"/>
      <c r="ADX33" s="270"/>
      <c r="ADY33" s="270"/>
      <c r="ADZ33" s="270"/>
      <c r="AEA33" s="270"/>
      <c r="AEB33" s="270"/>
      <c r="AEC33" s="270"/>
      <c r="AED33" s="270"/>
      <c r="AEE33" s="270"/>
      <c r="AEF33" s="270"/>
      <c r="AEG33" s="270"/>
      <c r="AEH33" s="270"/>
      <c r="AEI33" s="270"/>
      <c r="AEJ33" s="270"/>
      <c r="AEK33" s="270"/>
      <c r="AEL33" s="270"/>
      <c r="AEM33" s="270"/>
      <c r="AEN33" s="270"/>
      <c r="AEO33" s="270"/>
      <c r="AEP33" s="269"/>
      <c r="AEQ33" s="269"/>
      <c r="AER33" s="4"/>
      <c r="AES33" s="4"/>
      <c r="AET33" s="4"/>
      <c r="AEU33" s="40"/>
      <c r="AEV33" s="274"/>
      <c r="AEW33" s="270"/>
      <c r="AEX33" s="271">
        <f>COUNTIF(AEX13:AEX32,0.5)</f>
      </c>
      <c r="AEY33" s="271">
        <f>COUNTIF(AEY13:AEY32,0.5)</f>
      </c>
      <c r="AEZ33" s="271">
        <f>COUNTIF(AEZ13:AEZ32,0.5)</f>
      </c>
      <c r="AFA33" s="271">
        <f>COUNTIF(AFA13:AFA32,0.5)</f>
      </c>
      <c r="AFB33" s="271">
        <f>COUNTIF(AFB13:AFB32,0.5)</f>
      </c>
      <c r="AFC33" s="271">
        <f>COUNTIF(AFC13:AFC32,0.5)</f>
      </c>
      <c r="AFD33" s="271">
        <f>COUNTIF(AFD13:AFD32,0.5)</f>
      </c>
      <c r="AFE33" s="271">
        <f>COUNTIF(AFE13:AFE32,0.5)</f>
      </c>
      <c r="AFF33" s="271">
        <f>COUNTIF(AFF13:AFF32,0.5)</f>
      </c>
      <c r="AFG33" s="271">
        <f>COUNTIF(AFG13:AFG32,0.5)</f>
      </c>
      <c r="AFH33" s="271">
        <f>COUNTIF(AFH13:AFH32,0.5)</f>
      </c>
      <c r="AFI33" s="271">
        <f>COUNTIF(AFI13:AFI32,0.5)</f>
      </c>
      <c r="AFJ33" s="271">
        <f>COUNTIF(AFJ13:AFJ32,0.5)</f>
      </c>
      <c r="AFK33" s="271">
        <f>COUNTIF(AFK13:AFK32,0.5)</f>
      </c>
      <c r="AFL33" s="271">
        <f>COUNTIF(AFL13:AFL32,0.5)</f>
      </c>
      <c r="AFM33" s="271">
        <f>COUNTIF(AFM13:AFM32,0.5)</f>
      </c>
      <c r="AFN33" s="271">
        <f>COUNTIF(AFN13:AFN32,0.5)</f>
      </c>
      <c r="AFO33" s="271">
        <f>COUNTIF(AFO13:AFO32,0.5)</f>
      </c>
      <c r="AFP33" s="271">
        <f>COUNTIF(AFP13:AFP32,0.5)</f>
      </c>
      <c r="AFQ33" s="271">
        <f>COUNTIF(AFQ13:AFQ32,0.5)</f>
      </c>
      <c r="AFR33" s="271">
        <f>COUNTIF(AFR13:AFR32,0.5)</f>
      </c>
      <c r="AFS33" s="271">
        <f>COUNTIF(AFS13:AFS32,0.5)</f>
      </c>
      <c r="AFT33" s="271">
        <f>COUNTIF(AFT13:AFT32,0.5)</f>
      </c>
      <c r="AFU33" s="271">
        <f>COUNTIF(AFU13:AFU32,0.5)</f>
      </c>
      <c r="AFV33" s="269"/>
      <c r="AFW33" s="269"/>
      <c r="AFX33" s="4"/>
      <c r="AFY33" s="4"/>
      <c r="AFZ33" s="270"/>
      <c r="AGA33" s="271">
        <f>COUNTIF(AGA13:AGA32,0.5)</f>
      </c>
      <c r="AGB33" s="271">
        <f>COUNTIF(AGB13:AGB32,0.5)</f>
      </c>
      <c r="AGC33" s="271">
        <f>COUNTIF(AGC13:AGC32,0.5)</f>
      </c>
      <c r="AGD33" s="271">
        <f>COUNTIF(AGD13:AGD32,0.5)</f>
      </c>
      <c r="AGE33" s="271">
        <f>COUNTIF(AGE13:AGE32,0.5)</f>
      </c>
      <c r="AGF33" s="271">
        <f>COUNTIF(AGF13:AGF32,0.5)</f>
      </c>
      <c r="AGG33" s="271">
        <f>COUNTIF(AGG13:AGG32,0.5)</f>
      </c>
      <c r="AGH33" s="271">
        <f>COUNTIF(AGH13:AGH32,0.5)</f>
      </c>
      <c r="AGI33" s="271">
        <f>COUNTIF(AGI13:AGI32,0.5)</f>
      </c>
      <c r="AGJ33" s="271">
        <f>COUNTIF(AGJ13:AGJ32,0.5)</f>
      </c>
      <c r="AGK33" s="271">
        <f>COUNTIF(AGK13:AGK32,0.5)</f>
      </c>
      <c r="AGL33" s="271">
        <f>COUNTIF(AGL13:AGL32,0.5)</f>
      </c>
      <c r="AGM33" s="271">
        <f>COUNTIF(AGM13:AGM32,0.5)</f>
      </c>
      <c r="AGN33" s="271">
        <f>COUNTIF(AGN13:AGN32,0.5)</f>
      </c>
      <c r="AGO33" s="271">
        <f>COUNTIF(AGO13:AGO32,0.5)</f>
      </c>
      <c r="AGP33" s="271">
        <f>COUNTIF(AGP13:AGP32,0.5)</f>
      </c>
      <c r="AGQ33" s="271">
        <f>COUNTIF(AGQ13:AGQ32,0.5)</f>
      </c>
      <c r="AGR33" s="271">
        <f>COUNTIF(AGR13:AGR32,0.5)</f>
      </c>
      <c r="AGS33" s="271">
        <f>COUNTIF(AGS13:AGS32,0.5)</f>
      </c>
      <c r="AGT33" s="271">
        <f>COUNTIF(AGT13:AGT32,0.5)</f>
      </c>
      <c r="AGU33" s="271">
        <f>COUNTIF(AGU13:AGU32,0.5)</f>
      </c>
      <c r="AGV33" s="271">
        <f>COUNTIF(AGV13:AGV32,0.5)</f>
      </c>
      <c r="AGW33" s="271">
        <f>COUNTIF(AGW13:AGW32,0.5)</f>
      </c>
      <c r="AGX33" s="271">
        <f>COUNTIF(AGX13:AGX32,0.5)</f>
      </c>
      <c r="AGY33" s="269"/>
      <c r="AGZ33" s="269"/>
      <c r="AHA33" s="4"/>
      <c r="AHB33" s="4"/>
      <c r="AHC33" s="270"/>
      <c r="AHD33" s="271">
        <f>COUNTIF(AHD13:AHD32,0.5)</f>
      </c>
      <c r="AHE33" s="271">
        <f>COUNTIF(AHE13:AHE32,0.5)</f>
      </c>
      <c r="AHF33" s="271">
        <f>COUNTIF(AHF13:AHF32,0.5)</f>
      </c>
      <c r="AHG33" s="271">
        <f>COUNTIF(AHG13:AHG32,0.5)</f>
      </c>
      <c r="AHH33" s="271">
        <f>COUNTIF(AHH13:AHH32,0.5)</f>
      </c>
      <c r="AHI33" s="271">
        <f>COUNTIF(AHI13:AHI32,0.5)</f>
      </c>
      <c r="AHJ33" s="271">
        <f>COUNTIF(AHJ13:AHJ32,0.5)</f>
      </c>
      <c r="AHK33" s="271">
        <f>COUNTIF(AHK13:AHK32,0.5)</f>
      </c>
      <c r="AHL33" s="271">
        <f>COUNTIF(AHL13:AHL32,0.5)</f>
      </c>
      <c r="AHM33" s="271">
        <f>COUNTIF(AHM13:AHM32,0.5)</f>
      </c>
      <c r="AHN33" s="271">
        <f>COUNTIF(AHN13:AHN32,0.5)</f>
      </c>
      <c r="AHO33" s="271">
        <f>COUNTIF(AHO13:AHO32,0.5)</f>
      </c>
      <c r="AHP33" s="271">
        <f>COUNTIF(AHP13:AHP32,0.5)</f>
      </c>
      <c r="AHQ33" s="271">
        <f>COUNTIF(AHQ13:AHQ32,0.5)</f>
      </c>
      <c r="AHR33" s="271">
        <f>COUNTIF(AHR13:AHR32,0.5)</f>
      </c>
      <c r="AHS33" s="271">
        <f>COUNTIF(AHS13:AHS32,0.5)</f>
      </c>
      <c r="AHT33" s="271">
        <f>COUNTIF(AHT13:AHT32,0.5)</f>
      </c>
      <c r="AHU33" s="271">
        <f>COUNTIF(AHU13:AHU32,0.5)</f>
      </c>
      <c r="AHV33" s="271">
        <f>COUNTIF(AHV13:AHV32,0.5)</f>
      </c>
      <c r="AHW33" s="271">
        <f>COUNTIF(AHW13:AHW32,0.5)</f>
      </c>
      <c r="AHX33" s="271">
        <f>COUNTIF(AHX13:AHX32,0.5)</f>
      </c>
      <c r="AHY33" s="271">
        <f>COUNTIF(AHY13:AHY32,0.5)</f>
      </c>
      <c r="AHZ33" s="271">
        <f>COUNTIF(AHZ13:AHZ32,0.5)</f>
      </c>
      <c r="AIA33" s="271">
        <f>COUNTIF(AIA13:AIA32,0.5)</f>
      </c>
      <c r="AIB33" s="269"/>
      <c r="AIC33" s="269"/>
      <c r="AID33" s="4"/>
      <c r="AIE33" s="4"/>
      <c r="AIF33" s="270"/>
      <c r="AIG33" s="271">
        <f>COUNTIF(AIG13:AIG32,0.5)</f>
      </c>
      <c r="AIH33" s="271">
        <f>COUNTIF(AIH13:AIH32,0.5)</f>
      </c>
      <c r="AII33" s="271">
        <f>COUNTIF(AII13:AII32,0.5)</f>
      </c>
      <c r="AIJ33" s="271">
        <f>COUNTIF(AIJ13:AIJ32,0.5)</f>
      </c>
      <c r="AIK33" s="271">
        <f>COUNTIF(AIK13:AIK32,0.5)</f>
      </c>
      <c r="AIL33" s="271">
        <f>COUNTIF(AIL13:AIL32,0.5)</f>
      </c>
      <c r="AIM33" s="271">
        <f>COUNTIF(AIM13:AIM32,0.5)</f>
      </c>
      <c r="AIN33" s="271">
        <f>COUNTIF(AIN13:AIN32,0.5)</f>
      </c>
      <c r="AIO33" s="271">
        <f>COUNTIF(AIO13:AIO32,0.5)</f>
      </c>
      <c r="AIP33" s="271">
        <f>COUNTIF(AIP13:AIP32,0.5)</f>
      </c>
      <c r="AIQ33" s="271">
        <f>COUNTIF(AIQ13:AIQ32,0.5)</f>
      </c>
      <c r="AIR33" s="271">
        <f>COUNTIF(AIR13:AIR32,0.5)</f>
      </c>
      <c r="AIS33" s="271">
        <f>COUNTIF(AIS13:AIS32,0.5)</f>
      </c>
      <c r="AIT33" s="271">
        <f>COUNTIF(AIT13:AIT32,0.5)</f>
      </c>
      <c r="AIU33" s="271">
        <f>COUNTIF(AIU13:AIU32,0.5)</f>
      </c>
      <c r="AIV33" s="271">
        <f>COUNTIF(AIV13:AIV32,0.5)</f>
      </c>
      <c r="AIW33" s="271">
        <f>COUNTIF(AIW13:AIW32,0.5)</f>
      </c>
      <c r="AIX33" s="271">
        <f>COUNTIF(AIX13:AIX32,0.5)</f>
      </c>
      <c r="AIY33" s="271">
        <f>COUNTIF(AIY13:AIY32,0.5)</f>
      </c>
      <c r="AIZ33" s="271">
        <f>COUNTIF(AIZ13:AIZ32,0.5)</f>
      </c>
      <c r="AJA33" s="271">
        <f>COUNTIF(AJA13:AJA32,0.5)</f>
      </c>
      <c r="AJB33" s="271">
        <f>COUNTIF(AJB13:AJB32,0.5)</f>
      </c>
      <c r="AJC33" s="271">
        <f>COUNTIF(AJC13:AJC32,0.5)</f>
      </c>
      <c r="AJD33" s="271">
        <f>COUNTIF(AJD13:AJD32,0.5)</f>
      </c>
      <c r="AJE33" s="269"/>
      <c r="AJF33" s="269"/>
      <c r="AJG33" s="4"/>
      <c r="AJH33" s="4"/>
      <c r="AJI33" s="270"/>
      <c r="AJJ33" s="271">
        <f>COUNTIF(AJJ13:AJJ32,0.5)</f>
      </c>
      <c r="AJK33" s="271">
        <f>COUNTIF(AJK13:AJK32,0.5)</f>
      </c>
      <c r="AJL33" s="271">
        <f>COUNTIF(AJL13:AJL32,0.5)</f>
      </c>
      <c r="AJM33" s="271">
        <f>COUNTIF(AJM13:AJM32,0.5)</f>
      </c>
      <c r="AJN33" s="271">
        <f>COUNTIF(AJN13:AJN32,0.5)</f>
      </c>
      <c r="AJO33" s="271">
        <f>COUNTIF(AJO13:AJO32,0.5)</f>
      </c>
      <c r="AJP33" s="271">
        <f>COUNTIF(AJP13:AJP32,0.5)</f>
      </c>
      <c r="AJQ33" s="271">
        <f>COUNTIF(AJQ13:AJQ32,0.5)</f>
      </c>
      <c r="AJR33" s="271">
        <f>COUNTIF(AJR13:AJR32,0.5)</f>
      </c>
      <c r="AJS33" s="271">
        <f>COUNTIF(AJS13:AJS32,0.5)</f>
      </c>
      <c r="AJT33" s="271">
        <f>COUNTIF(AJT13:AJT32,0.5)</f>
      </c>
      <c r="AJU33" s="271">
        <f>COUNTIF(AJU13:AJU32,0.5)</f>
      </c>
      <c r="AJV33" s="271">
        <f>COUNTIF(AJV13:AJV32,0.5)</f>
      </c>
      <c r="AJW33" s="271">
        <f>COUNTIF(AJW13:AJW32,0.5)</f>
      </c>
      <c r="AJX33" s="271">
        <f>COUNTIF(AJX13:AJX32,0.5)</f>
      </c>
      <c r="AJY33" s="271">
        <f>COUNTIF(AJY13:AJY32,0.5)</f>
      </c>
      <c r="AJZ33" s="271">
        <f>COUNTIF(AJZ13:AJZ32,0.5)</f>
      </c>
      <c r="AKA33" s="271">
        <f>COUNTIF(AKA13:AKA32,0.5)</f>
      </c>
      <c r="AKB33" s="271">
        <f>COUNTIF(AKB13:AKB32,0.5)</f>
      </c>
      <c r="AKC33" s="271">
        <f>COUNTIF(AKC13:AKC32,0.5)</f>
      </c>
      <c r="AKD33" s="271">
        <f>COUNTIF(AKD13:AKD32,0.5)</f>
      </c>
      <c r="AKE33" s="271">
        <f>COUNTIF(AKE13:AKE32,0.5)</f>
      </c>
      <c r="AKF33" s="271">
        <f>COUNTIF(AKF13:AKF32,0.5)</f>
      </c>
      <c r="AKG33" s="271">
        <f>COUNTIF(AKG13:AKG32,0.5)</f>
      </c>
      <c r="AKH33" s="269"/>
      <c r="AKI33" s="269"/>
      <c r="AKJ33" s="4"/>
      <c r="AKK33" s="4"/>
      <c r="AKL33" s="270"/>
      <c r="AKM33" s="269"/>
      <c r="AKN33" s="269"/>
      <c r="AKO33" s="269"/>
      <c r="AKP33" s="269"/>
      <c r="AKQ33" s="269"/>
      <c r="AKR33" s="269"/>
      <c r="AKS33" s="269"/>
      <c r="AKT33" s="269"/>
      <c r="AKU33" s="269"/>
      <c r="AKV33" s="269"/>
      <c r="AKW33" s="269"/>
      <c r="AKX33" s="269"/>
      <c r="AKY33" s="269"/>
      <c r="AKZ33" s="269"/>
      <c r="ALA33" s="269"/>
      <c r="ALB33" s="269"/>
      <c r="ALC33" s="269"/>
      <c r="ALD33" s="269"/>
      <c r="ALE33" s="269"/>
      <c r="ALF33" s="269"/>
      <c r="ALG33" s="269"/>
      <c r="ALH33" s="269"/>
      <c r="ALI33" s="269"/>
      <c r="ALJ33" s="269"/>
      <c r="ALK33" s="269"/>
      <c r="ALL33" s="269"/>
      <c r="ALM33" s="4"/>
      <c r="ALN33" s="4"/>
      <c r="ALO33" s="270"/>
      <c r="ALP33" s="270"/>
      <c r="ALQ33" s="270"/>
      <c r="ALR33" s="270"/>
      <c r="ALS33" s="270"/>
      <c r="ALT33" s="270"/>
      <c r="ALU33" s="270"/>
      <c r="ALV33" s="270"/>
      <c r="ALW33" s="270"/>
      <c r="ALX33" s="270"/>
      <c r="ALY33" s="270"/>
      <c r="ALZ33" s="270"/>
      <c r="AMA33" s="270"/>
      <c r="AMB33" s="270"/>
      <c r="AMC33" s="270"/>
      <c r="AMD33" s="270"/>
      <c r="AME33" s="270"/>
      <c r="AMF33" s="270"/>
      <c r="AMG33" s="270"/>
      <c r="AMH33" s="270"/>
      <c r="AMI33" s="270"/>
      <c r="AMJ33" s="270"/>
      <c r="AMK33" s="270"/>
      <c r="AML33" s="270"/>
      <c r="AMM33" s="270"/>
      <c r="AMN33" s="269"/>
      <c r="AMO33" s="269"/>
      <c r="AMP33" s="4"/>
      <c r="AMQ33" s="4"/>
      <c r="AMR33" s="4"/>
      <c r="AMS33" s="40"/>
      <c r="AMT33" s="4"/>
      <c r="AMU33" s="4"/>
      <c r="AMV33" s="4"/>
      <c r="AMW33" s="4"/>
      <c r="AMX33" s="4"/>
      <c r="AMY33" s="4"/>
      <c r="AMZ33" s="4"/>
      <c r="ANA33" s="4"/>
      <c r="ANB33" s="4"/>
      <c r="ANC33" s="4"/>
      <c r="AND33" s="4"/>
      <c r="ANE33" s="4"/>
      <c r="ANF33" s="4"/>
      <c r="ANG33" s="4"/>
      <c r="ANH33" s="4"/>
      <c r="ANI33" s="4"/>
      <c r="ANJ33" s="4"/>
      <c r="ANK33" s="4"/>
      <c r="ANL33" s="4"/>
      <c r="ANM33" s="4"/>
      <c r="ANN33" s="4"/>
      <c r="ANO33" s="4"/>
      <c r="ANP33" s="4"/>
      <c r="ANQ33" s="4"/>
      <c r="ANR33" s="4"/>
      <c r="ANS33" s="4"/>
      <c r="ANT33" s="4"/>
      <c r="ANU33" s="4"/>
      <c r="ANV33" s="4"/>
      <c r="ANW33" s="4"/>
      <c r="ANX33" s="4"/>
      <c r="ANY33" s="4"/>
      <c r="ANZ33" s="4"/>
      <c r="AOA33" s="4"/>
      <c r="AOB33" s="4"/>
      <c r="AOC33" s="4"/>
      <c r="AOD33" s="4"/>
      <c r="AOE33" s="4"/>
      <c r="AOF33" s="4"/>
      <c r="AOG33" s="4"/>
      <c r="AOH33" s="4"/>
      <c r="AOI33" s="4"/>
      <c r="AOJ33" s="4"/>
      <c r="AOK33" s="4"/>
      <c r="AOL33" s="4"/>
      <c r="AOM33" s="4"/>
      <c r="AON33" s="4"/>
      <c r="AOO33" s="4"/>
      <c r="AOP33" s="4"/>
      <c r="AOQ33" s="4"/>
      <c r="AOR33" s="4"/>
      <c r="AOS33" s="4"/>
      <c r="AOT33" s="4"/>
      <c r="AOU33" s="4"/>
      <c r="AOV33" s="4"/>
      <c r="AOW33" s="4"/>
      <c r="AOX33" s="4"/>
      <c r="AOY33" s="4"/>
      <c r="AOZ33" s="4"/>
      <c r="APA33" s="4"/>
      <c r="APB33" s="4"/>
      <c r="APC33" s="4"/>
      <c r="APD33" s="4"/>
      <c r="APE33" s="4"/>
      <c r="APF33" s="4"/>
      <c r="APG33" s="4"/>
      <c r="APH33" s="4"/>
      <c r="API33" s="4"/>
      <c r="APJ33" s="4"/>
      <c r="APK33" s="4"/>
      <c r="APL33" s="4"/>
      <c r="APM33" s="4"/>
      <c r="APN33" s="4"/>
      <c r="APO33" s="4"/>
      <c r="APP33" s="4"/>
      <c r="APQ33" s="4"/>
      <c r="APR33" s="4"/>
      <c r="APS33" s="4"/>
      <c r="APT33" s="4"/>
      <c r="APU33" s="4"/>
      <c r="APV33" s="4"/>
      <c r="APW33" s="4"/>
      <c r="APX33" s="4"/>
      <c r="APY33" s="4"/>
      <c r="APZ33" s="4"/>
      <c r="AQA33" s="4"/>
      <c r="AQB33" s="4"/>
      <c r="AQC33" s="4"/>
      <c r="AQD33" s="4"/>
      <c r="AQE33" s="4"/>
      <c r="AQF33" s="4"/>
      <c r="AQG33" s="4"/>
      <c r="AQH33" s="4"/>
      <c r="AQI33" s="4"/>
      <c r="AQJ33" s="4"/>
      <c r="AQK33" s="4"/>
      <c r="AQL33" s="4"/>
      <c r="AQM33" s="4"/>
      <c r="AQN33" s="4"/>
      <c r="AQO33" s="4"/>
      <c r="AQP33" s="4"/>
      <c r="AQQ33" s="4"/>
      <c r="AQR33" s="4"/>
      <c r="AQS33" s="4"/>
      <c r="AQT33" s="4"/>
      <c r="AQU33" s="4"/>
      <c r="AQV33" s="4"/>
      <c r="AQW33" s="4"/>
      <c r="AQX33" s="4"/>
      <c r="AQY33" s="4"/>
      <c r="AQZ33" s="4"/>
      <c r="ARA33" s="4"/>
      <c r="ARB33" s="4"/>
      <c r="ARC33" s="4"/>
      <c r="ARD33" s="4"/>
      <c r="ARE33" s="4"/>
      <c r="ARF33" s="4"/>
      <c r="ARG33" s="4"/>
      <c r="ARH33" s="4"/>
      <c r="ARI33" s="4"/>
      <c r="ARJ33" s="4"/>
      <c r="ARK33" s="4"/>
      <c r="ARL33" s="4"/>
      <c r="ARM33" s="4"/>
      <c r="ARN33" s="4"/>
      <c r="ARO33" s="4"/>
      <c r="ARP33" s="4"/>
      <c r="ARQ33" s="4"/>
      <c r="ARR33" s="4"/>
      <c r="ARS33" s="4"/>
      <c r="ART33" s="4"/>
      <c r="ARU33" s="4"/>
      <c r="ARV33" s="4"/>
      <c r="ARW33" s="4"/>
      <c r="ARX33" s="4"/>
      <c r="ARY33" s="4"/>
      <c r="ARZ33" s="4"/>
      <c r="ASA33" s="4"/>
      <c r="ASB33" s="4"/>
      <c r="ASC33" s="4"/>
      <c r="ASD33" s="4"/>
      <c r="ASE33" s="4"/>
      <c r="ASF33" s="4"/>
      <c r="ASG33" s="4"/>
      <c r="ASH33" s="4"/>
      <c r="ASI33" s="4"/>
      <c r="ASJ33" s="4"/>
      <c r="ASK33" s="4"/>
      <c r="ASL33" s="4"/>
      <c r="ASM33" s="4"/>
      <c r="ASN33" s="4"/>
      <c r="ASO33" s="4"/>
      <c r="ASP33" s="4"/>
      <c r="ASQ33" s="4"/>
      <c r="ASR33" s="4"/>
      <c r="ASS33" s="4"/>
      <c r="AST33" s="4"/>
      <c r="ASU33" s="4"/>
    </row>
    <row r="34" ht="15.75" customHeight="1" spans="1:1191" x14ac:dyDescent="0.25">
      <c r="A34" s="4"/>
      <c r="B34" s="275"/>
      <c r="C34" s="276"/>
      <c r="D34" s="4"/>
      <c r="E34" s="4"/>
      <c r="F34" s="277"/>
      <c r="G34" s="278" t="s">
        <v>74</v>
      </c>
      <c r="H34" s="279"/>
      <c r="I34" s="280">
        <f>SUM(F33:AC33)/16</f>
      </c>
      <c r="J34" s="279"/>
      <c r="K34" s="277"/>
      <c r="L34" s="277"/>
      <c r="M34" s="277"/>
      <c r="N34" s="277"/>
      <c r="O34" s="277"/>
      <c r="P34" s="277"/>
      <c r="Q34" s="277"/>
      <c r="R34" s="277"/>
      <c r="S34" s="277"/>
      <c r="T34" s="277"/>
      <c r="U34" s="277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277"/>
      <c r="AJ34" s="278" t="s">
        <v>74</v>
      </c>
      <c r="AK34" s="279"/>
      <c r="AL34" s="280">
        <f>SUM(AI33:BF33)/16</f>
      </c>
      <c r="AM34" s="279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4"/>
      <c r="BD34" s="4"/>
      <c r="BE34" s="4"/>
      <c r="BF34" s="4"/>
      <c r="BG34" s="4"/>
      <c r="BH34" s="4"/>
      <c r="BI34" s="4"/>
      <c r="BJ34" s="4"/>
      <c r="BK34" s="4"/>
      <c r="BL34" s="277"/>
      <c r="BM34" s="278" t="s">
        <v>74</v>
      </c>
      <c r="BN34" s="279"/>
      <c r="BO34" s="280">
        <f>SUM(BL33:CI33)/16</f>
      </c>
      <c r="BP34" s="279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277"/>
      <c r="CP34" s="278" t="s">
        <v>74</v>
      </c>
      <c r="CQ34" s="279"/>
      <c r="CR34" s="280">
        <f>SUM(CO33:DL33)/16</f>
      </c>
      <c r="CS34" s="279"/>
      <c r="CT34" s="277"/>
      <c r="CU34" s="277"/>
      <c r="CV34" s="277"/>
      <c r="CW34" s="277"/>
      <c r="CX34" s="277"/>
      <c r="CY34" s="277"/>
      <c r="CZ34" s="277"/>
      <c r="DA34" s="277"/>
      <c r="DB34" s="277"/>
      <c r="DC34" s="277"/>
      <c r="DD34" s="277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277"/>
      <c r="DS34" s="278" t="s">
        <v>74</v>
      </c>
      <c r="DT34" s="279"/>
      <c r="DU34" s="280">
        <f>SUM(DR33:EO33)/16</f>
      </c>
      <c r="DV34" s="279"/>
      <c r="DW34" s="277"/>
      <c r="DX34" s="277"/>
      <c r="DY34" s="277"/>
      <c r="DZ34" s="277"/>
      <c r="EA34" s="277"/>
      <c r="EB34" s="277"/>
      <c r="EC34" s="277"/>
      <c r="ED34" s="277"/>
      <c r="EE34" s="277"/>
      <c r="EF34" s="277"/>
      <c r="EG34" s="277"/>
      <c r="EH34" s="277"/>
      <c r="EI34" s="277"/>
      <c r="EJ34" s="277"/>
      <c r="EK34" s="277"/>
      <c r="EL34" s="277"/>
      <c r="EM34" s="277"/>
      <c r="EN34" s="277"/>
      <c r="EO34" s="277"/>
      <c r="EP34" s="277"/>
      <c r="EQ34" s="277"/>
      <c r="ER34" s="4"/>
      <c r="ES34" s="4"/>
      <c r="ET34" s="4"/>
      <c r="EU34" s="277"/>
      <c r="EV34" s="277"/>
      <c r="EW34" s="277"/>
      <c r="EX34" s="277"/>
      <c r="EY34" s="277"/>
      <c r="EZ34" s="277"/>
      <c r="FA34" s="277"/>
      <c r="FB34" s="277"/>
      <c r="FC34" s="277"/>
      <c r="FD34" s="277"/>
      <c r="FE34" s="277"/>
      <c r="FF34" s="277"/>
      <c r="FG34" s="277"/>
      <c r="FH34" s="277"/>
      <c r="FI34" s="277"/>
      <c r="FJ34" s="277"/>
      <c r="FK34" s="277"/>
      <c r="FL34" s="277"/>
      <c r="FM34" s="277"/>
      <c r="FN34" s="277"/>
      <c r="FO34" s="277"/>
      <c r="FP34" s="277"/>
      <c r="FQ34" s="277"/>
      <c r="FR34" s="277"/>
      <c r="FS34" s="277"/>
      <c r="FT34" s="277"/>
      <c r="FU34" s="4"/>
      <c r="FV34" s="4"/>
      <c r="FW34" s="4"/>
      <c r="FX34" s="277"/>
      <c r="FY34" s="277"/>
      <c r="FZ34" s="277"/>
      <c r="GA34" s="277"/>
      <c r="GB34" s="277"/>
      <c r="GC34" s="277"/>
      <c r="GD34" s="277"/>
      <c r="GE34" s="277"/>
      <c r="GF34" s="277"/>
      <c r="GG34" s="277"/>
      <c r="GH34" s="277"/>
      <c r="GI34" s="277"/>
      <c r="GJ34" s="277"/>
      <c r="GK34" s="277"/>
      <c r="GL34" s="277"/>
      <c r="GM34" s="277"/>
      <c r="GN34" s="277"/>
      <c r="GO34" s="277"/>
      <c r="GP34" s="277"/>
      <c r="GQ34" s="277"/>
      <c r="GR34" s="277"/>
      <c r="GS34" s="277"/>
      <c r="GT34" s="277"/>
      <c r="GU34" s="277"/>
      <c r="GV34" s="277"/>
      <c r="GW34" s="277"/>
      <c r="GX34" s="4"/>
      <c r="GY34" s="4"/>
      <c r="GZ34" s="4"/>
      <c r="HA34" s="4"/>
      <c r="HB34" s="273"/>
      <c r="HC34" s="4"/>
      <c r="HD34" s="277"/>
      <c r="HE34" s="278" t="s">
        <v>74</v>
      </c>
      <c r="HF34" s="279"/>
      <c r="HG34" s="280">
        <f>SUM(HD33:IA33)/16</f>
      </c>
      <c r="HH34" s="279"/>
      <c r="HI34" s="277"/>
      <c r="HJ34" s="277"/>
      <c r="HK34" s="277"/>
      <c r="HL34" s="277"/>
      <c r="HM34" s="277"/>
      <c r="HN34" s="277"/>
      <c r="HO34" s="277"/>
      <c r="HP34" s="277"/>
      <c r="HQ34" s="277"/>
      <c r="HR34" s="277"/>
      <c r="HS34" s="277"/>
      <c r="HT34" s="277"/>
      <c r="HU34" s="277"/>
      <c r="HV34" s="277"/>
      <c r="HW34" s="277"/>
      <c r="HX34" s="277"/>
      <c r="HY34" s="277"/>
      <c r="HZ34" s="277"/>
      <c r="IA34" s="277"/>
      <c r="IB34" s="277"/>
      <c r="IC34" s="277"/>
      <c r="ID34" s="4"/>
      <c r="IE34" s="4"/>
      <c r="IF34" s="4"/>
      <c r="IG34" s="277"/>
      <c r="IH34" s="278" t="s">
        <v>74</v>
      </c>
      <c r="II34" s="279"/>
      <c r="IJ34" s="280">
        <f>SUM(IG33:JD33)/16</f>
      </c>
      <c r="IK34" s="279"/>
      <c r="IL34" s="277"/>
      <c r="IM34" s="277"/>
      <c r="IN34" s="277"/>
      <c r="IO34" s="277"/>
      <c r="IP34" s="277"/>
      <c r="IQ34" s="277"/>
      <c r="IR34" s="277"/>
      <c r="IS34" s="277"/>
      <c r="IT34" s="277"/>
      <c r="IU34" s="277"/>
      <c r="IV34" s="277"/>
      <c r="IW34" s="277"/>
      <c r="IX34" s="277"/>
      <c r="IY34" s="277"/>
      <c r="IZ34" s="277"/>
      <c r="JA34" s="277"/>
      <c r="JB34" s="277"/>
      <c r="JC34" s="277"/>
      <c r="JD34" s="277"/>
      <c r="JE34" s="277"/>
      <c r="JF34" s="277"/>
      <c r="JG34" s="4"/>
      <c r="JH34" s="4"/>
      <c r="JI34" s="4"/>
      <c r="JJ34" s="277"/>
      <c r="JK34" s="278" t="s">
        <v>74</v>
      </c>
      <c r="JL34" s="279"/>
      <c r="JM34" s="280">
        <f>SUM(JJ33:KG33)/16</f>
      </c>
      <c r="JN34" s="279"/>
      <c r="JO34" s="277"/>
      <c r="JP34" s="277"/>
      <c r="JQ34" s="277"/>
      <c r="JR34" s="277"/>
      <c r="JS34" s="277"/>
      <c r="JT34" s="277"/>
      <c r="JU34" s="277"/>
      <c r="JV34" s="277"/>
      <c r="JW34" s="277"/>
      <c r="JX34" s="277"/>
      <c r="JY34" s="277"/>
      <c r="JZ34" s="277"/>
      <c r="KA34" s="277"/>
      <c r="KB34" s="277"/>
      <c r="KC34" s="277"/>
      <c r="KD34" s="277"/>
      <c r="KE34" s="277"/>
      <c r="KF34" s="277"/>
      <c r="KG34" s="277"/>
      <c r="KH34" s="277"/>
      <c r="KI34" s="277"/>
      <c r="KJ34" s="277"/>
      <c r="KK34" s="277"/>
      <c r="KL34" s="4"/>
      <c r="KM34" s="277"/>
      <c r="KN34" s="278" t="s">
        <v>74</v>
      </c>
      <c r="KO34" s="279"/>
      <c r="KP34" s="280">
        <f>SUM(KM33:LJ33)/16</f>
      </c>
      <c r="KQ34" s="279"/>
      <c r="KR34" s="277"/>
      <c r="KS34" s="277"/>
      <c r="KT34" s="277"/>
      <c r="KU34" s="277"/>
      <c r="KV34" s="277"/>
      <c r="KW34" s="277"/>
      <c r="KX34" s="277"/>
      <c r="KY34" s="277"/>
      <c r="KZ34" s="277"/>
      <c r="LA34" s="277"/>
      <c r="LB34" s="277"/>
      <c r="LC34" s="277"/>
      <c r="LD34" s="277"/>
      <c r="LE34" s="277"/>
      <c r="LF34" s="277"/>
      <c r="LG34" s="277"/>
      <c r="LH34" s="277"/>
      <c r="LI34" s="277"/>
      <c r="LJ34" s="277"/>
      <c r="LK34" s="277"/>
      <c r="LL34" s="277"/>
      <c r="LM34" s="4"/>
      <c r="LN34" s="4"/>
      <c r="LO34" s="4"/>
      <c r="LP34" s="277"/>
      <c r="LQ34" s="278" t="s">
        <v>74</v>
      </c>
      <c r="LR34" s="279"/>
      <c r="LS34" s="280">
        <f>SUM(LP33:MM33)/16</f>
      </c>
      <c r="LT34" s="279"/>
      <c r="LU34" s="277"/>
      <c r="LV34" s="277"/>
      <c r="LW34" s="277"/>
      <c r="LX34" s="277"/>
      <c r="LY34" s="277"/>
      <c r="LZ34" s="277"/>
      <c r="MA34" s="277"/>
      <c r="MB34" s="277"/>
      <c r="MC34" s="277"/>
      <c r="MD34" s="277"/>
      <c r="ME34" s="277"/>
      <c r="MF34" s="277"/>
      <c r="MG34" s="277"/>
      <c r="MH34" s="277"/>
      <c r="MI34" s="277"/>
      <c r="MJ34" s="277"/>
      <c r="MK34" s="277"/>
      <c r="ML34" s="277"/>
      <c r="MM34" s="277"/>
      <c r="MN34" s="277"/>
      <c r="MO34" s="277"/>
      <c r="MP34" s="4"/>
      <c r="MQ34" s="4"/>
      <c r="MR34" s="4"/>
      <c r="MS34" s="277"/>
      <c r="MT34" s="277"/>
      <c r="MU34" s="277"/>
      <c r="MV34" s="277"/>
      <c r="MW34" s="277"/>
      <c r="MX34" s="277"/>
      <c r="MY34" s="277"/>
      <c r="MZ34" s="277"/>
      <c r="NA34" s="277"/>
      <c r="NB34" s="277"/>
      <c r="NC34" s="277"/>
      <c r="ND34" s="277"/>
      <c r="NE34" s="277"/>
      <c r="NF34" s="277"/>
      <c r="NG34" s="277"/>
      <c r="NH34" s="277"/>
      <c r="NI34" s="277"/>
      <c r="NJ34" s="277"/>
      <c r="NK34" s="277"/>
      <c r="NL34" s="277"/>
      <c r="NM34" s="277"/>
      <c r="NN34" s="277"/>
      <c r="NO34" s="277"/>
      <c r="NP34" s="277"/>
      <c r="NQ34" s="277"/>
      <c r="NR34" s="277"/>
      <c r="NS34" s="4"/>
      <c r="NT34" s="4"/>
      <c r="NU34" s="4"/>
      <c r="NV34" s="277"/>
      <c r="NW34" s="277"/>
      <c r="NX34" s="277"/>
      <c r="NY34" s="277"/>
      <c r="NZ34" s="277"/>
      <c r="OA34" s="277"/>
      <c r="OB34" s="277"/>
      <c r="OC34" s="277"/>
      <c r="OD34" s="277"/>
      <c r="OE34" s="277"/>
      <c r="OF34" s="277"/>
      <c r="OG34" s="277"/>
      <c r="OH34" s="277"/>
      <c r="OI34" s="277"/>
      <c r="OJ34" s="277"/>
      <c r="OK34" s="277"/>
      <c r="OL34" s="277"/>
      <c r="OM34" s="277"/>
      <c r="ON34" s="277"/>
      <c r="OO34" s="277"/>
      <c r="OP34" s="277"/>
      <c r="OQ34" s="277"/>
      <c r="OR34" s="277"/>
      <c r="OS34" s="277"/>
      <c r="OT34" s="277"/>
      <c r="OU34" s="277"/>
      <c r="OV34" s="4"/>
      <c r="OW34" s="4"/>
      <c r="OX34" s="4"/>
      <c r="OY34" s="4"/>
      <c r="OZ34" s="274"/>
      <c r="PA34" s="4"/>
      <c r="PB34" s="277"/>
      <c r="PC34" s="278" t="s">
        <v>74</v>
      </c>
      <c r="PD34" s="279"/>
      <c r="PE34" s="280">
        <f>SUM(PB33:PY33)/16</f>
      </c>
      <c r="PF34" s="279"/>
      <c r="PG34" s="277"/>
      <c r="PH34" s="277"/>
      <c r="PI34" s="277"/>
      <c r="PJ34" s="277"/>
      <c r="PK34" s="277"/>
      <c r="PL34" s="277"/>
      <c r="PM34" s="277"/>
      <c r="PN34" s="277"/>
      <c r="PO34" s="277"/>
      <c r="PP34" s="277"/>
      <c r="PQ34" s="277"/>
      <c r="PR34" s="277"/>
      <c r="PS34" s="277"/>
      <c r="PT34" s="277"/>
      <c r="PU34" s="277"/>
      <c r="PV34" s="277"/>
      <c r="PW34" s="277"/>
      <c r="PX34" s="277"/>
      <c r="PY34" s="277"/>
      <c r="PZ34" s="277"/>
      <c r="QA34" s="277"/>
      <c r="QB34" s="4"/>
      <c r="QC34" s="4"/>
      <c r="QD34" s="4"/>
      <c r="QE34" s="277"/>
      <c r="QF34" s="278" t="s">
        <v>74</v>
      </c>
      <c r="QG34" s="279"/>
      <c r="QH34" s="280">
        <f>SUM(QE33:RB33)/16</f>
      </c>
      <c r="QI34" s="279"/>
      <c r="QJ34" s="277"/>
      <c r="QK34" s="277"/>
      <c r="QL34" s="277"/>
      <c r="QM34" s="277"/>
      <c r="QN34" s="277"/>
      <c r="QO34" s="277"/>
      <c r="QP34" s="277"/>
      <c r="QQ34" s="277"/>
      <c r="QR34" s="277"/>
      <c r="QS34" s="277"/>
      <c r="QT34" s="277"/>
      <c r="QU34" s="277"/>
      <c r="QV34" s="277"/>
      <c r="QW34" s="277"/>
      <c r="QX34" s="277"/>
      <c r="QY34" s="277"/>
      <c r="QZ34" s="277"/>
      <c r="RA34" s="277"/>
      <c r="RB34" s="277"/>
      <c r="RC34" s="277"/>
      <c r="RD34" s="277"/>
      <c r="RE34" s="4"/>
      <c r="RF34" s="4"/>
      <c r="RG34" s="4"/>
      <c r="RH34" s="277"/>
      <c r="RI34" s="278" t="s">
        <v>74</v>
      </c>
      <c r="RJ34" s="279"/>
      <c r="RK34" s="280">
        <f>SUM(RH33:SE33)/16</f>
      </c>
      <c r="RL34" s="279"/>
      <c r="RM34" s="277"/>
      <c r="RN34" s="277"/>
      <c r="RO34" s="277"/>
      <c r="RP34" s="277"/>
      <c r="RQ34" s="277"/>
      <c r="RR34" s="277"/>
      <c r="RS34" s="277"/>
      <c r="RT34" s="277"/>
      <c r="RU34" s="277"/>
      <c r="RV34" s="277"/>
      <c r="RW34" s="277"/>
      <c r="RX34" s="277"/>
      <c r="RY34" s="277"/>
      <c r="RZ34" s="277"/>
      <c r="SA34" s="277"/>
      <c r="SB34" s="277"/>
      <c r="SC34" s="277"/>
      <c r="SD34" s="277"/>
      <c r="SE34" s="277"/>
      <c r="SF34" s="277"/>
      <c r="SG34" s="277"/>
      <c r="SH34" s="4"/>
      <c r="SI34" s="4"/>
      <c r="SJ34" s="4"/>
      <c r="SK34" s="277"/>
      <c r="SL34" s="278" t="s">
        <v>74</v>
      </c>
      <c r="SM34" s="279"/>
      <c r="SN34" s="280">
        <f>SUM(SK33:TH33)/16</f>
      </c>
      <c r="SO34" s="279"/>
      <c r="SP34" s="277"/>
      <c r="SQ34" s="277"/>
      <c r="SR34" s="277"/>
      <c r="SS34" s="277"/>
      <c r="ST34" s="277"/>
      <c r="SU34" s="277"/>
      <c r="SV34" s="277"/>
      <c r="SW34" s="277"/>
      <c r="SX34" s="277"/>
      <c r="SY34" s="277"/>
      <c r="SZ34" s="277"/>
      <c r="TA34" s="277"/>
      <c r="TB34" s="277"/>
      <c r="TC34" s="277"/>
      <c r="TD34" s="277"/>
      <c r="TE34" s="277"/>
      <c r="TF34" s="277"/>
      <c r="TG34" s="277"/>
      <c r="TH34" s="277"/>
      <c r="TI34" s="277"/>
      <c r="TJ34" s="277"/>
      <c r="TK34" s="4"/>
      <c r="TL34" s="4"/>
      <c r="TM34" s="4"/>
      <c r="TN34" s="277"/>
      <c r="TO34" s="278" t="s">
        <v>74</v>
      </c>
      <c r="TP34" s="279"/>
      <c r="TQ34" s="280">
        <f>SUM(TN33:UK33)/16</f>
      </c>
      <c r="TR34" s="279"/>
      <c r="TS34" s="277"/>
      <c r="TT34" s="277"/>
      <c r="TU34" s="277"/>
      <c r="TV34" s="277"/>
      <c r="TW34" s="277"/>
      <c r="TX34" s="277"/>
      <c r="TY34" s="277"/>
      <c r="TZ34" s="277"/>
      <c r="UA34" s="277"/>
      <c r="UB34" s="277"/>
      <c r="UC34" s="277"/>
      <c r="UD34" s="277"/>
      <c r="UE34" s="277"/>
      <c r="UF34" s="277"/>
      <c r="UG34" s="277"/>
      <c r="UH34" s="277"/>
      <c r="UI34" s="277"/>
      <c r="UJ34" s="277"/>
      <c r="UK34" s="277"/>
      <c r="UL34" s="277"/>
      <c r="UM34" s="277"/>
      <c r="UN34" s="4"/>
      <c r="UO34" s="4"/>
      <c r="UP34" s="4"/>
      <c r="UQ34" s="277"/>
      <c r="UR34" s="277"/>
      <c r="US34" s="277"/>
      <c r="UT34" s="277"/>
      <c r="UU34" s="277"/>
      <c r="UV34" s="277"/>
      <c r="UW34" s="277"/>
      <c r="UX34" s="277"/>
      <c r="UY34" s="277"/>
      <c r="UZ34" s="277"/>
      <c r="VA34" s="277"/>
      <c r="VB34" s="277"/>
      <c r="VC34" s="277"/>
      <c r="VD34" s="277"/>
      <c r="VE34" s="277"/>
      <c r="VF34" s="277"/>
      <c r="VG34" s="277"/>
      <c r="VH34" s="277"/>
      <c r="VI34" s="277"/>
      <c r="VJ34" s="277"/>
      <c r="VK34" s="277"/>
      <c r="VL34" s="277"/>
      <c r="VM34" s="277"/>
      <c r="VN34" s="277"/>
      <c r="VO34" s="277"/>
      <c r="VP34" s="277"/>
      <c r="VQ34" s="4"/>
      <c r="VR34" s="4"/>
      <c r="VS34" s="4"/>
      <c r="VT34" s="277"/>
      <c r="VU34" s="277"/>
      <c r="VV34" s="277"/>
      <c r="VW34" s="277"/>
      <c r="VX34" s="277"/>
      <c r="VY34" s="277"/>
      <c r="VZ34" s="277"/>
      <c r="WA34" s="277"/>
      <c r="WB34" s="277"/>
      <c r="WC34" s="277"/>
      <c r="WD34" s="277"/>
      <c r="WE34" s="277"/>
      <c r="WF34" s="277"/>
      <c r="WG34" s="277"/>
      <c r="WH34" s="277"/>
      <c r="WI34" s="277"/>
      <c r="WJ34" s="277"/>
      <c r="WK34" s="277"/>
      <c r="WL34" s="277"/>
      <c r="WM34" s="277"/>
      <c r="WN34" s="277"/>
      <c r="WO34" s="277"/>
      <c r="WP34" s="277"/>
      <c r="WQ34" s="277"/>
      <c r="WR34" s="277"/>
      <c r="WS34" s="277"/>
      <c r="WT34" s="4"/>
      <c r="WU34" s="4"/>
      <c r="WV34" s="4"/>
      <c r="WW34" s="4"/>
      <c r="WX34" s="274"/>
      <c r="WY34" s="4"/>
      <c r="WZ34" s="277"/>
      <c r="XA34" s="278" t="s">
        <v>74</v>
      </c>
      <c r="XB34" s="279"/>
      <c r="XC34" s="280">
        <f>SUM(WZ33:XW33)/16</f>
      </c>
      <c r="XD34" s="279"/>
      <c r="XE34" s="277"/>
      <c r="XF34" s="277"/>
      <c r="XG34" s="277"/>
      <c r="XH34" s="277"/>
      <c r="XI34" s="277"/>
      <c r="XJ34" s="277"/>
      <c r="XK34" s="277"/>
      <c r="XL34" s="277"/>
      <c r="XM34" s="277"/>
      <c r="XN34" s="277"/>
      <c r="XO34" s="277"/>
      <c r="XP34" s="277"/>
      <c r="XQ34" s="277"/>
      <c r="XR34" s="277"/>
      <c r="XS34" s="277"/>
      <c r="XT34" s="277"/>
      <c r="XU34" s="277"/>
      <c r="XV34" s="277"/>
      <c r="XW34" s="277"/>
      <c r="XX34" s="277"/>
      <c r="XY34" s="277"/>
      <c r="XZ34" s="4"/>
      <c r="YA34" s="4"/>
      <c r="YB34" s="4"/>
      <c r="YC34" s="277"/>
      <c r="YD34" s="278" t="s">
        <v>74</v>
      </c>
      <c r="YE34" s="279"/>
      <c r="YF34" s="280">
        <f>SUM(YC33:YZ33)/16</f>
      </c>
      <c r="YG34" s="279"/>
      <c r="YH34" s="277"/>
      <c r="YI34" s="277"/>
      <c r="YJ34" s="277"/>
      <c r="YK34" s="277"/>
      <c r="YL34" s="277"/>
      <c r="YM34" s="277"/>
      <c r="YN34" s="277"/>
      <c r="YO34" s="277"/>
      <c r="YP34" s="277"/>
      <c r="YQ34" s="277"/>
      <c r="YR34" s="277"/>
      <c r="YS34" s="277"/>
      <c r="YT34" s="277"/>
      <c r="YU34" s="277"/>
      <c r="YV34" s="277"/>
      <c r="YW34" s="277"/>
      <c r="YX34" s="277"/>
      <c r="YY34" s="277"/>
      <c r="YZ34" s="277"/>
      <c r="ZA34" s="277"/>
      <c r="ZB34" s="277"/>
      <c r="ZC34" s="4"/>
      <c r="ZD34" s="4"/>
      <c r="ZE34" s="4"/>
      <c r="ZF34" s="277"/>
      <c r="ZG34" s="278" t="s">
        <v>74</v>
      </c>
      <c r="ZH34" s="279"/>
      <c r="ZI34" s="280">
        <f>SUM(ZF33:AAC33)/16</f>
      </c>
      <c r="ZJ34" s="279"/>
      <c r="ZK34" s="277"/>
      <c r="ZL34" s="277"/>
      <c r="ZM34" s="277"/>
      <c r="ZN34" s="277"/>
      <c r="ZO34" s="277"/>
      <c r="ZP34" s="277"/>
      <c r="ZQ34" s="277"/>
      <c r="ZR34" s="277"/>
      <c r="ZS34" s="277"/>
      <c r="ZT34" s="277"/>
      <c r="ZU34" s="277"/>
      <c r="ZV34" s="277"/>
      <c r="ZW34" s="277"/>
      <c r="ZX34" s="277"/>
      <c r="ZY34" s="277"/>
      <c r="ZZ34" s="277"/>
      <c r="AAA34" s="277"/>
      <c r="AAB34" s="277"/>
      <c r="AAC34" s="277"/>
      <c r="AAD34" s="277"/>
      <c r="AAE34" s="277"/>
      <c r="AAF34" s="4"/>
      <c r="AAG34" s="4"/>
      <c r="AAH34" s="4"/>
      <c r="AAI34" s="277"/>
      <c r="AAJ34" s="278" t="s">
        <v>74</v>
      </c>
      <c r="AAK34" s="279"/>
      <c r="AAL34" s="280">
        <f>SUM(AAI33:ABF33)/16</f>
      </c>
      <c r="AAM34" s="279"/>
      <c r="AAN34" s="277"/>
      <c r="AAO34" s="277"/>
      <c r="AAP34" s="277"/>
      <c r="AAQ34" s="277"/>
      <c r="AAR34" s="277"/>
      <c r="AAS34" s="277"/>
      <c r="AAT34" s="277"/>
      <c r="AAU34" s="277"/>
      <c r="AAV34" s="277"/>
      <c r="AAW34" s="277"/>
      <c r="AAX34" s="277"/>
      <c r="AAY34" s="277"/>
      <c r="AAZ34" s="277"/>
      <c r="ABA34" s="277"/>
      <c r="ABB34" s="277"/>
      <c r="ABC34" s="277"/>
      <c r="ABD34" s="277"/>
      <c r="ABE34" s="277"/>
      <c r="ABF34" s="277"/>
      <c r="ABG34" s="277"/>
      <c r="ABH34" s="277"/>
      <c r="ABI34" s="4"/>
      <c r="ABJ34" s="4"/>
      <c r="ABK34" s="4"/>
      <c r="ABL34" s="277"/>
      <c r="ABM34" s="278" t="s">
        <v>74</v>
      </c>
      <c r="ABN34" s="279"/>
      <c r="ABO34" s="280">
        <f>SUM(ABL33:ACI33)/16</f>
      </c>
      <c r="ABP34" s="279"/>
      <c r="ABQ34" s="277"/>
      <c r="ABR34" s="277"/>
      <c r="ABS34" s="277"/>
      <c r="ABT34" s="277"/>
      <c r="ABU34" s="277"/>
      <c r="ABV34" s="277"/>
      <c r="ABW34" s="277"/>
      <c r="ABX34" s="277"/>
      <c r="ABY34" s="277"/>
      <c r="ABZ34" s="277"/>
      <c r="ACA34" s="277"/>
      <c r="ACB34" s="277"/>
      <c r="ACC34" s="277"/>
      <c r="ACD34" s="277"/>
      <c r="ACE34" s="277"/>
      <c r="ACF34" s="277"/>
      <c r="ACG34" s="277"/>
      <c r="ACH34" s="277"/>
      <c r="ACI34" s="277"/>
      <c r="ACJ34" s="277"/>
      <c r="ACK34" s="277"/>
      <c r="ACL34" s="4"/>
      <c r="ACM34" s="4"/>
      <c r="ACN34" s="4"/>
      <c r="ACO34" s="277"/>
      <c r="ACP34" s="277"/>
      <c r="ACQ34" s="277"/>
      <c r="ACR34" s="277"/>
      <c r="ACS34" s="277"/>
      <c r="ACT34" s="277"/>
      <c r="ACU34" s="277"/>
      <c r="ACV34" s="277"/>
      <c r="ACW34" s="277"/>
      <c r="ACX34" s="277"/>
      <c r="ACY34" s="277"/>
      <c r="ACZ34" s="277"/>
      <c r="ADA34" s="277"/>
      <c r="ADB34" s="277"/>
      <c r="ADC34" s="277"/>
      <c r="ADD34" s="277"/>
      <c r="ADE34" s="277"/>
      <c r="ADF34" s="277"/>
      <c r="ADG34" s="277"/>
      <c r="ADH34" s="277"/>
      <c r="ADI34" s="277"/>
      <c r="ADJ34" s="277"/>
      <c r="ADK34" s="277"/>
      <c r="ADL34" s="277"/>
      <c r="ADM34" s="277"/>
      <c r="ADN34" s="277"/>
      <c r="ADO34" s="4"/>
      <c r="ADP34" s="4"/>
      <c r="ADQ34" s="4"/>
      <c r="ADR34" s="277"/>
      <c r="ADS34" s="277"/>
      <c r="ADT34" s="277"/>
      <c r="ADU34" s="277"/>
      <c r="ADV34" s="277"/>
      <c r="ADW34" s="277"/>
      <c r="ADX34" s="277"/>
      <c r="ADY34" s="277"/>
      <c r="ADZ34" s="277"/>
      <c r="AEA34" s="277"/>
      <c r="AEB34" s="277"/>
      <c r="AEC34" s="277"/>
      <c r="AED34" s="277"/>
      <c r="AEE34" s="277"/>
      <c r="AEF34" s="277"/>
      <c r="AEG34" s="277"/>
      <c r="AEH34" s="277"/>
      <c r="AEI34" s="277"/>
      <c r="AEJ34" s="277"/>
      <c r="AEK34" s="277"/>
      <c r="AEL34" s="277"/>
      <c r="AEM34" s="277"/>
      <c r="AEN34" s="277"/>
      <c r="AEO34" s="277"/>
      <c r="AEP34" s="277"/>
      <c r="AEQ34" s="277"/>
      <c r="AER34" s="4"/>
      <c r="AES34" s="4"/>
      <c r="AET34" s="4"/>
      <c r="AEU34" s="4"/>
      <c r="AEV34" s="274"/>
      <c r="AEW34" s="4"/>
      <c r="AEX34" s="277"/>
      <c r="AEY34" s="278" t="s">
        <v>74</v>
      </c>
      <c r="AEZ34" s="279"/>
      <c r="AFA34" s="280">
        <f>SUM(AEX33:AFU33)/16</f>
      </c>
      <c r="AFB34" s="279"/>
      <c r="AFC34" s="279"/>
      <c r="AFD34" s="277"/>
      <c r="AFE34" s="277"/>
      <c r="AFF34" s="277"/>
      <c r="AFG34" s="277"/>
      <c r="AFH34" s="277"/>
      <c r="AFI34" s="277"/>
      <c r="AFJ34" s="277"/>
      <c r="AFK34" s="277"/>
      <c r="AFL34" s="277"/>
      <c r="AFM34" s="277"/>
      <c r="AFN34" s="277"/>
      <c r="AFO34" s="277"/>
      <c r="AFP34" s="277"/>
      <c r="AFQ34" s="277"/>
      <c r="AFR34" s="277"/>
      <c r="AFS34" s="277"/>
      <c r="AFT34" s="277"/>
      <c r="AFU34" s="277"/>
      <c r="AFV34" s="277"/>
      <c r="AFW34" s="277"/>
      <c r="AFX34" s="4"/>
      <c r="AFY34" s="4"/>
      <c r="AFZ34" s="4"/>
      <c r="AGA34" s="277"/>
      <c r="AGB34" s="278" t="s">
        <v>74</v>
      </c>
      <c r="AGC34" s="279"/>
      <c r="AGD34" s="280">
        <f>SUM(AGA33:AGX33)/16</f>
      </c>
      <c r="AGE34" s="279"/>
      <c r="AGF34" s="279"/>
      <c r="AGG34" s="277"/>
      <c r="AGH34" s="277"/>
      <c r="AGI34" s="277"/>
      <c r="AGJ34" s="277"/>
      <c r="AGK34" s="277"/>
      <c r="AGL34" s="277"/>
      <c r="AGM34" s="277"/>
      <c r="AGN34" s="277"/>
      <c r="AGO34" s="277"/>
      <c r="AGP34" s="277"/>
      <c r="AGQ34" s="277"/>
      <c r="AGR34" s="277"/>
      <c r="AGS34" s="277"/>
      <c r="AGT34" s="277"/>
      <c r="AGU34" s="277"/>
      <c r="AGV34" s="277"/>
      <c r="AGW34" s="277"/>
      <c r="AGX34" s="277"/>
      <c r="AGY34" s="277"/>
      <c r="AGZ34" s="277"/>
      <c r="AHA34" s="4"/>
      <c r="AHB34" s="4"/>
      <c r="AHC34" s="4"/>
      <c r="AHD34" s="277"/>
      <c r="AHE34" s="278" t="s">
        <v>74</v>
      </c>
      <c r="AHF34" s="279"/>
      <c r="AHG34" s="280">
        <f>SUM(AHD33:AIA33)/16</f>
      </c>
      <c r="AHH34" s="279"/>
      <c r="AHI34" s="277"/>
      <c r="AHJ34" s="277"/>
      <c r="AHK34" s="277"/>
      <c r="AHL34" s="277"/>
      <c r="AHM34" s="277"/>
      <c r="AHN34" s="277"/>
      <c r="AHO34" s="277"/>
      <c r="AHP34" s="277"/>
      <c r="AHQ34" s="277"/>
      <c r="AHR34" s="277"/>
      <c r="AHS34" s="277"/>
      <c r="AHT34" s="277"/>
      <c r="AHU34" s="277"/>
      <c r="AHV34" s="277"/>
      <c r="AHW34" s="277"/>
      <c r="AHX34" s="277"/>
      <c r="AHY34" s="277"/>
      <c r="AHZ34" s="277"/>
      <c r="AIA34" s="277"/>
      <c r="AIB34" s="277"/>
      <c r="AIC34" s="277"/>
      <c r="AID34" s="4"/>
      <c r="AIE34" s="4"/>
      <c r="AIF34" s="4"/>
      <c r="AIG34" s="277"/>
      <c r="AIH34" s="278" t="s">
        <v>74</v>
      </c>
      <c r="AII34" s="279"/>
      <c r="AIJ34" s="280">
        <f>SUM(AIG33:AJD33)/16</f>
      </c>
      <c r="AIK34" s="279"/>
      <c r="AIL34" s="277"/>
      <c r="AIM34" s="277"/>
      <c r="AIN34" s="277"/>
      <c r="AIO34" s="277"/>
      <c r="AIP34" s="277"/>
      <c r="AIQ34" s="277"/>
      <c r="AIR34" s="277"/>
      <c r="AIS34" s="277"/>
      <c r="AIT34" s="277"/>
      <c r="AIU34" s="277"/>
      <c r="AIV34" s="277"/>
      <c r="AIW34" s="277"/>
      <c r="AIX34" s="277"/>
      <c r="AIY34" s="277"/>
      <c r="AIZ34" s="277"/>
      <c r="AJA34" s="277"/>
      <c r="AJB34" s="277"/>
      <c r="AJC34" s="277"/>
      <c r="AJD34" s="277"/>
      <c r="AJE34" s="277"/>
      <c r="AJF34" s="277"/>
      <c r="AJG34" s="4"/>
      <c r="AJH34" s="4"/>
      <c r="AJI34" s="4"/>
      <c r="AJJ34" s="277"/>
      <c r="AJK34" s="278" t="s">
        <v>74</v>
      </c>
      <c r="AJL34" s="279"/>
      <c r="AJM34" s="280">
        <f>SUM(AJJ33:AKG33)/16</f>
      </c>
      <c r="AJN34" s="279"/>
      <c r="AJO34" s="277"/>
      <c r="AJP34" s="277"/>
      <c r="AJQ34" s="277"/>
      <c r="AJR34" s="277"/>
      <c r="AJS34" s="277"/>
      <c r="AJT34" s="277"/>
      <c r="AJU34" s="277"/>
      <c r="AJV34" s="277"/>
      <c r="AJW34" s="277"/>
      <c r="AJX34" s="277"/>
      <c r="AJY34" s="277"/>
      <c r="AJZ34" s="277"/>
      <c r="AKA34" s="277"/>
      <c r="AKB34" s="277"/>
      <c r="AKC34" s="277"/>
      <c r="AKD34" s="277"/>
      <c r="AKE34" s="277"/>
      <c r="AKF34" s="277"/>
      <c r="AKG34" s="277"/>
      <c r="AKH34" s="277"/>
      <c r="AKI34" s="277"/>
      <c r="AKJ34" s="4"/>
      <c r="AKK34" s="4"/>
      <c r="AKL34" s="4"/>
      <c r="AKM34" s="277"/>
      <c r="AKN34" s="277"/>
      <c r="AKO34" s="277"/>
      <c r="AKP34" s="277"/>
      <c r="AKQ34" s="277"/>
      <c r="AKR34" s="277"/>
      <c r="AKS34" s="277"/>
      <c r="AKT34" s="277"/>
      <c r="AKU34" s="277"/>
      <c r="AKV34" s="277"/>
      <c r="AKW34" s="277"/>
      <c r="AKX34" s="277"/>
      <c r="AKY34" s="277"/>
      <c r="AKZ34" s="277"/>
      <c r="ALA34" s="277"/>
      <c r="ALB34" s="277"/>
      <c r="ALC34" s="277"/>
      <c r="ALD34" s="277"/>
      <c r="ALE34" s="277"/>
      <c r="ALF34" s="277"/>
      <c r="ALG34" s="277"/>
      <c r="ALH34" s="277"/>
      <c r="ALI34" s="277"/>
      <c r="ALJ34" s="277"/>
      <c r="ALK34" s="277"/>
      <c r="ALL34" s="277"/>
      <c r="ALM34" s="4"/>
      <c r="ALN34" s="4"/>
      <c r="ALO34" s="4"/>
      <c r="ALP34" s="277"/>
      <c r="ALQ34" s="277"/>
      <c r="ALR34" s="277"/>
      <c r="ALS34" s="277"/>
      <c r="ALT34" s="277"/>
      <c r="ALU34" s="277"/>
      <c r="ALV34" s="277"/>
      <c r="ALW34" s="277"/>
      <c r="ALX34" s="277"/>
      <c r="ALY34" s="277"/>
      <c r="ALZ34" s="277"/>
      <c r="AMA34" s="277"/>
      <c r="AMB34" s="277"/>
      <c r="AMC34" s="277"/>
      <c r="AMD34" s="277"/>
      <c r="AME34" s="277"/>
      <c r="AMF34" s="277"/>
      <c r="AMG34" s="277"/>
      <c r="AMH34" s="277"/>
      <c r="AMI34" s="277"/>
      <c r="AMJ34" s="277"/>
      <c r="AMK34" s="277"/>
      <c r="AML34" s="277"/>
      <c r="AMM34" s="277"/>
      <c r="AMN34" s="277"/>
      <c r="AMO34" s="277"/>
      <c r="AMP34" s="4"/>
      <c r="AMQ34" s="4"/>
      <c r="AMR34" s="4"/>
      <c r="AMS34" s="4"/>
      <c r="AMT34" s="4"/>
      <c r="AMU34" s="4"/>
      <c r="AMV34" s="4"/>
      <c r="AMW34" s="4"/>
      <c r="AMX34" s="4"/>
      <c r="AMY34" s="4"/>
      <c r="AMZ34" s="4"/>
      <c r="ANA34" s="4"/>
      <c r="ANB34" s="4"/>
      <c r="ANC34" s="4"/>
      <c r="AND34" s="4"/>
      <c r="ANE34" s="4"/>
      <c r="ANF34" s="4"/>
      <c r="ANG34" s="4"/>
      <c r="ANH34" s="4"/>
      <c r="ANI34" s="4"/>
      <c r="ANJ34" s="4"/>
      <c r="ANK34" s="4"/>
      <c r="ANL34" s="4"/>
      <c r="ANM34" s="4"/>
      <c r="ANN34" s="4"/>
      <c r="ANO34" s="4"/>
      <c r="ANP34" s="4"/>
      <c r="ANQ34" s="4"/>
      <c r="ANR34" s="4"/>
      <c r="ANS34" s="4"/>
      <c r="ANT34" s="4"/>
      <c r="ANU34" s="4"/>
      <c r="ANV34" s="4"/>
      <c r="ANW34" s="4"/>
      <c r="ANX34" s="4"/>
      <c r="ANY34" s="4"/>
      <c r="ANZ34" s="4"/>
      <c r="AOA34" s="4"/>
      <c r="AOB34" s="4"/>
      <c r="AOC34" s="4"/>
      <c r="AOD34" s="4"/>
      <c r="AOE34" s="4"/>
      <c r="AOF34" s="4"/>
      <c r="AOG34" s="4"/>
      <c r="AOH34" s="4"/>
      <c r="AOI34" s="4"/>
      <c r="AOJ34" s="4"/>
      <c r="AOK34" s="4"/>
      <c r="AOL34" s="4"/>
      <c r="AOM34" s="4"/>
      <c r="AON34" s="4"/>
      <c r="AOO34" s="4"/>
      <c r="AOP34" s="4"/>
      <c r="AOQ34" s="4"/>
      <c r="AOR34" s="4"/>
      <c r="AOS34" s="4"/>
      <c r="AOT34" s="4"/>
      <c r="AOU34" s="4"/>
      <c r="AOV34" s="4"/>
      <c r="AOW34" s="4"/>
      <c r="AOX34" s="4"/>
      <c r="AOY34" s="4"/>
      <c r="AOZ34" s="4"/>
      <c r="APA34" s="4"/>
      <c r="APB34" s="4"/>
      <c r="APC34" s="4"/>
      <c r="APD34" s="4"/>
      <c r="APE34" s="4"/>
      <c r="APF34" s="4"/>
      <c r="APG34" s="4"/>
      <c r="APH34" s="4"/>
      <c r="API34" s="4"/>
      <c r="APJ34" s="4"/>
      <c r="APK34" s="4"/>
      <c r="APL34" s="4"/>
      <c r="APM34" s="4"/>
      <c r="APN34" s="4"/>
      <c r="APO34" s="4"/>
      <c r="APP34" s="4"/>
      <c r="APQ34" s="4"/>
      <c r="APR34" s="4"/>
      <c r="APS34" s="4"/>
      <c r="APT34" s="4"/>
      <c r="APU34" s="4"/>
      <c r="APV34" s="4"/>
      <c r="APW34" s="4"/>
      <c r="APX34" s="4"/>
      <c r="APY34" s="4"/>
      <c r="APZ34" s="4"/>
      <c r="AQA34" s="4"/>
      <c r="AQB34" s="4"/>
      <c r="AQC34" s="4"/>
      <c r="AQD34" s="4"/>
      <c r="AQE34" s="4"/>
      <c r="AQF34" s="4"/>
      <c r="AQG34" s="4"/>
      <c r="AQH34" s="4"/>
      <c r="AQI34" s="4"/>
      <c r="AQJ34" s="4"/>
      <c r="AQK34" s="4"/>
      <c r="AQL34" s="4"/>
      <c r="AQM34" s="4"/>
      <c r="AQN34" s="4"/>
      <c r="AQO34" s="4"/>
      <c r="AQP34" s="4"/>
      <c r="AQQ34" s="4"/>
      <c r="AQR34" s="4"/>
      <c r="AQS34" s="4"/>
      <c r="AQT34" s="4"/>
      <c r="AQU34" s="4"/>
      <c r="AQV34" s="4"/>
      <c r="AQW34" s="4"/>
      <c r="AQX34" s="4"/>
      <c r="AQY34" s="4"/>
      <c r="AQZ34" s="4"/>
      <c r="ARA34" s="4"/>
      <c r="ARB34" s="4"/>
      <c r="ARC34" s="4"/>
      <c r="ARD34" s="4"/>
      <c r="ARE34" s="4"/>
      <c r="ARF34" s="4"/>
      <c r="ARG34" s="4"/>
      <c r="ARH34" s="4"/>
      <c r="ARI34" s="4"/>
      <c r="ARJ34" s="4"/>
      <c r="ARK34" s="4"/>
      <c r="ARL34" s="4"/>
      <c r="ARM34" s="4"/>
      <c r="ARN34" s="4"/>
      <c r="ARO34" s="4"/>
      <c r="ARP34" s="4"/>
      <c r="ARQ34" s="4"/>
      <c r="ARR34" s="4"/>
      <c r="ARS34" s="4"/>
      <c r="ART34" s="4"/>
      <c r="ARU34" s="4"/>
      <c r="ARV34" s="4"/>
      <c r="ARW34" s="4"/>
      <c r="ARX34" s="4"/>
      <c r="ARY34" s="4"/>
      <c r="ARZ34" s="4"/>
      <c r="ASA34" s="4"/>
      <c r="ASB34" s="4"/>
      <c r="ASC34" s="4"/>
      <c r="ASD34" s="4"/>
      <c r="ASE34" s="4"/>
      <c r="ASF34" s="4"/>
      <c r="ASG34" s="4"/>
      <c r="ASH34" s="4"/>
      <c r="ASI34" s="4"/>
      <c r="ASJ34" s="4"/>
      <c r="ASK34" s="4"/>
      <c r="ASL34" s="4"/>
      <c r="ASM34" s="4"/>
      <c r="ASN34" s="4"/>
      <c r="ASO34" s="4"/>
      <c r="ASP34" s="4"/>
      <c r="ASQ34" s="4"/>
      <c r="ASR34" s="4"/>
      <c r="ASS34" s="4"/>
      <c r="AST34" s="4"/>
      <c r="ASU34" s="4"/>
    </row>
    <row r="35" ht="15.75" customHeight="1" spans="1:1191" x14ac:dyDescent="0.25">
      <c r="A35" s="277"/>
      <c r="B35" s="275"/>
      <c r="C35" s="276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7"/>
      <c r="O35" s="277"/>
      <c r="P35" s="277"/>
      <c r="Q35" s="277"/>
      <c r="R35" s="277"/>
      <c r="S35" s="277"/>
      <c r="T35" s="277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  <c r="CK35" s="277"/>
      <c r="CL35" s="277"/>
      <c r="CM35" s="277"/>
      <c r="CN35" s="277"/>
      <c r="CO35" s="277"/>
      <c r="CP35" s="277"/>
      <c r="CQ35" s="277"/>
      <c r="CR35" s="277"/>
      <c r="CS35" s="277"/>
      <c r="CT35" s="277"/>
      <c r="CU35" s="277"/>
      <c r="CV35" s="277"/>
      <c r="CW35" s="277"/>
      <c r="CX35" s="277"/>
      <c r="CY35" s="277"/>
      <c r="CZ35" s="277"/>
      <c r="DA35" s="277"/>
      <c r="DB35" s="277"/>
      <c r="DC35" s="277"/>
      <c r="DD35" s="277"/>
      <c r="DE35" s="277"/>
      <c r="DF35" s="277"/>
      <c r="DG35" s="277"/>
      <c r="DH35" s="277"/>
      <c r="DI35" s="277"/>
      <c r="DJ35" s="277"/>
      <c r="DK35" s="277"/>
      <c r="DL35" s="277"/>
      <c r="DM35" s="277"/>
      <c r="DN35" s="277"/>
      <c r="DO35" s="277"/>
      <c r="DP35" s="277"/>
      <c r="DQ35" s="277"/>
      <c r="DR35" s="277"/>
      <c r="DS35" s="277"/>
      <c r="DT35" s="277"/>
      <c r="DU35" s="277"/>
      <c r="DV35" s="277"/>
      <c r="DW35" s="277"/>
      <c r="DX35" s="277"/>
      <c r="DY35" s="277"/>
      <c r="DZ35" s="277"/>
      <c r="EA35" s="277"/>
      <c r="EB35" s="277"/>
      <c r="EC35" s="277"/>
      <c r="ED35" s="277"/>
      <c r="EE35" s="277"/>
      <c r="EF35" s="277"/>
      <c r="EG35" s="277"/>
      <c r="EH35" s="277"/>
      <c r="EI35" s="277"/>
      <c r="EJ35" s="277"/>
      <c r="EK35" s="277"/>
      <c r="EL35" s="277"/>
      <c r="EM35" s="277"/>
      <c r="EN35" s="277"/>
      <c r="EO35" s="277"/>
      <c r="EP35" s="277"/>
      <c r="EQ35" s="277"/>
      <c r="ER35" s="277"/>
      <c r="ES35" s="277"/>
      <c r="ET35" s="277"/>
      <c r="EU35" s="277"/>
      <c r="EV35" s="277"/>
      <c r="EW35" s="277"/>
      <c r="EX35" s="277"/>
      <c r="EY35" s="277"/>
      <c r="EZ35" s="277"/>
      <c r="FA35" s="277"/>
      <c r="FB35" s="277"/>
      <c r="FC35" s="277"/>
      <c r="FD35" s="277"/>
      <c r="FE35" s="277"/>
      <c r="FF35" s="277"/>
      <c r="FG35" s="277"/>
      <c r="FH35" s="277"/>
      <c r="FI35" s="277"/>
      <c r="FJ35" s="277"/>
      <c r="FK35" s="277"/>
      <c r="FL35" s="277"/>
      <c r="FM35" s="277"/>
      <c r="FN35" s="277"/>
      <c r="FO35" s="277"/>
      <c r="FP35" s="277"/>
      <c r="FQ35" s="277"/>
      <c r="FR35" s="277"/>
      <c r="FS35" s="277"/>
      <c r="FT35" s="277"/>
      <c r="FU35" s="277"/>
      <c r="FV35" s="277"/>
      <c r="FW35" s="277"/>
      <c r="FX35" s="277"/>
      <c r="FY35" s="277"/>
      <c r="FZ35" s="277"/>
      <c r="GA35" s="277"/>
      <c r="GB35" s="277"/>
      <c r="GC35" s="277"/>
      <c r="GD35" s="277"/>
      <c r="GE35" s="277"/>
      <c r="GF35" s="277"/>
      <c r="GG35" s="277"/>
      <c r="GH35" s="277"/>
      <c r="GI35" s="277"/>
      <c r="GJ35" s="277"/>
      <c r="GK35" s="277"/>
      <c r="GL35" s="277"/>
      <c r="GM35" s="277"/>
      <c r="GN35" s="277"/>
      <c r="GO35" s="277"/>
      <c r="GP35" s="277"/>
      <c r="GQ35" s="277"/>
      <c r="GR35" s="277"/>
      <c r="GS35" s="277"/>
      <c r="GT35" s="277"/>
      <c r="GU35" s="277"/>
      <c r="GV35" s="277"/>
      <c r="GW35" s="277"/>
      <c r="GX35" s="277"/>
      <c r="GY35" s="277"/>
      <c r="GZ35" s="277"/>
      <c r="HA35" s="281"/>
      <c r="HB35" s="273"/>
      <c r="HC35" s="277"/>
      <c r="HD35" s="277"/>
      <c r="HE35" s="277"/>
      <c r="HF35" s="277"/>
      <c r="HG35" s="277"/>
      <c r="HH35" s="277"/>
      <c r="HI35" s="277"/>
      <c r="HJ35" s="277"/>
      <c r="HK35" s="277"/>
      <c r="HL35" s="277"/>
      <c r="HM35" s="277"/>
      <c r="HN35" s="277"/>
      <c r="HO35" s="277"/>
      <c r="HP35" s="277"/>
      <c r="HQ35" s="277"/>
      <c r="HR35" s="277"/>
      <c r="HS35" s="277"/>
      <c r="HT35" s="277"/>
      <c r="HU35" s="277"/>
      <c r="HV35" s="277"/>
      <c r="HW35" s="277"/>
      <c r="HX35" s="277"/>
      <c r="HY35" s="277"/>
      <c r="HZ35" s="277"/>
      <c r="IA35" s="277"/>
      <c r="IB35" s="277"/>
      <c r="IC35" s="277"/>
      <c r="ID35" s="277"/>
      <c r="IE35" s="277"/>
      <c r="IF35" s="277"/>
      <c r="IG35" s="277"/>
      <c r="IH35" s="277"/>
      <c r="II35" s="277"/>
      <c r="IJ35" s="277"/>
      <c r="IK35" s="277"/>
      <c r="IL35" s="277"/>
      <c r="IM35" s="277"/>
      <c r="IN35" s="277"/>
      <c r="IO35" s="277"/>
      <c r="IP35" s="277"/>
      <c r="IQ35" s="277"/>
      <c r="IR35" s="277"/>
      <c r="IS35" s="277"/>
      <c r="IT35" s="277"/>
      <c r="IU35" s="277"/>
      <c r="IV35" s="277"/>
      <c r="IW35" s="277"/>
      <c r="IX35" s="277"/>
      <c r="IY35" s="277"/>
      <c r="IZ35" s="277"/>
      <c r="JA35" s="277"/>
      <c r="JB35" s="277"/>
      <c r="JC35" s="277"/>
      <c r="JD35" s="277"/>
      <c r="JE35" s="277"/>
      <c r="JF35" s="277"/>
      <c r="JG35" s="277"/>
      <c r="JH35" s="277"/>
      <c r="JI35" s="277"/>
      <c r="JJ35" s="277"/>
      <c r="JK35" s="277"/>
      <c r="JL35" s="277"/>
      <c r="JM35" s="277"/>
      <c r="JN35" s="277"/>
      <c r="JO35" s="277"/>
      <c r="JP35" s="277"/>
      <c r="JQ35" s="277"/>
      <c r="JR35" s="277"/>
      <c r="JS35" s="277"/>
      <c r="JT35" s="277"/>
      <c r="JU35" s="277"/>
      <c r="JV35" s="277"/>
      <c r="JW35" s="277"/>
      <c r="JX35" s="277"/>
      <c r="JY35" s="277"/>
      <c r="JZ35" s="277"/>
      <c r="KA35" s="277"/>
      <c r="KB35" s="277"/>
      <c r="KC35" s="277"/>
      <c r="KD35" s="277"/>
      <c r="KE35" s="277"/>
      <c r="KF35" s="277"/>
      <c r="KG35" s="277"/>
      <c r="KH35" s="277"/>
      <c r="KI35" s="277"/>
      <c r="KJ35" s="277"/>
      <c r="KK35" s="277"/>
      <c r="KL35" s="277"/>
      <c r="KM35" s="277"/>
      <c r="KN35" s="277"/>
      <c r="KO35" s="277"/>
      <c r="KP35" s="277"/>
      <c r="KQ35" s="277"/>
      <c r="KR35" s="277"/>
      <c r="KS35" s="277"/>
      <c r="KT35" s="277"/>
      <c r="KU35" s="277"/>
      <c r="KV35" s="277"/>
      <c r="KW35" s="277"/>
      <c r="KX35" s="277"/>
      <c r="KY35" s="277"/>
      <c r="KZ35" s="277"/>
      <c r="LA35" s="277"/>
      <c r="LB35" s="277"/>
      <c r="LC35" s="277"/>
      <c r="LD35" s="277"/>
      <c r="LE35" s="277"/>
      <c r="LF35" s="277"/>
      <c r="LG35" s="277"/>
      <c r="LH35" s="277"/>
      <c r="LI35" s="277"/>
      <c r="LJ35" s="277"/>
      <c r="LK35" s="277"/>
      <c r="LL35" s="277"/>
      <c r="LM35" s="277"/>
      <c r="LN35" s="277"/>
      <c r="LO35" s="277"/>
      <c r="LP35" s="277"/>
      <c r="LQ35" s="277"/>
      <c r="LR35" s="277"/>
      <c r="LS35" s="277"/>
      <c r="LT35" s="277"/>
      <c r="LU35" s="277"/>
      <c r="LV35" s="277"/>
      <c r="LW35" s="277"/>
      <c r="LX35" s="277"/>
      <c r="LY35" s="277"/>
      <c r="LZ35" s="277"/>
      <c r="MA35" s="277"/>
      <c r="MB35" s="277"/>
      <c r="MC35" s="277"/>
      <c r="MD35" s="277"/>
      <c r="ME35" s="277"/>
      <c r="MF35" s="277"/>
      <c r="MG35" s="277"/>
      <c r="MH35" s="277"/>
      <c r="MI35" s="277"/>
      <c r="MJ35" s="277"/>
      <c r="MK35" s="277"/>
      <c r="ML35" s="277"/>
      <c r="MM35" s="277"/>
      <c r="MN35" s="277"/>
      <c r="MO35" s="277"/>
      <c r="MP35" s="277"/>
      <c r="MQ35" s="277"/>
      <c r="MR35" s="277"/>
      <c r="MS35" s="277"/>
      <c r="MT35" s="277"/>
      <c r="MU35" s="277"/>
      <c r="MV35" s="277"/>
      <c r="MW35" s="277"/>
      <c r="MX35" s="277"/>
      <c r="MY35" s="277"/>
      <c r="MZ35" s="277"/>
      <c r="NA35" s="277"/>
      <c r="NB35" s="277"/>
      <c r="NC35" s="277"/>
      <c r="ND35" s="277"/>
      <c r="NE35" s="277"/>
      <c r="NF35" s="277"/>
      <c r="NG35" s="277"/>
      <c r="NH35" s="277"/>
      <c r="NI35" s="277"/>
      <c r="NJ35" s="277"/>
      <c r="NK35" s="277"/>
      <c r="NL35" s="277"/>
      <c r="NM35" s="277"/>
      <c r="NN35" s="277"/>
      <c r="NO35" s="277"/>
      <c r="NP35" s="277"/>
      <c r="NQ35" s="277"/>
      <c r="NR35" s="277"/>
      <c r="NS35" s="277"/>
      <c r="NT35" s="277"/>
      <c r="NU35" s="277"/>
      <c r="NV35" s="277"/>
      <c r="NW35" s="277"/>
      <c r="NX35" s="277"/>
      <c r="NY35" s="277"/>
      <c r="NZ35" s="277"/>
      <c r="OA35" s="277"/>
      <c r="OB35" s="277"/>
      <c r="OC35" s="277"/>
      <c r="OD35" s="277"/>
      <c r="OE35" s="277"/>
      <c r="OF35" s="277"/>
      <c r="OG35" s="277"/>
      <c r="OH35" s="277"/>
      <c r="OI35" s="277"/>
      <c r="OJ35" s="277"/>
      <c r="OK35" s="277"/>
      <c r="OL35" s="277"/>
      <c r="OM35" s="277"/>
      <c r="ON35" s="277"/>
      <c r="OO35" s="277"/>
      <c r="OP35" s="277"/>
      <c r="OQ35" s="277"/>
      <c r="OR35" s="277"/>
      <c r="OS35" s="277"/>
      <c r="OT35" s="277"/>
      <c r="OU35" s="277"/>
      <c r="OV35" s="277"/>
      <c r="OW35" s="277"/>
      <c r="OX35" s="277"/>
      <c r="OY35" s="281"/>
      <c r="OZ35" s="277"/>
      <c r="PA35" s="277"/>
      <c r="PB35" s="277"/>
      <c r="PC35" s="277"/>
      <c r="PD35" s="277"/>
      <c r="PE35" s="277"/>
      <c r="PF35" s="277"/>
      <c r="PG35" s="277"/>
      <c r="PH35" s="277"/>
      <c r="PI35" s="277"/>
      <c r="PJ35" s="277"/>
      <c r="PK35" s="277"/>
      <c r="PL35" s="277"/>
      <c r="PM35" s="277"/>
      <c r="PN35" s="277"/>
      <c r="PO35" s="277"/>
      <c r="PP35" s="277"/>
      <c r="PQ35" s="277"/>
      <c r="PR35" s="277"/>
      <c r="PS35" s="277"/>
      <c r="PT35" s="277"/>
      <c r="PU35" s="277"/>
      <c r="PV35" s="277"/>
      <c r="PW35" s="277"/>
      <c r="PX35" s="277"/>
      <c r="PY35" s="277"/>
      <c r="PZ35" s="277"/>
      <c r="QA35" s="277"/>
      <c r="QB35" s="277"/>
      <c r="QC35" s="277"/>
      <c r="QD35" s="277"/>
      <c r="QE35" s="277"/>
      <c r="QF35" s="277"/>
      <c r="QG35" s="277"/>
      <c r="QH35" s="277"/>
      <c r="QI35" s="282"/>
      <c r="QJ35" s="277"/>
      <c r="QK35" s="277"/>
      <c r="QL35" s="277"/>
      <c r="QM35" s="277"/>
      <c r="QN35" s="277"/>
      <c r="QO35" s="277"/>
      <c r="QP35" s="277"/>
      <c r="QQ35" s="277"/>
      <c r="QR35" s="277"/>
      <c r="QS35" s="277"/>
      <c r="QT35" s="277"/>
      <c r="QU35" s="277"/>
      <c r="QV35" s="277"/>
      <c r="QW35" s="277"/>
      <c r="QX35" s="277"/>
      <c r="QY35" s="277"/>
      <c r="QZ35" s="277"/>
      <c r="RA35" s="277"/>
      <c r="RB35" s="277"/>
      <c r="RC35" s="277"/>
      <c r="RD35" s="277"/>
      <c r="RE35" s="277"/>
      <c r="RF35" s="277"/>
      <c r="RG35" s="277"/>
      <c r="RH35" s="277"/>
      <c r="RI35" s="277"/>
      <c r="RJ35" s="277"/>
      <c r="RK35" s="277"/>
      <c r="RL35" s="277"/>
      <c r="RM35" s="277"/>
      <c r="RN35" s="277"/>
      <c r="RO35" s="277"/>
      <c r="RP35" s="277"/>
      <c r="RQ35" s="277"/>
      <c r="RR35" s="277"/>
      <c r="RS35" s="277"/>
      <c r="RT35" s="277"/>
      <c r="RU35" s="277"/>
      <c r="RV35" s="277"/>
      <c r="RW35" s="277"/>
      <c r="RX35" s="277"/>
      <c r="RY35" s="277"/>
      <c r="RZ35" s="277"/>
      <c r="SA35" s="277"/>
      <c r="SB35" s="277"/>
      <c r="SC35" s="277"/>
      <c r="SD35" s="277"/>
      <c r="SE35" s="277"/>
      <c r="SF35" s="277"/>
      <c r="SG35" s="277"/>
      <c r="SH35" s="277"/>
      <c r="SI35" s="277"/>
      <c r="SJ35" s="277"/>
      <c r="SK35" s="277"/>
      <c r="SL35" s="277"/>
      <c r="SM35" s="277"/>
      <c r="SN35" s="277"/>
      <c r="SO35" s="277"/>
      <c r="SP35" s="277"/>
      <c r="SQ35" s="277"/>
      <c r="SR35" s="277"/>
      <c r="SS35" s="277"/>
      <c r="ST35" s="277"/>
      <c r="SU35" s="277"/>
      <c r="SV35" s="277"/>
      <c r="SW35" s="277"/>
      <c r="SX35" s="277"/>
      <c r="SY35" s="277"/>
      <c r="SZ35" s="277"/>
      <c r="TA35" s="277"/>
      <c r="TB35" s="277"/>
      <c r="TC35" s="277"/>
      <c r="TD35" s="277"/>
      <c r="TE35" s="277"/>
      <c r="TF35" s="277"/>
      <c r="TG35" s="277"/>
      <c r="TH35" s="277"/>
      <c r="TI35" s="277"/>
      <c r="TJ35" s="277"/>
      <c r="TK35" s="277"/>
      <c r="TL35" s="277"/>
      <c r="TM35" s="277"/>
      <c r="TN35" s="277"/>
      <c r="TO35" s="277"/>
      <c r="TP35" s="277"/>
      <c r="TQ35" s="277"/>
      <c r="TR35" s="277"/>
      <c r="TS35" s="277"/>
      <c r="TT35" s="277"/>
      <c r="TU35" s="277"/>
      <c r="TV35" s="277"/>
      <c r="TW35" s="277"/>
      <c r="TX35" s="277"/>
      <c r="TY35" s="277"/>
      <c r="TZ35" s="277"/>
      <c r="UA35" s="277"/>
      <c r="UB35" s="277"/>
      <c r="UC35" s="277"/>
      <c r="UD35" s="277"/>
      <c r="UE35" s="277"/>
      <c r="UF35" s="277"/>
      <c r="UG35" s="277"/>
      <c r="UH35" s="277"/>
      <c r="UI35" s="277"/>
      <c r="UJ35" s="277"/>
      <c r="UK35" s="277"/>
      <c r="UL35" s="277"/>
      <c r="UM35" s="277"/>
      <c r="UN35" s="277"/>
      <c r="UO35" s="277"/>
      <c r="UP35" s="277"/>
      <c r="UQ35" s="277"/>
      <c r="UR35" s="277"/>
      <c r="US35" s="277"/>
      <c r="UT35" s="277"/>
      <c r="UU35" s="277"/>
      <c r="UV35" s="277"/>
      <c r="UW35" s="277"/>
      <c r="UX35" s="277"/>
      <c r="UY35" s="277"/>
      <c r="UZ35" s="277"/>
      <c r="VA35" s="277"/>
      <c r="VB35" s="277"/>
      <c r="VC35" s="277"/>
      <c r="VD35" s="277"/>
      <c r="VE35" s="277"/>
      <c r="VF35" s="277"/>
      <c r="VG35" s="277"/>
      <c r="VH35" s="277"/>
      <c r="VI35" s="277"/>
      <c r="VJ35" s="277"/>
      <c r="VK35" s="277"/>
      <c r="VL35" s="277"/>
      <c r="VM35" s="277"/>
      <c r="VN35" s="277"/>
      <c r="VO35" s="277"/>
      <c r="VP35" s="277"/>
      <c r="VQ35" s="277"/>
      <c r="VR35" s="277"/>
      <c r="VS35" s="277"/>
      <c r="VT35" s="277"/>
      <c r="VU35" s="277"/>
      <c r="VV35" s="277"/>
      <c r="VW35" s="277"/>
      <c r="VX35" s="277"/>
      <c r="VY35" s="277"/>
      <c r="VZ35" s="277"/>
      <c r="WA35" s="277"/>
      <c r="WB35" s="277"/>
      <c r="WC35" s="277"/>
      <c r="WD35" s="277"/>
      <c r="WE35" s="277"/>
      <c r="WF35" s="277"/>
      <c r="WG35" s="277"/>
      <c r="WH35" s="277"/>
      <c r="WI35" s="277"/>
      <c r="WJ35" s="277"/>
      <c r="WK35" s="277"/>
      <c r="WL35" s="277"/>
      <c r="WM35" s="277"/>
      <c r="WN35" s="277"/>
      <c r="WO35" s="277"/>
      <c r="WP35" s="277"/>
      <c r="WQ35" s="277"/>
      <c r="WR35" s="277"/>
      <c r="WS35" s="277"/>
      <c r="WT35" s="277"/>
      <c r="WU35" s="277"/>
      <c r="WV35" s="277"/>
      <c r="WW35" s="281"/>
      <c r="WX35" s="277"/>
      <c r="WY35" s="277"/>
      <c r="WZ35" s="277"/>
      <c r="XA35" s="277"/>
      <c r="XB35" s="277"/>
      <c r="XC35" s="277"/>
      <c r="XD35" s="277"/>
      <c r="XE35" s="277"/>
      <c r="XF35" s="277"/>
      <c r="XG35" s="277"/>
      <c r="XH35" s="277"/>
      <c r="XI35" s="277"/>
      <c r="XJ35" s="277"/>
      <c r="XK35" s="277"/>
      <c r="XL35" s="277"/>
      <c r="XM35" s="277"/>
      <c r="XN35" s="277"/>
      <c r="XO35" s="277"/>
      <c r="XP35" s="277"/>
      <c r="XQ35" s="277"/>
      <c r="XR35" s="277"/>
      <c r="XS35" s="277"/>
      <c r="XT35" s="277"/>
      <c r="XU35" s="277"/>
      <c r="XV35" s="277"/>
      <c r="XW35" s="277"/>
      <c r="XX35" s="277"/>
      <c r="XY35" s="277"/>
      <c r="XZ35" s="277"/>
      <c r="YA35" s="277"/>
      <c r="YB35" s="277"/>
      <c r="YC35" s="277"/>
      <c r="YD35" s="277"/>
      <c r="YE35" s="277"/>
      <c r="YF35" s="277"/>
      <c r="YG35" s="277"/>
      <c r="YH35" s="277"/>
      <c r="YI35" s="277"/>
      <c r="YJ35" s="277"/>
      <c r="YK35" s="277"/>
      <c r="YL35" s="277"/>
      <c r="YM35" s="277"/>
      <c r="YN35" s="277"/>
      <c r="YO35" s="277"/>
      <c r="YP35" s="277"/>
      <c r="YQ35" s="277"/>
      <c r="YR35" s="277"/>
      <c r="YS35" s="277"/>
      <c r="YT35" s="277"/>
      <c r="YU35" s="277"/>
      <c r="YV35" s="277"/>
      <c r="YW35" s="277"/>
      <c r="YX35" s="277"/>
      <c r="YY35" s="277"/>
      <c r="YZ35" s="277"/>
      <c r="ZA35" s="277"/>
      <c r="ZB35" s="277"/>
      <c r="ZC35" s="277"/>
      <c r="ZD35" s="277"/>
      <c r="ZE35" s="277"/>
      <c r="ZF35" s="277"/>
      <c r="ZG35" s="277"/>
      <c r="ZH35" s="277"/>
      <c r="ZI35" s="277"/>
      <c r="ZJ35" s="277"/>
      <c r="ZK35" s="277"/>
      <c r="ZL35" s="277"/>
      <c r="ZM35" s="277"/>
      <c r="ZN35" s="277"/>
      <c r="ZO35" s="277"/>
      <c r="ZP35" s="277"/>
      <c r="ZQ35" s="277"/>
      <c r="ZR35" s="277"/>
      <c r="ZS35" s="277"/>
      <c r="ZT35" s="277"/>
      <c r="ZU35" s="277"/>
      <c r="ZV35" s="277"/>
      <c r="ZW35" s="277"/>
      <c r="ZX35" s="277"/>
      <c r="ZY35" s="277"/>
      <c r="ZZ35" s="277"/>
      <c r="AAA35" s="277"/>
      <c r="AAB35" s="277"/>
      <c r="AAC35" s="277"/>
      <c r="AAD35" s="277"/>
      <c r="AAE35" s="277"/>
      <c r="AAF35" s="277"/>
      <c r="AAG35" s="277"/>
      <c r="AAH35" s="277"/>
      <c r="AAI35" s="277"/>
      <c r="AAJ35" s="277"/>
      <c r="AAK35" s="277"/>
      <c r="AAL35" s="277"/>
      <c r="AAM35" s="277"/>
      <c r="AAN35" s="277"/>
      <c r="AAO35" s="277"/>
      <c r="AAP35" s="277"/>
      <c r="AAQ35" s="277"/>
      <c r="AAR35" s="277"/>
      <c r="AAS35" s="277"/>
      <c r="AAT35" s="277"/>
      <c r="AAU35" s="277"/>
      <c r="AAV35" s="277"/>
      <c r="AAW35" s="277"/>
      <c r="AAX35" s="277"/>
      <c r="AAY35" s="277"/>
      <c r="AAZ35" s="277"/>
      <c r="ABA35" s="277"/>
      <c r="ABB35" s="277"/>
      <c r="ABC35" s="277"/>
      <c r="ABD35" s="277"/>
      <c r="ABE35" s="277"/>
      <c r="ABF35" s="277"/>
      <c r="ABG35" s="277"/>
      <c r="ABH35" s="277"/>
      <c r="ABI35" s="277"/>
      <c r="ABJ35" s="277"/>
      <c r="ABK35" s="277"/>
      <c r="ABL35" s="277"/>
      <c r="ABM35" s="277"/>
      <c r="ABN35" s="277"/>
      <c r="ABO35" s="277"/>
      <c r="ABP35" s="277"/>
      <c r="ABQ35" s="277"/>
      <c r="ABR35" s="277"/>
      <c r="ABS35" s="277"/>
      <c r="ABT35" s="277"/>
      <c r="ABU35" s="277"/>
      <c r="ABV35" s="277"/>
      <c r="ABW35" s="277"/>
      <c r="ABX35" s="277"/>
      <c r="ABY35" s="277"/>
      <c r="ABZ35" s="277"/>
      <c r="ACA35" s="277"/>
      <c r="ACB35" s="277"/>
      <c r="ACC35" s="277"/>
      <c r="ACD35" s="277"/>
      <c r="ACE35" s="277"/>
      <c r="ACF35" s="277"/>
      <c r="ACG35" s="277"/>
      <c r="ACH35" s="277"/>
      <c r="ACI35" s="277"/>
      <c r="ACJ35" s="277"/>
      <c r="ACK35" s="277"/>
      <c r="ACL35" s="277"/>
      <c r="ACM35" s="277"/>
      <c r="ACN35" s="277"/>
      <c r="ACO35" s="277"/>
      <c r="ACP35" s="277"/>
      <c r="ACQ35" s="277"/>
      <c r="ACR35" s="277"/>
      <c r="ACS35" s="277"/>
      <c r="ACT35" s="277"/>
      <c r="ACU35" s="277"/>
      <c r="ACV35" s="277"/>
      <c r="ACW35" s="277"/>
      <c r="ACX35" s="277"/>
      <c r="ACY35" s="277"/>
      <c r="ACZ35" s="277"/>
      <c r="ADA35" s="277"/>
      <c r="ADB35" s="277"/>
      <c r="ADC35" s="277"/>
      <c r="ADD35" s="277"/>
      <c r="ADE35" s="277"/>
      <c r="ADF35" s="277"/>
      <c r="ADG35" s="277"/>
      <c r="ADH35" s="277"/>
      <c r="ADI35" s="277"/>
      <c r="ADJ35" s="277"/>
      <c r="ADK35" s="277"/>
      <c r="ADL35" s="277"/>
      <c r="ADM35" s="277"/>
      <c r="ADN35" s="277"/>
      <c r="ADO35" s="277"/>
      <c r="ADP35" s="277"/>
      <c r="ADQ35" s="277"/>
      <c r="ADR35" s="277"/>
      <c r="ADS35" s="277"/>
      <c r="ADT35" s="277"/>
      <c r="ADU35" s="277"/>
      <c r="ADV35" s="277"/>
      <c r="ADW35" s="277"/>
      <c r="ADX35" s="277"/>
      <c r="ADY35" s="277"/>
      <c r="ADZ35" s="277"/>
      <c r="AEA35" s="277"/>
      <c r="AEB35" s="277"/>
      <c r="AEC35" s="277"/>
      <c r="AED35" s="277"/>
      <c r="AEE35" s="277"/>
      <c r="AEF35" s="277"/>
      <c r="AEG35" s="277"/>
      <c r="AEH35" s="277"/>
      <c r="AEI35" s="277"/>
      <c r="AEJ35" s="277"/>
      <c r="AEK35" s="277"/>
      <c r="AEL35" s="277"/>
      <c r="AEM35" s="277"/>
      <c r="AEN35" s="277"/>
      <c r="AEO35" s="277"/>
      <c r="AEP35" s="277"/>
      <c r="AEQ35" s="277"/>
      <c r="AER35" s="277"/>
      <c r="AES35" s="277"/>
      <c r="AET35" s="277"/>
      <c r="AEU35" s="281"/>
      <c r="AEV35" s="277"/>
      <c r="AEW35" s="277"/>
      <c r="AEX35" s="277"/>
      <c r="AEY35" s="277"/>
      <c r="AEZ35" s="277"/>
      <c r="AFA35" s="277"/>
      <c r="AFB35" s="277"/>
      <c r="AFC35" s="277"/>
      <c r="AFD35" s="277"/>
      <c r="AFE35" s="277"/>
      <c r="AFF35" s="277"/>
      <c r="AFG35" s="277"/>
      <c r="AFH35" s="277"/>
      <c r="AFI35" s="277"/>
      <c r="AFJ35" s="277"/>
      <c r="AFK35" s="277"/>
      <c r="AFL35" s="277"/>
      <c r="AFM35" s="277"/>
      <c r="AFN35" s="277"/>
      <c r="AFO35" s="277"/>
      <c r="AFP35" s="277"/>
      <c r="AFQ35" s="277"/>
      <c r="AFR35" s="277"/>
      <c r="AFS35" s="277"/>
      <c r="AFT35" s="277"/>
      <c r="AFU35" s="277"/>
      <c r="AFV35" s="277"/>
      <c r="AFW35" s="277"/>
      <c r="AFX35" s="277"/>
      <c r="AFY35" s="277"/>
      <c r="AFZ35" s="277"/>
      <c r="AGA35" s="277"/>
      <c r="AGB35" s="277"/>
      <c r="AGC35" s="277"/>
      <c r="AGD35" s="277"/>
      <c r="AGE35" s="277"/>
      <c r="AGF35" s="277"/>
      <c r="AGG35" s="277"/>
      <c r="AGH35" s="277"/>
      <c r="AGI35" s="277"/>
      <c r="AGJ35" s="277"/>
      <c r="AGK35" s="277"/>
      <c r="AGL35" s="277"/>
      <c r="AGM35" s="277"/>
      <c r="AGN35" s="277"/>
      <c r="AGO35" s="277"/>
      <c r="AGP35" s="277"/>
      <c r="AGQ35" s="277"/>
      <c r="AGR35" s="277"/>
      <c r="AGS35" s="277"/>
      <c r="AGT35" s="277"/>
      <c r="AGU35" s="277"/>
      <c r="AGV35" s="277"/>
      <c r="AGW35" s="277"/>
      <c r="AGX35" s="277"/>
      <c r="AGY35" s="277"/>
      <c r="AGZ35" s="277"/>
      <c r="AHA35" s="277"/>
      <c r="AHB35" s="277"/>
      <c r="AHC35" s="277"/>
      <c r="AHD35" s="277"/>
      <c r="AHE35" s="277"/>
      <c r="AHF35" s="277"/>
      <c r="AHG35" s="277"/>
      <c r="AHH35" s="277"/>
      <c r="AHI35" s="277"/>
      <c r="AHJ35" s="277"/>
      <c r="AHK35" s="277"/>
      <c r="AHL35" s="277"/>
      <c r="AHM35" s="277"/>
      <c r="AHN35" s="277"/>
      <c r="AHO35" s="277"/>
      <c r="AHP35" s="277"/>
      <c r="AHQ35" s="277"/>
      <c r="AHR35" s="277"/>
      <c r="AHS35" s="277"/>
      <c r="AHT35" s="277"/>
      <c r="AHU35" s="277"/>
      <c r="AHV35" s="277"/>
      <c r="AHW35" s="277"/>
      <c r="AHX35" s="277"/>
      <c r="AHY35" s="277"/>
      <c r="AHZ35" s="277"/>
      <c r="AIA35" s="277"/>
      <c r="AIB35" s="277"/>
      <c r="AIC35" s="277"/>
      <c r="AID35" s="277"/>
      <c r="AIE35" s="277"/>
      <c r="AIF35" s="277"/>
      <c r="AIG35" s="277"/>
      <c r="AIH35" s="277"/>
      <c r="AII35" s="277"/>
      <c r="AIJ35" s="277"/>
      <c r="AIK35" s="277"/>
      <c r="AIL35" s="277"/>
      <c r="AIM35" s="277"/>
      <c r="AIN35" s="277"/>
      <c r="AIO35" s="277"/>
      <c r="AIP35" s="277"/>
      <c r="AIQ35" s="277"/>
      <c r="AIR35" s="277"/>
      <c r="AIS35" s="277"/>
      <c r="AIT35" s="277"/>
      <c r="AIU35" s="277"/>
      <c r="AIV35" s="277"/>
      <c r="AIW35" s="277"/>
      <c r="AIX35" s="277"/>
      <c r="AIY35" s="277"/>
      <c r="AIZ35" s="277"/>
      <c r="AJA35" s="277"/>
      <c r="AJB35" s="277"/>
      <c r="AJC35" s="277"/>
      <c r="AJD35" s="277"/>
      <c r="AJE35" s="277"/>
      <c r="AJF35" s="277"/>
      <c r="AJG35" s="277"/>
      <c r="AJH35" s="277"/>
      <c r="AJI35" s="277"/>
      <c r="AJJ35" s="277"/>
      <c r="AJK35" s="277"/>
      <c r="AJL35" s="277"/>
      <c r="AJM35" s="277"/>
      <c r="AJN35" s="277"/>
      <c r="AJO35" s="277"/>
      <c r="AJP35" s="277"/>
      <c r="AJQ35" s="277"/>
      <c r="AJR35" s="277"/>
      <c r="AJS35" s="277"/>
      <c r="AJT35" s="277"/>
      <c r="AJU35" s="277"/>
      <c r="AJV35" s="277"/>
      <c r="AJW35" s="277"/>
      <c r="AJX35" s="277"/>
      <c r="AJY35" s="277"/>
      <c r="AJZ35" s="277"/>
      <c r="AKA35" s="277"/>
      <c r="AKB35" s="277"/>
      <c r="AKC35" s="277"/>
      <c r="AKD35" s="277"/>
      <c r="AKE35" s="277"/>
      <c r="AKF35" s="277"/>
      <c r="AKG35" s="277"/>
      <c r="AKH35" s="277"/>
      <c r="AKI35" s="277"/>
      <c r="AKJ35" s="4"/>
      <c r="AKK35" s="277"/>
      <c r="AKL35" s="277"/>
      <c r="AKM35" s="277"/>
      <c r="AKN35" s="277"/>
      <c r="AKO35" s="277"/>
      <c r="AKP35" s="277"/>
      <c r="AKQ35" s="277"/>
      <c r="AKR35" s="277"/>
      <c r="AKS35" s="277"/>
      <c r="AKT35" s="277"/>
      <c r="AKU35" s="277"/>
      <c r="AKV35" s="277"/>
      <c r="AKW35" s="277"/>
      <c r="AKX35" s="277"/>
      <c r="AKY35" s="277"/>
      <c r="AKZ35" s="277"/>
      <c r="ALA35" s="277"/>
      <c r="ALB35" s="277"/>
      <c r="ALC35" s="277"/>
      <c r="ALD35" s="277"/>
      <c r="ALE35" s="277"/>
      <c r="ALF35" s="277"/>
      <c r="ALG35" s="277"/>
      <c r="ALH35" s="277"/>
      <c r="ALI35" s="277"/>
      <c r="ALJ35" s="277"/>
      <c r="ALK35" s="277"/>
      <c r="ALL35" s="277"/>
      <c r="ALM35" s="277"/>
      <c r="ALN35" s="277"/>
      <c r="ALO35" s="277"/>
      <c r="ALP35" s="277"/>
      <c r="ALQ35" s="277"/>
      <c r="ALR35" s="277"/>
      <c r="ALS35" s="277"/>
      <c r="ALT35" s="277"/>
      <c r="ALU35" s="277"/>
      <c r="ALV35" s="277"/>
      <c r="ALW35" s="277"/>
      <c r="ALX35" s="277"/>
      <c r="ALY35" s="277"/>
      <c r="ALZ35" s="277"/>
      <c r="AMA35" s="277"/>
      <c r="AMB35" s="277"/>
      <c r="AMC35" s="277"/>
      <c r="AMD35" s="277"/>
      <c r="AME35" s="277"/>
      <c r="AMF35" s="277"/>
      <c r="AMG35" s="277"/>
      <c r="AMH35" s="277"/>
      <c r="AMI35" s="277"/>
      <c r="AMJ35" s="277"/>
      <c r="AMK35" s="277"/>
      <c r="AML35" s="277"/>
      <c r="AMM35" s="277"/>
      <c r="AMN35" s="277"/>
      <c r="AMO35" s="277"/>
      <c r="AMP35" s="277"/>
      <c r="AMQ35" s="277"/>
      <c r="AMR35" s="277"/>
      <c r="AMS35" s="281"/>
      <c r="AMT35" s="4"/>
      <c r="AMU35" s="4"/>
      <c r="AMV35" s="4"/>
      <c r="AMW35" s="4"/>
      <c r="AMX35" s="4"/>
      <c r="AMY35" s="4"/>
      <c r="AMZ35" s="4"/>
      <c r="ANA35" s="4"/>
      <c r="ANB35" s="4"/>
      <c r="ANC35" s="4"/>
      <c r="AND35" s="4"/>
      <c r="ANE35" s="4"/>
      <c r="ANF35" s="4"/>
      <c r="ANG35" s="4"/>
      <c r="ANH35" s="4"/>
      <c r="ANI35" s="4"/>
      <c r="ANJ35" s="4"/>
      <c r="ANK35" s="4"/>
      <c r="ANL35" s="4"/>
      <c r="ANM35" s="4"/>
      <c r="ANN35" s="4"/>
      <c r="ANO35" s="4"/>
      <c r="ANP35" s="4"/>
      <c r="ANQ35" s="4"/>
      <c r="ANR35" s="4"/>
      <c r="ANS35" s="4"/>
      <c r="ANT35" s="4"/>
      <c r="ANU35" s="4"/>
      <c r="ANV35" s="4"/>
      <c r="ANW35" s="4"/>
      <c r="ANX35" s="4"/>
      <c r="ANY35" s="4"/>
      <c r="ANZ35" s="4"/>
      <c r="AOA35" s="4"/>
      <c r="AOB35" s="4"/>
      <c r="AOC35" s="4"/>
      <c r="AOD35" s="4"/>
      <c r="AOE35" s="4"/>
      <c r="AOF35" s="4"/>
      <c r="AOG35" s="4"/>
      <c r="AOH35" s="4"/>
      <c r="AOI35" s="4"/>
      <c r="AOJ35" s="4"/>
      <c r="AOK35" s="4"/>
      <c r="AOL35" s="4"/>
      <c r="AOM35" s="4"/>
      <c r="AON35" s="4"/>
      <c r="AOO35" s="4"/>
      <c r="AOP35" s="4"/>
      <c r="AOQ35" s="4"/>
      <c r="AOR35" s="4"/>
      <c r="AOS35" s="4"/>
      <c r="AOT35" s="4"/>
      <c r="AOU35" s="4"/>
      <c r="AOV35" s="4"/>
      <c r="AOW35" s="4"/>
      <c r="AOX35" s="4"/>
      <c r="AOY35" s="4"/>
      <c r="AOZ35" s="4"/>
      <c r="APA35" s="4"/>
      <c r="APB35" s="4"/>
      <c r="APC35" s="4"/>
      <c r="APD35" s="4"/>
      <c r="APE35" s="4"/>
      <c r="APF35" s="4"/>
      <c r="APG35" s="4"/>
      <c r="APH35" s="4"/>
      <c r="API35" s="4"/>
      <c r="APJ35" s="4"/>
      <c r="APK35" s="4"/>
      <c r="APL35" s="4"/>
      <c r="APM35" s="4"/>
      <c r="APN35" s="4"/>
      <c r="APO35" s="4"/>
      <c r="APP35" s="4"/>
      <c r="APQ35" s="4"/>
      <c r="APR35" s="4"/>
      <c r="APS35" s="4"/>
      <c r="APT35" s="4"/>
      <c r="APU35" s="4"/>
      <c r="APV35" s="4"/>
      <c r="APW35" s="4"/>
      <c r="APX35" s="4"/>
      <c r="APY35" s="4"/>
      <c r="APZ35" s="4"/>
      <c r="AQA35" s="4"/>
      <c r="AQB35" s="4"/>
      <c r="AQC35" s="4"/>
      <c r="AQD35" s="4"/>
      <c r="AQE35" s="4"/>
      <c r="AQF35" s="4"/>
      <c r="AQG35" s="4"/>
      <c r="AQH35" s="4"/>
      <c r="AQI35" s="4"/>
      <c r="AQJ35" s="4"/>
      <c r="AQK35" s="4"/>
      <c r="AQL35" s="4"/>
      <c r="AQM35" s="4"/>
      <c r="AQN35" s="4"/>
      <c r="AQO35" s="4"/>
      <c r="AQP35" s="4"/>
      <c r="AQQ35" s="4"/>
      <c r="AQR35" s="4"/>
      <c r="AQS35" s="4"/>
      <c r="AQT35" s="4"/>
      <c r="AQU35" s="4"/>
      <c r="AQV35" s="4"/>
      <c r="AQW35" s="4"/>
      <c r="AQX35" s="4"/>
      <c r="AQY35" s="4"/>
      <c r="AQZ35" s="4"/>
      <c r="ARA35" s="4"/>
      <c r="ARB35" s="4"/>
      <c r="ARC35" s="4"/>
      <c r="ARD35" s="4"/>
      <c r="ARE35" s="4"/>
      <c r="ARF35" s="4"/>
      <c r="ARG35" s="4"/>
      <c r="ARH35" s="4"/>
      <c r="ARI35" s="4"/>
      <c r="ARJ35" s="4"/>
      <c r="ARK35" s="4"/>
      <c r="ARL35" s="4"/>
      <c r="ARM35" s="4"/>
      <c r="ARN35" s="4"/>
      <c r="ARO35" s="4"/>
      <c r="ARP35" s="4"/>
      <c r="ARQ35" s="4"/>
      <c r="ARR35" s="4"/>
      <c r="ARS35" s="4"/>
      <c r="ART35" s="4"/>
      <c r="ARU35" s="4"/>
      <c r="ARV35" s="4"/>
      <c r="ARW35" s="4"/>
      <c r="ARX35" s="4"/>
      <c r="ARY35" s="4"/>
      <c r="ARZ35" s="4"/>
      <c r="ASA35" s="4"/>
      <c r="ASB35" s="4"/>
      <c r="ASC35" s="4"/>
      <c r="ASD35" s="4"/>
      <c r="ASE35" s="4"/>
      <c r="ASF35" s="4"/>
      <c r="ASG35" s="4"/>
      <c r="ASH35" s="4"/>
      <c r="ASI35" s="4"/>
      <c r="ASJ35" s="4"/>
      <c r="ASK35" s="4"/>
      <c r="ASL35" s="4"/>
      <c r="ASM35" s="4"/>
      <c r="ASN35" s="4"/>
      <c r="ASO35" s="4"/>
      <c r="ASP35" s="4"/>
      <c r="ASQ35" s="4"/>
      <c r="ASR35" s="4"/>
      <c r="ASS35" s="4"/>
      <c r="AST35" s="4"/>
      <c r="ASU35" s="4"/>
    </row>
    <row r="36" ht="18" customHeight="1" spans="1:1191" s="283" customFormat="1" x14ac:dyDescent="0.25">
      <c r="A36" s="284" t="s">
        <v>75</v>
      </c>
      <c r="B36" s="4"/>
      <c r="C36" s="4"/>
      <c r="D36" s="4"/>
      <c r="E36" s="4"/>
      <c r="F36" s="285"/>
      <c r="G36" s="285"/>
      <c r="H36" s="285"/>
      <c r="I36" s="285"/>
      <c r="J36" s="285"/>
      <c r="K36" s="285"/>
      <c r="L36" s="285"/>
      <c r="M36" s="285"/>
      <c r="N36" s="285"/>
      <c r="O36" s="285"/>
      <c r="P36" s="285"/>
      <c r="Q36" s="285"/>
      <c r="R36" s="285"/>
      <c r="S36" s="285"/>
      <c r="T36" s="285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4"/>
      <c r="AG36" s="4"/>
      <c r="AH36" s="4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4"/>
      <c r="BJ36" s="4"/>
      <c r="BK36" s="4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  <c r="CK36" s="285"/>
      <c r="CL36" s="4"/>
      <c r="CM36" s="4"/>
      <c r="CN36" s="4"/>
      <c r="CO36" s="285"/>
      <c r="CP36" s="285"/>
      <c r="CQ36" s="285"/>
      <c r="CR36" s="285"/>
      <c r="CS36" s="285"/>
      <c r="CT36" s="285"/>
      <c r="CU36" s="285"/>
      <c r="CV36" s="285"/>
      <c r="CW36" s="285"/>
      <c r="CX36" s="285"/>
      <c r="CY36" s="285"/>
      <c r="CZ36" s="285"/>
      <c r="DA36" s="285"/>
      <c r="DB36" s="285"/>
      <c r="DC36" s="285"/>
      <c r="DD36" s="285"/>
      <c r="DE36" s="285"/>
      <c r="DF36" s="285"/>
      <c r="DG36" s="285"/>
      <c r="DH36" s="285"/>
      <c r="DI36" s="285"/>
      <c r="DJ36" s="285"/>
      <c r="DK36" s="285"/>
      <c r="DL36" s="285"/>
      <c r="DM36" s="285"/>
      <c r="DN36" s="285"/>
      <c r="DO36" s="4"/>
      <c r="DP36" s="4"/>
      <c r="DQ36" s="4"/>
      <c r="DR36" s="285"/>
      <c r="DS36" s="285"/>
      <c r="DT36" s="285"/>
      <c r="DU36" s="285"/>
      <c r="DV36" s="285"/>
      <c r="DW36" s="285"/>
      <c r="DX36" s="285"/>
      <c r="DY36" s="285"/>
      <c r="DZ36" s="285"/>
      <c r="EA36" s="285"/>
      <c r="EB36" s="285"/>
      <c r="EC36" s="285"/>
      <c r="ED36" s="285"/>
      <c r="EE36" s="285"/>
      <c r="EF36" s="285"/>
      <c r="EG36" s="285"/>
      <c r="EH36" s="285"/>
      <c r="EI36" s="285"/>
      <c r="EJ36" s="285"/>
      <c r="EK36" s="285"/>
      <c r="EL36" s="285"/>
      <c r="EM36" s="285"/>
      <c r="EN36" s="285"/>
      <c r="EO36" s="285"/>
      <c r="EP36" s="285"/>
      <c r="EQ36" s="285"/>
      <c r="ER36" s="4"/>
      <c r="ES36" s="4"/>
      <c r="ET36" s="4"/>
      <c r="EU36" s="285"/>
      <c r="EV36" s="285"/>
      <c r="EW36" s="285"/>
      <c r="EX36" s="285"/>
      <c r="EY36" s="285"/>
      <c r="EZ36" s="285"/>
      <c r="FA36" s="285"/>
      <c r="FB36" s="285"/>
      <c r="FC36" s="285"/>
      <c r="FD36" s="285"/>
      <c r="FE36" s="285"/>
      <c r="FF36" s="285"/>
      <c r="FG36" s="285"/>
      <c r="FH36" s="285"/>
      <c r="FI36" s="285"/>
      <c r="FJ36" s="285"/>
      <c r="FK36" s="285"/>
      <c r="FL36" s="285"/>
      <c r="FM36" s="285"/>
      <c r="FN36" s="285"/>
      <c r="FO36" s="285"/>
      <c r="FP36" s="285"/>
      <c r="FQ36" s="285"/>
      <c r="FR36" s="285"/>
      <c r="FS36" s="285"/>
      <c r="FT36" s="285"/>
      <c r="FU36" s="4"/>
      <c r="FV36" s="4"/>
      <c r="FW36" s="4"/>
      <c r="FX36" s="285"/>
      <c r="FY36" s="285"/>
      <c r="FZ36" s="285"/>
      <c r="GA36" s="285"/>
      <c r="GB36" s="285"/>
      <c r="GC36" s="285"/>
      <c r="GD36" s="285"/>
      <c r="GE36" s="285"/>
      <c r="GF36" s="285"/>
      <c r="GG36" s="285"/>
      <c r="GH36" s="285"/>
      <c r="GI36" s="285"/>
      <c r="GJ36" s="285"/>
      <c r="GK36" s="285"/>
      <c r="GL36" s="285"/>
      <c r="GM36" s="285"/>
      <c r="GN36" s="285"/>
      <c r="GO36" s="285"/>
      <c r="GP36" s="285"/>
      <c r="GQ36" s="285"/>
      <c r="GR36" s="285"/>
      <c r="GS36" s="285"/>
      <c r="GT36" s="285"/>
      <c r="GU36" s="285"/>
      <c r="GV36" s="285"/>
      <c r="GW36" s="285"/>
      <c r="GX36" s="4"/>
      <c r="GY36" s="4"/>
      <c r="GZ36" s="4"/>
      <c r="HA36" s="286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285"/>
      <c r="MT36" s="285"/>
      <c r="MU36" s="285"/>
      <c r="MV36" s="285"/>
      <c r="MW36" s="285"/>
      <c r="MX36" s="285"/>
      <c r="MY36" s="285"/>
      <c r="MZ36" s="285"/>
      <c r="NA36" s="285"/>
      <c r="NB36" s="285"/>
      <c r="NC36" s="285"/>
      <c r="ND36" s="285"/>
      <c r="NE36" s="285"/>
      <c r="NF36" s="285"/>
      <c r="NG36" s="285"/>
      <c r="NH36" s="285"/>
      <c r="NI36" s="285"/>
      <c r="NJ36" s="285"/>
      <c r="NK36" s="285"/>
      <c r="NL36" s="285"/>
      <c r="NM36" s="285"/>
      <c r="NN36" s="285"/>
      <c r="NO36" s="285"/>
      <c r="NP36" s="285"/>
      <c r="NQ36" s="285"/>
      <c r="NR36" s="285"/>
      <c r="NS36" s="4"/>
      <c r="NT36" s="4"/>
      <c r="NU36" s="4"/>
      <c r="NV36" s="285"/>
      <c r="NW36" s="285"/>
      <c r="NX36" s="285"/>
      <c r="NY36" s="285"/>
      <c r="NZ36" s="285"/>
      <c r="OA36" s="285"/>
      <c r="OB36" s="285"/>
      <c r="OC36" s="285"/>
      <c r="OD36" s="285"/>
      <c r="OE36" s="285"/>
      <c r="OF36" s="285"/>
      <c r="OG36" s="285"/>
      <c r="OH36" s="285"/>
      <c r="OI36" s="285"/>
      <c r="OJ36" s="285"/>
      <c r="OK36" s="285"/>
      <c r="OL36" s="285"/>
      <c r="OM36" s="285"/>
      <c r="ON36" s="285"/>
      <c r="OO36" s="285"/>
      <c r="OP36" s="285"/>
      <c r="OQ36" s="285"/>
      <c r="OR36" s="285"/>
      <c r="OS36" s="285"/>
      <c r="OT36" s="285"/>
      <c r="OU36" s="285"/>
      <c r="OV36" s="4"/>
      <c r="OW36" s="4"/>
      <c r="OX36" s="4"/>
      <c r="OY36" s="286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285"/>
      <c r="UR36" s="285"/>
      <c r="US36" s="285"/>
      <c r="UT36" s="285"/>
      <c r="UU36" s="285"/>
      <c r="UV36" s="285"/>
      <c r="UW36" s="285"/>
      <c r="UX36" s="285"/>
      <c r="UY36" s="285"/>
      <c r="UZ36" s="285"/>
      <c r="VA36" s="285"/>
      <c r="VB36" s="285"/>
      <c r="VC36" s="285"/>
      <c r="VD36" s="285"/>
      <c r="VE36" s="285"/>
      <c r="VF36" s="285"/>
      <c r="VG36" s="285"/>
      <c r="VH36" s="285"/>
      <c r="VI36" s="285"/>
      <c r="VJ36" s="285"/>
      <c r="VK36" s="285"/>
      <c r="VL36" s="285"/>
      <c r="VM36" s="285"/>
      <c r="VN36" s="285"/>
      <c r="VO36" s="285"/>
      <c r="VP36" s="285"/>
      <c r="VQ36" s="4"/>
      <c r="VR36" s="4"/>
      <c r="VS36" s="4"/>
      <c r="VT36" s="285"/>
      <c r="VU36" s="285"/>
      <c r="VV36" s="285"/>
      <c r="VW36" s="285"/>
      <c r="VX36" s="285"/>
      <c r="VY36" s="285"/>
      <c r="VZ36" s="285"/>
      <c r="WA36" s="285"/>
      <c r="WB36" s="285"/>
      <c r="WC36" s="285"/>
      <c r="WD36" s="285"/>
      <c r="WE36" s="285"/>
      <c r="WF36" s="285"/>
      <c r="WG36" s="285"/>
      <c r="WH36" s="285"/>
      <c r="WI36" s="285"/>
      <c r="WJ36" s="285"/>
      <c r="WK36" s="285"/>
      <c r="WL36" s="285"/>
      <c r="WM36" s="285"/>
      <c r="WN36" s="285"/>
      <c r="WO36" s="285"/>
      <c r="WP36" s="285"/>
      <c r="WQ36" s="285"/>
      <c r="WR36" s="285"/>
      <c r="WS36" s="285"/>
      <c r="WT36" s="4"/>
      <c r="WU36" s="4"/>
      <c r="WV36" s="4"/>
      <c r="WW36" s="286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  <c r="ABT36" s="4"/>
      <c r="ABU36" s="4"/>
      <c r="ABV36" s="4"/>
      <c r="ABW36" s="4"/>
      <c r="ABX36" s="4"/>
      <c r="ABY36" s="4"/>
      <c r="ABZ36" s="4"/>
      <c r="ACA36" s="4"/>
      <c r="ACB36" s="4"/>
      <c r="ACC36" s="4"/>
      <c r="ACD36" s="4"/>
      <c r="ACE36" s="4"/>
      <c r="ACF36" s="4"/>
      <c r="ACG36" s="4"/>
      <c r="ACH36" s="4"/>
      <c r="ACI36" s="4"/>
      <c r="ACJ36" s="4"/>
      <c r="ACK36" s="4"/>
      <c r="ACL36" s="4"/>
      <c r="ACM36" s="4"/>
      <c r="ACN36" s="4"/>
      <c r="ACO36" s="285"/>
      <c r="ACP36" s="285"/>
      <c r="ACQ36" s="285"/>
      <c r="ACR36" s="285"/>
      <c r="ACS36" s="285"/>
      <c r="ACT36" s="285"/>
      <c r="ACU36" s="285"/>
      <c r="ACV36" s="285"/>
      <c r="ACW36" s="285"/>
      <c r="ACX36" s="285"/>
      <c r="ACY36" s="285"/>
      <c r="ACZ36" s="285"/>
      <c r="ADA36" s="285"/>
      <c r="ADB36" s="285"/>
      <c r="ADC36" s="285"/>
      <c r="ADD36" s="285"/>
      <c r="ADE36" s="285"/>
      <c r="ADF36" s="285"/>
      <c r="ADG36" s="285"/>
      <c r="ADH36" s="285"/>
      <c r="ADI36" s="285"/>
      <c r="ADJ36" s="285"/>
      <c r="ADK36" s="285"/>
      <c r="ADL36" s="285"/>
      <c r="ADM36" s="285"/>
      <c r="ADN36" s="285"/>
      <c r="ADO36" s="4"/>
      <c r="ADP36" s="4"/>
      <c r="ADQ36" s="4"/>
      <c r="ADR36" s="285"/>
      <c r="ADS36" s="285"/>
      <c r="ADT36" s="285"/>
      <c r="ADU36" s="285"/>
      <c r="ADV36" s="285"/>
      <c r="ADW36" s="285"/>
      <c r="ADX36" s="285"/>
      <c r="ADY36" s="285"/>
      <c r="ADZ36" s="285"/>
      <c r="AEA36" s="285"/>
      <c r="AEB36" s="285"/>
      <c r="AEC36" s="285"/>
      <c r="AED36" s="285"/>
      <c r="AEE36" s="285"/>
      <c r="AEF36" s="285"/>
      <c r="AEG36" s="285"/>
      <c r="AEH36" s="285"/>
      <c r="AEI36" s="285"/>
      <c r="AEJ36" s="285"/>
      <c r="AEK36" s="285"/>
      <c r="AEL36" s="285"/>
      <c r="AEM36" s="285"/>
      <c r="AEN36" s="285"/>
      <c r="AEO36" s="285"/>
      <c r="AEP36" s="285"/>
      <c r="AEQ36" s="285"/>
      <c r="AER36" s="4"/>
      <c r="AES36" s="4"/>
      <c r="AET36" s="4"/>
      <c r="AEU36" s="286"/>
      <c r="AEV36" s="4"/>
      <c r="AEW36" s="4"/>
      <c r="AEX36" s="4"/>
      <c r="AEY36" s="4"/>
      <c r="AEZ36" s="4"/>
      <c r="AFA36" s="4"/>
      <c r="AFB36" s="4"/>
      <c r="AFC36" s="4"/>
      <c r="AFD36" s="4"/>
      <c r="AFE36" s="4"/>
      <c r="AFF36" s="4"/>
      <c r="AFG36" s="4"/>
      <c r="AFH36" s="4"/>
      <c r="AFI36" s="4"/>
      <c r="AFJ36" s="4"/>
      <c r="AFK36" s="4"/>
      <c r="AFL36" s="4"/>
      <c r="AFM36" s="4"/>
      <c r="AFN36" s="4"/>
      <c r="AFO36" s="4"/>
      <c r="AFP36" s="4"/>
      <c r="AFQ36" s="4"/>
      <c r="AFR36" s="4"/>
      <c r="AFS36" s="4"/>
      <c r="AFT36" s="4"/>
      <c r="AFU36" s="4"/>
      <c r="AFV36" s="4"/>
      <c r="AFW36" s="4"/>
      <c r="AFX36" s="4"/>
      <c r="AFY36" s="4"/>
      <c r="AFZ36" s="4"/>
      <c r="AGA36" s="4"/>
      <c r="AGB36" s="4"/>
      <c r="AGC36" s="4"/>
      <c r="AGD36" s="4"/>
      <c r="AGE36" s="4"/>
      <c r="AGF36" s="4"/>
      <c r="AGG36" s="4"/>
      <c r="AGH36" s="4"/>
      <c r="AGI36" s="4"/>
      <c r="AGJ36" s="4"/>
      <c r="AGK36" s="4"/>
      <c r="AGL36" s="4"/>
      <c r="AGM36" s="4"/>
      <c r="AGN36" s="4"/>
      <c r="AGO36" s="4"/>
      <c r="AGP36" s="4"/>
      <c r="AGQ36" s="4"/>
      <c r="AGR36" s="4"/>
      <c r="AGS36" s="4"/>
      <c r="AGT36" s="4"/>
      <c r="AGU36" s="4"/>
      <c r="AGV36" s="4"/>
      <c r="AGW36" s="4"/>
      <c r="AGX36" s="4"/>
      <c r="AGY36" s="4"/>
      <c r="AGZ36" s="4"/>
      <c r="AHA36" s="4"/>
      <c r="AHB36" s="4"/>
      <c r="AHC36" s="4"/>
      <c r="AHD36" s="4"/>
      <c r="AHE36" s="4"/>
      <c r="AHF36" s="4"/>
      <c r="AHG36" s="4"/>
      <c r="AHH36" s="4"/>
      <c r="AHI36" s="4"/>
      <c r="AHJ36" s="4"/>
      <c r="AHK36" s="4"/>
      <c r="AHL36" s="4"/>
      <c r="AHM36" s="4"/>
      <c r="AHN36" s="4"/>
      <c r="AHO36" s="4"/>
      <c r="AHP36" s="4"/>
      <c r="AHQ36" s="4"/>
      <c r="AHR36" s="4"/>
      <c r="AHS36" s="4"/>
      <c r="AHT36" s="4"/>
      <c r="AHU36" s="4"/>
      <c r="AHV36" s="4"/>
      <c r="AHW36" s="4"/>
      <c r="AHX36" s="4"/>
      <c r="AHY36" s="4"/>
      <c r="AHZ36" s="4"/>
      <c r="AIA36" s="4"/>
      <c r="AIB36" s="4"/>
      <c r="AIC36" s="4"/>
      <c r="AID36" s="4"/>
      <c r="AIE36" s="4"/>
      <c r="AIF36" s="4"/>
      <c r="AIG36" s="4"/>
      <c r="AIH36" s="4"/>
      <c r="AII36" s="4"/>
      <c r="AIJ36" s="4"/>
      <c r="AIK36" s="4"/>
      <c r="AIL36" s="4"/>
      <c r="AIM36" s="4"/>
      <c r="AIN36" s="4"/>
      <c r="AIO36" s="4"/>
      <c r="AIP36" s="4"/>
      <c r="AIQ36" s="4"/>
      <c r="AIR36" s="4"/>
      <c r="AIS36" s="4"/>
      <c r="AIT36" s="4"/>
      <c r="AIU36" s="4"/>
      <c r="AIV36" s="4"/>
      <c r="AIW36" s="4"/>
      <c r="AIX36" s="4"/>
      <c r="AIY36" s="4"/>
      <c r="AIZ36" s="4"/>
      <c r="AJA36" s="4"/>
      <c r="AJB36" s="4"/>
      <c r="AJC36" s="4"/>
      <c r="AJD36" s="4"/>
      <c r="AJE36" s="4"/>
      <c r="AJF36" s="4"/>
      <c r="AJG36" s="4"/>
      <c r="AJH36" s="4"/>
      <c r="AJI36" s="4"/>
      <c r="AJJ36" s="4"/>
      <c r="AJK36" s="4"/>
      <c r="AJL36" s="4"/>
      <c r="AJM36" s="4"/>
      <c r="AJN36" s="4"/>
      <c r="AJO36" s="4"/>
      <c r="AJP36" s="4"/>
      <c r="AJQ36" s="4"/>
      <c r="AJR36" s="4"/>
      <c r="AJS36" s="4"/>
      <c r="AJT36" s="4"/>
      <c r="AJU36" s="4"/>
      <c r="AJV36" s="4"/>
      <c r="AJW36" s="4"/>
      <c r="AJX36" s="4"/>
      <c r="AJY36" s="4"/>
      <c r="AJZ36" s="4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285"/>
      <c r="AKN36" s="285"/>
      <c r="AKO36" s="285"/>
      <c r="AKP36" s="285"/>
      <c r="AKQ36" s="285"/>
      <c r="AKR36" s="285"/>
      <c r="AKS36" s="285"/>
      <c r="AKT36" s="285"/>
      <c r="AKU36" s="285"/>
      <c r="AKV36" s="285"/>
      <c r="AKW36" s="285"/>
      <c r="AKX36" s="285"/>
      <c r="AKY36" s="285"/>
      <c r="AKZ36" s="285"/>
      <c r="ALA36" s="285"/>
      <c r="ALB36" s="285"/>
      <c r="ALC36" s="285"/>
      <c r="ALD36" s="285"/>
      <c r="ALE36" s="285"/>
      <c r="ALF36" s="285"/>
      <c r="ALG36" s="285"/>
      <c r="ALH36" s="285"/>
      <c r="ALI36" s="285"/>
      <c r="ALJ36" s="285"/>
      <c r="ALK36" s="285"/>
      <c r="ALL36" s="285"/>
      <c r="ALM36" s="4"/>
      <c r="ALN36" s="4"/>
      <c r="ALO36" s="4"/>
      <c r="ALP36" s="285"/>
      <c r="ALQ36" s="285"/>
      <c r="ALR36" s="285"/>
      <c r="ALS36" s="285"/>
      <c r="ALT36" s="285"/>
      <c r="ALU36" s="285"/>
      <c r="ALV36" s="285"/>
      <c r="ALW36" s="285"/>
      <c r="ALX36" s="285"/>
      <c r="ALY36" s="285"/>
      <c r="ALZ36" s="285"/>
      <c r="AMA36" s="285"/>
      <c r="AMB36" s="285"/>
      <c r="AMC36" s="285"/>
      <c r="AMD36" s="285"/>
      <c r="AME36" s="285"/>
      <c r="AMF36" s="285"/>
      <c r="AMG36" s="285"/>
      <c r="AMH36" s="285"/>
      <c r="AMI36" s="285"/>
      <c r="AMJ36" s="285"/>
      <c r="AMK36" s="285"/>
      <c r="AML36" s="285"/>
      <c r="AMM36" s="285"/>
      <c r="AMN36" s="285"/>
      <c r="AMO36" s="285"/>
      <c r="AMP36" s="4"/>
      <c r="AMQ36" s="4"/>
      <c r="AMR36" s="4"/>
      <c r="AMS36" s="286"/>
      <c r="AMT36" s="4"/>
      <c r="AMU36" s="4"/>
      <c r="AMV36" s="4"/>
      <c r="AMW36" s="4"/>
      <c r="AMX36" s="4"/>
      <c r="AMY36" s="4"/>
      <c r="AMZ36" s="4"/>
      <c r="ANA36" s="4"/>
      <c r="ANB36" s="4"/>
      <c r="ANC36" s="4"/>
      <c r="AND36" s="4"/>
      <c r="ANE36" s="4"/>
      <c r="ANF36" s="4"/>
      <c r="ANG36" s="4"/>
      <c r="ANH36" s="4"/>
      <c r="ANI36" s="4"/>
      <c r="ANJ36" s="4"/>
      <c r="ANK36" s="4"/>
      <c r="ANL36" s="4"/>
      <c r="ANM36" s="4"/>
      <c r="ANN36" s="4"/>
      <c r="ANO36" s="4"/>
      <c r="ANP36" s="4"/>
      <c r="ANQ36" s="4"/>
      <c r="ANR36" s="4"/>
      <c r="ANS36" s="4"/>
      <c r="ANT36" s="4"/>
      <c r="ANU36" s="4"/>
      <c r="ANV36" s="4"/>
      <c r="ANW36" s="4"/>
      <c r="ANX36" s="4"/>
      <c r="ANY36" s="4"/>
      <c r="ANZ36" s="4"/>
      <c r="AOA36" s="4"/>
      <c r="AOB36" s="4"/>
      <c r="AOC36" s="4"/>
      <c r="AOD36" s="4"/>
      <c r="AOE36" s="4"/>
      <c r="AOF36" s="4"/>
      <c r="AOG36" s="4"/>
      <c r="AOH36" s="4"/>
      <c r="AOI36" s="4"/>
      <c r="AOJ36" s="4"/>
      <c r="AOK36" s="4"/>
      <c r="AOL36" s="4"/>
      <c r="AOM36" s="4"/>
      <c r="AON36" s="4"/>
      <c r="AOO36" s="4"/>
      <c r="AOP36" s="4"/>
      <c r="AOQ36" s="4"/>
      <c r="AOR36" s="4"/>
      <c r="AOS36" s="4"/>
      <c r="AOT36" s="4"/>
      <c r="AOU36" s="4"/>
      <c r="AOV36" s="4"/>
      <c r="AOW36" s="4"/>
      <c r="AOX36" s="4"/>
      <c r="AOY36" s="4"/>
      <c r="AOZ36" s="4"/>
      <c r="APA36" s="4"/>
      <c r="APB36" s="4"/>
      <c r="APC36" s="4"/>
      <c r="APD36" s="4"/>
      <c r="APE36" s="4"/>
      <c r="APF36" s="4"/>
      <c r="APG36" s="4"/>
      <c r="APH36" s="4"/>
      <c r="API36" s="4"/>
      <c r="APJ36" s="4"/>
      <c r="APK36" s="4"/>
      <c r="APL36" s="4"/>
      <c r="APM36" s="4"/>
      <c r="APN36" s="4"/>
      <c r="APO36" s="4"/>
      <c r="APP36" s="4"/>
      <c r="APQ36" s="4"/>
      <c r="APR36" s="4"/>
      <c r="APS36" s="4"/>
      <c r="APT36" s="4"/>
      <c r="APU36" s="4"/>
      <c r="APV36" s="4"/>
      <c r="APW36" s="4"/>
      <c r="APX36" s="4"/>
      <c r="APY36" s="4"/>
      <c r="APZ36" s="4"/>
      <c r="AQA36" s="4"/>
      <c r="AQB36" s="4"/>
      <c r="AQC36" s="4"/>
      <c r="AQD36" s="4"/>
      <c r="AQE36" s="4"/>
      <c r="AQF36" s="4"/>
      <c r="AQG36" s="4"/>
      <c r="AQH36" s="4"/>
      <c r="AQI36" s="4"/>
      <c r="AQJ36" s="4"/>
      <c r="AQK36" s="4"/>
      <c r="AQL36" s="4"/>
      <c r="AQM36" s="4"/>
      <c r="AQN36" s="4"/>
      <c r="AQO36" s="4"/>
      <c r="AQP36" s="4"/>
      <c r="AQQ36" s="4"/>
      <c r="AQR36" s="4"/>
      <c r="AQS36" s="4"/>
      <c r="AQT36" s="4"/>
      <c r="AQU36" s="4"/>
      <c r="AQV36" s="4"/>
      <c r="AQW36" s="4"/>
      <c r="AQX36" s="4"/>
      <c r="AQY36" s="4"/>
      <c r="AQZ36" s="4"/>
      <c r="ARA36" s="4"/>
      <c r="ARB36" s="4"/>
      <c r="ARC36" s="4"/>
      <c r="ARD36" s="4"/>
      <c r="ARE36" s="4"/>
      <c r="ARF36" s="4"/>
      <c r="ARG36" s="4"/>
      <c r="ARH36" s="4"/>
      <c r="ARI36" s="4"/>
      <c r="ARJ36" s="4"/>
      <c r="ARK36" s="4"/>
      <c r="ARL36" s="4"/>
      <c r="ARM36" s="4"/>
      <c r="ARN36" s="4"/>
      <c r="ARO36" s="4"/>
      <c r="ARP36" s="4"/>
      <c r="ARQ36" s="4"/>
      <c r="ARR36" s="4"/>
      <c r="ARS36" s="4"/>
      <c r="ART36" s="4"/>
      <c r="ARU36" s="4"/>
      <c r="ARV36" s="4"/>
      <c r="ARW36" s="4"/>
      <c r="ARX36" s="4"/>
      <c r="ARY36" s="4"/>
      <c r="ARZ36" s="4"/>
      <c r="ASA36" s="4"/>
      <c r="ASB36" s="4"/>
      <c r="ASC36" s="4"/>
      <c r="ASD36" s="4"/>
      <c r="ASE36" s="4"/>
      <c r="ASF36" s="4"/>
      <c r="ASG36" s="4"/>
      <c r="ASH36" s="4"/>
      <c r="ASI36" s="4"/>
      <c r="ASJ36" s="4"/>
      <c r="ASK36" s="4"/>
      <c r="ASL36" s="4"/>
      <c r="ASM36" s="4"/>
      <c r="ASN36" s="4"/>
      <c r="ASO36" s="4"/>
      <c r="ASP36" s="4"/>
      <c r="ASQ36" s="4"/>
      <c r="ASR36" s="4"/>
      <c r="ASS36" s="4"/>
      <c r="AST36" s="4"/>
      <c r="ASU36" s="4"/>
    </row>
    <row r="37" ht="80.25" customHeight="1" spans="1:1191" s="74" customFormat="1" x14ac:dyDescent="0.25">
      <c r="A37" s="75" t="s">
        <v>25</v>
      </c>
      <c r="B37" s="76" t="s">
        <v>26</v>
      </c>
      <c r="C37" s="77" t="s">
        <v>27</v>
      </c>
      <c r="D37" s="78" t="s">
        <v>28</v>
      </c>
      <c r="E37" s="79" t="s">
        <v>29</v>
      </c>
      <c r="F37" s="79" t="s">
        <v>30</v>
      </c>
      <c r="G37" s="80"/>
      <c r="H37" s="81" t="s">
        <v>31</v>
      </c>
      <c r="I37" s="80"/>
      <c r="J37" s="81" t="s">
        <v>32</v>
      </c>
      <c r="K37" s="80"/>
      <c r="L37" s="81" t="s">
        <v>33</v>
      </c>
      <c r="M37" s="80"/>
      <c r="N37" s="82" t="s">
        <v>34</v>
      </c>
      <c r="O37" s="80"/>
      <c r="P37" s="82" t="s">
        <v>35</v>
      </c>
      <c r="Q37" s="80"/>
      <c r="R37" s="81" t="s">
        <v>36</v>
      </c>
      <c r="S37" s="80"/>
      <c r="T37" s="81" t="s">
        <v>37</v>
      </c>
      <c r="U37" s="80"/>
      <c r="V37" s="81" t="s">
        <v>38</v>
      </c>
      <c r="W37" s="80"/>
      <c r="X37" s="81" t="s">
        <v>39</v>
      </c>
      <c r="Y37" s="80"/>
      <c r="Z37" s="81" t="s">
        <v>40</v>
      </c>
      <c r="AA37" s="80"/>
      <c r="AB37" s="81" t="s">
        <v>41</v>
      </c>
      <c r="AC37" s="80"/>
      <c r="AD37" s="83" t="s">
        <v>42</v>
      </c>
      <c r="AE37" s="84" t="s">
        <v>43</v>
      </c>
      <c r="AF37" s="85" t="s">
        <v>44</v>
      </c>
      <c r="AG37" s="78" t="s">
        <v>28</v>
      </c>
      <c r="AH37" s="79" t="s">
        <v>29</v>
      </c>
      <c r="AI37" s="81" t="s">
        <v>30</v>
      </c>
      <c r="AJ37" s="80"/>
      <c r="AK37" s="81" t="s">
        <v>31</v>
      </c>
      <c r="AL37" s="80"/>
      <c r="AM37" s="81" t="s">
        <v>32</v>
      </c>
      <c r="AN37" s="80"/>
      <c r="AO37" s="81" t="s">
        <v>33</v>
      </c>
      <c r="AP37" s="80"/>
      <c r="AQ37" s="82" t="s">
        <v>34</v>
      </c>
      <c r="AR37" s="80"/>
      <c r="AS37" s="82" t="s">
        <v>35</v>
      </c>
      <c r="AT37" s="80"/>
      <c r="AU37" s="81" t="s">
        <v>36</v>
      </c>
      <c r="AV37" s="80"/>
      <c r="AW37" s="81" t="s">
        <v>37</v>
      </c>
      <c r="AX37" s="80"/>
      <c r="AY37" s="81" t="s">
        <v>38</v>
      </c>
      <c r="AZ37" s="80"/>
      <c r="BA37" s="81" t="s">
        <v>39</v>
      </c>
      <c r="BB37" s="80"/>
      <c r="BC37" s="81" t="s">
        <v>40</v>
      </c>
      <c r="BD37" s="80"/>
      <c r="BE37" s="81" t="s">
        <v>41</v>
      </c>
      <c r="BF37" s="80"/>
      <c r="BG37" s="83" t="s">
        <v>42</v>
      </c>
      <c r="BH37" s="84" t="s">
        <v>43</v>
      </c>
      <c r="BI37" s="85" t="s">
        <v>44</v>
      </c>
      <c r="BJ37" s="78" t="s">
        <v>28</v>
      </c>
      <c r="BK37" s="79" t="s">
        <v>29</v>
      </c>
      <c r="BL37" s="79" t="s">
        <v>30</v>
      </c>
      <c r="BM37" s="80"/>
      <c r="BN37" s="81" t="s">
        <v>31</v>
      </c>
      <c r="BO37" s="80"/>
      <c r="BP37" s="81" t="s">
        <v>32</v>
      </c>
      <c r="BQ37" s="80"/>
      <c r="BR37" s="81" t="s">
        <v>33</v>
      </c>
      <c r="BS37" s="80"/>
      <c r="BT37" s="82" t="s">
        <v>34</v>
      </c>
      <c r="BU37" s="80"/>
      <c r="BV37" s="82" t="s">
        <v>35</v>
      </c>
      <c r="BW37" s="80"/>
      <c r="BX37" s="287" t="s">
        <v>36</v>
      </c>
      <c r="BY37" s="80"/>
      <c r="BZ37" s="81" t="s">
        <v>37</v>
      </c>
      <c r="CA37" s="80"/>
      <c r="CB37" s="81" t="s">
        <v>38</v>
      </c>
      <c r="CC37" s="80"/>
      <c r="CD37" s="81" t="s">
        <v>39</v>
      </c>
      <c r="CE37" s="80"/>
      <c r="CF37" s="81" t="s">
        <v>40</v>
      </c>
      <c r="CG37" s="80"/>
      <c r="CH37" s="81" t="s">
        <v>41</v>
      </c>
      <c r="CI37" s="80"/>
      <c r="CJ37" s="83" t="s">
        <v>42</v>
      </c>
      <c r="CK37" s="84" t="s">
        <v>43</v>
      </c>
      <c r="CL37" s="85" t="s">
        <v>44</v>
      </c>
      <c r="CM37" s="78" t="s">
        <v>28</v>
      </c>
      <c r="CN37" s="79" t="s">
        <v>29</v>
      </c>
      <c r="CO37" s="79" t="s">
        <v>30</v>
      </c>
      <c r="CP37" s="80"/>
      <c r="CQ37" s="81" t="s">
        <v>31</v>
      </c>
      <c r="CR37" s="80"/>
      <c r="CS37" s="81" t="s">
        <v>32</v>
      </c>
      <c r="CT37" s="80"/>
      <c r="CU37" s="81" t="s">
        <v>33</v>
      </c>
      <c r="CV37" s="80"/>
      <c r="CW37" s="82" t="s">
        <v>34</v>
      </c>
      <c r="CX37" s="80"/>
      <c r="CY37" s="82" t="s">
        <v>35</v>
      </c>
      <c r="CZ37" s="80"/>
      <c r="DA37" s="81" t="s">
        <v>36</v>
      </c>
      <c r="DB37" s="80"/>
      <c r="DC37" s="81" t="s">
        <v>37</v>
      </c>
      <c r="DD37" s="80"/>
      <c r="DE37" s="81" t="s">
        <v>38</v>
      </c>
      <c r="DF37" s="80"/>
      <c r="DG37" s="81" t="s">
        <v>39</v>
      </c>
      <c r="DH37" s="80"/>
      <c r="DI37" s="81" t="s">
        <v>40</v>
      </c>
      <c r="DJ37" s="80"/>
      <c r="DK37" s="81" t="s">
        <v>41</v>
      </c>
      <c r="DL37" s="80"/>
      <c r="DM37" s="83" t="s">
        <v>42</v>
      </c>
      <c r="DN37" s="84" t="s">
        <v>43</v>
      </c>
      <c r="DO37" s="85" t="s">
        <v>44</v>
      </c>
      <c r="DP37" s="78" t="s">
        <v>28</v>
      </c>
      <c r="DQ37" s="79" t="s">
        <v>29</v>
      </c>
      <c r="DR37" s="79" t="s">
        <v>30</v>
      </c>
      <c r="DS37" s="80"/>
      <c r="DT37" s="81" t="s">
        <v>31</v>
      </c>
      <c r="DU37" s="80"/>
      <c r="DV37" s="81" t="s">
        <v>32</v>
      </c>
      <c r="DW37" s="80"/>
      <c r="DX37" s="81" t="s">
        <v>33</v>
      </c>
      <c r="DY37" s="80"/>
      <c r="DZ37" s="82" t="s">
        <v>34</v>
      </c>
      <c r="EA37" s="80"/>
      <c r="EB37" s="82" t="s">
        <v>35</v>
      </c>
      <c r="EC37" s="80"/>
      <c r="ED37" s="81" t="s">
        <v>36</v>
      </c>
      <c r="EE37" s="80"/>
      <c r="EF37" s="81" t="s">
        <v>37</v>
      </c>
      <c r="EG37" s="80"/>
      <c r="EH37" s="81" t="s">
        <v>38</v>
      </c>
      <c r="EI37" s="80"/>
      <c r="EJ37" s="81" t="s">
        <v>39</v>
      </c>
      <c r="EK37" s="80"/>
      <c r="EL37" s="81" t="s">
        <v>40</v>
      </c>
      <c r="EM37" s="80"/>
      <c r="EN37" s="81" t="s">
        <v>41</v>
      </c>
      <c r="EO37" s="80"/>
      <c r="EP37" s="83" t="s">
        <v>42</v>
      </c>
      <c r="EQ37" s="84" t="s">
        <v>43</v>
      </c>
      <c r="ER37" s="85" t="s">
        <v>44</v>
      </c>
      <c r="ES37" s="78" t="s">
        <v>28</v>
      </c>
      <c r="ET37" s="79" t="s">
        <v>29</v>
      </c>
      <c r="EU37" s="81" t="s">
        <v>30</v>
      </c>
      <c r="EV37" s="80"/>
      <c r="EW37" s="81" t="s">
        <v>31</v>
      </c>
      <c r="EX37" s="80"/>
      <c r="EY37" s="81" t="s">
        <v>32</v>
      </c>
      <c r="EZ37" s="80"/>
      <c r="FA37" s="81" t="s">
        <v>33</v>
      </c>
      <c r="FB37" s="80"/>
      <c r="FC37" s="82" t="s">
        <v>34</v>
      </c>
      <c r="FD37" s="80"/>
      <c r="FE37" s="82" t="s">
        <v>35</v>
      </c>
      <c r="FF37" s="80"/>
      <c r="FG37" s="81" t="s">
        <v>36</v>
      </c>
      <c r="FH37" s="80"/>
      <c r="FI37" s="81" t="s">
        <v>37</v>
      </c>
      <c r="FJ37" s="80"/>
      <c r="FK37" s="81" t="s">
        <v>38</v>
      </c>
      <c r="FL37" s="80"/>
      <c r="FM37" s="81" t="s">
        <v>39</v>
      </c>
      <c r="FN37" s="80"/>
      <c r="FO37" s="81" t="s">
        <v>40</v>
      </c>
      <c r="FP37" s="80"/>
      <c r="FQ37" s="81" t="s">
        <v>41</v>
      </c>
      <c r="FR37" s="80"/>
      <c r="FS37" s="83" t="s">
        <v>42</v>
      </c>
      <c r="FT37" s="84" t="s">
        <v>43</v>
      </c>
      <c r="FU37" s="85" t="s">
        <v>44</v>
      </c>
      <c r="FV37" s="78" t="s">
        <v>28</v>
      </c>
      <c r="FW37" s="79" t="s">
        <v>29</v>
      </c>
      <c r="FX37" s="79" t="s">
        <v>30</v>
      </c>
      <c r="FY37" s="80"/>
      <c r="FZ37" s="81" t="s">
        <v>31</v>
      </c>
      <c r="GA37" s="80"/>
      <c r="GB37" s="81" t="s">
        <v>32</v>
      </c>
      <c r="GC37" s="80"/>
      <c r="GD37" s="81" t="s">
        <v>33</v>
      </c>
      <c r="GE37" s="80"/>
      <c r="GF37" s="82" t="s">
        <v>34</v>
      </c>
      <c r="GG37" s="80"/>
      <c r="GH37" s="82" t="s">
        <v>35</v>
      </c>
      <c r="GI37" s="80"/>
      <c r="GJ37" s="81" t="s">
        <v>36</v>
      </c>
      <c r="GK37" s="80"/>
      <c r="GL37" s="81" t="s">
        <v>37</v>
      </c>
      <c r="GM37" s="80"/>
      <c r="GN37" s="81" t="s">
        <v>38</v>
      </c>
      <c r="GO37" s="80"/>
      <c r="GP37" s="81" t="s">
        <v>39</v>
      </c>
      <c r="GQ37" s="80"/>
      <c r="GR37" s="81" t="s">
        <v>40</v>
      </c>
      <c r="GS37" s="80"/>
      <c r="GT37" s="81" t="s">
        <v>41</v>
      </c>
      <c r="GU37" s="80"/>
      <c r="GV37" s="83" t="s">
        <v>42</v>
      </c>
      <c r="GW37" s="84" t="s">
        <v>43</v>
      </c>
      <c r="GX37" s="85" t="s">
        <v>44</v>
      </c>
      <c r="GY37" s="87" t="s">
        <v>45</v>
      </c>
      <c r="GZ37" s="88" t="s">
        <v>46</v>
      </c>
      <c r="HA37" s="89" t="s">
        <v>47</v>
      </c>
      <c r="HB37" s="78" t="s">
        <v>28</v>
      </c>
      <c r="HC37" s="79" t="s">
        <v>29</v>
      </c>
      <c r="HD37" s="79" t="s">
        <v>30</v>
      </c>
      <c r="HE37" s="80"/>
      <c r="HF37" s="81" t="s">
        <v>31</v>
      </c>
      <c r="HG37" s="80"/>
      <c r="HH37" s="81" t="s">
        <v>32</v>
      </c>
      <c r="HI37" s="80"/>
      <c r="HJ37" s="81" t="s">
        <v>33</v>
      </c>
      <c r="HK37" s="80"/>
      <c r="HL37" s="82" t="s">
        <v>34</v>
      </c>
      <c r="HM37" s="80"/>
      <c r="HN37" s="82" t="s">
        <v>35</v>
      </c>
      <c r="HO37" s="80"/>
      <c r="HP37" s="81" t="s">
        <v>36</v>
      </c>
      <c r="HQ37" s="80"/>
      <c r="HR37" s="81" t="s">
        <v>37</v>
      </c>
      <c r="HS37" s="80"/>
      <c r="HT37" s="81" t="s">
        <v>38</v>
      </c>
      <c r="HU37" s="80"/>
      <c r="HV37" s="81" t="s">
        <v>39</v>
      </c>
      <c r="HW37" s="80"/>
      <c r="HX37" s="81" t="s">
        <v>40</v>
      </c>
      <c r="HY37" s="80"/>
      <c r="HZ37" s="81" t="s">
        <v>41</v>
      </c>
      <c r="IA37" s="80"/>
      <c r="IB37" s="83" t="s">
        <v>42</v>
      </c>
      <c r="IC37" s="84" t="s">
        <v>43</v>
      </c>
      <c r="ID37" s="85" t="s">
        <v>44</v>
      </c>
      <c r="IE37" s="78" t="s">
        <v>28</v>
      </c>
      <c r="IF37" s="79" t="s">
        <v>29</v>
      </c>
      <c r="IG37" s="79" t="s">
        <v>30</v>
      </c>
      <c r="IH37" s="80"/>
      <c r="II37" s="81" t="s">
        <v>31</v>
      </c>
      <c r="IJ37" s="80"/>
      <c r="IK37" s="81" t="s">
        <v>32</v>
      </c>
      <c r="IL37" s="80"/>
      <c r="IM37" s="81" t="s">
        <v>33</v>
      </c>
      <c r="IN37" s="80"/>
      <c r="IO37" s="82" t="s">
        <v>34</v>
      </c>
      <c r="IP37" s="80"/>
      <c r="IQ37" s="82" t="s">
        <v>35</v>
      </c>
      <c r="IR37" s="80"/>
      <c r="IS37" s="81" t="s">
        <v>36</v>
      </c>
      <c r="IT37" s="80"/>
      <c r="IU37" s="81" t="s">
        <v>37</v>
      </c>
      <c r="IV37" s="80"/>
      <c r="IW37" s="81" t="s">
        <v>38</v>
      </c>
      <c r="IX37" s="80"/>
      <c r="IY37" s="81" t="s">
        <v>39</v>
      </c>
      <c r="IZ37" s="80"/>
      <c r="JA37" s="81" t="s">
        <v>40</v>
      </c>
      <c r="JB37" s="80"/>
      <c r="JC37" s="81" t="s">
        <v>41</v>
      </c>
      <c r="JD37" s="80"/>
      <c r="JE37" s="83" t="s">
        <v>42</v>
      </c>
      <c r="JF37" s="84" t="s">
        <v>43</v>
      </c>
      <c r="JG37" s="85" t="s">
        <v>44</v>
      </c>
      <c r="JH37" s="78" t="s">
        <v>28</v>
      </c>
      <c r="JI37" s="79" t="s">
        <v>29</v>
      </c>
      <c r="JJ37" s="79" t="s">
        <v>30</v>
      </c>
      <c r="JK37" s="80"/>
      <c r="JL37" s="81" t="s">
        <v>31</v>
      </c>
      <c r="JM37" s="80"/>
      <c r="JN37" s="81" t="s">
        <v>32</v>
      </c>
      <c r="JO37" s="80"/>
      <c r="JP37" s="81" t="s">
        <v>33</v>
      </c>
      <c r="JQ37" s="80"/>
      <c r="JR37" s="82" t="s">
        <v>34</v>
      </c>
      <c r="JS37" s="80"/>
      <c r="JT37" s="82" t="s">
        <v>35</v>
      </c>
      <c r="JU37" s="80"/>
      <c r="JV37" s="81" t="s">
        <v>36</v>
      </c>
      <c r="JW37" s="80"/>
      <c r="JX37" s="81" t="s">
        <v>37</v>
      </c>
      <c r="JY37" s="80"/>
      <c r="JZ37" s="81" t="s">
        <v>38</v>
      </c>
      <c r="KA37" s="80"/>
      <c r="KB37" s="81" t="s">
        <v>39</v>
      </c>
      <c r="KC37" s="80"/>
      <c r="KD37" s="81" t="s">
        <v>40</v>
      </c>
      <c r="KE37" s="80"/>
      <c r="KF37" s="81" t="s">
        <v>41</v>
      </c>
      <c r="KG37" s="80"/>
      <c r="KH37" s="83" t="s">
        <v>42</v>
      </c>
      <c r="KI37" s="84" t="s">
        <v>43</v>
      </c>
      <c r="KJ37" s="85" t="s">
        <v>44</v>
      </c>
      <c r="KK37" s="78" t="s">
        <v>28</v>
      </c>
      <c r="KL37" s="79" t="s">
        <v>29</v>
      </c>
      <c r="KM37" s="79" t="s">
        <v>30</v>
      </c>
      <c r="KN37" s="80"/>
      <c r="KO37" s="81" t="s">
        <v>31</v>
      </c>
      <c r="KP37" s="80"/>
      <c r="KQ37" s="81" t="s">
        <v>32</v>
      </c>
      <c r="KR37" s="80"/>
      <c r="KS37" s="81" t="s">
        <v>33</v>
      </c>
      <c r="KT37" s="80"/>
      <c r="KU37" s="82" t="s">
        <v>34</v>
      </c>
      <c r="KV37" s="80"/>
      <c r="KW37" s="82" t="s">
        <v>35</v>
      </c>
      <c r="KX37" s="80"/>
      <c r="KY37" s="81" t="s">
        <v>36</v>
      </c>
      <c r="KZ37" s="80"/>
      <c r="LA37" s="81" t="s">
        <v>37</v>
      </c>
      <c r="LB37" s="80"/>
      <c r="LC37" s="81" t="s">
        <v>38</v>
      </c>
      <c r="LD37" s="80"/>
      <c r="LE37" s="81" t="s">
        <v>39</v>
      </c>
      <c r="LF37" s="80"/>
      <c r="LG37" s="81" t="s">
        <v>40</v>
      </c>
      <c r="LH37" s="80"/>
      <c r="LI37" s="81" t="s">
        <v>41</v>
      </c>
      <c r="LJ37" s="80"/>
      <c r="LK37" s="83" t="s">
        <v>42</v>
      </c>
      <c r="LL37" s="84" t="s">
        <v>43</v>
      </c>
      <c r="LM37" s="85" t="s">
        <v>44</v>
      </c>
      <c r="LN37" s="78" t="s">
        <v>28</v>
      </c>
      <c r="LO37" s="79" t="s">
        <v>29</v>
      </c>
      <c r="LP37" s="79" t="s">
        <v>30</v>
      </c>
      <c r="LQ37" s="80"/>
      <c r="LR37" s="81" t="s">
        <v>31</v>
      </c>
      <c r="LS37" s="80"/>
      <c r="LT37" s="81" t="s">
        <v>32</v>
      </c>
      <c r="LU37" s="80"/>
      <c r="LV37" s="81" t="s">
        <v>33</v>
      </c>
      <c r="LW37" s="80"/>
      <c r="LX37" s="82" t="s">
        <v>34</v>
      </c>
      <c r="LY37" s="80"/>
      <c r="LZ37" s="82" t="s">
        <v>35</v>
      </c>
      <c r="MA37" s="80"/>
      <c r="MB37" s="81" t="s">
        <v>36</v>
      </c>
      <c r="MC37" s="80"/>
      <c r="MD37" s="81" t="s">
        <v>37</v>
      </c>
      <c r="ME37" s="80"/>
      <c r="MF37" s="81" t="s">
        <v>38</v>
      </c>
      <c r="MG37" s="80"/>
      <c r="MH37" s="81" t="s">
        <v>39</v>
      </c>
      <c r="MI37" s="80"/>
      <c r="MJ37" s="81" t="s">
        <v>40</v>
      </c>
      <c r="MK37" s="80"/>
      <c r="ML37" s="81" t="s">
        <v>41</v>
      </c>
      <c r="MM37" s="80"/>
      <c r="MN37" s="83" t="s">
        <v>42</v>
      </c>
      <c r="MO37" s="84" t="s">
        <v>43</v>
      </c>
      <c r="MP37" s="85" t="s">
        <v>44</v>
      </c>
      <c r="MQ37" s="78" t="s">
        <v>28</v>
      </c>
      <c r="MR37" s="79" t="s">
        <v>29</v>
      </c>
      <c r="MS37" s="81" t="s">
        <v>30</v>
      </c>
      <c r="MT37" s="80"/>
      <c r="MU37" s="81" t="s">
        <v>31</v>
      </c>
      <c r="MV37" s="80"/>
      <c r="MW37" s="81" t="s">
        <v>32</v>
      </c>
      <c r="MX37" s="80"/>
      <c r="MY37" s="81" t="s">
        <v>33</v>
      </c>
      <c r="MZ37" s="80"/>
      <c r="NA37" s="82" t="s">
        <v>34</v>
      </c>
      <c r="NB37" s="80"/>
      <c r="NC37" s="82" t="s">
        <v>35</v>
      </c>
      <c r="ND37" s="80"/>
      <c r="NE37" s="81" t="s">
        <v>36</v>
      </c>
      <c r="NF37" s="80"/>
      <c r="NG37" s="81" t="s">
        <v>37</v>
      </c>
      <c r="NH37" s="80"/>
      <c r="NI37" s="81" t="s">
        <v>38</v>
      </c>
      <c r="NJ37" s="80"/>
      <c r="NK37" s="81" t="s">
        <v>39</v>
      </c>
      <c r="NL37" s="80"/>
      <c r="NM37" s="81" t="s">
        <v>40</v>
      </c>
      <c r="NN37" s="80"/>
      <c r="NO37" s="81" t="s">
        <v>41</v>
      </c>
      <c r="NP37" s="80"/>
      <c r="NQ37" s="83" t="s">
        <v>42</v>
      </c>
      <c r="NR37" s="84" t="s">
        <v>43</v>
      </c>
      <c r="NS37" s="85" t="s">
        <v>44</v>
      </c>
      <c r="NT37" s="78" t="s">
        <v>28</v>
      </c>
      <c r="NU37" s="79" t="s">
        <v>29</v>
      </c>
      <c r="NV37" s="79" t="s">
        <v>30</v>
      </c>
      <c r="NW37" s="80"/>
      <c r="NX37" s="81" t="s">
        <v>31</v>
      </c>
      <c r="NY37" s="80"/>
      <c r="NZ37" s="81" t="s">
        <v>32</v>
      </c>
      <c r="OA37" s="80"/>
      <c r="OB37" s="81" t="s">
        <v>33</v>
      </c>
      <c r="OC37" s="80"/>
      <c r="OD37" s="82" t="s">
        <v>34</v>
      </c>
      <c r="OE37" s="80"/>
      <c r="OF37" s="82" t="s">
        <v>35</v>
      </c>
      <c r="OG37" s="80"/>
      <c r="OH37" s="81" t="s">
        <v>36</v>
      </c>
      <c r="OI37" s="80"/>
      <c r="OJ37" s="81" t="s">
        <v>37</v>
      </c>
      <c r="OK37" s="80"/>
      <c r="OL37" s="81" t="s">
        <v>38</v>
      </c>
      <c r="OM37" s="80"/>
      <c r="ON37" s="81" t="s">
        <v>39</v>
      </c>
      <c r="OO37" s="80"/>
      <c r="OP37" s="81" t="s">
        <v>40</v>
      </c>
      <c r="OQ37" s="80"/>
      <c r="OR37" s="81" t="s">
        <v>41</v>
      </c>
      <c r="OS37" s="80"/>
      <c r="OT37" s="83" t="s">
        <v>42</v>
      </c>
      <c r="OU37" s="84" t="s">
        <v>43</v>
      </c>
      <c r="OV37" s="85" t="s">
        <v>44</v>
      </c>
      <c r="OW37" s="87" t="s">
        <v>45</v>
      </c>
      <c r="OX37" s="88" t="s">
        <v>46</v>
      </c>
      <c r="OY37" s="89" t="s">
        <v>47</v>
      </c>
      <c r="OZ37" s="78" t="s">
        <v>28</v>
      </c>
      <c r="PA37" s="79" t="s">
        <v>29</v>
      </c>
      <c r="PB37" s="79" t="s">
        <v>30</v>
      </c>
      <c r="PC37" s="80"/>
      <c r="PD37" s="81" t="s">
        <v>31</v>
      </c>
      <c r="PE37" s="80"/>
      <c r="PF37" s="81" t="s">
        <v>32</v>
      </c>
      <c r="PG37" s="80"/>
      <c r="PH37" s="81" t="s">
        <v>33</v>
      </c>
      <c r="PI37" s="80"/>
      <c r="PJ37" s="82" t="s">
        <v>34</v>
      </c>
      <c r="PK37" s="80"/>
      <c r="PL37" s="82" t="s">
        <v>35</v>
      </c>
      <c r="PM37" s="80"/>
      <c r="PN37" s="81" t="s">
        <v>36</v>
      </c>
      <c r="PO37" s="80"/>
      <c r="PP37" s="81" t="s">
        <v>37</v>
      </c>
      <c r="PQ37" s="80"/>
      <c r="PR37" s="81" t="s">
        <v>38</v>
      </c>
      <c r="PS37" s="80"/>
      <c r="PT37" s="81" t="s">
        <v>39</v>
      </c>
      <c r="PU37" s="80"/>
      <c r="PV37" s="81" t="s">
        <v>40</v>
      </c>
      <c r="PW37" s="80"/>
      <c r="PX37" s="81" t="s">
        <v>41</v>
      </c>
      <c r="PY37" s="80"/>
      <c r="PZ37" s="83" t="s">
        <v>42</v>
      </c>
      <c r="QA37" s="84" t="s">
        <v>43</v>
      </c>
      <c r="QB37" s="85" t="s">
        <v>44</v>
      </c>
      <c r="QC37" s="78" t="s">
        <v>28</v>
      </c>
      <c r="QD37" s="79" t="s">
        <v>29</v>
      </c>
      <c r="QE37" s="79" t="s">
        <v>30</v>
      </c>
      <c r="QF37" s="80"/>
      <c r="QG37" s="81" t="s">
        <v>31</v>
      </c>
      <c r="QH37" s="80"/>
      <c r="QI37" s="81" t="s">
        <v>32</v>
      </c>
      <c r="QJ37" s="80"/>
      <c r="QK37" s="81" t="s">
        <v>33</v>
      </c>
      <c r="QL37" s="80"/>
      <c r="QM37" s="82" t="s">
        <v>34</v>
      </c>
      <c r="QN37" s="80"/>
      <c r="QO37" s="82" t="s">
        <v>35</v>
      </c>
      <c r="QP37" s="80"/>
      <c r="QQ37" s="81" t="s">
        <v>36</v>
      </c>
      <c r="QR37" s="80"/>
      <c r="QS37" s="81" t="s">
        <v>37</v>
      </c>
      <c r="QT37" s="80"/>
      <c r="QU37" s="81" t="s">
        <v>38</v>
      </c>
      <c r="QV37" s="80"/>
      <c r="QW37" s="81" t="s">
        <v>39</v>
      </c>
      <c r="QX37" s="80"/>
      <c r="QY37" s="81" t="s">
        <v>40</v>
      </c>
      <c r="QZ37" s="80"/>
      <c r="RA37" s="81" t="s">
        <v>41</v>
      </c>
      <c r="RB37" s="80"/>
      <c r="RC37" s="83" t="s">
        <v>42</v>
      </c>
      <c r="RD37" s="84" t="s">
        <v>43</v>
      </c>
      <c r="RE37" s="85" t="s">
        <v>44</v>
      </c>
      <c r="RF37" s="78" t="s">
        <v>28</v>
      </c>
      <c r="RG37" s="79" t="s">
        <v>29</v>
      </c>
      <c r="RH37" s="79" t="s">
        <v>30</v>
      </c>
      <c r="RI37" s="80"/>
      <c r="RJ37" s="81" t="s">
        <v>31</v>
      </c>
      <c r="RK37" s="80"/>
      <c r="RL37" s="81" t="s">
        <v>32</v>
      </c>
      <c r="RM37" s="80"/>
      <c r="RN37" s="81" t="s">
        <v>33</v>
      </c>
      <c r="RO37" s="80"/>
      <c r="RP37" s="82" t="s">
        <v>34</v>
      </c>
      <c r="RQ37" s="80"/>
      <c r="RR37" s="82" t="s">
        <v>35</v>
      </c>
      <c r="RS37" s="80"/>
      <c r="RT37" s="81" t="s">
        <v>36</v>
      </c>
      <c r="RU37" s="80"/>
      <c r="RV37" s="81" t="s">
        <v>37</v>
      </c>
      <c r="RW37" s="80"/>
      <c r="RX37" s="81" t="s">
        <v>38</v>
      </c>
      <c r="RY37" s="80"/>
      <c r="RZ37" s="81" t="s">
        <v>39</v>
      </c>
      <c r="SA37" s="80"/>
      <c r="SB37" s="81" t="s">
        <v>40</v>
      </c>
      <c r="SC37" s="80"/>
      <c r="SD37" s="81" t="s">
        <v>41</v>
      </c>
      <c r="SE37" s="80"/>
      <c r="SF37" s="83" t="s">
        <v>42</v>
      </c>
      <c r="SG37" s="84" t="s">
        <v>43</v>
      </c>
      <c r="SH37" s="85" t="s">
        <v>44</v>
      </c>
      <c r="SI37" s="78" t="s">
        <v>28</v>
      </c>
      <c r="SJ37" s="79" t="s">
        <v>29</v>
      </c>
      <c r="SK37" s="79" t="s">
        <v>30</v>
      </c>
      <c r="SL37" s="80"/>
      <c r="SM37" s="81" t="s">
        <v>31</v>
      </c>
      <c r="SN37" s="80"/>
      <c r="SO37" s="81" t="s">
        <v>32</v>
      </c>
      <c r="SP37" s="80"/>
      <c r="SQ37" s="81" t="s">
        <v>33</v>
      </c>
      <c r="SR37" s="80"/>
      <c r="SS37" s="82" t="s">
        <v>34</v>
      </c>
      <c r="ST37" s="80"/>
      <c r="SU37" s="82" t="s">
        <v>35</v>
      </c>
      <c r="SV37" s="80"/>
      <c r="SW37" s="81" t="s">
        <v>36</v>
      </c>
      <c r="SX37" s="80"/>
      <c r="SY37" s="81" t="s">
        <v>37</v>
      </c>
      <c r="SZ37" s="80"/>
      <c r="TA37" s="81" t="s">
        <v>38</v>
      </c>
      <c r="TB37" s="80"/>
      <c r="TC37" s="81" t="s">
        <v>39</v>
      </c>
      <c r="TD37" s="80"/>
      <c r="TE37" s="81" t="s">
        <v>40</v>
      </c>
      <c r="TF37" s="80"/>
      <c r="TG37" s="81" t="s">
        <v>41</v>
      </c>
      <c r="TH37" s="80"/>
      <c r="TI37" s="83" t="s">
        <v>42</v>
      </c>
      <c r="TJ37" s="84" t="s">
        <v>43</v>
      </c>
      <c r="TK37" s="85" t="s">
        <v>44</v>
      </c>
      <c r="TL37" s="78" t="s">
        <v>28</v>
      </c>
      <c r="TM37" s="79" t="s">
        <v>29</v>
      </c>
      <c r="TN37" s="79" t="s">
        <v>30</v>
      </c>
      <c r="TO37" s="80"/>
      <c r="TP37" s="81" t="s">
        <v>31</v>
      </c>
      <c r="TQ37" s="80"/>
      <c r="TR37" s="81" t="s">
        <v>32</v>
      </c>
      <c r="TS37" s="80"/>
      <c r="TT37" s="81" t="s">
        <v>33</v>
      </c>
      <c r="TU37" s="80"/>
      <c r="TV37" s="82" t="s">
        <v>34</v>
      </c>
      <c r="TW37" s="80"/>
      <c r="TX37" s="82" t="s">
        <v>35</v>
      </c>
      <c r="TY37" s="80"/>
      <c r="TZ37" s="81" t="s">
        <v>36</v>
      </c>
      <c r="UA37" s="80"/>
      <c r="UB37" s="81" t="s">
        <v>37</v>
      </c>
      <c r="UC37" s="80"/>
      <c r="UD37" s="81" t="s">
        <v>38</v>
      </c>
      <c r="UE37" s="80"/>
      <c r="UF37" s="81" t="s">
        <v>39</v>
      </c>
      <c r="UG37" s="80"/>
      <c r="UH37" s="81" t="s">
        <v>40</v>
      </c>
      <c r="UI37" s="80"/>
      <c r="UJ37" s="81" t="s">
        <v>41</v>
      </c>
      <c r="UK37" s="80"/>
      <c r="UL37" s="83" t="s">
        <v>42</v>
      </c>
      <c r="UM37" s="84" t="s">
        <v>43</v>
      </c>
      <c r="UN37" s="85" t="s">
        <v>44</v>
      </c>
      <c r="UO37" s="78" t="s">
        <v>28</v>
      </c>
      <c r="UP37" s="79" t="s">
        <v>29</v>
      </c>
      <c r="UQ37" s="81" t="s">
        <v>30</v>
      </c>
      <c r="UR37" s="80"/>
      <c r="US37" s="81" t="s">
        <v>31</v>
      </c>
      <c r="UT37" s="80"/>
      <c r="UU37" s="81" t="s">
        <v>32</v>
      </c>
      <c r="UV37" s="80"/>
      <c r="UW37" s="81" t="s">
        <v>33</v>
      </c>
      <c r="UX37" s="80"/>
      <c r="UY37" s="82" t="s">
        <v>34</v>
      </c>
      <c r="UZ37" s="80"/>
      <c r="VA37" s="82" t="s">
        <v>35</v>
      </c>
      <c r="VB37" s="80"/>
      <c r="VC37" s="81" t="s">
        <v>36</v>
      </c>
      <c r="VD37" s="80"/>
      <c r="VE37" s="81" t="s">
        <v>37</v>
      </c>
      <c r="VF37" s="80"/>
      <c r="VG37" s="81" t="s">
        <v>38</v>
      </c>
      <c r="VH37" s="80"/>
      <c r="VI37" s="81" t="s">
        <v>39</v>
      </c>
      <c r="VJ37" s="80"/>
      <c r="VK37" s="81" t="s">
        <v>40</v>
      </c>
      <c r="VL37" s="80"/>
      <c r="VM37" s="81" t="s">
        <v>41</v>
      </c>
      <c r="VN37" s="80"/>
      <c r="VO37" s="83" t="s">
        <v>42</v>
      </c>
      <c r="VP37" s="84" t="s">
        <v>43</v>
      </c>
      <c r="VQ37" s="85" t="s">
        <v>44</v>
      </c>
      <c r="VR37" s="78" t="s">
        <v>28</v>
      </c>
      <c r="VS37" s="79" t="s">
        <v>29</v>
      </c>
      <c r="VT37" s="79" t="s">
        <v>30</v>
      </c>
      <c r="VU37" s="80"/>
      <c r="VV37" s="81" t="s">
        <v>31</v>
      </c>
      <c r="VW37" s="80"/>
      <c r="VX37" s="81" t="s">
        <v>32</v>
      </c>
      <c r="VY37" s="80"/>
      <c r="VZ37" s="81" t="s">
        <v>33</v>
      </c>
      <c r="WA37" s="80"/>
      <c r="WB37" s="82" t="s">
        <v>34</v>
      </c>
      <c r="WC37" s="80"/>
      <c r="WD37" s="82" t="s">
        <v>35</v>
      </c>
      <c r="WE37" s="80"/>
      <c r="WF37" s="81" t="s">
        <v>36</v>
      </c>
      <c r="WG37" s="80"/>
      <c r="WH37" s="81" t="s">
        <v>37</v>
      </c>
      <c r="WI37" s="80"/>
      <c r="WJ37" s="81" t="s">
        <v>38</v>
      </c>
      <c r="WK37" s="80"/>
      <c r="WL37" s="81" t="s">
        <v>39</v>
      </c>
      <c r="WM37" s="80"/>
      <c r="WN37" s="81" t="s">
        <v>40</v>
      </c>
      <c r="WO37" s="80"/>
      <c r="WP37" s="81" t="s">
        <v>41</v>
      </c>
      <c r="WQ37" s="80"/>
      <c r="WR37" s="83" t="s">
        <v>42</v>
      </c>
      <c r="WS37" s="84" t="s">
        <v>43</v>
      </c>
      <c r="WT37" s="85" t="s">
        <v>44</v>
      </c>
      <c r="WU37" s="87" t="s">
        <v>45</v>
      </c>
      <c r="WV37" s="88" t="s">
        <v>46</v>
      </c>
      <c r="WW37" s="89" t="s">
        <v>47</v>
      </c>
      <c r="WX37" s="78" t="s">
        <v>28</v>
      </c>
      <c r="WY37" s="79" t="s">
        <v>29</v>
      </c>
      <c r="WZ37" s="79" t="s">
        <v>30</v>
      </c>
      <c r="XA37" s="80"/>
      <c r="XB37" s="81" t="s">
        <v>31</v>
      </c>
      <c r="XC37" s="80"/>
      <c r="XD37" s="81" t="s">
        <v>32</v>
      </c>
      <c r="XE37" s="80"/>
      <c r="XF37" s="81" t="s">
        <v>33</v>
      </c>
      <c r="XG37" s="80"/>
      <c r="XH37" s="82" t="s">
        <v>34</v>
      </c>
      <c r="XI37" s="80"/>
      <c r="XJ37" s="82" t="s">
        <v>35</v>
      </c>
      <c r="XK37" s="80"/>
      <c r="XL37" s="81" t="s">
        <v>36</v>
      </c>
      <c r="XM37" s="80"/>
      <c r="XN37" s="81" t="s">
        <v>37</v>
      </c>
      <c r="XO37" s="80"/>
      <c r="XP37" s="81" t="s">
        <v>38</v>
      </c>
      <c r="XQ37" s="80"/>
      <c r="XR37" s="81" t="s">
        <v>39</v>
      </c>
      <c r="XS37" s="80"/>
      <c r="XT37" s="81" t="s">
        <v>40</v>
      </c>
      <c r="XU37" s="80"/>
      <c r="XV37" s="81" t="s">
        <v>41</v>
      </c>
      <c r="XW37" s="80"/>
      <c r="XX37" s="83" t="s">
        <v>42</v>
      </c>
      <c r="XY37" s="84" t="s">
        <v>43</v>
      </c>
      <c r="XZ37" s="85" t="s">
        <v>44</v>
      </c>
      <c r="YA37" s="78" t="s">
        <v>28</v>
      </c>
      <c r="YB37" s="79" t="s">
        <v>29</v>
      </c>
      <c r="YC37" s="79" t="s">
        <v>30</v>
      </c>
      <c r="YD37" s="80"/>
      <c r="YE37" s="81" t="s">
        <v>31</v>
      </c>
      <c r="YF37" s="80"/>
      <c r="YG37" s="81" t="s">
        <v>32</v>
      </c>
      <c r="YH37" s="80"/>
      <c r="YI37" s="81" t="s">
        <v>33</v>
      </c>
      <c r="YJ37" s="80"/>
      <c r="YK37" s="82" t="s">
        <v>34</v>
      </c>
      <c r="YL37" s="80"/>
      <c r="YM37" s="82" t="s">
        <v>35</v>
      </c>
      <c r="YN37" s="80"/>
      <c r="YO37" s="81" t="s">
        <v>36</v>
      </c>
      <c r="YP37" s="80"/>
      <c r="YQ37" s="81" t="s">
        <v>37</v>
      </c>
      <c r="YR37" s="80"/>
      <c r="YS37" s="81" t="s">
        <v>38</v>
      </c>
      <c r="YT37" s="80"/>
      <c r="YU37" s="81" t="s">
        <v>39</v>
      </c>
      <c r="YV37" s="80"/>
      <c r="YW37" s="81" t="s">
        <v>40</v>
      </c>
      <c r="YX37" s="80"/>
      <c r="YY37" s="81" t="s">
        <v>41</v>
      </c>
      <c r="YZ37" s="80"/>
      <c r="ZA37" s="83" t="s">
        <v>42</v>
      </c>
      <c r="ZB37" s="84" t="s">
        <v>43</v>
      </c>
      <c r="ZC37" s="85" t="s">
        <v>44</v>
      </c>
      <c r="ZD37" s="78" t="s">
        <v>28</v>
      </c>
      <c r="ZE37" s="79" t="s">
        <v>29</v>
      </c>
      <c r="ZF37" s="79" t="s">
        <v>30</v>
      </c>
      <c r="ZG37" s="80"/>
      <c r="ZH37" s="81" t="s">
        <v>31</v>
      </c>
      <c r="ZI37" s="80"/>
      <c r="ZJ37" s="81" t="s">
        <v>32</v>
      </c>
      <c r="ZK37" s="80"/>
      <c r="ZL37" s="81" t="s">
        <v>33</v>
      </c>
      <c r="ZM37" s="80"/>
      <c r="ZN37" s="82" t="s">
        <v>34</v>
      </c>
      <c r="ZO37" s="80"/>
      <c r="ZP37" s="82" t="s">
        <v>35</v>
      </c>
      <c r="ZQ37" s="80"/>
      <c r="ZR37" s="81" t="s">
        <v>36</v>
      </c>
      <c r="ZS37" s="80"/>
      <c r="ZT37" s="81" t="s">
        <v>37</v>
      </c>
      <c r="ZU37" s="80"/>
      <c r="ZV37" s="81" t="s">
        <v>38</v>
      </c>
      <c r="ZW37" s="80"/>
      <c r="ZX37" s="81" t="s">
        <v>39</v>
      </c>
      <c r="ZY37" s="80"/>
      <c r="ZZ37" s="81" t="s">
        <v>40</v>
      </c>
      <c r="AAA37" s="80"/>
      <c r="AAB37" s="81" t="s">
        <v>41</v>
      </c>
      <c r="AAC37" s="80"/>
      <c r="AAD37" s="83" t="s">
        <v>42</v>
      </c>
      <c r="AAE37" s="84" t="s">
        <v>43</v>
      </c>
      <c r="AAF37" s="85" t="s">
        <v>44</v>
      </c>
      <c r="AAG37" s="78" t="s">
        <v>28</v>
      </c>
      <c r="AAH37" s="79" t="s">
        <v>29</v>
      </c>
      <c r="AAI37" s="79" t="s">
        <v>30</v>
      </c>
      <c r="AAJ37" s="80"/>
      <c r="AAK37" s="81" t="s">
        <v>31</v>
      </c>
      <c r="AAL37" s="80"/>
      <c r="AAM37" s="81" t="s">
        <v>32</v>
      </c>
      <c r="AAN37" s="80"/>
      <c r="AAO37" s="81" t="s">
        <v>33</v>
      </c>
      <c r="AAP37" s="80"/>
      <c r="AAQ37" s="82" t="s">
        <v>34</v>
      </c>
      <c r="AAR37" s="80"/>
      <c r="AAS37" s="82" t="s">
        <v>35</v>
      </c>
      <c r="AAT37" s="80"/>
      <c r="AAU37" s="81" t="s">
        <v>36</v>
      </c>
      <c r="AAV37" s="80"/>
      <c r="AAW37" s="81" t="s">
        <v>37</v>
      </c>
      <c r="AAX37" s="80"/>
      <c r="AAY37" s="81" t="s">
        <v>38</v>
      </c>
      <c r="AAZ37" s="80"/>
      <c r="ABA37" s="81" t="s">
        <v>39</v>
      </c>
      <c r="ABB37" s="80"/>
      <c r="ABC37" s="81" t="s">
        <v>40</v>
      </c>
      <c r="ABD37" s="80"/>
      <c r="ABE37" s="81" t="s">
        <v>41</v>
      </c>
      <c r="ABF37" s="80"/>
      <c r="ABG37" s="83" t="s">
        <v>42</v>
      </c>
      <c r="ABH37" s="84" t="s">
        <v>43</v>
      </c>
      <c r="ABI37" s="85" t="s">
        <v>44</v>
      </c>
      <c r="ABJ37" s="78" t="s">
        <v>28</v>
      </c>
      <c r="ABK37" s="79" t="s">
        <v>29</v>
      </c>
      <c r="ABL37" s="79" t="s">
        <v>30</v>
      </c>
      <c r="ABM37" s="80"/>
      <c r="ABN37" s="81" t="s">
        <v>31</v>
      </c>
      <c r="ABO37" s="80"/>
      <c r="ABP37" s="81" t="s">
        <v>32</v>
      </c>
      <c r="ABQ37" s="80"/>
      <c r="ABR37" s="81" t="s">
        <v>33</v>
      </c>
      <c r="ABS37" s="80"/>
      <c r="ABT37" s="82" t="s">
        <v>34</v>
      </c>
      <c r="ABU37" s="80"/>
      <c r="ABV37" s="82" t="s">
        <v>35</v>
      </c>
      <c r="ABW37" s="80"/>
      <c r="ABX37" s="81" t="s">
        <v>36</v>
      </c>
      <c r="ABY37" s="80"/>
      <c r="ABZ37" s="81" t="s">
        <v>37</v>
      </c>
      <c r="ACA37" s="80"/>
      <c r="ACB37" s="81" t="s">
        <v>38</v>
      </c>
      <c r="ACC37" s="80"/>
      <c r="ACD37" s="81" t="s">
        <v>39</v>
      </c>
      <c r="ACE37" s="80"/>
      <c r="ACF37" s="81" t="s">
        <v>40</v>
      </c>
      <c r="ACG37" s="80"/>
      <c r="ACH37" s="81" t="s">
        <v>41</v>
      </c>
      <c r="ACI37" s="80"/>
      <c r="ACJ37" s="83" t="s">
        <v>42</v>
      </c>
      <c r="ACK37" s="84" t="s">
        <v>43</v>
      </c>
      <c r="ACL37" s="85" t="s">
        <v>44</v>
      </c>
      <c r="ACM37" s="78" t="s">
        <v>28</v>
      </c>
      <c r="ACN37" s="79" t="s">
        <v>29</v>
      </c>
      <c r="ACO37" s="81" t="s">
        <v>30</v>
      </c>
      <c r="ACP37" s="80"/>
      <c r="ACQ37" s="81" t="s">
        <v>31</v>
      </c>
      <c r="ACR37" s="80"/>
      <c r="ACS37" s="81" t="s">
        <v>32</v>
      </c>
      <c r="ACT37" s="80"/>
      <c r="ACU37" s="81" t="s">
        <v>33</v>
      </c>
      <c r="ACV37" s="80"/>
      <c r="ACW37" s="82" t="s">
        <v>34</v>
      </c>
      <c r="ACX37" s="80"/>
      <c r="ACY37" s="82" t="s">
        <v>35</v>
      </c>
      <c r="ACZ37" s="80"/>
      <c r="ADA37" s="81" t="s">
        <v>36</v>
      </c>
      <c r="ADB37" s="80"/>
      <c r="ADC37" s="81" t="s">
        <v>37</v>
      </c>
      <c r="ADD37" s="80"/>
      <c r="ADE37" s="81" t="s">
        <v>38</v>
      </c>
      <c r="ADF37" s="80"/>
      <c r="ADG37" s="81" t="s">
        <v>39</v>
      </c>
      <c r="ADH37" s="80"/>
      <c r="ADI37" s="81" t="s">
        <v>40</v>
      </c>
      <c r="ADJ37" s="80"/>
      <c r="ADK37" s="81" t="s">
        <v>41</v>
      </c>
      <c r="ADL37" s="80"/>
      <c r="ADM37" s="83" t="s">
        <v>42</v>
      </c>
      <c r="ADN37" s="84" t="s">
        <v>43</v>
      </c>
      <c r="ADO37" s="85" t="s">
        <v>44</v>
      </c>
      <c r="ADP37" s="78" t="s">
        <v>28</v>
      </c>
      <c r="ADQ37" s="79" t="s">
        <v>29</v>
      </c>
      <c r="ADR37" s="79" t="s">
        <v>30</v>
      </c>
      <c r="ADS37" s="80"/>
      <c r="ADT37" s="81" t="s">
        <v>31</v>
      </c>
      <c r="ADU37" s="80"/>
      <c r="ADV37" s="81" t="s">
        <v>32</v>
      </c>
      <c r="ADW37" s="80"/>
      <c r="ADX37" s="81" t="s">
        <v>33</v>
      </c>
      <c r="ADY37" s="80"/>
      <c r="ADZ37" s="82" t="s">
        <v>34</v>
      </c>
      <c r="AEA37" s="80"/>
      <c r="AEB37" s="82" t="s">
        <v>35</v>
      </c>
      <c r="AEC37" s="80"/>
      <c r="AED37" s="81" t="s">
        <v>36</v>
      </c>
      <c r="AEE37" s="80"/>
      <c r="AEF37" s="81" t="s">
        <v>37</v>
      </c>
      <c r="AEG37" s="80"/>
      <c r="AEH37" s="81" t="s">
        <v>38</v>
      </c>
      <c r="AEI37" s="80"/>
      <c r="AEJ37" s="81" t="s">
        <v>39</v>
      </c>
      <c r="AEK37" s="80"/>
      <c r="AEL37" s="81" t="s">
        <v>40</v>
      </c>
      <c r="AEM37" s="80"/>
      <c r="AEN37" s="81" t="s">
        <v>41</v>
      </c>
      <c r="AEO37" s="80"/>
      <c r="AEP37" s="83" t="s">
        <v>42</v>
      </c>
      <c r="AEQ37" s="84" t="s">
        <v>43</v>
      </c>
      <c r="AER37" s="85" t="s">
        <v>44</v>
      </c>
      <c r="AES37" s="87" t="s">
        <v>45</v>
      </c>
      <c r="AET37" s="88" t="s">
        <v>46</v>
      </c>
      <c r="AEU37" s="89" t="s">
        <v>47</v>
      </c>
      <c r="AEV37" s="78" t="s">
        <v>28</v>
      </c>
      <c r="AEW37" s="79" t="s">
        <v>29</v>
      </c>
      <c r="AEX37" s="79" t="s">
        <v>30</v>
      </c>
      <c r="AEY37" s="80"/>
      <c r="AEZ37" s="81" t="s">
        <v>31</v>
      </c>
      <c r="AFA37" s="80"/>
      <c r="AFB37" s="81" t="s">
        <v>32</v>
      </c>
      <c r="AFC37" s="80"/>
      <c r="AFD37" s="81" t="s">
        <v>33</v>
      </c>
      <c r="AFE37" s="80"/>
      <c r="AFF37" s="82" t="s">
        <v>34</v>
      </c>
      <c r="AFG37" s="80"/>
      <c r="AFH37" s="82" t="s">
        <v>35</v>
      </c>
      <c r="AFI37" s="80"/>
      <c r="AFJ37" s="81" t="s">
        <v>36</v>
      </c>
      <c r="AFK37" s="80"/>
      <c r="AFL37" s="81" t="s">
        <v>37</v>
      </c>
      <c r="AFM37" s="80"/>
      <c r="AFN37" s="81" t="s">
        <v>38</v>
      </c>
      <c r="AFO37" s="80"/>
      <c r="AFP37" s="81" t="s">
        <v>39</v>
      </c>
      <c r="AFQ37" s="80"/>
      <c r="AFR37" s="81" t="s">
        <v>40</v>
      </c>
      <c r="AFS37" s="80"/>
      <c r="AFT37" s="81" t="s">
        <v>41</v>
      </c>
      <c r="AFU37" s="80"/>
      <c r="AFV37" s="83" t="s">
        <v>42</v>
      </c>
      <c r="AFW37" s="84" t="s">
        <v>43</v>
      </c>
      <c r="AFX37" s="85" t="s">
        <v>44</v>
      </c>
      <c r="AFY37" s="78" t="s">
        <v>28</v>
      </c>
      <c r="AFZ37" s="79" t="s">
        <v>29</v>
      </c>
      <c r="AGA37" s="79" t="s">
        <v>30</v>
      </c>
      <c r="AGB37" s="80"/>
      <c r="AGC37" s="81" t="s">
        <v>31</v>
      </c>
      <c r="AGD37" s="80"/>
      <c r="AGE37" s="81" t="s">
        <v>32</v>
      </c>
      <c r="AGF37" s="80"/>
      <c r="AGG37" s="81" t="s">
        <v>33</v>
      </c>
      <c r="AGH37" s="80"/>
      <c r="AGI37" s="82" t="s">
        <v>34</v>
      </c>
      <c r="AGJ37" s="80"/>
      <c r="AGK37" s="82" t="s">
        <v>35</v>
      </c>
      <c r="AGL37" s="80"/>
      <c r="AGM37" s="81" t="s">
        <v>36</v>
      </c>
      <c r="AGN37" s="80"/>
      <c r="AGO37" s="81" t="s">
        <v>37</v>
      </c>
      <c r="AGP37" s="80"/>
      <c r="AGQ37" s="81" t="s">
        <v>38</v>
      </c>
      <c r="AGR37" s="80"/>
      <c r="AGS37" s="81" t="s">
        <v>39</v>
      </c>
      <c r="AGT37" s="80"/>
      <c r="AGU37" s="81" t="s">
        <v>40</v>
      </c>
      <c r="AGV37" s="80"/>
      <c r="AGW37" s="81" t="s">
        <v>41</v>
      </c>
      <c r="AGX37" s="80"/>
      <c r="AGY37" s="83" t="s">
        <v>42</v>
      </c>
      <c r="AGZ37" s="84" t="s">
        <v>43</v>
      </c>
      <c r="AHA37" s="85" t="s">
        <v>44</v>
      </c>
      <c r="AHB37" s="78" t="s">
        <v>28</v>
      </c>
      <c r="AHC37" s="79" t="s">
        <v>29</v>
      </c>
      <c r="AHD37" s="79" t="s">
        <v>30</v>
      </c>
      <c r="AHE37" s="80"/>
      <c r="AHF37" s="81" t="s">
        <v>31</v>
      </c>
      <c r="AHG37" s="80"/>
      <c r="AHH37" s="81" t="s">
        <v>32</v>
      </c>
      <c r="AHI37" s="80"/>
      <c r="AHJ37" s="81" t="s">
        <v>33</v>
      </c>
      <c r="AHK37" s="80"/>
      <c r="AHL37" s="82" t="s">
        <v>34</v>
      </c>
      <c r="AHM37" s="80"/>
      <c r="AHN37" s="82" t="s">
        <v>35</v>
      </c>
      <c r="AHO37" s="80"/>
      <c r="AHP37" s="81" t="s">
        <v>36</v>
      </c>
      <c r="AHQ37" s="80"/>
      <c r="AHR37" s="81" t="s">
        <v>37</v>
      </c>
      <c r="AHS37" s="80"/>
      <c r="AHT37" s="81" t="s">
        <v>38</v>
      </c>
      <c r="AHU37" s="80"/>
      <c r="AHV37" s="81" t="s">
        <v>39</v>
      </c>
      <c r="AHW37" s="80"/>
      <c r="AHX37" s="81" t="s">
        <v>40</v>
      </c>
      <c r="AHY37" s="80"/>
      <c r="AHZ37" s="81" t="s">
        <v>41</v>
      </c>
      <c r="AIA37" s="80"/>
      <c r="AIB37" s="83" t="s">
        <v>42</v>
      </c>
      <c r="AIC37" s="84" t="s">
        <v>43</v>
      </c>
      <c r="AID37" s="85" t="s">
        <v>44</v>
      </c>
      <c r="AIE37" s="78" t="s">
        <v>28</v>
      </c>
      <c r="AIF37" s="79" t="s">
        <v>29</v>
      </c>
      <c r="AIG37" s="79" t="s">
        <v>30</v>
      </c>
      <c r="AIH37" s="80"/>
      <c r="AII37" s="81" t="s">
        <v>31</v>
      </c>
      <c r="AIJ37" s="80"/>
      <c r="AIK37" s="81" t="s">
        <v>32</v>
      </c>
      <c r="AIL37" s="80"/>
      <c r="AIM37" s="81" t="s">
        <v>33</v>
      </c>
      <c r="AIN37" s="80"/>
      <c r="AIO37" s="82" t="s">
        <v>34</v>
      </c>
      <c r="AIP37" s="80"/>
      <c r="AIQ37" s="82" t="s">
        <v>35</v>
      </c>
      <c r="AIR37" s="80"/>
      <c r="AIS37" s="81" t="s">
        <v>36</v>
      </c>
      <c r="AIT37" s="80"/>
      <c r="AIU37" s="81" t="s">
        <v>37</v>
      </c>
      <c r="AIV37" s="80"/>
      <c r="AIW37" s="81" t="s">
        <v>38</v>
      </c>
      <c r="AIX37" s="80"/>
      <c r="AIY37" s="81" t="s">
        <v>39</v>
      </c>
      <c r="AIZ37" s="80"/>
      <c r="AJA37" s="81" t="s">
        <v>40</v>
      </c>
      <c r="AJB37" s="80"/>
      <c r="AJC37" s="81" t="s">
        <v>41</v>
      </c>
      <c r="AJD37" s="80"/>
      <c r="AJE37" s="83" t="s">
        <v>42</v>
      </c>
      <c r="AJF37" s="84" t="s">
        <v>43</v>
      </c>
      <c r="AJG37" s="85" t="s">
        <v>44</v>
      </c>
      <c r="AJH37" s="78" t="s">
        <v>28</v>
      </c>
      <c r="AJI37" s="79" t="s">
        <v>29</v>
      </c>
      <c r="AJJ37" s="79" t="s">
        <v>30</v>
      </c>
      <c r="AJK37" s="80"/>
      <c r="AJL37" s="81" t="s">
        <v>31</v>
      </c>
      <c r="AJM37" s="80"/>
      <c r="AJN37" s="81" t="s">
        <v>32</v>
      </c>
      <c r="AJO37" s="80"/>
      <c r="AJP37" s="81" t="s">
        <v>33</v>
      </c>
      <c r="AJQ37" s="80"/>
      <c r="AJR37" s="82" t="s">
        <v>34</v>
      </c>
      <c r="AJS37" s="80"/>
      <c r="AJT37" s="82" t="s">
        <v>35</v>
      </c>
      <c r="AJU37" s="80"/>
      <c r="AJV37" s="81" t="s">
        <v>36</v>
      </c>
      <c r="AJW37" s="80"/>
      <c r="AJX37" s="81" t="s">
        <v>37</v>
      </c>
      <c r="AJY37" s="80"/>
      <c r="AJZ37" s="81" t="s">
        <v>38</v>
      </c>
      <c r="AKA37" s="80"/>
      <c r="AKB37" s="81" t="s">
        <v>39</v>
      </c>
      <c r="AKC37" s="80"/>
      <c r="AKD37" s="81" t="s">
        <v>40</v>
      </c>
      <c r="AKE37" s="80"/>
      <c r="AKF37" s="81" t="s">
        <v>41</v>
      </c>
      <c r="AKG37" s="80"/>
      <c r="AKH37" s="83" t="s">
        <v>42</v>
      </c>
      <c r="AKI37" s="84" t="s">
        <v>43</v>
      </c>
      <c r="AKJ37" s="85" t="s">
        <v>44</v>
      </c>
      <c r="AKK37" s="78" t="s">
        <v>28</v>
      </c>
      <c r="AKL37" s="79" t="s">
        <v>29</v>
      </c>
      <c r="AKM37" s="81" t="s">
        <v>30</v>
      </c>
      <c r="AKN37" s="80"/>
      <c r="AKO37" s="81" t="s">
        <v>31</v>
      </c>
      <c r="AKP37" s="80"/>
      <c r="AKQ37" s="81" t="s">
        <v>32</v>
      </c>
      <c r="AKR37" s="80"/>
      <c r="AKS37" s="81" t="s">
        <v>33</v>
      </c>
      <c r="AKT37" s="80"/>
      <c r="AKU37" s="82" t="s">
        <v>34</v>
      </c>
      <c r="AKV37" s="80"/>
      <c r="AKW37" s="82" t="s">
        <v>35</v>
      </c>
      <c r="AKX37" s="80"/>
      <c r="AKY37" s="81" t="s">
        <v>36</v>
      </c>
      <c r="AKZ37" s="80"/>
      <c r="ALA37" s="81" t="s">
        <v>37</v>
      </c>
      <c r="ALB37" s="80"/>
      <c r="ALC37" s="81" t="s">
        <v>38</v>
      </c>
      <c r="ALD37" s="80"/>
      <c r="ALE37" s="81" t="s">
        <v>39</v>
      </c>
      <c r="ALF37" s="80"/>
      <c r="ALG37" s="81" t="s">
        <v>40</v>
      </c>
      <c r="ALH37" s="80"/>
      <c r="ALI37" s="81" t="s">
        <v>41</v>
      </c>
      <c r="ALJ37" s="80"/>
      <c r="ALK37" s="83" t="s">
        <v>42</v>
      </c>
      <c r="ALL37" s="84" t="s">
        <v>43</v>
      </c>
      <c r="ALM37" s="85" t="s">
        <v>44</v>
      </c>
      <c r="ALN37" s="78" t="s">
        <v>28</v>
      </c>
      <c r="ALO37" s="79" t="s">
        <v>29</v>
      </c>
      <c r="ALP37" s="79" t="s">
        <v>30</v>
      </c>
      <c r="ALQ37" s="80"/>
      <c r="ALR37" s="81" t="s">
        <v>31</v>
      </c>
      <c r="ALS37" s="80"/>
      <c r="ALT37" s="81" t="s">
        <v>32</v>
      </c>
      <c r="ALU37" s="80"/>
      <c r="ALV37" s="81" t="s">
        <v>33</v>
      </c>
      <c r="ALW37" s="80"/>
      <c r="ALX37" s="82" t="s">
        <v>34</v>
      </c>
      <c r="ALY37" s="80"/>
      <c r="ALZ37" s="82" t="s">
        <v>35</v>
      </c>
      <c r="AMA37" s="80"/>
      <c r="AMB37" s="81" t="s">
        <v>36</v>
      </c>
      <c r="AMC37" s="80"/>
      <c r="AMD37" s="81" t="s">
        <v>37</v>
      </c>
      <c r="AME37" s="80"/>
      <c r="AMF37" s="81" t="s">
        <v>38</v>
      </c>
      <c r="AMG37" s="80"/>
      <c r="AMH37" s="81" t="s">
        <v>39</v>
      </c>
      <c r="AMI37" s="80"/>
      <c r="AMJ37" s="81" t="s">
        <v>40</v>
      </c>
      <c r="AMK37" s="80"/>
      <c r="AML37" s="81" t="s">
        <v>41</v>
      </c>
      <c r="AMM37" s="80"/>
      <c r="AMN37" s="83" t="s">
        <v>42</v>
      </c>
      <c r="AMO37" s="84" t="s">
        <v>43</v>
      </c>
      <c r="AMP37" s="85" t="s">
        <v>44</v>
      </c>
      <c r="AMQ37" s="87" t="s">
        <v>45</v>
      </c>
      <c r="AMR37" s="88" t="s">
        <v>46</v>
      </c>
      <c r="AMS37" s="89" t="s">
        <v>47</v>
      </c>
      <c r="AMT37" s="4"/>
      <c r="AMU37" s="4"/>
      <c r="AMV37" s="4"/>
      <c r="AMW37" s="4"/>
      <c r="AMX37" s="4"/>
      <c r="AMY37" s="4"/>
      <c r="AMZ37" s="4"/>
      <c r="ANA37" s="4"/>
      <c r="ANB37" s="4"/>
      <c r="ANC37" s="4"/>
      <c r="AND37" s="4"/>
      <c r="ANE37" s="4"/>
      <c r="ANF37" s="4"/>
      <c r="ANG37" s="4"/>
      <c r="ANH37" s="4"/>
      <c r="ANI37" s="4"/>
      <c r="ANJ37" s="4"/>
      <c r="ANK37" s="4"/>
      <c r="ANL37" s="4"/>
      <c r="ANM37" s="4"/>
      <c r="ANN37" s="4"/>
      <c r="ANO37" s="4"/>
      <c r="ANP37" s="4"/>
      <c r="ANQ37" s="4"/>
      <c r="ANR37" s="4"/>
      <c r="ANS37" s="4"/>
      <c r="ANT37" s="4"/>
      <c r="ANU37" s="4"/>
      <c r="ANV37" s="4"/>
      <c r="ANW37" s="4"/>
      <c r="ANX37" s="4"/>
      <c r="ANY37" s="4"/>
      <c r="ANZ37" s="4"/>
      <c r="AOA37" s="4"/>
      <c r="AOB37" s="4"/>
      <c r="AOC37" s="4"/>
      <c r="AOD37" s="4"/>
      <c r="AOE37" s="4"/>
      <c r="AOF37" s="4"/>
      <c r="AOG37" s="4"/>
      <c r="AOH37" s="4"/>
      <c r="AOI37" s="4"/>
      <c r="AOJ37" s="4"/>
      <c r="AOK37" s="4"/>
      <c r="AOL37" s="4"/>
      <c r="AOM37" s="4"/>
      <c r="AON37" s="4"/>
      <c r="AOO37" s="4"/>
      <c r="AOP37" s="4"/>
      <c r="AOQ37" s="4"/>
      <c r="AOR37" s="4"/>
      <c r="AOS37" s="4"/>
      <c r="AOT37" s="4"/>
      <c r="AOU37" s="4"/>
      <c r="AOV37" s="4"/>
      <c r="AOW37" s="4"/>
      <c r="AOX37" s="4"/>
      <c r="AOY37" s="4"/>
      <c r="AOZ37" s="4"/>
      <c r="APA37" s="4"/>
      <c r="APB37" s="4"/>
      <c r="APC37" s="4"/>
      <c r="APD37" s="4"/>
      <c r="APE37" s="4"/>
      <c r="APF37" s="4"/>
      <c r="APG37" s="4"/>
      <c r="APH37" s="4"/>
      <c r="API37" s="4"/>
      <c r="APJ37" s="4"/>
      <c r="APK37" s="4"/>
      <c r="APL37" s="4"/>
      <c r="APM37" s="4"/>
      <c r="APN37" s="4"/>
      <c r="APO37" s="4"/>
      <c r="APP37" s="4"/>
      <c r="APQ37" s="4"/>
      <c r="APR37" s="4"/>
      <c r="APS37" s="4"/>
      <c r="APT37" s="4"/>
      <c r="APU37" s="4"/>
      <c r="APV37" s="4"/>
      <c r="APW37" s="4"/>
      <c r="APX37" s="4"/>
      <c r="APY37" s="4"/>
      <c r="APZ37" s="4"/>
      <c r="AQA37" s="4"/>
      <c r="AQB37" s="4"/>
      <c r="AQC37" s="4"/>
      <c r="AQD37" s="4"/>
      <c r="AQE37" s="4"/>
      <c r="AQF37" s="4"/>
      <c r="AQG37" s="4"/>
      <c r="AQH37" s="4"/>
      <c r="AQI37" s="4"/>
      <c r="AQJ37" s="4"/>
      <c r="AQK37" s="4"/>
      <c r="AQL37" s="4"/>
      <c r="AQM37" s="4"/>
      <c r="AQN37" s="4"/>
      <c r="AQO37" s="4"/>
      <c r="AQP37" s="4"/>
      <c r="AQQ37" s="4"/>
      <c r="AQR37" s="4"/>
      <c r="AQS37" s="4"/>
      <c r="AQT37" s="4"/>
      <c r="AQU37" s="4"/>
      <c r="AQV37" s="4"/>
      <c r="AQW37" s="4"/>
      <c r="AQX37" s="4"/>
      <c r="AQY37" s="4"/>
      <c r="AQZ37" s="4"/>
      <c r="ARA37" s="4"/>
      <c r="ARB37" s="4"/>
      <c r="ARC37" s="4"/>
      <c r="ARD37" s="4"/>
      <c r="ARE37" s="4"/>
      <c r="ARF37" s="4"/>
      <c r="ARG37" s="4"/>
      <c r="ARH37" s="4"/>
      <c r="ARI37" s="4"/>
      <c r="ARJ37" s="4"/>
      <c r="ARK37" s="4"/>
      <c r="ARL37" s="4"/>
      <c r="ARM37" s="4"/>
      <c r="ARN37" s="4"/>
      <c r="ARO37" s="4"/>
      <c r="ARP37" s="4"/>
      <c r="ARQ37" s="4"/>
      <c r="ARR37" s="4"/>
      <c r="ARS37" s="4"/>
      <c r="ART37" s="4"/>
      <c r="ARU37" s="4"/>
      <c r="ARV37" s="4"/>
      <c r="ARW37" s="4"/>
      <c r="ARX37" s="4"/>
      <c r="ARY37" s="4"/>
      <c r="ARZ37" s="4"/>
      <c r="ASA37" s="4"/>
      <c r="ASB37" s="4"/>
      <c r="ASC37" s="4"/>
      <c r="ASD37" s="4"/>
      <c r="ASE37" s="4"/>
      <c r="ASF37" s="4"/>
      <c r="ASG37" s="4"/>
      <c r="ASH37" s="4"/>
      <c r="ASI37" s="4"/>
      <c r="ASJ37" s="4"/>
      <c r="ASK37" s="4"/>
      <c r="ASL37" s="4"/>
      <c r="ASM37" s="4"/>
      <c r="ASN37" s="4"/>
      <c r="ASO37" s="4"/>
      <c r="ASP37" s="4"/>
      <c r="ASQ37" s="4"/>
      <c r="ASR37" s="4"/>
      <c r="ASS37" s="4"/>
      <c r="AST37" s="4"/>
      <c r="ASU37" s="4"/>
    </row>
    <row r="38" ht="15" customHeight="1" spans="1:1191" x14ac:dyDescent="0.25">
      <c r="A38" s="288" t="s">
        <v>48</v>
      </c>
      <c r="B38" s="228" t="s">
        <v>76</v>
      </c>
      <c r="C38" s="289" t="s">
        <v>55</v>
      </c>
      <c r="D38" s="290"/>
      <c r="E38" s="291"/>
      <c r="F38" s="292"/>
      <c r="G38" s="196"/>
      <c r="H38" s="196"/>
      <c r="I38" s="196"/>
      <c r="J38" s="196"/>
      <c r="K38" s="196"/>
      <c r="L38" s="196"/>
      <c r="M38" s="195"/>
      <c r="N38" s="197"/>
      <c r="O38" s="196"/>
      <c r="P38" s="196"/>
      <c r="Q38" s="198"/>
      <c r="R38" s="292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5"/>
      <c r="AD38" s="291"/>
      <c r="AE38" s="194"/>
      <c r="AF38" s="130">
        <f>SUM(D38:AE38)</f>
      </c>
      <c r="AG38" s="290"/>
      <c r="AH38" s="291"/>
      <c r="AI38" s="292"/>
      <c r="AJ38" s="196"/>
      <c r="AK38" s="196"/>
      <c r="AL38" s="196"/>
      <c r="AM38" s="196"/>
      <c r="AN38" s="196"/>
      <c r="AO38" s="196"/>
      <c r="AP38" s="195"/>
      <c r="AQ38" s="197"/>
      <c r="AR38" s="196"/>
      <c r="AS38" s="196"/>
      <c r="AT38" s="198"/>
      <c r="AU38" s="292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5"/>
      <c r="BG38" s="291"/>
      <c r="BH38" s="194"/>
      <c r="BI38" s="130">
        <f>SUM(AG38:BH38)</f>
      </c>
      <c r="BJ38" s="290"/>
      <c r="BK38" s="291"/>
      <c r="BL38" s="292"/>
      <c r="BM38" s="196"/>
      <c r="BN38" s="196"/>
      <c r="BO38" s="196"/>
      <c r="BP38" s="196"/>
      <c r="BQ38" s="196"/>
      <c r="BR38" s="196"/>
      <c r="BS38" s="195"/>
      <c r="BT38" s="197"/>
      <c r="BU38" s="196"/>
      <c r="BV38" s="196"/>
      <c r="BW38" s="198"/>
      <c r="BX38" s="292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5"/>
      <c r="CJ38" s="291"/>
      <c r="CK38" s="194"/>
      <c r="CL38" s="130">
        <f>SUM(BJ38:CK38)</f>
      </c>
      <c r="CM38" s="290"/>
      <c r="CN38" s="291"/>
      <c r="CO38" s="292"/>
      <c r="CP38" s="196"/>
      <c r="CQ38" s="196"/>
      <c r="CR38" s="196"/>
      <c r="CS38" s="196"/>
      <c r="CT38" s="196"/>
      <c r="CU38" s="196"/>
      <c r="CV38" s="195"/>
      <c r="CW38" s="197"/>
      <c r="CX38" s="196"/>
      <c r="CY38" s="196"/>
      <c r="CZ38" s="198"/>
      <c r="DA38" s="292"/>
      <c r="DB38" s="196"/>
      <c r="DC38" s="196"/>
      <c r="DD38" s="196"/>
      <c r="DE38" s="196"/>
      <c r="DF38" s="196"/>
      <c r="DG38" s="196"/>
      <c r="DH38" s="196"/>
      <c r="DI38" s="196"/>
      <c r="DJ38" s="196"/>
      <c r="DK38" s="196"/>
      <c r="DL38" s="195"/>
      <c r="DM38" s="291"/>
      <c r="DN38" s="194"/>
      <c r="DO38" s="130">
        <f>SUM(CM38:DN38)</f>
      </c>
      <c r="DP38" s="290"/>
      <c r="DQ38" s="291"/>
      <c r="DR38" s="292"/>
      <c r="DS38" s="196"/>
      <c r="DT38" s="196"/>
      <c r="DU38" s="196"/>
      <c r="DV38" s="196"/>
      <c r="DW38" s="196"/>
      <c r="DX38" s="196"/>
      <c r="DY38" s="195"/>
      <c r="DZ38" s="197"/>
      <c r="EA38" s="196"/>
      <c r="EB38" s="196"/>
      <c r="EC38" s="198"/>
      <c r="ED38" s="292"/>
      <c r="EE38" s="196"/>
      <c r="EF38" s="196"/>
      <c r="EG38" s="196"/>
      <c r="EH38" s="196"/>
      <c r="EI38" s="196"/>
      <c r="EJ38" s="196"/>
      <c r="EK38" s="196"/>
      <c r="EL38" s="196"/>
      <c r="EM38" s="196"/>
      <c r="EN38" s="196"/>
      <c r="EO38" s="195"/>
      <c r="EP38" s="291"/>
      <c r="EQ38" s="194"/>
      <c r="ER38" s="130">
        <f>SUM(DP38:EQ38)</f>
      </c>
      <c r="ES38" s="290"/>
      <c r="ET38" s="291"/>
      <c r="EU38" s="292"/>
      <c r="EV38" s="196"/>
      <c r="EW38" s="196"/>
      <c r="EX38" s="196"/>
      <c r="EY38" s="196"/>
      <c r="EZ38" s="196"/>
      <c r="FA38" s="196"/>
      <c r="FB38" s="195"/>
      <c r="FC38" s="197"/>
      <c r="FD38" s="196"/>
      <c r="FE38" s="196"/>
      <c r="FF38" s="198"/>
      <c r="FG38" s="292"/>
      <c r="FH38" s="196"/>
      <c r="FI38" s="196"/>
      <c r="FJ38" s="196"/>
      <c r="FK38" s="196"/>
      <c r="FL38" s="196"/>
      <c r="FM38" s="196"/>
      <c r="FN38" s="196"/>
      <c r="FO38" s="196"/>
      <c r="FP38" s="196"/>
      <c r="FQ38" s="196"/>
      <c r="FR38" s="195"/>
      <c r="FS38" s="291"/>
      <c r="FT38" s="194"/>
      <c r="FU38" s="130">
        <f>SUM(ES38:FT38)</f>
      </c>
      <c r="FV38" s="290"/>
      <c r="FW38" s="291"/>
      <c r="FX38" s="292"/>
      <c r="FY38" s="196"/>
      <c r="FZ38" s="196"/>
      <c r="GA38" s="196"/>
      <c r="GB38" s="196"/>
      <c r="GC38" s="196"/>
      <c r="GD38" s="196"/>
      <c r="GE38" s="195"/>
      <c r="GF38" s="197"/>
      <c r="GG38" s="196"/>
      <c r="GH38" s="196"/>
      <c r="GI38" s="198"/>
      <c r="GJ38" s="292"/>
      <c r="GK38" s="196"/>
      <c r="GL38" s="196"/>
      <c r="GM38" s="196"/>
      <c r="GN38" s="196"/>
      <c r="GO38" s="196"/>
      <c r="GP38" s="196"/>
      <c r="GQ38" s="196"/>
      <c r="GR38" s="196"/>
      <c r="GS38" s="196"/>
      <c r="GT38" s="196"/>
      <c r="GU38" s="195"/>
      <c r="GV38" s="291"/>
      <c r="GW38" s="194"/>
      <c r="GX38" s="130">
        <f>SUM(FV38:GW38)</f>
      </c>
      <c r="GY38" s="132">
        <f>AF38+BI38+CL38+DO38+ER38+FU38+GX38</f>
      </c>
      <c r="GZ38" s="133">
        <f>(COUNTIF(D38:GX38,"H")+COUNTIF(D38:GX38,"S")+COUNTIF(D38:GX38,"L")+COUNTIF(D38:GX38,"E")+COUNTIF(D38:GX38,"C"))/2</f>
      </c>
      <c r="HA38" s="130">
        <f>GY38+GZ38</f>
      </c>
      <c r="HB38" s="293"/>
      <c r="HC38" s="294"/>
      <c r="HD38" s="295"/>
      <c r="HE38" s="212">
        <v>0.5</v>
      </c>
      <c r="HF38" s="212">
        <v>0.5</v>
      </c>
      <c r="HG38" s="212">
        <v>0.5</v>
      </c>
      <c r="HH38" s="212">
        <v>0.5</v>
      </c>
      <c r="HI38" s="212">
        <v>0.5</v>
      </c>
      <c r="HJ38" s="212">
        <v>0.5</v>
      </c>
      <c r="HK38" s="213">
        <v>0.5</v>
      </c>
      <c r="HL38" s="296"/>
      <c r="HM38" s="207"/>
      <c r="HN38" s="212">
        <v>0.5</v>
      </c>
      <c r="HO38" s="297">
        <v>0.5</v>
      </c>
      <c r="HP38" s="298">
        <v>0.5</v>
      </c>
      <c r="HQ38" s="212">
        <v>0.5</v>
      </c>
      <c r="HR38" s="212">
        <v>0.5</v>
      </c>
      <c r="HS38" s="212">
        <v>0.5</v>
      </c>
      <c r="HT38" s="212">
        <v>0.5</v>
      </c>
      <c r="HU38" s="212">
        <v>0.5</v>
      </c>
      <c r="HV38" s="212">
        <v>0.5</v>
      </c>
      <c r="HW38" s="212">
        <v>0.5</v>
      </c>
      <c r="HX38" s="207"/>
      <c r="HY38" s="207"/>
      <c r="HZ38" s="207"/>
      <c r="IA38" s="202"/>
      <c r="IB38" s="294"/>
      <c r="IC38" s="201"/>
      <c r="ID38" s="130">
        <f>SUM(HB38:IC38)</f>
      </c>
      <c r="IE38" s="293"/>
      <c r="IF38" s="294"/>
      <c r="IG38" s="295"/>
      <c r="IH38" s="212">
        <v>0.5</v>
      </c>
      <c r="II38" s="212">
        <v>0.5</v>
      </c>
      <c r="IJ38" s="212">
        <v>0.5</v>
      </c>
      <c r="IK38" s="212">
        <v>0.5</v>
      </c>
      <c r="IL38" s="212">
        <v>0.5</v>
      </c>
      <c r="IM38" s="212">
        <v>0.5</v>
      </c>
      <c r="IN38" s="213">
        <v>0.5</v>
      </c>
      <c r="IO38" s="296"/>
      <c r="IP38" s="207"/>
      <c r="IQ38" s="212">
        <v>0.5</v>
      </c>
      <c r="IR38" s="297">
        <v>0.5</v>
      </c>
      <c r="IS38" s="298">
        <v>0.5</v>
      </c>
      <c r="IT38" s="212">
        <v>0.5</v>
      </c>
      <c r="IU38" s="212">
        <v>0.5</v>
      </c>
      <c r="IV38" s="212">
        <v>0.5</v>
      </c>
      <c r="IW38" s="212">
        <v>0.5</v>
      </c>
      <c r="IX38" s="212">
        <v>0.5</v>
      </c>
      <c r="IY38" s="212">
        <v>0.5</v>
      </c>
      <c r="IZ38" s="212">
        <v>0.5</v>
      </c>
      <c r="JA38" s="207"/>
      <c r="JB38" s="207"/>
      <c r="JC38" s="207"/>
      <c r="JD38" s="202"/>
      <c r="JE38" s="294"/>
      <c r="JF38" s="201"/>
      <c r="JG38" s="130">
        <f>SUM(IE38:JF38)</f>
      </c>
      <c r="JH38" s="293"/>
      <c r="JI38" s="294"/>
      <c r="JJ38" s="295"/>
      <c r="JK38" s="212">
        <v>0.5</v>
      </c>
      <c r="JL38" s="212">
        <v>0.5</v>
      </c>
      <c r="JM38" s="212">
        <v>0.5</v>
      </c>
      <c r="JN38" s="212">
        <v>0.5</v>
      </c>
      <c r="JO38" s="212">
        <v>0.5</v>
      </c>
      <c r="JP38" s="212">
        <v>0.5</v>
      </c>
      <c r="JQ38" s="213">
        <v>0.5</v>
      </c>
      <c r="JR38" s="296"/>
      <c r="JS38" s="207"/>
      <c r="JT38" s="212">
        <v>0.5</v>
      </c>
      <c r="JU38" s="297">
        <v>0.5</v>
      </c>
      <c r="JV38" s="298">
        <v>0.5</v>
      </c>
      <c r="JW38" s="212">
        <v>0.5</v>
      </c>
      <c r="JX38" s="212">
        <v>0.5</v>
      </c>
      <c r="JY38" s="212">
        <v>0.5</v>
      </c>
      <c r="JZ38" s="212">
        <v>0.5</v>
      </c>
      <c r="KA38" s="212">
        <v>0.5</v>
      </c>
      <c r="KB38" s="212">
        <v>0.5</v>
      </c>
      <c r="KC38" s="212">
        <v>0.5</v>
      </c>
      <c r="KD38" s="207"/>
      <c r="KE38" s="207"/>
      <c r="KF38" s="207"/>
      <c r="KG38" s="202"/>
      <c r="KH38" s="294"/>
      <c r="KI38" s="201"/>
      <c r="KJ38" s="130">
        <f>SUM(JH38:KI38)</f>
      </c>
      <c r="KK38" s="293"/>
      <c r="KL38" s="294"/>
      <c r="KM38" s="295"/>
      <c r="KN38" s="212">
        <v>0.5</v>
      </c>
      <c r="KO38" s="212">
        <v>0.5</v>
      </c>
      <c r="KP38" s="212">
        <v>0.5</v>
      </c>
      <c r="KQ38" s="212">
        <v>0.5</v>
      </c>
      <c r="KR38" s="212">
        <v>0.5</v>
      </c>
      <c r="KS38" s="212">
        <v>0.5</v>
      </c>
      <c r="KT38" s="213">
        <v>0.5</v>
      </c>
      <c r="KU38" s="296"/>
      <c r="KV38" s="207"/>
      <c r="KW38" s="212">
        <v>0.5</v>
      </c>
      <c r="KX38" s="297">
        <v>0.5</v>
      </c>
      <c r="KY38" s="298">
        <v>0.5</v>
      </c>
      <c r="KZ38" s="212">
        <v>0.5</v>
      </c>
      <c r="LA38" s="212">
        <v>0.5</v>
      </c>
      <c r="LB38" s="212">
        <v>0.5</v>
      </c>
      <c r="LC38" s="212">
        <v>0.5</v>
      </c>
      <c r="LD38" s="212">
        <v>0.5</v>
      </c>
      <c r="LE38" s="212">
        <v>0.5</v>
      </c>
      <c r="LF38" s="212">
        <v>0.5</v>
      </c>
      <c r="LG38" s="207"/>
      <c r="LH38" s="207"/>
      <c r="LI38" s="207"/>
      <c r="LJ38" s="202"/>
      <c r="LK38" s="294"/>
      <c r="LL38" s="201"/>
      <c r="LM38" s="130">
        <f>SUM(KK38:LL38)</f>
      </c>
      <c r="LN38" s="293"/>
      <c r="LO38" s="294"/>
      <c r="LP38" s="298">
        <v>0.5</v>
      </c>
      <c r="LQ38" s="212">
        <v>0.5</v>
      </c>
      <c r="LR38" s="212">
        <v>0.5</v>
      </c>
      <c r="LS38" s="212">
        <v>0.5</v>
      </c>
      <c r="LT38" s="212">
        <v>0.5</v>
      </c>
      <c r="LU38" s="212">
        <v>0.5</v>
      </c>
      <c r="LV38" s="212">
        <v>0.5</v>
      </c>
      <c r="LW38" s="213">
        <v>0.5</v>
      </c>
      <c r="LX38" s="214">
        <v>0.5</v>
      </c>
      <c r="LY38" s="212">
        <v>0.5</v>
      </c>
      <c r="LZ38" s="212">
        <v>0.5</v>
      </c>
      <c r="MA38" s="297">
        <v>0.5</v>
      </c>
      <c r="MB38" s="295"/>
      <c r="MC38" s="207"/>
      <c r="MD38" s="207"/>
      <c r="ME38" s="207"/>
      <c r="MF38" s="207"/>
      <c r="MG38" s="207"/>
      <c r="MH38" s="207"/>
      <c r="MI38" s="207"/>
      <c r="MJ38" s="207"/>
      <c r="MK38" s="207"/>
      <c r="ML38" s="207"/>
      <c r="MM38" s="202"/>
      <c r="MN38" s="294"/>
      <c r="MO38" s="201"/>
      <c r="MP38" s="130">
        <f>SUM(LN38:MO38)</f>
      </c>
      <c r="MQ38" s="290"/>
      <c r="MR38" s="291"/>
      <c r="MS38" s="292"/>
      <c r="MT38" s="196"/>
      <c r="MU38" s="196"/>
      <c r="MV38" s="196"/>
      <c r="MW38" s="196"/>
      <c r="MX38" s="196"/>
      <c r="MY38" s="196"/>
      <c r="MZ38" s="195"/>
      <c r="NA38" s="197"/>
      <c r="NB38" s="196"/>
      <c r="NC38" s="196"/>
      <c r="ND38" s="198"/>
      <c r="NE38" s="292"/>
      <c r="NF38" s="196"/>
      <c r="NG38" s="196"/>
      <c r="NH38" s="196"/>
      <c r="NI38" s="196"/>
      <c r="NJ38" s="196"/>
      <c r="NK38" s="196"/>
      <c r="NL38" s="196"/>
      <c r="NM38" s="196"/>
      <c r="NN38" s="196"/>
      <c r="NO38" s="196"/>
      <c r="NP38" s="195"/>
      <c r="NQ38" s="291"/>
      <c r="NR38" s="194"/>
      <c r="NS38" s="130">
        <f>SUM(MQ38:NR38)</f>
      </c>
      <c r="NT38" s="290"/>
      <c r="NU38" s="291"/>
      <c r="NV38" s="292"/>
      <c r="NW38" s="196"/>
      <c r="NX38" s="196"/>
      <c r="NY38" s="196"/>
      <c r="NZ38" s="196"/>
      <c r="OA38" s="196"/>
      <c r="OB38" s="196"/>
      <c r="OC38" s="195"/>
      <c r="OD38" s="197"/>
      <c r="OE38" s="196"/>
      <c r="OF38" s="196"/>
      <c r="OG38" s="198"/>
      <c r="OH38" s="292"/>
      <c r="OI38" s="196"/>
      <c r="OJ38" s="196"/>
      <c r="OK38" s="196"/>
      <c r="OL38" s="196"/>
      <c r="OM38" s="196"/>
      <c r="ON38" s="196"/>
      <c r="OO38" s="196"/>
      <c r="OP38" s="196"/>
      <c r="OQ38" s="196"/>
      <c r="OR38" s="196"/>
      <c r="OS38" s="195"/>
      <c r="OT38" s="291"/>
      <c r="OU38" s="194"/>
      <c r="OV38" s="130">
        <f>SUM(NT38:OU38)</f>
      </c>
      <c r="OW38" s="132">
        <f>ID38+JG38+KJ38+LM38+MP38+NS38+OV38</f>
      </c>
      <c r="OX38" s="133">
        <f>(COUNTIF(HB38:OV38,"H")+COUNTIF(HB38:OV38,"S")+COUNTIF(HB38:OV38,"L")+COUNTIF(HB38:OV38,"E")+COUNTIF(HB38:OV38,"C"))/2</f>
      </c>
      <c r="OY38" s="130">
        <f>OW38+OX38</f>
      </c>
      <c r="OZ38" s="293"/>
      <c r="PA38" s="294"/>
      <c r="PB38" s="295"/>
      <c r="PC38" s="212">
        <v>0.5</v>
      </c>
      <c r="PD38" s="212">
        <v>0.5</v>
      </c>
      <c r="PE38" s="212">
        <v>0.5</v>
      </c>
      <c r="PF38" s="212">
        <v>0.5</v>
      </c>
      <c r="PG38" s="212">
        <v>0.5</v>
      </c>
      <c r="PH38" s="212">
        <v>0.5</v>
      </c>
      <c r="PI38" s="213">
        <v>0.5</v>
      </c>
      <c r="PJ38" s="296"/>
      <c r="PK38" s="207"/>
      <c r="PL38" s="212">
        <v>0.5</v>
      </c>
      <c r="PM38" s="297">
        <v>0.5</v>
      </c>
      <c r="PN38" s="298">
        <v>0.5</v>
      </c>
      <c r="PO38" s="212">
        <v>0.5</v>
      </c>
      <c r="PP38" s="212">
        <v>0.5</v>
      </c>
      <c r="PQ38" s="212">
        <v>0.5</v>
      </c>
      <c r="PR38" s="212">
        <v>0.5</v>
      </c>
      <c r="PS38" s="212">
        <v>0.5</v>
      </c>
      <c r="PT38" s="212">
        <v>0.5</v>
      </c>
      <c r="PU38" s="207"/>
      <c r="PV38" s="207"/>
      <c r="PW38" s="207"/>
      <c r="PX38" s="207"/>
      <c r="PY38" s="202"/>
      <c r="PZ38" s="294"/>
      <c r="QA38" s="201"/>
      <c r="QB38" s="130">
        <f>SUM(OZ38:QA38)</f>
      </c>
      <c r="QC38" s="293"/>
      <c r="QD38" s="294"/>
      <c r="QE38" s="295"/>
      <c r="QF38" s="212">
        <v>0.5</v>
      </c>
      <c r="QG38" s="212">
        <v>0.5</v>
      </c>
      <c r="QH38" s="212">
        <v>0.5</v>
      </c>
      <c r="QI38" s="212">
        <v>0.5</v>
      </c>
      <c r="QJ38" s="212">
        <v>0.5</v>
      </c>
      <c r="QK38" s="212">
        <v>0.5</v>
      </c>
      <c r="QL38" s="213">
        <v>0.5</v>
      </c>
      <c r="QM38" s="296"/>
      <c r="QN38" s="207"/>
      <c r="QO38" s="212">
        <v>0.5</v>
      </c>
      <c r="QP38" s="297">
        <v>0.5</v>
      </c>
      <c r="QQ38" s="298">
        <v>0.5</v>
      </c>
      <c r="QR38" s="212">
        <v>0.5</v>
      </c>
      <c r="QS38" s="212">
        <v>0.5</v>
      </c>
      <c r="QT38" s="212">
        <v>0.5</v>
      </c>
      <c r="QU38" s="212">
        <v>0.5</v>
      </c>
      <c r="QV38" s="212">
        <v>0.5</v>
      </c>
      <c r="QW38" s="212">
        <v>0.5</v>
      </c>
      <c r="QX38" s="207"/>
      <c r="QY38" s="207"/>
      <c r="QZ38" s="207"/>
      <c r="RA38" s="207"/>
      <c r="RB38" s="202"/>
      <c r="RC38" s="294"/>
      <c r="RD38" s="201"/>
      <c r="RE38" s="130">
        <f>SUM(QC38:RD38)</f>
      </c>
      <c r="RF38" s="293"/>
      <c r="RG38" s="294"/>
      <c r="RH38" s="295"/>
      <c r="RI38" s="212">
        <v>0.5</v>
      </c>
      <c r="RJ38" s="212">
        <v>0.5</v>
      </c>
      <c r="RK38" s="212">
        <v>0.5</v>
      </c>
      <c r="RL38" s="212">
        <v>0.5</v>
      </c>
      <c r="RM38" s="212">
        <v>0.5</v>
      </c>
      <c r="RN38" s="212">
        <v>0.5</v>
      </c>
      <c r="RO38" s="213">
        <v>0.5</v>
      </c>
      <c r="RP38" s="296"/>
      <c r="RQ38" s="207"/>
      <c r="RR38" s="212">
        <v>0.5</v>
      </c>
      <c r="RS38" s="297">
        <v>0.5</v>
      </c>
      <c r="RT38" s="298">
        <v>0.5</v>
      </c>
      <c r="RU38" s="212">
        <v>0.5</v>
      </c>
      <c r="RV38" s="212">
        <v>0.5</v>
      </c>
      <c r="RW38" s="212">
        <v>0.5</v>
      </c>
      <c r="RX38" s="212">
        <v>0.5</v>
      </c>
      <c r="RY38" s="212">
        <v>0.5</v>
      </c>
      <c r="RZ38" s="212">
        <v>0.5</v>
      </c>
      <c r="SA38" s="207"/>
      <c r="SB38" s="207"/>
      <c r="SC38" s="207"/>
      <c r="SD38" s="207"/>
      <c r="SE38" s="202"/>
      <c r="SF38" s="294"/>
      <c r="SG38" s="201"/>
      <c r="SH38" s="130">
        <f>SUM(RF38:SG38)</f>
      </c>
      <c r="SI38" s="293"/>
      <c r="SJ38" s="294"/>
      <c r="SK38" s="295"/>
      <c r="SL38" s="212">
        <v>0.5</v>
      </c>
      <c r="SM38" s="212">
        <v>0.5</v>
      </c>
      <c r="SN38" s="212">
        <v>0.5</v>
      </c>
      <c r="SO38" s="212">
        <v>0.5</v>
      </c>
      <c r="SP38" s="212">
        <v>0.5</v>
      </c>
      <c r="SQ38" s="212">
        <v>0.5</v>
      </c>
      <c r="SR38" s="213">
        <v>0.5</v>
      </c>
      <c r="SS38" s="296"/>
      <c r="ST38" s="207"/>
      <c r="SU38" s="212">
        <v>0.5</v>
      </c>
      <c r="SV38" s="297">
        <v>0.5</v>
      </c>
      <c r="SW38" s="298">
        <v>0.5</v>
      </c>
      <c r="SX38" s="212">
        <v>0.5</v>
      </c>
      <c r="SY38" s="212">
        <v>0.5</v>
      </c>
      <c r="SZ38" s="212">
        <v>0.5</v>
      </c>
      <c r="TA38" s="212">
        <v>0.5</v>
      </c>
      <c r="TB38" s="212">
        <v>0.5</v>
      </c>
      <c r="TC38" s="212">
        <v>0.5</v>
      </c>
      <c r="TD38" s="207"/>
      <c r="TE38" s="207"/>
      <c r="TF38" s="207"/>
      <c r="TG38" s="207"/>
      <c r="TH38" s="202"/>
      <c r="TI38" s="294"/>
      <c r="TJ38" s="201"/>
      <c r="TK38" s="130">
        <f>SUM(SI38:TJ38)</f>
      </c>
      <c r="TL38" s="293"/>
      <c r="TM38" s="294"/>
      <c r="TN38" s="295"/>
      <c r="TO38" s="212">
        <v>0.5</v>
      </c>
      <c r="TP38" s="212">
        <v>0.5</v>
      </c>
      <c r="TQ38" s="212">
        <v>0.5</v>
      </c>
      <c r="TR38" s="212">
        <v>0.5</v>
      </c>
      <c r="TS38" s="212">
        <v>0.5</v>
      </c>
      <c r="TT38" s="212">
        <v>0.5</v>
      </c>
      <c r="TU38" s="213">
        <v>0.5</v>
      </c>
      <c r="TV38" s="296"/>
      <c r="TW38" s="207"/>
      <c r="TX38" s="212">
        <v>0.5</v>
      </c>
      <c r="TY38" s="297">
        <v>0.5</v>
      </c>
      <c r="TZ38" s="298">
        <v>0.5</v>
      </c>
      <c r="UA38" s="212">
        <v>0.5</v>
      </c>
      <c r="UB38" s="212">
        <v>0.5</v>
      </c>
      <c r="UC38" s="212">
        <v>0.5</v>
      </c>
      <c r="UD38" s="212">
        <v>0.5</v>
      </c>
      <c r="UE38" s="212">
        <v>0.5</v>
      </c>
      <c r="UF38" s="212">
        <v>0.5</v>
      </c>
      <c r="UG38" s="207"/>
      <c r="UH38" s="207"/>
      <c r="UI38" s="207"/>
      <c r="UJ38" s="207"/>
      <c r="UK38" s="202"/>
      <c r="UL38" s="294"/>
      <c r="UM38" s="201"/>
      <c r="UN38" s="130">
        <f>SUM(TL38:UM38)</f>
      </c>
      <c r="UO38" s="290"/>
      <c r="UP38" s="291"/>
      <c r="UQ38" s="292"/>
      <c r="UR38" s="196"/>
      <c r="US38" s="196"/>
      <c r="UT38" s="196"/>
      <c r="UU38" s="196"/>
      <c r="UV38" s="196"/>
      <c r="UW38" s="196"/>
      <c r="UX38" s="195"/>
      <c r="UY38" s="197"/>
      <c r="UZ38" s="196"/>
      <c r="VA38" s="196"/>
      <c r="VB38" s="198"/>
      <c r="VC38" s="292"/>
      <c r="VD38" s="196"/>
      <c r="VE38" s="196"/>
      <c r="VF38" s="196"/>
      <c r="VG38" s="196"/>
      <c r="VH38" s="196"/>
      <c r="VI38" s="196"/>
      <c r="VJ38" s="196"/>
      <c r="VK38" s="196"/>
      <c r="VL38" s="196"/>
      <c r="VM38" s="196"/>
      <c r="VN38" s="195"/>
      <c r="VO38" s="291"/>
      <c r="VP38" s="194"/>
      <c r="VQ38" s="130">
        <f>SUM(UO38:VP38)</f>
      </c>
      <c r="VR38" s="290"/>
      <c r="VS38" s="291"/>
      <c r="VT38" s="292"/>
      <c r="VU38" s="196"/>
      <c r="VV38" s="196"/>
      <c r="VW38" s="196"/>
      <c r="VX38" s="196"/>
      <c r="VY38" s="196"/>
      <c r="VZ38" s="196"/>
      <c r="WA38" s="195"/>
      <c r="WB38" s="197"/>
      <c r="WC38" s="196"/>
      <c r="WD38" s="196"/>
      <c r="WE38" s="198"/>
      <c r="WF38" s="292"/>
      <c r="WG38" s="196"/>
      <c r="WH38" s="196"/>
      <c r="WI38" s="196"/>
      <c r="WJ38" s="196"/>
      <c r="WK38" s="196"/>
      <c r="WL38" s="196"/>
      <c r="WM38" s="196"/>
      <c r="WN38" s="196"/>
      <c r="WO38" s="196"/>
      <c r="WP38" s="196"/>
      <c r="WQ38" s="195"/>
      <c r="WR38" s="291"/>
      <c r="WS38" s="194"/>
      <c r="WT38" s="130">
        <f>SUM(VR38:WS38)</f>
      </c>
      <c r="WU38" s="132">
        <f>QB38+RE38+SH38+TK38+UN38+VQ38+WT38</f>
      </c>
      <c r="WV38" s="133">
        <f>(COUNTIF(OZ38:WT38,"H")+COUNTIF(OZ38:WT38,"S")+COUNTIF(OZ38:WT38,"L")+COUNTIF(OZ38:WT38,"E")+COUNTIF(OZ38:WT38,"C"))/2</f>
      </c>
      <c r="WW38" s="130">
        <f>WU38+WV38</f>
      </c>
      <c r="WX38" s="293"/>
      <c r="WY38" s="294"/>
      <c r="WZ38" s="295"/>
      <c r="XA38" s="212">
        <v>0.5</v>
      </c>
      <c r="XB38" s="212">
        <v>0.5</v>
      </c>
      <c r="XC38" s="212">
        <v>0.5</v>
      </c>
      <c r="XD38" s="212">
        <v>0.5</v>
      </c>
      <c r="XE38" s="212">
        <v>0.5</v>
      </c>
      <c r="XF38" s="212">
        <v>0.5</v>
      </c>
      <c r="XG38" s="213">
        <v>0.5</v>
      </c>
      <c r="XH38" s="296"/>
      <c r="XI38" s="207"/>
      <c r="XJ38" s="212">
        <v>0.5</v>
      </c>
      <c r="XK38" s="297">
        <v>0.5</v>
      </c>
      <c r="XL38" s="298">
        <v>0.5</v>
      </c>
      <c r="XM38" s="212">
        <v>0.5</v>
      </c>
      <c r="XN38" s="212">
        <v>0.5</v>
      </c>
      <c r="XO38" s="212">
        <v>0.5</v>
      </c>
      <c r="XP38" s="212">
        <v>0.5</v>
      </c>
      <c r="XQ38" s="212">
        <v>0.5</v>
      </c>
      <c r="XR38" s="212">
        <v>0.5</v>
      </c>
      <c r="XS38" s="212">
        <v>0.5</v>
      </c>
      <c r="XT38" s="207"/>
      <c r="XU38" s="207"/>
      <c r="XV38" s="207"/>
      <c r="XW38" s="202"/>
      <c r="XX38" s="294"/>
      <c r="XY38" s="201"/>
      <c r="XZ38" s="130">
        <f>SUM(WX38:XY38)</f>
      </c>
      <c r="YA38" s="293"/>
      <c r="YB38" s="294"/>
      <c r="YC38" s="295"/>
      <c r="YD38" s="212">
        <v>0.5</v>
      </c>
      <c r="YE38" s="212">
        <v>0.5</v>
      </c>
      <c r="YF38" s="212">
        <v>0.5</v>
      </c>
      <c r="YG38" s="212">
        <v>0.5</v>
      </c>
      <c r="YH38" s="212">
        <v>0.5</v>
      </c>
      <c r="YI38" s="212">
        <v>0.5</v>
      </c>
      <c r="YJ38" s="213">
        <v>0.5</v>
      </c>
      <c r="YK38" s="296"/>
      <c r="YL38" s="207"/>
      <c r="YM38" s="212">
        <v>0.5</v>
      </c>
      <c r="YN38" s="297">
        <v>0.5</v>
      </c>
      <c r="YO38" s="298">
        <v>0.5</v>
      </c>
      <c r="YP38" s="212">
        <v>0.5</v>
      </c>
      <c r="YQ38" s="212">
        <v>0.5</v>
      </c>
      <c r="YR38" s="212">
        <v>0.5</v>
      </c>
      <c r="YS38" s="212">
        <v>0.5</v>
      </c>
      <c r="YT38" s="212">
        <v>0.5</v>
      </c>
      <c r="YU38" s="212">
        <v>0.5</v>
      </c>
      <c r="YV38" s="212">
        <v>0.5</v>
      </c>
      <c r="YW38" s="207"/>
      <c r="YX38" s="207"/>
      <c r="YY38" s="207"/>
      <c r="YZ38" s="202"/>
      <c r="ZA38" s="294"/>
      <c r="ZB38" s="201"/>
      <c r="ZC38" s="130">
        <f>SUM(YA38:ZB38)</f>
      </c>
      <c r="ZD38" s="293"/>
      <c r="ZE38" s="294"/>
      <c r="ZF38" s="295"/>
      <c r="ZG38" s="212">
        <v>0.5</v>
      </c>
      <c r="ZH38" s="212">
        <v>0.5</v>
      </c>
      <c r="ZI38" s="212">
        <v>0.5</v>
      </c>
      <c r="ZJ38" s="212">
        <v>0.5</v>
      </c>
      <c r="ZK38" s="212">
        <v>0.5</v>
      </c>
      <c r="ZL38" s="212">
        <v>0.5</v>
      </c>
      <c r="ZM38" s="213">
        <v>0.5</v>
      </c>
      <c r="ZN38" s="296"/>
      <c r="ZO38" s="207"/>
      <c r="ZP38" s="212">
        <v>0.5</v>
      </c>
      <c r="ZQ38" s="297">
        <v>0.5</v>
      </c>
      <c r="ZR38" s="298">
        <v>0.5</v>
      </c>
      <c r="ZS38" s="212">
        <v>0.5</v>
      </c>
      <c r="ZT38" s="212">
        <v>0.5</v>
      </c>
      <c r="ZU38" s="212">
        <v>0.5</v>
      </c>
      <c r="ZV38" s="212">
        <v>0.5</v>
      </c>
      <c r="ZW38" s="212">
        <v>0.5</v>
      </c>
      <c r="ZX38" s="212">
        <v>0.5</v>
      </c>
      <c r="ZY38" s="212">
        <v>0.5</v>
      </c>
      <c r="ZZ38" s="207"/>
      <c r="AAA38" s="207"/>
      <c r="AAB38" s="207"/>
      <c r="AAC38" s="202"/>
      <c r="AAD38" s="294"/>
      <c r="AAE38" s="201"/>
      <c r="AAF38" s="130">
        <f>SUM(ZD38:AAE38)</f>
      </c>
      <c r="AAG38" s="293"/>
      <c r="AAH38" s="294"/>
      <c r="AAI38" s="295"/>
      <c r="AAJ38" s="212">
        <v>0.5</v>
      </c>
      <c r="AAK38" s="212">
        <v>0.5</v>
      </c>
      <c r="AAL38" s="212">
        <v>0.5</v>
      </c>
      <c r="AAM38" s="212">
        <v>0.5</v>
      </c>
      <c r="AAN38" s="212">
        <v>0.5</v>
      </c>
      <c r="AAO38" s="212">
        <v>0.5</v>
      </c>
      <c r="AAP38" s="213">
        <v>0.5</v>
      </c>
      <c r="AAQ38" s="296"/>
      <c r="AAR38" s="207"/>
      <c r="AAS38" s="212">
        <v>0.5</v>
      </c>
      <c r="AAT38" s="297">
        <v>0.5</v>
      </c>
      <c r="AAU38" s="298">
        <v>0.5</v>
      </c>
      <c r="AAV38" s="212">
        <v>0.5</v>
      </c>
      <c r="AAW38" s="212">
        <v>0.5</v>
      </c>
      <c r="AAX38" s="212">
        <v>0.5</v>
      </c>
      <c r="AAY38" s="212">
        <v>0.5</v>
      </c>
      <c r="AAZ38" s="212">
        <v>0.5</v>
      </c>
      <c r="ABA38" s="212">
        <v>0.5</v>
      </c>
      <c r="ABB38" s="212">
        <v>0.5</v>
      </c>
      <c r="ABC38" s="207"/>
      <c r="ABD38" s="207"/>
      <c r="ABE38" s="207"/>
      <c r="ABF38" s="202"/>
      <c r="ABG38" s="294"/>
      <c r="ABH38" s="201"/>
      <c r="ABI38" s="130">
        <f>SUM(AAG38:ABH38)</f>
      </c>
      <c r="ABJ38" s="293"/>
      <c r="ABK38" s="294"/>
      <c r="ABL38" s="298">
        <v>0.5</v>
      </c>
      <c r="ABM38" s="212">
        <v>0.5</v>
      </c>
      <c r="ABN38" s="212">
        <v>0.5</v>
      </c>
      <c r="ABO38" s="212">
        <v>0.5</v>
      </c>
      <c r="ABP38" s="212">
        <v>0.5</v>
      </c>
      <c r="ABQ38" s="212">
        <v>0.5</v>
      </c>
      <c r="ABR38" s="212">
        <v>0.5</v>
      </c>
      <c r="ABS38" s="213">
        <v>0.5</v>
      </c>
      <c r="ABT38" s="214">
        <v>0.5</v>
      </c>
      <c r="ABU38" s="212">
        <v>0.5</v>
      </c>
      <c r="ABV38" s="212">
        <v>0.5</v>
      </c>
      <c r="ABW38" s="297">
        <v>0.5</v>
      </c>
      <c r="ABX38" s="295"/>
      <c r="ABY38" s="207"/>
      <c r="ABZ38" s="207"/>
      <c r="ACA38" s="207"/>
      <c r="ACB38" s="207"/>
      <c r="ACC38" s="207"/>
      <c r="ACD38" s="207"/>
      <c r="ACE38" s="207"/>
      <c r="ACF38" s="207"/>
      <c r="ACG38" s="207"/>
      <c r="ACH38" s="207"/>
      <c r="ACI38" s="202"/>
      <c r="ACJ38" s="294"/>
      <c r="ACK38" s="201"/>
      <c r="ACL38" s="130">
        <f>SUM(ABJ38:ACK38)</f>
      </c>
      <c r="ACM38" s="290"/>
      <c r="ACN38" s="291"/>
      <c r="ACO38" s="292"/>
      <c r="ACP38" s="196"/>
      <c r="ACQ38" s="196"/>
      <c r="ACR38" s="196"/>
      <c r="ACS38" s="196"/>
      <c r="ACT38" s="196"/>
      <c r="ACU38" s="196"/>
      <c r="ACV38" s="195"/>
      <c r="ACW38" s="197"/>
      <c r="ACX38" s="196"/>
      <c r="ACY38" s="196"/>
      <c r="ACZ38" s="198"/>
      <c r="ADA38" s="292"/>
      <c r="ADB38" s="196"/>
      <c r="ADC38" s="196"/>
      <c r="ADD38" s="196"/>
      <c r="ADE38" s="196"/>
      <c r="ADF38" s="196"/>
      <c r="ADG38" s="196"/>
      <c r="ADH38" s="196"/>
      <c r="ADI38" s="196"/>
      <c r="ADJ38" s="196"/>
      <c r="ADK38" s="196"/>
      <c r="ADL38" s="195"/>
      <c r="ADM38" s="291"/>
      <c r="ADN38" s="194"/>
      <c r="ADO38" s="130">
        <f>SUM(ACM38:ADN38)</f>
      </c>
      <c r="ADP38" s="290"/>
      <c r="ADQ38" s="291"/>
      <c r="ADR38" s="292"/>
      <c r="ADS38" s="196"/>
      <c r="ADT38" s="196"/>
      <c r="ADU38" s="196"/>
      <c r="ADV38" s="196"/>
      <c r="ADW38" s="196"/>
      <c r="ADX38" s="196"/>
      <c r="ADY38" s="195"/>
      <c r="ADZ38" s="197"/>
      <c r="AEA38" s="196"/>
      <c r="AEB38" s="196"/>
      <c r="AEC38" s="198"/>
      <c r="AED38" s="292"/>
      <c r="AEE38" s="196"/>
      <c r="AEF38" s="196"/>
      <c r="AEG38" s="196"/>
      <c r="AEH38" s="196"/>
      <c r="AEI38" s="196"/>
      <c r="AEJ38" s="196"/>
      <c r="AEK38" s="196"/>
      <c r="AEL38" s="196"/>
      <c r="AEM38" s="196"/>
      <c r="AEN38" s="196"/>
      <c r="AEO38" s="195"/>
      <c r="AEP38" s="291"/>
      <c r="AEQ38" s="194"/>
      <c r="AER38" s="130">
        <f>SUM(ADP38:AEQ38)</f>
      </c>
      <c r="AES38" s="132">
        <f>XZ38+ZC38+AAF38+ABI38+ACL38+ADO38+AER38</f>
      </c>
      <c r="AET38" s="133">
        <f>(COUNTIF(WX38:AER38,"H")+COUNTIF(WX38:AER38,"S")+COUNTIF(WX38:AER38,"L")+COUNTIF(WX38:AER38,"E")+COUNTIF(WX38:AER38,"C"))/2</f>
      </c>
      <c r="AEU38" s="130">
        <f>AES38+AET38</f>
      </c>
      <c r="AEV38" s="293"/>
      <c r="AEW38" s="294"/>
      <c r="AEX38" s="295"/>
      <c r="AEY38" s="207"/>
      <c r="AEZ38" s="207"/>
      <c r="AFA38" s="15">
        <v>0.5</v>
      </c>
      <c r="AFB38" s="15">
        <v>0.5</v>
      </c>
      <c r="AFC38" s="15">
        <v>0.5</v>
      </c>
      <c r="AFD38" s="212">
        <v>0.5</v>
      </c>
      <c r="AFE38" s="213">
        <v>0.5</v>
      </c>
      <c r="AFF38" s="296"/>
      <c r="AFG38" s="207"/>
      <c r="AFH38" s="212">
        <v>0.5</v>
      </c>
      <c r="AFI38" s="297">
        <v>0.5</v>
      </c>
      <c r="AFJ38" s="298">
        <v>0.5</v>
      </c>
      <c r="AFK38" s="212">
        <v>0.5</v>
      </c>
      <c r="AFL38" s="15">
        <v>0.5</v>
      </c>
      <c r="AFM38" s="15">
        <v>0.5</v>
      </c>
      <c r="AFN38" s="15">
        <v>0.5</v>
      </c>
      <c r="AFO38" s="15">
        <v>0.5</v>
      </c>
      <c r="AFP38" s="15">
        <v>0.5</v>
      </c>
      <c r="AFQ38" s="15">
        <v>0.5</v>
      </c>
      <c r="AFR38" s="15">
        <v>0.5</v>
      </c>
      <c r="AFS38" s="207"/>
      <c r="AFT38" s="207"/>
      <c r="AFU38" s="202"/>
      <c r="AFV38" s="294"/>
      <c r="AFW38" s="201"/>
      <c r="AFX38" s="130">
        <f>SUM(AEV38:AFW38)</f>
      </c>
      <c r="AFY38" s="293"/>
      <c r="AFZ38" s="294"/>
      <c r="AGA38" s="295"/>
      <c r="AGB38" s="207"/>
      <c r="AGC38" s="207"/>
      <c r="AGD38" s="15">
        <v>0.5</v>
      </c>
      <c r="AGE38" s="15">
        <v>0.5</v>
      </c>
      <c r="AGF38" s="15">
        <v>0.5</v>
      </c>
      <c r="AGG38" s="212">
        <v>0.5</v>
      </c>
      <c r="AGH38" s="213">
        <v>0.5</v>
      </c>
      <c r="AGI38" s="296"/>
      <c r="AGJ38" s="207"/>
      <c r="AGK38" s="212">
        <v>0.5</v>
      </c>
      <c r="AGL38" s="297">
        <v>0.5</v>
      </c>
      <c r="AGM38" s="298">
        <v>0.5</v>
      </c>
      <c r="AGN38" s="212">
        <v>0.5</v>
      </c>
      <c r="AGO38" s="15">
        <v>0.5</v>
      </c>
      <c r="AGP38" s="15">
        <v>0.5</v>
      </c>
      <c r="AGQ38" s="15">
        <v>0.5</v>
      </c>
      <c r="AGR38" s="15">
        <v>0.5</v>
      </c>
      <c r="AGS38" s="15">
        <v>0.5</v>
      </c>
      <c r="AGT38" s="15">
        <v>0.5</v>
      </c>
      <c r="AGU38" s="15">
        <v>0.5</v>
      </c>
      <c r="AGV38" s="207"/>
      <c r="AGW38" s="207"/>
      <c r="AGX38" s="202"/>
      <c r="AGY38" s="294"/>
      <c r="AGZ38" s="201"/>
      <c r="AHA38" s="130">
        <f>SUM(AFY38:AGZ38)</f>
      </c>
      <c r="AHB38" s="293"/>
      <c r="AHC38" s="294"/>
      <c r="AHD38" s="295"/>
      <c r="AHE38" s="207"/>
      <c r="AHF38" s="207"/>
      <c r="AHG38" s="15">
        <v>0.5</v>
      </c>
      <c r="AHH38" s="15">
        <v>0.5</v>
      </c>
      <c r="AHI38" s="15">
        <v>0.5</v>
      </c>
      <c r="AHJ38" s="212">
        <v>0.5</v>
      </c>
      <c r="AHK38" s="213">
        <v>0.5</v>
      </c>
      <c r="AHL38" s="296"/>
      <c r="AHM38" s="207"/>
      <c r="AHN38" s="212">
        <v>0.5</v>
      </c>
      <c r="AHO38" s="297">
        <v>0.5</v>
      </c>
      <c r="AHP38" s="298">
        <v>0.5</v>
      </c>
      <c r="AHQ38" s="212">
        <v>0.5</v>
      </c>
      <c r="AHR38" s="15">
        <v>0.5</v>
      </c>
      <c r="AHS38" s="15">
        <v>0.5</v>
      </c>
      <c r="AHT38" s="15">
        <v>0.5</v>
      </c>
      <c r="AHU38" s="15">
        <v>0.5</v>
      </c>
      <c r="AHV38" s="15">
        <v>0.5</v>
      </c>
      <c r="AHW38" s="15">
        <v>0.5</v>
      </c>
      <c r="AHX38" s="15">
        <v>0.5</v>
      </c>
      <c r="AHY38" s="207"/>
      <c r="AHZ38" s="207"/>
      <c r="AIA38" s="202"/>
      <c r="AIB38" s="294"/>
      <c r="AIC38" s="201"/>
      <c r="AID38" s="130">
        <f>SUM(AHB38:AIC38)</f>
      </c>
      <c r="AIE38" s="293"/>
      <c r="AIF38" s="294"/>
      <c r="AIG38" s="295"/>
      <c r="AIH38" s="207"/>
      <c r="AII38" s="207"/>
      <c r="AIJ38" s="15">
        <v>0.5</v>
      </c>
      <c r="AIK38" s="15">
        <v>0.5</v>
      </c>
      <c r="AIL38" s="15">
        <v>0.5</v>
      </c>
      <c r="AIM38" s="212">
        <v>0.5</v>
      </c>
      <c r="AIN38" s="213">
        <v>0.5</v>
      </c>
      <c r="AIO38" s="296"/>
      <c r="AIP38" s="207"/>
      <c r="AIQ38" s="212">
        <v>0.5</v>
      </c>
      <c r="AIR38" s="297">
        <v>0.5</v>
      </c>
      <c r="AIS38" s="298">
        <v>0.5</v>
      </c>
      <c r="AIT38" s="212">
        <v>0.5</v>
      </c>
      <c r="AIU38" s="15">
        <v>0.5</v>
      </c>
      <c r="AIV38" s="15">
        <v>0.5</v>
      </c>
      <c r="AIW38" s="15">
        <v>0.5</v>
      </c>
      <c r="AIX38" s="15">
        <v>0.5</v>
      </c>
      <c r="AIY38" s="15">
        <v>0.5</v>
      </c>
      <c r="AIZ38" s="15">
        <v>0.5</v>
      </c>
      <c r="AJA38" s="15">
        <v>0.5</v>
      </c>
      <c r="AJB38" s="207"/>
      <c r="AJC38" s="207"/>
      <c r="AJD38" s="202"/>
      <c r="AJE38" s="294"/>
      <c r="AJF38" s="201"/>
      <c r="AJG38" s="130">
        <f>SUM(AIE38:AJF38)</f>
      </c>
      <c r="AJH38" s="293"/>
      <c r="AJI38" s="294"/>
      <c r="AJJ38" s="295"/>
      <c r="AJK38" s="207"/>
      <c r="AJL38" s="207"/>
      <c r="AJM38" s="15">
        <v>0.5</v>
      </c>
      <c r="AJN38" s="15">
        <v>0.5</v>
      </c>
      <c r="AJO38" s="15">
        <v>0.5</v>
      </c>
      <c r="AJP38" s="212">
        <v>0.5</v>
      </c>
      <c r="AJQ38" s="213">
        <v>0.5</v>
      </c>
      <c r="AJR38" s="296"/>
      <c r="AJS38" s="207"/>
      <c r="AJT38" s="212">
        <v>0.5</v>
      </c>
      <c r="AJU38" s="297">
        <v>0.5</v>
      </c>
      <c r="AJV38" s="298">
        <v>0.5</v>
      </c>
      <c r="AJW38" s="212">
        <v>0.5</v>
      </c>
      <c r="AJX38" s="15">
        <v>0.5</v>
      </c>
      <c r="AJY38" s="15">
        <v>0.5</v>
      </c>
      <c r="AJZ38" s="15">
        <v>0.5</v>
      </c>
      <c r="AKA38" s="15">
        <v>0.5</v>
      </c>
      <c r="AKB38" s="15">
        <v>0.5</v>
      </c>
      <c r="AKC38" s="15">
        <v>0.5</v>
      </c>
      <c r="AKD38" s="15">
        <v>0.5</v>
      </c>
      <c r="AKE38" s="207"/>
      <c r="AKF38" s="207"/>
      <c r="AKG38" s="202"/>
      <c r="AKH38" s="294"/>
      <c r="AKI38" s="201"/>
      <c r="AKJ38" s="130">
        <f>SUM(AJH38:AKI38)</f>
      </c>
      <c r="AKK38" s="290"/>
      <c r="AKL38" s="291"/>
      <c r="AKM38" s="292"/>
      <c r="AKN38" s="196"/>
      <c r="AKO38" s="196"/>
      <c r="AKP38" s="196"/>
      <c r="AKQ38" s="196"/>
      <c r="AKR38" s="196"/>
      <c r="AKS38" s="196"/>
      <c r="AKT38" s="195"/>
      <c r="AKU38" s="197"/>
      <c r="AKV38" s="196"/>
      <c r="AKW38" s="196"/>
      <c r="AKX38" s="198"/>
      <c r="AKY38" s="292"/>
      <c r="AKZ38" s="196"/>
      <c r="ALA38" s="196"/>
      <c r="ALB38" s="196"/>
      <c r="ALC38" s="196"/>
      <c r="ALD38" s="196"/>
      <c r="ALE38" s="196"/>
      <c r="ALF38" s="196"/>
      <c r="ALG38" s="196"/>
      <c r="ALH38" s="196"/>
      <c r="ALI38" s="196"/>
      <c r="ALJ38" s="195"/>
      <c r="ALK38" s="291"/>
      <c r="ALL38" s="194"/>
      <c r="ALM38" s="130">
        <f>SUM(AKK38:ALL38)</f>
      </c>
      <c r="ALN38" s="290"/>
      <c r="ALO38" s="291"/>
      <c r="ALP38" s="292"/>
      <c r="ALQ38" s="196"/>
      <c r="ALR38" s="196"/>
      <c r="ALS38" s="196"/>
      <c r="ALT38" s="196"/>
      <c r="ALU38" s="196"/>
      <c r="ALV38" s="196"/>
      <c r="ALW38" s="195"/>
      <c r="ALX38" s="197"/>
      <c r="ALY38" s="196"/>
      <c r="ALZ38" s="196"/>
      <c r="AMA38" s="198"/>
      <c r="AMB38" s="292"/>
      <c r="AMC38" s="196"/>
      <c r="AMD38" s="196"/>
      <c r="AME38" s="196"/>
      <c r="AMF38" s="196"/>
      <c r="AMG38" s="196"/>
      <c r="AMH38" s="196"/>
      <c r="AMI38" s="196"/>
      <c r="AMJ38" s="196"/>
      <c r="AMK38" s="196"/>
      <c r="AML38" s="196"/>
      <c r="AMM38" s="195"/>
      <c r="AMN38" s="291"/>
      <c r="AMO38" s="194"/>
      <c r="AMP38" s="130">
        <f>SUM(ALN38:AMO38)</f>
      </c>
      <c r="AMQ38" s="132">
        <f>AFX38+AHA38+AID38+AJG38+AKJ38+ALM38+AMP38</f>
      </c>
      <c r="AMR38" s="133">
        <f>(COUNTIF(AEV38:AMP38,"H")+COUNTIF(AEV38:AMP38,"S")+COUNTIF(AEV38:AMP38,"L")+COUNTIF(AEV38:AMP38,"E")+COUNTIF(AEV38:AMP38,"C"))/2</f>
      </c>
      <c r="AMS38" s="130">
        <f>AMQ38+AMR38</f>
      </c>
      <c r="AMT38" s="4"/>
      <c r="AMU38" s="4"/>
      <c r="AMV38" s="4"/>
      <c r="AMW38" s="4"/>
      <c r="AMX38" s="4"/>
      <c r="AMY38" s="4"/>
      <c r="AMZ38" s="4"/>
      <c r="ANA38" s="4"/>
      <c r="ANB38" s="4"/>
      <c r="ANC38" s="4"/>
      <c r="AND38" s="4"/>
      <c r="ANE38" s="4"/>
      <c r="ANF38" s="4"/>
      <c r="ANG38" s="4"/>
      <c r="ANH38" s="4"/>
      <c r="ANI38" s="4"/>
      <c r="ANJ38" s="13"/>
      <c r="ANK38" s="13"/>
      <c r="ANL38" s="4"/>
      <c r="ANM38" s="4"/>
      <c r="ANN38" s="4"/>
      <c r="ANO38" s="4"/>
      <c r="ANP38" s="4"/>
      <c r="ANQ38" s="4"/>
      <c r="ANR38" s="4"/>
      <c r="ANS38" s="4"/>
      <c r="ANT38" s="4"/>
      <c r="ANU38" s="4"/>
      <c r="ANV38" s="4"/>
      <c r="ANW38" s="4"/>
      <c r="ANX38" s="4"/>
      <c r="ANY38" s="4"/>
      <c r="ANZ38" s="4"/>
      <c r="AOA38" s="4"/>
      <c r="AOB38" s="4"/>
      <c r="AOC38" s="4"/>
      <c r="AOD38" s="4"/>
      <c r="AOE38" s="4"/>
      <c r="AOF38" s="4"/>
      <c r="AOG38" s="4"/>
      <c r="AOH38" s="4"/>
      <c r="AOI38" s="4"/>
      <c r="AOJ38" s="4"/>
      <c r="AOK38" s="4"/>
      <c r="AOL38" s="4"/>
      <c r="AOM38" s="4"/>
      <c r="AON38" s="4"/>
      <c r="AOO38" s="4"/>
      <c r="AOP38" s="4"/>
      <c r="AOQ38" s="4"/>
      <c r="AOR38" s="4"/>
      <c r="AOS38" s="4"/>
      <c r="AOT38" s="4"/>
      <c r="AOU38" s="4"/>
      <c r="AOV38" s="4"/>
      <c r="AOW38" s="4"/>
      <c r="AOX38" s="4"/>
      <c r="AOY38" s="4"/>
      <c r="AOZ38" s="4"/>
      <c r="APA38" s="4"/>
      <c r="APB38" s="4"/>
      <c r="APC38" s="4"/>
      <c r="APD38" s="4"/>
      <c r="APE38" s="4"/>
      <c r="APF38" s="4"/>
      <c r="APG38" s="4"/>
      <c r="APH38" s="4"/>
      <c r="API38" s="4"/>
      <c r="APJ38" s="4"/>
      <c r="APK38" s="4"/>
      <c r="APL38" s="4"/>
      <c r="APM38" s="4"/>
      <c r="APN38" s="4"/>
      <c r="APO38" s="4"/>
      <c r="APP38" s="4"/>
      <c r="APQ38" s="4"/>
      <c r="APR38" s="4"/>
      <c r="APS38" s="4"/>
      <c r="APT38" s="4"/>
      <c r="APU38" s="4"/>
      <c r="APV38" s="4"/>
      <c r="APW38" s="4"/>
      <c r="APX38" s="4"/>
      <c r="APY38" s="4"/>
      <c r="APZ38" s="4"/>
      <c r="AQA38" s="4"/>
      <c r="AQB38" s="4"/>
      <c r="AQC38" s="4"/>
      <c r="AQD38" s="4"/>
      <c r="AQE38" s="4"/>
      <c r="AQF38" s="4"/>
      <c r="AQG38" s="4"/>
      <c r="AQH38" s="4"/>
      <c r="AQI38" s="4"/>
      <c r="AQJ38" s="4"/>
      <c r="AQK38" s="4"/>
      <c r="AQL38" s="4"/>
      <c r="AQM38" s="4"/>
      <c r="AQN38" s="4"/>
      <c r="AQO38" s="4"/>
      <c r="AQP38" s="4"/>
      <c r="AQQ38" s="4"/>
      <c r="AQR38" s="4"/>
      <c r="AQS38" s="4"/>
      <c r="AQT38" s="4"/>
      <c r="AQU38" s="4"/>
      <c r="AQV38" s="4"/>
      <c r="AQW38" s="4"/>
      <c r="AQX38" s="4"/>
      <c r="AQY38" s="4"/>
      <c r="AQZ38" s="4"/>
      <c r="ARA38" s="4"/>
      <c r="ARB38" s="4"/>
      <c r="ARC38" s="4"/>
      <c r="ARD38" s="4"/>
      <c r="ARE38" s="4"/>
      <c r="ARF38" s="4"/>
      <c r="ARG38" s="4"/>
      <c r="ARH38" s="4"/>
      <c r="ARI38" s="4"/>
      <c r="ARJ38" s="4"/>
      <c r="ARK38" s="4"/>
      <c r="ARL38" s="4"/>
      <c r="ARM38" s="4"/>
      <c r="ARN38" s="4"/>
      <c r="ARO38" s="4"/>
      <c r="ARP38" s="4"/>
      <c r="ARQ38" s="4"/>
      <c r="ARR38" s="4"/>
      <c r="ARS38" s="4"/>
      <c r="ART38" s="4"/>
      <c r="ARU38" s="4"/>
      <c r="ARV38" s="4"/>
      <c r="ARW38" s="4"/>
      <c r="ARX38" s="4"/>
      <c r="ARY38" s="4"/>
      <c r="ARZ38" s="4"/>
      <c r="ASA38" s="4"/>
      <c r="ASB38" s="4"/>
      <c r="ASC38" s="4"/>
      <c r="ASD38" s="4"/>
      <c r="ASE38" s="4"/>
      <c r="ASF38" s="4"/>
      <c r="ASG38" s="4"/>
      <c r="ASH38" s="4"/>
      <c r="ASI38" s="4"/>
      <c r="ASJ38" s="4"/>
      <c r="ASK38" s="4"/>
      <c r="ASL38" s="4"/>
      <c r="ASM38" s="4"/>
      <c r="ASN38" s="4"/>
      <c r="ASO38" s="4"/>
      <c r="ASP38" s="4"/>
      <c r="ASQ38" s="4"/>
      <c r="ASR38" s="4"/>
      <c r="ASS38" s="4"/>
      <c r="AST38" s="4"/>
      <c r="ASU38" s="4"/>
    </row>
    <row r="39" ht="15" customHeight="1" spans="1:1191" x14ac:dyDescent="0.25">
      <c r="A39" s="118"/>
      <c r="B39" s="230" t="s">
        <v>77</v>
      </c>
      <c r="C39" s="299" t="s">
        <v>55</v>
      </c>
      <c r="D39" s="300"/>
      <c r="E39" s="301"/>
      <c r="F39" s="123"/>
      <c r="G39" s="124"/>
      <c r="H39" s="124"/>
      <c r="I39" s="124"/>
      <c r="J39" s="124"/>
      <c r="K39" s="124"/>
      <c r="L39" s="124"/>
      <c r="M39" s="125"/>
      <c r="N39" s="126"/>
      <c r="O39" s="124"/>
      <c r="P39" s="124"/>
      <c r="Q39" s="127"/>
      <c r="R39" s="123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5"/>
      <c r="AD39" s="301"/>
      <c r="AE39" s="151"/>
      <c r="AF39" s="131">
        <f>SUM(D39:AE39)</f>
      </c>
      <c r="AG39" s="300"/>
      <c r="AH39" s="301"/>
      <c r="AI39" s="123"/>
      <c r="AJ39" s="124"/>
      <c r="AK39" s="124"/>
      <c r="AL39" s="124"/>
      <c r="AM39" s="124"/>
      <c r="AN39" s="124"/>
      <c r="AO39" s="124"/>
      <c r="AP39" s="125"/>
      <c r="AQ39" s="126"/>
      <c r="AR39" s="124"/>
      <c r="AS39" s="124"/>
      <c r="AT39" s="127"/>
      <c r="AU39" s="123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5"/>
      <c r="BG39" s="301"/>
      <c r="BH39" s="151"/>
      <c r="BI39" s="131">
        <f>SUM(AG39:BH39)</f>
      </c>
      <c r="BJ39" s="300"/>
      <c r="BK39" s="301"/>
      <c r="BL39" s="123"/>
      <c r="BM39" s="124"/>
      <c r="BN39" s="124"/>
      <c r="BO39" s="124"/>
      <c r="BP39" s="124"/>
      <c r="BQ39" s="124"/>
      <c r="BR39" s="124"/>
      <c r="BS39" s="125"/>
      <c r="BT39" s="126"/>
      <c r="BU39" s="124"/>
      <c r="BV39" s="124"/>
      <c r="BW39" s="127"/>
      <c r="BX39" s="123"/>
      <c r="BY39" s="124"/>
      <c r="BZ39" s="124"/>
      <c r="CA39" s="124"/>
      <c r="CB39" s="124"/>
      <c r="CC39" s="124"/>
      <c r="CD39" s="124"/>
      <c r="CE39" s="124"/>
      <c r="CF39" s="124"/>
      <c r="CG39" s="124"/>
      <c r="CH39" s="124"/>
      <c r="CI39" s="125"/>
      <c r="CJ39" s="301"/>
      <c r="CK39" s="151"/>
      <c r="CL39" s="131">
        <f>SUM(BJ39:CK39)</f>
      </c>
      <c r="CM39" s="300"/>
      <c r="CN39" s="301"/>
      <c r="CO39" s="123"/>
      <c r="CP39" s="124"/>
      <c r="CQ39" s="124"/>
      <c r="CR39" s="124"/>
      <c r="CS39" s="124"/>
      <c r="CT39" s="124"/>
      <c r="CU39" s="124"/>
      <c r="CV39" s="125"/>
      <c r="CW39" s="126"/>
      <c r="CX39" s="124"/>
      <c r="CY39" s="124"/>
      <c r="CZ39" s="127"/>
      <c r="DA39" s="123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5"/>
      <c r="DM39" s="301"/>
      <c r="DN39" s="151"/>
      <c r="DO39" s="131">
        <f>SUM(CM39:DN39)</f>
      </c>
      <c r="DP39" s="300"/>
      <c r="DQ39" s="301"/>
      <c r="DR39" s="123"/>
      <c r="DS39" s="124"/>
      <c r="DT39" s="124"/>
      <c r="DU39" s="124"/>
      <c r="DV39" s="124"/>
      <c r="DW39" s="124"/>
      <c r="DX39" s="124"/>
      <c r="DY39" s="125"/>
      <c r="DZ39" s="126"/>
      <c r="EA39" s="124"/>
      <c r="EB39" s="124"/>
      <c r="EC39" s="127"/>
      <c r="ED39" s="123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5"/>
      <c r="EP39" s="301"/>
      <c r="EQ39" s="151"/>
      <c r="ER39" s="131">
        <f>SUM(DP39:EQ39)</f>
      </c>
      <c r="ES39" s="300"/>
      <c r="ET39" s="301"/>
      <c r="EU39" s="123"/>
      <c r="EV39" s="124"/>
      <c r="EW39" s="124"/>
      <c r="EX39" s="124"/>
      <c r="EY39" s="124"/>
      <c r="EZ39" s="124"/>
      <c r="FA39" s="124"/>
      <c r="FB39" s="125"/>
      <c r="FC39" s="126"/>
      <c r="FD39" s="124"/>
      <c r="FE39" s="124"/>
      <c r="FF39" s="127"/>
      <c r="FG39" s="123"/>
      <c r="FH39" s="124"/>
      <c r="FI39" s="124"/>
      <c r="FJ39" s="124"/>
      <c r="FK39" s="124"/>
      <c r="FL39" s="124"/>
      <c r="FM39" s="124"/>
      <c r="FN39" s="124"/>
      <c r="FO39" s="124"/>
      <c r="FP39" s="124"/>
      <c r="FQ39" s="124"/>
      <c r="FR39" s="125"/>
      <c r="FS39" s="301"/>
      <c r="FT39" s="151"/>
      <c r="FU39" s="131">
        <f>SUM(ES39:FT39)</f>
      </c>
      <c r="FV39" s="300"/>
      <c r="FW39" s="301"/>
      <c r="FX39" s="123"/>
      <c r="FY39" s="124"/>
      <c r="FZ39" s="124"/>
      <c r="GA39" s="124"/>
      <c r="GB39" s="124"/>
      <c r="GC39" s="124"/>
      <c r="GD39" s="124"/>
      <c r="GE39" s="125"/>
      <c r="GF39" s="126"/>
      <c r="GG39" s="124"/>
      <c r="GH39" s="124"/>
      <c r="GI39" s="127"/>
      <c r="GJ39" s="123"/>
      <c r="GK39" s="124"/>
      <c r="GL39" s="124"/>
      <c r="GM39" s="124"/>
      <c r="GN39" s="124"/>
      <c r="GO39" s="124"/>
      <c r="GP39" s="124"/>
      <c r="GQ39" s="124"/>
      <c r="GR39" s="124"/>
      <c r="GS39" s="124"/>
      <c r="GT39" s="124"/>
      <c r="GU39" s="125"/>
      <c r="GV39" s="301"/>
      <c r="GW39" s="151"/>
      <c r="GX39" s="131">
        <f>SUM(FV39:GW39)</f>
      </c>
      <c r="GY39" s="150">
        <f>AF39+BI39+CL39+DO39+ER39+FU39+GX39</f>
      </c>
      <c r="GZ39" s="302">
        <f>(COUNTIF(D39:GX39,"H")+COUNTIF(D39:GX39,"S")+COUNTIF(D39:GX39,"L")+COUNTIF(D39:GX39,"E")+COUNTIF(D39:GX39,"C"))/2</f>
      </c>
      <c r="HA39" s="131">
        <f>GY39+GZ39</f>
      </c>
      <c r="HB39" s="303"/>
      <c r="HC39" s="304"/>
      <c r="HD39" s="136"/>
      <c r="HE39" s="138">
        <v>0.5</v>
      </c>
      <c r="HF39" s="138">
        <v>0.5</v>
      </c>
      <c r="HG39" s="138">
        <v>0.5</v>
      </c>
      <c r="HH39" s="138">
        <v>0.5</v>
      </c>
      <c r="HI39" s="138">
        <v>0.5</v>
      </c>
      <c r="HJ39" s="138">
        <v>0.5</v>
      </c>
      <c r="HK39" s="139">
        <v>0.5</v>
      </c>
      <c r="HL39" s="140">
        <v>0.5</v>
      </c>
      <c r="HM39" s="138">
        <v>0.5</v>
      </c>
      <c r="HN39" s="148"/>
      <c r="HO39" s="305"/>
      <c r="HP39" s="142">
        <v>0.5</v>
      </c>
      <c r="HQ39" s="138">
        <v>0.5</v>
      </c>
      <c r="HR39" s="138">
        <v>0.5</v>
      </c>
      <c r="HS39" s="138">
        <v>0.5</v>
      </c>
      <c r="HT39" s="138">
        <v>0.5</v>
      </c>
      <c r="HU39" s="138">
        <v>0.5</v>
      </c>
      <c r="HV39" s="138">
        <v>0.5</v>
      </c>
      <c r="HW39" s="138">
        <v>0.5</v>
      </c>
      <c r="HX39" s="137"/>
      <c r="HY39" s="137"/>
      <c r="HZ39" s="137"/>
      <c r="IA39" s="153"/>
      <c r="IB39" s="304"/>
      <c r="IC39" s="152"/>
      <c r="ID39" s="131">
        <f>SUM(HB39:IC39)</f>
      </c>
      <c r="IE39" s="303"/>
      <c r="IF39" s="304"/>
      <c r="IG39" s="136"/>
      <c r="IH39" s="138">
        <v>0.5</v>
      </c>
      <c r="II39" s="138">
        <v>0.5</v>
      </c>
      <c r="IJ39" s="138">
        <v>0.5</v>
      </c>
      <c r="IK39" s="138">
        <v>0.5</v>
      </c>
      <c r="IL39" s="138">
        <v>0.5</v>
      </c>
      <c r="IM39" s="138">
        <v>0.5</v>
      </c>
      <c r="IN39" s="139">
        <v>0.5</v>
      </c>
      <c r="IO39" s="140">
        <v>0.5</v>
      </c>
      <c r="IP39" s="138">
        <v>0.5</v>
      </c>
      <c r="IQ39" s="148"/>
      <c r="IR39" s="305"/>
      <c r="IS39" s="142">
        <v>0.5</v>
      </c>
      <c r="IT39" s="138">
        <v>0.5</v>
      </c>
      <c r="IU39" s="138">
        <v>0.5</v>
      </c>
      <c r="IV39" s="138">
        <v>0.5</v>
      </c>
      <c r="IW39" s="138">
        <v>0.5</v>
      </c>
      <c r="IX39" s="138">
        <v>0.5</v>
      </c>
      <c r="IY39" s="138">
        <v>0.5</v>
      </c>
      <c r="IZ39" s="138">
        <v>0.5</v>
      </c>
      <c r="JA39" s="137"/>
      <c r="JB39" s="137"/>
      <c r="JC39" s="137"/>
      <c r="JD39" s="153"/>
      <c r="JE39" s="304"/>
      <c r="JF39" s="152"/>
      <c r="JG39" s="131">
        <f>SUM(IE39:JF39)</f>
      </c>
      <c r="JH39" s="303"/>
      <c r="JI39" s="304"/>
      <c r="JJ39" s="136"/>
      <c r="JK39" s="138">
        <v>0.5</v>
      </c>
      <c r="JL39" s="138">
        <v>0.5</v>
      </c>
      <c r="JM39" s="138">
        <v>0.5</v>
      </c>
      <c r="JN39" s="138">
        <v>0.5</v>
      </c>
      <c r="JO39" s="138">
        <v>0.5</v>
      </c>
      <c r="JP39" s="138">
        <v>0.5</v>
      </c>
      <c r="JQ39" s="139">
        <v>0.5</v>
      </c>
      <c r="JR39" s="140">
        <v>0.5</v>
      </c>
      <c r="JS39" s="138">
        <v>0.5</v>
      </c>
      <c r="JT39" s="148"/>
      <c r="JU39" s="305"/>
      <c r="JV39" s="142">
        <v>0.5</v>
      </c>
      <c r="JW39" s="138">
        <v>0.5</v>
      </c>
      <c r="JX39" s="138">
        <v>0.5</v>
      </c>
      <c r="JY39" s="138">
        <v>0.5</v>
      </c>
      <c r="JZ39" s="138">
        <v>0.5</v>
      </c>
      <c r="KA39" s="138">
        <v>0.5</v>
      </c>
      <c r="KB39" s="138">
        <v>0.5</v>
      </c>
      <c r="KC39" s="138">
        <v>0.5</v>
      </c>
      <c r="KD39" s="137"/>
      <c r="KE39" s="137"/>
      <c r="KF39" s="137"/>
      <c r="KG39" s="153"/>
      <c r="KH39" s="304"/>
      <c r="KI39" s="152"/>
      <c r="KJ39" s="131">
        <f>SUM(JH39:KI39)</f>
      </c>
      <c r="KK39" s="303"/>
      <c r="KL39" s="304"/>
      <c r="KM39" s="136"/>
      <c r="KN39" s="138">
        <v>0.5</v>
      </c>
      <c r="KO39" s="138">
        <v>0.5</v>
      </c>
      <c r="KP39" s="138">
        <v>0.5</v>
      </c>
      <c r="KQ39" s="138">
        <v>0.5</v>
      </c>
      <c r="KR39" s="138">
        <v>0.5</v>
      </c>
      <c r="KS39" s="138">
        <v>0.5</v>
      </c>
      <c r="KT39" s="139">
        <v>0.5</v>
      </c>
      <c r="KU39" s="140">
        <v>0.5</v>
      </c>
      <c r="KV39" s="138">
        <v>0.5</v>
      </c>
      <c r="KW39" s="148"/>
      <c r="KX39" s="305"/>
      <c r="KY39" s="142">
        <v>0.5</v>
      </c>
      <c r="KZ39" s="138">
        <v>0.5</v>
      </c>
      <c r="LA39" s="138">
        <v>0.5</v>
      </c>
      <c r="LB39" s="138">
        <v>0.5</v>
      </c>
      <c r="LC39" s="138">
        <v>0.5</v>
      </c>
      <c r="LD39" s="138">
        <v>0.5</v>
      </c>
      <c r="LE39" s="138">
        <v>0.5</v>
      </c>
      <c r="LF39" s="138">
        <v>0.5</v>
      </c>
      <c r="LG39" s="137"/>
      <c r="LH39" s="137"/>
      <c r="LI39" s="137"/>
      <c r="LJ39" s="153"/>
      <c r="LK39" s="304"/>
      <c r="LL39" s="152"/>
      <c r="LM39" s="131">
        <f>SUM(KK39:LL39)</f>
      </c>
      <c r="LN39" s="303"/>
      <c r="LO39" s="304"/>
      <c r="LP39" s="142">
        <v>0.5</v>
      </c>
      <c r="LQ39" s="138">
        <v>0.5</v>
      </c>
      <c r="LR39" s="138">
        <v>0.5</v>
      </c>
      <c r="LS39" s="138">
        <v>0.5</v>
      </c>
      <c r="LT39" s="138">
        <v>0.5</v>
      </c>
      <c r="LU39" s="138">
        <v>0.5</v>
      </c>
      <c r="LV39" s="138">
        <v>0.5</v>
      </c>
      <c r="LW39" s="139">
        <v>0.5</v>
      </c>
      <c r="LX39" s="140">
        <v>0.5</v>
      </c>
      <c r="LY39" s="138">
        <v>0.5</v>
      </c>
      <c r="LZ39" s="138">
        <v>0.5</v>
      </c>
      <c r="MA39" s="149">
        <v>0.5</v>
      </c>
      <c r="MB39" s="136"/>
      <c r="MC39" s="137"/>
      <c r="MD39" s="137"/>
      <c r="ME39" s="137"/>
      <c r="MF39" s="137"/>
      <c r="MG39" s="137"/>
      <c r="MH39" s="137"/>
      <c r="MI39" s="137"/>
      <c r="MJ39" s="137"/>
      <c r="MK39" s="137"/>
      <c r="ML39" s="137"/>
      <c r="MM39" s="153"/>
      <c r="MN39" s="304"/>
      <c r="MO39" s="152"/>
      <c r="MP39" s="131">
        <f>SUM(LN39:MO39)</f>
      </c>
      <c r="MQ39" s="300"/>
      <c r="MR39" s="301"/>
      <c r="MS39" s="123"/>
      <c r="MT39" s="124"/>
      <c r="MU39" s="124"/>
      <c r="MV39" s="124"/>
      <c r="MW39" s="124"/>
      <c r="MX39" s="124"/>
      <c r="MY39" s="124"/>
      <c r="MZ39" s="125"/>
      <c r="NA39" s="126"/>
      <c r="NB39" s="124"/>
      <c r="NC39" s="124"/>
      <c r="ND39" s="127"/>
      <c r="NE39" s="123"/>
      <c r="NF39" s="124"/>
      <c r="NG39" s="124"/>
      <c r="NH39" s="124"/>
      <c r="NI39" s="124"/>
      <c r="NJ39" s="124"/>
      <c r="NK39" s="124"/>
      <c r="NL39" s="124"/>
      <c r="NM39" s="124"/>
      <c r="NN39" s="124"/>
      <c r="NO39" s="124"/>
      <c r="NP39" s="125"/>
      <c r="NQ39" s="301"/>
      <c r="NR39" s="151"/>
      <c r="NS39" s="131">
        <f>SUM(MQ39:NR39)</f>
      </c>
      <c r="NT39" s="300"/>
      <c r="NU39" s="301"/>
      <c r="NV39" s="123"/>
      <c r="NW39" s="124"/>
      <c r="NX39" s="124"/>
      <c r="NY39" s="124"/>
      <c r="NZ39" s="124"/>
      <c r="OA39" s="124"/>
      <c r="OB39" s="124"/>
      <c r="OC39" s="125"/>
      <c r="OD39" s="126"/>
      <c r="OE39" s="124"/>
      <c r="OF39" s="124"/>
      <c r="OG39" s="127"/>
      <c r="OH39" s="123"/>
      <c r="OI39" s="124"/>
      <c r="OJ39" s="124"/>
      <c r="OK39" s="124"/>
      <c r="OL39" s="124"/>
      <c r="OM39" s="124"/>
      <c r="ON39" s="124"/>
      <c r="OO39" s="124"/>
      <c r="OP39" s="124"/>
      <c r="OQ39" s="124"/>
      <c r="OR39" s="124"/>
      <c r="OS39" s="125"/>
      <c r="OT39" s="301"/>
      <c r="OU39" s="151"/>
      <c r="OV39" s="131">
        <f>SUM(NT39:OU39)</f>
      </c>
      <c r="OW39" s="150">
        <f>ID39+JG39+KJ39+LM39+MP39+NS39+OV39</f>
      </c>
      <c r="OX39" s="302">
        <f>(COUNTIF(HB39:OV39,"H")+COUNTIF(HB39:OV39,"S")+COUNTIF(HB39:OV39,"L")+COUNTIF(HB39:OV39,"E")+COUNTIF(HB39:OV39,"C"))/2</f>
      </c>
      <c r="OY39" s="131">
        <f>OW39+OX39</f>
      </c>
      <c r="OZ39" s="303"/>
      <c r="PA39" s="304"/>
      <c r="PB39" s="136"/>
      <c r="PC39" s="138">
        <v>0.5</v>
      </c>
      <c r="PD39" s="138">
        <v>0.5</v>
      </c>
      <c r="PE39" s="138">
        <v>0.5</v>
      </c>
      <c r="PF39" s="138">
        <v>0.5</v>
      </c>
      <c r="PG39" s="138">
        <v>0.5</v>
      </c>
      <c r="PH39" s="138">
        <v>0.5</v>
      </c>
      <c r="PI39" s="139">
        <v>0.5</v>
      </c>
      <c r="PJ39" s="140">
        <v>0.5</v>
      </c>
      <c r="PK39" s="138">
        <v>0.5</v>
      </c>
      <c r="PL39" s="137"/>
      <c r="PM39" s="141"/>
      <c r="PN39" s="142">
        <v>0.5</v>
      </c>
      <c r="PO39" s="138">
        <v>0.5</v>
      </c>
      <c r="PP39" s="138">
        <v>0.5</v>
      </c>
      <c r="PQ39" s="138">
        <v>0.5</v>
      </c>
      <c r="PR39" s="138">
        <v>0.5</v>
      </c>
      <c r="PS39" s="138">
        <v>0.5</v>
      </c>
      <c r="PT39" s="138">
        <v>0.5</v>
      </c>
      <c r="PU39" s="137"/>
      <c r="PV39" s="137"/>
      <c r="PW39" s="137"/>
      <c r="PX39" s="137"/>
      <c r="PY39" s="153"/>
      <c r="PZ39" s="304"/>
      <c r="QA39" s="152"/>
      <c r="QB39" s="131">
        <f>SUM(OZ39:QA39)</f>
      </c>
      <c r="QC39" s="303"/>
      <c r="QD39" s="304"/>
      <c r="QE39" s="136"/>
      <c r="QF39" s="143">
        <v>0.5</v>
      </c>
      <c r="QG39" s="143">
        <v>0.5</v>
      </c>
      <c r="QH39" s="143">
        <v>0.5</v>
      </c>
      <c r="QI39" s="143">
        <v>0.5</v>
      </c>
      <c r="QJ39" s="143">
        <v>0.5</v>
      </c>
      <c r="QK39" s="138">
        <v>0.5</v>
      </c>
      <c r="QL39" s="139">
        <v>0.5</v>
      </c>
      <c r="QM39" s="140">
        <v>0.5</v>
      </c>
      <c r="QN39" s="138">
        <v>0.5</v>
      </c>
      <c r="QO39" s="137"/>
      <c r="QP39" s="141"/>
      <c r="QQ39" s="142">
        <v>0.5</v>
      </c>
      <c r="QR39" s="138">
        <v>0.5</v>
      </c>
      <c r="QS39" s="138">
        <v>0.5</v>
      </c>
      <c r="QT39" s="138">
        <v>0.5</v>
      </c>
      <c r="QU39" s="138">
        <v>0.5</v>
      </c>
      <c r="QV39" s="138">
        <v>0.5</v>
      </c>
      <c r="QW39" s="138">
        <v>0.5</v>
      </c>
      <c r="QX39" s="137"/>
      <c r="QY39" s="137"/>
      <c r="QZ39" s="137"/>
      <c r="RA39" s="137"/>
      <c r="RB39" s="153"/>
      <c r="RC39" s="304"/>
      <c r="RD39" s="152"/>
      <c r="RE39" s="131">
        <f>SUM(QC39:RD39)</f>
      </c>
      <c r="RF39" s="303"/>
      <c r="RG39" s="304"/>
      <c r="RH39" s="136"/>
      <c r="RI39" s="143">
        <v>0.5</v>
      </c>
      <c r="RJ39" s="143">
        <v>0.5</v>
      </c>
      <c r="RK39" s="143">
        <v>0.5</v>
      </c>
      <c r="RL39" s="143">
        <v>0.5</v>
      </c>
      <c r="RM39" s="143">
        <v>0.5</v>
      </c>
      <c r="RN39" s="138">
        <v>0.5</v>
      </c>
      <c r="RO39" s="139">
        <v>0.5</v>
      </c>
      <c r="RP39" s="140">
        <v>0.5</v>
      </c>
      <c r="RQ39" s="138">
        <v>0.5</v>
      </c>
      <c r="RR39" s="137"/>
      <c r="RS39" s="141"/>
      <c r="RT39" s="142">
        <v>0.5</v>
      </c>
      <c r="RU39" s="138">
        <v>0.5</v>
      </c>
      <c r="RV39" s="138">
        <v>0.5</v>
      </c>
      <c r="RW39" s="138">
        <v>0.5</v>
      </c>
      <c r="RX39" s="138">
        <v>0.5</v>
      </c>
      <c r="RY39" s="138">
        <v>0.5</v>
      </c>
      <c r="RZ39" s="138">
        <v>0.5</v>
      </c>
      <c r="SA39" s="137"/>
      <c r="SB39" s="137"/>
      <c r="SC39" s="137"/>
      <c r="SD39" s="137"/>
      <c r="SE39" s="153"/>
      <c r="SF39" s="304"/>
      <c r="SG39" s="152"/>
      <c r="SH39" s="131">
        <f>SUM(RF39:SG39)</f>
      </c>
      <c r="SI39" s="303"/>
      <c r="SJ39" s="304"/>
      <c r="SK39" s="136"/>
      <c r="SL39" s="143">
        <v>0.5</v>
      </c>
      <c r="SM39" s="143">
        <v>0.5</v>
      </c>
      <c r="SN39" s="143">
        <v>0.5</v>
      </c>
      <c r="SO39" s="143">
        <v>0.5</v>
      </c>
      <c r="SP39" s="143">
        <v>0.5</v>
      </c>
      <c r="SQ39" s="138">
        <v>0.5</v>
      </c>
      <c r="SR39" s="139">
        <v>0.5</v>
      </c>
      <c r="SS39" s="140">
        <v>0.5</v>
      </c>
      <c r="ST39" s="138">
        <v>0.5</v>
      </c>
      <c r="SU39" s="137"/>
      <c r="SV39" s="141"/>
      <c r="SW39" s="142">
        <v>0.5</v>
      </c>
      <c r="SX39" s="138">
        <v>0.5</v>
      </c>
      <c r="SY39" s="138">
        <v>0.5</v>
      </c>
      <c r="SZ39" s="138">
        <v>0.5</v>
      </c>
      <c r="TA39" s="138">
        <v>0.5</v>
      </c>
      <c r="TB39" s="138">
        <v>0.5</v>
      </c>
      <c r="TC39" s="138">
        <v>0.5</v>
      </c>
      <c r="TD39" s="137"/>
      <c r="TE39" s="137"/>
      <c r="TF39" s="137"/>
      <c r="TG39" s="137"/>
      <c r="TH39" s="153"/>
      <c r="TI39" s="304"/>
      <c r="TJ39" s="152"/>
      <c r="TK39" s="131">
        <f>SUM(SI39:TJ39)</f>
      </c>
      <c r="TL39" s="303"/>
      <c r="TM39" s="304"/>
      <c r="TN39" s="136"/>
      <c r="TO39" s="143">
        <v>0.5</v>
      </c>
      <c r="TP39" s="143">
        <v>0.5</v>
      </c>
      <c r="TQ39" s="143">
        <v>0.5</v>
      </c>
      <c r="TR39" s="143">
        <v>0.5</v>
      </c>
      <c r="TS39" s="143">
        <v>0.5</v>
      </c>
      <c r="TT39" s="138">
        <v>0.5</v>
      </c>
      <c r="TU39" s="139">
        <v>0.5</v>
      </c>
      <c r="TV39" s="140">
        <v>0.5</v>
      </c>
      <c r="TW39" s="138">
        <v>0.5</v>
      </c>
      <c r="TX39" s="137"/>
      <c r="TY39" s="141"/>
      <c r="TZ39" s="142">
        <v>0.5</v>
      </c>
      <c r="UA39" s="138">
        <v>0.5</v>
      </c>
      <c r="UB39" s="138">
        <v>0.5</v>
      </c>
      <c r="UC39" s="138">
        <v>0.5</v>
      </c>
      <c r="UD39" s="138">
        <v>0.5</v>
      </c>
      <c r="UE39" s="138">
        <v>0.5</v>
      </c>
      <c r="UF39" s="138">
        <v>0.5</v>
      </c>
      <c r="UG39" s="137"/>
      <c r="UH39" s="137"/>
      <c r="UI39" s="137"/>
      <c r="UJ39" s="137"/>
      <c r="UK39" s="153"/>
      <c r="UL39" s="304"/>
      <c r="UM39" s="152"/>
      <c r="UN39" s="131">
        <f>SUM(TL39:UM39)</f>
      </c>
      <c r="UO39" s="300"/>
      <c r="UP39" s="301"/>
      <c r="UQ39" s="123"/>
      <c r="UR39" s="124"/>
      <c r="US39" s="124"/>
      <c r="UT39" s="124"/>
      <c r="UU39" s="124"/>
      <c r="UV39" s="124"/>
      <c r="UW39" s="124"/>
      <c r="UX39" s="125"/>
      <c r="UY39" s="126"/>
      <c r="UZ39" s="124"/>
      <c r="VA39" s="124"/>
      <c r="VB39" s="127"/>
      <c r="VC39" s="123"/>
      <c r="VD39" s="124"/>
      <c r="VE39" s="124"/>
      <c r="VF39" s="124"/>
      <c r="VG39" s="124"/>
      <c r="VH39" s="124"/>
      <c r="VI39" s="124"/>
      <c r="VJ39" s="124"/>
      <c r="VK39" s="124"/>
      <c r="VL39" s="124"/>
      <c r="VM39" s="124"/>
      <c r="VN39" s="125"/>
      <c r="VO39" s="301"/>
      <c r="VP39" s="151"/>
      <c r="VQ39" s="131">
        <f>SUM(UO39:VP39)</f>
      </c>
      <c r="VR39" s="300"/>
      <c r="VS39" s="301"/>
      <c r="VT39" s="123"/>
      <c r="VU39" s="124"/>
      <c r="VV39" s="124"/>
      <c r="VW39" s="124"/>
      <c r="VX39" s="124"/>
      <c r="VY39" s="124"/>
      <c r="VZ39" s="124"/>
      <c r="WA39" s="125"/>
      <c r="WB39" s="126"/>
      <c r="WC39" s="124"/>
      <c r="WD39" s="124"/>
      <c r="WE39" s="127"/>
      <c r="WF39" s="123"/>
      <c r="WG39" s="124"/>
      <c r="WH39" s="124"/>
      <c r="WI39" s="124"/>
      <c r="WJ39" s="124"/>
      <c r="WK39" s="124"/>
      <c r="WL39" s="124"/>
      <c r="WM39" s="124"/>
      <c r="WN39" s="124"/>
      <c r="WO39" s="124"/>
      <c r="WP39" s="124"/>
      <c r="WQ39" s="125"/>
      <c r="WR39" s="301"/>
      <c r="WS39" s="151"/>
      <c r="WT39" s="131">
        <f>SUM(VR39:WS39)</f>
      </c>
      <c r="WU39" s="150">
        <f>QB39+RE39+SH39+TK39+UN39+VQ39+WT39</f>
      </c>
      <c r="WV39" s="302">
        <f>(COUNTIF(OZ39:WT39,"H")+COUNTIF(OZ39:WT39,"S")+COUNTIF(OZ39:WT39,"L")+COUNTIF(OZ39:WT39,"E")+COUNTIF(OZ39:WT39,"C"))/2</f>
      </c>
      <c r="WW39" s="131">
        <f>WU39+WV39</f>
      </c>
      <c r="WX39" s="303"/>
      <c r="WY39" s="304"/>
      <c r="WZ39" s="136"/>
      <c r="XA39" s="137"/>
      <c r="XB39" s="137"/>
      <c r="XC39" s="137"/>
      <c r="XD39" s="137"/>
      <c r="XE39" s="137"/>
      <c r="XF39" s="137"/>
      <c r="XG39" s="153"/>
      <c r="XH39" s="155"/>
      <c r="XI39" s="137"/>
      <c r="XJ39" s="137"/>
      <c r="XK39" s="141"/>
      <c r="XL39" s="306">
        <v>0.5</v>
      </c>
      <c r="XM39" s="307">
        <v>0.5</v>
      </c>
      <c r="XN39" s="307">
        <v>0.5</v>
      </c>
      <c r="XO39" s="307">
        <v>0.5</v>
      </c>
      <c r="XP39" s="307">
        <v>0.5</v>
      </c>
      <c r="XQ39" s="307">
        <v>0.5</v>
      </c>
      <c r="XR39" s="308">
        <v>0.5</v>
      </c>
      <c r="XS39" s="308">
        <v>0.5</v>
      </c>
      <c r="XT39" s="308">
        <v>0.5</v>
      </c>
      <c r="XU39" s="308">
        <v>0.5</v>
      </c>
      <c r="XV39" s="308">
        <v>0.5</v>
      </c>
      <c r="XW39" s="309">
        <v>0.5</v>
      </c>
      <c r="XX39" s="310">
        <v>2</v>
      </c>
      <c r="XY39" s="311">
        <v>0.5</v>
      </c>
      <c r="XZ39" s="131">
        <f>SUM(WX39:XY39)</f>
      </c>
      <c r="YA39" s="303"/>
      <c r="YB39" s="304"/>
      <c r="YC39" s="136"/>
      <c r="YD39" s="137"/>
      <c r="YE39" s="137"/>
      <c r="YF39" s="137"/>
      <c r="YG39" s="137"/>
      <c r="YH39" s="137"/>
      <c r="YI39" s="137"/>
      <c r="YJ39" s="153"/>
      <c r="YK39" s="155"/>
      <c r="YL39" s="137"/>
      <c r="YM39" s="137"/>
      <c r="YN39" s="141"/>
      <c r="YO39" s="136"/>
      <c r="YP39" s="137"/>
      <c r="YQ39" s="308">
        <v>0.5</v>
      </c>
      <c r="YR39" s="308">
        <v>0.5</v>
      </c>
      <c r="YS39" s="308">
        <v>0.5</v>
      </c>
      <c r="YT39" s="308">
        <v>0.5</v>
      </c>
      <c r="YU39" s="308">
        <v>0.5</v>
      </c>
      <c r="YV39" s="308">
        <v>0.5</v>
      </c>
      <c r="YW39" s="308">
        <v>0.5</v>
      </c>
      <c r="YX39" s="308">
        <v>0.5</v>
      </c>
      <c r="YY39" s="308">
        <v>0.5</v>
      </c>
      <c r="YZ39" s="309">
        <v>0.5</v>
      </c>
      <c r="ZA39" s="310">
        <v>2</v>
      </c>
      <c r="ZB39" s="311">
        <v>1.5</v>
      </c>
      <c r="ZC39" s="131">
        <f>SUM(YA39:ZB39)</f>
      </c>
      <c r="ZD39" s="303"/>
      <c r="ZE39" s="304"/>
      <c r="ZF39" s="136"/>
      <c r="ZG39" s="137"/>
      <c r="ZH39" s="137"/>
      <c r="ZI39" s="137"/>
      <c r="ZJ39" s="137"/>
      <c r="ZK39" s="137"/>
      <c r="ZL39" s="137"/>
      <c r="ZM39" s="153"/>
      <c r="ZN39" s="155"/>
      <c r="ZO39" s="137"/>
      <c r="ZP39" s="137"/>
      <c r="ZQ39" s="141"/>
      <c r="ZR39" s="136"/>
      <c r="ZS39" s="137"/>
      <c r="ZT39" s="308">
        <v>0.5</v>
      </c>
      <c r="ZU39" s="308">
        <v>0.5</v>
      </c>
      <c r="ZV39" s="308">
        <v>0.5</v>
      </c>
      <c r="ZW39" s="308">
        <v>0.5</v>
      </c>
      <c r="ZX39" s="308">
        <v>0.5</v>
      </c>
      <c r="ZY39" s="308">
        <v>0.5</v>
      </c>
      <c r="ZZ39" s="308">
        <v>0.5</v>
      </c>
      <c r="AAA39" s="308">
        <v>0.5</v>
      </c>
      <c r="AAB39" s="308">
        <v>0.5</v>
      </c>
      <c r="AAC39" s="309">
        <v>0.5</v>
      </c>
      <c r="AAD39" s="310">
        <v>2</v>
      </c>
      <c r="AAE39" s="311">
        <v>1.5</v>
      </c>
      <c r="AAF39" s="131">
        <f>SUM(ZD39:AAE39)</f>
      </c>
      <c r="AAG39" s="303"/>
      <c r="AAH39" s="304"/>
      <c r="AAI39" s="136"/>
      <c r="AAJ39" s="137"/>
      <c r="AAK39" s="137"/>
      <c r="AAL39" s="137"/>
      <c r="AAM39" s="137"/>
      <c r="AAN39" s="137"/>
      <c r="AAO39" s="308">
        <v>0.5</v>
      </c>
      <c r="AAP39" s="309">
        <v>0.5</v>
      </c>
      <c r="AAQ39" s="155"/>
      <c r="AAR39" s="308">
        <v>0.5</v>
      </c>
      <c r="AAS39" s="308">
        <v>0.5</v>
      </c>
      <c r="AAT39" s="312">
        <v>0.5</v>
      </c>
      <c r="AAU39" s="313">
        <v>0.5</v>
      </c>
      <c r="AAV39" s="308">
        <v>0.5</v>
      </c>
      <c r="AAW39" s="308">
        <v>0.5</v>
      </c>
      <c r="AAX39" s="308">
        <v>0.5</v>
      </c>
      <c r="AAY39" s="308">
        <v>0.5</v>
      </c>
      <c r="AAZ39" s="308">
        <v>0.5</v>
      </c>
      <c r="ABA39" s="308">
        <v>0.5</v>
      </c>
      <c r="ABB39" s="307">
        <v>0.5</v>
      </c>
      <c r="ABC39" s="307">
        <v>0.5</v>
      </c>
      <c r="ABD39" s="307">
        <v>0.5</v>
      </c>
      <c r="ABE39" s="307">
        <v>0.5</v>
      </c>
      <c r="ABF39" s="314">
        <v>0.5</v>
      </c>
      <c r="ABG39" s="304"/>
      <c r="ABH39" s="152"/>
      <c r="ABI39" s="131">
        <f>SUM(AAG39:ABH39)</f>
      </c>
      <c r="ABJ39" s="303"/>
      <c r="ABK39" s="304"/>
      <c r="ABL39" s="315" t="s">
        <v>22</v>
      </c>
      <c r="ABM39" s="38" t="s">
        <v>22</v>
      </c>
      <c r="ABN39" s="38" t="s">
        <v>22</v>
      </c>
      <c r="ABO39" s="38" t="s">
        <v>22</v>
      </c>
      <c r="ABP39" s="38" t="s">
        <v>22</v>
      </c>
      <c r="ABQ39" s="38" t="s">
        <v>22</v>
      </c>
      <c r="ABR39" s="38" t="s">
        <v>22</v>
      </c>
      <c r="ABS39" s="316" t="s">
        <v>22</v>
      </c>
      <c r="ABT39" s="317" t="s">
        <v>22</v>
      </c>
      <c r="ABU39" s="38" t="s">
        <v>22</v>
      </c>
      <c r="ABV39" s="38" t="s">
        <v>22</v>
      </c>
      <c r="ABW39" s="318" t="s">
        <v>22</v>
      </c>
      <c r="ABX39" s="136"/>
      <c r="ABY39" s="137"/>
      <c r="ABZ39" s="137"/>
      <c r="ACA39" s="137"/>
      <c r="ACB39" s="137"/>
      <c r="ACC39" s="137"/>
      <c r="ACD39" s="137"/>
      <c r="ACE39" s="137"/>
      <c r="ACF39" s="137"/>
      <c r="ACG39" s="137"/>
      <c r="ACH39" s="137"/>
      <c r="ACI39" s="153"/>
      <c r="ACJ39" s="304"/>
      <c r="ACK39" s="152"/>
      <c r="ACL39" s="131">
        <f>SUM(ABJ39:ACK39)</f>
      </c>
      <c r="ACM39" s="300"/>
      <c r="ACN39" s="301"/>
      <c r="ACO39" s="123"/>
      <c r="ACP39" s="124"/>
      <c r="ACQ39" s="124"/>
      <c r="ACR39" s="124"/>
      <c r="ACS39" s="124"/>
      <c r="ACT39" s="124"/>
      <c r="ACU39" s="124"/>
      <c r="ACV39" s="125"/>
      <c r="ACW39" s="126"/>
      <c r="ACX39" s="124"/>
      <c r="ACY39" s="124"/>
      <c r="ACZ39" s="127"/>
      <c r="ADA39" s="123"/>
      <c r="ADB39" s="124"/>
      <c r="ADC39" s="124"/>
      <c r="ADD39" s="124"/>
      <c r="ADE39" s="124"/>
      <c r="ADF39" s="124"/>
      <c r="ADG39" s="124"/>
      <c r="ADH39" s="124"/>
      <c r="ADI39" s="124"/>
      <c r="ADJ39" s="124"/>
      <c r="ADK39" s="124"/>
      <c r="ADL39" s="125"/>
      <c r="ADM39" s="301"/>
      <c r="ADN39" s="151"/>
      <c r="ADO39" s="131">
        <f>SUM(ACM39:ADN39)</f>
      </c>
      <c r="ADP39" s="300"/>
      <c r="ADQ39" s="301"/>
      <c r="ADR39" s="123"/>
      <c r="ADS39" s="124"/>
      <c r="ADT39" s="124"/>
      <c r="ADU39" s="124"/>
      <c r="ADV39" s="124"/>
      <c r="ADW39" s="124"/>
      <c r="ADX39" s="124"/>
      <c r="ADY39" s="125"/>
      <c r="ADZ39" s="126"/>
      <c r="AEA39" s="124"/>
      <c r="AEB39" s="124"/>
      <c r="AEC39" s="127"/>
      <c r="AED39" s="123"/>
      <c r="AEE39" s="124"/>
      <c r="AEF39" s="124"/>
      <c r="AEG39" s="124"/>
      <c r="AEH39" s="124"/>
      <c r="AEI39" s="124"/>
      <c r="AEJ39" s="124"/>
      <c r="AEK39" s="124"/>
      <c r="AEL39" s="124"/>
      <c r="AEM39" s="124"/>
      <c r="AEN39" s="124"/>
      <c r="AEO39" s="125"/>
      <c r="AEP39" s="301"/>
      <c r="AEQ39" s="151"/>
      <c r="AER39" s="131">
        <f>SUM(ADP39:AEQ39)</f>
      </c>
      <c r="AES39" s="150">
        <f>XZ39+ZC39+AAF39+ABI39+ACL39+ADO39+AER39</f>
      </c>
      <c r="AET39" s="302">
        <f>(COUNTIF(WX39:AER39,"H")+COUNTIF(WX39:AER39,"S")+COUNTIF(WX39:AER39,"L")+COUNTIF(WX39:AER39,"E")+COUNTIF(WX39:AER39,"C"))/2</f>
      </c>
      <c r="AEU39" s="131">
        <f>AES39+AET39</f>
      </c>
      <c r="AEV39" s="303"/>
      <c r="AEW39" s="304"/>
      <c r="AEX39" s="136"/>
      <c r="AEY39" s="137"/>
      <c r="AEZ39" s="143">
        <v>0.5</v>
      </c>
      <c r="AFA39" s="143">
        <v>0.5</v>
      </c>
      <c r="AFB39" s="143">
        <v>0.5</v>
      </c>
      <c r="AFC39" s="143">
        <v>0.5</v>
      </c>
      <c r="AFD39" s="138">
        <v>0.5</v>
      </c>
      <c r="AFE39" s="139">
        <v>0.5</v>
      </c>
      <c r="AFF39" s="140">
        <v>0.5</v>
      </c>
      <c r="AFG39" s="138">
        <v>0.5</v>
      </c>
      <c r="AFH39" s="137"/>
      <c r="AFI39" s="141"/>
      <c r="AFJ39" s="142">
        <v>0.5</v>
      </c>
      <c r="AFK39" s="138">
        <v>0.5</v>
      </c>
      <c r="AFL39" s="143">
        <v>0.5</v>
      </c>
      <c r="AFM39" s="143">
        <v>0.5</v>
      </c>
      <c r="AFN39" s="143">
        <v>0.5</v>
      </c>
      <c r="AFO39" s="143">
        <v>0.5</v>
      </c>
      <c r="AFP39" s="143">
        <v>0.5</v>
      </c>
      <c r="AFQ39" s="143">
        <v>0.5</v>
      </c>
      <c r="AFR39" s="137"/>
      <c r="AFS39" s="137"/>
      <c r="AFT39" s="137"/>
      <c r="AFU39" s="153"/>
      <c r="AFV39" s="304"/>
      <c r="AFW39" s="152"/>
      <c r="AFX39" s="131">
        <f>SUM(AEV39:AFW39)</f>
      </c>
      <c r="AFY39" s="303"/>
      <c r="AFZ39" s="304"/>
      <c r="AGA39" s="136"/>
      <c r="AGB39" s="137"/>
      <c r="AGC39" s="143">
        <v>0.5</v>
      </c>
      <c r="AGD39" s="143">
        <v>0.5</v>
      </c>
      <c r="AGE39" s="143">
        <v>0.5</v>
      </c>
      <c r="AGF39" s="143">
        <v>0.5</v>
      </c>
      <c r="AGG39" s="138">
        <v>0.5</v>
      </c>
      <c r="AGH39" s="139">
        <v>0.5</v>
      </c>
      <c r="AGI39" s="140">
        <v>0.5</v>
      </c>
      <c r="AGJ39" s="138">
        <v>0.5</v>
      </c>
      <c r="AGK39" s="137"/>
      <c r="AGL39" s="141"/>
      <c r="AGM39" s="142">
        <v>0.5</v>
      </c>
      <c r="AGN39" s="138">
        <v>0.5</v>
      </c>
      <c r="AGO39" s="143">
        <v>0.5</v>
      </c>
      <c r="AGP39" s="143">
        <v>0.5</v>
      </c>
      <c r="AGQ39" s="143">
        <v>0.5</v>
      </c>
      <c r="AGR39" s="143">
        <v>0.5</v>
      </c>
      <c r="AGS39" s="143">
        <v>0.5</v>
      </c>
      <c r="AGT39" s="143">
        <v>0.5</v>
      </c>
      <c r="AGU39" s="137"/>
      <c r="AGV39" s="137"/>
      <c r="AGW39" s="137"/>
      <c r="AGX39" s="153"/>
      <c r="AGY39" s="304"/>
      <c r="AGZ39" s="152"/>
      <c r="AHA39" s="131">
        <f>SUM(AFY39:AGZ39)</f>
      </c>
      <c r="AHB39" s="303"/>
      <c r="AHC39" s="304"/>
      <c r="AHD39" s="136"/>
      <c r="AHE39" s="137"/>
      <c r="AHF39" s="143">
        <v>0.5</v>
      </c>
      <c r="AHG39" s="143">
        <v>0.5</v>
      </c>
      <c r="AHH39" s="143">
        <v>0.5</v>
      </c>
      <c r="AHI39" s="143">
        <v>0.5</v>
      </c>
      <c r="AHJ39" s="138">
        <v>0.5</v>
      </c>
      <c r="AHK39" s="139">
        <v>0.5</v>
      </c>
      <c r="AHL39" s="140">
        <v>0.5</v>
      </c>
      <c r="AHM39" s="138">
        <v>0.5</v>
      </c>
      <c r="AHN39" s="137"/>
      <c r="AHO39" s="141"/>
      <c r="AHP39" s="142">
        <v>0.5</v>
      </c>
      <c r="AHQ39" s="138">
        <v>0.5</v>
      </c>
      <c r="AHR39" s="143">
        <v>0.5</v>
      </c>
      <c r="AHS39" s="143">
        <v>0.5</v>
      </c>
      <c r="AHT39" s="143">
        <v>0.5</v>
      </c>
      <c r="AHU39" s="143">
        <v>0.5</v>
      </c>
      <c r="AHV39" s="143">
        <v>0.5</v>
      </c>
      <c r="AHW39" s="143">
        <v>0.5</v>
      </c>
      <c r="AHX39" s="137"/>
      <c r="AHY39" s="137"/>
      <c r="AHZ39" s="137"/>
      <c r="AIA39" s="153"/>
      <c r="AIB39" s="304"/>
      <c r="AIC39" s="152"/>
      <c r="AID39" s="131">
        <f>SUM(AHB39:AIC39)</f>
      </c>
      <c r="AIE39" s="303"/>
      <c r="AIF39" s="304"/>
      <c r="AIG39" s="136"/>
      <c r="AIH39" s="137"/>
      <c r="AII39" s="143">
        <v>0.5</v>
      </c>
      <c r="AIJ39" s="143">
        <v>0.5</v>
      </c>
      <c r="AIK39" s="143">
        <v>0.5</v>
      </c>
      <c r="AIL39" s="143">
        <v>0.5</v>
      </c>
      <c r="AIM39" s="138">
        <v>0.5</v>
      </c>
      <c r="AIN39" s="139">
        <v>0.5</v>
      </c>
      <c r="AIO39" s="140">
        <v>0.5</v>
      </c>
      <c r="AIP39" s="138">
        <v>0.5</v>
      </c>
      <c r="AIQ39" s="137"/>
      <c r="AIR39" s="141"/>
      <c r="AIS39" s="142">
        <v>0.5</v>
      </c>
      <c r="AIT39" s="138">
        <v>0.5</v>
      </c>
      <c r="AIU39" s="143">
        <v>0.5</v>
      </c>
      <c r="AIV39" s="143">
        <v>0.5</v>
      </c>
      <c r="AIW39" s="143">
        <v>0.5</v>
      </c>
      <c r="AIX39" s="143">
        <v>0.5</v>
      </c>
      <c r="AIY39" s="143">
        <v>0.5</v>
      </c>
      <c r="AIZ39" s="143">
        <v>0.5</v>
      </c>
      <c r="AJA39" s="137"/>
      <c r="AJB39" s="137"/>
      <c r="AJC39" s="137"/>
      <c r="AJD39" s="153"/>
      <c r="AJE39" s="304"/>
      <c r="AJF39" s="152"/>
      <c r="AJG39" s="131">
        <f>SUM(AIE39:AJF39)</f>
      </c>
      <c r="AJH39" s="303"/>
      <c r="AJI39" s="304"/>
      <c r="AJJ39" s="136"/>
      <c r="AJK39" s="137"/>
      <c r="AJL39" s="143">
        <v>0.5</v>
      </c>
      <c r="AJM39" s="143">
        <v>0.5</v>
      </c>
      <c r="AJN39" s="143">
        <v>0.5</v>
      </c>
      <c r="AJO39" s="143">
        <v>0.5</v>
      </c>
      <c r="AJP39" s="138">
        <v>0.5</v>
      </c>
      <c r="AJQ39" s="139">
        <v>0.5</v>
      </c>
      <c r="AJR39" s="140">
        <v>0.5</v>
      </c>
      <c r="AJS39" s="138">
        <v>0.5</v>
      </c>
      <c r="AJT39" s="137"/>
      <c r="AJU39" s="141"/>
      <c r="AJV39" s="142">
        <v>0.5</v>
      </c>
      <c r="AJW39" s="138">
        <v>0.5</v>
      </c>
      <c r="AJX39" s="143">
        <v>0.5</v>
      </c>
      <c r="AJY39" s="143">
        <v>0.5</v>
      </c>
      <c r="AJZ39" s="143">
        <v>0.5</v>
      </c>
      <c r="AKA39" s="143">
        <v>0.5</v>
      </c>
      <c r="AKB39" s="143">
        <v>0.5</v>
      </c>
      <c r="AKC39" s="143">
        <v>0.5</v>
      </c>
      <c r="AKD39" s="137"/>
      <c r="AKE39" s="137"/>
      <c r="AKF39" s="137"/>
      <c r="AKG39" s="153"/>
      <c r="AKH39" s="304"/>
      <c r="AKI39" s="152"/>
      <c r="AKJ39" s="131">
        <f>SUM(AJH39:AKI39)</f>
      </c>
      <c r="AKK39" s="300"/>
      <c r="AKL39" s="301"/>
      <c r="AKM39" s="123"/>
      <c r="AKN39" s="124"/>
      <c r="AKO39" s="124"/>
      <c r="AKP39" s="124"/>
      <c r="AKQ39" s="124"/>
      <c r="AKR39" s="124"/>
      <c r="AKS39" s="124"/>
      <c r="AKT39" s="125"/>
      <c r="AKU39" s="126"/>
      <c r="AKV39" s="124"/>
      <c r="AKW39" s="124"/>
      <c r="AKX39" s="127"/>
      <c r="AKY39" s="123"/>
      <c r="AKZ39" s="124"/>
      <c r="ALA39" s="124"/>
      <c r="ALB39" s="124"/>
      <c r="ALC39" s="124"/>
      <c r="ALD39" s="124"/>
      <c r="ALE39" s="124"/>
      <c r="ALF39" s="124"/>
      <c r="ALG39" s="124"/>
      <c r="ALH39" s="124"/>
      <c r="ALI39" s="124"/>
      <c r="ALJ39" s="125"/>
      <c r="ALK39" s="301"/>
      <c r="ALL39" s="151"/>
      <c r="ALM39" s="131">
        <f>SUM(AKK39:ALL39)</f>
      </c>
      <c r="ALN39" s="300"/>
      <c r="ALO39" s="301"/>
      <c r="ALP39" s="123"/>
      <c r="ALQ39" s="124"/>
      <c r="ALR39" s="124"/>
      <c r="ALS39" s="124"/>
      <c r="ALT39" s="124"/>
      <c r="ALU39" s="124"/>
      <c r="ALV39" s="124"/>
      <c r="ALW39" s="125"/>
      <c r="ALX39" s="126"/>
      <c r="ALY39" s="124"/>
      <c r="ALZ39" s="124"/>
      <c r="AMA39" s="127"/>
      <c r="AMB39" s="123"/>
      <c r="AMC39" s="124"/>
      <c r="AMD39" s="124"/>
      <c r="AME39" s="124"/>
      <c r="AMF39" s="124"/>
      <c r="AMG39" s="124"/>
      <c r="AMH39" s="124"/>
      <c r="AMI39" s="124"/>
      <c r="AMJ39" s="124"/>
      <c r="AMK39" s="124"/>
      <c r="AML39" s="124"/>
      <c r="AMM39" s="125"/>
      <c r="AMN39" s="301"/>
      <c r="AMO39" s="151"/>
      <c r="AMP39" s="131">
        <f>SUM(ALN39:AMO39)</f>
      </c>
      <c r="AMQ39" s="150">
        <f>AFX39+AHA39+AID39+AJG39+AKJ39+ALM39+AMP39</f>
      </c>
      <c r="AMR39" s="302">
        <f>(COUNTIF(AEV39:AMP39,"H")+COUNTIF(AEV39:AMP39,"S")+COUNTIF(AEV39:AMP39,"L")+COUNTIF(AEV39:AMP39,"E")+COUNTIF(AEV39:AMP39,"C"))/2</f>
      </c>
      <c r="AMS39" s="131">
        <f>AMQ39+AMR39</f>
      </c>
      <c r="AMT39" s="4"/>
      <c r="AMU39" s="4"/>
      <c r="AMV39" s="4"/>
      <c r="AMW39" s="4"/>
      <c r="AMX39" s="4"/>
      <c r="AMY39" s="4"/>
      <c r="AMZ39" s="4"/>
      <c r="ANA39" s="4"/>
      <c r="ANB39" s="4"/>
      <c r="ANC39" s="4"/>
      <c r="AND39" s="4"/>
      <c r="ANE39" s="4"/>
      <c r="ANF39" s="4"/>
      <c r="ANG39" s="4"/>
      <c r="ANH39" s="4"/>
      <c r="ANI39" s="4"/>
      <c r="ANJ39" s="13"/>
      <c r="ANK39" s="13"/>
      <c r="ANL39" s="4"/>
      <c r="ANM39" s="4"/>
      <c r="ANN39" s="4"/>
      <c r="ANO39" s="4"/>
      <c r="ANP39" s="4"/>
      <c r="ANQ39" s="4"/>
      <c r="ANR39" s="4"/>
      <c r="ANS39" s="4"/>
      <c r="ANT39" s="4"/>
      <c r="ANU39" s="4"/>
      <c r="ANV39" s="4"/>
      <c r="ANW39" s="4"/>
      <c r="ANX39" s="4"/>
      <c r="ANY39" s="4"/>
      <c r="ANZ39" s="4"/>
      <c r="AOA39" s="4"/>
      <c r="AOB39" s="4"/>
      <c r="AOC39" s="4"/>
      <c r="AOD39" s="4"/>
      <c r="AOE39" s="4"/>
      <c r="AOF39" s="4"/>
      <c r="AOG39" s="4"/>
      <c r="AOH39" s="4"/>
      <c r="AOI39" s="4"/>
      <c r="AOJ39" s="4"/>
      <c r="AOK39" s="4"/>
      <c r="AOL39" s="4"/>
      <c r="AOM39" s="4"/>
      <c r="AON39" s="4"/>
      <c r="AOO39" s="4"/>
      <c r="AOP39" s="4"/>
      <c r="AOQ39" s="4"/>
      <c r="AOR39" s="4"/>
      <c r="AOS39" s="4"/>
      <c r="AOT39" s="4"/>
      <c r="AOU39" s="4"/>
      <c r="AOV39" s="4"/>
      <c r="AOW39" s="4"/>
      <c r="AOX39" s="4"/>
      <c r="AOY39" s="4"/>
      <c r="AOZ39" s="4"/>
      <c r="APA39" s="4"/>
      <c r="APB39" s="4"/>
      <c r="APC39" s="4"/>
      <c r="APD39" s="4"/>
      <c r="APE39" s="4"/>
      <c r="APF39" s="4"/>
      <c r="APG39" s="4"/>
      <c r="APH39" s="4"/>
      <c r="API39" s="4"/>
      <c r="APJ39" s="4"/>
      <c r="APK39" s="4"/>
      <c r="APL39" s="4"/>
      <c r="APM39" s="4"/>
      <c r="APN39" s="4"/>
      <c r="APO39" s="4"/>
      <c r="APP39" s="4"/>
      <c r="APQ39" s="4"/>
      <c r="APR39" s="4"/>
      <c r="APS39" s="4"/>
      <c r="APT39" s="4"/>
      <c r="APU39" s="4"/>
      <c r="APV39" s="4"/>
      <c r="APW39" s="4"/>
      <c r="APX39" s="4"/>
      <c r="APY39" s="4"/>
      <c r="APZ39" s="4"/>
      <c r="AQA39" s="4"/>
      <c r="AQB39" s="4"/>
      <c r="AQC39" s="4"/>
      <c r="AQD39" s="4"/>
      <c r="AQE39" s="4"/>
      <c r="AQF39" s="4"/>
      <c r="AQG39" s="4"/>
      <c r="AQH39" s="4"/>
      <c r="AQI39" s="4"/>
      <c r="AQJ39" s="4"/>
      <c r="AQK39" s="4"/>
      <c r="AQL39" s="4"/>
      <c r="AQM39" s="4"/>
      <c r="AQN39" s="4"/>
      <c r="AQO39" s="4"/>
      <c r="AQP39" s="4"/>
      <c r="AQQ39" s="4"/>
      <c r="AQR39" s="4"/>
      <c r="AQS39" s="4"/>
      <c r="AQT39" s="4"/>
      <c r="AQU39" s="4"/>
      <c r="AQV39" s="4"/>
      <c r="AQW39" s="4"/>
      <c r="AQX39" s="4"/>
      <c r="AQY39" s="4"/>
      <c r="AQZ39" s="4"/>
      <c r="ARA39" s="4"/>
      <c r="ARB39" s="4"/>
      <c r="ARC39" s="4"/>
      <c r="ARD39" s="4"/>
      <c r="ARE39" s="4"/>
      <c r="ARF39" s="4"/>
      <c r="ARG39" s="4"/>
      <c r="ARH39" s="4"/>
      <c r="ARI39" s="4"/>
      <c r="ARJ39" s="4"/>
      <c r="ARK39" s="4"/>
      <c r="ARL39" s="4"/>
      <c r="ARM39" s="4"/>
      <c r="ARN39" s="4"/>
      <c r="ARO39" s="4"/>
      <c r="ARP39" s="4"/>
      <c r="ARQ39" s="4"/>
      <c r="ARR39" s="4"/>
      <c r="ARS39" s="4"/>
      <c r="ART39" s="4"/>
      <c r="ARU39" s="4"/>
      <c r="ARV39" s="4"/>
      <c r="ARW39" s="4"/>
      <c r="ARX39" s="4"/>
      <c r="ARY39" s="4"/>
      <c r="ARZ39" s="4"/>
      <c r="ASA39" s="4"/>
      <c r="ASB39" s="4"/>
      <c r="ASC39" s="4"/>
      <c r="ASD39" s="4"/>
      <c r="ASE39" s="4"/>
      <c r="ASF39" s="4"/>
      <c r="ASG39" s="4"/>
      <c r="ASH39" s="4"/>
      <c r="ASI39" s="4"/>
      <c r="ASJ39" s="4"/>
      <c r="ASK39" s="4"/>
      <c r="ASL39" s="4"/>
      <c r="ASM39" s="4"/>
      <c r="ASN39" s="4"/>
      <c r="ASO39" s="4"/>
      <c r="ASP39" s="4"/>
      <c r="ASQ39" s="4"/>
      <c r="ASR39" s="4"/>
      <c r="ASS39" s="4"/>
      <c r="AST39" s="4"/>
      <c r="ASU39" s="4"/>
    </row>
    <row r="40" ht="15" customHeight="1" spans="1:1191" x14ac:dyDescent="0.25">
      <c r="A40" s="118"/>
      <c r="B40" s="230" t="s">
        <v>78</v>
      </c>
      <c r="C40" s="289" t="s">
        <v>55</v>
      </c>
      <c r="D40" s="121"/>
      <c r="E40" s="122"/>
      <c r="F40" s="123"/>
      <c r="G40" s="124"/>
      <c r="H40" s="124"/>
      <c r="I40" s="124"/>
      <c r="J40" s="124"/>
      <c r="K40" s="124"/>
      <c r="L40" s="124"/>
      <c r="M40" s="125"/>
      <c r="N40" s="126"/>
      <c r="O40" s="124"/>
      <c r="P40" s="124"/>
      <c r="Q40" s="127"/>
      <c r="R40" s="123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5"/>
      <c r="AD40" s="301"/>
      <c r="AE40" s="151"/>
      <c r="AF40" s="131">
        <f>SUM(D40:AE40)</f>
      </c>
      <c r="AG40" s="121"/>
      <c r="AH40" s="122"/>
      <c r="AI40" s="123"/>
      <c r="AJ40" s="124"/>
      <c r="AK40" s="124"/>
      <c r="AL40" s="124"/>
      <c r="AM40" s="124"/>
      <c r="AN40" s="124"/>
      <c r="AO40" s="124"/>
      <c r="AP40" s="125"/>
      <c r="AQ40" s="126"/>
      <c r="AR40" s="124"/>
      <c r="AS40" s="124"/>
      <c r="AT40" s="127"/>
      <c r="AU40" s="123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5"/>
      <c r="BG40" s="301"/>
      <c r="BH40" s="151"/>
      <c r="BI40" s="131">
        <f>SUM(AG40:BH40)</f>
      </c>
      <c r="BJ40" s="121"/>
      <c r="BK40" s="122"/>
      <c r="BL40" s="123"/>
      <c r="BM40" s="124"/>
      <c r="BN40" s="124"/>
      <c r="BO40" s="124"/>
      <c r="BP40" s="124"/>
      <c r="BQ40" s="124"/>
      <c r="BR40" s="124"/>
      <c r="BS40" s="125"/>
      <c r="BT40" s="126"/>
      <c r="BU40" s="124"/>
      <c r="BV40" s="124"/>
      <c r="BW40" s="127"/>
      <c r="BX40" s="123"/>
      <c r="BY40" s="124"/>
      <c r="BZ40" s="124"/>
      <c r="CA40" s="124"/>
      <c r="CB40" s="124"/>
      <c r="CC40" s="124"/>
      <c r="CD40" s="124"/>
      <c r="CE40" s="124"/>
      <c r="CF40" s="124"/>
      <c r="CG40" s="124"/>
      <c r="CH40" s="124"/>
      <c r="CI40" s="125"/>
      <c r="CJ40" s="301"/>
      <c r="CK40" s="151"/>
      <c r="CL40" s="131">
        <f>SUM(BJ40:CK40)</f>
      </c>
      <c r="CM40" s="121"/>
      <c r="CN40" s="122"/>
      <c r="CO40" s="123"/>
      <c r="CP40" s="124"/>
      <c r="CQ40" s="124"/>
      <c r="CR40" s="124"/>
      <c r="CS40" s="124"/>
      <c r="CT40" s="124"/>
      <c r="CU40" s="124"/>
      <c r="CV40" s="125"/>
      <c r="CW40" s="126"/>
      <c r="CX40" s="124"/>
      <c r="CY40" s="124"/>
      <c r="CZ40" s="127"/>
      <c r="DA40" s="123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5"/>
      <c r="DM40" s="301"/>
      <c r="DN40" s="151"/>
      <c r="DO40" s="131">
        <f>SUM(CM40:DN40)</f>
      </c>
      <c r="DP40" s="121"/>
      <c r="DQ40" s="122"/>
      <c r="DR40" s="123"/>
      <c r="DS40" s="124"/>
      <c r="DT40" s="124"/>
      <c r="DU40" s="124"/>
      <c r="DV40" s="124"/>
      <c r="DW40" s="124"/>
      <c r="DX40" s="124"/>
      <c r="DY40" s="125"/>
      <c r="DZ40" s="126"/>
      <c r="EA40" s="124"/>
      <c r="EB40" s="124"/>
      <c r="EC40" s="127"/>
      <c r="ED40" s="123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5"/>
      <c r="EP40" s="301"/>
      <c r="EQ40" s="151"/>
      <c r="ER40" s="131">
        <f>SUM(DP40:EQ40)</f>
      </c>
      <c r="ES40" s="121"/>
      <c r="ET40" s="122"/>
      <c r="EU40" s="123"/>
      <c r="EV40" s="124"/>
      <c r="EW40" s="124"/>
      <c r="EX40" s="124"/>
      <c r="EY40" s="124"/>
      <c r="EZ40" s="124"/>
      <c r="FA40" s="124"/>
      <c r="FB40" s="125"/>
      <c r="FC40" s="126"/>
      <c r="FD40" s="124"/>
      <c r="FE40" s="124"/>
      <c r="FF40" s="127"/>
      <c r="FG40" s="123"/>
      <c r="FH40" s="124"/>
      <c r="FI40" s="124"/>
      <c r="FJ40" s="124"/>
      <c r="FK40" s="124"/>
      <c r="FL40" s="124"/>
      <c r="FM40" s="124"/>
      <c r="FN40" s="124"/>
      <c r="FO40" s="124"/>
      <c r="FP40" s="124"/>
      <c r="FQ40" s="124"/>
      <c r="FR40" s="125"/>
      <c r="FS40" s="301"/>
      <c r="FT40" s="151"/>
      <c r="FU40" s="131">
        <f>SUM(ES40:FT40)</f>
      </c>
      <c r="FV40" s="121"/>
      <c r="FW40" s="122"/>
      <c r="FX40" s="123"/>
      <c r="FY40" s="124"/>
      <c r="FZ40" s="124"/>
      <c r="GA40" s="124"/>
      <c r="GB40" s="124"/>
      <c r="GC40" s="124"/>
      <c r="GD40" s="124"/>
      <c r="GE40" s="125"/>
      <c r="GF40" s="126"/>
      <c r="GG40" s="124"/>
      <c r="GH40" s="124"/>
      <c r="GI40" s="127"/>
      <c r="GJ40" s="123"/>
      <c r="GK40" s="124"/>
      <c r="GL40" s="124"/>
      <c r="GM40" s="124"/>
      <c r="GN40" s="124"/>
      <c r="GO40" s="124"/>
      <c r="GP40" s="124"/>
      <c r="GQ40" s="124"/>
      <c r="GR40" s="124"/>
      <c r="GS40" s="124"/>
      <c r="GT40" s="124"/>
      <c r="GU40" s="125"/>
      <c r="GV40" s="301"/>
      <c r="GW40" s="151"/>
      <c r="GX40" s="131">
        <f>SUM(FV40:GW40)</f>
      </c>
      <c r="GY40" s="150">
        <f>AF40+BI40+CL40+DO40+ER40+FU40+GX40</f>
      </c>
      <c r="GZ40" s="302">
        <f>(COUNTIF(D40:GX40,"H")+COUNTIF(D40:GX40,"S")+COUNTIF(D40:GX40,"L")+COUNTIF(D40:GX40,"E")+COUNTIF(D40:GX40,"C"))/2</f>
      </c>
      <c r="HA40" s="131">
        <f>GY40+GZ40</f>
      </c>
      <c r="HB40" s="134"/>
      <c r="HC40" s="135"/>
      <c r="HD40" s="136"/>
      <c r="HE40" s="138">
        <v>0.5</v>
      </c>
      <c r="HF40" s="138">
        <v>0.5</v>
      </c>
      <c r="HG40" s="138">
        <v>0.5</v>
      </c>
      <c r="HH40" s="138">
        <v>0.5</v>
      </c>
      <c r="HI40" s="138">
        <v>0.5</v>
      </c>
      <c r="HJ40" s="138">
        <v>0.5</v>
      </c>
      <c r="HK40" s="139">
        <v>0.5</v>
      </c>
      <c r="HL40" s="155"/>
      <c r="HM40" s="137"/>
      <c r="HN40" s="138">
        <v>0.5</v>
      </c>
      <c r="HO40" s="149">
        <v>0.5</v>
      </c>
      <c r="HP40" s="142">
        <v>0.5</v>
      </c>
      <c r="HQ40" s="138">
        <v>0.5</v>
      </c>
      <c r="HR40" s="138">
        <v>0.5</v>
      </c>
      <c r="HS40" s="138">
        <v>0.5</v>
      </c>
      <c r="HT40" s="138">
        <v>0.5</v>
      </c>
      <c r="HU40" s="138">
        <v>0.5</v>
      </c>
      <c r="HV40" s="138">
        <v>0.5</v>
      </c>
      <c r="HW40" s="138">
        <v>0.5</v>
      </c>
      <c r="HX40" s="137"/>
      <c r="HY40" s="137"/>
      <c r="HZ40" s="137"/>
      <c r="IA40" s="153"/>
      <c r="IB40" s="304"/>
      <c r="IC40" s="152"/>
      <c r="ID40" s="131">
        <f>SUM(HB40:IC40)</f>
      </c>
      <c r="IE40" s="134"/>
      <c r="IF40" s="135"/>
      <c r="IG40" s="136"/>
      <c r="IH40" s="138">
        <v>0.5</v>
      </c>
      <c r="II40" s="138">
        <v>0.5</v>
      </c>
      <c r="IJ40" s="138">
        <v>0.5</v>
      </c>
      <c r="IK40" s="138">
        <v>0.5</v>
      </c>
      <c r="IL40" s="138">
        <v>0.5</v>
      </c>
      <c r="IM40" s="138">
        <v>0.5</v>
      </c>
      <c r="IN40" s="139">
        <v>0.5</v>
      </c>
      <c r="IO40" s="155"/>
      <c r="IP40" s="137"/>
      <c r="IQ40" s="138">
        <v>0.5</v>
      </c>
      <c r="IR40" s="149">
        <v>0.5</v>
      </c>
      <c r="IS40" s="142">
        <v>0.5</v>
      </c>
      <c r="IT40" s="138">
        <v>0.5</v>
      </c>
      <c r="IU40" s="138">
        <v>0.5</v>
      </c>
      <c r="IV40" s="138">
        <v>0.5</v>
      </c>
      <c r="IW40" s="138">
        <v>0.5</v>
      </c>
      <c r="IX40" s="138">
        <v>0.5</v>
      </c>
      <c r="IY40" s="138">
        <v>0.5</v>
      </c>
      <c r="IZ40" s="138">
        <v>0.5</v>
      </c>
      <c r="JA40" s="137"/>
      <c r="JB40" s="137"/>
      <c r="JC40" s="137"/>
      <c r="JD40" s="153"/>
      <c r="JE40" s="304"/>
      <c r="JF40" s="152"/>
      <c r="JG40" s="131">
        <f>SUM(IE40:JF40)</f>
      </c>
      <c r="JH40" s="134"/>
      <c r="JI40" s="135"/>
      <c r="JJ40" s="136"/>
      <c r="JK40" s="138">
        <v>0.5</v>
      </c>
      <c r="JL40" s="138">
        <v>0.5</v>
      </c>
      <c r="JM40" s="138">
        <v>0.5</v>
      </c>
      <c r="JN40" s="138">
        <v>0.5</v>
      </c>
      <c r="JO40" s="138">
        <v>0.5</v>
      </c>
      <c r="JP40" s="138">
        <v>0.5</v>
      </c>
      <c r="JQ40" s="139">
        <v>0.5</v>
      </c>
      <c r="JR40" s="155"/>
      <c r="JS40" s="137"/>
      <c r="JT40" s="138">
        <v>0.5</v>
      </c>
      <c r="JU40" s="149">
        <v>0.5</v>
      </c>
      <c r="JV40" s="142">
        <v>0.5</v>
      </c>
      <c r="JW40" s="138">
        <v>0.5</v>
      </c>
      <c r="JX40" s="138">
        <v>0.5</v>
      </c>
      <c r="JY40" s="138">
        <v>0.5</v>
      </c>
      <c r="JZ40" s="138">
        <v>0.5</v>
      </c>
      <c r="KA40" s="138">
        <v>0.5</v>
      </c>
      <c r="KB40" s="138">
        <v>0.5</v>
      </c>
      <c r="KC40" s="138">
        <v>0.5</v>
      </c>
      <c r="KD40" s="137"/>
      <c r="KE40" s="137"/>
      <c r="KF40" s="137"/>
      <c r="KG40" s="153"/>
      <c r="KH40" s="304"/>
      <c r="KI40" s="152"/>
      <c r="KJ40" s="131">
        <f>SUM(JH40:KI40)</f>
      </c>
      <c r="KK40" s="134"/>
      <c r="KL40" s="135"/>
      <c r="KM40" s="136"/>
      <c r="KN40" s="138">
        <v>0.5</v>
      </c>
      <c r="KO40" s="138">
        <v>0.5</v>
      </c>
      <c r="KP40" s="138">
        <v>0.5</v>
      </c>
      <c r="KQ40" s="138">
        <v>0.5</v>
      </c>
      <c r="KR40" s="138">
        <v>0.5</v>
      </c>
      <c r="KS40" s="138">
        <v>0.5</v>
      </c>
      <c r="KT40" s="139">
        <v>0.5</v>
      </c>
      <c r="KU40" s="155"/>
      <c r="KV40" s="137"/>
      <c r="KW40" s="138">
        <v>0.5</v>
      </c>
      <c r="KX40" s="149">
        <v>0.5</v>
      </c>
      <c r="KY40" s="142">
        <v>0.5</v>
      </c>
      <c r="KZ40" s="138">
        <v>0.5</v>
      </c>
      <c r="LA40" s="138">
        <v>0.5</v>
      </c>
      <c r="LB40" s="138">
        <v>0.5</v>
      </c>
      <c r="LC40" s="138">
        <v>0.5</v>
      </c>
      <c r="LD40" s="138">
        <v>0.5</v>
      </c>
      <c r="LE40" s="138">
        <v>0.5</v>
      </c>
      <c r="LF40" s="138">
        <v>0.5</v>
      </c>
      <c r="LG40" s="137"/>
      <c r="LH40" s="137"/>
      <c r="LI40" s="137"/>
      <c r="LJ40" s="153"/>
      <c r="LK40" s="304"/>
      <c r="LL40" s="152"/>
      <c r="LM40" s="131">
        <f>SUM(KK40:LL40)</f>
      </c>
      <c r="LN40" s="134"/>
      <c r="LO40" s="135"/>
      <c r="LP40" s="142">
        <v>0.5</v>
      </c>
      <c r="LQ40" s="138">
        <v>0.5</v>
      </c>
      <c r="LR40" s="138">
        <v>0.5</v>
      </c>
      <c r="LS40" s="138">
        <v>0.5</v>
      </c>
      <c r="LT40" s="138">
        <v>0.5</v>
      </c>
      <c r="LU40" s="138">
        <v>0.5</v>
      </c>
      <c r="LV40" s="138">
        <v>0.5</v>
      </c>
      <c r="LW40" s="139">
        <v>0.5</v>
      </c>
      <c r="LX40" s="140">
        <v>0.5</v>
      </c>
      <c r="LY40" s="138">
        <v>0.5</v>
      </c>
      <c r="LZ40" s="138">
        <v>0.5</v>
      </c>
      <c r="MA40" s="149">
        <v>0.5</v>
      </c>
      <c r="MB40" s="136"/>
      <c r="MC40" s="137"/>
      <c r="MD40" s="137"/>
      <c r="ME40" s="137"/>
      <c r="MF40" s="137"/>
      <c r="MG40" s="137"/>
      <c r="MH40" s="137"/>
      <c r="MI40" s="137"/>
      <c r="MJ40" s="137"/>
      <c r="MK40" s="137"/>
      <c r="ML40" s="137"/>
      <c r="MM40" s="153"/>
      <c r="MN40" s="304"/>
      <c r="MO40" s="152"/>
      <c r="MP40" s="131">
        <f>SUM(LN40:MO40)</f>
      </c>
      <c r="MQ40" s="121"/>
      <c r="MR40" s="122"/>
      <c r="MS40" s="123"/>
      <c r="MT40" s="124"/>
      <c r="MU40" s="124"/>
      <c r="MV40" s="124"/>
      <c r="MW40" s="124"/>
      <c r="MX40" s="124"/>
      <c r="MY40" s="124"/>
      <c r="MZ40" s="125"/>
      <c r="NA40" s="126"/>
      <c r="NB40" s="124"/>
      <c r="NC40" s="124"/>
      <c r="ND40" s="127"/>
      <c r="NE40" s="123"/>
      <c r="NF40" s="124"/>
      <c r="NG40" s="124"/>
      <c r="NH40" s="124"/>
      <c r="NI40" s="124"/>
      <c r="NJ40" s="124"/>
      <c r="NK40" s="124"/>
      <c r="NL40" s="124"/>
      <c r="NM40" s="124"/>
      <c r="NN40" s="124"/>
      <c r="NO40" s="124"/>
      <c r="NP40" s="125"/>
      <c r="NQ40" s="301"/>
      <c r="NR40" s="151"/>
      <c r="NS40" s="131">
        <f>SUM(MQ40:NR40)</f>
      </c>
      <c r="NT40" s="121"/>
      <c r="NU40" s="122"/>
      <c r="NV40" s="123"/>
      <c r="NW40" s="124"/>
      <c r="NX40" s="124"/>
      <c r="NY40" s="124"/>
      <c r="NZ40" s="124"/>
      <c r="OA40" s="124"/>
      <c r="OB40" s="124"/>
      <c r="OC40" s="125"/>
      <c r="OD40" s="126"/>
      <c r="OE40" s="124"/>
      <c r="OF40" s="124"/>
      <c r="OG40" s="127"/>
      <c r="OH40" s="123"/>
      <c r="OI40" s="124"/>
      <c r="OJ40" s="124"/>
      <c r="OK40" s="124"/>
      <c r="OL40" s="124"/>
      <c r="OM40" s="124"/>
      <c r="ON40" s="124"/>
      <c r="OO40" s="124"/>
      <c r="OP40" s="124"/>
      <c r="OQ40" s="124"/>
      <c r="OR40" s="124"/>
      <c r="OS40" s="125"/>
      <c r="OT40" s="301"/>
      <c r="OU40" s="151"/>
      <c r="OV40" s="131">
        <f>SUM(NT40:OU40)</f>
      </c>
      <c r="OW40" s="150">
        <f>ID40+JG40+KJ40+LM40+MP40+NS40+OV40</f>
      </c>
      <c r="OX40" s="302">
        <f>(COUNTIF(HB40:OV40,"H")+COUNTIF(HB40:OV40,"S")+COUNTIF(HB40:OV40,"L")+COUNTIF(HB40:OV40,"E")+COUNTIF(HB40:OV40,"C"))/2</f>
      </c>
      <c r="OY40" s="131">
        <f>OW40+OX40</f>
      </c>
      <c r="OZ40" s="134"/>
      <c r="PA40" s="135"/>
      <c r="PB40" s="136"/>
      <c r="PC40" s="138">
        <v>0.5</v>
      </c>
      <c r="PD40" s="138">
        <v>0.5</v>
      </c>
      <c r="PE40" s="138">
        <v>0.5</v>
      </c>
      <c r="PF40" s="138">
        <v>0.5</v>
      </c>
      <c r="PG40" s="138">
        <v>0.5</v>
      </c>
      <c r="PH40" s="138">
        <v>0.5</v>
      </c>
      <c r="PI40" s="139">
        <v>0.5</v>
      </c>
      <c r="PJ40" s="155"/>
      <c r="PK40" s="137"/>
      <c r="PL40" s="138">
        <v>0.5</v>
      </c>
      <c r="PM40" s="149">
        <v>0.5</v>
      </c>
      <c r="PN40" s="142">
        <v>0.5</v>
      </c>
      <c r="PO40" s="138">
        <v>0.5</v>
      </c>
      <c r="PP40" s="138">
        <v>0.5</v>
      </c>
      <c r="PQ40" s="138">
        <v>0.5</v>
      </c>
      <c r="PR40" s="138">
        <v>0.5</v>
      </c>
      <c r="PS40" s="138">
        <v>0.5</v>
      </c>
      <c r="PT40" s="138">
        <v>0.5</v>
      </c>
      <c r="PU40" s="137"/>
      <c r="PV40" s="137"/>
      <c r="PW40" s="137"/>
      <c r="PX40" s="137"/>
      <c r="PY40" s="153"/>
      <c r="PZ40" s="304"/>
      <c r="QA40" s="152"/>
      <c r="QB40" s="131">
        <f>SUM(OZ40:QA40)</f>
      </c>
      <c r="QC40" s="134"/>
      <c r="QD40" s="135"/>
      <c r="QE40" s="136"/>
      <c r="QF40" s="138">
        <v>0.5</v>
      </c>
      <c r="QG40" s="138">
        <v>0.5</v>
      </c>
      <c r="QH40" s="138">
        <v>0.5</v>
      </c>
      <c r="QI40" s="138">
        <v>0.5</v>
      </c>
      <c r="QJ40" s="138">
        <v>0.5</v>
      </c>
      <c r="QK40" s="138">
        <v>0.5</v>
      </c>
      <c r="QL40" s="139">
        <v>0.5</v>
      </c>
      <c r="QM40" s="155"/>
      <c r="QN40" s="137"/>
      <c r="QO40" s="138">
        <v>0.5</v>
      </c>
      <c r="QP40" s="149">
        <v>0.5</v>
      </c>
      <c r="QQ40" s="142">
        <v>0.5</v>
      </c>
      <c r="QR40" s="138">
        <v>0.5</v>
      </c>
      <c r="QS40" s="138">
        <v>0.5</v>
      </c>
      <c r="QT40" s="138">
        <v>0.5</v>
      </c>
      <c r="QU40" s="138">
        <v>0.5</v>
      </c>
      <c r="QV40" s="138">
        <v>0.5</v>
      </c>
      <c r="QW40" s="138">
        <v>0.5</v>
      </c>
      <c r="QX40" s="137"/>
      <c r="QY40" s="137"/>
      <c r="QZ40" s="137"/>
      <c r="RA40" s="137"/>
      <c r="RB40" s="153"/>
      <c r="RC40" s="304"/>
      <c r="RD40" s="152"/>
      <c r="RE40" s="131">
        <f>SUM(QC40:RD40)</f>
      </c>
      <c r="RF40" s="134"/>
      <c r="RG40" s="135"/>
      <c r="RH40" s="136"/>
      <c r="RI40" s="138">
        <v>0.5</v>
      </c>
      <c r="RJ40" s="138">
        <v>0.5</v>
      </c>
      <c r="RK40" s="138">
        <v>0.5</v>
      </c>
      <c r="RL40" s="138">
        <v>0.5</v>
      </c>
      <c r="RM40" s="138">
        <v>0.5</v>
      </c>
      <c r="RN40" s="138">
        <v>0.5</v>
      </c>
      <c r="RO40" s="139">
        <v>0.5</v>
      </c>
      <c r="RP40" s="155"/>
      <c r="RQ40" s="137"/>
      <c r="RR40" s="138">
        <v>0.5</v>
      </c>
      <c r="RS40" s="149">
        <v>0.5</v>
      </c>
      <c r="RT40" s="142">
        <v>0.5</v>
      </c>
      <c r="RU40" s="138">
        <v>0.5</v>
      </c>
      <c r="RV40" s="138">
        <v>0.5</v>
      </c>
      <c r="RW40" s="138">
        <v>0.5</v>
      </c>
      <c r="RX40" s="138">
        <v>0.5</v>
      </c>
      <c r="RY40" s="138">
        <v>0.5</v>
      </c>
      <c r="RZ40" s="138">
        <v>0.5</v>
      </c>
      <c r="SA40" s="137"/>
      <c r="SB40" s="137"/>
      <c r="SC40" s="137"/>
      <c r="SD40" s="137"/>
      <c r="SE40" s="153"/>
      <c r="SF40" s="304"/>
      <c r="SG40" s="152"/>
      <c r="SH40" s="131">
        <f>SUM(RF40:SG40)</f>
      </c>
      <c r="SI40" s="134"/>
      <c r="SJ40" s="135"/>
      <c r="SK40" s="136"/>
      <c r="SL40" s="138">
        <v>0.5</v>
      </c>
      <c r="SM40" s="138">
        <v>0.5</v>
      </c>
      <c r="SN40" s="138">
        <v>0.5</v>
      </c>
      <c r="SO40" s="138">
        <v>0.5</v>
      </c>
      <c r="SP40" s="138">
        <v>0.5</v>
      </c>
      <c r="SQ40" s="138">
        <v>0.5</v>
      </c>
      <c r="SR40" s="139">
        <v>0.5</v>
      </c>
      <c r="SS40" s="155"/>
      <c r="ST40" s="137"/>
      <c r="SU40" s="138">
        <v>0.5</v>
      </c>
      <c r="SV40" s="149">
        <v>0.5</v>
      </c>
      <c r="SW40" s="142">
        <v>0.5</v>
      </c>
      <c r="SX40" s="138">
        <v>0.5</v>
      </c>
      <c r="SY40" s="138">
        <v>0.5</v>
      </c>
      <c r="SZ40" s="138">
        <v>0.5</v>
      </c>
      <c r="TA40" s="138">
        <v>0.5</v>
      </c>
      <c r="TB40" s="138">
        <v>0.5</v>
      </c>
      <c r="TC40" s="138">
        <v>0.5</v>
      </c>
      <c r="TD40" s="137"/>
      <c r="TE40" s="137"/>
      <c r="TF40" s="137"/>
      <c r="TG40" s="137"/>
      <c r="TH40" s="153"/>
      <c r="TI40" s="304"/>
      <c r="TJ40" s="152"/>
      <c r="TK40" s="131">
        <f>SUM(SI40:TJ40)</f>
      </c>
      <c r="TL40" s="134"/>
      <c r="TM40" s="135"/>
      <c r="TN40" s="136"/>
      <c r="TO40" s="138">
        <v>0.5</v>
      </c>
      <c r="TP40" s="138">
        <v>0.5</v>
      </c>
      <c r="TQ40" s="138">
        <v>0.5</v>
      </c>
      <c r="TR40" s="138">
        <v>0.5</v>
      </c>
      <c r="TS40" s="138">
        <v>0.5</v>
      </c>
      <c r="TT40" s="138">
        <v>0.5</v>
      </c>
      <c r="TU40" s="139">
        <v>0.5</v>
      </c>
      <c r="TV40" s="155"/>
      <c r="TW40" s="137"/>
      <c r="TX40" s="138">
        <v>0.5</v>
      </c>
      <c r="TY40" s="149">
        <v>0.5</v>
      </c>
      <c r="TZ40" s="142">
        <v>0.5</v>
      </c>
      <c r="UA40" s="138">
        <v>0.5</v>
      </c>
      <c r="UB40" s="138">
        <v>0.5</v>
      </c>
      <c r="UC40" s="138">
        <v>0.5</v>
      </c>
      <c r="UD40" s="138">
        <v>0.5</v>
      </c>
      <c r="UE40" s="138">
        <v>0.5</v>
      </c>
      <c r="UF40" s="138">
        <v>0.5</v>
      </c>
      <c r="UG40" s="137"/>
      <c r="UH40" s="137"/>
      <c r="UI40" s="137"/>
      <c r="UJ40" s="137"/>
      <c r="UK40" s="153"/>
      <c r="UL40" s="304"/>
      <c r="UM40" s="152"/>
      <c r="UN40" s="131">
        <f>SUM(TL40:UM40)</f>
      </c>
      <c r="UO40" s="121"/>
      <c r="UP40" s="122"/>
      <c r="UQ40" s="123"/>
      <c r="UR40" s="124"/>
      <c r="US40" s="124"/>
      <c r="UT40" s="124"/>
      <c r="UU40" s="124"/>
      <c r="UV40" s="124"/>
      <c r="UW40" s="124"/>
      <c r="UX40" s="125"/>
      <c r="UY40" s="126"/>
      <c r="UZ40" s="124"/>
      <c r="VA40" s="124"/>
      <c r="VB40" s="127"/>
      <c r="VC40" s="123"/>
      <c r="VD40" s="124"/>
      <c r="VE40" s="124"/>
      <c r="VF40" s="124"/>
      <c r="VG40" s="124"/>
      <c r="VH40" s="124"/>
      <c r="VI40" s="124"/>
      <c r="VJ40" s="124"/>
      <c r="VK40" s="124"/>
      <c r="VL40" s="124"/>
      <c r="VM40" s="124"/>
      <c r="VN40" s="125"/>
      <c r="VO40" s="301"/>
      <c r="VP40" s="151"/>
      <c r="VQ40" s="131">
        <f>SUM(UO40:VP40)</f>
      </c>
      <c r="VR40" s="121"/>
      <c r="VS40" s="122"/>
      <c r="VT40" s="123"/>
      <c r="VU40" s="124"/>
      <c r="VV40" s="124"/>
      <c r="VW40" s="124"/>
      <c r="VX40" s="124"/>
      <c r="VY40" s="124"/>
      <c r="VZ40" s="124"/>
      <c r="WA40" s="125"/>
      <c r="WB40" s="126"/>
      <c r="WC40" s="124"/>
      <c r="WD40" s="124"/>
      <c r="WE40" s="127"/>
      <c r="WF40" s="123"/>
      <c r="WG40" s="124"/>
      <c r="WH40" s="124"/>
      <c r="WI40" s="124"/>
      <c r="WJ40" s="124"/>
      <c r="WK40" s="124"/>
      <c r="WL40" s="124"/>
      <c r="WM40" s="124"/>
      <c r="WN40" s="124"/>
      <c r="WO40" s="124"/>
      <c r="WP40" s="124"/>
      <c r="WQ40" s="125"/>
      <c r="WR40" s="301"/>
      <c r="WS40" s="151"/>
      <c r="WT40" s="131">
        <f>SUM(VR40:WS40)</f>
      </c>
      <c r="WU40" s="150">
        <f>QB40+RE40+SH40+TK40+UN40+VQ40+WT40</f>
      </c>
      <c r="WV40" s="302">
        <f>(COUNTIF(OZ40:WT40,"H")+COUNTIF(OZ40:WT40,"S")+COUNTIF(OZ40:WT40,"L")+COUNTIF(OZ40:WT40,"E")+COUNTIF(OZ40:WT40,"C"))/2</f>
      </c>
      <c r="WW40" s="131">
        <f>WU40+WV40</f>
      </c>
      <c r="WX40" s="134"/>
      <c r="WY40" s="135"/>
      <c r="WZ40" s="136"/>
      <c r="XA40" s="138">
        <v>0.5</v>
      </c>
      <c r="XB40" s="138">
        <v>0.5</v>
      </c>
      <c r="XC40" s="138">
        <v>0.5</v>
      </c>
      <c r="XD40" s="138">
        <v>0.5</v>
      </c>
      <c r="XE40" s="138">
        <v>0.5</v>
      </c>
      <c r="XF40" s="138">
        <v>0.5</v>
      </c>
      <c r="XG40" s="139">
        <v>0.5</v>
      </c>
      <c r="XH40" s="140">
        <v>0.5</v>
      </c>
      <c r="XI40" s="138">
        <v>0.5</v>
      </c>
      <c r="XJ40" s="148"/>
      <c r="XK40" s="305"/>
      <c r="XL40" s="142">
        <v>0.5</v>
      </c>
      <c r="XM40" s="138">
        <v>0.5</v>
      </c>
      <c r="XN40" s="138">
        <v>0.5</v>
      </c>
      <c r="XO40" s="138">
        <v>0.5</v>
      </c>
      <c r="XP40" s="138">
        <v>0.5</v>
      </c>
      <c r="XQ40" s="138">
        <v>0.5</v>
      </c>
      <c r="XR40" s="138">
        <v>0.5</v>
      </c>
      <c r="XS40" s="138">
        <v>0.5</v>
      </c>
      <c r="XT40" s="137"/>
      <c r="XU40" s="137"/>
      <c r="XV40" s="137"/>
      <c r="XW40" s="153"/>
      <c r="XX40" s="304"/>
      <c r="XY40" s="152"/>
      <c r="XZ40" s="131">
        <f>SUM(WX40:XY40)</f>
      </c>
      <c r="YA40" s="134"/>
      <c r="YB40" s="135"/>
      <c r="YC40" s="136"/>
      <c r="YD40" s="138">
        <v>0.5</v>
      </c>
      <c r="YE40" s="138">
        <v>0.5</v>
      </c>
      <c r="YF40" s="138">
        <v>0.5</v>
      </c>
      <c r="YG40" s="138">
        <v>0.5</v>
      </c>
      <c r="YH40" s="138">
        <v>0.5</v>
      </c>
      <c r="YI40" s="138">
        <v>0.5</v>
      </c>
      <c r="YJ40" s="139">
        <v>0.5</v>
      </c>
      <c r="YK40" s="140">
        <v>0.5</v>
      </c>
      <c r="YL40" s="138">
        <v>0.5</v>
      </c>
      <c r="YM40" s="148"/>
      <c r="YN40" s="305"/>
      <c r="YO40" s="142">
        <v>0.5</v>
      </c>
      <c r="YP40" s="138">
        <v>0.5</v>
      </c>
      <c r="YQ40" s="138">
        <v>0.5</v>
      </c>
      <c r="YR40" s="138">
        <v>0.5</v>
      </c>
      <c r="YS40" s="138">
        <v>0.5</v>
      </c>
      <c r="YT40" s="138">
        <v>0.5</v>
      </c>
      <c r="YU40" s="138">
        <v>0.5</v>
      </c>
      <c r="YV40" s="138">
        <v>0.5</v>
      </c>
      <c r="YW40" s="137"/>
      <c r="YX40" s="137"/>
      <c r="YY40" s="137"/>
      <c r="YZ40" s="153"/>
      <c r="ZA40" s="304"/>
      <c r="ZB40" s="152"/>
      <c r="ZC40" s="131">
        <f>SUM(YA40:ZB40)</f>
      </c>
      <c r="ZD40" s="134"/>
      <c r="ZE40" s="135"/>
      <c r="ZF40" s="136"/>
      <c r="ZG40" s="138">
        <v>0.5</v>
      </c>
      <c r="ZH40" s="138">
        <v>0.5</v>
      </c>
      <c r="ZI40" s="138">
        <v>0.5</v>
      </c>
      <c r="ZJ40" s="138">
        <v>0.5</v>
      </c>
      <c r="ZK40" s="138">
        <v>0.5</v>
      </c>
      <c r="ZL40" s="138">
        <v>0.5</v>
      </c>
      <c r="ZM40" s="139">
        <v>0.5</v>
      </c>
      <c r="ZN40" s="140">
        <v>0.5</v>
      </c>
      <c r="ZO40" s="138">
        <v>0.5</v>
      </c>
      <c r="ZP40" s="148"/>
      <c r="ZQ40" s="305"/>
      <c r="ZR40" s="142">
        <v>0.5</v>
      </c>
      <c r="ZS40" s="138">
        <v>0.5</v>
      </c>
      <c r="ZT40" s="138">
        <v>0.5</v>
      </c>
      <c r="ZU40" s="138">
        <v>0.5</v>
      </c>
      <c r="ZV40" s="138">
        <v>0.5</v>
      </c>
      <c r="ZW40" s="138">
        <v>0.5</v>
      </c>
      <c r="ZX40" s="138">
        <v>0.5</v>
      </c>
      <c r="ZY40" s="138">
        <v>0.5</v>
      </c>
      <c r="ZZ40" s="137"/>
      <c r="AAA40" s="137"/>
      <c r="AAB40" s="137"/>
      <c r="AAC40" s="153"/>
      <c r="AAD40" s="304"/>
      <c r="AAE40" s="152"/>
      <c r="AAF40" s="131">
        <f>SUM(ZD40:AAE40)</f>
      </c>
      <c r="AAG40" s="134"/>
      <c r="AAH40" s="135"/>
      <c r="AAI40" s="136"/>
      <c r="AAJ40" s="138">
        <v>0.5</v>
      </c>
      <c r="AAK40" s="138">
        <v>0.5</v>
      </c>
      <c r="AAL40" s="138">
        <v>0.5</v>
      </c>
      <c r="AAM40" s="138">
        <v>0.5</v>
      </c>
      <c r="AAN40" s="138">
        <v>0.5</v>
      </c>
      <c r="AAO40" s="138">
        <v>0.5</v>
      </c>
      <c r="AAP40" s="139">
        <v>0.5</v>
      </c>
      <c r="AAQ40" s="140">
        <v>0.5</v>
      </c>
      <c r="AAR40" s="138">
        <v>0.5</v>
      </c>
      <c r="AAS40" s="148"/>
      <c r="AAT40" s="305"/>
      <c r="AAU40" s="142">
        <v>0.5</v>
      </c>
      <c r="AAV40" s="138">
        <v>0.5</v>
      </c>
      <c r="AAW40" s="138">
        <v>0.5</v>
      </c>
      <c r="AAX40" s="138">
        <v>0.5</v>
      </c>
      <c r="AAY40" s="138">
        <v>0.5</v>
      </c>
      <c r="AAZ40" s="138">
        <v>0.5</v>
      </c>
      <c r="ABA40" s="138">
        <v>0.5</v>
      </c>
      <c r="ABB40" s="138">
        <v>0.5</v>
      </c>
      <c r="ABC40" s="137"/>
      <c r="ABD40" s="137"/>
      <c r="ABE40" s="137"/>
      <c r="ABF40" s="153"/>
      <c r="ABG40" s="304"/>
      <c r="ABH40" s="152"/>
      <c r="ABI40" s="131">
        <f>SUM(AAG40:ABH40)</f>
      </c>
      <c r="ABJ40" s="134"/>
      <c r="ABK40" s="135"/>
      <c r="ABL40" s="142">
        <v>0.5</v>
      </c>
      <c r="ABM40" s="138">
        <v>0.5</v>
      </c>
      <c r="ABN40" s="138">
        <v>0.5</v>
      </c>
      <c r="ABO40" s="138">
        <v>0.5</v>
      </c>
      <c r="ABP40" s="138">
        <v>0.5</v>
      </c>
      <c r="ABQ40" s="138">
        <v>0.5</v>
      </c>
      <c r="ABR40" s="138">
        <v>0.5</v>
      </c>
      <c r="ABS40" s="139">
        <v>0.5</v>
      </c>
      <c r="ABT40" s="140">
        <v>0.5</v>
      </c>
      <c r="ABU40" s="138">
        <v>0.5</v>
      </c>
      <c r="ABV40" s="138">
        <v>0.5</v>
      </c>
      <c r="ABW40" s="149">
        <v>0.5</v>
      </c>
      <c r="ABX40" s="136"/>
      <c r="ABY40" s="137"/>
      <c r="ABZ40" s="137"/>
      <c r="ACA40" s="137"/>
      <c r="ACB40" s="137"/>
      <c r="ACC40" s="137"/>
      <c r="ACD40" s="137"/>
      <c r="ACE40" s="137"/>
      <c r="ACF40" s="137"/>
      <c r="ACG40" s="137"/>
      <c r="ACH40" s="137"/>
      <c r="ACI40" s="153"/>
      <c r="ACJ40" s="304"/>
      <c r="ACK40" s="152"/>
      <c r="ACL40" s="131">
        <f>SUM(ABJ40:ACK40)</f>
      </c>
      <c r="ACM40" s="121"/>
      <c r="ACN40" s="122"/>
      <c r="ACO40" s="123"/>
      <c r="ACP40" s="124"/>
      <c r="ACQ40" s="124"/>
      <c r="ACR40" s="124"/>
      <c r="ACS40" s="124"/>
      <c r="ACT40" s="124"/>
      <c r="ACU40" s="124"/>
      <c r="ACV40" s="125"/>
      <c r="ACW40" s="126"/>
      <c r="ACX40" s="124"/>
      <c r="ACY40" s="124"/>
      <c r="ACZ40" s="127"/>
      <c r="ADA40" s="123"/>
      <c r="ADB40" s="124"/>
      <c r="ADC40" s="124"/>
      <c r="ADD40" s="124"/>
      <c r="ADE40" s="124"/>
      <c r="ADF40" s="124"/>
      <c r="ADG40" s="124"/>
      <c r="ADH40" s="124"/>
      <c r="ADI40" s="124"/>
      <c r="ADJ40" s="124"/>
      <c r="ADK40" s="124"/>
      <c r="ADL40" s="125"/>
      <c r="ADM40" s="301"/>
      <c r="ADN40" s="151"/>
      <c r="ADO40" s="131">
        <f>SUM(ACM40:ADN40)</f>
      </c>
      <c r="ADP40" s="121"/>
      <c r="ADQ40" s="122"/>
      <c r="ADR40" s="123"/>
      <c r="ADS40" s="124"/>
      <c r="ADT40" s="124"/>
      <c r="ADU40" s="124"/>
      <c r="ADV40" s="124"/>
      <c r="ADW40" s="124"/>
      <c r="ADX40" s="124"/>
      <c r="ADY40" s="125"/>
      <c r="ADZ40" s="126"/>
      <c r="AEA40" s="124"/>
      <c r="AEB40" s="124"/>
      <c r="AEC40" s="127"/>
      <c r="AED40" s="123"/>
      <c r="AEE40" s="124"/>
      <c r="AEF40" s="124"/>
      <c r="AEG40" s="124"/>
      <c r="AEH40" s="124"/>
      <c r="AEI40" s="124"/>
      <c r="AEJ40" s="124"/>
      <c r="AEK40" s="124"/>
      <c r="AEL40" s="124"/>
      <c r="AEM40" s="124"/>
      <c r="AEN40" s="124"/>
      <c r="AEO40" s="125"/>
      <c r="AEP40" s="301"/>
      <c r="AEQ40" s="151"/>
      <c r="AER40" s="131">
        <f>SUM(ADP40:AEQ40)</f>
      </c>
      <c r="AES40" s="150">
        <f>XZ40+ZC40+AAF40+ABI40+ACL40+ADO40+AER40</f>
      </c>
      <c r="AET40" s="302">
        <f>(COUNTIF(WX40:AER40,"H")+COUNTIF(WX40:AER40,"S")+COUNTIF(WX40:AER40,"L")+COUNTIF(WX40:AER40,"E")+COUNTIF(WX40:AER40,"C"))/2</f>
      </c>
      <c r="AEU40" s="131">
        <f>AES40+AET40</f>
      </c>
      <c r="AEV40" s="134"/>
      <c r="AEW40" s="135"/>
      <c r="AEX40" s="136"/>
      <c r="AEY40" s="137"/>
      <c r="AEZ40" s="143">
        <v>0.5</v>
      </c>
      <c r="AFA40" s="143">
        <v>0.5</v>
      </c>
      <c r="AFB40" s="143">
        <v>0.5</v>
      </c>
      <c r="AFC40" s="143">
        <v>0.5</v>
      </c>
      <c r="AFD40" s="138">
        <v>0.5</v>
      </c>
      <c r="AFE40" s="139">
        <v>0.5</v>
      </c>
      <c r="AFF40" s="155"/>
      <c r="AFG40" s="137"/>
      <c r="AFH40" s="138">
        <v>0.5</v>
      </c>
      <c r="AFI40" s="149">
        <v>0.5</v>
      </c>
      <c r="AFJ40" s="142">
        <v>0.5</v>
      </c>
      <c r="AFK40" s="138">
        <v>0.5</v>
      </c>
      <c r="AFL40" s="143">
        <v>0.5</v>
      </c>
      <c r="AFM40" s="143">
        <v>0.5</v>
      </c>
      <c r="AFN40" s="143">
        <v>0.5</v>
      </c>
      <c r="AFO40" s="143">
        <v>0.5</v>
      </c>
      <c r="AFP40" s="143">
        <v>0.5</v>
      </c>
      <c r="AFQ40" s="143">
        <v>0.5</v>
      </c>
      <c r="AFR40" s="137"/>
      <c r="AFS40" s="137"/>
      <c r="AFT40" s="137"/>
      <c r="AFU40" s="153"/>
      <c r="AFV40" s="304"/>
      <c r="AFW40" s="152"/>
      <c r="AFX40" s="131">
        <f>SUM(AEV40:AFW40)</f>
      </c>
      <c r="AFY40" s="134"/>
      <c r="AFZ40" s="135"/>
      <c r="AGA40" s="136"/>
      <c r="AGB40" s="137"/>
      <c r="AGC40" s="143">
        <v>0.5</v>
      </c>
      <c r="AGD40" s="143">
        <v>0.5</v>
      </c>
      <c r="AGE40" s="143">
        <v>0.5</v>
      </c>
      <c r="AGF40" s="143">
        <v>0.5</v>
      </c>
      <c r="AGG40" s="138">
        <v>0.5</v>
      </c>
      <c r="AGH40" s="139">
        <v>0.5</v>
      </c>
      <c r="AGI40" s="155"/>
      <c r="AGJ40" s="137"/>
      <c r="AGK40" s="138">
        <v>0.5</v>
      </c>
      <c r="AGL40" s="149">
        <v>0.5</v>
      </c>
      <c r="AGM40" s="142">
        <v>0.5</v>
      </c>
      <c r="AGN40" s="138">
        <v>0.5</v>
      </c>
      <c r="AGO40" s="143">
        <v>0.5</v>
      </c>
      <c r="AGP40" s="143">
        <v>0.5</v>
      </c>
      <c r="AGQ40" s="143">
        <v>0.5</v>
      </c>
      <c r="AGR40" s="143">
        <v>0.5</v>
      </c>
      <c r="AGS40" s="143">
        <v>0.5</v>
      </c>
      <c r="AGT40" s="143">
        <v>0.5</v>
      </c>
      <c r="AGU40" s="137"/>
      <c r="AGV40" s="137"/>
      <c r="AGW40" s="137"/>
      <c r="AGX40" s="153"/>
      <c r="AGY40" s="304"/>
      <c r="AGZ40" s="152"/>
      <c r="AHA40" s="131">
        <f>SUM(AFY40:AGZ40)</f>
      </c>
      <c r="AHB40" s="134"/>
      <c r="AHC40" s="135"/>
      <c r="AHD40" s="136"/>
      <c r="AHE40" s="137"/>
      <c r="AHF40" s="143">
        <v>0.5</v>
      </c>
      <c r="AHG40" s="143">
        <v>0.5</v>
      </c>
      <c r="AHH40" s="143">
        <v>0.5</v>
      </c>
      <c r="AHI40" s="143">
        <v>0.5</v>
      </c>
      <c r="AHJ40" s="138">
        <v>0.5</v>
      </c>
      <c r="AHK40" s="139">
        <v>0.5</v>
      </c>
      <c r="AHL40" s="155"/>
      <c r="AHM40" s="137"/>
      <c r="AHN40" s="138">
        <v>0.5</v>
      </c>
      <c r="AHO40" s="149">
        <v>0.5</v>
      </c>
      <c r="AHP40" s="142">
        <v>0.5</v>
      </c>
      <c r="AHQ40" s="138">
        <v>0.5</v>
      </c>
      <c r="AHR40" s="143">
        <v>0.5</v>
      </c>
      <c r="AHS40" s="143">
        <v>0.5</v>
      </c>
      <c r="AHT40" s="143">
        <v>0.5</v>
      </c>
      <c r="AHU40" s="143">
        <v>0.5</v>
      </c>
      <c r="AHV40" s="143">
        <v>0.5</v>
      </c>
      <c r="AHW40" s="143">
        <v>0.5</v>
      </c>
      <c r="AHX40" s="137"/>
      <c r="AHY40" s="137"/>
      <c r="AHZ40" s="137"/>
      <c r="AIA40" s="153"/>
      <c r="AIB40" s="304"/>
      <c r="AIC40" s="152"/>
      <c r="AID40" s="131">
        <f>SUM(AHB40:AIC40)</f>
      </c>
      <c r="AIE40" s="134"/>
      <c r="AIF40" s="135"/>
      <c r="AIG40" s="136"/>
      <c r="AIH40" s="137"/>
      <c r="AII40" s="143">
        <v>0.5</v>
      </c>
      <c r="AIJ40" s="143">
        <v>0.5</v>
      </c>
      <c r="AIK40" s="143">
        <v>0.5</v>
      </c>
      <c r="AIL40" s="143">
        <v>0.5</v>
      </c>
      <c r="AIM40" s="138">
        <v>0.5</v>
      </c>
      <c r="AIN40" s="139">
        <v>0.5</v>
      </c>
      <c r="AIO40" s="155"/>
      <c r="AIP40" s="137"/>
      <c r="AIQ40" s="138">
        <v>0.5</v>
      </c>
      <c r="AIR40" s="149">
        <v>0.5</v>
      </c>
      <c r="AIS40" s="142">
        <v>0.5</v>
      </c>
      <c r="AIT40" s="138">
        <v>0.5</v>
      </c>
      <c r="AIU40" s="143">
        <v>0.5</v>
      </c>
      <c r="AIV40" s="143">
        <v>0.5</v>
      </c>
      <c r="AIW40" s="143">
        <v>0.5</v>
      </c>
      <c r="AIX40" s="143">
        <v>0.5</v>
      </c>
      <c r="AIY40" s="143">
        <v>0.5</v>
      </c>
      <c r="AIZ40" s="143">
        <v>0.5</v>
      </c>
      <c r="AJA40" s="137"/>
      <c r="AJB40" s="137"/>
      <c r="AJC40" s="137"/>
      <c r="AJD40" s="153"/>
      <c r="AJE40" s="304"/>
      <c r="AJF40" s="152"/>
      <c r="AJG40" s="131">
        <f>SUM(AIE40:AJF40)</f>
      </c>
      <c r="AJH40" s="134"/>
      <c r="AJI40" s="135"/>
      <c r="AJJ40" s="136"/>
      <c r="AJK40" s="137"/>
      <c r="AJL40" s="143">
        <v>0.5</v>
      </c>
      <c r="AJM40" s="143">
        <v>0.5</v>
      </c>
      <c r="AJN40" s="143">
        <v>0.5</v>
      </c>
      <c r="AJO40" s="143">
        <v>0.5</v>
      </c>
      <c r="AJP40" s="138">
        <v>0.5</v>
      </c>
      <c r="AJQ40" s="139">
        <v>0.5</v>
      </c>
      <c r="AJR40" s="155"/>
      <c r="AJS40" s="137"/>
      <c r="AJT40" s="138">
        <v>0.5</v>
      </c>
      <c r="AJU40" s="149">
        <v>0.5</v>
      </c>
      <c r="AJV40" s="142">
        <v>0.5</v>
      </c>
      <c r="AJW40" s="138">
        <v>0.5</v>
      </c>
      <c r="AJX40" s="143">
        <v>0.5</v>
      </c>
      <c r="AJY40" s="143">
        <v>0.5</v>
      </c>
      <c r="AJZ40" s="143">
        <v>0.5</v>
      </c>
      <c r="AKA40" s="143">
        <v>0.5</v>
      </c>
      <c r="AKB40" s="143">
        <v>0.5</v>
      </c>
      <c r="AKC40" s="143">
        <v>0.5</v>
      </c>
      <c r="AKD40" s="137"/>
      <c r="AKE40" s="137"/>
      <c r="AKF40" s="137"/>
      <c r="AKG40" s="153"/>
      <c r="AKH40" s="304"/>
      <c r="AKI40" s="152"/>
      <c r="AKJ40" s="131">
        <f>SUM(AJH40:AKI40)</f>
      </c>
      <c r="AKK40" s="121"/>
      <c r="AKL40" s="122"/>
      <c r="AKM40" s="123"/>
      <c r="AKN40" s="124"/>
      <c r="AKO40" s="124"/>
      <c r="AKP40" s="124"/>
      <c r="AKQ40" s="124"/>
      <c r="AKR40" s="124"/>
      <c r="AKS40" s="124"/>
      <c r="AKT40" s="125"/>
      <c r="AKU40" s="126"/>
      <c r="AKV40" s="124"/>
      <c r="AKW40" s="124"/>
      <c r="AKX40" s="127"/>
      <c r="AKY40" s="123"/>
      <c r="AKZ40" s="124"/>
      <c r="ALA40" s="124"/>
      <c r="ALB40" s="124"/>
      <c r="ALC40" s="124"/>
      <c r="ALD40" s="124"/>
      <c r="ALE40" s="124"/>
      <c r="ALF40" s="124"/>
      <c r="ALG40" s="124"/>
      <c r="ALH40" s="124"/>
      <c r="ALI40" s="124"/>
      <c r="ALJ40" s="125"/>
      <c r="ALK40" s="301"/>
      <c r="ALL40" s="151"/>
      <c r="ALM40" s="131">
        <f>SUM(AKK40:ALL40)</f>
      </c>
      <c r="ALN40" s="121"/>
      <c r="ALO40" s="122"/>
      <c r="ALP40" s="123"/>
      <c r="ALQ40" s="124"/>
      <c r="ALR40" s="124"/>
      <c r="ALS40" s="124"/>
      <c r="ALT40" s="124"/>
      <c r="ALU40" s="124"/>
      <c r="ALV40" s="124"/>
      <c r="ALW40" s="125"/>
      <c r="ALX40" s="126"/>
      <c r="ALY40" s="124"/>
      <c r="ALZ40" s="124"/>
      <c r="AMA40" s="127"/>
      <c r="AMB40" s="123"/>
      <c r="AMC40" s="124"/>
      <c r="AMD40" s="124"/>
      <c r="AME40" s="124"/>
      <c r="AMF40" s="124"/>
      <c r="AMG40" s="124"/>
      <c r="AMH40" s="124"/>
      <c r="AMI40" s="124"/>
      <c r="AMJ40" s="124"/>
      <c r="AMK40" s="124"/>
      <c r="AML40" s="124"/>
      <c r="AMM40" s="125"/>
      <c r="AMN40" s="301"/>
      <c r="AMO40" s="151"/>
      <c r="AMP40" s="131">
        <f>SUM(ALN40:AMO40)</f>
      </c>
      <c r="AMQ40" s="150">
        <f>AFX40+AHA40+AID40+AJG40+AKJ40+ALM40+AMP40</f>
      </c>
      <c r="AMR40" s="302">
        <f>(COUNTIF(AEV40:AMP40,"H")+COUNTIF(AEV40:AMP40,"S")+COUNTIF(AEV40:AMP40,"L")+COUNTIF(AEV40:AMP40,"E")+COUNTIF(AEV40:AMP40,"C"))/2</f>
      </c>
      <c r="AMS40" s="131">
        <f>AMQ40+AMR40</f>
      </c>
      <c r="AMT40" s="4"/>
      <c r="AMU40" s="4"/>
      <c r="AMV40" s="4"/>
      <c r="AMW40" s="4"/>
      <c r="AMX40" s="4"/>
      <c r="AMY40" s="4"/>
      <c r="AMZ40" s="4"/>
      <c r="ANA40" s="4"/>
      <c r="ANB40" s="4"/>
      <c r="ANC40" s="4"/>
      <c r="AND40" s="4"/>
      <c r="ANE40" s="4"/>
      <c r="ANF40" s="4"/>
      <c r="ANG40" s="4"/>
      <c r="ANH40" s="4"/>
      <c r="ANI40" s="4"/>
      <c r="ANJ40" s="13"/>
      <c r="ANK40" s="13"/>
      <c r="ANL40" s="4"/>
      <c r="ANM40" s="4"/>
      <c r="ANN40" s="4"/>
      <c r="ANO40" s="4"/>
      <c r="ANP40" s="4"/>
      <c r="ANQ40" s="4"/>
      <c r="ANR40" s="4"/>
      <c r="ANS40" s="4"/>
      <c r="ANT40" s="4"/>
      <c r="ANU40" s="4"/>
      <c r="ANV40" s="4"/>
      <c r="ANW40" s="4"/>
      <c r="ANX40" s="4"/>
      <c r="ANY40" s="4"/>
      <c r="ANZ40" s="4"/>
      <c r="AOA40" s="4"/>
      <c r="AOB40" s="4"/>
      <c r="AOC40" s="4"/>
      <c r="AOD40" s="4"/>
      <c r="AOE40" s="4"/>
      <c r="AOF40" s="4"/>
      <c r="AOG40" s="4"/>
      <c r="AOH40" s="4"/>
      <c r="AOI40" s="4"/>
      <c r="AOJ40" s="4"/>
      <c r="AOK40" s="4"/>
      <c r="AOL40" s="4"/>
      <c r="AOM40" s="4"/>
      <c r="AON40" s="4"/>
      <c r="AOO40" s="4"/>
      <c r="AOP40" s="4"/>
      <c r="AOQ40" s="4"/>
      <c r="AOR40" s="4"/>
      <c r="AOS40" s="4"/>
      <c r="AOT40" s="4"/>
      <c r="AOU40" s="4"/>
      <c r="AOV40" s="4"/>
      <c r="AOW40" s="4"/>
      <c r="AOX40" s="4"/>
      <c r="AOY40" s="4"/>
      <c r="AOZ40" s="4"/>
      <c r="APA40" s="4"/>
      <c r="APB40" s="4"/>
      <c r="APC40" s="4"/>
      <c r="APD40" s="4"/>
      <c r="APE40" s="4"/>
      <c r="APF40" s="4"/>
      <c r="APG40" s="4"/>
      <c r="APH40" s="4"/>
      <c r="API40" s="4"/>
      <c r="APJ40" s="4"/>
      <c r="APK40" s="4"/>
      <c r="APL40" s="4"/>
      <c r="APM40" s="4"/>
      <c r="APN40" s="4"/>
      <c r="APO40" s="4"/>
      <c r="APP40" s="4"/>
      <c r="APQ40" s="4"/>
      <c r="APR40" s="4"/>
      <c r="APS40" s="4"/>
      <c r="APT40" s="4"/>
      <c r="APU40" s="4"/>
      <c r="APV40" s="4"/>
      <c r="APW40" s="4"/>
      <c r="APX40" s="4"/>
      <c r="APY40" s="4"/>
      <c r="APZ40" s="4"/>
      <c r="AQA40" s="4"/>
      <c r="AQB40" s="4"/>
      <c r="AQC40" s="4"/>
      <c r="AQD40" s="4"/>
      <c r="AQE40" s="4"/>
      <c r="AQF40" s="4"/>
      <c r="AQG40" s="4"/>
      <c r="AQH40" s="4"/>
      <c r="AQI40" s="4"/>
      <c r="AQJ40" s="4"/>
      <c r="AQK40" s="4"/>
      <c r="AQL40" s="4"/>
      <c r="AQM40" s="4"/>
      <c r="AQN40" s="4"/>
      <c r="AQO40" s="4"/>
      <c r="AQP40" s="4"/>
      <c r="AQQ40" s="4"/>
      <c r="AQR40" s="4"/>
      <c r="AQS40" s="4"/>
      <c r="AQT40" s="4"/>
      <c r="AQU40" s="4"/>
      <c r="AQV40" s="4"/>
      <c r="AQW40" s="4"/>
      <c r="AQX40" s="4"/>
      <c r="AQY40" s="4"/>
      <c r="AQZ40" s="4"/>
      <c r="ARA40" s="4"/>
      <c r="ARB40" s="4"/>
      <c r="ARC40" s="4"/>
      <c r="ARD40" s="4"/>
      <c r="ARE40" s="4"/>
      <c r="ARF40" s="4"/>
      <c r="ARG40" s="4"/>
      <c r="ARH40" s="4"/>
      <c r="ARI40" s="4"/>
      <c r="ARJ40" s="4"/>
      <c r="ARK40" s="4"/>
      <c r="ARL40" s="4"/>
      <c r="ARM40" s="4"/>
      <c r="ARN40" s="4"/>
      <c r="ARO40" s="4"/>
      <c r="ARP40" s="4"/>
      <c r="ARQ40" s="4"/>
      <c r="ARR40" s="4"/>
      <c r="ARS40" s="4"/>
      <c r="ART40" s="4"/>
      <c r="ARU40" s="4"/>
      <c r="ARV40" s="4"/>
      <c r="ARW40" s="4"/>
      <c r="ARX40" s="4"/>
      <c r="ARY40" s="4"/>
      <c r="ARZ40" s="4"/>
      <c r="ASA40" s="4"/>
      <c r="ASB40" s="4"/>
      <c r="ASC40" s="4"/>
      <c r="ASD40" s="4"/>
      <c r="ASE40" s="4"/>
      <c r="ASF40" s="4"/>
      <c r="ASG40" s="4"/>
      <c r="ASH40" s="4"/>
      <c r="ASI40" s="4"/>
      <c r="ASJ40" s="4"/>
      <c r="ASK40" s="4"/>
      <c r="ASL40" s="4"/>
      <c r="ASM40" s="4"/>
      <c r="ASN40" s="4"/>
      <c r="ASO40" s="4"/>
      <c r="ASP40" s="4"/>
      <c r="ASQ40" s="4"/>
      <c r="ASR40" s="4"/>
      <c r="ASS40" s="4"/>
      <c r="AST40" s="4"/>
      <c r="ASU40" s="4"/>
    </row>
    <row r="41" ht="15" customHeight="1" spans="1:1191" x14ac:dyDescent="0.25">
      <c r="A41" s="118"/>
      <c r="B41" s="230" t="s">
        <v>79</v>
      </c>
      <c r="C41" s="289" t="s">
        <v>55</v>
      </c>
      <c r="D41" s="300"/>
      <c r="E41" s="301"/>
      <c r="F41" s="123"/>
      <c r="G41" s="124"/>
      <c r="H41" s="124"/>
      <c r="I41" s="124"/>
      <c r="J41" s="124"/>
      <c r="K41" s="124"/>
      <c r="L41" s="124"/>
      <c r="M41" s="125"/>
      <c r="N41" s="126"/>
      <c r="O41" s="124"/>
      <c r="P41" s="124"/>
      <c r="Q41" s="127"/>
      <c r="R41" s="123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5"/>
      <c r="AD41" s="301"/>
      <c r="AE41" s="151"/>
      <c r="AF41" s="131">
        <f>SUM(D41:AE41)</f>
      </c>
      <c r="AG41" s="300"/>
      <c r="AH41" s="301"/>
      <c r="AI41" s="123"/>
      <c r="AJ41" s="124"/>
      <c r="AK41" s="124"/>
      <c r="AL41" s="124"/>
      <c r="AM41" s="124"/>
      <c r="AN41" s="124"/>
      <c r="AO41" s="124"/>
      <c r="AP41" s="125"/>
      <c r="AQ41" s="126"/>
      <c r="AR41" s="124"/>
      <c r="AS41" s="124"/>
      <c r="AT41" s="127"/>
      <c r="AU41" s="123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5"/>
      <c r="BG41" s="301"/>
      <c r="BH41" s="151"/>
      <c r="BI41" s="131">
        <f>SUM(AG41:BH41)</f>
      </c>
      <c r="BJ41" s="300"/>
      <c r="BK41" s="301"/>
      <c r="BL41" s="123"/>
      <c r="BM41" s="124"/>
      <c r="BN41" s="124"/>
      <c r="BO41" s="124"/>
      <c r="BP41" s="124"/>
      <c r="BQ41" s="124"/>
      <c r="BR41" s="124"/>
      <c r="BS41" s="125"/>
      <c r="BT41" s="126"/>
      <c r="BU41" s="124"/>
      <c r="BV41" s="124"/>
      <c r="BW41" s="127"/>
      <c r="BX41" s="123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5"/>
      <c r="CJ41" s="301"/>
      <c r="CK41" s="151"/>
      <c r="CL41" s="131">
        <f>SUM(BJ41:CK41)</f>
      </c>
      <c r="CM41" s="300"/>
      <c r="CN41" s="301"/>
      <c r="CO41" s="123"/>
      <c r="CP41" s="124"/>
      <c r="CQ41" s="124"/>
      <c r="CR41" s="124"/>
      <c r="CS41" s="124"/>
      <c r="CT41" s="124"/>
      <c r="CU41" s="124"/>
      <c r="CV41" s="125"/>
      <c r="CW41" s="126"/>
      <c r="CX41" s="124"/>
      <c r="CY41" s="124"/>
      <c r="CZ41" s="127"/>
      <c r="DA41" s="123"/>
      <c r="DB41" s="124"/>
      <c r="DC41" s="124"/>
      <c r="DD41" s="124"/>
      <c r="DE41" s="124"/>
      <c r="DF41" s="124"/>
      <c r="DG41" s="124"/>
      <c r="DH41" s="124"/>
      <c r="DI41" s="124"/>
      <c r="DJ41" s="124"/>
      <c r="DK41" s="124"/>
      <c r="DL41" s="125"/>
      <c r="DM41" s="301"/>
      <c r="DN41" s="151"/>
      <c r="DO41" s="131">
        <f>SUM(CM41:DN41)</f>
      </c>
      <c r="DP41" s="300"/>
      <c r="DQ41" s="301"/>
      <c r="DR41" s="123"/>
      <c r="DS41" s="124"/>
      <c r="DT41" s="124"/>
      <c r="DU41" s="124"/>
      <c r="DV41" s="124"/>
      <c r="DW41" s="124"/>
      <c r="DX41" s="124"/>
      <c r="DY41" s="125"/>
      <c r="DZ41" s="126"/>
      <c r="EA41" s="124"/>
      <c r="EB41" s="124"/>
      <c r="EC41" s="127"/>
      <c r="ED41" s="123"/>
      <c r="EE41" s="124"/>
      <c r="EF41" s="124"/>
      <c r="EG41" s="124"/>
      <c r="EH41" s="124"/>
      <c r="EI41" s="124"/>
      <c r="EJ41" s="124"/>
      <c r="EK41" s="124"/>
      <c r="EL41" s="124"/>
      <c r="EM41" s="124"/>
      <c r="EN41" s="124"/>
      <c r="EO41" s="125"/>
      <c r="EP41" s="301"/>
      <c r="EQ41" s="151"/>
      <c r="ER41" s="131">
        <f>SUM(DP41:EQ41)</f>
      </c>
      <c r="ES41" s="300"/>
      <c r="ET41" s="301"/>
      <c r="EU41" s="123"/>
      <c r="EV41" s="124"/>
      <c r="EW41" s="124"/>
      <c r="EX41" s="124"/>
      <c r="EY41" s="124"/>
      <c r="EZ41" s="124"/>
      <c r="FA41" s="124"/>
      <c r="FB41" s="125"/>
      <c r="FC41" s="126"/>
      <c r="FD41" s="124"/>
      <c r="FE41" s="124"/>
      <c r="FF41" s="127"/>
      <c r="FG41" s="123"/>
      <c r="FH41" s="124"/>
      <c r="FI41" s="124"/>
      <c r="FJ41" s="124"/>
      <c r="FK41" s="124"/>
      <c r="FL41" s="124"/>
      <c r="FM41" s="124"/>
      <c r="FN41" s="124"/>
      <c r="FO41" s="124"/>
      <c r="FP41" s="124"/>
      <c r="FQ41" s="124"/>
      <c r="FR41" s="125"/>
      <c r="FS41" s="301"/>
      <c r="FT41" s="151"/>
      <c r="FU41" s="131">
        <f>SUM(ES41:FT41)</f>
      </c>
      <c r="FV41" s="300"/>
      <c r="FW41" s="301"/>
      <c r="FX41" s="123"/>
      <c r="FY41" s="124"/>
      <c r="FZ41" s="124"/>
      <c r="GA41" s="124"/>
      <c r="GB41" s="124"/>
      <c r="GC41" s="124"/>
      <c r="GD41" s="124"/>
      <c r="GE41" s="125"/>
      <c r="GF41" s="126"/>
      <c r="GG41" s="124"/>
      <c r="GH41" s="124"/>
      <c r="GI41" s="127"/>
      <c r="GJ41" s="123"/>
      <c r="GK41" s="124"/>
      <c r="GL41" s="124"/>
      <c r="GM41" s="124"/>
      <c r="GN41" s="124"/>
      <c r="GO41" s="124"/>
      <c r="GP41" s="124"/>
      <c r="GQ41" s="124"/>
      <c r="GR41" s="124"/>
      <c r="GS41" s="124"/>
      <c r="GT41" s="124"/>
      <c r="GU41" s="125"/>
      <c r="GV41" s="301"/>
      <c r="GW41" s="151"/>
      <c r="GX41" s="131">
        <f>SUM(FV41:GW41)</f>
      </c>
      <c r="GY41" s="150">
        <f>AF41+BI41+CL41+DO41+ER41+FU41+GX41</f>
      </c>
      <c r="GZ41" s="302">
        <f>(COUNTIF(D41:GX41,"H")+COUNTIF(D41:GX41,"S")+COUNTIF(D41:GX41,"L")+COUNTIF(D41:GX41,"E")+COUNTIF(D41:GX41,"C"))/2</f>
      </c>
      <c r="HA41" s="131">
        <f>GY41+GZ41</f>
      </c>
      <c r="HB41" s="303"/>
      <c r="HC41" s="304"/>
      <c r="HD41" s="136"/>
      <c r="HE41" s="138">
        <v>0.5</v>
      </c>
      <c r="HF41" s="138">
        <v>0.5</v>
      </c>
      <c r="HG41" s="138">
        <v>0.5</v>
      </c>
      <c r="HH41" s="138">
        <v>0.5</v>
      </c>
      <c r="HI41" s="138">
        <v>0.5</v>
      </c>
      <c r="HJ41" s="138">
        <v>0.5</v>
      </c>
      <c r="HK41" s="139">
        <v>0.5</v>
      </c>
      <c r="HL41" s="155"/>
      <c r="HM41" s="137"/>
      <c r="HN41" s="138">
        <v>0.5</v>
      </c>
      <c r="HO41" s="149">
        <v>0.5</v>
      </c>
      <c r="HP41" s="142">
        <v>0.5</v>
      </c>
      <c r="HQ41" s="138">
        <v>0.5</v>
      </c>
      <c r="HR41" s="138">
        <v>0.5</v>
      </c>
      <c r="HS41" s="138">
        <v>0.5</v>
      </c>
      <c r="HT41" s="138">
        <v>0.5</v>
      </c>
      <c r="HU41" s="138">
        <v>0.5</v>
      </c>
      <c r="HV41" s="138">
        <v>0.5</v>
      </c>
      <c r="HW41" s="138">
        <v>0.5</v>
      </c>
      <c r="HX41" s="137"/>
      <c r="HY41" s="137"/>
      <c r="HZ41" s="137"/>
      <c r="IA41" s="153"/>
      <c r="IB41" s="304"/>
      <c r="IC41" s="152"/>
      <c r="ID41" s="131">
        <f>SUM(HB41:IC41)</f>
      </c>
      <c r="IE41" s="303"/>
      <c r="IF41" s="304"/>
      <c r="IG41" s="136"/>
      <c r="IH41" s="138">
        <v>0.5</v>
      </c>
      <c r="II41" s="138">
        <v>0.5</v>
      </c>
      <c r="IJ41" s="138">
        <v>0.5</v>
      </c>
      <c r="IK41" s="138">
        <v>0.5</v>
      </c>
      <c r="IL41" s="138">
        <v>0.5</v>
      </c>
      <c r="IM41" s="138">
        <v>0.5</v>
      </c>
      <c r="IN41" s="139">
        <v>0.5</v>
      </c>
      <c r="IO41" s="155"/>
      <c r="IP41" s="137"/>
      <c r="IQ41" s="138">
        <v>0.5</v>
      </c>
      <c r="IR41" s="149">
        <v>0.5</v>
      </c>
      <c r="IS41" s="142">
        <v>0.5</v>
      </c>
      <c r="IT41" s="138">
        <v>0.5</v>
      </c>
      <c r="IU41" s="138">
        <v>0.5</v>
      </c>
      <c r="IV41" s="138">
        <v>0.5</v>
      </c>
      <c r="IW41" s="138">
        <v>0.5</v>
      </c>
      <c r="IX41" s="138">
        <v>0.5</v>
      </c>
      <c r="IY41" s="138">
        <v>0.5</v>
      </c>
      <c r="IZ41" s="138">
        <v>0.5</v>
      </c>
      <c r="JA41" s="137"/>
      <c r="JB41" s="137"/>
      <c r="JC41" s="137"/>
      <c r="JD41" s="153"/>
      <c r="JE41" s="304"/>
      <c r="JF41" s="152"/>
      <c r="JG41" s="131">
        <f>SUM(IE41:JF41)</f>
      </c>
      <c r="JH41" s="303"/>
      <c r="JI41" s="304"/>
      <c r="JJ41" s="136"/>
      <c r="JK41" s="138">
        <v>0.5</v>
      </c>
      <c r="JL41" s="138">
        <v>0.5</v>
      </c>
      <c r="JM41" s="138">
        <v>0.5</v>
      </c>
      <c r="JN41" s="138">
        <v>0.5</v>
      </c>
      <c r="JO41" s="138">
        <v>0.5</v>
      </c>
      <c r="JP41" s="138">
        <v>0.5</v>
      </c>
      <c r="JQ41" s="139">
        <v>0.5</v>
      </c>
      <c r="JR41" s="155"/>
      <c r="JS41" s="137"/>
      <c r="JT41" s="138">
        <v>0.5</v>
      </c>
      <c r="JU41" s="149">
        <v>0.5</v>
      </c>
      <c r="JV41" s="142">
        <v>0.5</v>
      </c>
      <c r="JW41" s="138">
        <v>0.5</v>
      </c>
      <c r="JX41" s="138">
        <v>0.5</v>
      </c>
      <c r="JY41" s="138">
        <v>0.5</v>
      </c>
      <c r="JZ41" s="138">
        <v>0.5</v>
      </c>
      <c r="KA41" s="138">
        <v>0.5</v>
      </c>
      <c r="KB41" s="138">
        <v>0.5</v>
      </c>
      <c r="KC41" s="138">
        <v>0.5</v>
      </c>
      <c r="KD41" s="137"/>
      <c r="KE41" s="137"/>
      <c r="KF41" s="137"/>
      <c r="KG41" s="153"/>
      <c r="KH41" s="304"/>
      <c r="KI41" s="152"/>
      <c r="KJ41" s="131">
        <f>SUM(JH41:KI41)</f>
      </c>
      <c r="KK41" s="303"/>
      <c r="KL41" s="304"/>
      <c r="KM41" s="136"/>
      <c r="KN41" s="138">
        <v>0.5</v>
      </c>
      <c r="KO41" s="138">
        <v>0.5</v>
      </c>
      <c r="KP41" s="138">
        <v>0.5</v>
      </c>
      <c r="KQ41" s="138">
        <v>0.5</v>
      </c>
      <c r="KR41" s="138">
        <v>0.5</v>
      </c>
      <c r="KS41" s="138">
        <v>0.5</v>
      </c>
      <c r="KT41" s="139">
        <v>0.5</v>
      </c>
      <c r="KU41" s="155"/>
      <c r="KV41" s="137"/>
      <c r="KW41" s="138">
        <v>0.5</v>
      </c>
      <c r="KX41" s="149">
        <v>0.5</v>
      </c>
      <c r="KY41" s="142">
        <v>0.5</v>
      </c>
      <c r="KZ41" s="138">
        <v>0.5</v>
      </c>
      <c r="LA41" s="138">
        <v>0.5</v>
      </c>
      <c r="LB41" s="138">
        <v>0.5</v>
      </c>
      <c r="LC41" s="138">
        <v>0.5</v>
      </c>
      <c r="LD41" s="138">
        <v>0.5</v>
      </c>
      <c r="LE41" s="138">
        <v>0.5</v>
      </c>
      <c r="LF41" s="138">
        <v>0.5</v>
      </c>
      <c r="LG41" s="137"/>
      <c r="LH41" s="137"/>
      <c r="LI41" s="137"/>
      <c r="LJ41" s="153"/>
      <c r="LK41" s="304"/>
      <c r="LL41" s="152"/>
      <c r="LM41" s="131">
        <f>SUM(KK41:LL41)</f>
      </c>
      <c r="LN41" s="303"/>
      <c r="LO41" s="304"/>
      <c r="LP41" s="142">
        <v>0.5</v>
      </c>
      <c r="LQ41" s="138">
        <v>0.5</v>
      </c>
      <c r="LR41" s="138">
        <v>0.5</v>
      </c>
      <c r="LS41" s="138">
        <v>0.5</v>
      </c>
      <c r="LT41" s="138">
        <v>0.5</v>
      </c>
      <c r="LU41" s="138">
        <v>0.5</v>
      </c>
      <c r="LV41" s="138">
        <v>0.5</v>
      </c>
      <c r="LW41" s="139">
        <v>0.5</v>
      </c>
      <c r="LX41" s="140">
        <v>0.5</v>
      </c>
      <c r="LY41" s="138">
        <v>0.5</v>
      </c>
      <c r="LZ41" s="138">
        <v>0.5</v>
      </c>
      <c r="MA41" s="149">
        <v>0.5</v>
      </c>
      <c r="MB41" s="136"/>
      <c r="MC41" s="137"/>
      <c r="MD41" s="137"/>
      <c r="ME41" s="137"/>
      <c r="MF41" s="137"/>
      <c r="MG41" s="137"/>
      <c r="MH41" s="137"/>
      <c r="MI41" s="137"/>
      <c r="MJ41" s="137"/>
      <c r="MK41" s="137"/>
      <c r="ML41" s="137"/>
      <c r="MM41" s="153"/>
      <c r="MN41" s="304"/>
      <c r="MO41" s="152"/>
      <c r="MP41" s="131">
        <f>SUM(LN41:MO41)</f>
      </c>
      <c r="MQ41" s="300"/>
      <c r="MR41" s="301"/>
      <c r="MS41" s="123"/>
      <c r="MT41" s="124"/>
      <c r="MU41" s="124"/>
      <c r="MV41" s="124"/>
      <c r="MW41" s="124"/>
      <c r="MX41" s="124"/>
      <c r="MY41" s="124"/>
      <c r="MZ41" s="125"/>
      <c r="NA41" s="126"/>
      <c r="NB41" s="124"/>
      <c r="NC41" s="124"/>
      <c r="ND41" s="127"/>
      <c r="NE41" s="123"/>
      <c r="NF41" s="124"/>
      <c r="NG41" s="124"/>
      <c r="NH41" s="124"/>
      <c r="NI41" s="124"/>
      <c r="NJ41" s="124"/>
      <c r="NK41" s="124"/>
      <c r="NL41" s="124"/>
      <c r="NM41" s="124"/>
      <c r="NN41" s="124"/>
      <c r="NO41" s="124"/>
      <c r="NP41" s="125"/>
      <c r="NQ41" s="301"/>
      <c r="NR41" s="151"/>
      <c r="NS41" s="131">
        <f>SUM(MQ41:NR41)</f>
      </c>
      <c r="NT41" s="300"/>
      <c r="NU41" s="301"/>
      <c r="NV41" s="123"/>
      <c r="NW41" s="124"/>
      <c r="NX41" s="124"/>
      <c r="NY41" s="124"/>
      <c r="NZ41" s="124"/>
      <c r="OA41" s="124"/>
      <c r="OB41" s="124"/>
      <c r="OC41" s="125"/>
      <c r="OD41" s="126"/>
      <c r="OE41" s="124"/>
      <c r="OF41" s="124"/>
      <c r="OG41" s="127"/>
      <c r="OH41" s="123"/>
      <c r="OI41" s="124"/>
      <c r="OJ41" s="124"/>
      <c r="OK41" s="124"/>
      <c r="OL41" s="124"/>
      <c r="OM41" s="124"/>
      <c r="ON41" s="124"/>
      <c r="OO41" s="124"/>
      <c r="OP41" s="124"/>
      <c r="OQ41" s="124"/>
      <c r="OR41" s="124"/>
      <c r="OS41" s="125"/>
      <c r="OT41" s="301"/>
      <c r="OU41" s="151"/>
      <c r="OV41" s="131">
        <f>SUM(NT41:OU41)</f>
      </c>
      <c r="OW41" s="150">
        <f>ID41+JG41+KJ41+LM41+MP41+NS41+OV41</f>
      </c>
      <c r="OX41" s="302">
        <f>(COUNTIF(HB41:OV41,"H")+COUNTIF(HB41:OV41,"S")+COUNTIF(HB41:OV41,"L")+COUNTIF(HB41:OV41,"E")+COUNTIF(HB41:OV41,"C"))/2</f>
      </c>
      <c r="OY41" s="131">
        <f>OW41+OX41</f>
      </c>
      <c r="OZ41" s="303"/>
      <c r="PA41" s="304"/>
      <c r="PB41" s="136"/>
      <c r="PC41" s="137"/>
      <c r="PD41" s="143">
        <v>0.5</v>
      </c>
      <c r="PE41" s="143">
        <v>0.5</v>
      </c>
      <c r="PF41" s="143">
        <v>0.5</v>
      </c>
      <c r="PG41" s="143">
        <v>0.5</v>
      </c>
      <c r="PH41" s="138">
        <v>0.5</v>
      </c>
      <c r="PI41" s="139">
        <v>0.5</v>
      </c>
      <c r="PJ41" s="155"/>
      <c r="PK41" s="137"/>
      <c r="PL41" s="138">
        <v>0.5</v>
      </c>
      <c r="PM41" s="149">
        <v>0.5</v>
      </c>
      <c r="PN41" s="142">
        <v>0.5</v>
      </c>
      <c r="PO41" s="138">
        <v>0.5</v>
      </c>
      <c r="PP41" s="143">
        <v>0.5</v>
      </c>
      <c r="PQ41" s="143">
        <v>0.5</v>
      </c>
      <c r="PR41" s="143">
        <v>0.5</v>
      </c>
      <c r="PS41" s="143">
        <v>0.5</v>
      </c>
      <c r="PT41" s="143">
        <v>0.5</v>
      </c>
      <c r="PU41" s="143">
        <v>0.5</v>
      </c>
      <c r="PV41" s="137"/>
      <c r="PW41" s="137"/>
      <c r="PX41" s="137"/>
      <c r="PY41" s="153"/>
      <c r="PZ41" s="304"/>
      <c r="QA41" s="152"/>
      <c r="QB41" s="131">
        <f>SUM(OZ41:QA41)</f>
      </c>
      <c r="QC41" s="303"/>
      <c r="QD41" s="304"/>
      <c r="QE41" s="136"/>
      <c r="QF41" s="137"/>
      <c r="QG41" s="143">
        <v>0.5</v>
      </c>
      <c r="QH41" s="143">
        <v>0.5</v>
      </c>
      <c r="QI41" s="143">
        <v>0.5</v>
      </c>
      <c r="QJ41" s="143">
        <v>0.5</v>
      </c>
      <c r="QK41" s="138">
        <v>0.5</v>
      </c>
      <c r="QL41" s="139">
        <v>0.5</v>
      </c>
      <c r="QM41" s="155"/>
      <c r="QN41" s="137"/>
      <c r="QO41" s="138">
        <v>0.5</v>
      </c>
      <c r="QP41" s="149">
        <v>0.5</v>
      </c>
      <c r="QQ41" s="142">
        <v>0.5</v>
      </c>
      <c r="QR41" s="138">
        <v>0.5</v>
      </c>
      <c r="QS41" s="143">
        <v>0.5</v>
      </c>
      <c r="QT41" s="143">
        <v>0.5</v>
      </c>
      <c r="QU41" s="143">
        <v>0.5</v>
      </c>
      <c r="QV41" s="143">
        <v>0.5</v>
      </c>
      <c r="QW41" s="143">
        <v>0.5</v>
      </c>
      <c r="QX41" s="143">
        <v>0.5</v>
      </c>
      <c r="QY41" s="137"/>
      <c r="QZ41" s="137"/>
      <c r="RA41" s="137"/>
      <c r="RB41" s="153"/>
      <c r="RC41" s="304"/>
      <c r="RD41" s="152"/>
      <c r="RE41" s="131">
        <f>SUM(QC41:RD41)</f>
      </c>
      <c r="RF41" s="303"/>
      <c r="RG41" s="304"/>
      <c r="RH41" s="136"/>
      <c r="RI41" s="137"/>
      <c r="RJ41" s="143">
        <v>0.5</v>
      </c>
      <c r="RK41" s="143">
        <v>0.5</v>
      </c>
      <c r="RL41" s="143">
        <v>0.5</v>
      </c>
      <c r="RM41" s="143">
        <v>0.5</v>
      </c>
      <c r="RN41" s="138">
        <v>0.5</v>
      </c>
      <c r="RO41" s="139">
        <v>0.5</v>
      </c>
      <c r="RP41" s="155"/>
      <c r="RQ41" s="137"/>
      <c r="RR41" s="138">
        <v>0.5</v>
      </c>
      <c r="RS41" s="149">
        <v>0.5</v>
      </c>
      <c r="RT41" s="142">
        <v>0.5</v>
      </c>
      <c r="RU41" s="138">
        <v>0.5</v>
      </c>
      <c r="RV41" s="143">
        <v>0.5</v>
      </c>
      <c r="RW41" s="143">
        <v>0.5</v>
      </c>
      <c r="RX41" s="143">
        <v>0.5</v>
      </c>
      <c r="RY41" s="143">
        <v>0.5</v>
      </c>
      <c r="RZ41" s="143">
        <v>0.5</v>
      </c>
      <c r="SA41" s="143">
        <v>0.5</v>
      </c>
      <c r="SB41" s="137"/>
      <c r="SC41" s="137"/>
      <c r="SD41" s="137"/>
      <c r="SE41" s="153"/>
      <c r="SF41" s="304"/>
      <c r="SG41" s="152"/>
      <c r="SH41" s="131">
        <f>SUM(RF41:SG41)</f>
      </c>
      <c r="SI41" s="303"/>
      <c r="SJ41" s="304"/>
      <c r="SK41" s="136"/>
      <c r="SL41" s="137"/>
      <c r="SM41" s="143">
        <v>0.5</v>
      </c>
      <c r="SN41" s="143">
        <v>0.5</v>
      </c>
      <c r="SO41" s="143">
        <v>0.5</v>
      </c>
      <c r="SP41" s="143">
        <v>0.5</v>
      </c>
      <c r="SQ41" s="138">
        <v>0.5</v>
      </c>
      <c r="SR41" s="139">
        <v>0.5</v>
      </c>
      <c r="SS41" s="155"/>
      <c r="ST41" s="137"/>
      <c r="SU41" s="138">
        <v>0.5</v>
      </c>
      <c r="SV41" s="149">
        <v>0.5</v>
      </c>
      <c r="SW41" s="142">
        <v>0.5</v>
      </c>
      <c r="SX41" s="138">
        <v>0.5</v>
      </c>
      <c r="SY41" s="143">
        <v>0.5</v>
      </c>
      <c r="SZ41" s="143">
        <v>0.5</v>
      </c>
      <c r="TA41" s="143">
        <v>0.5</v>
      </c>
      <c r="TB41" s="143">
        <v>0.5</v>
      </c>
      <c r="TC41" s="143">
        <v>0.5</v>
      </c>
      <c r="TD41" s="143">
        <v>0.5</v>
      </c>
      <c r="TE41" s="137"/>
      <c r="TF41" s="137"/>
      <c r="TG41" s="137"/>
      <c r="TH41" s="153"/>
      <c r="TI41" s="304"/>
      <c r="TJ41" s="152"/>
      <c r="TK41" s="131">
        <f>SUM(SI41:TJ41)</f>
      </c>
      <c r="TL41" s="303"/>
      <c r="TM41" s="304"/>
      <c r="TN41" s="136"/>
      <c r="TO41" s="137"/>
      <c r="TP41" s="143">
        <v>0.5</v>
      </c>
      <c r="TQ41" s="143">
        <v>0.5</v>
      </c>
      <c r="TR41" s="143">
        <v>0.5</v>
      </c>
      <c r="TS41" s="143">
        <v>0.5</v>
      </c>
      <c r="TT41" s="138">
        <v>0.5</v>
      </c>
      <c r="TU41" s="139">
        <v>0.5</v>
      </c>
      <c r="TV41" s="155"/>
      <c r="TW41" s="137"/>
      <c r="TX41" s="138">
        <v>0.5</v>
      </c>
      <c r="TY41" s="149">
        <v>0.5</v>
      </c>
      <c r="TZ41" s="142">
        <v>0.5</v>
      </c>
      <c r="UA41" s="138">
        <v>0.5</v>
      </c>
      <c r="UB41" s="143">
        <v>0.5</v>
      </c>
      <c r="UC41" s="143">
        <v>0.5</v>
      </c>
      <c r="UD41" s="143">
        <v>0.5</v>
      </c>
      <c r="UE41" s="143">
        <v>0.5</v>
      </c>
      <c r="UF41" s="143">
        <v>0.5</v>
      </c>
      <c r="UG41" s="143">
        <v>0.5</v>
      </c>
      <c r="UH41" s="137"/>
      <c r="UI41" s="137"/>
      <c r="UJ41" s="137"/>
      <c r="UK41" s="153"/>
      <c r="UL41" s="304"/>
      <c r="UM41" s="152"/>
      <c r="UN41" s="131">
        <f>SUM(TL41:UM41)</f>
      </c>
      <c r="UO41" s="300"/>
      <c r="UP41" s="301"/>
      <c r="UQ41" s="123"/>
      <c r="UR41" s="124"/>
      <c r="US41" s="124"/>
      <c r="UT41" s="124"/>
      <c r="UU41" s="124"/>
      <c r="UV41" s="124"/>
      <c r="UW41" s="124"/>
      <c r="UX41" s="125"/>
      <c r="UY41" s="126"/>
      <c r="UZ41" s="124"/>
      <c r="VA41" s="124"/>
      <c r="VB41" s="127"/>
      <c r="VC41" s="123"/>
      <c r="VD41" s="124"/>
      <c r="VE41" s="124"/>
      <c r="VF41" s="124"/>
      <c r="VG41" s="124"/>
      <c r="VH41" s="124"/>
      <c r="VI41" s="124"/>
      <c r="VJ41" s="124"/>
      <c r="VK41" s="124"/>
      <c r="VL41" s="124"/>
      <c r="VM41" s="124"/>
      <c r="VN41" s="125"/>
      <c r="VO41" s="301"/>
      <c r="VP41" s="151"/>
      <c r="VQ41" s="131">
        <f>SUM(UO41:VP41)</f>
      </c>
      <c r="VR41" s="300"/>
      <c r="VS41" s="301"/>
      <c r="VT41" s="123"/>
      <c r="VU41" s="124"/>
      <c r="VV41" s="124"/>
      <c r="VW41" s="124"/>
      <c r="VX41" s="124"/>
      <c r="VY41" s="124"/>
      <c r="VZ41" s="124"/>
      <c r="WA41" s="125"/>
      <c r="WB41" s="126"/>
      <c r="WC41" s="124"/>
      <c r="WD41" s="124"/>
      <c r="WE41" s="127"/>
      <c r="WF41" s="123"/>
      <c r="WG41" s="124"/>
      <c r="WH41" s="124"/>
      <c r="WI41" s="124"/>
      <c r="WJ41" s="124"/>
      <c r="WK41" s="124"/>
      <c r="WL41" s="124"/>
      <c r="WM41" s="124"/>
      <c r="WN41" s="124"/>
      <c r="WO41" s="124"/>
      <c r="WP41" s="124"/>
      <c r="WQ41" s="125"/>
      <c r="WR41" s="301"/>
      <c r="WS41" s="151"/>
      <c r="WT41" s="131">
        <f>SUM(VR41:WS41)</f>
      </c>
      <c r="WU41" s="150">
        <f>QB41+RE41+SH41+TK41+UN41+VQ41+WT41</f>
      </c>
      <c r="WV41" s="302">
        <f>(COUNTIF(OZ41:WT41,"H")+COUNTIF(OZ41:WT41,"S")+COUNTIF(OZ41:WT41,"L")+COUNTIF(OZ41:WT41,"E")+COUNTIF(OZ41:WT41,"C"))/2</f>
      </c>
      <c r="WW41" s="131">
        <f>WU41+WV41</f>
      </c>
      <c r="WX41" s="303"/>
      <c r="WY41" s="304"/>
      <c r="WZ41" s="136"/>
      <c r="XA41" s="137"/>
      <c r="XB41" s="137"/>
      <c r="XC41" s="137"/>
      <c r="XD41" s="307">
        <v>0.5</v>
      </c>
      <c r="XE41" s="307">
        <v>0.5</v>
      </c>
      <c r="XF41" s="307">
        <v>0.5</v>
      </c>
      <c r="XG41" s="314">
        <v>0.5</v>
      </c>
      <c r="XH41" s="319">
        <v>0.5</v>
      </c>
      <c r="XI41" s="307">
        <v>0.5</v>
      </c>
      <c r="XJ41" s="137"/>
      <c r="XK41" s="141"/>
      <c r="XL41" s="313">
        <v>0.5</v>
      </c>
      <c r="XM41" s="308">
        <v>0.5</v>
      </c>
      <c r="XN41" s="308">
        <v>0.5</v>
      </c>
      <c r="XO41" s="308">
        <v>0.5</v>
      </c>
      <c r="XP41" s="308">
        <v>0.5</v>
      </c>
      <c r="XQ41" s="308">
        <v>0.5</v>
      </c>
      <c r="XR41" s="308">
        <v>0.5</v>
      </c>
      <c r="XS41" s="308">
        <v>0.5</v>
      </c>
      <c r="XT41" s="308">
        <v>0.5</v>
      </c>
      <c r="XU41" s="308">
        <v>0.5</v>
      </c>
      <c r="XV41" s="137"/>
      <c r="XW41" s="153"/>
      <c r="XX41" s="304"/>
      <c r="XY41" s="152"/>
      <c r="XZ41" s="131">
        <f>SUM(WX41:XY41)</f>
      </c>
      <c r="YA41" s="303"/>
      <c r="YB41" s="310">
        <v>0.5</v>
      </c>
      <c r="YC41" s="313">
        <v>0.5</v>
      </c>
      <c r="YD41" s="308">
        <v>0.5</v>
      </c>
      <c r="YE41" s="308">
        <v>0.5</v>
      </c>
      <c r="YF41" s="308">
        <v>0.5</v>
      </c>
      <c r="YG41" s="308">
        <v>0.5</v>
      </c>
      <c r="YH41" s="308">
        <v>0.5</v>
      </c>
      <c r="YI41" s="308">
        <v>0.5</v>
      </c>
      <c r="YJ41" s="309">
        <v>0.5</v>
      </c>
      <c r="YK41" s="155"/>
      <c r="YL41" s="308">
        <v>0.5</v>
      </c>
      <c r="YM41" s="308">
        <v>0.5</v>
      </c>
      <c r="YN41" s="312">
        <v>0.5</v>
      </c>
      <c r="YO41" s="313">
        <v>0.5</v>
      </c>
      <c r="YP41" s="308">
        <v>0.5</v>
      </c>
      <c r="YQ41" s="308">
        <v>0.5</v>
      </c>
      <c r="YR41" s="308">
        <v>0.5</v>
      </c>
      <c r="YS41" s="308">
        <v>0.5</v>
      </c>
      <c r="YT41" s="308">
        <v>0.5</v>
      </c>
      <c r="YU41" s="137"/>
      <c r="YV41" s="137"/>
      <c r="YW41" s="137"/>
      <c r="YX41" s="137"/>
      <c r="YY41" s="137"/>
      <c r="YZ41" s="153"/>
      <c r="ZA41" s="304"/>
      <c r="ZB41" s="152"/>
      <c r="ZC41" s="131">
        <f>SUM(YA41:ZB41)</f>
      </c>
      <c r="ZD41" s="303"/>
      <c r="ZE41" s="310">
        <v>0.5</v>
      </c>
      <c r="ZF41" s="313">
        <v>0.5</v>
      </c>
      <c r="ZG41" s="308">
        <v>0.5</v>
      </c>
      <c r="ZH41" s="308">
        <v>0.5</v>
      </c>
      <c r="ZI41" s="308">
        <v>0.5</v>
      </c>
      <c r="ZJ41" s="308">
        <v>0.5</v>
      </c>
      <c r="ZK41" s="308">
        <v>0.5</v>
      </c>
      <c r="ZL41" s="308">
        <v>0.5</v>
      </c>
      <c r="ZM41" s="309">
        <v>0.5</v>
      </c>
      <c r="ZN41" s="155"/>
      <c r="ZO41" s="308">
        <v>0.5</v>
      </c>
      <c r="ZP41" s="308">
        <v>0.5</v>
      </c>
      <c r="ZQ41" s="312">
        <v>0.5</v>
      </c>
      <c r="ZR41" s="313">
        <v>0.5</v>
      </c>
      <c r="ZS41" s="308">
        <v>0.5</v>
      </c>
      <c r="ZT41" s="308">
        <v>0.5</v>
      </c>
      <c r="ZU41" s="308">
        <v>0.5</v>
      </c>
      <c r="ZV41" s="308">
        <v>0.5</v>
      </c>
      <c r="ZW41" s="308">
        <v>0.5</v>
      </c>
      <c r="ZX41" s="137"/>
      <c r="ZY41" s="137"/>
      <c r="ZZ41" s="137"/>
      <c r="AAA41" s="137"/>
      <c r="AAB41" s="137"/>
      <c r="AAC41" s="153"/>
      <c r="AAD41" s="304"/>
      <c r="AAE41" s="152"/>
      <c r="AAF41" s="131">
        <f>SUM(ZD41:AAE41)</f>
      </c>
      <c r="AAG41" s="303"/>
      <c r="AAH41" s="310">
        <v>0.5</v>
      </c>
      <c r="AAI41" s="313">
        <v>0.5</v>
      </c>
      <c r="AAJ41" s="308">
        <v>0.5</v>
      </c>
      <c r="AAK41" s="308">
        <v>0.5</v>
      </c>
      <c r="AAL41" s="308">
        <v>0.5</v>
      </c>
      <c r="AAM41" s="308">
        <v>0.5</v>
      </c>
      <c r="AAN41" s="308">
        <v>0.5</v>
      </c>
      <c r="AAO41" s="308">
        <v>0.5</v>
      </c>
      <c r="AAP41" s="309">
        <v>0.5</v>
      </c>
      <c r="AAQ41" s="320">
        <v>0.5</v>
      </c>
      <c r="AAR41" s="308">
        <v>0.5</v>
      </c>
      <c r="AAS41" s="137"/>
      <c r="AAT41" s="141"/>
      <c r="AAU41" s="306">
        <v>0.5</v>
      </c>
      <c r="AAV41" s="307">
        <v>0.5</v>
      </c>
      <c r="AAW41" s="307">
        <v>0.5</v>
      </c>
      <c r="AAX41" s="307">
        <v>0.5</v>
      </c>
      <c r="AAY41" s="307">
        <v>0.5</v>
      </c>
      <c r="AAZ41" s="137"/>
      <c r="ABA41" s="137"/>
      <c r="ABB41" s="137"/>
      <c r="ABC41" s="137"/>
      <c r="ABD41" s="137"/>
      <c r="ABE41" s="137"/>
      <c r="ABF41" s="153"/>
      <c r="ABG41" s="304"/>
      <c r="ABH41" s="152"/>
      <c r="ABI41" s="131">
        <f>SUM(AAG41:ABH41)</f>
      </c>
      <c r="ABJ41" s="303"/>
      <c r="ABK41" s="304"/>
      <c r="ABL41" s="142">
        <v>0.5</v>
      </c>
      <c r="ABM41" s="138">
        <v>0.5</v>
      </c>
      <c r="ABN41" s="138">
        <v>0.5</v>
      </c>
      <c r="ABO41" s="138">
        <v>0.5</v>
      </c>
      <c r="ABP41" s="138">
        <v>0.5</v>
      </c>
      <c r="ABQ41" s="138">
        <v>0.5</v>
      </c>
      <c r="ABR41" s="138">
        <v>0.5</v>
      </c>
      <c r="ABS41" s="139">
        <v>0.5</v>
      </c>
      <c r="ABT41" s="140">
        <v>0.5</v>
      </c>
      <c r="ABU41" s="138">
        <v>0.5</v>
      </c>
      <c r="ABV41" s="138">
        <v>0.5</v>
      </c>
      <c r="ABW41" s="149">
        <v>0.5</v>
      </c>
      <c r="ABX41" s="136"/>
      <c r="ABY41" s="137"/>
      <c r="ABZ41" s="137"/>
      <c r="ACA41" s="137"/>
      <c r="ACB41" s="137"/>
      <c r="ACC41" s="137"/>
      <c r="ACD41" s="137"/>
      <c r="ACE41" s="137"/>
      <c r="ACF41" s="137"/>
      <c r="ACG41" s="137"/>
      <c r="ACH41" s="137"/>
      <c r="ACI41" s="153"/>
      <c r="ACJ41" s="304"/>
      <c r="ACK41" s="152"/>
      <c r="ACL41" s="131">
        <f>SUM(ABJ41:ACK41)</f>
      </c>
      <c r="ACM41" s="300"/>
      <c r="ACN41" s="301"/>
      <c r="ACO41" s="123"/>
      <c r="ACP41" s="124"/>
      <c r="ACQ41" s="124"/>
      <c r="ACR41" s="124"/>
      <c r="ACS41" s="124"/>
      <c r="ACT41" s="124"/>
      <c r="ACU41" s="124"/>
      <c r="ACV41" s="125"/>
      <c r="ACW41" s="126"/>
      <c r="ACX41" s="124"/>
      <c r="ACY41" s="124"/>
      <c r="ACZ41" s="127"/>
      <c r="ADA41" s="123"/>
      <c r="ADB41" s="124"/>
      <c r="ADC41" s="124"/>
      <c r="ADD41" s="124"/>
      <c r="ADE41" s="124"/>
      <c r="ADF41" s="124"/>
      <c r="ADG41" s="124"/>
      <c r="ADH41" s="124"/>
      <c r="ADI41" s="124"/>
      <c r="ADJ41" s="124"/>
      <c r="ADK41" s="124"/>
      <c r="ADL41" s="125"/>
      <c r="ADM41" s="301"/>
      <c r="ADN41" s="151"/>
      <c r="ADO41" s="131">
        <f>SUM(ACM41:ADN41)</f>
      </c>
      <c r="ADP41" s="300"/>
      <c r="ADQ41" s="301"/>
      <c r="ADR41" s="123"/>
      <c r="ADS41" s="124"/>
      <c r="ADT41" s="124"/>
      <c r="ADU41" s="124"/>
      <c r="ADV41" s="124"/>
      <c r="ADW41" s="124"/>
      <c r="ADX41" s="124"/>
      <c r="ADY41" s="125"/>
      <c r="ADZ41" s="126"/>
      <c r="AEA41" s="124"/>
      <c r="AEB41" s="124"/>
      <c r="AEC41" s="127"/>
      <c r="AED41" s="123"/>
      <c r="AEE41" s="124"/>
      <c r="AEF41" s="124"/>
      <c r="AEG41" s="124"/>
      <c r="AEH41" s="124"/>
      <c r="AEI41" s="124"/>
      <c r="AEJ41" s="124"/>
      <c r="AEK41" s="124"/>
      <c r="AEL41" s="124"/>
      <c r="AEM41" s="124"/>
      <c r="AEN41" s="124"/>
      <c r="AEO41" s="125"/>
      <c r="AEP41" s="301"/>
      <c r="AEQ41" s="151"/>
      <c r="AER41" s="131">
        <f>SUM(ADP41:AEQ41)</f>
      </c>
      <c r="AES41" s="150">
        <f>XZ41+ZC41+AAF41+ABI41+ACL41+ADO41+AER41</f>
      </c>
      <c r="AET41" s="302">
        <f>(COUNTIF(WX41:AER41,"H")+COUNTIF(WX41:AER41,"S")+COUNTIF(WX41:AER41,"L")+COUNTIF(WX41:AER41,"E")+COUNTIF(WX41:AER41,"C"))/2</f>
      </c>
      <c r="AEU41" s="131">
        <f>AES41+AET41</f>
      </c>
      <c r="AEV41" s="303"/>
      <c r="AEW41" s="304"/>
      <c r="AEX41" s="136"/>
      <c r="AEY41" s="138">
        <v>0.5</v>
      </c>
      <c r="AEZ41" s="138">
        <v>0.5</v>
      </c>
      <c r="AFA41" s="138">
        <v>0.5</v>
      </c>
      <c r="AFB41" s="138">
        <v>0.5</v>
      </c>
      <c r="AFC41" s="138">
        <v>0.5</v>
      </c>
      <c r="AFD41" s="138">
        <v>0.5</v>
      </c>
      <c r="AFE41" s="139">
        <v>0.5</v>
      </c>
      <c r="AFF41" s="140">
        <v>0.5</v>
      </c>
      <c r="AFG41" s="138">
        <v>0.5</v>
      </c>
      <c r="AFH41" s="148"/>
      <c r="AFI41" s="305"/>
      <c r="AFJ41" s="142">
        <v>0.5</v>
      </c>
      <c r="AFK41" s="138">
        <v>0.5</v>
      </c>
      <c r="AFL41" s="138">
        <v>0.5</v>
      </c>
      <c r="AFM41" s="138">
        <v>0.5</v>
      </c>
      <c r="AFN41" s="138">
        <v>0.5</v>
      </c>
      <c r="AFO41" s="138">
        <v>0.5</v>
      </c>
      <c r="AFP41" s="138">
        <v>0.5</v>
      </c>
      <c r="AFQ41" s="138">
        <v>0.5</v>
      </c>
      <c r="AFR41" s="137"/>
      <c r="AFS41" s="137"/>
      <c r="AFT41" s="137"/>
      <c r="AFU41" s="153"/>
      <c r="AFV41" s="304"/>
      <c r="AFW41" s="152"/>
      <c r="AFX41" s="131">
        <f>SUM(AEV41:AFW41)</f>
      </c>
      <c r="AFY41" s="303"/>
      <c r="AFZ41" s="304"/>
      <c r="AGA41" s="136"/>
      <c r="AGB41" s="138">
        <v>0.5</v>
      </c>
      <c r="AGC41" s="138">
        <v>0.5</v>
      </c>
      <c r="AGD41" s="138">
        <v>0.5</v>
      </c>
      <c r="AGE41" s="138">
        <v>0.5</v>
      </c>
      <c r="AGF41" s="138">
        <v>0.5</v>
      </c>
      <c r="AGG41" s="138">
        <v>0.5</v>
      </c>
      <c r="AGH41" s="139">
        <v>0.5</v>
      </c>
      <c r="AGI41" s="140">
        <v>0.5</v>
      </c>
      <c r="AGJ41" s="138">
        <v>0.5</v>
      </c>
      <c r="AGK41" s="148"/>
      <c r="AGL41" s="305"/>
      <c r="AGM41" s="142">
        <v>0.5</v>
      </c>
      <c r="AGN41" s="138">
        <v>0.5</v>
      </c>
      <c r="AGO41" s="138">
        <v>0.5</v>
      </c>
      <c r="AGP41" s="138">
        <v>0.5</v>
      </c>
      <c r="AGQ41" s="138">
        <v>0.5</v>
      </c>
      <c r="AGR41" s="138">
        <v>0.5</v>
      </c>
      <c r="AGS41" s="138">
        <v>0.5</v>
      </c>
      <c r="AGT41" s="138">
        <v>0.5</v>
      </c>
      <c r="AGU41" s="137"/>
      <c r="AGV41" s="137"/>
      <c r="AGW41" s="137"/>
      <c r="AGX41" s="153"/>
      <c r="AGY41" s="304"/>
      <c r="AGZ41" s="152"/>
      <c r="AHA41" s="131">
        <f>SUM(AFY41:AGZ41)</f>
      </c>
      <c r="AHB41" s="303"/>
      <c r="AHC41" s="304"/>
      <c r="AHD41" s="136"/>
      <c r="AHE41" s="138">
        <v>0.5</v>
      </c>
      <c r="AHF41" s="138">
        <v>0.5</v>
      </c>
      <c r="AHG41" s="138">
        <v>0.5</v>
      </c>
      <c r="AHH41" s="138">
        <v>0.5</v>
      </c>
      <c r="AHI41" s="138">
        <v>0.5</v>
      </c>
      <c r="AHJ41" s="138">
        <v>0.5</v>
      </c>
      <c r="AHK41" s="139">
        <v>0.5</v>
      </c>
      <c r="AHL41" s="140">
        <v>0.5</v>
      </c>
      <c r="AHM41" s="138">
        <v>0.5</v>
      </c>
      <c r="AHN41" s="148"/>
      <c r="AHO41" s="305"/>
      <c r="AHP41" s="142">
        <v>0.5</v>
      </c>
      <c r="AHQ41" s="138">
        <v>0.5</v>
      </c>
      <c r="AHR41" s="138">
        <v>0.5</v>
      </c>
      <c r="AHS41" s="138">
        <v>0.5</v>
      </c>
      <c r="AHT41" s="138">
        <v>0.5</v>
      </c>
      <c r="AHU41" s="138">
        <v>0.5</v>
      </c>
      <c r="AHV41" s="138">
        <v>0.5</v>
      </c>
      <c r="AHW41" s="138">
        <v>0.5</v>
      </c>
      <c r="AHX41" s="137"/>
      <c r="AHY41" s="137"/>
      <c r="AHZ41" s="137"/>
      <c r="AIA41" s="153"/>
      <c r="AIB41" s="304"/>
      <c r="AIC41" s="152"/>
      <c r="AID41" s="131">
        <f>SUM(AHB41:AIC41)</f>
      </c>
      <c r="AIE41" s="303"/>
      <c r="AIF41" s="304"/>
      <c r="AIG41" s="136"/>
      <c r="AIH41" s="138">
        <v>0.5</v>
      </c>
      <c r="AII41" s="138">
        <v>0.5</v>
      </c>
      <c r="AIJ41" s="138">
        <v>0.5</v>
      </c>
      <c r="AIK41" s="138">
        <v>0.5</v>
      </c>
      <c r="AIL41" s="138">
        <v>0.5</v>
      </c>
      <c r="AIM41" s="138">
        <v>0.5</v>
      </c>
      <c r="AIN41" s="139">
        <v>0.5</v>
      </c>
      <c r="AIO41" s="140">
        <v>0.5</v>
      </c>
      <c r="AIP41" s="138">
        <v>0.5</v>
      </c>
      <c r="AIQ41" s="148"/>
      <c r="AIR41" s="305"/>
      <c r="AIS41" s="142">
        <v>0.5</v>
      </c>
      <c r="AIT41" s="138">
        <v>0.5</v>
      </c>
      <c r="AIU41" s="138">
        <v>0.5</v>
      </c>
      <c r="AIV41" s="138">
        <v>0.5</v>
      </c>
      <c r="AIW41" s="138">
        <v>0.5</v>
      </c>
      <c r="AIX41" s="138">
        <v>0.5</v>
      </c>
      <c r="AIY41" s="138">
        <v>0.5</v>
      </c>
      <c r="AIZ41" s="138">
        <v>0.5</v>
      </c>
      <c r="AJA41" s="137"/>
      <c r="AJB41" s="137"/>
      <c r="AJC41" s="137"/>
      <c r="AJD41" s="153"/>
      <c r="AJE41" s="304"/>
      <c r="AJF41" s="152"/>
      <c r="AJG41" s="131">
        <f>SUM(AIE41:AJF41)</f>
      </c>
      <c r="AJH41" s="303"/>
      <c r="AJI41" s="304"/>
      <c r="AJJ41" s="142">
        <v>0.5</v>
      </c>
      <c r="AJK41" s="138">
        <v>0.5</v>
      </c>
      <c r="AJL41" s="138">
        <v>0.5</v>
      </c>
      <c r="AJM41" s="138">
        <v>0.5</v>
      </c>
      <c r="AJN41" s="138">
        <v>0.5</v>
      </c>
      <c r="AJO41" s="138">
        <v>0.5</v>
      </c>
      <c r="AJP41" s="138">
        <v>0.5</v>
      </c>
      <c r="AJQ41" s="139">
        <v>0.5</v>
      </c>
      <c r="AJR41" s="140">
        <v>0.5</v>
      </c>
      <c r="AJS41" s="138">
        <v>0.5</v>
      </c>
      <c r="AJT41" s="138">
        <v>0.5</v>
      </c>
      <c r="AJU41" s="149">
        <v>0.5</v>
      </c>
      <c r="AJV41" s="136"/>
      <c r="AJW41" s="137"/>
      <c r="AJX41" s="137"/>
      <c r="AJY41" s="137"/>
      <c r="AJZ41" s="137"/>
      <c r="AKA41" s="137"/>
      <c r="AKB41" s="137"/>
      <c r="AKC41" s="137"/>
      <c r="AKD41" s="137"/>
      <c r="AKE41" s="137"/>
      <c r="AKF41" s="137"/>
      <c r="AKG41" s="153"/>
      <c r="AKH41" s="304"/>
      <c r="AKI41" s="152"/>
      <c r="AKJ41" s="131">
        <f>SUM(AJH41:AKI41)</f>
      </c>
      <c r="AKK41" s="300"/>
      <c r="AKL41" s="301"/>
      <c r="AKM41" s="123"/>
      <c r="AKN41" s="124"/>
      <c r="AKO41" s="124"/>
      <c r="AKP41" s="124"/>
      <c r="AKQ41" s="124"/>
      <c r="AKR41" s="124"/>
      <c r="AKS41" s="124"/>
      <c r="AKT41" s="125"/>
      <c r="AKU41" s="126"/>
      <c r="AKV41" s="124"/>
      <c r="AKW41" s="124"/>
      <c r="AKX41" s="127"/>
      <c r="AKY41" s="123"/>
      <c r="AKZ41" s="124"/>
      <c r="ALA41" s="124"/>
      <c r="ALB41" s="124"/>
      <c r="ALC41" s="124"/>
      <c r="ALD41" s="124"/>
      <c r="ALE41" s="124"/>
      <c r="ALF41" s="124"/>
      <c r="ALG41" s="124"/>
      <c r="ALH41" s="124"/>
      <c r="ALI41" s="124"/>
      <c r="ALJ41" s="125"/>
      <c r="ALK41" s="301"/>
      <c r="ALL41" s="151"/>
      <c r="ALM41" s="131">
        <f>SUM(AKK41:ALL41)</f>
      </c>
      <c r="ALN41" s="300"/>
      <c r="ALO41" s="301"/>
      <c r="ALP41" s="123"/>
      <c r="ALQ41" s="124"/>
      <c r="ALR41" s="124"/>
      <c r="ALS41" s="124"/>
      <c r="ALT41" s="124"/>
      <c r="ALU41" s="124"/>
      <c r="ALV41" s="124"/>
      <c r="ALW41" s="125"/>
      <c r="ALX41" s="126"/>
      <c r="ALY41" s="124"/>
      <c r="ALZ41" s="124"/>
      <c r="AMA41" s="127"/>
      <c r="AMB41" s="123"/>
      <c r="AMC41" s="124"/>
      <c r="AMD41" s="124"/>
      <c r="AME41" s="124"/>
      <c r="AMF41" s="124"/>
      <c r="AMG41" s="124"/>
      <c r="AMH41" s="124"/>
      <c r="AMI41" s="124"/>
      <c r="AMJ41" s="124"/>
      <c r="AMK41" s="124"/>
      <c r="AML41" s="124"/>
      <c r="AMM41" s="125"/>
      <c r="AMN41" s="301"/>
      <c r="AMO41" s="151"/>
      <c r="AMP41" s="131">
        <f>SUM(ALN41:AMO41)</f>
      </c>
      <c r="AMQ41" s="150">
        <f>AFX41+AHA41+AID41+AJG41+AKJ41+ALM41+AMP41</f>
      </c>
      <c r="AMR41" s="302">
        <f>(COUNTIF(AEV41:AMP41,"H")+COUNTIF(AEV41:AMP41,"S")+COUNTIF(AEV41:AMP41,"L")+COUNTIF(AEV41:AMP41,"E")+COUNTIF(AEV41:AMP41,"C"))/2</f>
      </c>
      <c r="AMS41" s="131">
        <f>AMQ41+AMR41</f>
      </c>
      <c r="AMT41" s="4"/>
      <c r="AMU41" s="4"/>
      <c r="AMV41" s="4"/>
      <c r="AMW41" s="4"/>
      <c r="AMX41" s="4"/>
      <c r="AMY41" s="4"/>
      <c r="AMZ41" s="4"/>
      <c r="ANA41" s="4"/>
      <c r="ANB41" s="4"/>
      <c r="ANC41" s="4"/>
      <c r="AND41" s="4"/>
      <c r="ANE41" s="4"/>
      <c r="ANF41" s="4"/>
      <c r="ANG41" s="4"/>
      <c r="ANH41" s="4"/>
      <c r="ANI41" s="4"/>
      <c r="ANJ41" s="13"/>
      <c r="ANK41" s="13"/>
      <c r="ANL41" s="4"/>
      <c r="ANM41" s="4"/>
      <c r="ANN41" s="4"/>
      <c r="ANO41" s="4"/>
      <c r="ANP41" s="4"/>
      <c r="ANQ41" s="4"/>
      <c r="ANR41" s="4"/>
      <c r="ANS41" s="4"/>
      <c r="ANT41" s="4"/>
      <c r="ANU41" s="4"/>
      <c r="ANV41" s="4"/>
      <c r="ANW41" s="4"/>
      <c r="ANX41" s="4"/>
      <c r="ANY41" s="4"/>
      <c r="ANZ41" s="4"/>
      <c r="AOA41" s="4"/>
      <c r="AOB41" s="4"/>
      <c r="AOC41" s="4"/>
      <c r="AOD41" s="4"/>
      <c r="AOE41" s="4"/>
      <c r="AOF41" s="4"/>
      <c r="AOG41" s="4"/>
      <c r="AOH41" s="4"/>
      <c r="AOI41" s="4"/>
      <c r="AOJ41" s="4"/>
      <c r="AOK41" s="4"/>
      <c r="AOL41" s="4"/>
      <c r="AOM41" s="4"/>
      <c r="AON41" s="4"/>
      <c r="AOO41" s="4"/>
      <c r="AOP41" s="4"/>
      <c r="AOQ41" s="4"/>
      <c r="AOR41" s="4"/>
      <c r="AOS41" s="4"/>
      <c r="AOT41" s="4"/>
      <c r="AOU41" s="4"/>
      <c r="AOV41" s="4"/>
      <c r="AOW41" s="4"/>
      <c r="AOX41" s="4"/>
      <c r="AOY41" s="4"/>
      <c r="AOZ41" s="4"/>
      <c r="APA41" s="4"/>
      <c r="APB41" s="4"/>
      <c r="APC41" s="4"/>
      <c r="APD41" s="4"/>
      <c r="APE41" s="4"/>
      <c r="APF41" s="4"/>
      <c r="APG41" s="4"/>
      <c r="APH41" s="4"/>
      <c r="API41" s="4"/>
      <c r="APJ41" s="4"/>
      <c r="APK41" s="4"/>
      <c r="APL41" s="4"/>
      <c r="APM41" s="4"/>
      <c r="APN41" s="4"/>
      <c r="APO41" s="4"/>
      <c r="APP41" s="4"/>
      <c r="APQ41" s="4"/>
      <c r="APR41" s="4"/>
      <c r="APS41" s="4"/>
      <c r="APT41" s="4"/>
      <c r="APU41" s="4"/>
      <c r="APV41" s="4"/>
      <c r="APW41" s="4"/>
      <c r="APX41" s="4"/>
      <c r="APY41" s="4"/>
      <c r="APZ41" s="4"/>
      <c r="AQA41" s="4"/>
      <c r="AQB41" s="4"/>
      <c r="AQC41" s="4"/>
      <c r="AQD41" s="4"/>
      <c r="AQE41" s="4"/>
      <c r="AQF41" s="4"/>
      <c r="AQG41" s="4"/>
      <c r="AQH41" s="4"/>
      <c r="AQI41" s="4"/>
      <c r="AQJ41" s="4"/>
      <c r="AQK41" s="4"/>
      <c r="AQL41" s="4"/>
      <c r="AQM41" s="4"/>
      <c r="AQN41" s="4"/>
      <c r="AQO41" s="4"/>
      <c r="AQP41" s="4"/>
      <c r="AQQ41" s="4"/>
      <c r="AQR41" s="4"/>
      <c r="AQS41" s="4"/>
      <c r="AQT41" s="4"/>
      <c r="AQU41" s="4"/>
      <c r="AQV41" s="4"/>
      <c r="AQW41" s="4"/>
      <c r="AQX41" s="4"/>
      <c r="AQY41" s="4"/>
      <c r="AQZ41" s="4"/>
      <c r="ARA41" s="4"/>
      <c r="ARB41" s="4"/>
      <c r="ARC41" s="4"/>
      <c r="ARD41" s="4"/>
      <c r="ARE41" s="4"/>
      <c r="ARF41" s="4"/>
      <c r="ARG41" s="4"/>
      <c r="ARH41" s="4"/>
      <c r="ARI41" s="4"/>
      <c r="ARJ41" s="4"/>
      <c r="ARK41" s="4"/>
      <c r="ARL41" s="4"/>
      <c r="ARM41" s="4"/>
      <c r="ARN41" s="4"/>
      <c r="ARO41" s="4"/>
      <c r="ARP41" s="4"/>
      <c r="ARQ41" s="4"/>
      <c r="ARR41" s="4"/>
      <c r="ARS41" s="4"/>
      <c r="ART41" s="4"/>
      <c r="ARU41" s="4"/>
      <c r="ARV41" s="4"/>
      <c r="ARW41" s="4"/>
      <c r="ARX41" s="4"/>
      <c r="ARY41" s="4"/>
      <c r="ARZ41" s="4"/>
      <c r="ASA41" s="4"/>
      <c r="ASB41" s="4"/>
      <c r="ASC41" s="4"/>
      <c r="ASD41" s="4"/>
      <c r="ASE41" s="4"/>
      <c r="ASF41" s="4"/>
      <c r="ASG41" s="4"/>
      <c r="ASH41" s="4"/>
      <c r="ASI41" s="4"/>
      <c r="ASJ41" s="4"/>
      <c r="ASK41" s="4"/>
      <c r="ASL41" s="4"/>
      <c r="ASM41" s="4"/>
      <c r="ASN41" s="4"/>
      <c r="ASO41" s="4"/>
      <c r="ASP41" s="4"/>
      <c r="ASQ41" s="4"/>
      <c r="ASR41" s="4"/>
      <c r="ASS41" s="4"/>
      <c r="AST41" s="4"/>
      <c r="ASU41" s="4"/>
    </row>
    <row r="42" ht="15" customHeight="1" spans="1:1191" x14ac:dyDescent="0.25">
      <c r="A42" s="118"/>
      <c r="B42" s="119" t="s">
        <v>80</v>
      </c>
      <c r="C42" s="321" t="s">
        <v>81</v>
      </c>
      <c r="D42" s="121"/>
      <c r="E42" s="122"/>
      <c r="F42" s="123"/>
      <c r="G42" s="124"/>
      <c r="H42" s="124"/>
      <c r="I42" s="124"/>
      <c r="J42" s="124"/>
      <c r="K42" s="124"/>
      <c r="L42" s="124"/>
      <c r="M42" s="125"/>
      <c r="N42" s="126"/>
      <c r="O42" s="124"/>
      <c r="P42" s="124"/>
      <c r="Q42" s="127"/>
      <c r="R42" s="123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5"/>
      <c r="AD42" s="301"/>
      <c r="AE42" s="151"/>
      <c r="AF42" s="131">
        <f>SUM(D42:AE42)</f>
      </c>
      <c r="AG42" s="121"/>
      <c r="AH42" s="122"/>
      <c r="AI42" s="123"/>
      <c r="AJ42" s="124"/>
      <c r="AK42" s="124"/>
      <c r="AL42" s="124"/>
      <c r="AM42" s="124"/>
      <c r="AN42" s="124"/>
      <c r="AO42" s="124"/>
      <c r="AP42" s="125"/>
      <c r="AQ42" s="126"/>
      <c r="AR42" s="124"/>
      <c r="AS42" s="124"/>
      <c r="AT42" s="127"/>
      <c r="AU42" s="123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5"/>
      <c r="BG42" s="301"/>
      <c r="BH42" s="151"/>
      <c r="BI42" s="131">
        <f>SUM(AG42:BH42)</f>
      </c>
      <c r="BJ42" s="121"/>
      <c r="BK42" s="122"/>
      <c r="BL42" s="123"/>
      <c r="BM42" s="124"/>
      <c r="BN42" s="124"/>
      <c r="BO42" s="124"/>
      <c r="BP42" s="124"/>
      <c r="BQ42" s="124"/>
      <c r="BR42" s="124"/>
      <c r="BS42" s="125"/>
      <c r="BT42" s="126"/>
      <c r="BU42" s="124"/>
      <c r="BV42" s="124"/>
      <c r="BW42" s="127"/>
      <c r="BX42" s="123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5"/>
      <c r="CJ42" s="301"/>
      <c r="CK42" s="151"/>
      <c r="CL42" s="131">
        <f>SUM(BJ42:CK42)</f>
      </c>
      <c r="CM42" s="121"/>
      <c r="CN42" s="122"/>
      <c r="CO42" s="123"/>
      <c r="CP42" s="124"/>
      <c r="CQ42" s="124"/>
      <c r="CR42" s="124"/>
      <c r="CS42" s="124"/>
      <c r="CT42" s="124"/>
      <c r="CU42" s="124"/>
      <c r="CV42" s="125"/>
      <c r="CW42" s="126"/>
      <c r="CX42" s="124"/>
      <c r="CY42" s="124"/>
      <c r="CZ42" s="127"/>
      <c r="DA42" s="123"/>
      <c r="DB42" s="124"/>
      <c r="DC42" s="124"/>
      <c r="DD42" s="124"/>
      <c r="DE42" s="124"/>
      <c r="DF42" s="124"/>
      <c r="DG42" s="124"/>
      <c r="DH42" s="124"/>
      <c r="DI42" s="124"/>
      <c r="DJ42" s="124"/>
      <c r="DK42" s="124"/>
      <c r="DL42" s="125"/>
      <c r="DM42" s="301"/>
      <c r="DN42" s="151"/>
      <c r="DO42" s="131">
        <f>SUM(CM42:DN42)</f>
      </c>
      <c r="DP42" s="121"/>
      <c r="DQ42" s="122"/>
      <c r="DR42" s="123"/>
      <c r="DS42" s="124"/>
      <c r="DT42" s="124"/>
      <c r="DU42" s="124"/>
      <c r="DV42" s="124"/>
      <c r="DW42" s="124"/>
      <c r="DX42" s="124"/>
      <c r="DY42" s="125"/>
      <c r="DZ42" s="126"/>
      <c r="EA42" s="124"/>
      <c r="EB42" s="124"/>
      <c r="EC42" s="127"/>
      <c r="ED42" s="123"/>
      <c r="EE42" s="124"/>
      <c r="EF42" s="124"/>
      <c r="EG42" s="124"/>
      <c r="EH42" s="124"/>
      <c r="EI42" s="124"/>
      <c r="EJ42" s="124"/>
      <c r="EK42" s="124"/>
      <c r="EL42" s="124"/>
      <c r="EM42" s="124"/>
      <c r="EN42" s="124"/>
      <c r="EO42" s="125"/>
      <c r="EP42" s="301"/>
      <c r="EQ42" s="151"/>
      <c r="ER42" s="131">
        <f>SUM(DP42:EQ42)</f>
      </c>
      <c r="ES42" s="121"/>
      <c r="ET42" s="122"/>
      <c r="EU42" s="123"/>
      <c r="EV42" s="124"/>
      <c r="EW42" s="124"/>
      <c r="EX42" s="124"/>
      <c r="EY42" s="124"/>
      <c r="EZ42" s="124"/>
      <c r="FA42" s="124"/>
      <c r="FB42" s="125"/>
      <c r="FC42" s="126"/>
      <c r="FD42" s="124"/>
      <c r="FE42" s="124"/>
      <c r="FF42" s="127"/>
      <c r="FG42" s="123"/>
      <c r="FH42" s="124"/>
      <c r="FI42" s="124"/>
      <c r="FJ42" s="124"/>
      <c r="FK42" s="124"/>
      <c r="FL42" s="124"/>
      <c r="FM42" s="124"/>
      <c r="FN42" s="124"/>
      <c r="FO42" s="124"/>
      <c r="FP42" s="124"/>
      <c r="FQ42" s="124"/>
      <c r="FR42" s="125"/>
      <c r="FS42" s="301"/>
      <c r="FT42" s="151"/>
      <c r="FU42" s="131">
        <f>SUM(ES42:FT42)</f>
      </c>
      <c r="FV42" s="121"/>
      <c r="FW42" s="122"/>
      <c r="FX42" s="123"/>
      <c r="FY42" s="124"/>
      <c r="FZ42" s="124"/>
      <c r="GA42" s="124"/>
      <c r="GB42" s="124"/>
      <c r="GC42" s="124"/>
      <c r="GD42" s="124"/>
      <c r="GE42" s="125"/>
      <c r="GF42" s="126"/>
      <c r="GG42" s="124"/>
      <c r="GH42" s="124"/>
      <c r="GI42" s="127"/>
      <c r="GJ42" s="123"/>
      <c r="GK42" s="124"/>
      <c r="GL42" s="124"/>
      <c r="GM42" s="124"/>
      <c r="GN42" s="124"/>
      <c r="GO42" s="124"/>
      <c r="GP42" s="124"/>
      <c r="GQ42" s="124"/>
      <c r="GR42" s="124"/>
      <c r="GS42" s="124"/>
      <c r="GT42" s="124"/>
      <c r="GU42" s="125"/>
      <c r="GV42" s="301"/>
      <c r="GW42" s="151"/>
      <c r="GX42" s="131">
        <f>SUM(FV42:GW42)</f>
      </c>
      <c r="GY42" s="150">
        <f>AF42+BI42+CL42+DO42+ER42+FU42+GX42</f>
      </c>
      <c r="GZ42" s="302">
        <f>(COUNTIF(D42:GX42,"H")+COUNTIF(D42:GX42,"S")+COUNTIF(D42:GX42,"L")+COUNTIF(D42:GX42,"E")+COUNTIF(D42:GX42,"C"))/2</f>
      </c>
      <c r="HA42" s="131">
        <f>GY42+GZ42</f>
      </c>
      <c r="HB42" s="134"/>
      <c r="HC42" s="135"/>
      <c r="HD42" s="136"/>
      <c r="HE42" s="137"/>
      <c r="HF42" s="143">
        <v>0.5</v>
      </c>
      <c r="HG42" s="143">
        <v>0.5</v>
      </c>
      <c r="HH42" s="143">
        <v>0.5</v>
      </c>
      <c r="HI42" s="143">
        <v>0.5</v>
      </c>
      <c r="HJ42" s="138">
        <v>0.5</v>
      </c>
      <c r="HK42" s="139">
        <v>0.5</v>
      </c>
      <c r="HL42" s="155"/>
      <c r="HM42" s="137"/>
      <c r="HN42" s="138">
        <v>0.5</v>
      </c>
      <c r="HO42" s="149">
        <v>0.5</v>
      </c>
      <c r="HP42" s="142">
        <v>0.5</v>
      </c>
      <c r="HQ42" s="138">
        <v>0.5</v>
      </c>
      <c r="HR42" s="143">
        <v>0.5</v>
      </c>
      <c r="HS42" s="143">
        <v>0.5</v>
      </c>
      <c r="HT42" s="143">
        <v>0.5</v>
      </c>
      <c r="HU42" s="143">
        <v>0.5</v>
      </c>
      <c r="HV42" s="143">
        <v>0.5</v>
      </c>
      <c r="HW42" s="143">
        <v>0.5</v>
      </c>
      <c r="HX42" s="137"/>
      <c r="HY42" s="137"/>
      <c r="HZ42" s="137"/>
      <c r="IA42" s="153"/>
      <c r="IB42" s="304"/>
      <c r="IC42" s="152"/>
      <c r="ID42" s="131">
        <f>SUM(HB42:IC42)</f>
      </c>
      <c r="IE42" s="134"/>
      <c r="IF42" s="135"/>
      <c r="IG42" s="136"/>
      <c r="IH42" s="137"/>
      <c r="II42" s="143">
        <v>0.5</v>
      </c>
      <c r="IJ42" s="143">
        <v>0.5</v>
      </c>
      <c r="IK42" s="143">
        <v>0.5</v>
      </c>
      <c r="IL42" s="143">
        <v>0.5</v>
      </c>
      <c r="IM42" s="138">
        <v>0.5</v>
      </c>
      <c r="IN42" s="139">
        <v>0.5</v>
      </c>
      <c r="IO42" s="155"/>
      <c r="IP42" s="137"/>
      <c r="IQ42" s="138">
        <v>0.5</v>
      </c>
      <c r="IR42" s="149">
        <v>0.5</v>
      </c>
      <c r="IS42" s="142">
        <v>0.5</v>
      </c>
      <c r="IT42" s="138">
        <v>0.5</v>
      </c>
      <c r="IU42" s="143">
        <v>0.5</v>
      </c>
      <c r="IV42" s="143">
        <v>0.5</v>
      </c>
      <c r="IW42" s="143">
        <v>0.5</v>
      </c>
      <c r="IX42" s="143">
        <v>0.5</v>
      </c>
      <c r="IY42" s="143">
        <v>0.5</v>
      </c>
      <c r="IZ42" s="143">
        <v>0.5</v>
      </c>
      <c r="JA42" s="137"/>
      <c r="JB42" s="137"/>
      <c r="JC42" s="137"/>
      <c r="JD42" s="153"/>
      <c r="JE42" s="304"/>
      <c r="JF42" s="152"/>
      <c r="JG42" s="131">
        <f>SUM(IE42:JF42)</f>
      </c>
      <c r="JH42" s="134"/>
      <c r="JI42" s="135"/>
      <c r="JJ42" s="136"/>
      <c r="JK42" s="137"/>
      <c r="JL42" s="143">
        <v>0.5</v>
      </c>
      <c r="JM42" s="143">
        <v>0.5</v>
      </c>
      <c r="JN42" s="143">
        <v>0.5</v>
      </c>
      <c r="JO42" s="143">
        <v>0.5</v>
      </c>
      <c r="JP42" s="138">
        <v>0.5</v>
      </c>
      <c r="JQ42" s="139">
        <v>0.5</v>
      </c>
      <c r="JR42" s="155"/>
      <c r="JS42" s="137"/>
      <c r="JT42" s="138">
        <v>0.5</v>
      </c>
      <c r="JU42" s="149">
        <v>0.5</v>
      </c>
      <c r="JV42" s="142">
        <v>0.5</v>
      </c>
      <c r="JW42" s="138">
        <v>0.5</v>
      </c>
      <c r="JX42" s="143">
        <v>0.5</v>
      </c>
      <c r="JY42" s="143">
        <v>0.5</v>
      </c>
      <c r="JZ42" s="143">
        <v>0.5</v>
      </c>
      <c r="KA42" s="143">
        <v>0.5</v>
      </c>
      <c r="KB42" s="143">
        <v>0.5</v>
      </c>
      <c r="KC42" s="143">
        <v>0.5</v>
      </c>
      <c r="KD42" s="137"/>
      <c r="KE42" s="137"/>
      <c r="KF42" s="137"/>
      <c r="KG42" s="153"/>
      <c r="KH42" s="304"/>
      <c r="KI42" s="152"/>
      <c r="KJ42" s="131">
        <f>SUM(JH42:KI42)</f>
      </c>
      <c r="KK42" s="134"/>
      <c r="KL42" s="135"/>
      <c r="KM42" s="136"/>
      <c r="KN42" s="137"/>
      <c r="KO42" s="143">
        <v>0.5</v>
      </c>
      <c r="KP42" s="143">
        <v>0.5</v>
      </c>
      <c r="KQ42" s="143">
        <v>0.5</v>
      </c>
      <c r="KR42" s="143">
        <v>0.5</v>
      </c>
      <c r="KS42" s="138">
        <v>0.5</v>
      </c>
      <c r="KT42" s="139">
        <v>0.5</v>
      </c>
      <c r="KU42" s="155"/>
      <c r="KV42" s="137"/>
      <c r="KW42" s="138">
        <v>0.5</v>
      </c>
      <c r="KX42" s="149">
        <v>0.5</v>
      </c>
      <c r="KY42" s="142">
        <v>0.5</v>
      </c>
      <c r="KZ42" s="138">
        <v>0.5</v>
      </c>
      <c r="LA42" s="143">
        <v>0.5</v>
      </c>
      <c r="LB42" s="143">
        <v>0.5</v>
      </c>
      <c r="LC42" s="143">
        <v>0.5</v>
      </c>
      <c r="LD42" s="143">
        <v>0.5</v>
      </c>
      <c r="LE42" s="143">
        <v>0.5</v>
      </c>
      <c r="LF42" s="143">
        <v>0.5</v>
      </c>
      <c r="LG42" s="137"/>
      <c r="LH42" s="137"/>
      <c r="LI42" s="137"/>
      <c r="LJ42" s="153"/>
      <c r="LK42" s="304"/>
      <c r="LL42" s="152"/>
      <c r="LM42" s="131">
        <f>SUM(KK42:LL42)</f>
      </c>
      <c r="LN42" s="134"/>
      <c r="LO42" s="135"/>
      <c r="LP42" s="136"/>
      <c r="LQ42" s="137"/>
      <c r="LR42" s="143">
        <v>0.5</v>
      </c>
      <c r="LS42" s="143">
        <v>0.5</v>
      </c>
      <c r="LT42" s="143">
        <v>0.5</v>
      </c>
      <c r="LU42" s="143">
        <v>0.5</v>
      </c>
      <c r="LV42" s="138">
        <v>0.5</v>
      </c>
      <c r="LW42" s="139">
        <v>0.5</v>
      </c>
      <c r="LX42" s="155"/>
      <c r="LY42" s="137"/>
      <c r="LZ42" s="138">
        <v>0.5</v>
      </c>
      <c r="MA42" s="149">
        <v>0.5</v>
      </c>
      <c r="MB42" s="142">
        <v>0.5</v>
      </c>
      <c r="MC42" s="138">
        <v>0.5</v>
      </c>
      <c r="MD42" s="143">
        <v>0.5</v>
      </c>
      <c r="ME42" s="143">
        <v>0.5</v>
      </c>
      <c r="MF42" s="143">
        <v>0.5</v>
      </c>
      <c r="MG42" s="143">
        <v>0.5</v>
      </c>
      <c r="MH42" s="143">
        <v>0.5</v>
      </c>
      <c r="MI42" s="143">
        <v>0.5</v>
      </c>
      <c r="MJ42" s="137"/>
      <c r="MK42" s="137"/>
      <c r="ML42" s="137"/>
      <c r="MM42" s="153"/>
      <c r="MN42" s="304"/>
      <c r="MO42" s="152"/>
      <c r="MP42" s="131">
        <f>SUM(LN42:MO42)</f>
      </c>
      <c r="MQ42" s="121"/>
      <c r="MR42" s="122"/>
      <c r="MS42" s="123"/>
      <c r="MT42" s="124"/>
      <c r="MU42" s="124"/>
      <c r="MV42" s="124"/>
      <c r="MW42" s="124"/>
      <c r="MX42" s="124"/>
      <c r="MY42" s="124"/>
      <c r="MZ42" s="125"/>
      <c r="NA42" s="126"/>
      <c r="NB42" s="124"/>
      <c r="NC42" s="124"/>
      <c r="ND42" s="127"/>
      <c r="NE42" s="123"/>
      <c r="NF42" s="124"/>
      <c r="NG42" s="124"/>
      <c r="NH42" s="124"/>
      <c r="NI42" s="124"/>
      <c r="NJ42" s="124"/>
      <c r="NK42" s="124"/>
      <c r="NL42" s="124"/>
      <c r="NM42" s="124"/>
      <c r="NN42" s="124"/>
      <c r="NO42" s="124"/>
      <c r="NP42" s="125"/>
      <c r="NQ42" s="301"/>
      <c r="NR42" s="151"/>
      <c r="NS42" s="131">
        <f>SUM(MQ42:NR42)</f>
      </c>
      <c r="NT42" s="121"/>
      <c r="NU42" s="122"/>
      <c r="NV42" s="123"/>
      <c r="NW42" s="124"/>
      <c r="NX42" s="124"/>
      <c r="NY42" s="124"/>
      <c r="NZ42" s="124"/>
      <c r="OA42" s="124"/>
      <c r="OB42" s="124"/>
      <c r="OC42" s="125"/>
      <c r="OD42" s="126"/>
      <c r="OE42" s="124"/>
      <c r="OF42" s="124"/>
      <c r="OG42" s="127"/>
      <c r="OH42" s="123"/>
      <c r="OI42" s="124"/>
      <c r="OJ42" s="124"/>
      <c r="OK42" s="124"/>
      <c r="OL42" s="124"/>
      <c r="OM42" s="124"/>
      <c r="ON42" s="124"/>
      <c r="OO42" s="124"/>
      <c r="OP42" s="124"/>
      <c r="OQ42" s="124"/>
      <c r="OR42" s="124"/>
      <c r="OS42" s="125"/>
      <c r="OT42" s="301"/>
      <c r="OU42" s="151"/>
      <c r="OV42" s="131">
        <f>SUM(NT42:OU42)</f>
      </c>
      <c r="OW42" s="150">
        <f>ID42+JG42+KJ42+LM42+MP42+NS42+OV42</f>
      </c>
      <c r="OX42" s="302">
        <f>(COUNTIF(HB42:OV42,"H")+COUNTIF(HB42:OV42,"S")+COUNTIF(HB42:OV42,"L")+COUNTIF(HB42:OV42,"E")+COUNTIF(HB42:OV42,"C"))/2</f>
      </c>
      <c r="OY42" s="131">
        <f>OW42+OX42</f>
      </c>
      <c r="OZ42" s="134"/>
      <c r="PA42" s="135"/>
      <c r="PB42" s="136"/>
      <c r="PC42" s="137"/>
      <c r="PD42" s="143">
        <v>0.5</v>
      </c>
      <c r="PE42" s="143">
        <v>0.5</v>
      </c>
      <c r="PF42" s="143">
        <v>0.5</v>
      </c>
      <c r="PG42" s="143">
        <v>0.5</v>
      </c>
      <c r="PH42" s="138">
        <v>0.5</v>
      </c>
      <c r="PI42" s="139">
        <v>0.5</v>
      </c>
      <c r="PJ42" s="140">
        <v>0.5</v>
      </c>
      <c r="PK42" s="138">
        <v>0.5</v>
      </c>
      <c r="PL42" s="137"/>
      <c r="PM42" s="141"/>
      <c r="PN42" s="142">
        <v>0.5</v>
      </c>
      <c r="PO42" s="138">
        <v>0.5</v>
      </c>
      <c r="PP42" s="143">
        <v>0.5</v>
      </c>
      <c r="PQ42" s="143">
        <v>0.5</v>
      </c>
      <c r="PR42" s="143">
        <v>0.5</v>
      </c>
      <c r="PS42" s="143">
        <v>0.5</v>
      </c>
      <c r="PT42" s="143">
        <v>0.5</v>
      </c>
      <c r="PU42" s="143">
        <v>0.5</v>
      </c>
      <c r="PV42" s="137"/>
      <c r="PW42" s="137"/>
      <c r="PX42" s="137"/>
      <c r="PY42" s="153"/>
      <c r="PZ42" s="304"/>
      <c r="QA42" s="152"/>
      <c r="QB42" s="131">
        <f>SUM(OZ42:QA42)</f>
      </c>
      <c r="QC42" s="134"/>
      <c r="QD42" s="135"/>
      <c r="QE42" s="136"/>
      <c r="QF42" s="137"/>
      <c r="QG42" s="143">
        <v>0.5</v>
      </c>
      <c r="QH42" s="143">
        <v>0.5</v>
      </c>
      <c r="QI42" s="143">
        <v>0.5</v>
      </c>
      <c r="QJ42" s="143">
        <v>0.5</v>
      </c>
      <c r="QK42" s="138">
        <v>0.5</v>
      </c>
      <c r="QL42" s="139">
        <v>0.5</v>
      </c>
      <c r="QM42" s="140">
        <v>0.5</v>
      </c>
      <c r="QN42" s="138">
        <v>0.5</v>
      </c>
      <c r="QO42" s="137"/>
      <c r="QP42" s="141"/>
      <c r="QQ42" s="142">
        <v>0.5</v>
      </c>
      <c r="QR42" s="138">
        <v>0.5</v>
      </c>
      <c r="QS42" s="143">
        <v>0.5</v>
      </c>
      <c r="QT42" s="143">
        <v>0.5</v>
      </c>
      <c r="QU42" s="143">
        <v>0.5</v>
      </c>
      <c r="QV42" s="143">
        <v>0.5</v>
      </c>
      <c r="QW42" s="143">
        <v>0.5</v>
      </c>
      <c r="QX42" s="143">
        <v>0.5</v>
      </c>
      <c r="QY42" s="137"/>
      <c r="QZ42" s="137"/>
      <c r="RA42" s="137"/>
      <c r="RB42" s="153"/>
      <c r="RC42" s="304"/>
      <c r="RD42" s="152"/>
      <c r="RE42" s="131">
        <f>SUM(QC42:RD42)</f>
      </c>
      <c r="RF42" s="134"/>
      <c r="RG42" s="135"/>
      <c r="RH42" s="136"/>
      <c r="RI42" s="137"/>
      <c r="RJ42" s="143">
        <v>0.5</v>
      </c>
      <c r="RK42" s="143">
        <v>0.5</v>
      </c>
      <c r="RL42" s="143">
        <v>0.5</v>
      </c>
      <c r="RM42" s="143">
        <v>0.5</v>
      </c>
      <c r="RN42" s="138">
        <v>0.5</v>
      </c>
      <c r="RO42" s="139">
        <v>0.5</v>
      </c>
      <c r="RP42" s="140">
        <v>0.5</v>
      </c>
      <c r="RQ42" s="138">
        <v>0.5</v>
      </c>
      <c r="RR42" s="137"/>
      <c r="RS42" s="141"/>
      <c r="RT42" s="142">
        <v>0.5</v>
      </c>
      <c r="RU42" s="138">
        <v>0.5</v>
      </c>
      <c r="RV42" s="143">
        <v>0.5</v>
      </c>
      <c r="RW42" s="143">
        <v>0.5</v>
      </c>
      <c r="RX42" s="143">
        <v>0.5</v>
      </c>
      <c r="RY42" s="143">
        <v>0.5</v>
      </c>
      <c r="RZ42" s="143">
        <v>0.5</v>
      </c>
      <c r="SA42" s="143">
        <v>0.5</v>
      </c>
      <c r="SB42" s="137"/>
      <c r="SC42" s="137"/>
      <c r="SD42" s="137"/>
      <c r="SE42" s="153"/>
      <c r="SF42" s="304"/>
      <c r="SG42" s="152"/>
      <c r="SH42" s="131">
        <f>SUM(RF42:SG42)</f>
      </c>
      <c r="SI42" s="134"/>
      <c r="SJ42" s="135"/>
      <c r="SK42" s="136"/>
      <c r="SL42" s="137"/>
      <c r="SM42" s="143">
        <v>0.5</v>
      </c>
      <c r="SN42" s="143">
        <v>0.5</v>
      </c>
      <c r="SO42" s="143">
        <v>0.5</v>
      </c>
      <c r="SP42" s="143">
        <v>0.5</v>
      </c>
      <c r="SQ42" s="138">
        <v>0.5</v>
      </c>
      <c r="SR42" s="139">
        <v>0.5</v>
      </c>
      <c r="SS42" s="140">
        <v>0.5</v>
      </c>
      <c r="ST42" s="138">
        <v>0.5</v>
      </c>
      <c r="SU42" s="137"/>
      <c r="SV42" s="141"/>
      <c r="SW42" s="142">
        <v>0.5</v>
      </c>
      <c r="SX42" s="138">
        <v>0.5</v>
      </c>
      <c r="SY42" s="143">
        <v>0.5</v>
      </c>
      <c r="SZ42" s="143">
        <v>0.5</v>
      </c>
      <c r="TA42" s="143">
        <v>0.5</v>
      </c>
      <c r="TB42" s="143">
        <v>0.5</v>
      </c>
      <c r="TC42" s="143">
        <v>0.5</v>
      </c>
      <c r="TD42" s="143">
        <v>0.5</v>
      </c>
      <c r="TE42" s="137"/>
      <c r="TF42" s="137"/>
      <c r="TG42" s="137"/>
      <c r="TH42" s="153"/>
      <c r="TI42" s="304"/>
      <c r="TJ42" s="152"/>
      <c r="TK42" s="131">
        <f>SUM(SI42:TJ42)</f>
      </c>
      <c r="TL42" s="134"/>
      <c r="TM42" s="135"/>
      <c r="TN42" s="136"/>
      <c r="TO42" s="137"/>
      <c r="TP42" s="143">
        <v>0.5</v>
      </c>
      <c r="TQ42" s="143">
        <v>0.5</v>
      </c>
      <c r="TR42" s="143">
        <v>0.5</v>
      </c>
      <c r="TS42" s="143">
        <v>0.5</v>
      </c>
      <c r="TT42" s="138">
        <v>0.5</v>
      </c>
      <c r="TU42" s="139">
        <v>0.5</v>
      </c>
      <c r="TV42" s="140">
        <v>0.5</v>
      </c>
      <c r="TW42" s="138">
        <v>0.5</v>
      </c>
      <c r="TX42" s="137"/>
      <c r="TY42" s="141"/>
      <c r="TZ42" s="142">
        <v>0.5</v>
      </c>
      <c r="UA42" s="138">
        <v>0.5</v>
      </c>
      <c r="UB42" s="143">
        <v>0.5</v>
      </c>
      <c r="UC42" s="143">
        <v>0.5</v>
      </c>
      <c r="UD42" s="143">
        <v>0.5</v>
      </c>
      <c r="UE42" s="143">
        <v>0.5</v>
      </c>
      <c r="UF42" s="143">
        <v>0.5</v>
      </c>
      <c r="UG42" s="143">
        <v>0.5</v>
      </c>
      <c r="UH42" s="137"/>
      <c r="UI42" s="137"/>
      <c r="UJ42" s="137"/>
      <c r="UK42" s="153"/>
      <c r="UL42" s="304"/>
      <c r="UM42" s="152"/>
      <c r="UN42" s="131">
        <f>SUM(TL42:UM42)</f>
      </c>
      <c r="UO42" s="121"/>
      <c r="UP42" s="122"/>
      <c r="UQ42" s="123"/>
      <c r="UR42" s="124"/>
      <c r="US42" s="124"/>
      <c r="UT42" s="124"/>
      <c r="UU42" s="124"/>
      <c r="UV42" s="124"/>
      <c r="UW42" s="124"/>
      <c r="UX42" s="125"/>
      <c r="UY42" s="126"/>
      <c r="UZ42" s="124"/>
      <c r="VA42" s="124"/>
      <c r="VB42" s="127"/>
      <c r="VC42" s="123"/>
      <c r="VD42" s="124"/>
      <c r="VE42" s="124"/>
      <c r="VF42" s="124"/>
      <c r="VG42" s="124"/>
      <c r="VH42" s="124"/>
      <c r="VI42" s="124"/>
      <c r="VJ42" s="124"/>
      <c r="VK42" s="124"/>
      <c r="VL42" s="124"/>
      <c r="VM42" s="124"/>
      <c r="VN42" s="125"/>
      <c r="VO42" s="301"/>
      <c r="VP42" s="151"/>
      <c r="VQ42" s="131">
        <f>SUM(UO42:VP42)</f>
      </c>
      <c r="VR42" s="121"/>
      <c r="VS42" s="122"/>
      <c r="VT42" s="123"/>
      <c r="VU42" s="124"/>
      <c r="VV42" s="124"/>
      <c r="VW42" s="124"/>
      <c r="VX42" s="124"/>
      <c r="VY42" s="124"/>
      <c r="VZ42" s="124"/>
      <c r="WA42" s="125"/>
      <c r="WB42" s="126"/>
      <c r="WC42" s="124"/>
      <c r="WD42" s="124"/>
      <c r="WE42" s="127"/>
      <c r="WF42" s="123"/>
      <c r="WG42" s="124"/>
      <c r="WH42" s="124"/>
      <c r="WI42" s="124"/>
      <c r="WJ42" s="124"/>
      <c r="WK42" s="124"/>
      <c r="WL42" s="124"/>
      <c r="WM42" s="124"/>
      <c r="WN42" s="124"/>
      <c r="WO42" s="124"/>
      <c r="WP42" s="124"/>
      <c r="WQ42" s="125"/>
      <c r="WR42" s="301"/>
      <c r="WS42" s="151"/>
      <c r="WT42" s="131">
        <f>SUM(VR42:WS42)</f>
      </c>
      <c r="WU42" s="150">
        <f>QB42+RE42+SH42+TK42+UN42+VQ42+WT42</f>
      </c>
      <c r="WV42" s="302">
        <f>(COUNTIF(OZ42:WT42,"H")+COUNTIF(OZ42:WT42,"S")+COUNTIF(OZ42:WT42,"L")+COUNTIF(OZ42:WT42,"E")+COUNTIF(OZ42:WT42,"C"))/2</f>
      </c>
      <c r="WW42" s="131">
        <f>WU42+WV42</f>
      </c>
      <c r="WX42" s="134"/>
      <c r="WY42" s="135"/>
      <c r="WZ42" s="136"/>
      <c r="XA42" s="137"/>
      <c r="XB42" s="137"/>
      <c r="XC42" s="137"/>
      <c r="XD42" s="307">
        <v>0.5</v>
      </c>
      <c r="XE42" s="307">
        <v>0.5</v>
      </c>
      <c r="XF42" s="307">
        <v>0.5</v>
      </c>
      <c r="XG42" s="314">
        <v>0.5</v>
      </c>
      <c r="XH42" s="319">
        <v>0.5</v>
      </c>
      <c r="XI42" s="307">
        <v>0.5</v>
      </c>
      <c r="XJ42" s="137"/>
      <c r="XK42" s="141"/>
      <c r="XL42" s="313">
        <v>0.5</v>
      </c>
      <c r="XM42" s="308">
        <v>0.5</v>
      </c>
      <c r="XN42" s="308">
        <v>0.5</v>
      </c>
      <c r="XO42" s="308">
        <v>0.5</v>
      </c>
      <c r="XP42" s="308">
        <v>0.5</v>
      </c>
      <c r="XQ42" s="308">
        <v>0.5</v>
      </c>
      <c r="XR42" s="308">
        <v>0.5</v>
      </c>
      <c r="XS42" s="308">
        <v>0.5</v>
      </c>
      <c r="XT42" s="308">
        <v>0.5</v>
      </c>
      <c r="XU42" s="308">
        <v>0.5</v>
      </c>
      <c r="XV42" s="137"/>
      <c r="XW42" s="153"/>
      <c r="XX42" s="304"/>
      <c r="XY42" s="152"/>
      <c r="XZ42" s="131">
        <f>SUM(WX42:XY42)</f>
      </c>
      <c r="YA42" s="134"/>
      <c r="YB42" s="322">
        <v>0.5</v>
      </c>
      <c r="YC42" s="313">
        <v>0.5</v>
      </c>
      <c r="YD42" s="308">
        <v>0.5</v>
      </c>
      <c r="YE42" s="308">
        <v>0.5</v>
      </c>
      <c r="YF42" s="308">
        <v>0.5</v>
      </c>
      <c r="YG42" s="308">
        <v>0.5</v>
      </c>
      <c r="YH42" s="308">
        <v>0.5</v>
      </c>
      <c r="YI42" s="308">
        <v>0.5</v>
      </c>
      <c r="YJ42" s="309">
        <v>0.5</v>
      </c>
      <c r="YK42" s="155"/>
      <c r="YL42" s="308">
        <v>0.5</v>
      </c>
      <c r="YM42" s="308">
        <v>0.5</v>
      </c>
      <c r="YN42" s="312">
        <v>0.5</v>
      </c>
      <c r="YO42" s="313">
        <v>0.5</v>
      </c>
      <c r="YP42" s="308">
        <v>0.5</v>
      </c>
      <c r="YQ42" s="308">
        <v>0.5</v>
      </c>
      <c r="YR42" s="308">
        <v>0.5</v>
      </c>
      <c r="YS42" s="308">
        <v>0.5</v>
      </c>
      <c r="YT42" s="308">
        <v>0.5</v>
      </c>
      <c r="YU42" s="137"/>
      <c r="YV42" s="137"/>
      <c r="YW42" s="137"/>
      <c r="YX42" s="137"/>
      <c r="YY42" s="137"/>
      <c r="YZ42" s="153"/>
      <c r="ZA42" s="304"/>
      <c r="ZB42" s="152"/>
      <c r="ZC42" s="131">
        <f>SUM(YA42:ZB42)</f>
      </c>
      <c r="ZD42" s="134"/>
      <c r="ZE42" s="322">
        <v>0.5</v>
      </c>
      <c r="ZF42" s="313">
        <v>0.5</v>
      </c>
      <c r="ZG42" s="308">
        <v>0.5</v>
      </c>
      <c r="ZH42" s="308">
        <v>0.5</v>
      </c>
      <c r="ZI42" s="308">
        <v>0.5</v>
      </c>
      <c r="ZJ42" s="308">
        <v>0.5</v>
      </c>
      <c r="ZK42" s="308">
        <v>0.5</v>
      </c>
      <c r="ZL42" s="308">
        <v>0.5</v>
      </c>
      <c r="ZM42" s="309">
        <v>0.5</v>
      </c>
      <c r="ZN42" s="155"/>
      <c r="ZO42" s="308">
        <v>0.5</v>
      </c>
      <c r="ZP42" s="308">
        <v>0.5</v>
      </c>
      <c r="ZQ42" s="312">
        <v>0.5</v>
      </c>
      <c r="ZR42" s="313">
        <v>0.5</v>
      </c>
      <c r="ZS42" s="308">
        <v>0.5</v>
      </c>
      <c r="ZT42" s="308">
        <v>0.5</v>
      </c>
      <c r="ZU42" s="308">
        <v>0.5</v>
      </c>
      <c r="ZV42" s="308">
        <v>0.5</v>
      </c>
      <c r="ZW42" s="308">
        <v>0.5</v>
      </c>
      <c r="ZX42" s="137"/>
      <c r="ZY42" s="137"/>
      <c r="ZZ42" s="137"/>
      <c r="AAA42" s="137"/>
      <c r="AAB42" s="137"/>
      <c r="AAC42" s="153"/>
      <c r="AAD42" s="304"/>
      <c r="AAE42" s="152"/>
      <c r="AAF42" s="131">
        <f>SUM(ZD42:AAE42)</f>
      </c>
      <c r="AAG42" s="134"/>
      <c r="AAH42" s="322">
        <v>0.5</v>
      </c>
      <c r="AAI42" s="313">
        <v>0.5</v>
      </c>
      <c r="AAJ42" s="308">
        <v>0.5</v>
      </c>
      <c r="AAK42" s="308">
        <v>0.5</v>
      </c>
      <c r="AAL42" s="308">
        <v>0.5</v>
      </c>
      <c r="AAM42" s="308">
        <v>0.5</v>
      </c>
      <c r="AAN42" s="308">
        <v>0.5</v>
      </c>
      <c r="AAO42" s="308">
        <v>0.5</v>
      </c>
      <c r="AAP42" s="309">
        <v>0.5</v>
      </c>
      <c r="AAQ42" s="320">
        <v>0.5</v>
      </c>
      <c r="AAR42" s="308">
        <v>0.5</v>
      </c>
      <c r="AAS42" s="137"/>
      <c r="AAT42" s="141"/>
      <c r="AAU42" s="306">
        <v>0.5</v>
      </c>
      <c r="AAV42" s="307">
        <v>0.5</v>
      </c>
      <c r="AAW42" s="307">
        <v>0.5</v>
      </c>
      <c r="AAX42" s="307">
        <v>0.5</v>
      </c>
      <c r="AAY42" s="307">
        <v>0.5</v>
      </c>
      <c r="AAZ42" s="137"/>
      <c r="ABA42" s="137"/>
      <c r="ABB42" s="137"/>
      <c r="ABC42" s="137"/>
      <c r="ABD42" s="137"/>
      <c r="ABE42" s="137"/>
      <c r="ABF42" s="153"/>
      <c r="ABG42" s="304"/>
      <c r="ABH42" s="152"/>
      <c r="ABI42" s="131">
        <f>SUM(AAG42:ABH42)</f>
      </c>
      <c r="ABJ42" s="134"/>
      <c r="ABK42" s="135"/>
      <c r="ABL42" s="142">
        <v>0.5</v>
      </c>
      <c r="ABM42" s="138">
        <v>0.5</v>
      </c>
      <c r="ABN42" s="138">
        <v>0.5</v>
      </c>
      <c r="ABO42" s="138">
        <v>0.5</v>
      </c>
      <c r="ABP42" s="138">
        <v>0.5</v>
      </c>
      <c r="ABQ42" s="138">
        <v>0.5</v>
      </c>
      <c r="ABR42" s="138">
        <v>0.5</v>
      </c>
      <c r="ABS42" s="139">
        <v>0.5</v>
      </c>
      <c r="ABT42" s="140">
        <v>0.5</v>
      </c>
      <c r="ABU42" s="138">
        <v>0.5</v>
      </c>
      <c r="ABV42" s="138">
        <v>0.5</v>
      </c>
      <c r="ABW42" s="149">
        <v>0.5</v>
      </c>
      <c r="ABX42" s="136"/>
      <c r="ABY42" s="137"/>
      <c r="ABZ42" s="137"/>
      <c r="ACA42" s="137"/>
      <c r="ACB42" s="137"/>
      <c r="ACC42" s="137"/>
      <c r="ACD42" s="137"/>
      <c r="ACE42" s="137"/>
      <c r="ACF42" s="137"/>
      <c r="ACG42" s="137"/>
      <c r="ACH42" s="137"/>
      <c r="ACI42" s="153"/>
      <c r="ACJ42" s="304"/>
      <c r="ACK42" s="152"/>
      <c r="ACL42" s="131">
        <f>SUM(ABJ42:ACK42)</f>
      </c>
      <c r="ACM42" s="121"/>
      <c r="ACN42" s="122"/>
      <c r="ACO42" s="123"/>
      <c r="ACP42" s="124"/>
      <c r="ACQ42" s="124"/>
      <c r="ACR42" s="124"/>
      <c r="ACS42" s="124"/>
      <c r="ACT42" s="124"/>
      <c r="ACU42" s="124"/>
      <c r="ACV42" s="125"/>
      <c r="ACW42" s="126"/>
      <c r="ACX42" s="124"/>
      <c r="ACY42" s="124"/>
      <c r="ACZ42" s="127"/>
      <c r="ADA42" s="123"/>
      <c r="ADB42" s="124"/>
      <c r="ADC42" s="124"/>
      <c r="ADD42" s="124"/>
      <c r="ADE42" s="124"/>
      <c r="ADF42" s="124"/>
      <c r="ADG42" s="124"/>
      <c r="ADH42" s="124"/>
      <c r="ADI42" s="124"/>
      <c r="ADJ42" s="124"/>
      <c r="ADK42" s="124"/>
      <c r="ADL42" s="125"/>
      <c r="ADM42" s="301"/>
      <c r="ADN42" s="151"/>
      <c r="ADO42" s="131">
        <f>SUM(ACM42:ADN42)</f>
      </c>
      <c r="ADP42" s="121"/>
      <c r="ADQ42" s="122"/>
      <c r="ADR42" s="123"/>
      <c r="ADS42" s="124"/>
      <c r="ADT42" s="124"/>
      <c r="ADU42" s="124"/>
      <c r="ADV42" s="124"/>
      <c r="ADW42" s="124"/>
      <c r="ADX42" s="124"/>
      <c r="ADY42" s="125"/>
      <c r="ADZ42" s="126"/>
      <c r="AEA42" s="124"/>
      <c r="AEB42" s="124"/>
      <c r="AEC42" s="127"/>
      <c r="AED42" s="123"/>
      <c r="AEE42" s="124"/>
      <c r="AEF42" s="124"/>
      <c r="AEG42" s="124"/>
      <c r="AEH42" s="124"/>
      <c r="AEI42" s="124"/>
      <c r="AEJ42" s="124"/>
      <c r="AEK42" s="124"/>
      <c r="AEL42" s="124"/>
      <c r="AEM42" s="124"/>
      <c r="AEN42" s="124"/>
      <c r="AEO42" s="125"/>
      <c r="AEP42" s="301"/>
      <c r="AEQ42" s="151"/>
      <c r="AER42" s="131">
        <f>SUM(ADP42:AEQ42)</f>
      </c>
      <c r="AES42" s="150">
        <f>XZ42+ZC42+AAF42+ABI42+ACL42+ADO42+AER42</f>
      </c>
      <c r="AET42" s="302">
        <f>(COUNTIF(WX42:AER42,"H")+COUNTIF(WX42:AER42,"S")+COUNTIF(WX42:AER42,"L")+COUNTIF(WX42:AER42,"E")+COUNTIF(WX42:AER42,"C"))/2</f>
      </c>
      <c r="AEU42" s="131">
        <f>AES42+AET42</f>
      </c>
      <c r="AEV42" s="134"/>
      <c r="AEW42" s="135"/>
      <c r="AEX42" s="136"/>
      <c r="AEY42" s="138">
        <v>0.5</v>
      </c>
      <c r="AEZ42" s="138">
        <v>0.5</v>
      </c>
      <c r="AFA42" s="138">
        <v>0.5</v>
      </c>
      <c r="AFB42" s="138">
        <v>0.5</v>
      </c>
      <c r="AFC42" s="138">
        <v>0.5</v>
      </c>
      <c r="AFD42" s="138">
        <v>0.5</v>
      </c>
      <c r="AFE42" s="139">
        <v>0.5</v>
      </c>
      <c r="AFF42" s="155"/>
      <c r="AFG42" s="137"/>
      <c r="AFH42" s="138">
        <v>0.5</v>
      </c>
      <c r="AFI42" s="149">
        <v>0.5</v>
      </c>
      <c r="AFJ42" s="142">
        <v>0.5</v>
      </c>
      <c r="AFK42" s="138">
        <v>0.5</v>
      </c>
      <c r="AFL42" s="138">
        <v>0.5</v>
      </c>
      <c r="AFM42" s="138">
        <v>0.5</v>
      </c>
      <c r="AFN42" s="138">
        <v>0.5</v>
      </c>
      <c r="AFO42" s="138">
        <v>0.5</v>
      </c>
      <c r="AFP42" s="138">
        <v>0.5</v>
      </c>
      <c r="AFQ42" s="138">
        <v>0.5</v>
      </c>
      <c r="AFR42" s="137"/>
      <c r="AFS42" s="137"/>
      <c r="AFT42" s="137"/>
      <c r="AFU42" s="153"/>
      <c r="AFV42" s="304"/>
      <c r="AFW42" s="152"/>
      <c r="AFX42" s="131">
        <f>SUM(AEV42:AFW42)</f>
      </c>
      <c r="AFY42" s="134"/>
      <c r="AFZ42" s="135"/>
      <c r="AGA42" s="136"/>
      <c r="AGB42" s="138">
        <v>0.5</v>
      </c>
      <c r="AGC42" s="138">
        <v>0.5</v>
      </c>
      <c r="AGD42" s="138">
        <v>0.5</v>
      </c>
      <c r="AGE42" s="138">
        <v>0.5</v>
      </c>
      <c r="AGF42" s="138">
        <v>0.5</v>
      </c>
      <c r="AGG42" s="138">
        <v>0.5</v>
      </c>
      <c r="AGH42" s="139">
        <v>0.5</v>
      </c>
      <c r="AGI42" s="155"/>
      <c r="AGJ42" s="137"/>
      <c r="AGK42" s="138">
        <v>0.5</v>
      </c>
      <c r="AGL42" s="149">
        <v>0.5</v>
      </c>
      <c r="AGM42" s="142">
        <v>0.5</v>
      </c>
      <c r="AGN42" s="138">
        <v>0.5</v>
      </c>
      <c r="AGO42" s="138">
        <v>0.5</v>
      </c>
      <c r="AGP42" s="138">
        <v>0.5</v>
      </c>
      <c r="AGQ42" s="138">
        <v>0.5</v>
      </c>
      <c r="AGR42" s="138">
        <v>0.5</v>
      </c>
      <c r="AGS42" s="138">
        <v>0.5</v>
      </c>
      <c r="AGT42" s="138">
        <v>0.5</v>
      </c>
      <c r="AGU42" s="137"/>
      <c r="AGV42" s="137"/>
      <c r="AGW42" s="137"/>
      <c r="AGX42" s="153"/>
      <c r="AGY42" s="304"/>
      <c r="AGZ42" s="152"/>
      <c r="AHA42" s="131">
        <f>SUM(AFY42:AGZ42)</f>
      </c>
      <c r="AHB42" s="134"/>
      <c r="AHC42" s="135"/>
      <c r="AHD42" s="136"/>
      <c r="AHE42" s="138">
        <v>0.5</v>
      </c>
      <c r="AHF42" s="138">
        <v>0.5</v>
      </c>
      <c r="AHG42" s="138">
        <v>0.5</v>
      </c>
      <c r="AHH42" s="138">
        <v>0.5</v>
      </c>
      <c r="AHI42" s="138">
        <v>0.5</v>
      </c>
      <c r="AHJ42" s="138">
        <v>0.5</v>
      </c>
      <c r="AHK42" s="139">
        <v>0.5</v>
      </c>
      <c r="AHL42" s="155"/>
      <c r="AHM42" s="137"/>
      <c r="AHN42" s="138">
        <v>0.5</v>
      </c>
      <c r="AHO42" s="149">
        <v>0.5</v>
      </c>
      <c r="AHP42" s="142">
        <v>0.5</v>
      </c>
      <c r="AHQ42" s="138">
        <v>0.5</v>
      </c>
      <c r="AHR42" s="138">
        <v>0.5</v>
      </c>
      <c r="AHS42" s="138">
        <v>0.5</v>
      </c>
      <c r="AHT42" s="138">
        <v>0.5</v>
      </c>
      <c r="AHU42" s="138">
        <v>0.5</v>
      </c>
      <c r="AHV42" s="138">
        <v>0.5</v>
      </c>
      <c r="AHW42" s="138">
        <v>0.5</v>
      </c>
      <c r="AHX42" s="137"/>
      <c r="AHY42" s="137"/>
      <c r="AHZ42" s="137"/>
      <c r="AIA42" s="153"/>
      <c r="AIB42" s="304"/>
      <c r="AIC42" s="152"/>
      <c r="AID42" s="131">
        <f>SUM(AHB42:AIC42)</f>
      </c>
      <c r="AIE42" s="134"/>
      <c r="AIF42" s="135"/>
      <c r="AIG42" s="136"/>
      <c r="AIH42" s="138">
        <v>0.5</v>
      </c>
      <c r="AII42" s="138">
        <v>0.5</v>
      </c>
      <c r="AIJ42" s="138">
        <v>0.5</v>
      </c>
      <c r="AIK42" s="138">
        <v>0.5</v>
      </c>
      <c r="AIL42" s="138">
        <v>0.5</v>
      </c>
      <c r="AIM42" s="138">
        <v>0.5</v>
      </c>
      <c r="AIN42" s="139">
        <v>0.5</v>
      </c>
      <c r="AIO42" s="155"/>
      <c r="AIP42" s="137"/>
      <c r="AIQ42" s="138">
        <v>0.5</v>
      </c>
      <c r="AIR42" s="149">
        <v>0.5</v>
      </c>
      <c r="AIS42" s="142">
        <v>0.5</v>
      </c>
      <c r="AIT42" s="138">
        <v>0.5</v>
      </c>
      <c r="AIU42" s="138">
        <v>0.5</v>
      </c>
      <c r="AIV42" s="138">
        <v>0.5</v>
      </c>
      <c r="AIW42" s="138">
        <v>0.5</v>
      </c>
      <c r="AIX42" s="138">
        <v>0.5</v>
      </c>
      <c r="AIY42" s="138">
        <v>0.5</v>
      </c>
      <c r="AIZ42" s="138">
        <v>0.5</v>
      </c>
      <c r="AJA42" s="137"/>
      <c r="AJB42" s="137"/>
      <c r="AJC42" s="137"/>
      <c r="AJD42" s="153"/>
      <c r="AJE42" s="304"/>
      <c r="AJF42" s="152"/>
      <c r="AJG42" s="131">
        <f>SUM(AIE42:AJF42)</f>
      </c>
      <c r="AJH42" s="134"/>
      <c r="AJI42" s="135"/>
      <c r="AJJ42" s="142">
        <v>0.5</v>
      </c>
      <c r="AJK42" s="138">
        <v>0.5</v>
      </c>
      <c r="AJL42" s="138">
        <v>0.5</v>
      </c>
      <c r="AJM42" s="138">
        <v>0.5</v>
      </c>
      <c r="AJN42" s="138">
        <v>0.5</v>
      </c>
      <c r="AJO42" s="138">
        <v>0.5</v>
      </c>
      <c r="AJP42" s="138">
        <v>0.5</v>
      </c>
      <c r="AJQ42" s="139">
        <v>0.5</v>
      </c>
      <c r="AJR42" s="140">
        <v>0.5</v>
      </c>
      <c r="AJS42" s="138">
        <v>0.5</v>
      </c>
      <c r="AJT42" s="138">
        <v>0.5</v>
      </c>
      <c r="AJU42" s="149">
        <v>0.5</v>
      </c>
      <c r="AJV42" s="136"/>
      <c r="AJW42" s="137"/>
      <c r="AJX42" s="137"/>
      <c r="AJY42" s="137"/>
      <c r="AJZ42" s="137"/>
      <c r="AKA42" s="137"/>
      <c r="AKB42" s="137"/>
      <c r="AKC42" s="137"/>
      <c r="AKD42" s="137"/>
      <c r="AKE42" s="137"/>
      <c r="AKF42" s="137"/>
      <c r="AKG42" s="153"/>
      <c r="AKH42" s="304"/>
      <c r="AKI42" s="152"/>
      <c r="AKJ42" s="131">
        <f>SUM(AJH42:AKI42)</f>
      </c>
      <c r="AKK42" s="121"/>
      <c r="AKL42" s="122"/>
      <c r="AKM42" s="123"/>
      <c r="AKN42" s="124"/>
      <c r="AKO42" s="124"/>
      <c r="AKP42" s="124"/>
      <c r="AKQ42" s="124"/>
      <c r="AKR42" s="124"/>
      <c r="AKS42" s="124"/>
      <c r="AKT42" s="125"/>
      <c r="AKU42" s="126"/>
      <c r="AKV42" s="124"/>
      <c r="AKW42" s="124"/>
      <c r="AKX42" s="127"/>
      <c r="AKY42" s="123"/>
      <c r="AKZ42" s="124"/>
      <c r="ALA42" s="124"/>
      <c r="ALB42" s="124"/>
      <c r="ALC42" s="124"/>
      <c r="ALD42" s="124"/>
      <c r="ALE42" s="124"/>
      <c r="ALF42" s="124"/>
      <c r="ALG42" s="124"/>
      <c r="ALH42" s="124"/>
      <c r="ALI42" s="124"/>
      <c r="ALJ42" s="125"/>
      <c r="ALK42" s="301"/>
      <c r="ALL42" s="151"/>
      <c r="ALM42" s="131">
        <f>SUM(AKK42:ALL42)</f>
      </c>
      <c r="ALN42" s="121"/>
      <c r="ALO42" s="122"/>
      <c r="ALP42" s="123"/>
      <c r="ALQ42" s="124"/>
      <c r="ALR42" s="124"/>
      <c r="ALS42" s="124"/>
      <c r="ALT42" s="124"/>
      <c r="ALU42" s="124"/>
      <c r="ALV42" s="124"/>
      <c r="ALW42" s="125"/>
      <c r="ALX42" s="126"/>
      <c r="ALY42" s="124"/>
      <c r="ALZ42" s="124"/>
      <c r="AMA42" s="127"/>
      <c r="AMB42" s="123"/>
      <c r="AMC42" s="124"/>
      <c r="AMD42" s="124"/>
      <c r="AME42" s="124"/>
      <c r="AMF42" s="124"/>
      <c r="AMG42" s="124"/>
      <c r="AMH42" s="124"/>
      <c r="AMI42" s="124"/>
      <c r="AMJ42" s="124"/>
      <c r="AMK42" s="124"/>
      <c r="AML42" s="124"/>
      <c r="AMM42" s="125"/>
      <c r="AMN42" s="301"/>
      <c r="AMO42" s="151"/>
      <c r="AMP42" s="131">
        <f>SUM(ALN42:AMO42)</f>
      </c>
      <c r="AMQ42" s="150">
        <f>AFX42+AHA42+AID42+AJG42+AKJ42+ALM42+AMP42</f>
      </c>
      <c r="AMR42" s="302">
        <f>(COUNTIF(AEV42:AMP42,"H")+COUNTIF(AEV42:AMP42,"S")+COUNTIF(AEV42:AMP42,"L")+COUNTIF(AEV42:AMP42,"E")+COUNTIF(AEV42:AMP42,"C"))/2</f>
      </c>
      <c r="AMS42" s="131">
        <f>AMQ42+AMR42</f>
      </c>
      <c r="AMT42" s="4"/>
      <c r="AMU42" s="4"/>
      <c r="AMV42" s="4"/>
      <c r="AMW42" s="4"/>
      <c r="AMX42" s="4"/>
      <c r="AMY42" s="4"/>
      <c r="AMZ42" s="4"/>
      <c r="ANA42" s="4"/>
      <c r="ANB42" s="4"/>
      <c r="ANC42" s="4"/>
      <c r="AND42" s="4"/>
      <c r="ANE42" s="4"/>
      <c r="ANF42" s="4"/>
      <c r="ANG42" s="4"/>
      <c r="ANH42" s="4"/>
      <c r="ANI42" s="4"/>
      <c r="ANJ42" s="13"/>
      <c r="ANK42" s="13"/>
      <c r="ANL42" s="4"/>
      <c r="ANM42" s="4"/>
      <c r="ANN42" s="4"/>
      <c r="ANO42" s="4"/>
      <c r="ANP42" s="4"/>
      <c r="ANQ42" s="4"/>
      <c r="ANR42" s="4"/>
      <c r="ANS42" s="4"/>
      <c r="ANT42" s="4"/>
      <c r="ANU42" s="4"/>
      <c r="ANV42" s="4"/>
      <c r="ANW42" s="4"/>
      <c r="ANX42" s="4"/>
      <c r="ANY42" s="4"/>
      <c r="ANZ42" s="4"/>
      <c r="AOA42" s="4"/>
      <c r="AOB42" s="4"/>
      <c r="AOC42" s="4"/>
      <c r="AOD42" s="4"/>
      <c r="AOE42" s="4"/>
      <c r="AOF42" s="4"/>
      <c r="AOG42" s="4"/>
      <c r="AOH42" s="4"/>
      <c r="AOI42" s="4"/>
      <c r="AOJ42" s="4"/>
      <c r="AOK42" s="4"/>
      <c r="AOL42" s="4"/>
      <c r="AOM42" s="4"/>
      <c r="AON42" s="4"/>
      <c r="AOO42" s="4"/>
      <c r="AOP42" s="4"/>
      <c r="AOQ42" s="4"/>
      <c r="AOR42" s="4"/>
      <c r="AOS42" s="4"/>
      <c r="AOT42" s="4"/>
      <c r="AOU42" s="4"/>
      <c r="AOV42" s="4"/>
      <c r="AOW42" s="4"/>
      <c r="AOX42" s="4"/>
      <c r="AOY42" s="4"/>
      <c r="AOZ42" s="4"/>
      <c r="APA42" s="4"/>
      <c r="APB42" s="4"/>
      <c r="APC42" s="4"/>
      <c r="APD42" s="4"/>
      <c r="APE42" s="4"/>
      <c r="APF42" s="4"/>
      <c r="APG42" s="4"/>
      <c r="APH42" s="4"/>
      <c r="API42" s="4"/>
      <c r="APJ42" s="4"/>
      <c r="APK42" s="4"/>
      <c r="APL42" s="4"/>
      <c r="APM42" s="4"/>
      <c r="APN42" s="4"/>
      <c r="APO42" s="4"/>
      <c r="APP42" s="4"/>
      <c r="APQ42" s="4"/>
      <c r="APR42" s="4"/>
      <c r="APS42" s="4"/>
      <c r="APT42" s="4"/>
      <c r="APU42" s="4"/>
      <c r="APV42" s="4"/>
      <c r="APW42" s="4"/>
      <c r="APX42" s="4"/>
      <c r="APY42" s="4"/>
      <c r="APZ42" s="4"/>
      <c r="AQA42" s="4"/>
      <c r="AQB42" s="4"/>
      <c r="AQC42" s="4"/>
      <c r="AQD42" s="4"/>
      <c r="AQE42" s="4"/>
      <c r="AQF42" s="4"/>
      <c r="AQG42" s="4"/>
      <c r="AQH42" s="4"/>
      <c r="AQI42" s="4"/>
      <c r="AQJ42" s="4"/>
      <c r="AQK42" s="4"/>
      <c r="AQL42" s="4"/>
      <c r="AQM42" s="4"/>
      <c r="AQN42" s="4"/>
      <c r="AQO42" s="4"/>
      <c r="AQP42" s="4"/>
      <c r="AQQ42" s="4"/>
      <c r="AQR42" s="4"/>
      <c r="AQS42" s="4"/>
      <c r="AQT42" s="4"/>
      <c r="AQU42" s="4"/>
      <c r="AQV42" s="4"/>
      <c r="AQW42" s="4"/>
      <c r="AQX42" s="4"/>
      <c r="AQY42" s="4"/>
      <c r="AQZ42" s="4"/>
      <c r="ARA42" s="4"/>
      <c r="ARB42" s="4"/>
      <c r="ARC42" s="4"/>
      <c r="ARD42" s="4"/>
      <c r="ARE42" s="4"/>
      <c r="ARF42" s="4"/>
      <c r="ARG42" s="4"/>
      <c r="ARH42" s="4"/>
      <c r="ARI42" s="4"/>
      <c r="ARJ42" s="4"/>
      <c r="ARK42" s="4"/>
      <c r="ARL42" s="4"/>
      <c r="ARM42" s="4"/>
      <c r="ARN42" s="4"/>
      <c r="ARO42" s="4"/>
      <c r="ARP42" s="4"/>
      <c r="ARQ42" s="4"/>
      <c r="ARR42" s="4"/>
      <c r="ARS42" s="4"/>
      <c r="ART42" s="4"/>
      <c r="ARU42" s="4"/>
      <c r="ARV42" s="4"/>
      <c r="ARW42" s="4"/>
      <c r="ARX42" s="4"/>
      <c r="ARY42" s="4"/>
      <c r="ARZ42" s="4"/>
      <c r="ASA42" s="4"/>
      <c r="ASB42" s="4"/>
      <c r="ASC42" s="4"/>
      <c r="ASD42" s="4"/>
      <c r="ASE42" s="4"/>
      <c r="ASF42" s="4"/>
      <c r="ASG42" s="4"/>
      <c r="ASH42" s="4"/>
      <c r="ASI42" s="4"/>
      <c r="ASJ42" s="4"/>
      <c r="ASK42" s="4"/>
      <c r="ASL42" s="4"/>
      <c r="ASM42" s="4"/>
      <c r="ASN42" s="4"/>
      <c r="ASO42" s="4"/>
      <c r="ASP42" s="4"/>
      <c r="ASQ42" s="4"/>
      <c r="ASR42" s="4"/>
      <c r="ASS42" s="4"/>
      <c r="AST42" s="4"/>
      <c r="ASU42" s="4"/>
    </row>
    <row r="43" ht="15" customHeight="1" spans="1:1191" x14ac:dyDescent="0.25">
      <c r="A43" s="118"/>
      <c r="B43" s="230" t="s">
        <v>82</v>
      </c>
      <c r="C43" s="289" t="s">
        <v>55</v>
      </c>
      <c r="D43" s="121"/>
      <c r="E43" s="122"/>
      <c r="F43" s="123"/>
      <c r="G43" s="124"/>
      <c r="H43" s="124"/>
      <c r="I43" s="124"/>
      <c r="J43" s="124"/>
      <c r="K43" s="124"/>
      <c r="L43" s="124"/>
      <c r="M43" s="125"/>
      <c r="N43" s="126"/>
      <c r="O43" s="124"/>
      <c r="P43" s="124"/>
      <c r="Q43" s="127"/>
      <c r="R43" s="123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5"/>
      <c r="AD43" s="301"/>
      <c r="AE43" s="151"/>
      <c r="AF43" s="131">
        <f>SUM(D43:AE43)</f>
      </c>
      <c r="AG43" s="121"/>
      <c r="AH43" s="122"/>
      <c r="AI43" s="123"/>
      <c r="AJ43" s="124"/>
      <c r="AK43" s="124"/>
      <c r="AL43" s="124"/>
      <c r="AM43" s="124"/>
      <c r="AN43" s="124"/>
      <c r="AO43" s="124"/>
      <c r="AP43" s="125"/>
      <c r="AQ43" s="126"/>
      <c r="AR43" s="124"/>
      <c r="AS43" s="124"/>
      <c r="AT43" s="127"/>
      <c r="AU43" s="123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5"/>
      <c r="BG43" s="301"/>
      <c r="BH43" s="151"/>
      <c r="BI43" s="131">
        <f>SUM(AG43:BH43)</f>
      </c>
      <c r="BJ43" s="121"/>
      <c r="BK43" s="122"/>
      <c r="BL43" s="123"/>
      <c r="BM43" s="124"/>
      <c r="BN43" s="124"/>
      <c r="BO43" s="124"/>
      <c r="BP43" s="124"/>
      <c r="BQ43" s="124"/>
      <c r="BR43" s="124"/>
      <c r="BS43" s="125"/>
      <c r="BT43" s="126"/>
      <c r="BU43" s="124"/>
      <c r="BV43" s="124"/>
      <c r="BW43" s="127"/>
      <c r="BX43" s="123"/>
      <c r="BY43" s="124"/>
      <c r="BZ43" s="124"/>
      <c r="CA43" s="124"/>
      <c r="CB43" s="124"/>
      <c r="CC43" s="124"/>
      <c r="CD43" s="124"/>
      <c r="CE43" s="124"/>
      <c r="CF43" s="124"/>
      <c r="CG43" s="124"/>
      <c r="CH43" s="124"/>
      <c r="CI43" s="125"/>
      <c r="CJ43" s="301"/>
      <c r="CK43" s="151"/>
      <c r="CL43" s="131">
        <f>SUM(BJ43:CK43)</f>
      </c>
      <c r="CM43" s="121"/>
      <c r="CN43" s="122"/>
      <c r="CO43" s="123"/>
      <c r="CP43" s="124"/>
      <c r="CQ43" s="124"/>
      <c r="CR43" s="124"/>
      <c r="CS43" s="124"/>
      <c r="CT43" s="124"/>
      <c r="CU43" s="124"/>
      <c r="CV43" s="125"/>
      <c r="CW43" s="126"/>
      <c r="CX43" s="124"/>
      <c r="CY43" s="124"/>
      <c r="CZ43" s="127"/>
      <c r="DA43" s="123"/>
      <c r="DB43" s="124"/>
      <c r="DC43" s="124"/>
      <c r="DD43" s="124"/>
      <c r="DE43" s="124"/>
      <c r="DF43" s="124"/>
      <c r="DG43" s="124"/>
      <c r="DH43" s="124"/>
      <c r="DI43" s="124"/>
      <c r="DJ43" s="124"/>
      <c r="DK43" s="124"/>
      <c r="DL43" s="125"/>
      <c r="DM43" s="301"/>
      <c r="DN43" s="151"/>
      <c r="DO43" s="131">
        <f>SUM(CM43:DN43)</f>
      </c>
      <c r="DP43" s="121"/>
      <c r="DQ43" s="122"/>
      <c r="DR43" s="123"/>
      <c r="DS43" s="124"/>
      <c r="DT43" s="124"/>
      <c r="DU43" s="124"/>
      <c r="DV43" s="124"/>
      <c r="DW43" s="124"/>
      <c r="DX43" s="124"/>
      <c r="DY43" s="125"/>
      <c r="DZ43" s="126"/>
      <c r="EA43" s="124"/>
      <c r="EB43" s="124"/>
      <c r="EC43" s="127"/>
      <c r="ED43" s="123"/>
      <c r="EE43" s="124"/>
      <c r="EF43" s="124"/>
      <c r="EG43" s="124"/>
      <c r="EH43" s="124"/>
      <c r="EI43" s="124"/>
      <c r="EJ43" s="124"/>
      <c r="EK43" s="124"/>
      <c r="EL43" s="124"/>
      <c r="EM43" s="124"/>
      <c r="EN43" s="124"/>
      <c r="EO43" s="125"/>
      <c r="EP43" s="301"/>
      <c r="EQ43" s="151"/>
      <c r="ER43" s="131">
        <f>SUM(DP43:EQ43)</f>
      </c>
      <c r="ES43" s="121"/>
      <c r="ET43" s="122"/>
      <c r="EU43" s="123"/>
      <c r="EV43" s="124"/>
      <c r="EW43" s="124"/>
      <c r="EX43" s="124"/>
      <c r="EY43" s="124"/>
      <c r="EZ43" s="124"/>
      <c r="FA43" s="124"/>
      <c r="FB43" s="125"/>
      <c r="FC43" s="126"/>
      <c r="FD43" s="124"/>
      <c r="FE43" s="124"/>
      <c r="FF43" s="127"/>
      <c r="FG43" s="123"/>
      <c r="FH43" s="124"/>
      <c r="FI43" s="124"/>
      <c r="FJ43" s="124"/>
      <c r="FK43" s="124"/>
      <c r="FL43" s="124"/>
      <c r="FM43" s="124"/>
      <c r="FN43" s="124"/>
      <c r="FO43" s="124"/>
      <c r="FP43" s="124"/>
      <c r="FQ43" s="124"/>
      <c r="FR43" s="125"/>
      <c r="FS43" s="301"/>
      <c r="FT43" s="151"/>
      <c r="FU43" s="131">
        <f>SUM(ES43:FT43)</f>
      </c>
      <c r="FV43" s="121"/>
      <c r="FW43" s="122"/>
      <c r="FX43" s="123"/>
      <c r="FY43" s="124"/>
      <c r="FZ43" s="124"/>
      <c r="GA43" s="124"/>
      <c r="GB43" s="124"/>
      <c r="GC43" s="124"/>
      <c r="GD43" s="124"/>
      <c r="GE43" s="125"/>
      <c r="GF43" s="126"/>
      <c r="GG43" s="124"/>
      <c r="GH43" s="124"/>
      <c r="GI43" s="127"/>
      <c r="GJ43" s="123"/>
      <c r="GK43" s="124"/>
      <c r="GL43" s="124"/>
      <c r="GM43" s="124"/>
      <c r="GN43" s="124"/>
      <c r="GO43" s="124"/>
      <c r="GP43" s="124"/>
      <c r="GQ43" s="124"/>
      <c r="GR43" s="124"/>
      <c r="GS43" s="124"/>
      <c r="GT43" s="124"/>
      <c r="GU43" s="125"/>
      <c r="GV43" s="301"/>
      <c r="GW43" s="151"/>
      <c r="GX43" s="131">
        <f>SUM(FV43:GW43)</f>
      </c>
      <c r="GY43" s="150">
        <f>AF43+BI43+CL43+DO43+ER43+FU43+GX43</f>
      </c>
      <c r="GZ43" s="302">
        <f>(COUNTIF(D43:GX43,"H")+COUNTIF(D43:GX43,"S")+COUNTIF(D43:GX43,"L")+COUNTIF(D43:GX43,"E")+COUNTIF(D43:GX43,"C"))/2</f>
      </c>
      <c r="HA43" s="131">
        <f>GY43+GZ43</f>
      </c>
      <c r="HB43" s="134"/>
      <c r="HC43" s="135"/>
      <c r="HD43" s="136"/>
      <c r="HE43" s="138">
        <v>0.5</v>
      </c>
      <c r="HF43" s="138">
        <v>0.5</v>
      </c>
      <c r="HG43" s="138">
        <v>0.5</v>
      </c>
      <c r="HH43" s="138">
        <v>0.5</v>
      </c>
      <c r="HI43" s="138">
        <v>0.5</v>
      </c>
      <c r="HJ43" s="138">
        <v>0.5</v>
      </c>
      <c r="HK43" s="139">
        <v>0.5</v>
      </c>
      <c r="HL43" s="140">
        <v>0.5</v>
      </c>
      <c r="HM43" s="138">
        <v>0.5</v>
      </c>
      <c r="HN43" s="148"/>
      <c r="HO43" s="305"/>
      <c r="HP43" s="142">
        <v>0.5</v>
      </c>
      <c r="HQ43" s="138">
        <v>0.5</v>
      </c>
      <c r="HR43" s="138">
        <v>0.5</v>
      </c>
      <c r="HS43" s="138">
        <v>0.5</v>
      </c>
      <c r="HT43" s="138">
        <v>0.5</v>
      </c>
      <c r="HU43" s="138">
        <v>0.5</v>
      </c>
      <c r="HV43" s="138">
        <v>0.5</v>
      </c>
      <c r="HW43" s="138">
        <v>0.5</v>
      </c>
      <c r="HX43" s="137"/>
      <c r="HY43" s="137"/>
      <c r="HZ43" s="137"/>
      <c r="IA43" s="153"/>
      <c r="IB43" s="304"/>
      <c r="IC43" s="152"/>
      <c r="ID43" s="131">
        <f>SUM(HB43:IC43)</f>
      </c>
      <c r="IE43" s="134"/>
      <c r="IF43" s="135"/>
      <c r="IG43" s="136"/>
      <c r="IH43" s="138">
        <v>0.5</v>
      </c>
      <c r="II43" s="138">
        <v>0.5</v>
      </c>
      <c r="IJ43" s="138">
        <v>0.5</v>
      </c>
      <c r="IK43" s="138">
        <v>0.5</v>
      </c>
      <c r="IL43" s="138">
        <v>0.5</v>
      </c>
      <c r="IM43" s="138">
        <v>0.5</v>
      </c>
      <c r="IN43" s="139">
        <v>0.5</v>
      </c>
      <c r="IO43" s="140">
        <v>0.5</v>
      </c>
      <c r="IP43" s="138">
        <v>0.5</v>
      </c>
      <c r="IQ43" s="148"/>
      <c r="IR43" s="305"/>
      <c r="IS43" s="142">
        <v>0.5</v>
      </c>
      <c r="IT43" s="138">
        <v>0.5</v>
      </c>
      <c r="IU43" s="138">
        <v>0.5</v>
      </c>
      <c r="IV43" s="138">
        <v>0.5</v>
      </c>
      <c r="IW43" s="138">
        <v>0.5</v>
      </c>
      <c r="IX43" s="138">
        <v>0.5</v>
      </c>
      <c r="IY43" s="138">
        <v>0.5</v>
      </c>
      <c r="IZ43" s="138">
        <v>0.5</v>
      </c>
      <c r="JA43" s="137"/>
      <c r="JB43" s="137"/>
      <c r="JC43" s="137"/>
      <c r="JD43" s="153"/>
      <c r="JE43" s="304"/>
      <c r="JF43" s="152"/>
      <c r="JG43" s="131">
        <f>SUM(IE43:JF43)</f>
      </c>
      <c r="JH43" s="134"/>
      <c r="JI43" s="135"/>
      <c r="JJ43" s="136"/>
      <c r="JK43" s="138">
        <v>0.5</v>
      </c>
      <c r="JL43" s="138">
        <v>0.5</v>
      </c>
      <c r="JM43" s="138">
        <v>0.5</v>
      </c>
      <c r="JN43" s="138">
        <v>0.5</v>
      </c>
      <c r="JO43" s="138">
        <v>0.5</v>
      </c>
      <c r="JP43" s="138">
        <v>0.5</v>
      </c>
      <c r="JQ43" s="139">
        <v>0.5</v>
      </c>
      <c r="JR43" s="140">
        <v>0.5</v>
      </c>
      <c r="JS43" s="138">
        <v>0.5</v>
      </c>
      <c r="JT43" s="148"/>
      <c r="JU43" s="305"/>
      <c r="JV43" s="142">
        <v>0.5</v>
      </c>
      <c r="JW43" s="138">
        <v>0.5</v>
      </c>
      <c r="JX43" s="138">
        <v>0.5</v>
      </c>
      <c r="JY43" s="138">
        <v>0.5</v>
      </c>
      <c r="JZ43" s="138">
        <v>0.5</v>
      </c>
      <c r="KA43" s="138">
        <v>0.5</v>
      </c>
      <c r="KB43" s="138">
        <v>0.5</v>
      </c>
      <c r="KC43" s="138">
        <v>0.5</v>
      </c>
      <c r="KD43" s="137"/>
      <c r="KE43" s="137"/>
      <c r="KF43" s="137"/>
      <c r="KG43" s="153"/>
      <c r="KH43" s="304"/>
      <c r="KI43" s="152"/>
      <c r="KJ43" s="131">
        <f>SUM(JH43:KI43)</f>
      </c>
      <c r="KK43" s="134"/>
      <c r="KL43" s="135"/>
      <c r="KM43" s="136"/>
      <c r="KN43" s="138">
        <v>0.5</v>
      </c>
      <c r="KO43" s="138">
        <v>0.5</v>
      </c>
      <c r="KP43" s="138">
        <v>0.5</v>
      </c>
      <c r="KQ43" s="138">
        <v>0.5</v>
      </c>
      <c r="KR43" s="138">
        <v>0.5</v>
      </c>
      <c r="KS43" s="138">
        <v>0.5</v>
      </c>
      <c r="KT43" s="139">
        <v>0.5</v>
      </c>
      <c r="KU43" s="140">
        <v>0.5</v>
      </c>
      <c r="KV43" s="138">
        <v>0.5</v>
      </c>
      <c r="KW43" s="148"/>
      <c r="KX43" s="305"/>
      <c r="KY43" s="142">
        <v>0.5</v>
      </c>
      <c r="KZ43" s="138">
        <v>0.5</v>
      </c>
      <c r="LA43" s="138">
        <v>0.5</v>
      </c>
      <c r="LB43" s="138">
        <v>0.5</v>
      </c>
      <c r="LC43" s="138">
        <v>0.5</v>
      </c>
      <c r="LD43" s="138">
        <v>0.5</v>
      </c>
      <c r="LE43" s="138">
        <v>0.5</v>
      </c>
      <c r="LF43" s="138">
        <v>0.5</v>
      </c>
      <c r="LG43" s="137"/>
      <c r="LH43" s="137"/>
      <c r="LI43" s="137"/>
      <c r="LJ43" s="153"/>
      <c r="LK43" s="304"/>
      <c r="LL43" s="152"/>
      <c r="LM43" s="131">
        <f>SUM(KK43:LL43)</f>
      </c>
      <c r="LN43" s="134"/>
      <c r="LO43" s="135"/>
      <c r="LP43" s="142">
        <v>0.5</v>
      </c>
      <c r="LQ43" s="138">
        <v>0.5</v>
      </c>
      <c r="LR43" s="138">
        <v>0.5</v>
      </c>
      <c r="LS43" s="138">
        <v>0.5</v>
      </c>
      <c r="LT43" s="138">
        <v>0.5</v>
      </c>
      <c r="LU43" s="138">
        <v>0.5</v>
      </c>
      <c r="LV43" s="138">
        <v>0.5</v>
      </c>
      <c r="LW43" s="139">
        <v>0.5</v>
      </c>
      <c r="LX43" s="140">
        <v>0.5</v>
      </c>
      <c r="LY43" s="138">
        <v>0.5</v>
      </c>
      <c r="LZ43" s="138">
        <v>0.5</v>
      </c>
      <c r="MA43" s="149">
        <v>0.5</v>
      </c>
      <c r="MB43" s="136"/>
      <c r="MC43" s="137"/>
      <c r="MD43" s="137"/>
      <c r="ME43" s="137"/>
      <c r="MF43" s="137"/>
      <c r="MG43" s="137"/>
      <c r="MH43" s="137"/>
      <c r="MI43" s="137"/>
      <c r="MJ43" s="137"/>
      <c r="MK43" s="137"/>
      <c r="ML43" s="137"/>
      <c r="MM43" s="153"/>
      <c r="MN43" s="304"/>
      <c r="MO43" s="152"/>
      <c r="MP43" s="131">
        <f>SUM(LN43:MO43)</f>
      </c>
      <c r="MQ43" s="121"/>
      <c r="MR43" s="122"/>
      <c r="MS43" s="123"/>
      <c r="MT43" s="124"/>
      <c r="MU43" s="124"/>
      <c r="MV43" s="124"/>
      <c r="MW43" s="124"/>
      <c r="MX43" s="124"/>
      <c r="MY43" s="124"/>
      <c r="MZ43" s="125"/>
      <c r="NA43" s="126"/>
      <c r="NB43" s="124"/>
      <c r="NC43" s="124"/>
      <c r="ND43" s="127"/>
      <c r="NE43" s="123"/>
      <c r="NF43" s="124"/>
      <c r="NG43" s="124"/>
      <c r="NH43" s="124"/>
      <c r="NI43" s="124"/>
      <c r="NJ43" s="124"/>
      <c r="NK43" s="124"/>
      <c r="NL43" s="124"/>
      <c r="NM43" s="124"/>
      <c r="NN43" s="124"/>
      <c r="NO43" s="124"/>
      <c r="NP43" s="125"/>
      <c r="NQ43" s="301"/>
      <c r="NR43" s="151"/>
      <c r="NS43" s="131">
        <f>SUM(MQ43:NR43)</f>
      </c>
      <c r="NT43" s="121"/>
      <c r="NU43" s="122"/>
      <c r="NV43" s="123"/>
      <c r="NW43" s="124"/>
      <c r="NX43" s="124"/>
      <c r="NY43" s="124"/>
      <c r="NZ43" s="124"/>
      <c r="OA43" s="124"/>
      <c r="OB43" s="124"/>
      <c r="OC43" s="125"/>
      <c r="OD43" s="126"/>
      <c r="OE43" s="124"/>
      <c r="OF43" s="124"/>
      <c r="OG43" s="127"/>
      <c r="OH43" s="123"/>
      <c r="OI43" s="124"/>
      <c r="OJ43" s="124"/>
      <c r="OK43" s="124"/>
      <c r="OL43" s="124"/>
      <c r="OM43" s="124"/>
      <c r="ON43" s="124"/>
      <c r="OO43" s="124"/>
      <c r="OP43" s="124"/>
      <c r="OQ43" s="124"/>
      <c r="OR43" s="124"/>
      <c r="OS43" s="125"/>
      <c r="OT43" s="301"/>
      <c r="OU43" s="151"/>
      <c r="OV43" s="131">
        <f>SUM(NT43:OU43)</f>
      </c>
      <c r="OW43" s="150">
        <f>ID43+JG43+KJ43+LM43+MP43+NS43+OV43</f>
      </c>
      <c r="OX43" s="302">
        <f>(COUNTIF(HB43:OV43,"H")+COUNTIF(HB43:OV43,"S")+COUNTIF(HB43:OV43,"L")+COUNTIF(HB43:OV43,"E")+COUNTIF(HB43:OV43,"C"))/2</f>
      </c>
      <c r="OY43" s="131">
        <f>OW43+OX43</f>
      </c>
      <c r="OZ43" s="134"/>
      <c r="PA43" s="135"/>
      <c r="PB43" s="136"/>
      <c r="PC43" s="138">
        <v>0.5</v>
      </c>
      <c r="PD43" s="138">
        <v>0.5</v>
      </c>
      <c r="PE43" s="138">
        <v>0.5</v>
      </c>
      <c r="PF43" s="138">
        <v>0.5</v>
      </c>
      <c r="PG43" s="138">
        <v>0.5</v>
      </c>
      <c r="PH43" s="138">
        <v>0.5</v>
      </c>
      <c r="PI43" s="139">
        <v>0.5</v>
      </c>
      <c r="PJ43" s="140">
        <v>0.5</v>
      </c>
      <c r="PK43" s="138">
        <v>0.5</v>
      </c>
      <c r="PL43" s="137"/>
      <c r="PM43" s="141"/>
      <c r="PN43" s="142">
        <v>0.5</v>
      </c>
      <c r="PO43" s="138">
        <v>0.5</v>
      </c>
      <c r="PP43" s="138">
        <v>0.5</v>
      </c>
      <c r="PQ43" s="138">
        <v>0.5</v>
      </c>
      <c r="PR43" s="138">
        <v>0.5</v>
      </c>
      <c r="PS43" s="138">
        <v>0.5</v>
      </c>
      <c r="PT43" s="138">
        <v>0.5</v>
      </c>
      <c r="PU43" s="137"/>
      <c r="PV43" s="137"/>
      <c r="PW43" s="137"/>
      <c r="PX43" s="137"/>
      <c r="PY43" s="153"/>
      <c r="PZ43" s="304"/>
      <c r="QA43" s="152"/>
      <c r="QB43" s="131">
        <f>SUM(OZ43:QA43)</f>
      </c>
      <c r="QC43" s="134"/>
      <c r="QD43" s="135"/>
      <c r="QE43" s="136"/>
      <c r="QF43" s="18" t="s">
        <v>4</v>
      </c>
      <c r="QG43" s="18" t="s">
        <v>4</v>
      </c>
      <c r="QH43" s="18" t="s">
        <v>4</v>
      </c>
      <c r="QI43" s="18" t="s">
        <v>4</v>
      </c>
      <c r="QJ43" s="18" t="s">
        <v>4</v>
      </c>
      <c r="QK43" s="18" t="s">
        <v>4</v>
      </c>
      <c r="QL43" s="222" t="s">
        <v>4</v>
      </c>
      <c r="QM43" s="223" t="s">
        <v>4</v>
      </c>
      <c r="QN43" s="18" t="s">
        <v>4</v>
      </c>
      <c r="QO43" s="137"/>
      <c r="QP43" s="141"/>
      <c r="QQ43" s="225" t="s">
        <v>4</v>
      </c>
      <c r="QR43" s="18" t="s">
        <v>4</v>
      </c>
      <c r="QS43" s="18" t="s">
        <v>4</v>
      </c>
      <c r="QT43" s="18" t="s">
        <v>4</v>
      </c>
      <c r="QU43" s="18" t="s">
        <v>4</v>
      </c>
      <c r="QV43" s="18" t="s">
        <v>4</v>
      </c>
      <c r="QW43" s="18" t="s">
        <v>4</v>
      </c>
      <c r="QX43" s="137"/>
      <c r="QY43" s="137"/>
      <c r="QZ43" s="137"/>
      <c r="RA43" s="137"/>
      <c r="RB43" s="153"/>
      <c r="RC43" s="304"/>
      <c r="RD43" s="152"/>
      <c r="RE43" s="131">
        <f>SUM(QC43:RD43)</f>
      </c>
      <c r="RF43" s="134"/>
      <c r="RG43" s="135"/>
      <c r="RH43" s="136"/>
      <c r="RI43" s="143">
        <v>0.5</v>
      </c>
      <c r="RJ43" s="143">
        <v>0.5</v>
      </c>
      <c r="RK43" s="143">
        <v>0.5</v>
      </c>
      <c r="RL43" s="143">
        <v>0.5</v>
      </c>
      <c r="RM43" s="143">
        <v>0.5</v>
      </c>
      <c r="RN43" s="138">
        <v>0.5</v>
      </c>
      <c r="RO43" s="139">
        <v>0.5</v>
      </c>
      <c r="RP43" s="140">
        <v>0.5</v>
      </c>
      <c r="RQ43" s="138">
        <v>0.5</v>
      </c>
      <c r="RR43" s="137"/>
      <c r="RS43" s="141"/>
      <c r="RT43" s="142">
        <v>0.5</v>
      </c>
      <c r="RU43" s="138">
        <v>0.5</v>
      </c>
      <c r="RV43" s="138">
        <v>0.5</v>
      </c>
      <c r="RW43" s="138">
        <v>0.5</v>
      </c>
      <c r="RX43" s="138">
        <v>0.5</v>
      </c>
      <c r="RY43" s="138">
        <v>0.5</v>
      </c>
      <c r="RZ43" s="138">
        <v>0.5</v>
      </c>
      <c r="SA43" s="137"/>
      <c r="SB43" s="137"/>
      <c r="SC43" s="137"/>
      <c r="SD43" s="137"/>
      <c r="SE43" s="153"/>
      <c r="SF43" s="304"/>
      <c r="SG43" s="152"/>
      <c r="SH43" s="131">
        <f>SUM(RF43:SG43)</f>
      </c>
      <c r="SI43" s="134"/>
      <c r="SJ43" s="135"/>
      <c r="SK43" s="136"/>
      <c r="SL43" s="143">
        <v>0.5</v>
      </c>
      <c r="SM43" s="143">
        <v>0.5</v>
      </c>
      <c r="SN43" s="143">
        <v>0.5</v>
      </c>
      <c r="SO43" s="143">
        <v>0.5</v>
      </c>
      <c r="SP43" s="143">
        <v>0.5</v>
      </c>
      <c r="SQ43" s="138">
        <v>0.5</v>
      </c>
      <c r="SR43" s="139">
        <v>0.5</v>
      </c>
      <c r="SS43" s="140">
        <v>0.5</v>
      </c>
      <c r="ST43" s="138">
        <v>0.5</v>
      </c>
      <c r="SU43" s="137"/>
      <c r="SV43" s="141"/>
      <c r="SW43" s="142">
        <v>0.5</v>
      </c>
      <c r="SX43" s="138">
        <v>0.5</v>
      </c>
      <c r="SY43" s="138">
        <v>0.5</v>
      </c>
      <c r="SZ43" s="138">
        <v>0.5</v>
      </c>
      <c r="TA43" s="138">
        <v>0.5</v>
      </c>
      <c r="TB43" s="138">
        <v>0.5</v>
      </c>
      <c r="TC43" s="138">
        <v>0.5</v>
      </c>
      <c r="TD43" s="137"/>
      <c r="TE43" s="137"/>
      <c r="TF43" s="137"/>
      <c r="TG43" s="137"/>
      <c r="TH43" s="153"/>
      <c r="TI43" s="304"/>
      <c r="TJ43" s="152"/>
      <c r="TK43" s="131">
        <f>SUM(SI43:TJ43)</f>
      </c>
      <c r="TL43" s="134"/>
      <c r="TM43" s="135"/>
      <c r="TN43" s="136"/>
      <c r="TO43" s="143">
        <v>0.5</v>
      </c>
      <c r="TP43" s="143">
        <v>0.5</v>
      </c>
      <c r="TQ43" s="143">
        <v>0.5</v>
      </c>
      <c r="TR43" s="143">
        <v>0.5</v>
      </c>
      <c r="TS43" s="143">
        <v>0.5</v>
      </c>
      <c r="TT43" s="138">
        <v>0.5</v>
      </c>
      <c r="TU43" s="139">
        <v>0.5</v>
      </c>
      <c r="TV43" s="140">
        <v>0.5</v>
      </c>
      <c r="TW43" s="138">
        <v>0.5</v>
      </c>
      <c r="TX43" s="137"/>
      <c r="TY43" s="141"/>
      <c r="TZ43" s="142">
        <v>0.5</v>
      </c>
      <c r="UA43" s="138">
        <v>0.5</v>
      </c>
      <c r="UB43" s="138">
        <v>0.5</v>
      </c>
      <c r="UC43" s="138">
        <v>0.5</v>
      </c>
      <c r="UD43" s="138">
        <v>0.5</v>
      </c>
      <c r="UE43" s="138">
        <v>0.5</v>
      </c>
      <c r="UF43" s="138">
        <v>0.5</v>
      </c>
      <c r="UG43" s="137"/>
      <c r="UH43" s="137"/>
      <c r="UI43" s="137"/>
      <c r="UJ43" s="137"/>
      <c r="UK43" s="153"/>
      <c r="UL43" s="304"/>
      <c r="UM43" s="152"/>
      <c r="UN43" s="131">
        <f>SUM(TL43:UM43)</f>
      </c>
      <c r="UO43" s="121"/>
      <c r="UP43" s="122"/>
      <c r="UQ43" s="123"/>
      <c r="UR43" s="124"/>
      <c r="US43" s="124"/>
      <c r="UT43" s="124"/>
      <c r="UU43" s="124"/>
      <c r="UV43" s="124"/>
      <c r="UW43" s="124"/>
      <c r="UX43" s="125"/>
      <c r="UY43" s="126"/>
      <c r="UZ43" s="124"/>
      <c r="VA43" s="124"/>
      <c r="VB43" s="127"/>
      <c r="VC43" s="123"/>
      <c r="VD43" s="124"/>
      <c r="VE43" s="124"/>
      <c r="VF43" s="124"/>
      <c r="VG43" s="124"/>
      <c r="VH43" s="124"/>
      <c r="VI43" s="124"/>
      <c r="VJ43" s="124"/>
      <c r="VK43" s="124"/>
      <c r="VL43" s="124"/>
      <c r="VM43" s="124"/>
      <c r="VN43" s="125"/>
      <c r="VO43" s="301"/>
      <c r="VP43" s="151"/>
      <c r="VQ43" s="131">
        <f>SUM(UO43:VP43)</f>
      </c>
      <c r="VR43" s="121"/>
      <c r="VS43" s="122"/>
      <c r="VT43" s="123"/>
      <c r="VU43" s="124"/>
      <c r="VV43" s="124"/>
      <c r="VW43" s="124"/>
      <c r="VX43" s="124"/>
      <c r="VY43" s="124"/>
      <c r="VZ43" s="124"/>
      <c r="WA43" s="125"/>
      <c r="WB43" s="126"/>
      <c r="WC43" s="124"/>
      <c r="WD43" s="124"/>
      <c r="WE43" s="127"/>
      <c r="WF43" s="123"/>
      <c r="WG43" s="124"/>
      <c r="WH43" s="124"/>
      <c r="WI43" s="124"/>
      <c r="WJ43" s="124"/>
      <c r="WK43" s="124"/>
      <c r="WL43" s="124"/>
      <c r="WM43" s="124"/>
      <c r="WN43" s="124"/>
      <c r="WO43" s="124"/>
      <c r="WP43" s="124"/>
      <c r="WQ43" s="125"/>
      <c r="WR43" s="301"/>
      <c r="WS43" s="151"/>
      <c r="WT43" s="131">
        <f>SUM(VR43:WS43)</f>
      </c>
      <c r="WU43" s="150">
        <f>QB43+RE43+SH43+TK43+UN43+VQ43+WT43</f>
      </c>
      <c r="WV43" s="302">
        <f>(COUNTIF(OZ43:WT43,"H")+COUNTIF(OZ43:WT43,"S")+COUNTIF(OZ43:WT43,"L")+COUNTIF(OZ43:WT43,"E")+COUNTIF(OZ43:WT43,"C"))/2</f>
      </c>
      <c r="WW43" s="131">
        <f>WU43+WV43</f>
      </c>
      <c r="WX43" s="134"/>
      <c r="WY43" s="135"/>
      <c r="WZ43" s="136"/>
      <c r="XA43" s="138">
        <v>0.5</v>
      </c>
      <c r="XB43" s="138">
        <v>0.5</v>
      </c>
      <c r="XC43" s="138">
        <v>0.5</v>
      </c>
      <c r="XD43" s="138">
        <v>0.5</v>
      </c>
      <c r="XE43" s="138">
        <v>0.5</v>
      </c>
      <c r="XF43" s="138">
        <v>0.5</v>
      </c>
      <c r="XG43" s="139">
        <v>0.5</v>
      </c>
      <c r="XH43" s="155"/>
      <c r="XI43" s="137"/>
      <c r="XJ43" s="138">
        <v>0.5</v>
      </c>
      <c r="XK43" s="149">
        <v>0.5</v>
      </c>
      <c r="XL43" s="142">
        <v>0.5</v>
      </c>
      <c r="XM43" s="138">
        <v>0.5</v>
      </c>
      <c r="XN43" s="138">
        <v>0.5</v>
      </c>
      <c r="XO43" s="138">
        <v>0.5</v>
      </c>
      <c r="XP43" s="138">
        <v>0.5</v>
      </c>
      <c r="XQ43" s="138">
        <v>0.5</v>
      </c>
      <c r="XR43" s="138">
        <v>0.5</v>
      </c>
      <c r="XS43" s="138">
        <v>0.5</v>
      </c>
      <c r="XT43" s="137"/>
      <c r="XU43" s="137"/>
      <c r="XV43" s="137"/>
      <c r="XW43" s="153"/>
      <c r="XX43" s="304"/>
      <c r="XY43" s="152"/>
      <c r="XZ43" s="131">
        <f>SUM(WX43:XY43)</f>
      </c>
      <c r="YA43" s="134"/>
      <c r="YB43" s="135"/>
      <c r="YC43" s="136"/>
      <c r="YD43" s="138">
        <v>0.5</v>
      </c>
      <c r="YE43" s="138">
        <v>0.5</v>
      </c>
      <c r="YF43" s="138">
        <v>0.5</v>
      </c>
      <c r="YG43" s="138">
        <v>0.5</v>
      </c>
      <c r="YH43" s="138">
        <v>0.5</v>
      </c>
      <c r="YI43" s="138">
        <v>0.5</v>
      </c>
      <c r="YJ43" s="139">
        <v>0.5</v>
      </c>
      <c r="YK43" s="155"/>
      <c r="YL43" s="137"/>
      <c r="YM43" s="138">
        <v>0.5</v>
      </c>
      <c r="YN43" s="149">
        <v>0.5</v>
      </c>
      <c r="YO43" s="142">
        <v>0.5</v>
      </c>
      <c r="YP43" s="138">
        <v>0.5</v>
      </c>
      <c r="YQ43" s="138">
        <v>0.5</v>
      </c>
      <c r="YR43" s="138">
        <v>0.5</v>
      </c>
      <c r="YS43" s="138">
        <v>0.5</v>
      </c>
      <c r="YT43" s="138">
        <v>0.5</v>
      </c>
      <c r="YU43" s="138">
        <v>0.5</v>
      </c>
      <c r="YV43" s="138">
        <v>0.5</v>
      </c>
      <c r="YW43" s="137"/>
      <c r="YX43" s="137"/>
      <c r="YY43" s="137"/>
      <c r="YZ43" s="153"/>
      <c r="ZA43" s="304"/>
      <c r="ZB43" s="152"/>
      <c r="ZC43" s="131">
        <f>SUM(YA43:ZB43)</f>
      </c>
      <c r="ZD43" s="134"/>
      <c r="ZE43" s="135"/>
      <c r="ZF43" s="136"/>
      <c r="ZG43" s="138">
        <v>0.5</v>
      </c>
      <c r="ZH43" s="138">
        <v>0.5</v>
      </c>
      <c r="ZI43" s="138">
        <v>0.5</v>
      </c>
      <c r="ZJ43" s="138">
        <v>0.5</v>
      </c>
      <c r="ZK43" s="138">
        <v>0.5</v>
      </c>
      <c r="ZL43" s="138">
        <v>0.5</v>
      </c>
      <c r="ZM43" s="139">
        <v>0.5</v>
      </c>
      <c r="ZN43" s="155"/>
      <c r="ZO43" s="137"/>
      <c r="ZP43" s="138">
        <v>0.5</v>
      </c>
      <c r="ZQ43" s="149">
        <v>0.5</v>
      </c>
      <c r="ZR43" s="142">
        <v>0.5</v>
      </c>
      <c r="ZS43" s="138">
        <v>0.5</v>
      </c>
      <c r="ZT43" s="138">
        <v>0.5</v>
      </c>
      <c r="ZU43" s="138">
        <v>0.5</v>
      </c>
      <c r="ZV43" s="138">
        <v>0.5</v>
      </c>
      <c r="ZW43" s="138">
        <v>0.5</v>
      </c>
      <c r="ZX43" s="138">
        <v>0.5</v>
      </c>
      <c r="ZY43" s="138">
        <v>0.5</v>
      </c>
      <c r="ZZ43" s="137"/>
      <c r="AAA43" s="137"/>
      <c r="AAB43" s="137"/>
      <c r="AAC43" s="153"/>
      <c r="AAD43" s="304"/>
      <c r="AAE43" s="152"/>
      <c r="AAF43" s="131">
        <f>SUM(ZD43:AAE43)</f>
      </c>
      <c r="AAG43" s="134"/>
      <c r="AAH43" s="135"/>
      <c r="AAI43" s="136"/>
      <c r="AAJ43" s="138">
        <v>0.5</v>
      </c>
      <c r="AAK43" s="138">
        <v>0.5</v>
      </c>
      <c r="AAL43" s="138">
        <v>0.5</v>
      </c>
      <c r="AAM43" s="138">
        <v>0.5</v>
      </c>
      <c r="AAN43" s="138">
        <v>0.5</v>
      </c>
      <c r="AAO43" s="138">
        <v>0.5</v>
      </c>
      <c r="AAP43" s="139">
        <v>0.5</v>
      </c>
      <c r="AAQ43" s="155"/>
      <c r="AAR43" s="137"/>
      <c r="AAS43" s="138">
        <v>0.5</v>
      </c>
      <c r="AAT43" s="149">
        <v>0.5</v>
      </c>
      <c r="AAU43" s="142">
        <v>0.5</v>
      </c>
      <c r="AAV43" s="138">
        <v>0.5</v>
      </c>
      <c r="AAW43" s="138">
        <v>0.5</v>
      </c>
      <c r="AAX43" s="138">
        <v>0.5</v>
      </c>
      <c r="AAY43" s="138">
        <v>0.5</v>
      </c>
      <c r="AAZ43" s="138">
        <v>0.5</v>
      </c>
      <c r="ABA43" s="138">
        <v>0.5</v>
      </c>
      <c r="ABB43" s="138">
        <v>0.5</v>
      </c>
      <c r="ABC43" s="137"/>
      <c r="ABD43" s="137"/>
      <c r="ABE43" s="137"/>
      <c r="ABF43" s="153"/>
      <c r="ABG43" s="304"/>
      <c r="ABH43" s="152"/>
      <c r="ABI43" s="131">
        <f>SUM(AAG43:ABH43)</f>
      </c>
      <c r="ABJ43" s="134"/>
      <c r="ABK43" s="135"/>
      <c r="ABL43" s="142">
        <v>0.5</v>
      </c>
      <c r="ABM43" s="138">
        <v>0.5</v>
      </c>
      <c r="ABN43" s="138">
        <v>0.5</v>
      </c>
      <c r="ABO43" s="138">
        <v>0.5</v>
      </c>
      <c r="ABP43" s="138">
        <v>0.5</v>
      </c>
      <c r="ABQ43" s="138">
        <v>0.5</v>
      </c>
      <c r="ABR43" s="138">
        <v>0.5</v>
      </c>
      <c r="ABS43" s="139">
        <v>0.5</v>
      </c>
      <c r="ABT43" s="140">
        <v>0.5</v>
      </c>
      <c r="ABU43" s="138">
        <v>0.5</v>
      </c>
      <c r="ABV43" s="138">
        <v>0.5</v>
      </c>
      <c r="ABW43" s="149">
        <v>0.5</v>
      </c>
      <c r="ABX43" s="136"/>
      <c r="ABY43" s="137"/>
      <c r="ABZ43" s="137"/>
      <c r="ACA43" s="137"/>
      <c r="ACB43" s="137"/>
      <c r="ACC43" s="137"/>
      <c r="ACD43" s="137"/>
      <c r="ACE43" s="137"/>
      <c r="ACF43" s="137"/>
      <c r="ACG43" s="137"/>
      <c r="ACH43" s="137"/>
      <c r="ACI43" s="153"/>
      <c r="ACJ43" s="304"/>
      <c r="ACK43" s="152"/>
      <c r="ACL43" s="131">
        <f>SUM(ABJ43:ACK43)</f>
      </c>
      <c r="ACM43" s="121"/>
      <c r="ACN43" s="122"/>
      <c r="ACO43" s="123"/>
      <c r="ACP43" s="124"/>
      <c r="ACQ43" s="124"/>
      <c r="ACR43" s="124"/>
      <c r="ACS43" s="124"/>
      <c r="ACT43" s="124"/>
      <c r="ACU43" s="124"/>
      <c r="ACV43" s="125"/>
      <c r="ACW43" s="126"/>
      <c r="ACX43" s="124"/>
      <c r="ACY43" s="124"/>
      <c r="ACZ43" s="127"/>
      <c r="ADA43" s="123"/>
      <c r="ADB43" s="124"/>
      <c r="ADC43" s="124"/>
      <c r="ADD43" s="124"/>
      <c r="ADE43" s="124"/>
      <c r="ADF43" s="124"/>
      <c r="ADG43" s="124"/>
      <c r="ADH43" s="124"/>
      <c r="ADI43" s="124"/>
      <c r="ADJ43" s="124"/>
      <c r="ADK43" s="124"/>
      <c r="ADL43" s="125"/>
      <c r="ADM43" s="301"/>
      <c r="ADN43" s="151"/>
      <c r="ADO43" s="131">
        <f>SUM(ACM43:ADN43)</f>
      </c>
      <c r="ADP43" s="121"/>
      <c r="ADQ43" s="122"/>
      <c r="ADR43" s="123"/>
      <c r="ADS43" s="124"/>
      <c r="ADT43" s="124"/>
      <c r="ADU43" s="124"/>
      <c r="ADV43" s="124"/>
      <c r="ADW43" s="124"/>
      <c r="ADX43" s="124"/>
      <c r="ADY43" s="125"/>
      <c r="ADZ43" s="126"/>
      <c r="AEA43" s="124"/>
      <c r="AEB43" s="124"/>
      <c r="AEC43" s="127"/>
      <c r="AED43" s="123"/>
      <c r="AEE43" s="124"/>
      <c r="AEF43" s="124"/>
      <c r="AEG43" s="124"/>
      <c r="AEH43" s="124"/>
      <c r="AEI43" s="124"/>
      <c r="AEJ43" s="124"/>
      <c r="AEK43" s="124"/>
      <c r="AEL43" s="124"/>
      <c r="AEM43" s="124"/>
      <c r="AEN43" s="124"/>
      <c r="AEO43" s="125"/>
      <c r="AEP43" s="301"/>
      <c r="AEQ43" s="151"/>
      <c r="AER43" s="131">
        <f>SUM(ADP43:AEQ43)</f>
      </c>
      <c r="AES43" s="150">
        <f>XZ43+ZC43+AAF43+ABI43+ACL43+ADO43+AER43</f>
      </c>
      <c r="AET43" s="302">
        <f>(COUNTIF(WX43:AER43,"H")+COUNTIF(WX43:AER43,"S")+COUNTIF(WX43:AER43,"L")+COUNTIF(WX43:AER43,"E")+COUNTIF(WX43:AER43,"C"))/2</f>
      </c>
      <c r="AEU43" s="131">
        <f>AES43+AET43</f>
      </c>
      <c r="AEV43" s="134"/>
      <c r="AEW43" s="135"/>
      <c r="AEX43" s="136"/>
      <c r="AEY43" s="138">
        <v>0.5</v>
      </c>
      <c r="AEZ43" s="138">
        <v>0.5</v>
      </c>
      <c r="AFA43" s="138">
        <v>0.5</v>
      </c>
      <c r="AFB43" s="138">
        <v>0.5</v>
      </c>
      <c r="AFC43" s="138">
        <v>0.5</v>
      </c>
      <c r="AFD43" s="138">
        <v>0.5</v>
      </c>
      <c r="AFE43" s="139">
        <v>0.5</v>
      </c>
      <c r="AFF43" s="140">
        <v>0.5</v>
      </c>
      <c r="AFG43" s="138">
        <v>0.5</v>
      </c>
      <c r="AFH43" s="148"/>
      <c r="AFI43" s="305"/>
      <c r="AFJ43" s="142">
        <v>0.5</v>
      </c>
      <c r="AFK43" s="138">
        <v>0.5</v>
      </c>
      <c r="AFL43" s="138">
        <v>0.5</v>
      </c>
      <c r="AFM43" s="138">
        <v>0.5</v>
      </c>
      <c r="AFN43" s="138">
        <v>0.5</v>
      </c>
      <c r="AFO43" s="138">
        <v>0.5</v>
      </c>
      <c r="AFP43" s="138">
        <v>0.5</v>
      </c>
      <c r="AFQ43" s="138">
        <v>0.5</v>
      </c>
      <c r="AFR43" s="137"/>
      <c r="AFS43" s="137"/>
      <c r="AFT43" s="137"/>
      <c r="AFU43" s="153"/>
      <c r="AFV43" s="304"/>
      <c r="AFW43" s="152"/>
      <c r="AFX43" s="131">
        <f>SUM(AEV43:AFW43)</f>
      </c>
      <c r="AFY43" s="134"/>
      <c r="AFZ43" s="135"/>
      <c r="AGA43" s="136"/>
      <c r="AGB43" s="138">
        <v>0.5</v>
      </c>
      <c r="AGC43" s="138">
        <v>0.5</v>
      </c>
      <c r="AGD43" s="138">
        <v>0.5</v>
      </c>
      <c r="AGE43" s="138">
        <v>0.5</v>
      </c>
      <c r="AGF43" s="138">
        <v>0.5</v>
      </c>
      <c r="AGG43" s="138">
        <v>0.5</v>
      </c>
      <c r="AGH43" s="139">
        <v>0.5</v>
      </c>
      <c r="AGI43" s="140">
        <v>0.5</v>
      </c>
      <c r="AGJ43" s="138">
        <v>0.5</v>
      </c>
      <c r="AGK43" s="148"/>
      <c r="AGL43" s="305"/>
      <c r="AGM43" s="142">
        <v>0.5</v>
      </c>
      <c r="AGN43" s="138">
        <v>0.5</v>
      </c>
      <c r="AGO43" s="138">
        <v>0.5</v>
      </c>
      <c r="AGP43" s="138">
        <v>0.5</v>
      </c>
      <c r="AGQ43" s="138">
        <v>0.5</v>
      </c>
      <c r="AGR43" s="138">
        <v>0.5</v>
      </c>
      <c r="AGS43" s="138">
        <v>0.5</v>
      </c>
      <c r="AGT43" s="138">
        <v>0.5</v>
      </c>
      <c r="AGU43" s="137"/>
      <c r="AGV43" s="137"/>
      <c r="AGW43" s="137"/>
      <c r="AGX43" s="153"/>
      <c r="AGY43" s="304"/>
      <c r="AGZ43" s="152"/>
      <c r="AHA43" s="131">
        <f>SUM(AFY43:AGZ43)</f>
      </c>
      <c r="AHB43" s="134"/>
      <c r="AHC43" s="135"/>
      <c r="AHD43" s="136"/>
      <c r="AHE43" s="138">
        <v>0.5</v>
      </c>
      <c r="AHF43" s="138">
        <v>0.5</v>
      </c>
      <c r="AHG43" s="138">
        <v>0.5</v>
      </c>
      <c r="AHH43" s="138">
        <v>0.5</v>
      </c>
      <c r="AHI43" s="138">
        <v>0.5</v>
      </c>
      <c r="AHJ43" s="138">
        <v>0.5</v>
      </c>
      <c r="AHK43" s="139">
        <v>0.5</v>
      </c>
      <c r="AHL43" s="140">
        <v>0.5</v>
      </c>
      <c r="AHM43" s="138">
        <v>0.5</v>
      </c>
      <c r="AHN43" s="148"/>
      <c r="AHO43" s="305"/>
      <c r="AHP43" s="142">
        <v>0.5</v>
      </c>
      <c r="AHQ43" s="138">
        <v>0.5</v>
      </c>
      <c r="AHR43" s="138">
        <v>0.5</v>
      </c>
      <c r="AHS43" s="138">
        <v>0.5</v>
      </c>
      <c r="AHT43" s="138">
        <v>0.5</v>
      </c>
      <c r="AHU43" s="138">
        <v>0.5</v>
      </c>
      <c r="AHV43" s="138">
        <v>0.5</v>
      </c>
      <c r="AHW43" s="138">
        <v>0.5</v>
      </c>
      <c r="AHX43" s="137"/>
      <c r="AHY43" s="137"/>
      <c r="AHZ43" s="137"/>
      <c r="AIA43" s="153"/>
      <c r="AIB43" s="304"/>
      <c r="AIC43" s="152"/>
      <c r="AID43" s="131">
        <f>SUM(AHB43:AIC43)</f>
      </c>
      <c r="AIE43" s="134"/>
      <c r="AIF43" s="135"/>
      <c r="AIG43" s="136"/>
      <c r="AIH43" s="138">
        <v>0.5</v>
      </c>
      <c r="AII43" s="138">
        <v>0.5</v>
      </c>
      <c r="AIJ43" s="138">
        <v>0.5</v>
      </c>
      <c r="AIK43" s="138">
        <v>0.5</v>
      </c>
      <c r="AIL43" s="138">
        <v>0.5</v>
      </c>
      <c r="AIM43" s="138">
        <v>0.5</v>
      </c>
      <c r="AIN43" s="139">
        <v>0.5</v>
      </c>
      <c r="AIO43" s="140">
        <v>0.5</v>
      </c>
      <c r="AIP43" s="138">
        <v>0.5</v>
      </c>
      <c r="AIQ43" s="148"/>
      <c r="AIR43" s="305"/>
      <c r="AIS43" s="142">
        <v>0.5</v>
      </c>
      <c r="AIT43" s="138">
        <v>0.5</v>
      </c>
      <c r="AIU43" s="138">
        <v>0.5</v>
      </c>
      <c r="AIV43" s="138">
        <v>0.5</v>
      </c>
      <c r="AIW43" s="138">
        <v>0.5</v>
      </c>
      <c r="AIX43" s="138">
        <v>0.5</v>
      </c>
      <c r="AIY43" s="138">
        <v>0.5</v>
      </c>
      <c r="AIZ43" s="138">
        <v>0.5</v>
      </c>
      <c r="AJA43" s="137"/>
      <c r="AJB43" s="137"/>
      <c r="AJC43" s="137"/>
      <c r="AJD43" s="153"/>
      <c r="AJE43" s="304"/>
      <c r="AJF43" s="152"/>
      <c r="AJG43" s="131">
        <f>SUM(AIE43:AJF43)</f>
      </c>
      <c r="AJH43" s="134"/>
      <c r="AJI43" s="135"/>
      <c r="AJJ43" s="142">
        <v>0.5</v>
      </c>
      <c r="AJK43" s="138">
        <v>0.5</v>
      </c>
      <c r="AJL43" s="138">
        <v>0.5</v>
      </c>
      <c r="AJM43" s="138">
        <v>0.5</v>
      </c>
      <c r="AJN43" s="138">
        <v>0.5</v>
      </c>
      <c r="AJO43" s="138">
        <v>0.5</v>
      </c>
      <c r="AJP43" s="138">
        <v>0.5</v>
      </c>
      <c r="AJQ43" s="139">
        <v>0.5</v>
      </c>
      <c r="AJR43" s="140">
        <v>0.5</v>
      </c>
      <c r="AJS43" s="138">
        <v>0.5</v>
      </c>
      <c r="AJT43" s="138">
        <v>0.5</v>
      </c>
      <c r="AJU43" s="149">
        <v>0.5</v>
      </c>
      <c r="AJV43" s="136"/>
      <c r="AJW43" s="137"/>
      <c r="AJX43" s="137"/>
      <c r="AJY43" s="137"/>
      <c r="AJZ43" s="137"/>
      <c r="AKA43" s="137"/>
      <c r="AKB43" s="137"/>
      <c r="AKC43" s="137"/>
      <c r="AKD43" s="137"/>
      <c r="AKE43" s="137"/>
      <c r="AKF43" s="137"/>
      <c r="AKG43" s="153"/>
      <c r="AKH43" s="304"/>
      <c r="AKI43" s="152"/>
      <c r="AKJ43" s="131">
        <f>SUM(AJH43:AKI43)</f>
      </c>
      <c r="AKK43" s="121"/>
      <c r="AKL43" s="122"/>
      <c r="AKM43" s="123"/>
      <c r="AKN43" s="124"/>
      <c r="AKO43" s="124"/>
      <c r="AKP43" s="124"/>
      <c r="AKQ43" s="124"/>
      <c r="AKR43" s="124"/>
      <c r="AKS43" s="124"/>
      <c r="AKT43" s="125"/>
      <c r="AKU43" s="126"/>
      <c r="AKV43" s="124"/>
      <c r="AKW43" s="124"/>
      <c r="AKX43" s="127"/>
      <c r="AKY43" s="123"/>
      <c r="AKZ43" s="124"/>
      <c r="ALA43" s="124"/>
      <c r="ALB43" s="124"/>
      <c r="ALC43" s="124"/>
      <c r="ALD43" s="124"/>
      <c r="ALE43" s="124"/>
      <c r="ALF43" s="124"/>
      <c r="ALG43" s="124"/>
      <c r="ALH43" s="124"/>
      <c r="ALI43" s="124"/>
      <c r="ALJ43" s="125"/>
      <c r="ALK43" s="301"/>
      <c r="ALL43" s="151"/>
      <c r="ALM43" s="131">
        <f>SUM(AKK43:ALL43)</f>
      </c>
      <c r="ALN43" s="121"/>
      <c r="ALO43" s="122"/>
      <c r="ALP43" s="123"/>
      <c r="ALQ43" s="124"/>
      <c r="ALR43" s="124"/>
      <c r="ALS43" s="124"/>
      <c r="ALT43" s="124"/>
      <c r="ALU43" s="124"/>
      <c r="ALV43" s="124"/>
      <c r="ALW43" s="125"/>
      <c r="ALX43" s="126"/>
      <c r="ALY43" s="124"/>
      <c r="ALZ43" s="124"/>
      <c r="AMA43" s="127"/>
      <c r="AMB43" s="123"/>
      <c r="AMC43" s="124"/>
      <c r="AMD43" s="124"/>
      <c r="AME43" s="124"/>
      <c r="AMF43" s="124"/>
      <c r="AMG43" s="124"/>
      <c r="AMH43" s="124"/>
      <c r="AMI43" s="124"/>
      <c r="AMJ43" s="124"/>
      <c r="AMK43" s="124"/>
      <c r="AML43" s="124"/>
      <c r="AMM43" s="125"/>
      <c r="AMN43" s="301"/>
      <c r="AMO43" s="151"/>
      <c r="AMP43" s="131">
        <f>SUM(ALN43:AMO43)</f>
      </c>
      <c r="AMQ43" s="150">
        <f>AFX43+AHA43+AID43+AJG43+AKJ43+ALM43+AMP43</f>
      </c>
      <c r="AMR43" s="302">
        <f>(COUNTIF(AEV43:AMP43,"H")+COUNTIF(AEV43:AMP43,"S")+COUNTIF(AEV43:AMP43,"L")+COUNTIF(AEV43:AMP43,"E")+COUNTIF(AEV43:AMP43,"C"))/2</f>
      </c>
      <c r="AMS43" s="131">
        <f>AMQ43+AMR43</f>
      </c>
      <c r="AMT43" s="4"/>
      <c r="AMU43" s="4"/>
      <c r="AMV43" s="4"/>
      <c r="AMW43" s="4"/>
      <c r="AMX43" s="4"/>
      <c r="AMY43" s="4"/>
      <c r="AMZ43" s="4"/>
      <c r="ANA43" s="4"/>
      <c r="ANB43" s="4"/>
      <c r="ANC43" s="4"/>
      <c r="AND43" s="4"/>
      <c r="ANE43" s="4"/>
      <c r="ANF43" s="4"/>
      <c r="ANG43" s="4"/>
      <c r="ANH43" s="4"/>
      <c r="ANI43" s="4"/>
      <c r="ANJ43" s="13"/>
      <c r="ANK43" s="13"/>
      <c r="ANL43" s="4"/>
      <c r="ANM43" s="4"/>
      <c r="ANN43" s="4"/>
      <c r="ANO43" s="4"/>
      <c r="ANP43" s="4"/>
      <c r="ANQ43" s="4"/>
      <c r="ANR43" s="4"/>
      <c r="ANS43" s="4"/>
      <c r="ANT43" s="4"/>
      <c r="ANU43" s="4"/>
      <c r="ANV43" s="4"/>
      <c r="ANW43" s="4"/>
      <c r="ANX43" s="4"/>
      <c r="ANY43" s="4"/>
      <c r="ANZ43" s="4"/>
      <c r="AOA43" s="4"/>
      <c r="AOB43" s="4"/>
      <c r="AOC43" s="4"/>
      <c r="AOD43" s="4"/>
      <c r="AOE43" s="4"/>
      <c r="AOF43" s="4"/>
      <c r="AOG43" s="4"/>
      <c r="AOH43" s="4"/>
      <c r="AOI43" s="4"/>
      <c r="AOJ43" s="4"/>
      <c r="AOK43" s="4"/>
      <c r="AOL43" s="4"/>
      <c r="AOM43" s="4"/>
      <c r="AON43" s="4"/>
      <c r="AOO43" s="4"/>
      <c r="AOP43" s="4"/>
      <c r="AOQ43" s="4"/>
      <c r="AOR43" s="4"/>
      <c r="AOS43" s="4"/>
      <c r="AOT43" s="4"/>
      <c r="AOU43" s="4"/>
      <c r="AOV43" s="4"/>
      <c r="AOW43" s="4"/>
      <c r="AOX43" s="4"/>
      <c r="AOY43" s="4"/>
      <c r="AOZ43" s="4"/>
      <c r="APA43" s="4"/>
      <c r="APB43" s="4"/>
      <c r="APC43" s="4"/>
      <c r="APD43" s="4"/>
      <c r="APE43" s="4"/>
      <c r="APF43" s="4"/>
      <c r="APG43" s="4"/>
      <c r="APH43" s="4"/>
      <c r="API43" s="4"/>
      <c r="APJ43" s="4"/>
      <c r="APK43" s="4"/>
      <c r="APL43" s="4"/>
      <c r="APM43" s="4"/>
      <c r="APN43" s="4"/>
      <c r="APO43" s="4"/>
      <c r="APP43" s="4"/>
      <c r="APQ43" s="4"/>
      <c r="APR43" s="4"/>
      <c r="APS43" s="4"/>
      <c r="APT43" s="4"/>
      <c r="APU43" s="4"/>
      <c r="APV43" s="4"/>
      <c r="APW43" s="4"/>
      <c r="APX43" s="4"/>
      <c r="APY43" s="4"/>
      <c r="APZ43" s="4"/>
      <c r="AQA43" s="4"/>
      <c r="AQB43" s="4"/>
      <c r="AQC43" s="4"/>
      <c r="AQD43" s="4"/>
      <c r="AQE43" s="4"/>
      <c r="AQF43" s="4"/>
      <c r="AQG43" s="4"/>
      <c r="AQH43" s="4"/>
      <c r="AQI43" s="4"/>
      <c r="AQJ43" s="4"/>
      <c r="AQK43" s="4"/>
      <c r="AQL43" s="4"/>
      <c r="AQM43" s="4"/>
      <c r="AQN43" s="4"/>
      <c r="AQO43" s="4"/>
      <c r="AQP43" s="4"/>
      <c r="AQQ43" s="4"/>
      <c r="AQR43" s="4"/>
      <c r="AQS43" s="4"/>
      <c r="AQT43" s="4"/>
      <c r="AQU43" s="4"/>
      <c r="AQV43" s="4"/>
      <c r="AQW43" s="4"/>
      <c r="AQX43" s="4"/>
      <c r="AQY43" s="4"/>
      <c r="AQZ43" s="4"/>
      <c r="ARA43" s="4"/>
      <c r="ARB43" s="4"/>
      <c r="ARC43" s="4"/>
      <c r="ARD43" s="4"/>
      <c r="ARE43" s="4"/>
      <c r="ARF43" s="4"/>
      <c r="ARG43" s="4"/>
      <c r="ARH43" s="4"/>
      <c r="ARI43" s="4"/>
      <c r="ARJ43" s="4"/>
      <c r="ARK43" s="4"/>
      <c r="ARL43" s="4"/>
      <c r="ARM43" s="4"/>
      <c r="ARN43" s="4"/>
      <c r="ARO43" s="4"/>
      <c r="ARP43" s="4"/>
      <c r="ARQ43" s="4"/>
      <c r="ARR43" s="4"/>
      <c r="ARS43" s="4"/>
      <c r="ART43" s="4"/>
      <c r="ARU43" s="4"/>
      <c r="ARV43" s="4"/>
      <c r="ARW43" s="4"/>
      <c r="ARX43" s="4"/>
      <c r="ARY43" s="4"/>
      <c r="ARZ43" s="4"/>
      <c r="ASA43" s="4"/>
      <c r="ASB43" s="4"/>
      <c r="ASC43" s="4"/>
      <c r="ASD43" s="4"/>
      <c r="ASE43" s="4"/>
      <c r="ASF43" s="4"/>
      <c r="ASG43" s="4"/>
      <c r="ASH43" s="4"/>
      <c r="ASI43" s="4"/>
      <c r="ASJ43" s="4"/>
      <c r="ASK43" s="4"/>
      <c r="ASL43" s="4"/>
      <c r="ASM43" s="4"/>
      <c r="ASN43" s="4"/>
      <c r="ASO43" s="4"/>
      <c r="ASP43" s="4"/>
      <c r="ASQ43" s="4"/>
      <c r="ASR43" s="4"/>
      <c r="ASS43" s="4"/>
      <c r="AST43" s="4"/>
      <c r="ASU43" s="4"/>
    </row>
    <row r="44" ht="15" customHeight="1" spans="1:1191" x14ac:dyDescent="0.25">
      <c r="A44" s="118"/>
      <c r="B44" s="119" t="s">
        <v>83</v>
      </c>
      <c r="C44" s="321" t="s">
        <v>81</v>
      </c>
      <c r="D44" s="121"/>
      <c r="E44" s="122"/>
      <c r="F44" s="123"/>
      <c r="G44" s="124"/>
      <c r="H44" s="124"/>
      <c r="I44" s="124"/>
      <c r="J44" s="124"/>
      <c r="K44" s="124"/>
      <c r="L44" s="124"/>
      <c r="M44" s="125"/>
      <c r="N44" s="126"/>
      <c r="O44" s="124"/>
      <c r="P44" s="124"/>
      <c r="Q44" s="127"/>
      <c r="R44" s="123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5"/>
      <c r="AD44" s="301"/>
      <c r="AE44" s="151"/>
      <c r="AF44" s="131">
        <f>SUM(D44:AE44)</f>
      </c>
      <c r="AG44" s="121"/>
      <c r="AH44" s="122"/>
      <c r="AI44" s="123"/>
      <c r="AJ44" s="124"/>
      <c r="AK44" s="124"/>
      <c r="AL44" s="124"/>
      <c r="AM44" s="124"/>
      <c r="AN44" s="124"/>
      <c r="AO44" s="124"/>
      <c r="AP44" s="125"/>
      <c r="AQ44" s="126"/>
      <c r="AR44" s="124"/>
      <c r="AS44" s="124"/>
      <c r="AT44" s="127"/>
      <c r="AU44" s="123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5"/>
      <c r="BG44" s="301"/>
      <c r="BH44" s="151"/>
      <c r="BI44" s="131">
        <f>SUM(AG44:BH44)</f>
      </c>
      <c r="BJ44" s="121"/>
      <c r="BK44" s="122"/>
      <c r="BL44" s="123"/>
      <c r="BM44" s="124"/>
      <c r="BN44" s="124"/>
      <c r="BO44" s="124"/>
      <c r="BP44" s="124"/>
      <c r="BQ44" s="124"/>
      <c r="BR44" s="124"/>
      <c r="BS44" s="125"/>
      <c r="BT44" s="126"/>
      <c r="BU44" s="124"/>
      <c r="BV44" s="124"/>
      <c r="BW44" s="127"/>
      <c r="BX44" s="123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5"/>
      <c r="CJ44" s="301"/>
      <c r="CK44" s="151"/>
      <c r="CL44" s="131">
        <f>SUM(BJ44:CK44)</f>
      </c>
      <c r="CM44" s="121"/>
      <c r="CN44" s="122"/>
      <c r="CO44" s="123"/>
      <c r="CP44" s="124"/>
      <c r="CQ44" s="124"/>
      <c r="CR44" s="124"/>
      <c r="CS44" s="124"/>
      <c r="CT44" s="124"/>
      <c r="CU44" s="124"/>
      <c r="CV44" s="125"/>
      <c r="CW44" s="126"/>
      <c r="CX44" s="124"/>
      <c r="CY44" s="124"/>
      <c r="CZ44" s="127"/>
      <c r="DA44" s="123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5"/>
      <c r="DM44" s="301"/>
      <c r="DN44" s="151"/>
      <c r="DO44" s="131">
        <f>SUM(CM44:DN44)</f>
      </c>
      <c r="DP44" s="121"/>
      <c r="DQ44" s="122"/>
      <c r="DR44" s="123"/>
      <c r="DS44" s="124"/>
      <c r="DT44" s="124"/>
      <c r="DU44" s="124"/>
      <c r="DV44" s="124"/>
      <c r="DW44" s="124"/>
      <c r="DX44" s="124"/>
      <c r="DY44" s="125"/>
      <c r="DZ44" s="126"/>
      <c r="EA44" s="124"/>
      <c r="EB44" s="124"/>
      <c r="EC44" s="127"/>
      <c r="ED44" s="123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5"/>
      <c r="EP44" s="301"/>
      <c r="EQ44" s="151"/>
      <c r="ER44" s="131">
        <f>SUM(DP44:EQ44)</f>
      </c>
      <c r="ES44" s="121"/>
      <c r="ET44" s="122"/>
      <c r="EU44" s="123"/>
      <c r="EV44" s="124"/>
      <c r="EW44" s="124"/>
      <c r="EX44" s="124"/>
      <c r="EY44" s="124"/>
      <c r="EZ44" s="124"/>
      <c r="FA44" s="124"/>
      <c r="FB44" s="125"/>
      <c r="FC44" s="126"/>
      <c r="FD44" s="124"/>
      <c r="FE44" s="124"/>
      <c r="FF44" s="127"/>
      <c r="FG44" s="123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5"/>
      <c r="FS44" s="301"/>
      <c r="FT44" s="151"/>
      <c r="FU44" s="131">
        <f>SUM(ES44:FT44)</f>
      </c>
      <c r="FV44" s="121"/>
      <c r="FW44" s="122"/>
      <c r="FX44" s="123"/>
      <c r="FY44" s="124"/>
      <c r="FZ44" s="124"/>
      <c r="GA44" s="124"/>
      <c r="GB44" s="124"/>
      <c r="GC44" s="124"/>
      <c r="GD44" s="124"/>
      <c r="GE44" s="125"/>
      <c r="GF44" s="126"/>
      <c r="GG44" s="124"/>
      <c r="GH44" s="124"/>
      <c r="GI44" s="127"/>
      <c r="GJ44" s="123"/>
      <c r="GK44" s="124"/>
      <c r="GL44" s="124"/>
      <c r="GM44" s="124"/>
      <c r="GN44" s="124"/>
      <c r="GO44" s="124"/>
      <c r="GP44" s="124"/>
      <c r="GQ44" s="124"/>
      <c r="GR44" s="124"/>
      <c r="GS44" s="124"/>
      <c r="GT44" s="124"/>
      <c r="GU44" s="125"/>
      <c r="GV44" s="301"/>
      <c r="GW44" s="151"/>
      <c r="GX44" s="131">
        <f>SUM(FV44:GW44)</f>
      </c>
      <c r="GY44" s="150">
        <f>AF44+BI44+CL44+DO44+ER44+FU44+GX44</f>
      </c>
      <c r="GZ44" s="302">
        <f>(COUNTIF(D44:GX44,"H")+COUNTIF(D44:GX44,"S")+COUNTIF(D44:GX44,"L")+COUNTIF(D44:GX44,"E")+COUNTIF(D44:GX44,"C"))/2</f>
      </c>
      <c r="HA44" s="131">
        <f>GY44+GZ44</f>
      </c>
      <c r="HB44" s="134"/>
      <c r="HC44" s="135"/>
      <c r="HD44" s="136"/>
      <c r="HE44" s="138">
        <v>0.5</v>
      </c>
      <c r="HF44" s="138">
        <v>0.5</v>
      </c>
      <c r="HG44" s="138">
        <v>0.5</v>
      </c>
      <c r="HH44" s="138">
        <v>0.5</v>
      </c>
      <c r="HI44" s="138">
        <v>0.5</v>
      </c>
      <c r="HJ44" s="138">
        <v>0.5</v>
      </c>
      <c r="HK44" s="139">
        <v>0.5</v>
      </c>
      <c r="HL44" s="155"/>
      <c r="HM44" s="137"/>
      <c r="HN44" s="138">
        <v>0.5</v>
      </c>
      <c r="HO44" s="149">
        <v>0.5</v>
      </c>
      <c r="HP44" s="142">
        <v>0.5</v>
      </c>
      <c r="HQ44" s="138">
        <v>0.5</v>
      </c>
      <c r="HR44" s="138">
        <v>0.5</v>
      </c>
      <c r="HS44" s="138">
        <v>0.5</v>
      </c>
      <c r="HT44" s="138">
        <v>0.5</v>
      </c>
      <c r="HU44" s="138">
        <v>0.5</v>
      </c>
      <c r="HV44" s="138">
        <v>0.5</v>
      </c>
      <c r="HW44" s="138">
        <v>0.5</v>
      </c>
      <c r="HX44" s="137"/>
      <c r="HY44" s="137"/>
      <c r="HZ44" s="137"/>
      <c r="IA44" s="153"/>
      <c r="IB44" s="304"/>
      <c r="IC44" s="152"/>
      <c r="ID44" s="131">
        <f>SUM(HB44:IC44)</f>
      </c>
      <c r="IE44" s="134"/>
      <c r="IF44" s="135"/>
      <c r="IG44" s="136"/>
      <c r="IH44" s="138">
        <v>0.5</v>
      </c>
      <c r="II44" s="138">
        <v>0.5</v>
      </c>
      <c r="IJ44" s="138">
        <v>0.5</v>
      </c>
      <c r="IK44" s="138">
        <v>0.5</v>
      </c>
      <c r="IL44" s="138">
        <v>0.5</v>
      </c>
      <c r="IM44" s="138">
        <v>0.5</v>
      </c>
      <c r="IN44" s="139">
        <v>0.5</v>
      </c>
      <c r="IO44" s="155"/>
      <c r="IP44" s="137"/>
      <c r="IQ44" s="138">
        <v>0.5</v>
      </c>
      <c r="IR44" s="149">
        <v>0.5</v>
      </c>
      <c r="IS44" s="142">
        <v>0.5</v>
      </c>
      <c r="IT44" s="138">
        <v>0.5</v>
      </c>
      <c r="IU44" s="138">
        <v>0.5</v>
      </c>
      <c r="IV44" s="138">
        <v>0.5</v>
      </c>
      <c r="IW44" s="138">
        <v>0.5</v>
      </c>
      <c r="IX44" s="138">
        <v>0.5</v>
      </c>
      <c r="IY44" s="138">
        <v>0.5</v>
      </c>
      <c r="IZ44" s="138">
        <v>0.5</v>
      </c>
      <c r="JA44" s="137"/>
      <c r="JB44" s="137"/>
      <c r="JC44" s="137"/>
      <c r="JD44" s="153"/>
      <c r="JE44" s="304"/>
      <c r="JF44" s="152"/>
      <c r="JG44" s="131">
        <f>SUM(IE44:JF44)</f>
      </c>
      <c r="JH44" s="134"/>
      <c r="JI44" s="135"/>
      <c r="JJ44" s="136"/>
      <c r="JK44" s="138">
        <v>0.5</v>
      </c>
      <c r="JL44" s="138">
        <v>0.5</v>
      </c>
      <c r="JM44" s="138">
        <v>0.5</v>
      </c>
      <c r="JN44" s="138">
        <v>0.5</v>
      </c>
      <c r="JO44" s="138">
        <v>0.5</v>
      </c>
      <c r="JP44" s="138">
        <v>0.5</v>
      </c>
      <c r="JQ44" s="139">
        <v>0.5</v>
      </c>
      <c r="JR44" s="155"/>
      <c r="JS44" s="137"/>
      <c r="JT44" s="138">
        <v>0.5</v>
      </c>
      <c r="JU44" s="149">
        <v>0.5</v>
      </c>
      <c r="JV44" s="142">
        <v>0.5</v>
      </c>
      <c r="JW44" s="138">
        <v>0.5</v>
      </c>
      <c r="JX44" s="138">
        <v>0.5</v>
      </c>
      <c r="JY44" s="138">
        <v>0.5</v>
      </c>
      <c r="JZ44" s="138">
        <v>0.5</v>
      </c>
      <c r="KA44" s="138">
        <v>0.5</v>
      </c>
      <c r="KB44" s="138">
        <v>0.5</v>
      </c>
      <c r="KC44" s="138">
        <v>0.5</v>
      </c>
      <c r="KD44" s="137"/>
      <c r="KE44" s="137"/>
      <c r="KF44" s="137"/>
      <c r="KG44" s="153"/>
      <c r="KH44" s="304"/>
      <c r="KI44" s="152"/>
      <c r="KJ44" s="131">
        <f>SUM(JH44:KI44)</f>
      </c>
      <c r="KK44" s="134"/>
      <c r="KL44" s="135"/>
      <c r="KM44" s="136"/>
      <c r="KN44" s="138">
        <v>0.5</v>
      </c>
      <c r="KO44" s="138">
        <v>0.5</v>
      </c>
      <c r="KP44" s="138">
        <v>0.5</v>
      </c>
      <c r="KQ44" s="138">
        <v>0.5</v>
      </c>
      <c r="KR44" s="138">
        <v>0.5</v>
      </c>
      <c r="KS44" s="138">
        <v>0.5</v>
      </c>
      <c r="KT44" s="139">
        <v>0.5</v>
      </c>
      <c r="KU44" s="155"/>
      <c r="KV44" s="137"/>
      <c r="KW44" s="138">
        <v>0.5</v>
      </c>
      <c r="KX44" s="149">
        <v>0.5</v>
      </c>
      <c r="KY44" s="142">
        <v>0.5</v>
      </c>
      <c r="KZ44" s="138">
        <v>0.5</v>
      </c>
      <c r="LA44" s="138">
        <v>0.5</v>
      </c>
      <c r="LB44" s="138">
        <v>0.5</v>
      </c>
      <c r="LC44" s="138">
        <v>0.5</v>
      </c>
      <c r="LD44" s="138">
        <v>0.5</v>
      </c>
      <c r="LE44" s="138">
        <v>0.5</v>
      </c>
      <c r="LF44" s="138">
        <v>0.5</v>
      </c>
      <c r="LG44" s="137"/>
      <c r="LH44" s="137"/>
      <c r="LI44" s="137"/>
      <c r="LJ44" s="153"/>
      <c r="LK44" s="304"/>
      <c r="LL44" s="152"/>
      <c r="LM44" s="131">
        <f>SUM(KK44:LL44)</f>
      </c>
      <c r="LN44" s="134"/>
      <c r="LO44" s="135"/>
      <c r="LP44" s="142">
        <v>0.5</v>
      </c>
      <c r="LQ44" s="138">
        <v>0.5</v>
      </c>
      <c r="LR44" s="138">
        <v>0.5</v>
      </c>
      <c r="LS44" s="138">
        <v>0.5</v>
      </c>
      <c r="LT44" s="138">
        <v>0.5</v>
      </c>
      <c r="LU44" s="138">
        <v>0.5</v>
      </c>
      <c r="LV44" s="138">
        <v>0.5</v>
      </c>
      <c r="LW44" s="139">
        <v>0.5</v>
      </c>
      <c r="LX44" s="140">
        <v>0.5</v>
      </c>
      <c r="LY44" s="138">
        <v>0.5</v>
      </c>
      <c r="LZ44" s="138">
        <v>0.5</v>
      </c>
      <c r="MA44" s="149">
        <v>0.5</v>
      </c>
      <c r="MB44" s="136"/>
      <c r="MC44" s="137"/>
      <c r="MD44" s="137"/>
      <c r="ME44" s="137"/>
      <c r="MF44" s="137"/>
      <c r="MG44" s="137"/>
      <c r="MH44" s="137"/>
      <c r="MI44" s="137"/>
      <c r="MJ44" s="137"/>
      <c r="MK44" s="137"/>
      <c r="ML44" s="137"/>
      <c r="MM44" s="153"/>
      <c r="MN44" s="304"/>
      <c r="MO44" s="152"/>
      <c r="MP44" s="131">
        <f>SUM(LN44:MO44)</f>
      </c>
      <c r="MQ44" s="121"/>
      <c r="MR44" s="122"/>
      <c r="MS44" s="123"/>
      <c r="MT44" s="124"/>
      <c r="MU44" s="124"/>
      <c r="MV44" s="124"/>
      <c r="MW44" s="124"/>
      <c r="MX44" s="124"/>
      <c r="MY44" s="124"/>
      <c r="MZ44" s="125"/>
      <c r="NA44" s="126"/>
      <c r="NB44" s="124"/>
      <c r="NC44" s="124"/>
      <c r="ND44" s="127"/>
      <c r="NE44" s="123"/>
      <c r="NF44" s="124"/>
      <c r="NG44" s="124"/>
      <c r="NH44" s="124"/>
      <c r="NI44" s="124"/>
      <c r="NJ44" s="124"/>
      <c r="NK44" s="124"/>
      <c r="NL44" s="124"/>
      <c r="NM44" s="124"/>
      <c r="NN44" s="124"/>
      <c r="NO44" s="124"/>
      <c r="NP44" s="125"/>
      <c r="NQ44" s="301"/>
      <c r="NR44" s="151"/>
      <c r="NS44" s="131">
        <f>SUM(MQ44:NR44)</f>
      </c>
      <c r="NT44" s="121"/>
      <c r="NU44" s="122"/>
      <c r="NV44" s="123"/>
      <c r="NW44" s="124"/>
      <c r="NX44" s="124"/>
      <c r="NY44" s="124"/>
      <c r="NZ44" s="124"/>
      <c r="OA44" s="124"/>
      <c r="OB44" s="124"/>
      <c r="OC44" s="125"/>
      <c r="OD44" s="126"/>
      <c r="OE44" s="124"/>
      <c r="OF44" s="124"/>
      <c r="OG44" s="127"/>
      <c r="OH44" s="123"/>
      <c r="OI44" s="124"/>
      <c r="OJ44" s="124"/>
      <c r="OK44" s="124"/>
      <c r="OL44" s="124"/>
      <c r="OM44" s="124"/>
      <c r="ON44" s="124"/>
      <c r="OO44" s="124"/>
      <c r="OP44" s="124"/>
      <c r="OQ44" s="124"/>
      <c r="OR44" s="124"/>
      <c r="OS44" s="125"/>
      <c r="OT44" s="301"/>
      <c r="OU44" s="151"/>
      <c r="OV44" s="131">
        <f>SUM(NT44:OU44)</f>
      </c>
      <c r="OW44" s="150">
        <f>ID44+JG44+KJ44+LM44+MP44+NS44+OV44</f>
      </c>
      <c r="OX44" s="302">
        <f>(COUNTIF(HB44:OV44,"H")+COUNTIF(HB44:OV44,"S")+COUNTIF(HB44:OV44,"L")+COUNTIF(HB44:OV44,"E")+COUNTIF(HB44:OV44,"C"))/2</f>
      </c>
      <c r="OY44" s="131">
        <f>OW44+OX44</f>
      </c>
      <c r="OZ44" s="134"/>
      <c r="PA44" s="135"/>
      <c r="PB44" s="136"/>
      <c r="PC44" s="138">
        <v>0.5</v>
      </c>
      <c r="PD44" s="138">
        <v>0.5</v>
      </c>
      <c r="PE44" s="138">
        <v>0.5</v>
      </c>
      <c r="PF44" s="138">
        <v>0.5</v>
      </c>
      <c r="PG44" s="138">
        <v>0.5</v>
      </c>
      <c r="PH44" s="138">
        <v>0.5</v>
      </c>
      <c r="PI44" s="139">
        <v>0.5</v>
      </c>
      <c r="PJ44" s="155"/>
      <c r="PK44" s="137"/>
      <c r="PL44" s="138">
        <v>0.5</v>
      </c>
      <c r="PM44" s="149">
        <v>0.5</v>
      </c>
      <c r="PN44" s="142">
        <v>0.5</v>
      </c>
      <c r="PO44" s="138">
        <v>0.5</v>
      </c>
      <c r="PP44" s="138">
        <v>0.5</v>
      </c>
      <c r="PQ44" s="138">
        <v>0.5</v>
      </c>
      <c r="PR44" s="138">
        <v>0.5</v>
      </c>
      <c r="PS44" s="138">
        <v>0.5</v>
      </c>
      <c r="PT44" s="138">
        <v>0.5</v>
      </c>
      <c r="PU44" s="137"/>
      <c r="PV44" s="137"/>
      <c r="PW44" s="137"/>
      <c r="PX44" s="137"/>
      <c r="PY44" s="153"/>
      <c r="PZ44" s="304"/>
      <c r="QA44" s="152"/>
      <c r="QB44" s="131">
        <f>SUM(OZ44:QA44)</f>
      </c>
      <c r="QC44" s="134"/>
      <c r="QD44" s="135"/>
      <c r="QE44" s="136"/>
      <c r="QF44" s="138">
        <v>0.5</v>
      </c>
      <c r="QG44" s="138">
        <v>0.5</v>
      </c>
      <c r="QH44" s="138">
        <v>0.5</v>
      </c>
      <c r="QI44" s="138">
        <v>0.5</v>
      </c>
      <c r="QJ44" s="138">
        <v>0.5</v>
      </c>
      <c r="QK44" s="138">
        <v>0.5</v>
      </c>
      <c r="QL44" s="139">
        <v>0.5</v>
      </c>
      <c r="QM44" s="155"/>
      <c r="QN44" s="137"/>
      <c r="QO44" s="138">
        <v>0.5</v>
      </c>
      <c r="QP44" s="149">
        <v>0.5</v>
      </c>
      <c r="QQ44" s="142">
        <v>0.5</v>
      </c>
      <c r="QR44" s="138">
        <v>0.5</v>
      </c>
      <c r="QS44" s="138">
        <v>0.5</v>
      </c>
      <c r="QT44" s="138">
        <v>0.5</v>
      </c>
      <c r="QU44" s="138">
        <v>0.5</v>
      </c>
      <c r="QV44" s="138">
        <v>0.5</v>
      </c>
      <c r="QW44" s="138">
        <v>0.5</v>
      </c>
      <c r="QX44" s="137"/>
      <c r="QY44" s="137"/>
      <c r="QZ44" s="137"/>
      <c r="RA44" s="137"/>
      <c r="RB44" s="153"/>
      <c r="RC44" s="304"/>
      <c r="RD44" s="152"/>
      <c r="RE44" s="131">
        <f>SUM(QC44:RD44)</f>
      </c>
      <c r="RF44" s="134"/>
      <c r="RG44" s="135"/>
      <c r="RH44" s="136"/>
      <c r="RI44" s="138">
        <v>0.5</v>
      </c>
      <c r="RJ44" s="138">
        <v>0.5</v>
      </c>
      <c r="RK44" s="138">
        <v>0.5</v>
      </c>
      <c r="RL44" s="138">
        <v>0.5</v>
      </c>
      <c r="RM44" s="138">
        <v>0.5</v>
      </c>
      <c r="RN44" s="138">
        <v>0.5</v>
      </c>
      <c r="RO44" s="139">
        <v>0.5</v>
      </c>
      <c r="RP44" s="155"/>
      <c r="RQ44" s="137"/>
      <c r="RR44" s="138">
        <v>0.5</v>
      </c>
      <c r="RS44" s="149">
        <v>0.5</v>
      </c>
      <c r="RT44" s="142">
        <v>0.5</v>
      </c>
      <c r="RU44" s="138">
        <v>0.5</v>
      </c>
      <c r="RV44" s="138">
        <v>0.5</v>
      </c>
      <c r="RW44" s="138">
        <v>0.5</v>
      </c>
      <c r="RX44" s="138">
        <v>0.5</v>
      </c>
      <c r="RY44" s="138">
        <v>0.5</v>
      </c>
      <c r="RZ44" s="138">
        <v>0.5</v>
      </c>
      <c r="SA44" s="137"/>
      <c r="SB44" s="137"/>
      <c r="SC44" s="137"/>
      <c r="SD44" s="137"/>
      <c r="SE44" s="153"/>
      <c r="SF44" s="304"/>
      <c r="SG44" s="152"/>
      <c r="SH44" s="131">
        <f>SUM(RF44:SG44)</f>
      </c>
      <c r="SI44" s="134"/>
      <c r="SJ44" s="135"/>
      <c r="SK44" s="136"/>
      <c r="SL44" s="138">
        <v>0.5</v>
      </c>
      <c r="SM44" s="138">
        <v>0.5</v>
      </c>
      <c r="SN44" s="138">
        <v>0.5</v>
      </c>
      <c r="SO44" s="138">
        <v>0.5</v>
      </c>
      <c r="SP44" s="138">
        <v>0.5</v>
      </c>
      <c r="SQ44" s="138">
        <v>0.5</v>
      </c>
      <c r="SR44" s="139">
        <v>0.5</v>
      </c>
      <c r="SS44" s="155"/>
      <c r="ST44" s="137"/>
      <c r="SU44" s="138">
        <v>0.5</v>
      </c>
      <c r="SV44" s="149">
        <v>0.5</v>
      </c>
      <c r="SW44" s="142">
        <v>0.5</v>
      </c>
      <c r="SX44" s="138">
        <v>0.5</v>
      </c>
      <c r="SY44" s="138">
        <v>0.5</v>
      </c>
      <c r="SZ44" s="138">
        <v>0.5</v>
      </c>
      <c r="TA44" s="138">
        <v>0.5</v>
      </c>
      <c r="TB44" s="138">
        <v>0.5</v>
      </c>
      <c r="TC44" s="138">
        <v>0.5</v>
      </c>
      <c r="TD44" s="137"/>
      <c r="TE44" s="137"/>
      <c r="TF44" s="137"/>
      <c r="TG44" s="137"/>
      <c r="TH44" s="153"/>
      <c r="TI44" s="304"/>
      <c r="TJ44" s="152"/>
      <c r="TK44" s="131">
        <f>SUM(SI44:TJ44)</f>
      </c>
      <c r="TL44" s="134"/>
      <c r="TM44" s="135"/>
      <c r="TN44" s="136"/>
      <c r="TO44" s="138">
        <v>0.5</v>
      </c>
      <c r="TP44" s="138">
        <v>0.5</v>
      </c>
      <c r="TQ44" s="138">
        <v>0.5</v>
      </c>
      <c r="TR44" s="138">
        <v>0.5</v>
      </c>
      <c r="TS44" s="138">
        <v>0.5</v>
      </c>
      <c r="TT44" s="138">
        <v>0.5</v>
      </c>
      <c r="TU44" s="139">
        <v>0.5</v>
      </c>
      <c r="TV44" s="155"/>
      <c r="TW44" s="137"/>
      <c r="TX44" s="138">
        <v>0.5</v>
      </c>
      <c r="TY44" s="149">
        <v>0.5</v>
      </c>
      <c r="TZ44" s="142">
        <v>0.5</v>
      </c>
      <c r="UA44" s="138">
        <v>0.5</v>
      </c>
      <c r="UB44" s="138">
        <v>0.5</v>
      </c>
      <c r="UC44" s="138">
        <v>0.5</v>
      </c>
      <c r="UD44" s="138">
        <v>0.5</v>
      </c>
      <c r="UE44" s="138">
        <v>0.5</v>
      </c>
      <c r="UF44" s="138">
        <v>0.5</v>
      </c>
      <c r="UG44" s="137"/>
      <c r="UH44" s="137"/>
      <c r="UI44" s="137"/>
      <c r="UJ44" s="137"/>
      <c r="UK44" s="153"/>
      <c r="UL44" s="304"/>
      <c r="UM44" s="152"/>
      <c r="UN44" s="131">
        <f>SUM(TL44:UM44)</f>
      </c>
      <c r="UO44" s="121"/>
      <c r="UP44" s="122"/>
      <c r="UQ44" s="123"/>
      <c r="UR44" s="124"/>
      <c r="US44" s="124"/>
      <c r="UT44" s="124"/>
      <c r="UU44" s="124"/>
      <c r="UV44" s="124"/>
      <c r="UW44" s="124"/>
      <c r="UX44" s="125"/>
      <c r="UY44" s="126"/>
      <c r="UZ44" s="124"/>
      <c r="VA44" s="124"/>
      <c r="VB44" s="127"/>
      <c r="VC44" s="123"/>
      <c r="VD44" s="124"/>
      <c r="VE44" s="124"/>
      <c r="VF44" s="124"/>
      <c r="VG44" s="124"/>
      <c r="VH44" s="124"/>
      <c r="VI44" s="124"/>
      <c r="VJ44" s="124"/>
      <c r="VK44" s="124"/>
      <c r="VL44" s="124"/>
      <c r="VM44" s="124"/>
      <c r="VN44" s="125"/>
      <c r="VO44" s="301"/>
      <c r="VP44" s="151"/>
      <c r="VQ44" s="131">
        <f>SUM(UO44:VP44)</f>
      </c>
      <c r="VR44" s="121"/>
      <c r="VS44" s="122"/>
      <c r="VT44" s="123"/>
      <c r="VU44" s="124"/>
      <c r="VV44" s="124"/>
      <c r="VW44" s="124"/>
      <c r="VX44" s="124"/>
      <c r="VY44" s="124"/>
      <c r="VZ44" s="124"/>
      <c r="WA44" s="125"/>
      <c r="WB44" s="126"/>
      <c r="WC44" s="124"/>
      <c r="WD44" s="124"/>
      <c r="WE44" s="127"/>
      <c r="WF44" s="123"/>
      <c r="WG44" s="124"/>
      <c r="WH44" s="124"/>
      <c r="WI44" s="124"/>
      <c r="WJ44" s="124"/>
      <c r="WK44" s="124"/>
      <c r="WL44" s="124"/>
      <c r="WM44" s="124"/>
      <c r="WN44" s="124"/>
      <c r="WO44" s="124"/>
      <c r="WP44" s="124"/>
      <c r="WQ44" s="125"/>
      <c r="WR44" s="301"/>
      <c r="WS44" s="151"/>
      <c r="WT44" s="131">
        <f>SUM(VR44:WS44)</f>
      </c>
      <c r="WU44" s="150">
        <f>QB44+RE44+SH44+TK44+UN44+VQ44+WT44</f>
      </c>
      <c r="WV44" s="302">
        <f>(COUNTIF(OZ44:WT44,"H")+COUNTIF(OZ44:WT44,"S")+COUNTIF(OZ44:WT44,"L")+COUNTIF(OZ44:WT44,"E")+COUNTIF(OZ44:WT44,"C"))/2</f>
      </c>
      <c r="WW44" s="131">
        <f>WU44+WV44</f>
      </c>
      <c r="WX44" s="134"/>
      <c r="WY44" s="135"/>
      <c r="WZ44" s="136"/>
      <c r="XA44" s="138">
        <v>0.5</v>
      </c>
      <c r="XB44" s="138">
        <v>0.5</v>
      </c>
      <c r="XC44" s="138">
        <v>0.5</v>
      </c>
      <c r="XD44" s="138">
        <v>0.5</v>
      </c>
      <c r="XE44" s="138">
        <v>0.5</v>
      </c>
      <c r="XF44" s="138">
        <v>0.5</v>
      </c>
      <c r="XG44" s="139">
        <v>0.5</v>
      </c>
      <c r="XH44" s="140">
        <v>0.5</v>
      </c>
      <c r="XI44" s="138">
        <v>0.5</v>
      </c>
      <c r="XJ44" s="148"/>
      <c r="XK44" s="305"/>
      <c r="XL44" s="142">
        <v>0.5</v>
      </c>
      <c r="XM44" s="138">
        <v>0.5</v>
      </c>
      <c r="XN44" s="138">
        <v>0.5</v>
      </c>
      <c r="XO44" s="138">
        <v>0.5</v>
      </c>
      <c r="XP44" s="138">
        <v>0.5</v>
      </c>
      <c r="XQ44" s="138">
        <v>0.5</v>
      </c>
      <c r="XR44" s="138">
        <v>0.5</v>
      </c>
      <c r="XS44" s="138">
        <v>0.5</v>
      </c>
      <c r="XT44" s="137"/>
      <c r="XU44" s="137"/>
      <c r="XV44" s="137"/>
      <c r="XW44" s="153"/>
      <c r="XX44" s="304"/>
      <c r="XY44" s="152"/>
      <c r="XZ44" s="131">
        <f>SUM(WX44:XY44)</f>
      </c>
      <c r="YA44" s="134"/>
      <c r="YB44" s="135"/>
      <c r="YC44" s="136"/>
      <c r="YD44" s="138">
        <v>0.5</v>
      </c>
      <c r="YE44" s="138">
        <v>0.5</v>
      </c>
      <c r="YF44" s="138">
        <v>0.5</v>
      </c>
      <c r="YG44" s="138">
        <v>0.5</v>
      </c>
      <c r="YH44" s="138">
        <v>0.5</v>
      </c>
      <c r="YI44" s="138">
        <v>0.5</v>
      </c>
      <c r="YJ44" s="139">
        <v>0.5</v>
      </c>
      <c r="YK44" s="140">
        <v>0.5</v>
      </c>
      <c r="YL44" s="138">
        <v>0.5</v>
      </c>
      <c r="YM44" s="148"/>
      <c r="YN44" s="305"/>
      <c r="YO44" s="142">
        <v>0.5</v>
      </c>
      <c r="YP44" s="138">
        <v>0.5</v>
      </c>
      <c r="YQ44" s="138">
        <v>0.5</v>
      </c>
      <c r="YR44" s="138">
        <v>0.5</v>
      </c>
      <c r="YS44" s="138">
        <v>0.5</v>
      </c>
      <c r="YT44" s="138">
        <v>0.5</v>
      </c>
      <c r="YU44" s="138">
        <v>0.5</v>
      </c>
      <c r="YV44" s="138">
        <v>0.5</v>
      </c>
      <c r="YW44" s="137"/>
      <c r="YX44" s="137"/>
      <c r="YY44" s="137"/>
      <c r="YZ44" s="153"/>
      <c r="ZA44" s="304"/>
      <c r="ZB44" s="152"/>
      <c r="ZC44" s="131">
        <f>SUM(YA44:ZB44)</f>
      </c>
      <c r="ZD44" s="134"/>
      <c r="ZE44" s="135"/>
      <c r="ZF44" s="136"/>
      <c r="ZG44" s="138">
        <v>0.5</v>
      </c>
      <c r="ZH44" s="138">
        <v>0.5</v>
      </c>
      <c r="ZI44" s="138">
        <v>0.5</v>
      </c>
      <c r="ZJ44" s="138">
        <v>0.5</v>
      </c>
      <c r="ZK44" s="138">
        <v>0.5</v>
      </c>
      <c r="ZL44" s="138">
        <v>0.5</v>
      </c>
      <c r="ZM44" s="139">
        <v>0.5</v>
      </c>
      <c r="ZN44" s="140">
        <v>0.5</v>
      </c>
      <c r="ZO44" s="138">
        <v>0.5</v>
      </c>
      <c r="ZP44" s="148"/>
      <c r="ZQ44" s="305"/>
      <c r="ZR44" s="142">
        <v>0.5</v>
      </c>
      <c r="ZS44" s="138">
        <v>0.5</v>
      </c>
      <c r="ZT44" s="138">
        <v>0.5</v>
      </c>
      <c r="ZU44" s="138">
        <v>0.5</v>
      </c>
      <c r="ZV44" s="138">
        <v>0.5</v>
      </c>
      <c r="ZW44" s="138">
        <v>0.5</v>
      </c>
      <c r="ZX44" s="138">
        <v>0.5</v>
      </c>
      <c r="ZY44" s="138">
        <v>0.5</v>
      </c>
      <c r="ZZ44" s="137"/>
      <c r="AAA44" s="137"/>
      <c r="AAB44" s="137"/>
      <c r="AAC44" s="153"/>
      <c r="AAD44" s="304"/>
      <c r="AAE44" s="152"/>
      <c r="AAF44" s="131">
        <f>SUM(ZD44:AAE44)</f>
      </c>
      <c r="AAG44" s="134"/>
      <c r="AAH44" s="135"/>
      <c r="AAI44" s="136"/>
      <c r="AAJ44" s="138">
        <v>0.5</v>
      </c>
      <c r="AAK44" s="138">
        <v>0.5</v>
      </c>
      <c r="AAL44" s="138">
        <v>0.5</v>
      </c>
      <c r="AAM44" s="138">
        <v>0.5</v>
      </c>
      <c r="AAN44" s="138">
        <v>0.5</v>
      </c>
      <c r="AAO44" s="138">
        <v>0.5</v>
      </c>
      <c r="AAP44" s="139">
        <v>0.5</v>
      </c>
      <c r="AAQ44" s="140">
        <v>0.5</v>
      </c>
      <c r="AAR44" s="138">
        <v>0.5</v>
      </c>
      <c r="AAS44" s="148"/>
      <c r="AAT44" s="305"/>
      <c r="AAU44" s="142">
        <v>0.5</v>
      </c>
      <c r="AAV44" s="138">
        <v>0.5</v>
      </c>
      <c r="AAW44" s="138">
        <v>0.5</v>
      </c>
      <c r="AAX44" s="138">
        <v>0.5</v>
      </c>
      <c r="AAY44" s="138">
        <v>0.5</v>
      </c>
      <c r="AAZ44" s="138">
        <v>0.5</v>
      </c>
      <c r="ABA44" s="138">
        <v>0.5</v>
      </c>
      <c r="ABB44" s="138">
        <v>0.5</v>
      </c>
      <c r="ABC44" s="137"/>
      <c r="ABD44" s="137"/>
      <c r="ABE44" s="137"/>
      <c r="ABF44" s="153"/>
      <c r="ABG44" s="304"/>
      <c r="ABH44" s="152"/>
      <c r="ABI44" s="131">
        <f>SUM(AAG44:ABH44)</f>
      </c>
      <c r="ABJ44" s="134"/>
      <c r="ABK44" s="135"/>
      <c r="ABL44" s="142">
        <v>0.5</v>
      </c>
      <c r="ABM44" s="138">
        <v>0.5</v>
      </c>
      <c r="ABN44" s="138">
        <v>0.5</v>
      </c>
      <c r="ABO44" s="138">
        <v>0.5</v>
      </c>
      <c r="ABP44" s="138">
        <v>0.5</v>
      </c>
      <c r="ABQ44" s="138">
        <v>0.5</v>
      </c>
      <c r="ABR44" s="138">
        <v>0.5</v>
      </c>
      <c r="ABS44" s="139">
        <v>0.5</v>
      </c>
      <c r="ABT44" s="140">
        <v>0.5</v>
      </c>
      <c r="ABU44" s="138">
        <v>0.5</v>
      </c>
      <c r="ABV44" s="138">
        <v>0.5</v>
      </c>
      <c r="ABW44" s="149">
        <v>0.5</v>
      </c>
      <c r="ABX44" s="136"/>
      <c r="ABY44" s="137"/>
      <c r="ABZ44" s="137"/>
      <c r="ACA44" s="137"/>
      <c r="ACB44" s="137"/>
      <c r="ACC44" s="137"/>
      <c r="ACD44" s="137"/>
      <c r="ACE44" s="137"/>
      <c r="ACF44" s="137"/>
      <c r="ACG44" s="137"/>
      <c r="ACH44" s="137"/>
      <c r="ACI44" s="153"/>
      <c r="ACJ44" s="304"/>
      <c r="ACK44" s="152"/>
      <c r="ACL44" s="131">
        <f>SUM(ABJ44:ACK44)</f>
      </c>
      <c r="ACM44" s="121"/>
      <c r="ACN44" s="122"/>
      <c r="ACO44" s="123"/>
      <c r="ACP44" s="124"/>
      <c r="ACQ44" s="124"/>
      <c r="ACR44" s="124"/>
      <c r="ACS44" s="124"/>
      <c r="ACT44" s="124"/>
      <c r="ACU44" s="124"/>
      <c r="ACV44" s="125"/>
      <c r="ACW44" s="126"/>
      <c r="ACX44" s="124"/>
      <c r="ACY44" s="124"/>
      <c r="ACZ44" s="127"/>
      <c r="ADA44" s="123"/>
      <c r="ADB44" s="124"/>
      <c r="ADC44" s="124"/>
      <c r="ADD44" s="124"/>
      <c r="ADE44" s="124"/>
      <c r="ADF44" s="124"/>
      <c r="ADG44" s="124"/>
      <c r="ADH44" s="124"/>
      <c r="ADI44" s="124"/>
      <c r="ADJ44" s="124"/>
      <c r="ADK44" s="124"/>
      <c r="ADL44" s="125"/>
      <c r="ADM44" s="301"/>
      <c r="ADN44" s="151"/>
      <c r="ADO44" s="131">
        <f>SUM(ACM44:ADN44)</f>
      </c>
      <c r="ADP44" s="121"/>
      <c r="ADQ44" s="122"/>
      <c r="ADR44" s="123"/>
      <c r="ADS44" s="124"/>
      <c r="ADT44" s="124"/>
      <c r="ADU44" s="124"/>
      <c r="ADV44" s="124"/>
      <c r="ADW44" s="124"/>
      <c r="ADX44" s="124"/>
      <c r="ADY44" s="125"/>
      <c r="ADZ44" s="126"/>
      <c r="AEA44" s="124"/>
      <c r="AEB44" s="124"/>
      <c r="AEC44" s="127"/>
      <c r="AED44" s="123"/>
      <c r="AEE44" s="124"/>
      <c r="AEF44" s="124"/>
      <c r="AEG44" s="124"/>
      <c r="AEH44" s="124"/>
      <c r="AEI44" s="124"/>
      <c r="AEJ44" s="124"/>
      <c r="AEK44" s="124"/>
      <c r="AEL44" s="124"/>
      <c r="AEM44" s="124"/>
      <c r="AEN44" s="124"/>
      <c r="AEO44" s="125"/>
      <c r="AEP44" s="301"/>
      <c r="AEQ44" s="151"/>
      <c r="AER44" s="131">
        <f>SUM(ADP44:AEQ44)</f>
      </c>
      <c r="AES44" s="150">
        <f>XZ44+ZC44+AAF44+ABI44+ACL44+ADO44+AER44</f>
      </c>
      <c r="AET44" s="302">
        <f>(COUNTIF(WX44:AER44,"H")+COUNTIF(WX44:AER44,"S")+COUNTIF(WX44:AER44,"L")+COUNTIF(WX44:AER44,"E")+COUNTIF(WX44:AER44,"C"))/2</f>
      </c>
      <c r="AEU44" s="131">
        <f>AES44+AET44</f>
      </c>
      <c r="AEV44" s="134"/>
      <c r="AEW44" s="135"/>
      <c r="AEX44" s="136"/>
      <c r="AEY44" s="138">
        <v>0.5</v>
      </c>
      <c r="AEZ44" s="138">
        <v>0.5</v>
      </c>
      <c r="AFA44" s="138">
        <v>0.5</v>
      </c>
      <c r="AFB44" s="138">
        <v>0.5</v>
      </c>
      <c r="AFC44" s="138">
        <v>0.5</v>
      </c>
      <c r="AFD44" s="138">
        <v>0.5</v>
      </c>
      <c r="AFE44" s="139">
        <v>0.5</v>
      </c>
      <c r="AFF44" s="155"/>
      <c r="AFG44" s="137"/>
      <c r="AFH44" s="138">
        <v>0.5</v>
      </c>
      <c r="AFI44" s="149">
        <v>0.5</v>
      </c>
      <c r="AFJ44" s="142">
        <v>0.5</v>
      </c>
      <c r="AFK44" s="138">
        <v>0.5</v>
      </c>
      <c r="AFL44" s="138">
        <v>0.5</v>
      </c>
      <c r="AFM44" s="138">
        <v>0.5</v>
      </c>
      <c r="AFN44" s="138">
        <v>0.5</v>
      </c>
      <c r="AFO44" s="138">
        <v>0.5</v>
      </c>
      <c r="AFP44" s="138">
        <v>0.5</v>
      </c>
      <c r="AFQ44" s="138">
        <v>0.5</v>
      </c>
      <c r="AFR44" s="137"/>
      <c r="AFS44" s="137"/>
      <c r="AFT44" s="137"/>
      <c r="AFU44" s="153"/>
      <c r="AFV44" s="304"/>
      <c r="AFW44" s="152"/>
      <c r="AFX44" s="131">
        <f>SUM(AEV44:AFW44)</f>
      </c>
      <c r="AFY44" s="134"/>
      <c r="AFZ44" s="135"/>
      <c r="AGA44" s="136"/>
      <c r="AGB44" s="138">
        <v>0.5</v>
      </c>
      <c r="AGC44" s="138">
        <v>0.5</v>
      </c>
      <c r="AGD44" s="138">
        <v>0.5</v>
      </c>
      <c r="AGE44" s="138">
        <v>0.5</v>
      </c>
      <c r="AGF44" s="138">
        <v>0.5</v>
      </c>
      <c r="AGG44" s="138">
        <v>0.5</v>
      </c>
      <c r="AGH44" s="139">
        <v>0.5</v>
      </c>
      <c r="AGI44" s="155"/>
      <c r="AGJ44" s="137"/>
      <c r="AGK44" s="138">
        <v>0.5</v>
      </c>
      <c r="AGL44" s="149">
        <v>0.5</v>
      </c>
      <c r="AGM44" s="142">
        <v>0.5</v>
      </c>
      <c r="AGN44" s="138">
        <v>0.5</v>
      </c>
      <c r="AGO44" s="138">
        <v>0.5</v>
      </c>
      <c r="AGP44" s="138">
        <v>0.5</v>
      </c>
      <c r="AGQ44" s="138">
        <v>0.5</v>
      </c>
      <c r="AGR44" s="138">
        <v>0.5</v>
      </c>
      <c r="AGS44" s="138">
        <v>0.5</v>
      </c>
      <c r="AGT44" s="138">
        <v>0.5</v>
      </c>
      <c r="AGU44" s="137"/>
      <c r="AGV44" s="137"/>
      <c r="AGW44" s="137"/>
      <c r="AGX44" s="153"/>
      <c r="AGY44" s="304"/>
      <c r="AGZ44" s="152"/>
      <c r="AHA44" s="131">
        <f>SUM(AFY44:AGZ44)</f>
      </c>
      <c r="AHB44" s="134"/>
      <c r="AHC44" s="135"/>
      <c r="AHD44" s="136"/>
      <c r="AHE44" s="138">
        <v>0.5</v>
      </c>
      <c r="AHF44" s="138">
        <v>0.5</v>
      </c>
      <c r="AHG44" s="138">
        <v>0.5</v>
      </c>
      <c r="AHH44" s="138">
        <v>0.5</v>
      </c>
      <c r="AHI44" s="138">
        <v>0.5</v>
      </c>
      <c r="AHJ44" s="138">
        <v>0.5</v>
      </c>
      <c r="AHK44" s="139">
        <v>0.5</v>
      </c>
      <c r="AHL44" s="155"/>
      <c r="AHM44" s="137"/>
      <c r="AHN44" s="138">
        <v>0.5</v>
      </c>
      <c r="AHO44" s="149">
        <v>0.5</v>
      </c>
      <c r="AHP44" s="142">
        <v>0.5</v>
      </c>
      <c r="AHQ44" s="138">
        <v>0.5</v>
      </c>
      <c r="AHR44" s="138">
        <v>0.5</v>
      </c>
      <c r="AHS44" s="138">
        <v>0.5</v>
      </c>
      <c r="AHT44" s="138">
        <v>0.5</v>
      </c>
      <c r="AHU44" s="138">
        <v>0.5</v>
      </c>
      <c r="AHV44" s="138">
        <v>0.5</v>
      </c>
      <c r="AHW44" s="138">
        <v>0.5</v>
      </c>
      <c r="AHX44" s="137"/>
      <c r="AHY44" s="137"/>
      <c r="AHZ44" s="137"/>
      <c r="AIA44" s="153"/>
      <c r="AIB44" s="304"/>
      <c r="AIC44" s="152"/>
      <c r="AID44" s="131">
        <f>SUM(AHB44:AIC44)</f>
      </c>
      <c r="AIE44" s="134"/>
      <c r="AIF44" s="135"/>
      <c r="AIG44" s="136"/>
      <c r="AIH44" s="138">
        <v>0.5</v>
      </c>
      <c r="AII44" s="138">
        <v>0.5</v>
      </c>
      <c r="AIJ44" s="138">
        <v>0.5</v>
      </c>
      <c r="AIK44" s="138">
        <v>0.5</v>
      </c>
      <c r="AIL44" s="138">
        <v>0.5</v>
      </c>
      <c r="AIM44" s="138">
        <v>0.5</v>
      </c>
      <c r="AIN44" s="139">
        <v>0.5</v>
      </c>
      <c r="AIO44" s="155"/>
      <c r="AIP44" s="137"/>
      <c r="AIQ44" s="138">
        <v>0.5</v>
      </c>
      <c r="AIR44" s="149">
        <v>0.5</v>
      </c>
      <c r="AIS44" s="142">
        <v>0.5</v>
      </c>
      <c r="AIT44" s="138">
        <v>0.5</v>
      </c>
      <c r="AIU44" s="138">
        <v>0.5</v>
      </c>
      <c r="AIV44" s="138">
        <v>0.5</v>
      </c>
      <c r="AIW44" s="138">
        <v>0.5</v>
      </c>
      <c r="AIX44" s="138">
        <v>0.5</v>
      </c>
      <c r="AIY44" s="138">
        <v>0.5</v>
      </c>
      <c r="AIZ44" s="138">
        <v>0.5</v>
      </c>
      <c r="AJA44" s="137"/>
      <c r="AJB44" s="137"/>
      <c r="AJC44" s="137"/>
      <c r="AJD44" s="153"/>
      <c r="AJE44" s="304"/>
      <c r="AJF44" s="152"/>
      <c r="AJG44" s="131">
        <f>SUM(AIE44:AJF44)</f>
      </c>
      <c r="AJH44" s="134"/>
      <c r="AJI44" s="135"/>
      <c r="AJJ44" s="142">
        <v>0.5</v>
      </c>
      <c r="AJK44" s="138">
        <v>0.5</v>
      </c>
      <c r="AJL44" s="138">
        <v>0.5</v>
      </c>
      <c r="AJM44" s="138">
        <v>0.5</v>
      </c>
      <c r="AJN44" s="138">
        <v>0.5</v>
      </c>
      <c r="AJO44" s="138">
        <v>0.5</v>
      </c>
      <c r="AJP44" s="138">
        <v>0.5</v>
      </c>
      <c r="AJQ44" s="139">
        <v>0.5</v>
      </c>
      <c r="AJR44" s="140">
        <v>0.5</v>
      </c>
      <c r="AJS44" s="138">
        <v>0.5</v>
      </c>
      <c r="AJT44" s="138">
        <v>0.5</v>
      </c>
      <c r="AJU44" s="149">
        <v>0.5</v>
      </c>
      <c r="AJV44" s="136"/>
      <c r="AJW44" s="137"/>
      <c r="AJX44" s="137"/>
      <c r="AJY44" s="137"/>
      <c r="AJZ44" s="137"/>
      <c r="AKA44" s="137"/>
      <c r="AKB44" s="137"/>
      <c r="AKC44" s="137"/>
      <c r="AKD44" s="137"/>
      <c r="AKE44" s="137"/>
      <c r="AKF44" s="137"/>
      <c r="AKG44" s="153"/>
      <c r="AKH44" s="304"/>
      <c r="AKI44" s="152"/>
      <c r="AKJ44" s="131">
        <f>SUM(AJH44:AKI44)</f>
      </c>
      <c r="AKK44" s="121"/>
      <c r="AKL44" s="122"/>
      <c r="AKM44" s="123"/>
      <c r="AKN44" s="124"/>
      <c r="AKO44" s="124"/>
      <c r="AKP44" s="124"/>
      <c r="AKQ44" s="124"/>
      <c r="AKR44" s="124"/>
      <c r="AKS44" s="124"/>
      <c r="AKT44" s="125"/>
      <c r="AKU44" s="126"/>
      <c r="AKV44" s="124"/>
      <c r="AKW44" s="124"/>
      <c r="AKX44" s="127"/>
      <c r="AKY44" s="123"/>
      <c r="AKZ44" s="124"/>
      <c r="ALA44" s="124"/>
      <c r="ALB44" s="124"/>
      <c r="ALC44" s="124"/>
      <c r="ALD44" s="124"/>
      <c r="ALE44" s="124"/>
      <c r="ALF44" s="124"/>
      <c r="ALG44" s="124"/>
      <c r="ALH44" s="124"/>
      <c r="ALI44" s="124"/>
      <c r="ALJ44" s="125"/>
      <c r="ALK44" s="301"/>
      <c r="ALL44" s="151"/>
      <c r="ALM44" s="131">
        <f>SUM(AKK44:ALL44)</f>
      </c>
      <c r="ALN44" s="121"/>
      <c r="ALO44" s="122"/>
      <c r="ALP44" s="123"/>
      <c r="ALQ44" s="124"/>
      <c r="ALR44" s="124"/>
      <c r="ALS44" s="124"/>
      <c r="ALT44" s="124"/>
      <c r="ALU44" s="124"/>
      <c r="ALV44" s="124"/>
      <c r="ALW44" s="125"/>
      <c r="ALX44" s="126"/>
      <c r="ALY44" s="124"/>
      <c r="ALZ44" s="124"/>
      <c r="AMA44" s="127"/>
      <c r="AMB44" s="123"/>
      <c r="AMC44" s="124"/>
      <c r="AMD44" s="124"/>
      <c r="AME44" s="124"/>
      <c r="AMF44" s="124"/>
      <c r="AMG44" s="124"/>
      <c r="AMH44" s="124"/>
      <c r="AMI44" s="124"/>
      <c r="AMJ44" s="124"/>
      <c r="AMK44" s="124"/>
      <c r="AML44" s="124"/>
      <c r="AMM44" s="125"/>
      <c r="AMN44" s="301"/>
      <c r="AMO44" s="151"/>
      <c r="AMP44" s="131">
        <f>SUM(ALN44:AMO44)</f>
      </c>
      <c r="AMQ44" s="150">
        <f>AFX44+AHA44+AID44+AJG44+AKJ44+ALM44+AMP44</f>
      </c>
      <c r="AMR44" s="302">
        <f>(COUNTIF(AEV44:AMP44,"H")+COUNTIF(AEV44:AMP44,"S")+COUNTIF(AEV44:AMP44,"L")+COUNTIF(AEV44:AMP44,"E")+COUNTIF(AEV44:AMP44,"C"))/2</f>
      </c>
      <c r="AMS44" s="131">
        <f>AMQ44+AMR44</f>
      </c>
      <c r="AMT44" s="4"/>
      <c r="AMU44" s="4"/>
      <c r="AMV44" s="4"/>
      <c r="AMW44" s="4"/>
      <c r="AMX44" s="4"/>
      <c r="AMY44" s="4"/>
      <c r="AMZ44" s="4"/>
      <c r="ANA44" s="4"/>
      <c r="ANB44" s="4"/>
      <c r="ANC44" s="4"/>
      <c r="AND44" s="4"/>
      <c r="ANE44" s="4"/>
      <c r="ANF44" s="4"/>
      <c r="ANG44" s="4"/>
      <c r="ANH44" s="4"/>
      <c r="ANI44" s="4"/>
      <c r="ANJ44" s="13"/>
      <c r="ANK44" s="13"/>
      <c r="ANL44" s="4"/>
      <c r="ANM44" s="4"/>
      <c r="ANN44" s="4"/>
      <c r="ANO44" s="4"/>
      <c r="ANP44" s="4"/>
      <c r="ANQ44" s="4"/>
      <c r="ANR44" s="4"/>
      <c r="ANS44" s="4"/>
      <c r="ANT44" s="4"/>
      <c r="ANU44" s="4"/>
      <c r="ANV44" s="4"/>
      <c r="ANW44" s="4"/>
      <c r="ANX44" s="4"/>
      <c r="ANY44" s="4"/>
      <c r="ANZ44" s="4"/>
      <c r="AOA44" s="4"/>
      <c r="AOB44" s="4"/>
      <c r="AOC44" s="4"/>
      <c r="AOD44" s="4"/>
      <c r="AOE44" s="4"/>
      <c r="AOF44" s="4"/>
      <c r="AOG44" s="4"/>
      <c r="AOH44" s="4"/>
      <c r="AOI44" s="4"/>
      <c r="AOJ44" s="4"/>
      <c r="AOK44" s="4"/>
      <c r="AOL44" s="4"/>
      <c r="AOM44" s="4"/>
      <c r="AON44" s="4"/>
      <c r="AOO44" s="4"/>
      <c r="AOP44" s="4"/>
      <c r="AOQ44" s="4"/>
      <c r="AOR44" s="4"/>
      <c r="AOS44" s="4"/>
      <c r="AOT44" s="4"/>
      <c r="AOU44" s="4"/>
      <c r="AOV44" s="4"/>
      <c r="AOW44" s="4"/>
      <c r="AOX44" s="4"/>
      <c r="AOY44" s="4"/>
      <c r="AOZ44" s="4"/>
      <c r="APA44" s="4"/>
      <c r="APB44" s="4"/>
      <c r="APC44" s="4"/>
      <c r="APD44" s="4"/>
      <c r="APE44" s="4"/>
      <c r="APF44" s="4"/>
      <c r="APG44" s="4"/>
      <c r="APH44" s="4"/>
      <c r="API44" s="4"/>
      <c r="APJ44" s="4"/>
      <c r="APK44" s="4"/>
      <c r="APL44" s="4"/>
      <c r="APM44" s="4"/>
      <c r="APN44" s="4"/>
      <c r="APO44" s="4"/>
      <c r="APP44" s="4"/>
      <c r="APQ44" s="4"/>
      <c r="APR44" s="4"/>
      <c r="APS44" s="4"/>
      <c r="APT44" s="4"/>
      <c r="APU44" s="4"/>
      <c r="APV44" s="4"/>
      <c r="APW44" s="4"/>
      <c r="APX44" s="4"/>
      <c r="APY44" s="4"/>
      <c r="APZ44" s="4"/>
      <c r="AQA44" s="4"/>
      <c r="AQB44" s="4"/>
      <c r="AQC44" s="4"/>
      <c r="AQD44" s="4"/>
      <c r="AQE44" s="4"/>
      <c r="AQF44" s="4"/>
      <c r="AQG44" s="4"/>
      <c r="AQH44" s="4"/>
      <c r="AQI44" s="4"/>
      <c r="AQJ44" s="4"/>
      <c r="AQK44" s="4"/>
      <c r="AQL44" s="4"/>
      <c r="AQM44" s="4"/>
      <c r="AQN44" s="4"/>
      <c r="AQO44" s="4"/>
      <c r="AQP44" s="4"/>
      <c r="AQQ44" s="4"/>
      <c r="AQR44" s="4"/>
      <c r="AQS44" s="4"/>
      <c r="AQT44" s="4"/>
      <c r="AQU44" s="4"/>
      <c r="AQV44" s="4"/>
      <c r="AQW44" s="4"/>
      <c r="AQX44" s="4"/>
      <c r="AQY44" s="4"/>
      <c r="AQZ44" s="4"/>
      <c r="ARA44" s="4"/>
      <c r="ARB44" s="4"/>
      <c r="ARC44" s="4"/>
      <c r="ARD44" s="4"/>
      <c r="ARE44" s="4"/>
      <c r="ARF44" s="4"/>
      <c r="ARG44" s="4"/>
      <c r="ARH44" s="4"/>
      <c r="ARI44" s="4"/>
      <c r="ARJ44" s="4"/>
      <c r="ARK44" s="4"/>
      <c r="ARL44" s="4"/>
      <c r="ARM44" s="4"/>
      <c r="ARN44" s="4"/>
      <c r="ARO44" s="4"/>
      <c r="ARP44" s="4"/>
      <c r="ARQ44" s="4"/>
      <c r="ARR44" s="4"/>
      <c r="ARS44" s="4"/>
      <c r="ART44" s="4"/>
      <c r="ARU44" s="4"/>
      <c r="ARV44" s="4"/>
      <c r="ARW44" s="4"/>
      <c r="ARX44" s="4"/>
      <c r="ARY44" s="4"/>
      <c r="ARZ44" s="4"/>
      <c r="ASA44" s="4"/>
      <c r="ASB44" s="4"/>
      <c r="ASC44" s="4"/>
      <c r="ASD44" s="4"/>
      <c r="ASE44" s="4"/>
      <c r="ASF44" s="4"/>
      <c r="ASG44" s="4"/>
      <c r="ASH44" s="4"/>
      <c r="ASI44" s="4"/>
      <c r="ASJ44" s="4"/>
      <c r="ASK44" s="4"/>
      <c r="ASL44" s="4"/>
      <c r="ASM44" s="4"/>
      <c r="ASN44" s="4"/>
      <c r="ASO44" s="4"/>
      <c r="ASP44" s="4"/>
      <c r="ASQ44" s="4"/>
      <c r="ASR44" s="4"/>
      <c r="ASS44" s="4"/>
      <c r="AST44" s="4"/>
      <c r="ASU44" s="4"/>
    </row>
    <row r="45" ht="15" customHeight="1" spans="1:1191" x14ac:dyDescent="0.25">
      <c r="A45" s="118"/>
      <c r="B45" s="119" t="s">
        <v>84</v>
      </c>
      <c r="C45" s="321" t="s">
        <v>81</v>
      </c>
      <c r="D45" s="121"/>
      <c r="E45" s="122"/>
      <c r="F45" s="123"/>
      <c r="G45" s="124"/>
      <c r="H45" s="124"/>
      <c r="I45" s="124"/>
      <c r="J45" s="124"/>
      <c r="K45" s="124"/>
      <c r="L45" s="124"/>
      <c r="M45" s="125"/>
      <c r="N45" s="126"/>
      <c r="O45" s="124"/>
      <c r="P45" s="124"/>
      <c r="Q45" s="127"/>
      <c r="R45" s="123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5"/>
      <c r="AD45" s="301"/>
      <c r="AE45" s="151"/>
      <c r="AF45" s="131">
        <f>SUM(D45:AE45)</f>
      </c>
      <c r="AG45" s="121"/>
      <c r="AH45" s="122"/>
      <c r="AI45" s="123"/>
      <c r="AJ45" s="124"/>
      <c r="AK45" s="124"/>
      <c r="AL45" s="124"/>
      <c r="AM45" s="124"/>
      <c r="AN45" s="124"/>
      <c r="AO45" s="124"/>
      <c r="AP45" s="125"/>
      <c r="AQ45" s="126"/>
      <c r="AR45" s="124"/>
      <c r="AS45" s="124"/>
      <c r="AT45" s="127"/>
      <c r="AU45" s="123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5"/>
      <c r="BG45" s="301"/>
      <c r="BH45" s="151"/>
      <c r="BI45" s="131">
        <f>SUM(AG45:BH45)</f>
      </c>
      <c r="BJ45" s="121"/>
      <c r="BK45" s="122"/>
      <c r="BL45" s="123"/>
      <c r="BM45" s="124"/>
      <c r="BN45" s="124"/>
      <c r="BO45" s="124"/>
      <c r="BP45" s="124"/>
      <c r="BQ45" s="124"/>
      <c r="BR45" s="124"/>
      <c r="BS45" s="125"/>
      <c r="BT45" s="126"/>
      <c r="BU45" s="124"/>
      <c r="BV45" s="124"/>
      <c r="BW45" s="127"/>
      <c r="BX45" s="123"/>
      <c r="BY45" s="124"/>
      <c r="BZ45" s="124"/>
      <c r="CA45" s="124"/>
      <c r="CB45" s="124"/>
      <c r="CC45" s="124"/>
      <c r="CD45" s="124"/>
      <c r="CE45" s="124"/>
      <c r="CF45" s="124"/>
      <c r="CG45" s="124"/>
      <c r="CH45" s="124"/>
      <c r="CI45" s="125"/>
      <c r="CJ45" s="301"/>
      <c r="CK45" s="151"/>
      <c r="CL45" s="131">
        <f>SUM(BJ45:CK45)</f>
      </c>
      <c r="CM45" s="121"/>
      <c r="CN45" s="122"/>
      <c r="CO45" s="123"/>
      <c r="CP45" s="124"/>
      <c r="CQ45" s="124"/>
      <c r="CR45" s="124"/>
      <c r="CS45" s="124"/>
      <c r="CT45" s="124"/>
      <c r="CU45" s="124"/>
      <c r="CV45" s="125"/>
      <c r="CW45" s="126"/>
      <c r="CX45" s="124"/>
      <c r="CY45" s="124"/>
      <c r="CZ45" s="127"/>
      <c r="DA45" s="123"/>
      <c r="DB45" s="124"/>
      <c r="DC45" s="124"/>
      <c r="DD45" s="124"/>
      <c r="DE45" s="124"/>
      <c r="DF45" s="124"/>
      <c r="DG45" s="124"/>
      <c r="DH45" s="124"/>
      <c r="DI45" s="124"/>
      <c r="DJ45" s="124"/>
      <c r="DK45" s="124"/>
      <c r="DL45" s="125"/>
      <c r="DM45" s="301"/>
      <c r="DN45" s="151"/>
      <c r="DO45" s="131">
        <f>SUM(CM45:DN45)</f>
      </c>
      <c r="DP45" s="121"/>
      <c r="DQ45" s="122"/>
      <c r="DR45" s="123"/>
      <c r="DS45" s="124"/>
      <c r="DT45" s="124"/>
      <c r="DU45" s="124"/>
      <c r="DV45" s="124"/>
      <c r="DW45" s="124"/>
      <c r="DX45" s="124"/>
      <c r="DY45" s="125"/>
      <c r="DZ45" s="126"/>
      <c r="EA45" s="124"/>
      <c r="EB45" s="124"/>
      <c r="EC45" s="127"/>
      <c r="ED45" s="123"/>
      <c r="EE45" s="124"/>
      <c r="EF45" s="124"/>
      <c r="EG45" s="124"/>
      <c r="EH45" s="124"/>
      <c r="EI45" s="124"/>
      <c r="EJ45" s="124"/>
      <c r="EK45" s="124"/>
      <c r="EL45" s="124"/>
      <c r="EM45" s="124"/>
      <c r="EN45" s="124"/>
      <c r="EO45" s="125"/>
      <c r="EP45" s="301"/>
      <c r="EQ45" s="151"/>
      <c r="ER45" s="131">
        <f>SUM(DP45:EQ45)</f>
      </c>
      <c r="ES45" s="121"/>
      <c r="ET45" s="122"/>
      <c r="EU45" s="123"/>
      <c r="EV45" s="124"/>
      <c r="EW45" s="124"/>
      <c r="EX45" s="124"/>
      <c r="EY45" s="124"/>
      <c r="EZ45" s="124"/>
      <c r="FA45" s="124"/>
      <c r="FB45" s="125"/>
      <c r="FC45" s="126"/>
      <c r="FD45" s="124"/>
      <c r="FE45" s="124"/>
      <c r="FF45" s="127"/>
      <c r="FG45" s="123"/>
      <c r="FH45" s="124"/>
      <c r="FI45" s="124"/>
      <c r="FJ45" s="124"/>
      <c r="FK45" s="124"/>
      <c r="FL45" s="124"/>
      <c r="FM45" s="124"/>
      <c r="FN45" s="124"/>
      <c r="FO45" s="124"/>
      <c r="FP45" s="124"/>
      <c r="FQ45" s="124"/>
      <c r="FR45" s="125"/>
      <c r="FS45" s="301"/>
      <c r="FT45" s="151"/>
      <c r="FU45" s="131">
        <f>SUM(ES45:FT45)</f>
      </c>
      <c r="FV45" s="121"/>
      <c r="FW45" s="122"/>
      <c r="FX45" s="123"/>
      <c r="FY45" s="124"/>
      <c r="FZ45" s="124"/>
      <c r="GA45" s="124"/>
      <c r="GB45" s="124"/>
      <c r="GC45" s="124"/>
      <c r="GD45" s="124"/>
      <c r="GE45" s="125"/>
      <c r="GF45" s="126"/>
      <c r="GG45" s="124"/>
      <c r="GH45" s="124"/>
      <c r="GI45" s="127"/>
      <c r="GJ45" s="123"/>
      <c r="GK45" s="124"/>
      <c r="GL45" s="124"/>
      <c r="GM45" s="124"/>
      <c r="GN45" s="124"/>
      <c r="GO45" s="124"/>
      <c r="GP45" s="124"/>
      <c r="GQ45" s="124"/>
      <c r="GR45" s="124"/>
      <c r="GS45" s="124"/>
      <c r="GT45" s="124"/>
      <c r="GU45" s="125"/>
      <c r="GV45" s="301"/>
      <c r="GW45" s="151"/>
      <c r="GX45" s="131">
        <f>SUM(FV45:GW45)</f>
      </c>
      <c r="GY45" s="150">
        <f>AF45+BI45+CL45+DO45+ER45+FU45+GX45</f>
      </c>
      <c r="GZ45" s="302">
        <f>(COUNTIF(D45:GX45,"H")+COUNTIF(D45:GX45,"S")+COUNTIF(D45:GX45,"L")+COUNTIF(D45:GX45,"E")+COUNTIF(D45:GX45,"C"))/2</f>
      </c>
      <c r="HA45" s="131">
        <f>GY45+GZ45</f>
      </c>
      <c r="HB45" s="134"/>
      <c r="HC45" s="135"/>
      <c r="HD45" s="136"/>
      <c r="HE45" s="216">
        <v>0.5</v>
      </c>
      <c r="HF45" s="216">
        <v>0.5</v>
      </c>
      <c r="HG45" s="216">
        <v>0.5</v>
      </c>
      <c r="HH45" s="216">
        <v>0.5</v>
      </c>
      <c r="HI45" s="216">
        <v>0.5</v>
      </c>
      <c r="HJ45" s="216">
        <v>0.5</v>
      </c>
      <c r="HK45" s="217">
        <v>0.5</v>
      </c>
      <c r="HL45" s="155"/>
      <c r="HM45" s="137"/>
      <c r="HN45" s="216">
        <v>0.5</v>
      </c>
      <c r="HO45" s="226">
        <v>0.5</v>
      </c>
      <c r="HP45" s="219">
        <v>0.5</v>
      </c>
      <c r="HQ45" s="216">
        <v>0.5</v>
      </c>
      <c r="HR45" s="216">
        <v>0.5</v>
      </c>
      <c r="HS45" s="216">
        <v>0.5</v>
      </c>
      <c r="HT45" s="216">
        <v>0.5</v>
      </c>
      <c r="HU45" s="216">
        <v>0.5</v>
      </c>
      <c r="HV45" s="216">
        <v>0.5</v>
      </c>
      <c r="HW45" s="216">
        <v>0.5</v>
      </c>
      <c r="HX45" s="137"/>
      <c r="HY45" s="137"/>
      <c r="HZ45" s="137"/>
      <c r="IA45" s="153"/>
      <c r="IB45" s="304"/>
      <c r="IC45" s="152"/>
      <c r="ID45" s="131">
        <f>SUM(HB45:IC45)</f>
      </c>
      <c r="IE45" s="134"/>
      <c r="IF45" s="135"/>
      <c r="IG45" s="136"/>
      <c r="IH45" s="216">
        <v>0.5</v>
      </c>
      <c r="II45" s="216">
        <v>0.5</v>
      </c>
      <c r="IJ45" s="216">
        <v>0.5</v>
      </c>
      <c r="IK45" s="216">
        <v>0.5</v>
      </c>
      <c r="IL45" s="216">
        <v>0.5</v>
      </c>
      <c r="IM45" s="216">
        <v>0.5</v>
      </c>
      <c r="IN45" s="217">
        <v>0.5</v>
      </c>
      <c r="IO45" s="155"/>
      <c r="IP45" s="137"/>
      <c r="IQ45" s="216">
        <v>0.5</v>
      </c>
      <c r="IR45" s="226">
        <v>0.5</v>
      </c>
      <c r="IS45" s="219">
        <v>0.5</v>
      </c>
      <c r="IT45" s="216">
        <v>0.5</v>
      </c>
      <c r="IU45" s="216">
        <v>0.5</v>
      </c>
      <c r="IV45" s="216">
        <v>0.5</v>
      </c>
      <c r="IW45" s="216">
        <v>0.5</v>
      </c>
      <c r="IX45" s="216">
        <v>0.5</v>
      </c>
      <c r="IY45" s="216">
        <v>0.5</v>
      </c>
      <c r="IZ45" s="216">
        <v>0.5</v>
      </c>
      <c r="JA45" s="137"/>
      <c r="JB45" s="137"/>
      <c r="JC45" s="137"/>
      <c r="JD45" s="153"/>
      <c r="JE45" s="304"/>
      <c r="JF45" s="152"/>
      <c r="JG45" s="131">
        <f>SUM(IE45:JF45)</f>
      </c>
      <c r="JH45" s="134"/>
      <c r="JI45" s="135"/>
      <c r="JJ45" s="136"/>
      <c r="JK45" s="138">
        <v>0.5</v>
      </c>
      <c r="JL45" s="138">
        <v>0.5</v>
      </c>
      <c r="JM45" s="138">
        <v>0.5</v>
      </c>
      <c r="JN45" s="138">
        <v>0.5</v>
      </c>
      <c r="JO45" s="138">
        <v>0.5</v>
      </c>
      <c r="JP45" s="138">
        <v>0.5</v>
      </c>
      <c r="JQ45" s="139">
        <v>0.5</v>
      </c>
      <c r="JR45" s="155"/>
      <c r="JS45" s="137"/>
      <c r="JT45" s="138">
        <v>0.5</v>
      </c>
      <c r="JU45" s="149">
        <v>0.5</v>
      </c>
      <c r="JV45" s="142">
        <v>0.5</v>
      </c>
      <c r="JW45" s="138">
        <v>0.5</v>
      </c>
      <c r="JX45" s="138">
        <v>0.5</v>
      </c>
      <c r="JY45" s="138">
        <v>0.5</v>
      </c>
      <c r="JZ45" s="138">
        <v>0.5</v>
      </c>
      <c r="KA45" s="138">
        <v>0.5</v>
      </c>
      <c r="KB45" s="138">
        <v>0.5</v>
      </c>
      <c r="KC45" s="138">
        <v>0.5</v>
      </c>
      <c r="KD45" s="137"/>
      <c r="KE45" s="137"/>
      <c r="KF45" s="137"/>
      <c r="KG45" s="153"/>
      <c r="KH45" s="304"/>
      <c r="KI45" s="152"/>
      <c r="KJ45" s="131">
        <f>SUM(JH45:KI45)</f>
      </c>
      <c r="KK45" s="134"/>
      <c r="KL45" s="135"/>
      <c r="KM45" s="136"/>
      <c r="KN45" s="138">
        <v>0.5</v>
      </c>
      <c r="KO45" s="138">
        <v>0.5</v>
      </c>
      <c r="KP45" s="138">
        <v>0.5</v>
      </c>
      <c r="KQ45" s="138">
        <v>0.5</v>
      </c>
      <c r="KR45" s="138">
        <v>0.5</v>
      </c>
      <c r="KS45" s="138">
        <v>0.5</v>
      </c>
      <c r="KT45" s="139">
        <v>0.5</v>
      </c>
      <c r="KU45" s="155"/>
      <c r="KV45" s="137"/>
      <c r="KW45" s="138">
        <v>0.5</v>
      </c>
      <c r="KX45" s="149">
        <v>0.5</v>
      </c>
      <c r="KY45" s="142">
        <v>0.5</v>
      </c>
      <c r="KZ45" s="138">
        <v>0.5</v>
      </c>
      <c r="LA45" s="138">
        <v>0.5</v>
      </c>
      <c r="LB45" s="138">
        <v>0.5</v>
      </c>
      <c r="LC45" s="138">
        <v>0.5</v>
      </c>
      <c r="LD45" s="138">
        <v>0.5</v>
      </c>
      <c r="LE45" s="138">
        <v>0.5</v>
      </c>
      <c r="LF45" s="138">
        <v>0.5</v>
      </c>
      <c r="LG45" s="137"/>
      <c r="LH45" s="137"/>
      <c r="LI45" s="137"/>
      <c r="LJ45" s="153"/>
      <c r="LK45" s="304"/>
      <c r="LL45" s="152"/>
      <c r="LM45" s="131">
        <f>SUM(KK45:LL45)</f>
      </c>
      <c r="LN45" s="134"/>
      <c r="LO45" s="135"/>
      <c r="LP45" s="142">
        <v>0.5</v>
      </c>
      <c r="LQ45" s="138">
        <v>0.5</v>
      </c>
      <c r="LR45" s="138">
        <v>0.5</v>
      </c>
      <c r="LS45" s="138">
        <v>0.5</v>
      </c>
      <c r="LT45" s="138">
        <v>0.5</v>
      </c>
      <c r="LU45" s="138">
        <v>0.5</v>
      </c>
      <c r="LV45" s="138">
        <v>0.5</v>
      </c>
      <c r="LW45" s="139">
        <v>0.5</v>
      </c>
      <c r="LX45" s="140">
        <v>0.5</v>
      </c>
      <c r="LY45" s="138">
        <v>0.5</v>
      </c>
      <c r="LZ45" s="138">
        <v>0.5</v>
      </c>
      <c r="MA45" s="149">
        <v>0.5</v>
      </c>
      <c r="MB45" s="136"/>
      <c r="MC45" s="137"/>
      <c r="MD45" s="137"/>
      <c r="ME45" s="137"/>
      <c r="MF45" s="137"/>
      <c r="MG45" s="137"/>
      <c r="MH45" s="137"/>
      <c r="MI45" s="137"/>
      <c r="MJ45" s="137"/>
      <c r="MK45" s="137"/>
      <c r="ML45" s="137"/>
      <c r="MM45" s="153"/>
      <c r="MN45" s="304"/>
      <c r="MO45" s="152"/>
      <c r="MP45" s="131">
        <f>SUM(LN45:MO45)</f>
      </c>
      <c r="MQ45" s="121"/>
      <c r="MR45" s="122"/>
      <c r="MS45" s="123"/>
      <c r="MT45" s="124"/>
      <c r="MU45" s="124"/>
      <c r="MV45" s="124"/>
      <c r="MW45" s="124"/>
      <c r="MX45" s="124"/>
      <c r="MY45" s="124"/>
      <c r="MZ45" s="125"/>
      <c r="NA45" s="126"/>
      <c r="NB45" s="124"/>
      <c r="NC45" s="124"/>
      <c r="ND45" s="127"/>
      <c r="NE45" s="123"/>
      <c r="NF45" s="124"/>
      <c r="NG45" s="124"/>
      <c r="NH45" s="124"/>
      <c r="NI45" s="124"/>
      <c r="NJ45" s="124"/>
      <c r="NK45" s="124"/>
      <c r="NL45" s="124"/>
      <c r="NM45" s="124"/>
      <c r="NN45" s="124"/>
      <c r="NO45" s="124"/>
      <c r="NP45" s="125"/>
      <c r="NQ45" s="301"/>
      <c r="NR45" s="151"/>
      <c r="NS45" s="131">
        <f>SUM(MQ45:NR45)</f>
      </c>
      <c r="NT45" s="121"/>
      <c r="NU45" s="122"/>
      <c r="NV45" s="123"/>
      <c r="NW45" s="124"/>
      <c r="NX45" s="124"/>
      <c r="NY45" s="124"/>
      <c r="NZ45" s="124"/>
      <c r="OA45" s="124"/>
      <c r="OB45" s="124"/>
      <c r="OC45" s="125"/>
      <c r="OD45" s="126"/>
      <c r="OE45" s="124"/>
      <c r="OF45" s="124"/>
      <c r="OG45" s="127"/>
      <c r="OH45" s="123"/>
      <c r="OI45" s="124"/>
      <c r="OJ45" s="124"/>
      <c r="OK45" s="124"/>
      <c r="OL45" s="124"/>
      <c r="OM45" s="124"/>
      <c r="ON45" s="124"/>
      <c r="OO45" s="124"/>
      <c r="OP45" s="124"/>
      <c r="OQ45" s="124"/>
      <c r="OR45" s="124"/>
      <c r="OS45" s="125"/>
      <c r="OT45" s="301"/>
      <c r="OU45" s="151"/>
      <c r="OV45" s="131">
        <f>SUM(NT45:OU45)</f>
      </c>
      <c r="OW45" s="150">
        <f>ID45+JG45+KJ45+LM45+MP45+NS45+OV45</f>
      </c>
      <c r="OX45" s="302">
        <f>(COUNTIF(HB45:OV45,"H")+COUNTIF(HB45:OV45,"S")+COUNTIF(HB45:OV45,"L")+COUNTIF(HB45:OV45,"E")+COUNTIF(HB45:OV45,"C"))/2</f>
      </c>
      <c r="OY45" s="131">
        <f>OW45+OX45</f>
      </c>
      <c r="OZ45" s="134"/>
      <c r="PA45" s="135"/>
      <c r="PB45" s="136"/>
      <c r="PC45" s="216">
        <v>0.5</v>
      </c>
      <c r="PD45" s="216">
        <v>0.5</v>
      </c>
      <c r="PE45" s="216">
        <v>0.5</v>
      </c>
      <c r="PF45" s="216">
        <v>0.5</v>
      </c>
      <c r="PG45" s="216">
        <v>0.5</v>
      </c>
      <c r="PH45" s="216">
        <v>0.5</v>
      </c>
      <c r="PI45" s="217">
        <v>0.5</v>
      </c>
      <c r="PJ45" s="218">
        <v>0.5</v>
      </c>
      <c r="PK45" s="216">
        <v>0.5</v>
      </c>
      <c r="PL45" s="137"/>
      <c r="PM45" s="141"/>
      <c r="PN45" s="219">
        <v>0.5</v>
      </c>
      <c r="PO45" s="216">
        <v>0.5</v>
      </c>
      <c r="PP45" s="216">
        <v>0.5</v>
      </c>
      <c r="PQ45" s="216">
        <v>0.5</v>
      </c>
      <c r="PR45" s="216">
        <v>0.5</v>
      </c>
      <c r="PS45" s="216">
        <v>0.5</v>
      </c>
      <c r="PT45" s="216">
        <v>0.5</v>
      </c>
      <c r="PU45" s="137"/>
      <c r="PV45" s="137"/>
      <c r="PW45" s="137"/>
      <c r="PX45" s="137"/>
      <c r="PY45" s="153"/>
      <c r="PZ45" s="304"/>
      <c r="QA45" s="152"/>
      <c r="QB45" s="131">
        <f>SUM(OZ45:QA45)</f>
      </c>
      <c r="QC45" s="134"/>
      <c r="QD45" s="135"/>
      <c r="QE45" s="136"/>
      <c r="QF45" s="220">
        <v>0.5</v>
      </c>
      <c r="QG45" s="220">
        <v>0.5</v>
      </c>
      <c r="QH45" s="220">
        <v>0.5</v>
      </c>
      <c r="QI45" s="220">
        <v>0.5</v>
      </c>
      <c r="QJ45" s="220">
        <v>0.5</v>
      </c>
      <c r="QK45" s="216">
        <v>0.5</v>
      </c>
      <c r="QL45" s="217">
        <v>0.5</v>
      </c>
      <c r="QM45" s="218">
        <v>0.5</v>
      </c>
      <c r="QN45" s="216">
        <v>0.5</v>
      </c>
      <c r="QO45" s="137"/>
      <c r="QP45" s="141"/>
      <c r="QQ45" s="219">
        <v>0.5</v>
      </c>
      <c r="QR45" s="216">
        <v>0.5</v>
      </c>
      <c r="QS45" s="216">
        <v>0.5</v>
      </c>
      <c r="QT45" s="216">
        <v>0.5</v>
      </c>
      <c r="QU45" s="216">
        <v>0.5</v>
      </c>
      <c r="QV45" s="216">
        <v>0.5</v>
      </c>
      <c r="QW45" s="216">
        <v>0.5</v>
      </c>
      <c r="QX45" s="137"/>
      <c r="QY45" s="137"/>
      <c r="QZ45" s="137"/>
      <c r="RA45" s="137"/>
      <c r="RB45" s="153"/>
      <c r="RC45" s="304"/>
      <c r="RD45" s="152"/>
      <c r="RE45" s="131">
        <f>SUM(QC45:RD45)</f>
      </c>
      <c r="RF45" s="134"/>
      <c r="RG45" s="135"/>
      <c r="RH45" s="136"/>
      <c r="RI45" s="143">
        <v>0.5</v>
      </c>
      <c r="RJ45" s="143">
        <v>0.5</v>
      </c>
      <c r="RK45" s="143">
        <v>0.5</v>
      </c>
      <c r="RL45" s="143">
        <v>0.5</v>
      </c>
      <c r="RM45" s="143">
        <v>0.5</v>
      </c>
      <c r="RN45" s="138">
        <v>0.5</v>
      </c>
      <c r="RO45" s="139">
        <v>0.5</v>
      </c>
      <c r="RP45" s="140">
        <v>0.5</v>
      </c>
      <c r="RQ45" s="138">
        <v>0.5</v>
      </c>
      <c r="RR45" s="137"/>
      <c r="RS45" s="141"/>
      <c r="RT45" s="142">
        <v>0.5</v>
      </c>
      <c r="RU45" s="138">
        <v>0.5</v>
      </c>
      <c r="RV45" s="138">
        <v>0.5</v>
      </c>
      <c r="RW45" s="138">
        <v>0.5</v>
      </c>
      <c r="RX45" s="138">
        <v>0.5</v>
      </c>
      <c r="RY45" s="138">
        <v>0.5</v>
      </c>
      <c r="RZ45" s="138">
        <v>0.5</v>
      </c>
      <c r="SA45" s="137"/>
      <c r="SB45" s="137"/>
      <c r="SC45" s="137"/>
      <c r="SD45" s="137"/>
      <c r="SE45" s="153"/>
      <c r="SF45" s="304"/>
      <c r="SG45" s="152"/>
      <c r="SH45" s="131">
        <f>SUM(RF45:SG45)</f>
      </c>
      <c r="SI45" s="134"/>
      <c r="SJ45" s="135"/>
      <c r="SK45" s="136"/>
      <c r="SL45" s="143">
        <v>0.5</v>
      </c>
      <c r="SM45" s="143">
        <v>0.5</v>
      </c>
      <c r="SN45" s="143">
        <v>0.5</v>
      </c>
      <c r="SO45" s="143">
        <v>0.5</v>
      </c>
      <c r="SP45" s="143">
        <v>0.5</v>
      </c>
      <c r="SQ45" s="138">
        <v>0.5</v>
      </c>
      <c r="SR45" s="139">
        <v>0.5</v>
      </c>
      <c r="SS45" s="140">
        <v>0.5</v>
      </c>
      <c r="ST45" s="138">
        <v>0.5</v>
      </c>
      <c r="SU45" s="137"/>
      <c r="SV45" s="141"/>
      <c r="SW45" s="142">
        <v>0.5</v>
      </c>
      <c r="SX45" s="138">
        <v>0.5</v>
      </c>
      <c r="SY45" s="138">
        <v>0.5</v>
      </c>
      <c r="SZ45" s="138">
        <v>0.5</v>
      </c>
      <c r="TA45" s="138">
        <v>0.5</v>
      </c>
      <c r="TB45" s="138">
        <v>0.5</v>
      </c>
      <c r="TC45" s="138">
        <v>0.5</v>
      </c>
      <c r="TD45" s="137"/>
      <c r="TE45" s="137"/>
      <c r="TF45" s="137"/>
      <c r="TG45" s="137"/>
      <c r="TH45" s="153"/>
      <c r="TI45" s="304"/>
      <c r="TJ45" s="152"/>
      <c r="TK45" s="131">
        <f>SUM(SI45:TJ45)</f>
      </c>
      <c r="TL45" s="134"/>
      <c r="TM45" s="135"/>
      <c r="TN45" s="136"/>
      <c r="TO45" s="143">
        <v>0.5</v>
      </c>
      <c r="TP45" s="143">
        <v>0.5</v>
      </c>
      <c r="TQ45" s="143">
        <v>0.5</v>
      </c>
      <c r="TR45" s="143">
        <v>0.5</v>
      </c>
      <c r="TS45" s="143">
        <v>0.5</v>
      </c>
      <c r="TT45" s="138">
        <v>0.5</v>
      </c>
      <c r="TU45" s="139">
        <v>0.5</v>
      </c>
      <c r="TV45" s="140">
        <v>0.5</v>
      </c>
      <c r="TW45" s="138">
        <v>0.5</v>
      </c>
      <c r="TX45" s="137"/>
      <c r="TY45" s="141"/>
      <c r="TZ45" s="142">
        <v>0.5</v>
      </c>
      <c r="UA45" s="138">
        <v>0.5</v>
      </c>
      <c r="UB45" s="138">
        <v>0.5</v>
      </c>
      <c r="UC45" s="138">
        <v>0.5</v>
      </c>
      <c r="UD45" s="138">
        <v>0.5</v>
      </c>
      <c r="UE45" s="138">
        <v>0.5</v>
      </c>
      <c r="UF45" s="138">
        <v>0.5</v>
      </c>
      <c r="UG45" s="137"/>
      <c r="UH45" s="137"/>
      <c r="UI45" s="137"/>
      <c r="UJ45" s="137"/>
      <c r="UK45" s="153"/>
      <c r="UL45" s="304"/>
      <c r="UM45" s="152"/>
      <c r="UN45" s="131">
        <f>SUM(TL45:UM45)</f>
      </c>
      <c r="UO45" s="121"/>
      <c r="UP45" s="122"/>
      <c r="UQ45" s="123"/>
      <c r="UR45" s="124"/>
      <c r="US45" s="124"/>
      <c r="UT45" s="124"/>
      <c r="UU45" s="124"/>
      <c r="UV45" s="124"/>
      <c r="UW45" s="124"/>
      <c r="UX45" s="125"/>
      <c r="UY45" s="126"/>
      <c r="UZ45" s="124"/>
      <c r="VA45" s="124"/>
      <c r="VB45" s="127"/>
      <c r="VC45" s="123"/>
      <c r="VD45" s="124"/>
      <c r="VE45" s="124"/>
      <c r="VF45" s="124"/>
      <c r="VG45" s="124"/>
      <c r="VH45" s="124"/>
      <c r="VI45" s="124"/>
      <c r="VJ45" s="124"/>
      <c r="VK45" s="124"/>
      <c r="VL45" s="124"/>
      <c r="VM45" s="124"/>
      <c r="VN45" s="125"/>
      <c r="VO45" s="301"/>
      <c r="VP45" s="151"/>
      <c r="VQ45" s="131">
        <f>SUM(UO45:VP45)</f>
      </c>
      <c r="VR45" s="121"/>
      <c r="VS45" s="122"/>
      <c r="VT45" s="123"/>
      <c r="VU45" s="124"/>
      <c r="VV45" s="124"/>
      <c r="VW45" s="124"/>
      <c r="VX45" s="124"/>
      <c r="VY45" s="124"/>
      <c r="VZ45" s="124"/>
      <c r="WA45" s="125"/>
      <c r="WB45" s="126"/>
      <c r="WC45" s="124"/>
      <c r="WD45" s="124"/>
      <c r="WE45" s="127"/>
      <c r="WF45" s="123"/>
      <c r="WG45" s="124"/>
      <c r="WH45" s="124"/>
      <c r="WI45" s="124"/>
      <c r="WJ45" s="124"/>
      <c r="WK45" s="124"/>
      <c r="WL45" s="124"/>
      <c r="WM45" s="124"/>
      <c r="WN45" s="124"/>
      <c r="WO45" s="124"/>
      <c r="WP45" s="124"/>
      <c r="WQ45" s="125"/>
      <c r="WR45" s="301"/>
      <c r="WS45" s="151"/>
      <c r="WT45" s="131">
        <f>SUM(VR45:WS45)</f>
      </c>
      <c r="WU45" s="150">
        <f>QB45+RE45+SH45+TK45+UN45+VQ45+WT45</f>
      </c>
      <c r="WV45" s="302">
        <f>(COUNTIF(OZ45:WT45,"H")+COUNTIF(OZ45:WT45,"S")+COUNTIF(OZ45:WT45,"L")+COUNTIF(OZ45:WT45,"E")+COUNTIF(OZ45:WT45,"C"))/2</f>
      </c>
      <c r="WW45" s="131">
        <f>WU45+WV45</f>
      </c>
      <c r="WX45" s="134"/>
      <c r="WY45" s="135"/>
      <c r="WZ45" s="136"/>
      <c r="XA45" s="137"/>
      <c r="XB45" s="137"/>
      <c r="XC45" s="137"/>
      <c r="XD45" s="137"/>
      <c r="XE45" s="137"/>
      <c r="XF45" s="137"/>
      <c r="XG45" s="153"/>
      <c r="XH45" s="155"/>
      <c r="XI45" s="137"/>
      <c r="XJ45" s="137"/>
      <c r="XK45" s="141"/>
      <c r="XL45" s="306">
        <v>0.5</v>
      </c>
      <c r="XM45" s="307">
        <v>0.5</v>
      </c>
      <c r="XN45" s="307">
        <v>0.5</v>
      </c>
      <c r="XO45" s="307">
        <v>0.5</v>
      </c>
      <c r="XP45" s="307">
        <v>0.5</v>
      </c>
      <c r="XQ45" s="307">
        <v>0.5</v>
      </c>
      <c r="XR45" s="308">
        <v>0.5</v>
      </c>
      <c r="XS45" s="308">
        <v>0.5</v>
      </c>
      <c r="XT45" s="308">
        <v>0.5</v>
      </c>
      <c r="XU45" s="308">
        <v>0.5</v>
      </c>
      <c r="XV45" s="308">
        <v>0.5</v>
      </c>
      <c r="XW45" s="309">
        <v>0.5</v>
      </c>
      <c r="XX45" s="310">
        <v>2</v>
      </c>
      <c r="XY45" s="311">
        <v>0.5</v>
      </c>
      <c r="XZ45" s="131">
        <f>SUM(WX45:XY45)</f>
      </c>
      <c r="YA45" s="134"/>
      <c r="YB45" s="135"/>
      <c r="YC45" s="136"/>
      <c r="YD45" s="137"/>
      <c r="YE45" s="137"/>
      <c r="YF45" s="137"/>
      <c r="YG45" s="137"/>
      <c r="YH45" s="137"/>
      <c r="YI45" s="137"/>
      <c r="YJ45" s="153"/>
      <c r="YK45" s="155"/>
      <c r="YL45" s="137"/>
      <c r="YM45" s="137"/>
      <c r="YN45" s="141"/>
      <c r="YO45" s="136"/>
      <c r="YP45" s="137"/>
      <c r="YQ45" s="308">
        <v>0.5</v>
      </c>
      <c r="YR45" s="308">
        <v>0.5</v>
      </c>
      <c r="YS45" s="308">
        <v>0.5</v>
      </c>
      <c r="YT45" s="308">
        <v>0.5</v>
      </c>
      <c r="YU45" s="308">
        <v>0.5</v>
      </c>
      <c r="YV45" s="308">
        <v>0.5</v>
      </c>
      <c r="YW45" s="308">
        <v>0.5</v>
      </c>
      <c r="YX45" s="308">
        <v>0.5</v>
      </c>
      <c r="YY45" s="308">
        <v>0.5</v>
      </c>
      <c r="YZ45" s="309">
        <v>0.5</v>
      </c>
      <c r="ZA45" s="310">
        <v>2</v>
      </c>
      <c r="ZB45" s="311">
        <v>1.5</v>
      </c>
      <c r="ZC45" s="131">
        <f>SUM(YA45:ZB45)</f>
      </c>
      <c r="ZD45" s="134"/>
      <c r="ZE45" s="135"/>
      <c r="ZF45" s="136"/>
      <c r="ZG45" s="137"/>
      <c r="ZH45" s="137"/>
      <c r="ZI45" s="137"/>
      <c r="ZJ45" s="137"/>
      <c r="ZK45" s="137"/>
      <c r="ZL45" s="137"/>
      <c r="ZM45" s="153"/>
      <c r="ZN45" s="155"/>
      <c r="ZO45" s="137"/>
      <c r="ZP45" s="137"/>
      <c r="ZQ45" s="141"/>
      <c r="ZR45" s="136"/>
      <c r="ZS45" s="137"/>
      <c r="ZT45" s="308">
        <v>0.5</v>
      </c>
      <c r="ZU45" s="308">
        <v>0.5</v>
      </c>
      <c r="ZV45" s="308">
        <v>0.5</v>
      </c>
      <c r="ZW45" s="308">
        <v>0.5</v>
      </c>
      <c r="ZX45" s="308">
        <v>0.5</v>
      </c>
      <c r="ZY45" s="308">
        <v>0.5</v>
      </c>
      <c r="ZZ45" s="308">
        <v>0.5</v>
      </c>
      <c r="AAA45" s="308">
        <v>0.5</v>
      </c>
      <c r="AAB45" s="308">
        <v>0.5</v>
      </c>
      <c r="AAC45" s="309">
        <v>0.5</v>
      </c>
      <c r="AAD45" s="310">
        <v>2</v>
      </c>
      <c r="AAE45" s="311">
        <v>1.5</v>
      </c>
      <c r="AAF45" s="131">
        <f>SUM(ZD45:AAE45)</f>
      </c>
      <c r="AAG45" s="134"/>
      <c r="AAH45" s="135"/>
      <c r="AAI45" s="136"/>
      <c r="AAJ45" s="137"/>
      <c r="AAK45" s="137"/>
      <c r="AAL45" s="137"/>
      <c r="AAM45" s="137"/>
      <c r="AAN45" s="137"/>
      <c r="AAO45" s="308">
        <v>0.5</v>
      </c>
      <c r="AAP45" s="309">
        <v>0.5</v>
      </c>
      <c r="AAQ45" s="155"/>
      <c r="AAR45" s="308">
        <v>0.5</v>
      </c>
      <c r="AAS45" s="308">
        <v>0.5</v>
      </c>
      <c r="AAT45" s="312">
        <v>0.5</v>
      </c>
      <c r="AAU45" s="313">
        <v>0.5</v>
      </c>
      <c r="AAV45" s="308">
        <v>0.5</v>
      </c>
      <c r="AAW45" s="308">
        <v>0.5</v>
      </c>
      <c r="AAX45" s="308">
        <v>0.5</v>
      </c>
      <c r="AAY45" s="308">
        <v>0.5</v>
      </c>
      <c r="AAZ45" s="308">
        <v>0.5</v>
      </c>
      <c r="ABA45" s="308">
        <v>0.5</v>
      </c>
      <c r="ABB45" s="307">
        <v>0.5</v>
      </c>
      <c r="ABC45" s="307">
        <v>0.5</v>
      </c>
      <c r="ABD45" s="307">
        <v>0.5</v>
      </c>
      <c r="ABE45" s="307">
        <v>0.5</v>
      </c>
      <c r="ABF45" s="314">
        <v>0.5</v>
      </c>
      <c r="ABG45" s="304"/>
      <c r="ABH45" s="152"/>
      <c r="ABI45" s="131">
        <f>SUM(AAG45:ABH45)</f>
      </c>
      <c r="ABJ45" s="134"/>
      <c r="ABK45" s="135"/>
      <c r="ABL45" s="142">
        <v>0.5</v>
      </c>
      <c r="ABM45" s="138">
        <v>0.5</v>
      </c>
      <c r="ABN45" s="138">
        <v>0.5</v>
      </c>
      <c r="ABO45" s="138">
        <v>0.5</v>
      </c>
      <c r="ABP45" s="138">
        <v>0.5</v>
      </c>
      <c r="ABQ45" s="138">
        <v>0.5</v>
      </c>
      <c r="ABR45" s="138">
        <v>0.5</v>
      </c>
      <c r="ABS45" s="139">
        <v>0.5</v>
      </c>
      <c r="ABT45" s="140">
        <v>0.5</v>
      </c>
      <c r="ABU45" s="138">
        <v>0.5</v>
      </c>
      <c r="ABV45" s="138">
        <v>0.5</v>
      </c>
      <c r="ABW45" s="149">
        <v>0.5</v>
      </c>
      <c r="ABX45" s="136"/>
      <c r="ABY45" s="137"/>
      <c r="ABZ45" s="137"/>
      <c r="ACA45" s="137"/>
      <c r="ACB45" s="137"/>
      <c r="ACC45" s="137"/>
      <c r="ACD45" s="137"/>
      <c r="ACE45" s="137"/>
      <c r="ACF45" s="137"/>
      <c r="ACG45" s="137"/>
      <c r="ACH45" s="137"/>
      <c r="ACI45" s="153"/>
      <c r="ACJ45" s="304"/>
      <c r="ACK45" s="152"/>
      <c r="ACL45" s="131">
        <f>SUM(ABJ45:ACK45)</f>
      </c>
      <c r="ACM45" s="121"/>
      <c r="ACN45" s="122"/>
      <c r="ACO45" s="123"/>
      <c r="ACP45" s="124"/>
      <c r="ACQ45" s="124"/>
      <c r="ACR45" s="124"/>
      <c r="ACS45" s="124"/>
      <c r="ACT45" s="124"/>
      <c r="ACU45" s="124"/>
      <c r="ACV45" s="125"/>
      <c r="ACW45" s="126"/>
      <c r="ACX45" s="124"/>
      <c r="ACY45" s="124"/>
      <c r="ACZ45" s="127"/>
      <c r="ADA45" s="123"/>
      <c r="ADB45" s="124"/>
      <c r="ADC45" s="124"/>
      <c r="ADD45" s="124"/>
      <c r="ADE45" s="124"/>
      <c r="ADF45" s="124"/>
      <c r="ADG45" s="124"/>
      <c r="ADH45" s="124"/>
      <c r="ADI45" s="124"/>
      <c r="ADJ45" s="124"/>
      <c r="ADK45" s="124"/>
      <c r="ADL45" s="125"/>
      <c r="ADM45" s="301"/>
      <c r="ADN45" s="151"/>
      <c r="ADO45" s="131">
        <f>SUM(ACM45:ADN45)</f>
      </c>
      <c r="ADP45" s="121"/>
      <c r="ADQ45" s="122"/>
      <c r="ADR45" s="123"/>
      <c r="ADS45" s="124"/>
      <c r="ADT45" s="124"/>
      <c r="ADU45" s="124"/>
      <c r="ADV45" s="124"/>
      <c r="ADW45" s="124"/>
      <c r="ADX45" s="124"/>
      <c r="ADY45" s="125"/>
      <c r="ADZ45" s="126"/>
      <c r="AEA45" s="124"/>
      <c r="AEB45" s="124"/>
      <c r="AEC45" s="127"/>
      <c r="AED45" s="123"/>
      <c r="AEE45" s="124"/>
      <c r="AEF45" s="124"/>
      <c r="AEG45" s="124"/>
      <c r="AEH45" s="124"/>
      <c r="AEI45" s="124"/>
      <c r="AEJ45" s="124"/>
      <c r="AEK45" s="124"/>
      <c r="AEL45" s="124"/>
      <c r="AEM45" s="124"/>
      <c r="AEN45" s="124"/>
      <c r="AEO45" s="125"/>
      <c r="AEP45" s="301"/>
      <c r="AEQ45" s="151"/>
      <c r="AER45" s="131">
        <f>SUM(ADP45:AEQ45)</f>
      </c>
      <c r="AES45" s="150">
        <f>XZ45+ZC45+AAF45+ABI45+ACL45+ADO45+AER45</f>
      </c>
      <c r="AET45" s="302">
        <f>(COUNTIF(WX45:AER45,"H")+COUNTIF(WX45:AER45,"S")+COUNTIF(WX45:AER45,"L")+COUNTIF(WX45:AER45,"E")+COUNTIF(WX45:AER45,"C"))/2</f>
      </c>
      <c r="AEU45" s="131">
        <f>AES45+AET45</f>
      </c>
      <c r="AEV45" s="134"/>
      <c r="AEW45" s="135"/>
      <c r="AEX45" s="136"/>
      <c r="AEY45" s="216">
        <v>0.5</v>
      </c>
      <c r="AEZ45" s="216">
        <v>0.5</v>
      </c>
      <c r="AFA45" s="216">
        <v>0.5</v>
      </c>
      <c r="AFB45" s="216">
        <v>0.5</v>
      </c>
      <c r="AFC45" s="216">
        <v>0.5</v>
      </c>
      <c r="AFD45" s="216">
        <v>0.5</v>
      </c>
      <c r="AFE45" s="217">
        <v>0.5</v>
      </c>
      <c r="AFF45" s="218">
        <v>0.5</v>
      </c>
      <c r="AFG45" s="216">
        <v>0.5</v>
      </c>
      <c r="AFH45" s="148"/>
      <c r="AFI45" s="305"/>
      <c r="AFJ45" s="219">
        <v>0.5</v>
      </c>
      <c r="AFK45" s="216">
        <v>0.5</v>
      </c>
      <c r="AFL45" s="216">
        <v>0.5</v>
      </c>
      <c r="AFM45" s="216">
        <v>0.5</v>
      </c>
      <c r="AFN45" s="216">
        <v>0.5</v>
      </c>
      <c r="AFO45" s="216">
        <v>0.5</v>
      </c>
      <c r="AFP45" s="216">
        <v>0.5</v>
      </c>
      <c r="AFQ45" s="216">
        <v>0.5</v>
      </c>
      <c r="AFR45" s="137"/>
      <c r="AFS45" s="137"/>
      <c r="AFT45" s="137"/>
      <c r="AFU45" s="153"/>
      <c r="AFV45" s="304"/>
      <c r="AFW45" s="152"/>
      <c r="AFX45" s="131">
        <f>SUM(AEV45:AFW45)</f>
      </c>
      <c r="AFY45" s="134"/>
      <c r="AFZ45" s="135"/>
      <c r="AGA45" s="136"/>
      <c r="AGB45" s="216">
        <v>0.5</v>
      </c>
      <c r="AGC45" s="216">
        <v>0.5</v>
      </c>
      <c r="AGD45" s="216">
        <v>0.5</v>
      </c>
      <c r="AGE45" s="216">
        <v>0.5</v>
      </c>
      <c r="AGF45" s="216">
        <v>0.5</v>
      </c>
      <c r="AGG45" s="216">
        <v>0.5</v>
      </c>
      <c r="AGH45" s="217">
        <v>0.5</v>
      </c>
      <c r="AGI45" s="218">
        <v>0.5</v>
      </c>
      <c r="AGJ45" s="216">
        <v>0.5</v>
      </c>
      <c r="AGK45" s="148"/>
      <c r="AGL45" s="305"/>
      <c r="AGM45" s="219">
        <v>0.5</v>
      </c>
      <c r="AGN45" s="216">
        <v>0.5</v>
      </c>
      <c r="AGO45" s="216">
        <v>0.5</v>
      </c>
      <c r="AGP45" s="216">
        <v>0.5</v>
      </c>
      <c r="AGQ45" s="216">
        <v>0.5</v>
      </c>
      <c r="AGR45" s="216">
        <v>0.5</v>
      </c>
      <c r="AGS45" s="216">
        <v>0.5</v>
      </c>
      <c r="AGT45" s="216">
        <v>0.5</v>
      </c>
      <c r="AGU45" s="137"/>
      <c r="AGV45" s="137"/>
      <c r="AGW45" s="137"/>
      <c r="AGX45" s="153"/>
      <c r="AGY45" s="304"/>
      <c r="AGZ45" s="152"/>
      <c r="AHA45" s="131">
        <f>SUM(AFY45:AGZ45)</f>
      </c>
      <c r="AHB45" s="134"/>
      <c r="AHC45" s="135"/>
      <c r="AHD45" s="136"/>
      <c r="AHE45" s="138">
        <v>0.5</v>
      </c>
      <c r="AHF45" s="138">
        <v>0.5</v>
      </c>
      <c r="AHG45" s="138">
        <v>0.5</v>
      </c>
      <c r="AHH45" s="138">
        <v>0.5</v>
      </c>
      <c r="AHI45" s="138">
        <v>0.5</v>
      </c>
      <c r="AHJ45" s="138">
        <v>0.5</v>
      </c>
      <c r="AHK45" s="139">
        <v>0.5</v>
      </c>
      <c r="AHL45" s="140">
        <v>0.5</v>
      </c>
      <c r="AHM45" s="138">
        <v>0.5</v>
      </c>
      <c r="AHN45" s="148"/>
      <c r="AHO45" s="305"/>
      <c r="AHP45" s="142">
        <v>0.5</v>
      </c>
      <c r="AHQ45" s="138">
        <v>0.5</v>
      </c>
      <c r="AHR45" s="138">
        <v>0.5</v>
      </c>
      <c r="AHS45" s="138">
        <v>0.5</v>
      </c>
      <c r="AHT45" s="138">
        <v>0.5</v>
      </c>
      <c r="AHU45" s="138">
        <v>0.5</v>
      </c>
      <c r="AHV45" s="138">
        <v>0.5</v>
      </c>
      <c r="AHW45" s="138">
        <v>0.5</v>
      </c>
      <c r="AHX45" s="137"/>
      <c r="AHY45" s="137"/>
      <c r="AHZ45" s="137"/>
      <c r="AIA45" s="153"/>
      <c r="AIB45" s="304"/>
      <c r="AIC45" s="152"/>
      <c r="AID45" s="131">
        <f>SUM(AHB45:AIC45)</f>
      </c>
      <c r="AIE45" s="134"/>
      <c r="AIF45" s="135"/>
      <c r="AIG45" s="136"/>
      <c r="AIH45" s="138">
        <v>0.5</v>
      </c>
      <c r="AII45" s="138">
        <v>0.5</v>
      </c>
      <c r="AIJ45" s="138">
        <v>0.5</v>
      </c>
      <c r="AIK45" s="138">
        <v>0.5</v>
      </c>
      <c r="AIL45" s="138">
        <v>0.5</v>
      </c>
      <c r="AIM45" s="138">
        <v>0.5</v>
      </c>
      <c r="AIN45" s="139">
        <v>0.5</v>
      </c>
      <c r="AIO45" s="140">
        <v>0.5</v>
      </c>
      <c r="AIP45" s="138">
        <v>0.5</v>
      </c>
      <c r="AIQ45" s="148"/>
      <c r="AIR45" s="305"/>
      <c r="AIS45" s="142">
        <v>0.5</v>
      </c>
      <c r="AIT45" s="138">
        <v>0.5</v>
      </c>
      <c r="AIU45" s="138">
        <v>0.5</v>
      </c>
      <c r="AIV45" s="138">
        <v>0.5</v>
      </c>
      <c r="AIW45" s="138">
        <v>0.5</v>
      </c>
      <c r="AIX45" s="138">
        <v>0.5</v>
      </c>
      <c r="AIY45" s="138">
        <v>0.5</v>
      </c>
      <c r="AIZ45" s="138">
        <v>0.5</v>
      </c>
      <c r="AJA45" s="137"/>
      <c r="AJB45" s="137"/>
      <c r="AJC45" s="137"/>
      <c r="AJD45" s="153"/>
      <c r="AJE45" s="304"/>
      <c r="AJF45" s="152"/>
      <c r="AJG45" s="131">
        <f>SUM(AIE45:AJF45)</f>
      </c>
      <c r="AJH45" s="134"/>
      <c r="AJI45" s="135"/>
      <c r="AJJ45" s="142">
        <v>0.5</v>
      </c>
      <c r="AJK45" s="138">
        <v>0.5</v>
      </c>
      <c r="AJL45" s="138">
        <v>0.5</v>
      </c>
      <c r="AJM45" s="138">
        <v>0.5</v>
      </c>
      <c r="AJN45" s="138">
        <v>0.5</v>
      </c>
      <c r="AJO45" s="138">
        <v>0.5</v>
      </c>
      <c r="AJP45" s="138">
        <v>0.5</v>
      </c>
      <c r="AJQ45" s="139">
        <v>0.5</v>
      </c>
      <c r="AJR45" s="140">
        <v>0.5</v>
      </c>
      <c r="AJS45" s="138">
        <v>0.5</v>
      </c>
      <c r="AJT45" s="138">
        <v>0.5</v>
      </c>
      <c r="AJU45" s="149">
        <v>0.5</v>
      </c>
      <c r="AJV45" s="136"/>
      <c r="AJW45" s="137"/>
      <c r="AJX45" s="137"/>
      <c r="AJY45" s="137"/>
      <c r="AJZ45" s="137"/>
      <c r="AKA45" s="137"/>
      <c r="AKB45" s="137"/>
      <c r="AKC45" s="137"/>
      <c r="AKD45" s="137"/>
      <c r="AKE45" s="137"/>
      <c r="AKF45" s="137"/>
      <c r="AKG45" s="153"/>
      <c r="AKH45" s="304"/>
      <c r="AKI45" s="152"/>
      <c r="AKJ45" s="131">
        <f>SUM(AJH45:AKI45)</f>
      </c>
      <c r="AKK45" s="121"/>
      <c r="AKL45" s="122"/>
      <c r="AKM45" s="123"/>
      <c r="AKN45" s="124"/>
      <c r="AKO45" s="124"/>
      <c r="AKP45" s="124"/>
      <c r="AKQ45" s="124"/>
      <c r="AKR45" s="124"/>
      <c r="AKS45" s="124"/>
      <c r="AKT45" s="125"/>
      <c r="AKU45" s="126"/>
      <c r="AKV45" s="124"/>
      <c r="AKW45" s="124"/>
      <c r="AKX45" s="127"/>
      <c r="AKY45" s="123"/>
      <c r="AKZ45" s="124"/>
      <c r="ALA45" s="124"/>
      <c r="ALB45" s="124"/>
      <c r="ALC45" s="124"/>
      <c r="ALD45" s="124"/>
      <c r="ALE45" s="124"/>
      <c r="ALF45" s="124"/>
      <c r="ALG45" s="124"/>
      <c r="ALH45" s="124"/>
      <c r="ALI45" s="124"/>
      <c r="ALJ45" s="125"/>
      <c r="ALK45" s="301"/>
      <c r="ALL45" s="151"/>
      <c r="ALM45" s="131">
        <f>SUM(AKK45:ALL45)</f>
      </c>
      <c r="ALN45" s="121"/>
      <c r="ALO45" s="122"/>
      <c r="ALP45" s="123"/>
      <c r="ALQ45" s="124"/>
      <c r="ALR45" s="124"/>
      <c r="ALS45" s="124"/>
      <c r="ALT45" s="124"/>
      <c r="ALU45" s="124"/>
      <c r="ALV45" s="124"/>
      <c r="ALW45" s="125"/>
      <c r="ALX45" s="126"/>
      <c r="ALY45" s="124"/>
      <c r="ALZ45" s="124"/>
      <c r="AMA45" s="127"/>
      <c r="AMB45" s="123"/>
      <c r="AMC45" s="124"/>
      <c r="AMD45" s="124"/>
      <c r="AME45" s="124"/>
      <c r="AMF45" s="124"/>
      <c r="AMG45" s="124"/>
      <c r="AMH45" s="124"/>
      <c r="AMI45" s="124"/>
      <c r="AMJ45" s="124"/>
      <c r="AMK45" s="124"/>
      <c r="AML45" s="124"/>
      <c r="AMM45" s="125"/>
      <c r="AMN45" s="301"/>
      <c r="AMO45" s="151"/>
      <c r="AMP45" s="131">
        <f>SUM(ALN45:AMO45)</f>
      </c>
      <c r="AMQ45" s="150">
        <f>AFX45+AHA45+AID45+AJG45+AKJ45+ALM45+AMP45</f>
      </c>
      <c r="AMR45" s="302">
        <f>(COUNTIF(AEV45:AMP45,"H")+COUNTIF(AEV45:AMP45,"S")+COUNTIF(AEV45:AMP45,"L")+COUNTIF(AEV45:AMP45,"E")+COUNTIF(AEV45:AMP45,"C"))/2</f>
      </c>
      <c r="AMS45" s="131">
        <f>AMQ45+AMR45</f>
      </c>
      <c r="AMT45" s="4"/>
      <c r="AMU45" s="4"/>
      <c r="AMV45" s="4"/>
      <c r="AMW45" s="4"/>
      <c r="AMX45" s="4"/>
      <c r="AMY45" s="4"/>
      <c r="AMZ45" s="4"/>
      <c r="ANA45" s="4"/>
      <c r="ANB45" s="4"/>
      <c r="ANC45" s="4"/>
      <c r="AND45" s="4"/>
      <c r="ANE45" s="4"/>
      <c r="ANF45" s="4"/>
      <c r="ANG45" s="4"/>
      <c r="ANH45" s="4"/>
      <c r="ANI45" s="4"/>
      <c r="ANJ45" s="13"/>
      <c r="ANK45" s="13"/>
      <c r="ANL45" s="4"/>
      <c r="ANM45" s="4"/>
      <c r="ANN45" s="4"/>
      <c r="ANO45" s="4"/>
      <c r="ANP45" s="4"/>
      <c r="ANQ45" s="4"/>
      <c r="ANR45" s="4"/>
      <c r="ANS45" s="4"/>
      <c r="ANT45" s="4"/>
      <c r="ANU45" s="4"/>
      <c r="ANV45" s="4"/>
      <c r="ANW45" s="4"/>
      <c r="ANX45" s="4"/>
      <c r="ANY45" s="4"/>
      <c r="ANZ45" s="4"/>
      <c r="AOA45" s="4"/>
      <c r="AOB45" s="4"/>
      <c r="AOC45" s="4"/>
      <c r="AOD45" s="4"/>
      <c r="AOE45" s="4"/>
      <c r="AOF45" s="4"/>
      <c r="AOG45" s="4"/>
      <c r="AOH45" s="4"/>
      <c r="AOI45" s="4"/>
      <c r="AOJ45" s="4"/>
      <c r="AOK45" s="4"/>
      <c r="AOL45" s="4"/>
      <c r="AOM45" s="4"/>
      <c r="AON45" s="4"/>
      <c r="AOO45" s="4"/>
      <c r="AOP45" s="4"/>
      <c r="AOQ45" s="4"/>
      <c r="AOR45" s="4"/>
      <c r="AOS45" s="4"/>
      <c r="AOT45" s="4"/>
      <c r="AOU45" s="4"/>
      <c r="AOV45" s="4"/>
      <c r="AOW45" s="4"/>
      <c r="AOX45" s="4"/>
      <c r="AOY45" s="4"/>
      <c r="AOZ45" s="4"/>
      <c r="APA45" s="4"/>
      <c r="APB45" s="4"/>
      <c r="APC45" s="4"/>
      <c r="APD45" s="4"/>
      <c r="APE45" s="4"/>
      <c r="APF45" s="4"/>
      <c r="APG45" s="4"/>
      <c r="APH45" s="4"/>
      <c r="API45" s="4"/>
      <c r="APJ45" s="4"/>
      <c r="APK45" s="4"/>
      <c r="APL45" s="4"/>
      <c r="APM45" s="4"/>
      <c r="APN45" s="4"/>
      <c r="APO45" s="4"/>
      <c r="APP45" s="4"/>
      <c r="APQ45" s="4"/>
      <c r="APR45" s="4"/>
      <c r="APS45" s="4"/>
      <c r="APT45" s="4"/>
      <c r="APU45" s="4"/>
      <c r="APV45" s="4"/>
      <c r="APW45" s="4"/>
      <c r="APX45" s="4"/>
      <c r="APY45" s="4"/>
      <c r="APZ45" s="4"/>
      <c r="AQA45" s="4"/>
      <c r="AQB45" s="4"/>
      <c r="AQC45" s="4"/>
      <c r="AQD45" s="4"/>
      <c r="AQE45" s="4"/>
      <c r="AQF45" s="4"/>
      <c r="AQG45" s="4"/>
      <c r="AQH45" s="4"/>
      <c r="AQI45" s="4"/>
      <c r="AQJ45" s="4"/>
      <c r="AQK45" s="4"/>
      <c r="AQL45" s="4"/>
      <c r="AQM45" s="4"/>
      <c r="AQN45" s="4"/>
      <c r="AQO45" s="4"/>
      <c r="AQP45" s="4"/>
      <c r="AQQ45" s="4"/>
      <c r="AQR45" s="4"/>
      <c r="AQS45" s="4"/>
      <c r="AQT45" s="4"/>
      <c r="AQU45" s="4"/>
      <c r="AQV45" s="4"/>
      <c r="AQW45" s="4"/>
      <c r="AQX45" s="4"/>
      <c r="AQY45" s="4"/>
      <c r="AQZ45" s="4"/>
      <c r="ARA45" s="4"/>
      <c r="ARB45" s="4"/>
      <c r="ARC45" s="4"/>
      <c r="ARD45" s="4"/>
      <c r="ARE45" s="4"/>
      <c r="ARF45" s="4"/>
      <c r="ARG45" s="4"/>
      <c r="ARH45" s="4"/>
      <c r="ARI45" s="4"/>
      <c r="ARJ45" s="4"/>
      <c r="ARK45" s="4"/>
      <c r="ARL45" s="4"/>
      <c r="ARM45" s="4"/>
      <c r="ARN45" s="4"/>
      <c r="ARO45" s="4"/>
      <c r="ARP45" s="4"/>
      <c r="ARQ45" s="4"/>
      <c r="ARR45" s="4"/>
      <c r="ARS45" s="4"/>
      <c r="ART45" s="4"/>
      <c r="ARU45" s="4"/>
      <c r="ARV45" s="4"/>
      <c r="ARW45" s="4"/>
      <c r="ARX45" s="4"/>
      <c r="ARY45" s="4"/>
      <c r="ARZ45" s="4"/>
      <c r="ASA45" s="4"/>
      <c r="ASB45" s="4"/>
      <c r="ASC45" s="4"/>
      <c r="ASD45" s="4"/>
      <c r="ASE45" s="4"/>
      <c r="ASF45" s="4"/>
      <c r="ASG45" s="4"/>
      <c r="ASH45" s="4"/>
      <c r="ASI45" s="4"/>
      <c r="ASJ45" s="4"/>
      <c r="ASK45" s="4"/>
      <c r="ASL45" s="4"/>
      <c r="ASM45" s="4"/>
      <c r="ASN45" s="4"/>
      <c r="ASO45" s="4"/>
      <c r="ASP45" s="4"/>
      <c r="ASQ45" s="4"/>
      <c r="ASR45" s="4"/>
      <c r="ASS45" s="4"/>
      <c r="AST45" s="4"/>
      <c r="ASU45" s="4"/>
    </row>
    <row r="46" ht="15" customHeight="1" spans="1:1191" x14ac:dyDescent="0.25">
      <c r="A46" s="118"/>
      <c r="B46" s="230" t="s">
        <v>85</v>
      </c>
      <c r="C46" s="289" t="s">
        <v>55</v>
      </c>
      <c r="D46" s="121"/>
      <c r="E46" s="122"/>
      <c r="F46" s="123"/>
      <c r="G46" s="124"/>
      <c r="H46" s="124"/>
      <c r="I46" s="124"/>
      <c r="J46" s="124"/>
      <c r="K46" s="124"/>
      <c r="L46" s="124"/>
      <c r="M46" s="125"/>
      <c r="N46" s="126"/>
      <c r="O46" s="124"/>
      <c r="P46" s="124"/>
      <c r="Q46" s="127"/>
      <c r="R46" s="123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5"/>
      <c r="AD46" s="301"/>
      <c r="AE46" s="151"/>
      <c r="AF46" s="131">
        <f>SUM(D46:AE46)</f>
      </c>
      <c r="AG46" s="121"/>
      <c r="AH46" s="122"/>
      <c r="AI46" s="123"/>
      <c r="AJ46" s="124"/>
      <c r="AK46" s="124"/>
      <c r="AL46" s="124"/>
      <c r="AM46" s="124"/>
      <c r="AN46" s="124"/>
      <c r="AO46" s="124"/>
      <c r="AP46" s="125"/>
      <c r="AQ46" s="126"/>
      <c r="AR46" s="124"/>
      <c r="AS46" s="124"/>
      <c r="AT46" s="127"/>
      <c r="AU46" s="123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5"/>
      <c r="BG46" s="301"/>
      <c r="BH46" s="151"/>
      <c r="BI46" s="131">
        <f>SUM(AG46:BH46)</f>
      </c>
      <c r="BJ46" s="121"/>
      <c r="BK46" s="122"/>
      <c r="BL46" s="123"/>
      <c r="BM46" s="124"/>
      <c r="BN46" s="124"/>
      <c r="BO46" s="124"/>
      <c r="BP46" s="124"/>
      <c r="BQ46" s="124"/>
      <c r="BR46" s="124"/>
      <c r="BS46" s="125"/>
      <c r="BT46" s="126"/>
      <c r="BU46" s="124"/>
      <c r="BV46" s="124"/>
      <c r="BW46" s="127"/>
      <c r="BX46" s="123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5"/>
      <c r="CJ46" s="301"/>
      <c r="CK46" s="151"/>
      <c r="CL46" s="131">
        <f>SUM(BJ46:CK46)</f>
      </c>
      <c r="CM46" s="121"/>
      <c r="CN46" s="122"/>
      <c r="CO46" s="123"/>
      <c r="CP46" s="124"/>
      <c r="CQ46" s="124"/>
      <c r="CR46" s="124"/>
      <c r="CS46" s="124"/>
      <c r="CT46" s="124"/>
      <c r="CU46" s="124"/>
      <c r="CV46" s="125"/>
      <c r="CW46" s="126"/>
      <c r="CX46" s="124"/>
      <c r="CY46" s="124"/>
      <c r="CZ46" s="127"/>
      <c r="DA46" s="123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5"/>
      <c r="DM46" s="301"/>
      <c r="DN46" s="151"/>
      <c r="DO46" s="131">
        <f>SUM(CM46:DN46)</f>
      </c>
      <c r="DP46" s="121"/>
      <c r="DQ46" s="122"/>
      <c r="DR46" s="123"/>
      <c r="DS46" s="124"/>
      <c r="DT46" s="124"/>
      <c r="DU46" s="124"/>
      <c r="DV46" s="124"/>
      <c r="DW46" s="124"/>
      <c r="DX46" s="124"/>
      <c r="DY46" s="125"/>
      <c r="DZ46" s="126"/>
      <c r="EA46" s="124"/>
      <c r="EB46" s="124"/>
      <c r="EC46" s="127"/>
      <c r="ED46" s="123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5"/>
      <c r="EP46" s="301"/>
      <c r="EQ46" s="151"/>
      <c r="ER46" s="131">
        <f>SUM(DP46:EQ46)</f>
      </c>
      <c r="ES46" s="121"/>
      <c r="ET46" s="122"/>
      <c r="EU46" s="123"/>
      <c r="EV46" s="124"/>
      <c r="EW46" s="124"/>
      <c r="EX46" s="124"/>
      <c r="EY46" s="124"/>
      <c r="EZ46" s="124"/>
      <c r="FA46" s="124"/>
      <c r="FB46" s="125"/>
      <c r="FC46" s="126"/>
      <c r="FD46" s="124"/>
      <c r="FE46" s="124"/>
      <c r="FF46" s="127"/>
      <c r="FG46" s="123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5"/>
      <c r="FS46" s="301"/>
      <c r="FT46" s="151"/>
      <c r="FU46" s="131">
        <f>SUM(ES46:FT46)</f>
      </c>
      <c r="FV46" s="121"/>
      <c r="FW46" s="122"/>
      <c r="FX46" s="123"/>
      <c r="FY46" s="124"/>
      <c r="FZ46" s="124"/>
      <c r="GA46" s="124"/>
      <c r="GB46" s="124"/>
      <c r="GC46" s="124"/>
      <c r="GD46" s="124"/>
      <c r="GE46" s="125"/>
      <c r="GF46" s="126"/>
      <c r="GG46" s="124"/>
      <c r="GH46" s="124"/>
      <c r="GI46" s="127"/>
      <c r="GJ46" s="123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5"/>
      <c r="GV46" s="301"/>
      <c r="GW46" s="151"/>
      <c r="GX46" s="131">
        <f>SUM(FV46:GW46)</f>
      </c>
      <c r="GY46" s="150">
        <f>AF46+BI46+CL46+DO46+ER46+FU46+GX46</f>
      </c>
      <c r="GZ46" s="302">
        <f>(COUNTIF(D46:GX46,"H")+COUNTIF(D46:GX46,"S")+COUNTIF(D46:GX46,"L")+COUNTIF(D46:GX46,"E")+COUNTIF(D46:GX46,"C"))/2</f>
      </c>
      <c r="HA46" s="131">
        <f>GY46+GZ46</f>
      </c>
      <c r="HB46" s="134"/>
      <c r="HC46" s="135"/>
      <c r="HD46" s="136"/>
      <c r="HE46" s="138">
        <v>0.5</v>
      </c>
      <c r="HF46" s="138">
        <v>0.5</v>
      </c>
      <c r="HG46" s="138">
        <v>0.5</v>
      </c>
      <c r="HH46" s="138">
        <v>0.5</v>
      </c>
      <c r="HI46" s="138">
        <v>0.5</v>
      </c>
      <c r="HJ46" s="138">
        <v>0.5</v>
      </c>
      <c r="HK46" s="139">
        <v>0.5</v>
      </c>
      <c r="HL46" s="140">
        <v>0.5</v>
      </c>
      <c r="HM46" s="138">
        <v>0.5</v>
      </c>
      <c r="HN46" s="148"/>
      <c r="HO46" s="305"/>
      <c r="HP46" s="142">
        <v>0.5</v>
      </c>
      <c r="HQ46" s="138">
        <v>0.5</v>
      </c>
      <c r="HR46" s="138">
        <v>0.5</v>
      </c>
      <c r="HS46" s="138">
        <v>0.5</v>
      </c>
      <c r="HT46" s="138">
        <v>0.5</v>
      </c>
      <c r="HU46" s="138">
        <v>0.5</v>
      </c>
      <c r="HV46" s="138">
        <v>0.5</v>
      </c>
      <c r="HW46" s="138">
        <v>0.5</v>
      </c>
      <c r="HX46" s="137"/>
      <c r="HY46" s="137"/>
      <c r="HZ46" s="137"/>
      <c r="IA46" s="153"/>
      <c r="IB46" s="304"/>
      <c r="IC46" s="152"/>
      <c r="ID46" s="131">
        <f>SUM(HB46:IC46)</f>
      </c>
      <c r="IE46" s="134"/>
      <c r="IF46" s="135"/>
      <c r="IG46" s="136"/>
      <c r="IH46" s="138">
        <v>0.5</v>
      </c>
      <c r="II46" s="138">
        <v>0.5</v>
      </c>
      <c r="IJ46" s="138">
        <v>0.5</v>
      </c>
      <c r="IK46" s="138">
        <v>0.5</v>
      </c>
      <c r="IL46" s="138">
        <v>0.5</v>
      </c>
      <c r="IM46" s="138">
        <v>0.5</v>
      </c>
      <c r="IN46" s="139">
        <v>0.5</v>
      </c>
      <c r="IO46" s="140">
        <v>0.5</v>
      </c>
      <c r="IP46" s="138">
        <v>0.5</v>
      </c>
      <c r="IQ46" s="148"/>
      <c r="IR46" s="305"/>
      <c r="IS46" s="142">
        <v>0.5</v>
      </c>
      <c r="IT46" s="138">
        <v>0.5</v>
      </c>
      <c r="IU46" s="138">
        <v>0.5</v>
      </c>
      <c r="IV46" s="138">
        <v>0.5</v>
      </c>
      <c r="IW46" s="138">
        <v>0.5</v>
      </c>
      <c r="IX46" s="138">
        <v>0.5</v>
      </c>
      <c r="IY46" s="138">
        <v>0.5</v>
      </c>
      <c r="IZ46" s="138">
        <v>0.5</v>
      </c>
      <c r="JA46" s="137"/>
      <c r="JB46" s="137"/>
      <c r="JC46" s="137"/>
      <c r="JD46" s="153"/>
      <c r="JE46" s="304"/>
      <c r="JF46" s="152"/>
      <c r="JG46" s="131">
        <f>SUM(IE46:JF46)</f>
      </c>
      <c r="JH46" s="134"/>
      <c r="JI46" s="135"/>
      <c r="JJ46" s="136"/>
      <c r="JK46" s="138">
        <v>0.5</v>
      </c>
      <c r="JL46" s="138">
        <v>0.5</v>
      </c>
      <c r="JM46" s="138">
        <v>0.5</v>
      </c>
      <c r="JN46" s="138">
        <v>0.5</v>
      </c>
      <c r="JO46" s="138">
        <v>0.5</v>
      </c>
      <c r="JP46" s="138">
        <v>0.5</v>
      </c>
      <c r="JQ46" s="139">
        <v>0.5</v>
      </c>
      <c r="JR46" s="140">
        <v>0.5</v>
      </c>
      <c r="JS46" s="138">
        <v>0.5</v>
      </c>
      <c r="JT46" s="148"/>
      <c r="JU46" s="305"/>
      <c r="JV46" s="142">
        <v>0.5</v>
      </c>
      <c r="JW46" s="138">
        <v>0.5</v>
      </c>
      <c r="JX46" s="138">
        <v>0.5</v>
      </c>
      <c r="JY46" s="138">
        <v>0.5</v>
      </c>
      <c r="JZ46" s="138">
        <v>0.5</v>
      </c>
      <c r="KA46" s="138">
        <v>0.5</v>
      </c>
      <c r="KB46" s="138">
        <v>0.5</v>
      </c>
      <c r="KC46" s="138">
        <v>0.5</v>
      </c>
      <c r="KD46" s="137"/>
      <c r="KE46" s="137"/>
      <c r="KF46" s="137"/>
      <c r="KG46" s="153"/>
      <c r="KH46" s="304"/>
      <c r="KI46" s="152"/>
      <c r="KJ46" s="131">
        <f>SUM(JH46:KI46)</f>
      </c>
      <c r="KK46" s="134"/>
      <c r="KL46" s="135"/>
      <c r="KM46" s="136"/>
      <c r="KN46" s="138">
        <v>0.5</v>
      </c>
      <c r="KO46" s="138">
        <v>0.5</v>
      </c>
      <c r="KP46" s="138">
        <v>0.5</v>
      </c>
      <c r="KQ46" s="138">
        <v>0.5</v>
      </c>
      <c r="KR46" s="138">
        <v>0.5</v>
      </c>
      <c r="KS46" s="138">
        <v>0.5</v>
      </c>
      <c r="KT46" s="139">
        <v>0.5</v>
      </c>
      <c r="KU46" s="140">
        <v>0.5</v>
      </c>
      <c r="KV46" s="138">
        <v>0.5</v>
      </c>
      <c r="KW46" s="148"/>
      <c r="KX46" s="305"/>
      <c r="KY46" s="142">
        <v>0.5</v>
      </c>
      <c r="KZ46" s="138">
        <v>0.5</v>
      </c>
      <c r="LA46" s="138">
        <v>0.5</v>
      </c>
      <c r="LB46" s="138">
        <v>0.5</v>
      </c>
      <c r="LC46" s="138">
        <v>0.5</v>
      </c>
      <c r="LD46" s="138">
        <v>0.5</v>
      </c>
      <c r="LE46" s="138">
        <v>0.5</v>
      </c>
      <c r="LF46" s="138">
        <v>0.5</v>
      </c>
      <c r="LG46" s="137"/>
      <c r="LH46" s="137"/>
      <c r="LI46" s="137"/>
      <c r="LJ46" s="153"/>
      <c r="LK46" s="304"/>
      <c r="LL46" s="152"/>
      <c r="LM46" s="131">
        <f>SUM(KK46:LL46)</f>
      </c>
      <c r="LN46" s="134"/>
      <c r="LO46" s="135"/>
      <c r="LP46" s="142">
        <v>0.5</v>
      </c>
      <c r="LQ46" s="138">
        <v>0.5</v>
      </c>
      <c r="LR46" s="138">
        <v>0.5</v>
      </c>
      <c r="LS46" s="138">
        <v>0.5</v>
      </c>
      <c r="LT46" s="138">
        <v>0.5</v>
      </c>
      <c r="LU46" s="138">
        <v>0.5</v>
      </c>
      <c r="LV46" s="138">
        <v>0.5</v>
      </c>
      <c r="LW46" s="139">
        <v>0.5</v>
      </c>
      <c r="LX46" s="140">
        <v>0.5</v>
      </c>
      <c r="LY46" s="138">
        <v>0.5</v>
      </c>
      <c r="LZ46" s="138">
        <v>0.5</v>
      </c>
      <c r="MA46" s="149">
        <v>0.5</v>
      </c>
      <c r="MB46" s="136"/>
      <c r="MC46" s="137"/>
      <c r="MD46" s="137"/>
      <c r="ME46" s="137"/>
      <c r="MF46" s="137"/>
      <c r="MG46" s="137"/>
      <c r="MH46" s="137"/>
      <c r="MI46" s="137"/>
      <c r="MJ46" s="137"/>
      <c r="MK46" s="137"/>
      <c r="ML46" s="137"/>
      <c r="MM46" s="153"/>
      <c r="MN46" s="304"/>
      <c r="MO46" s="152"/>
      <c r="MP46" s="131">
        <f>SUM(LN46:MO46)</f>
      </c>
      <c r="MQ46" s="121"/>
      <c r="MR46" s="122"/>
      <c r="MS46" s="123"/>
      <c r="MT46" s="124"/>
      <c r="MU46" s="124"/>
      <c r="MV46" s="124"/>
      <c r="MW46" s="124"/>
      <c r="MX46" s="124"/>
      <c r="MY46" s="124"/>
      <c r="MZ46" s="125"/>
      <c r="NA46" s="126"/>
      <c r="NB46" s="124"/>
      <c r="NC46" s="124"/>
      <c r="ND46" s="127"/>
      <c r="NE46" s="123"/>
      <c r="NF46" s="124"/>
      <c r="NG46" s="124"/>
      <c r="NH46" s="124"/>
      <c r="NI46" s="124"/>
      <c r="NJ46" s="124"/>
      <c r="NK46" s="124"/>
      <c r="NL46" s="124"/>
      <c r="NM46" s="124"/>
      <c r="NN46" s="124"/>
      <c r="NO46" s="124"/>
      <c r="NP46" s="125"/>
      <c r="NQ46" s="301"/>
      <c r="NR46" s="151"/>
      <c r="NS46" s="131">
        <f>SUM(MQ46:NR46)</f>
      </c>
      <c r="NT46" s="121"/>
      <c r="NU46" s="122"/>
      <c r="NV46" s="123"/>
      <c r="NW46" s="124"/>
      <c r="NX46" s="124"/>
      <c r="NY46" s="124"/>
      <c r="NZ46" s="124"/>
      <c r="OA46" s="124"/>
      <c r="OB46" s="124"/>
      <c r="OC46" s="125"/>
      <c r="OD46" s="126"/>
      <c r="OE46" s="124"/>
      <c r="OF46" s="124"/>
      <c r="OG46" s="127"/>
      <c r="OH46" s="123"/>
      <c r="OI46" s="124"/>
      <c r="OJ46" s="124"/>
      <c r="OK46" s="124"/>
      <c r="OL46" s="124"/>
      <c r="OM46" s="124"/>
      <c r="ON46" s="124"/>
      <c r="OO46" s="124"/>
      <c r="OP46" s="124"/>
      <c r="OQ46" s="124"/>
      <c r="OR46" s="124"/>
      <c r="OS46" s="125"/>
      <c r="OT46" s="301"/>
      <c r="OU46" s="151"/>
      <c r="OV46" s="131">
        <f>SUM(NT46:OU46)</f>
      </c>
      <c r="OW46" s="150">
        <f>ID46+JG46+KJ46+LM46+MP46+NS46+OV46</f>
      </c>
      <c r="OX46" s="302">
        <f>(COUNTIF(HB46:OV46,"H")+COUNTIF(HB46:OV46,"S")+COUNTIF(HB46:OV46,"L")+COUNTIF(HB46:OV46,"E")+COUNTIF(HB46:OV46,"C"))/2</f>
      </c>
      <c r="OY46" s="131">
        <f>OW46+OX46</f>
      </c>
      <c r="OZ46" s="134"/>
      <c r="PA46" s="135"/>
      <c r="PB46" s="136"/>
      <c r="PC46" s="138">
        <v>0.5</v>
      </c>
      <c r="PD46" s="138">
        <v>0.5</v>
      </c>
      <c r="PE46" s="138">
        <v>0.5</v>
      </c>
      <c r="PF46" s="138">
        <v>0.5</v>
      </c>
      <c r="PG46" s="138">
        <v>0.5</v>
      </c>
      <c r="PH46" s="138">
        <v>0.5</v>
      </c>
      <c r="PI46" s="139">
        <v>0.5</v>
      </c>
      <c r="PJ46" s="155"/>
      <c r="PK46" s="137"/>
      <c r="PL46" s="138">
        <v>0.5</v>
      </c>
      <c r="PM46" s="149">
        <v>0.5</v>
      </c>
      <c r="PN46" s="142">
        <v>0.5</v>
      </c>
      <c r="PO46" s="138">
        <v>0.5</v>
      </c>
      <c r="PP46" s="138">
        <v>0.5</v>
      </c>
      <c r="PQ46" s="138">
        <v>0.5</v>
      </c>
      <c r="PR46" s="138">
        <v>0.5</v>
      </c>
      <c r="PS46" s="138">
        <v>0.5</v>
      </c>
      <c r="PT46" s="138">
        <v>0.5</v>
      </c>
      <c r="PU46" s="137"/>
      <c r="PV46" s="137"/>
      <c r="PW46" s="137"/>
      <c r="PX46" s="137"/>
      <c r="PY46" s="153"/>
      <c r="PZ46" s="304"/>
      <c r="QA46" s="152"/>
      <c r="QB46" s="131">
        <f>SUM(OZ46:QA46)</f>
      </c>
      <c r="QC46" s="134"/>
      <c r="QD46" s="135"/>
      <c r="QE46" s="136"/>
      <c r="QF46" s="138">
        <v>0.5</v>
      </c>
      <c r="QG46" s="138">
        <v>0.5</v>
      </c>
      <c r="QH46" s="138">
        <v>0.5</v>
      </c>
      <c r="QI46" s="138">
        <v>0.5</v>
      </c>
      <c r="QJ46" s="138">
        <v>0.5</v>
      </c>
      <c r="QK46" s="138">
        <v>0.5</v>
      </c>
      <c r="QL46" s="139">
        <v>0.5</v>
      </c>
      <c r="QM46" s="155"/>
      <c r="QN46" s="137"/>
      <c r="QO46" s="138">
        <v>0.5</v>
      </c>
      <c r="QP46" s="149">
        <v>0.5</v>
      </c>
      <c r="QQ46" s="142">
        <v>0.5</v>
      </c>
      <c r="QR46" s="138">
        <v>0.5</v>
      </c>
      <c r="QS46" s="138">
        <v>0.5</v>
      </c>
      <c r="QT46" s="138">
        <v>0.5</v>
      </c>
      <c r="QU46" s="138">
        <v>0.5</v>
      </c>
      <c r="QV46" s="138">
        <v>0.5</v>
      </c>
      <c r="QW46" s="138">
        <v>0.5</v>
      </c>
      <c r="QX46" s="137"/>
      <c r="QY46" s="137"/>
      <c r="QZ46" s="137"/>
      <c r="RA46" s="137"/>
      <c r="RB46" s="153"/>
      <c r="RC46" s="304"/>
      <c r="RD46" s="152"/>
      <c r="RE46" s="131">
        <f>SUM(QC46:RD46)</f>
      </c>
      <c r="RF46" s="134"/>
      <c r="RG46" s="135"/>
      <c r="RH46" s="136"/>
      <c r="RI46" s="138">
        <v>0.5</v>
      </c>
      <c r="RJ46" s="138">
        <v>0.5</v>
      </c>
      <c r="RK46" s="138">
        <v>0.5</v>
      </c>
      <c r="RL46" s="138">
        <v>0.5</v>
      </c>
      <c r="RM46" s="138">
        <v>0.5</v>
      </c>
      <c r="RN46" s="138">
        <v>0.5</v>
      </c>
      <c r="RO46" s="139">
        <v>0.5</v>
      </c>
      <c r="RP46" s="155"/>
      <c r="RQ46" s="137"/>
      <c r="RR46" s="138">
        <v>0.5</v>
      </c>
      <c r="RS46" s="149">
        <v>0.5</v>
      </c>
      <c r="RT46" s="142">
        <v>0.5</v>
      </c>
      <c r="RU46" s="138">
        <v>0.5</v>
      </c>
      <c r="RV46" s="138">
        <v>0.5</v>
      </c>
      <c r="RW46" s="138">
        <v>0.5</v>
      </c>
      <c r="RX46" s="138">
        <v>0.5</v>
      </c>
      <c r="RY46" s="138">
        <v>0.5</v>
      </c>
      <c r="RZ46" s="138">
        <v>0.5</v>
      </c>
      <c r="SA46" s="137"/>
      <c r="SB46" s="137"/>
      <c r="SC46" s="137"/>
      <c r="SD46" s="137"/>
      <c r="SE46" s="153"/>
      <c r="SF46" s="304"/>
      <c r="SG46" s="152"/>
      <c r="SH46" s="131">
        <f>SUM(RF46:SG46)</f>
      </c>
      <c r="SI46" s="134"/>
      <c r="SJ46" s="135"/>
      <c r="SK46" s="136"/>
      <c r="SL46" s="138">
        <v>0.5</v>
      </c>
      <c r="SM46" s="138">
        <v>0.5</v>
      </c>
      <c r="SN46" s="138">
        <v>0.5</v>
      </c>
      <c r="SO46" s="138">
        <v>0.5</v>
      </c>
      <c r="SP46" s="138">
        <v>0.5</v>
      </c>
      <c r="SQ46" s="138">
        <v>0.5</v>
      </c>
      <c r="SR46" s="139">
        <v>0.5</v>
      </c>
      <c r="SS46" s="155"/>
      <c r="ST46" s="137"/>
      <c r="SU46" s="138">
        <v>0.5</v>
      </c>
      <c r="SV46" s="149">
        <v>0.5</v>
      </c>
      <c r="SW46" s="142">
        <v>0.5</v>
      </c>
      <c r="SX46" s="138">
        <v>0.5</v>
      </c>
      <c r="SY46" s="138">
        <v>0.5</v>
      </c>
      <c r="SZ46" s="138">
        <v>0.5</v>
      </c>
      <c r="TA46" s="138">
        <v>0.5</v>
      </c>
      <c r="TB46" s="138">
        <v>0.5</v>
      </c>
      <c r="TC46" s="138">
        <v>0.5</v>
      </c>
      <c r="TD46" s="137"/>
      <c r="TE46" s="137"/>
      <c r="TF46" s="137"/>
      <c r="TG46" s="137"/>
      <c r="TH46" s="153"/>
      <c r="TI46" s="304"/>
      <c r="TJ46" s="152"/>
      <c r="TK46" s="131">
        <f>SUM(SI46:TJ46)</f>
      </c>
      <c r="TL46" s="134"/>
      <c r="TM46" s="135"/>
      <c r="TN46" s="136"/>
      <c r="TO46" s="138">
        <v>0.5</v>
      </c>
      <c r="TP46" s="138">
        <v>0.5</v>
      </c>
      <c r="TQ46" s="138">
        <v>0.5</v>
      </c>
      <c r="TR46" s="138">
        <v>0.5</v>
      </c>
      <c r="TS46" s="138">
        <v>0.5</v>
      </c>
      <c r="TT46" s="138">
        <v>0.5</v>
      </c>
      <c r="TU46" s="139">
        <v>0.5</v>
      </c>
      <c r="TV46" s="155"/>
      <c r="TW46" s="137"/>
      <c r="TX46" s="138">
        <v>0.5</v>
      </c>
      <c r="TY46" s="149">
        <v>0.5</v>
      </c>
      <c r="TZ46" s="142">
        <v>0.5</v>
      </c>
      <c r="UA46" s="138">
        <v>0.5</v>
      </c>
      <c r="UB46" s="138">
        <v>0.5</v>
      </c>
      <c r="UC46" s="138">
        <v>0.5</v>
      </c>
      <c r="UD46" s="138">
        <v>0.5</v>
      </c>
      <c r="UE46" s="138">
        <v>0.5</v>
      </c>
      <c r="UF46" s="138">
        <v>0.5</v>
      </c>
      <c r="UG46" s="137"/>
      <c r="UH46" s="137"/>
      <c r="UI46" s="137"/>
      <c r="UJ46" s="137"/>
      <c r="UK46" s="153"/>
      <c r="UL46" s="304"/>
      <c r="UM46" s="152"/>
      <c r="UN46" s="131">
        <f>SUM(TL46:UM46)</f>
      </c>
      <c r="UO46" s="121"/>
      <c r="UP46" s="122"/>
      <c r="UQ46" s="123"/>
      <c r="UR46" s="124"/>
      <c r="US46" s="124"/>
      <c r="UT46" s="124"/>
      <c r="UU46" s="124"/>
      <c r="UV46" s="124"/>
      <c r="UW46" s="124"/>
      <c r="UX46" s="125"/>
      <c r="UY46" s="126"/>
      <c r="UZ46" s="124"/>
      <c r="VA46" s="124"/>
      <c r="VB46" s="127"/>
      <c r="VC46" s="123"/>
      <c r="VD46" s="124"/>
      <c r="VE46" s="124"/>
      <c r="VF46" s="124"/>
      <c r="VG46" s="124"/>
      <c r="VH46" s="124"/>
      <c r="VI46" s="124"/>
      <c r="VJ46" s="124"/>
      <c r="VK46" s="124"/>
      <c r="VL46" s="124"/>
      <c r="VM46" s="124"/>
      <c r="VN46" s="125"/>
      <c r="VO46" s="301"/>
      <c r="VP46" s="151"/>
      <c r="VQ46" s="131">
        <f>SUM(UO46:VP46)</f>
      </c>
      <c r="VR46" s="121"/>
      <c r="VS46" s="122"/>
      <c r="VT46" s="123"/>
      <c r="VU46" s="124"/>
      <c r="VV46" s="124"/>
      <c r="VW46" s="124"/>
      <c r="VX46" s="124"/>
      <c r="VY46" s="124"/>
      <c r="VZ46" s="124"/>
      <c r="WA46" s="125"/>
      <c r="WB46" s="126"/>
      <c r="WC46" s="124"/>
      <c r="WD46" s="124"/>
      <c r="WE46" s="127"/>
      <c r="WF46" s="123"/>
      <c r="WG46" s="124"/>
      <c r="WH46" s="124"/>
      <c r="WI46" s="124"/>
      <c r="WJ46" s="124"/>
      <c r="WK46" s="124"/>
      <c r="WL46" s="124"/>
      <c r="WM46" s="124"/>
      <c r="WN46" s="124"/>
      <c r="WO46" s="124"/>
      <c r="WP46" s="124"/>
      <c r="WQ46" s="125"/>
      <c r="WR46" s="301"/>
      <c r="WS46" s="151"/>
      <c r="WT46" s="131">
        <f>SUM(VR46:WS46)</f>
      </c>
      <c r="WU46" s="150">
        <f>QB46+RE46+SH46+TK46+UN46+VQ46+WT46</f>
      </c>
      <c r="WV46" s="302">
        <f>(COUNTIF(OZ46:WT46,"H")+COUNTIF(OZ46:WT46,"S")+COUNTIF(OZ46:WT46,"L")+COUNTIF(OZ46:WT46,"E")+COUNTIF(OZ46:WT46,"C"))/2</f>
      </c>
      <c r="WW46" s="131">
        <f>WU46+WV46</f>
      </c>
      <c r="WX46" s="134"/>
      <c r="WY46" s="135"/>
      <c r="WZ46" s="136"/>
      <c r="XA46" s="137"/>
      <c r="XB46" s="137"/>
      <c r="XC46" s="137"/>
      <c r="XD46" s="137"/>
      <c r="XE46" s="137"/>
      <c r="XF46" s="137"/>
      <c r="XG46" s="153"/>
      <c r="XH46" s="155"/>
      <c r="XI46" s="137"/>
      <c r="XJ46" s="137"/>
      <c r="XK46" s="141"/>
      <c r="XL46" s="306">
        <v>0.5</v>
      </c>
      <c r="XM46" s="307">
        <v>0.5</v>
      </c>
      <c r="XN46" s="307">
        <v>0.5</v>
      </c>
      <c r="XO46" s="307">
        <v>0.5</v>
      </c>
      <c r="XP46" s="307">
        <v>0.5</v>
      </c>
      <c r="XQ46" s="307">
        <v>0.5</v>
      </c>
      <c r="XR46" s="308">
        <v>0.5</v>
      </c>
      <c r="XS46" s="308">
        <v>0.5</v>
      </c>
      <c r="XT46" s="308">
        <v>0.5</v>
      </c>
      <c r="XU46" s="308">
        <v>0.5</v>
      </c>
      <c r="XV46" s="308">
        <v>0.5</v>
      </c>
      <c r="XW46" s="309">
        <v>0.5</v>
      </c>
      <c r="XX46" s="310">
        <v>2</v>
      </c>
      <c r="XY46" s="311">
        <v>0.5</v>
      </c>
      <c r="XZ46" s="131">
        <f>SUM(WX46:XY46)</f>
      </c>
      <c r="YA46" s="134"/>
      <c r="YB46" s="135"/>
      <c r="YC46" s="136"/>
      <c r="YD46" s="137"/>
      <c r="YE46" s="137"/>
      <c r="YF46" s="137"/>
      <c r="YG46" s="137"/>
      <c r="YH46" s="137"/>
      <c r="YI46" s="137"/>
      <c r="YJ46" s="153"/>
      <c r="YK46" s="155"/>
      <c r="YL46" s="137"/>
      <c r="YM46" s="137"/>
      <c r="YN46" s="141"/>
      <c r="YO46" s="136"/>
      <c r="YP46" s="137"/>
      <c r="YQ46" s="308">
        <v>0.5</v>
      </c>
      <c r="YR46" s="308">
        <v>0.5</v>
      </c>
      <c r="YS46" s="308">
        <v>0.5</v>
      </c>
      <c r="YT46" s="308">
        <v>0.5</v>
      </c>
      <c r="YU46" s="308">
        <v>0.5</v>
      </c>
      <c r="YV46" s="308">
        <v>0.5</v>
      </c>
      <c r="YW46" s="308">
        <v>0.5</v>
      </c>
      <c r="YX46" s="308">
        <v>0.5</v>
      </c>
      <c r="YY46" s="308">
        <v>0.5</v>
      </c>
      <c r="YZ46" s="309">
        <v>0.5</v>
      </c>
      <c r="ZA46" s="310">
        <v>2</v>
      </c>
      <c r="ZB46" s="311">
        <v>1.5</v>
      </c>
      <c r="ZC46" s="131">
        <f>SUM(YA46:ZB46)</f>
      </c>
      <c r="ZD46" s="134"/>
      <c r="ZE46" s="135"/>
      <c r="ZF46" s="136"/>
      <c r="ZG46" s="137"/>
      <c r="ZH46" s="137"/>
      <c r="ZI46" s="137"/>
      <c r="ZJ46" s="137"/>
      <c r="ZK46" s="137"/>
      <c r="ZL46" s="137"/>
      <c r="ZM46" s="153"/>
      <c r="ZN46" s="155"/>
      <c r="ZO46" s="137"/>
      <c r="ZP46" s="137"/>
      <c r="ZQ46" s="141"/>
      <c r="ZR46" s="136"/>
      <c r="ZS46" s="137"/>
      <c r="ZT46" s="308">
        <v>0.5</v>
      </c>
      <c r="ZU46" s="308">
        <v>0.5</v>
      </c>
      <c r="ZV46" s="308">
        <v>0.5</v>
      </c>
      <c r="ZW46" s="308">
        <v>0.5</v>
      </c>
      <c r="ZX46" s="308">
        <v>0.5</v>
      </c>
      <c r="ZY46" s="308">
        <v>0.5</v>
      </c>
      <c r="ZZ46" s="308">
        <v>0.5</v>
      </c>
      <c r="AAA46" s="308">
        <v>0.5</v>
      </c>
      <c r="AAB46" s="308">
        <v>0.5</v>
      </c>
      <c r="AAC46" s="309">
        <v>0.5</v>
      </c>
      <c r="AAD46" s="310">
        <v>2</v>
      </c>
      <c r="AAE46" s="311">
        <v>1.5</v>
      </c>
      <c r="AAF46" s="131">
        <f>SUM(ZD46:AAE46)</f>
      </c>
      <c r="AAG46" s="134"/>
      <c r="AAH46" s="135"/>
      <c r="AAI46" s="136"/>
      <c r="AAJ46" s="137"/>
      <c r="AAK46" s="137"/>
      <c r="AAL46" s="137"/>
      <c r="AAM46" s="137"/>
      <c r="AAN46" s="137"/>
      <c r="AAO46" s="308">
        <v>0.5</v>
      </c>
      <c r="AAP46" s="309">
        <v>0.5</v>
      </c>
      <c r="AAQ46" s="155"/>
      <c r="AAR46" s="308">
        <v>0.5</v>
      </c>
      <c r="AAS46" s="308">
        <v>0.5</v>
      </c>
      <c r="AAT46" s="312">
        <v>0.5</v>
      </c>
      <c r="AAU46" s="313">
        <v>0.5</v>
      </c>
      <c r="AAV46" s="308">
        <v>0.5</v>
      </c>
      <c r="AAW46" s="308">
        <v>0.5</v>
      </c>
      <c r="AAX46" s="308">
        <v>0.5</v>
      </c>
      <c r="AAY46" s="308">
        <v>0.5</v>
      </c>
      <c r="AAZ46" s="308">
        <v>0.5</v>
      </c>
      <c r="ABA46" s="308">
        <v>0.5</v>
      </c>
      <c r="ABB46" s="307">
        <v>0.5</v>
      </c>
      <c r="ABC46" s="307">
        <v>0.5</v>
      </c>
      <c r="ABD46" s="307">
        <v>0.5</v>
      </c>
      <c r="ABE46" s="307">
        <v>0.5</v>
      </c>
      <c r="ABF46" s="314">
        <v>0.5</v>
      </c>
      <c r="ABG46" s="304"/>
      <c r="ABH46" s="152"/>
      <c r="ABI46" s="131">
        <f>SUM(AAG46:ABH46)</f>
      </c>
      <c r="ABJ46" s="134"/>
      <c r="ABK46" s="135"/>
      <c r="ABL46" s="315" t="s">
        <v>22</v>
      </c>
      <c r="ABM46" s="38" t="s">
        <v>22</v>
      </c>
      <c r="ABN46" s="38" t="s">
        <v>22</v>
      </c>
      <c r="ABO46" s="38" t="s">
        <v>22</v>
      </c>
      <c r="ABP46" s="38" t="s">
        <v>22</v>
      </c>
      <c r="ABQ46" s="38" t="s">
        <v>22</v>
      </c>
      <c r="ABR46" s="38" t="s">
        <v>22</v>
      </c>
      <c r="ABS46" s="316" t="s">
        <v>22</v>
      </c>
      <c r="ABT46" s="317" t="s">
        <v>22</v>
      </c>
      <c r="ABU46" s="38" t="s">
        <v>22</v>
      </c>
      <c r="ABV46" s="38" t="s">
        <v>22</v>
      </c>
      <c r="ABW46" s="318" t="s">
        <v>22</v>
      </c>
      <c r="ABX46" s="136"/>
      <c r="ABY46" s="137"/>
      <c r="ABZ46" s="137"/>
      <c r="ACA46" s="137"/>
      <c r="ACB46" s="137"/>
      <c r="ACC46" s="137"/>
      <c r="ACD46" s="137"/>
      <c r="ACE46" s="137"/>
      <c r="ACF46" s="137"/>
      <c r="ACG46" s="137"/>
      <c r="ACH46" s="137"/>
      <c r="ACI46" s="153"/>
      <c r="ACJ46" s="304"/>
      <c r="ACK46" s="152"/>
      <c r="ACL46" s="131">
        <f>SUM(ABJ46:ACK46)</f>
      </c>
      <c r="ACM46" s="121"/>
      <c r="ACN46" s="122"/>
      <c r="ACO46" s="123"/>
      <c r="ACP46" s="124"/>
      <c r="ACQ46" s="124"/>
      <c r="ACR46" s="124"/>
      <c r="ACS46" s="124"/>
      <c r="ACT46" s="124"/>
      <c r="ACU46" s="124"/>
      <c r="ACV46" s="125"/>
      <c r="ACW46" s="126"/>
      <c r="ACX46" s="124"/>
      <c r="ACY46" s="124"/>
      <c r="ACZ46" s="127"/>
      <c r="ADA46" s="123"/>
      <c r="ADB46" s="124"/>
      <c r="ADC46" s="124"/>
      <c r="ADD46" s="124"/>
      <c r="ADE46" s="124"/>
      <c r="ADF46" s="124"/>
      <c r="ADG46" s="124"/>
      <c r="ADH46" s="124"/>
      <c r="ADI46" s="124"/>
      <c r="ADJ46" s="124"/>
      <c r="ADK46" s="124"/>
      <c r="ADL46" s="125"/>
      <c r="ADM46" s="301"/>
      <c r="ADN46" s="151"/>
      <c r="ADO46" s="131">
        <f>SUM(ACM46:ADN46)</f>
      </c>
      <c r="ADP46" s="121"/>
      <c r="ADQ46" s="122"/>
      <c r="ADR46" s="123"/>
      <c r="ADS46" s="124"/>
      <c r="ADT46" s="124"/>
      <c r="ADU46" s="124"/>
      <c r="ADV46" s="124"/>
      <c r="ADW46" s="124"/>
      <c r="ADX46" s="124"/>
      <c r="ADY46" s="125"/>
      <c r="ADZ46" s="126"/>
      <c r="AEA46" s="124"/>
      <c r="AEB46" s="124"/>
      <c r="AEC46" s="127"/>
      <c r="AED46" s="123"/>
      <c r="AEE46" s="124"/>
      <c r="AEF46" s="124"/>
      <c r="AEG46" s="124"/>
      <c r="AEH46" s="124"/>
      <c r="AEI46" s="124"/>
      <c r="AEJ46" s="124"/>
      <c r="AEK46" s="124"/>
      <c r="AEL46" s="124"/>
      <c r="AEM46" s="124"/>
      <c r="AEN46" s="124"/>
      <c r="AEO46" s="125"/>
      <c r="AEP46" s="301"/>
      <c r="AEQ46" s="151"/>
      <c r="AER46" s="131">
        <f>SUM(ADP46:AEQ46)</f>
      </c>
      <c r="AES46" s="150">
        <f>XZ46+ZC46+AAF46+ABI46+ACL46+ADO46+AER46</f>
      </c>
      <c r="AET46" s="302">
        <f>(COUNTIF(WX46:AER46,"H")+COUNTIF(WX46:AER46,"S")+COUNTIF(WX46:AER46,"L")+COUNTIF(WX46:AER46,"E")+COUNTIF(WX46:AER46,"C"))/2</f>
      </c>
      <c r="AEU46" s="131">
        <f>AES46+AET46</f>
      </c>
      <c r="AEV46" s="134"/>
      <c r="AEW46" s="135"/>
      <c r="AEX46" s="136"/>
      <c r="AEY46" s="138">
        <v>0.5</v>
      </c>
      <c r="AEZ46" s="138">
        <v>0.5</v>
      </c>
      <c r="AFA46" s="138">
        <v>0.5</v>
      </c>
      <c r="AFB46" s="138">
        <v>0.5</v>
      </c>
      <c r="AFC46" s="138">
        <v>0.5</v>
      </c>
      <c r="AFD46" s="138">
        <v>0.5</v>
      </c>
      <c r="AFE46" s="139">
        <v>0.5</v>
      </c>
      <c r="AFF46" s="155"/>
      <c r="AFG46" s="137"/>
      <c r="AFH46" s="138">
        <v>0.5</v>
      </c>
      <c r="AFI46" s="149">
        <v>0.5</v>
      </c>
      <c r="AFJ46" s="142">
        <v>0.5</v>
      </c>
      <c r="AFK46" s="138">
        <v>0.5</v>
      </c>
      <c r="AFL46" s="138">
        <v>0.5</v>
      </c>
      <c r="AFM46" s="138">
        <v>0.5</v>
      </c>
      <c r="AFN46" s="138">
        <v>0.5</v>
      </c>
      <c r="AFO46" s="138">
        <v>0.5</v>
      </c>
      <c r="AFP46" s="138">
        <v>0.5</v>
      </c>
      <c r="AFQ46" s="138">
        <v>0.5</v>
      </c>
      <c r="AFR46" s="137"/>
      <c r="AFS46" s="137"/>
      <c r="AFT46" s="137"/>
      <c r="AFU46" s="153"/>
      <c r="AFV46" s="304"/>
      <c r="AFW46" s="152"/>
      <c r="AFX46" s="131">
        <f>SUM(AEV46:AFW46)</f>
      </c>
      <c r="AFY46" s="134"/>
      <c r="AFZ46" s="135"/>
      <c r="AGA46" s="136"/>
      <c r="AGB46" s="308">
        <v>0.5</v>
      </c>
      <c r="AGC46" s="308">
        <v>0.5</v>
      </c>
      <c r="AGD46" s="308">
        <v>0.5</v>
      </c>
      <c r="AGE46" s="308">
        <v>0.5</v>
      </c>
      <c r="AGF46" s="308">
        <v>0.5</v>
      </c>
      <c r="AGG46" s="308">
        <v>0.5</v>
      </c>
      <c r="AGH46" s="309">
        <v>0.5</v>
      </c>
      <c r="AGI46" s="155"/>
      <c r="AGJ46" s="137"/>
      <c r="AGK46" s="19"/>
      <c r="AGL46" s="323"/>
      <c r="AGM46" s="15"/>
      <c r="AGN46" s="19"/>
      <c r="AGO46" s="19"/>
      <c r="AGP46" s="19"/>
      <c r="AGQ46" s="19"/>
      <c r="AGR46" s="19"/>
      <c r="AGS46" s="19"/>
      <c r="AGT46" s="19"/>
      <c r="AGU46" s="137"/>
      <c r="AGV46" s="137"/>
      <c r="AGW46" s="137"/>
      <c r="AGX46" s="153"/>
      <c r="AGY46" s="304"/>
      <c r="AGZ46" s="152"/>
      <c r="AHA46" s="131">
        <f>SUM(AFY46:AGZ46)</f>
      </c>
      <c r="AHB46" s="134"/>
      <c r="AHC46" s="135"/>
      <c r="AHD46" s="136"/>
      <c r="AHE46" s="138">
        <v>0.5</v>
      </c>
      <c r="AHF46" s="138">
        <v>0.5</v>
      </c>
      <c r="AHG46" s="138">
        <v>0.5</v>
      </c>
      <c r="AHH46" s="138">
        <v>0.5</v>
      </c>
      <c r="AHI46" s="138">
        <v>0.5</v>
      </c>
      <c r="AHJ46" s="138">
        <v>0.5</v>
      </c>
      <c r="AHK46" s="139">
        <v>0.5</v>
      </c>
      <c r="AHL46" s="155"/>
      <c r="AHM46" s="137"/>
      <c r="AHN46" s="138">
        <v>0.5</v>
      </c>
      <c r="AHO46" s="149">
        <v>0.5</v>
      </c>
      <c r="AHP46" s="142">
        <v>0.5</v>
      </c>
      <c r="AHQ46" s="138">
        <v>0.5</v>
      </c>
      <c r="AHR46" s="138">
        <v>0.5</v>
      </c>
      <c r="AHS46" s="138">
        <v>0.5</v>
      </c>
      <c r="AHT46" s="138">
        <v>0.5</v>
      </c>
      <c r="AHU46" s="138">
        <v>0.5</v>
      </c>
      <c r="AHV46" s="138">
        <v>0.5</v>
      </c>
      <c r="AHW46" s="138">
        <v>0.5</v>
      </c>
      <c r="AHX46" s="137"/>
      <c r="AHY46" s="137"/>
      <c r="AHZ46" s="137"/>
      <c r="AIA46" s="153"/>
      <c r="AIB46" s="304"/>
      <c r="AIC46" s="152"/>
      <c r="AID46" s="131">
        <f>SUM(AHB46:AIC46)</f>
      </c>
      <c r="AIE46" s="134"/>
      <c r="AIF46" s="135"/>
      <c r="AIG46" s="136"/>
      <c r="AIH46" s="138">
        <v>0.5</v>
      </c>
      <c r="AII46" s="138">
        <v>0.5</v>
      </c>
      <c r="AIJ46" s="138">
        <v>0.5</v>
      </c>
      <c r="AIK46" s="138">
        <v>0.5</v>
      </c>
      <c r="AIL46" s="138">
        <v>0.5</v>
      </c>
      <c r="AIM46" s="138">
        <v>0.5</v>
      </c>
      <c r="AIN46" s="139">
        <v>0.5</v>
      </c>
      <c r="AIO46" s="155"/>
      <c r="AIP46" s="137"/>
      <c r="AIQ46" s="138">
        <v>0.5</v>
      </c>
      <c r="AIR46" s="149">
        <v>0.5</v>
      </c>
      <c r="AIS46" s="142">
        <v>0.5</v>
      </c>
      <c r="AIT46" s="138">
        <v>0.5</v>
      </c>
      <c r="AIU46" s="138">
        <v>0.5</v>
      </c>
      <c r="AIV46" s="138">
        <v>0.5</v>
      </c>
      <c r="AIW46" s="138">
        <v>0.5</v>
      </c>
      <c r="AIX46" s="138">
        <v>0.5</v>
      </c>
      <c r="AIY46" s="138">
        <v>0.5</v>
      </c>
      <c r="AIZ46" s="138">
        <v>0.5</v>
      </c>
      <c r="AJA46" s="137"/>
      <c r="AJB46" s="137"/>
      <c r="AJC46" s="137"/>
      <c r="AJD46" s="153"/>
      <c r="AJE46" s="304"/>
      <c r="AJF46" s="152"/>
      <c r="AJG46" s="131">
        <f>SUM(AIE46:AJF46)</f>
      </c>
      <c r="AJH46" s="134"/>
      <c r="AJI46" s="135"/>
      <c r="AJJ46" s="142">
        <v>0.5</v>
      </c>
      <c r="AJK46" s="138">
        <v>0.5</v>
      </c>
      <c r="AJL46" s="138">
        <v>0.5</v>
      </c>
      <c r="AJM46" s="138">
        <v>0.5</v>
      </c>
      <c r="AJN46" s="138">
        <v>0.5</v>
      </c>
      <c r="AJO46" s="138">
        <v>0.5</v>
      </c>
      <c r="AJP46" s="138">
        <v>0.5</v>
      </c>
      <c r="AJQ46" s="139">
        <v>0.5</v>
      </c>
      <c r="AJR46" s="140">
        <v>0.5</v>
      </c>
      <c r="AJS46" s="138">
        <v>0.5</v>
      </c>
      <c r="AJT46" s="138">
        <v>0.5</v>
      </c>
      <c r="AJU46" s="149">
        <v>0.5</v>
      </c>
      <c r="AJV46" s="136"/>
      <c r="AJW46" s="137"/>
      <c r="AJX46" s="137"/>
      <c r="AJY46" s="137"/>
      <c r="AJZ46" s="137"/>
      <c r="AKA46" s="137"/>
      <c r="AKB46" s="137"/>
      <c r="AKC46" s="137"/>
      <c r="AKD46" s="137"/>
      <c r="AKE46" s="137"/>
      <c r="AKF46" s="137"/>
      <c r="AKG46" s="153"/>
      <c r="AKH46" s="304"/>
      <c r="AKI46" s="152"/>
      <c r="AKJ46" s="131">
        <f>SUM(AJH46:AKI46)</f>
      </c>
      <c r="AKK46" s="121"/>
      <c r="AKL46" s="122"/>
      <c r="AKM46" s="123"/>
      <c r="AKN46" s="124"/>
      <c r="AKO46" s="124"/>
      <c r="AKP46" s="124"/>
      <c r="AKQ46" s="124"/>
      <c r="AKR46" s="124"/>
      <c r="AKS46" s="124"/>
      <c r="AKT46" s="125"/>
      <c r="AKU46" s="126"/>
      <c r="AKV46" s="124"/>
      <c r="AKW46" s="124"/>
      <c r="AKX46" s="127"/>
      <c r="AKY46" s="123"/>
      <c r="AKZ46" s="124"/>
      <c r="ALA46" s="124"/>
      <c r="ALB46" s="124"/>
      <c r="ALC46" s="124"/>
      <c r="ALD46" s="124"/>
      <c r="ALE46" s="124"/>
      <c r="ALF46" s="124"/>
      <c r="ALG46" s="124"/>
      <c r="ALH46" s="124"/>
      <c r="ALI46" s="124"/>
      <c r="ALJ46" s="125"/>
      <c r="ALK46" s="301"/>
      <c r="ALL46" s="151"/>
      <c r="ALM46" s="131">
        <f>SUM(AKK46:ALL46)</f>
      </c>
      <c r="ALN46" s="121"/>
      <c r="ALO46" s="122"/>
      <c r="ALP46" s="123"/>
      <c r="ALQ46" s="124"/>
      <c r="ALR46" s="124"/>
      <c r="ALS46" s="124"/>
      <c r="ALT46" s="124"/>
      <c r="ALU46" s="124"/>
      <c r="ALV46" s="124"/>
      <c r="ALW46" s="125"/>
      <c r="ALX46" s="126"/>
      <c r="ALY46" s="124"/>
      <c r="ALZ46" s="124"/>
      <c r="AMA46" s="127"/>
      <c r="AMB46" s="123"/>
      <c r="AMC46" s="124"/>
      <c r="AMD46" s="124"/>
      <c r="AME46" s="124"/>
      <c r="AMF46" s="124"/>
      <c r="AMG46" s="124"/>
      <c r="AMH46" s="124"/>
      <c r="AMI46" s="124"/>
      <c r="AMJ46" s="124"/>
      <c r="AMK46" s="124"/>
      <c r="AML46" s="124"/>
      <c r="AMM46" s="125"/>
      <c r="AMN46" s="301"/>
      <c r="AMO46" s="151"/>
      <c r="AMP46" s="131">
        <f>SUM(ALN46:AMO46)</f>
      </c>
      <c r="AMQ46" s="150">
        <f>AFX46+AHA46+AID46+AJG46+AKJ46+ALM46+AMP46</f>
      </c>
      <c r="AMR46" s="302">
        <f>(COUNTIF(AEV46:AMP46,"H")+COUNTIF(AEV46:AMP46,"S")+COUNTIF(AEV46:AMP46,"L")+COUNTIF(AEV46:AMP46,"E")+COUNTIF(AEV46:AMP46,"C"))/2</f>
      </c>
      <c r="AMS46" s="131">
        <f>AMQ46+AMR46</f>
      </c>
      <c r="AMT46" s="4"/>
      <c r="AMU46" s="4"/>
      <c r="AMV46" s="4"/>
      <c r="AMW46" s="4"/>
      <c r="AMX46" s="4"/>
      <c r="AMY46" s="4"/>
      <c r="AMZ46" s="4"/>
      <c r="ANA46" s="4"/>
      <c r="ANB46" s="4"/>
      <c r="ANC46" s="4"/>
      <c r="AND46" s="4"/>
      <c r="ANE46" s="4"/>
      <c r="ANF46" s="4"/>
      <c r="ANG46" s="4"/>
      <c r="ANH46" s="4"/>
      <c r="ANI46" s="4"/>
      <c r="ANJ46" s="13"/>
      <c r="ANK46" s="13"/>
      <c r="ANL46" s="4"/>
      <c r="ANM46" s="4"/>
      <c r="ANN46" s="4"/>
      <c r="ANO46" s="4"/>
      <c r="ANP46" s="4"/>
      <c r="ANQ46" s="4"/>
      <c r="ANR46" s="4"/>
      <c r="ANS46" s="4"/>
      <c r="ANT46" s="4"/>
      <c r="ANU46" s="4"/>
      <c r="ANV46" s="4"/>
      <c r="ANW46" s="4"/>
      <c r="ANX46" s="4"/>
      <c r="ANY46" s="4"/>
      <c r="ANZ46" s="4"/>
      <c r="AOA46" s="4"/>
      <c r="AOB46" s="4"/>
      <c r="AOC46" s="4"/>
      <c r="AOD46" s="4"/>
      <c r="AOE46" s="4"/>
      <c r="AOF46" s="4"/>
      <c r="AOG46" s="4"/>
      <c r="AOH46" s="4"/>
      <c r="AOI46" s="4"/>
      <c r="AOJ46" s="4"/>
      <c r="AOK46" s="4"/>
      <c r="AOL46" s="4"/>
      <c r="AOM46" s="4"/>
      <c r="AON46" s="4"/>
      <c r="AOO46" s="4"/>
      <c r="AOP46" s="4"/>
      <c r="AOQ46" s="4"/>
      <c r="AOR46" s="4"/>
      <c r="AOS46" s="4"/>
      <c r="AOT46" s="4"/>
      <c r="AOU46" s="4"/>
      <c r="AOV46" s="4"/>
      <c r="AOW46" s="4"/>
      <c r="AOX46" s="4"/>
      <c r="AOY46" s="4"/>
      <c r="AOZ46" s="4"/>
      <c r="APA46" s="4"/>
      <c r="APB46" s="4"/>
      <c r="APC46" s="4"/>
      <c r="APD46" s="4"/>
      <c r="APE46" s="4"/>
      <c r="APF46" s="4"/>
      <c r="APG46" s="4"/>
      <c r="APH46" s="4"/>
      <c r="API46" s="4"/>
      <c r="APJ46" s="4"/>
      <c r="APK46" s="4"/>
      <c r="APL46" s="4"/>
      <c r="APM46" s="4"/>
      <c r="APN46" s="4"/>
      <c r="APO46" s="4"/>
      <c r="APP46" s="4"/>
      <c r="APQ46" s="4"/>
      <c r="APR46" s="4"/>
      <c r="APS46" s="4"/>
      <c r="APT46" s="4"/>
      <c r="APU46" s="4"/>
      <c r="APV46" s="4"/>
      <c r="APW46" s="4"/>
      <c r="APX46" s="4"/>
      <c r="APY46" s="4"/>
      <c r="APZ46" s="4"/>
      <c r="AQA46" s="4"/>
      <c r="AQB46" s="4"/>
      <c r="AQC46" s="4"/>
      <c r="AQD46" s="4"/>
      <c r="AQE46" s="4"/>
      <c r="AQF46" s="4"/>
      <c r="AQG46" s="4"/>
      <c r="AQH46" s="4"/>
      <c r="AQI46" s="4"/>
      <c r="AQJ46" s="4"/>
      <c r="AQK46" s="4"/>
      <c r="AQL46" s="4"/>
      <c r="AQM46" s="4"/>
      <c r="AQN46" s="4"/>
      <c r="AQO46" s="4"/>
      <c r="AQP46" s="4"/>
      <c r="AQQ46" s="4"/>
      <c r="AQR46" s="4"/>
      <c r="AQS46" s="4"/>
      <c r="AQT46" s="4"/>
      <c r="AQU46" s="4"/>
      <c r="AQV46" s="4"/>
      <c r="AQW46" s="4"/>
      <c r="AQX46" s="4"/>
      <c r="AQY46" s="4"/>
      <c r="AQZ46" s="4"/>
      <c r="ARA46" s="4"/>
      <c r="ARB46" s="4"/>
      <c r="ARC46" s="4"/>
      <c r="ARD46" s="4"/>
      <c r="ARE46" s="4"/>
      <c r="ARF46" s="4"/>
      <c r="ARG46" s="4"/>
      <c r="ARH46" s="4"/>
      <c r="ARI46" s="4"/>
      <c r="ARJ46" s="4"/>
      <c r="ARK46" s="4"/>
      <c r="ARL46" s="4"/>
      <c r="ARM46" s="4"/>
      <c r="ARN46" s="4"/>
      <c r="ARO46" s="4"/>
      <c r="ARP46" s="4"/>
      <c r="ARQ46" s="4"/>
      <c r="ARR46" s="4"/>
      <c r="ARS46" s="4"/>
      <c r="ART46" s="4"/>
      <c r="ARU46" s="4"/>
      <c r="ARV46" s="4"/>
      <c r="ARW46" s="4"/>
      <c r="ARX46" s="4"/>
      <c r="ARY46" s="4"/>
      <c r="ARZ46" s="4"/>
      <c r="ASA46" s="4"/>
      <c r="ASB46" s="4"/>
      <c r="ASC46" s="4"/>
      <c r="ASD46" s="4"/>
      <c r="ASE46" s="4"/>
      <c r="ASF46" s="4"/>
      <c r="ASG46" s="4"/>
      <c r="ASH46" s="4"/>
      <c r="ASI46" s="4"/>
      <c r="ASJ46" s="4"/>
      <c r="ASK46" s="4"/>
      <c r="ASL46" s="4"/>
      <c r="ASM46" s="4"/>
      <c r="ASN46" s="4"/>
      <c r="ASO46" s="4"/>
      <c r="ASP46" s="4"/>
      <c r="ASQ46" s="4"/>
      <c r="ASR46" s="4"/>
      <c r="ASS46" s="4"/>
      <c r="AST46" s="4"/>
      <c r="ASU46" s="4"/>
    </row>
    <row r="47" ht="15" customHeight="1" spans="1:1191" x14ac:dyDescent="0.25">
      <c r="A47" s="118"/>
      <c r="B47" s="230" t="s">
        <v>86</v>
      </c>
      <c r="C47" s="231" t="s">
        <v>55</v>
      </c>
      <c r="D47" s="121"/>
      <c r="E47" s="122"/>
      <c r="F47" s="151"/>
      <c r="G47" s="125"/>
      <c r="H47" s="125"/>
      <c r="I47" s="125"/>
      <c r="J47" s="125"/>
      <c r="K47" s="125"/>
      <c r="L47" s="124"/>
      <c r="M47" s="125"/>
      <c r="N47" s="126"/>
      <c r="O47" s="124"/>
      <c r="P47" s="124"/>
      <c r="Q47" s="127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8"/>
      <c r="AD47" s="129"/>
      <c r="AE47" s="128"/>
      <c r="AF47" s="131">
        <f>SUM(D47:AE47)</f>
      </c>
      <c r="AG47" s="121"/>
      <c r="AH47" s="122"/>
      <c r="AI47" s="151"/>
      <c r="AJ47" s="125"/>
      <c r="AK47" s="125"/>
      <c r="AL47" s="125"/>
      <c r="AM47" s="125"/>
      <c r="AN47" s="125"/>
      <c r="AO47" s="124"/>
      <c r="AP47" s="125"/>
      <c r="AQ47" s="126"/>
      <c r="AR47" s="124"/>
      <c r="AS47" s="124"/>
      <c r="AT47" s="127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8"/>
      <c r="BG47" s="129"/>
      <c r="BH47" s="128"/>
      <c r="BI47" s="131">
        <f>SUM(AG47:BH47)</f>
      </c>
      <c r="BJ47" s="121"/>
      <c r="BK47" s="122"/>
      <c r="BL47" s="151"/>
      <c r="BM47" s="125"/>
      <c r="BN47" s="125"/>
      <c r="BO47" s="125"/>
      <c r="BP47" s="125"/>
      <c r="BQ47" s="125"/>
      <c r="BR47" s="124"/>
      <c r="BS47" s="125"/>
      <c r="BT47" s="126"/>
      <c r="BU47" s="124"/>
      <c r="BV47" s="124"/>
      <c r="BW47" s="127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8"/>
      <c r="CJ47" s="129"/>
      <c r="CK47" s="128"/>
      <c r="CL47" s="131">
        <f>SUM(BJ47:CK47)</f>
      </c>
      <c r="CM47" s="121"/>
      <c r="CN47" s="122"/>
      <c r="CO47" s="151"/>
      <c r="CP47" s="125"/>
      <c r="CQ47" s="125"/>
      <c r="CR47" s="125"/>
      <c r="CS47" s="125"/>
      <c r="CT47" s="125"/>
      <c r="CU47" s="124"/>
      <c r="CV47" s="125"/>
      <c r="CW47" s="126"/>
      <c r="CX47" s="124"/>
      <c r="CY47" s="124"/>
      <c r="CZ47" s="127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8"/>
      <c r="DM47" s="129"/>
      <c r="DN47" s="128"/>
      <c r="DO47" s="131">
        <f>SUM(CM47:DN47)</f>
      </c>
      <c r="DP47" s="121"/>
      <c r="DQ47" s="122"/>
      <c r="DR47" s="151"/>
      <c r="DS47" s="125"/>
      <c r="DT47" s="125"/>
      <c r="DU47" s="125"/>
      <c r="DV47" s="125"/>
      <c r="DW47" s="125"/>
      <c r="DX47" s="124"/>
      <c r="DY47" s="125"/>
      <c r="DZ47" s="126"/>
      <c r="EA47" s="124"/>
      <c r="EB47" s="124"/>
      <c r="EC47" s="127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8"/>
      <c r="EP47" s="129"/>
      <c r="EQ47" s="128"/>
      <c r="ER47" s="131">
        <f>SUM(DP47:EQ47)</f>
      </c>
      <c r="ES47" s="121"/>
      <c r="ET47" s="122"/>
      <c r="EU47" s="151"/>
      <c r="EV47" s="125"/>
      <c r="EW47" s="125"/>
      <c r="EX47" s="125"/>
      <c r="EY47" s="125"/>
      <c r="EZ47" s="125"/>
      <c r="FA47" s="124"/>
      <c r="FB47" s="125"/>
      <c r="FC47" s="126"/>
      <c r="FD47" s="124"/>
      <c r="FE47" s="124"/>
      <c r="FF47" s="127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8"/>
      <c r="FS47" s="129"/>
      <c r="FT47" s="128"/>
      <c r="FU47" s="324">
        <f>SUM(ES47:FT47)</f>
      </c>
      <c r="FV47" s="121"/>
      <c r="FW47" s="122"/>
      <c r="FX47" s="151"/>
      <c r="FY47" s="125"/>
      <c r="FZ47" s="125"/>
      <c r="GA47" s="125"/>
      <c r="GB47" s="125"/>
      <c r="GC47" s="125"/>
      <c r="GD47" s="124"/>
      <c r="GE47" s="125"/>
      <c r="GF47" s="126"/>
      <c r="GG47" s="124"/>
      <c r="GH47" s="124"/>
      <c r="GI47" s="127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8"/>
      <c r="GV47" s="129"/>
      <c r="GW47" s="128"/>
      <c r="GX47" s="324">
        <f>SUM(FV47:GW47)</f>
      </c>
      <c r="GY47" s="132">
        <f>AF47+BI47+CL47+DO47+ER47+FU47+GX47</f>
      </c>
      <c r="GZ47" s="133">
        <f>(COUNTIF(D47:GX47,"H")+COUNTIF(D47:GX47,"S")+COUNTIF(D47:GX47,"L")+COUNTIF(D47:GX47,"E")+COUNTIF(D47:GX47,"C"))/2</f>
      </c>
      <c r="HA47" s="130">
        <f>GY47+GZ47</f>
      </c>
      <c r="HB47" s="134"/>
      <c r="HC47" s="135"/>
      <c r="HD47" s="152"/>
      <c r="HE47" s="139">
        <v>0.5</v>
      </c>
      <c r="HF47" s="139">
        <v>0.5</v>
      </c>
      <c r="HG47" s="139">
        <v>0.5</v>
      </c>
      <c r="HH47" s="139">
        <v>0.5</v>
      </c>
      <c r="HI47" s="139">
        <v>0.5</v>
      </c>
      <c r="HJ47" s="138">
        <v>0.5</v>
      </c>
      <c r="HK47" s="139">
        <v>0.5</v>
      </c>
      <c r="HL47" s="155"/>
      <c r="HM47" s="137"/>
      <c r="HN47" s="138">
        <v>0.5</v>
      </c>
      <c r="HO47" s="149">
        <v>0.5</v>
      </c>
      <c r="HP47" s="139">
        <v>0.5</v>
      </c>
      <c r="HQ47" s="139">
        <v>0.5</v>
      </c>
      <c r="HR47" s="139">
        <v>0.5</v>
      </c>
      <c r="HS47" s="139">
        <v>0.5</v>
      </c>
      <c r="HT47" s="139">
        <v>0.5</v>
      </c>
      <c r="HU47" s="139">
        <v>0.5</v>
      </c>
      <c r="HV47" s="139">
        <v>0.5</v>
      </c>
      <c r="HW47" s="139">
        <v>0.5</v>
      </c>
      <c r="HX47" s="153"/>
      <c r="HY47" s="153"/>
      <c r="HZ47" s="153"/>
      <c r="IA47" s="146"/>
      <c r="IB47" s="145"/>
      <c r="IC47" s="146"/>
      <c r="ID47" s="325">
        <f>SUM(HB47:IC47)</f>
      </c>
      <c r="IE47" s="134"/>
      <c r="IF47" s="135"/>
      <c r="IG47" s="152"/>
      <c r="IH47" s="139">
        <v>0.5</v>
      </c>
      <c r="II47" s="139">
        <v>0.5</v>
      </c>
      <c r="IJ47" s="139">
        <v>0.5</v>
      </c>
      <c r="IK47" s="139">
        <v>0.5</v>
      </c>
      <c r="IL47" s="139">
        <v>0.5</v>
      </c>
      <c r="IM47" s="138">
        <v>0.5</v>
      </c>
      <c r="IN47" s="139">
        <v>0.5</v>
      </c>
      <c r="IO47" s="155"/>
      <c r="IP47" s="137"/>
      <c r="IQ47" s="138">
        <v>0.5</v>
      </c>
      <c r="IR47" s="149">
        <v>0.5</v>
      </c>
      <c r="IS47" s="139">
        <v>0.5</v>
      </c>
      <c r="IT47" s="139">
        <v>0.5</v>
      </c>
      <c r="IU47" s="139">
        <v>0.5</v>
      </c>
      <c r="IV47" s="139">
        <v>0.5</v>
      </c>
      <c r="IW47" s="139">
        <v>0.5</v>
      </c>
      <c r="IX47" s="139">
        <v>0.5</v>
      </c>
      <c r="IY47" s="139">
        <v>0.5</v>
      </c>
      <c r="IZ47" s="139">
        <v>0.5</v>
      </c>
      <c r="JA47" s="153"/>
      <c r="JB47" s="153"/>
      <c r="JC47" s="153"/>
      <c r="JD47" s="146"/>
      <c r="JE47" s="145"/>
      <c r="JF47" s="146"/>
      <c r="JG47" s="325">
        <f>SUM(IE47:JF47)</f>
      </c>
      <c r="JH47" s="134"/>
      <c r="JI47" s="135"/>
      <c r="JJ47" s="152"/>
      <c r="JK47" s="139">
        <v>0.5</v>
      </c>
      <c r="JL47" s="139">
        <v>0.5</v>
      </c>
      <c r="JM47" s="139">
        <v>0.5</v>
      </c>
      <c r="JN47" s="139">
        <v>0.5</v>
      </c>
      <c r="JO47" s="139">
        <v>0.5</v>
      </c>
      <c r="JP47" s="138">
        <v>0.5</v>
      </c>
      <c r="JQ47" s="139">
        <v>0.5</v>
      </c>
      <c r="JR47" s="155"/>
      <c r="JS47" s="137"/>
      <c r="JT47" s="138">
        <v>0.5</v>
      </c>
      <c r="JU47" s="149">
        <v>0.5</v>
      </c>
      <c r="JV47" s="139">
        <v>0.5</v>
      </c>
      <c r="JW47" s="139">
        <v>0.5</v>
      </c>
      <c r="JX47" s="139">
        <v>0.5</v>
      </c>
      <c r="JY47" s="139">
        <v>0.5</v>
      </c>
      <c r="JZ47" s="139">
        <v>0.5</v>
      </c>
      <c r="KA47" s="139">
        <v>0.5</v>
      </c>
      <c r="KB47" s="139">
        <v>0.5</v>
      </c>
      <c r="KC47" s="139">
        <v>0.5</v>
      </c>
      <c r="KD47" s="153"/>
      <c r="KE47" s="153"/>
      <c r="KF47" s="153"/>
      <c r="KG47" s="146"/>
      <c r="KH47" s="145"/>
      <c r="KI47" s="146"/>
      <c r="KJ47" s="325">
        <f>SUM(JH47:KI47)</f>
      </c>
      <c r="KK47" s="134"/>
      <c r="KL47" s="135"/>
      <c r="KM47" s="152"/>
      <c r="KN47" s="139">
        <v>0.5</v>
      </c>
      <c r="KO47" s="139">
        <v>0.5</v>
      </c>
      <c r="KP47" s="139">
        <v>0.5</v>
      </c>
      <c r="KQ47" s="139">
        <v>0.5</v>
      </c>
      <c r="KR47" s="139">
        <v>0.5</v>
      </c>
      <c r="KS47" s="138">
        <v>0.5</v>
      </c>
      <c r="KT47" s="139">
        <v>0.5</v>
      </c>
      <c r="KU47" s="155"/>
      <c r="KV47" s="137"/>
      <c r="KW47" s="138">
        <v>0.5</v>
      </c>
      <c r="KX47" s="149">
        <v>0.5</v>
      </c>
      <c r="KY47" s="139">
        <v>0.5</v>
      </c>
      <c r="KZ47" s="139">
        <v>0.5</v>
      </c>
      <c r="LA47" s="139">
        <v>0.5</v>
      </c>
      <c r="LB47" s="139">
        <v>0.5</v>
      </c>
      <c r="LC47" s="139">
        <v>0.5</v>
      </c>
      <c r="LD47" s="139">
        <v>0.5</v>
      </c>
      <c r="LE47" s="139">
        <v>0.5</v>
      </c>
      <c r="LF47" s="139">
        <v>0.5</v>
      </c>
      <c r="LG47" s="153"/>
      <c r="LH47" s="153"/>
      <c r="LI47" s="153"/>
      <c r="LJ47" s="146"/>
      <c r="LK47" s="145"/>
      <c r="LL47" s="146"/>
      <c r="LM47" s="325">
        <f>SUM(KK47:LL47)</f>
      </c>
      <c r="LN47" s="134"/>
      <c r="LO47" s="135"/>
      <c r="LP47" s="326">
        <v>0.5</v>
      </c>
      <c r="LQ47" s="327">
        <v>0.5</v>
      </c>
      <c r="LR47" s="327">
        <v>0.5</v>
      </c>
      <c r="LS47" s="327">
        <v>0.5</v>
      </c>
      <c r="LT47" s="327">
        <v>0.5</v>
      </c>
      <c r="LU47" s="327">
        <v>0.5</v>
      </c>
      <c r="LV47" s="328">
        <v>0.5</v>
      </c>
      <c r="LW47" s="327">
        <v>0.5</v>
      </c>
      <c r="LX47" s="329">
        <v>0.5</v>
      </c>
      <c r="LY47" s="328">
        <v>0.5</v>
      </c>
      <c r="LZ47" s="328">
        <v>0.5</v>
      </c>
      <c r="MA47" s="330">
        <v>0.5</v>
      </c>
      <c r="MB47" s="331"/>
      <c r="MC47" s="332"/>
      <c r="MD47" s="332"/>
      <c r="ME47" s="332"/>
      <c r="MF47" s="332"/>
      <c r="MG47" s="332"/>
      <c r="MH47" s="332"/>
      <c r="MI47" s="332"/>
      <c r="MJ47" s="332"/>
      <c r="MK47" s="332"/>
      <c r="ML47" s="332"/>
      <c r="MM47" s="333"/>
      <c r="MN47" s="145"/>
      <c r="MO47" s="146"/>
      <c r="MP47" s="324">
        <f>SUM(LN47:MO47)</f>
      </c>
      <c r="MQ47" s="121"/>
      <c r="MR47" s="122"/>
      <c r="MS47" s="151"/>
      <c r="MT47" s="125"/>
      <c r="MU47" s="125"/>
      <c r="MV47" s="125"/>
      <c r="MW47" s="125"/>
      <c r="MX47" s="125"/>
      <c r="MY47" s="124"/>
      <c r="MZ47" s="125"/>
      <c r="NA47" s="126"/>
      <c r="NB47" s="124"/>
      <c r="NC47" s="124"/>
      <c r="ND47" s="127"/>
      <c r="NE47" s="125"/>
      <c r="NF47" s="125"/>
      <c r="NG47" s="125"/>
      <c r="NH47" s="125"/>
      <c r="NI47" s="125"/>
      <c r="NJ47" s="125"/>
      <c r="NK47" s="125"/>
      <c r="NL47" s="125"/>
      <c r="NM47" s="125"/>
      <c r="NN47" s="125"/>
      <c r="NO47" s="125"/>
      <c r="NP47" s="128"/>
      <c r="NQ47" s="129"/>
      <c r="NR47" s="128"/>
      <c r="NS47" s="324">
        <f>SUM(MQ47:NR47)</f>
      </c>
      <c r="NT47" s="121"/>
      <c r="NU47" s="122"/>
      <c r="NV47" s="151"/>
      <c r="NW47" s="125"/>
      <c r="NX47" s="125"/>
      <c r="NY47" s="125"/>
      <c r="NZ47" s="125"/>
      <c r="OA47" s="125"/>
      <c r="OB47" s="124"/>
      <c r="OC47" s="125"/>
      <c r="OD47" s="126"/>
      <c r="OE47" s="124"/>
      <c r="OF47" s="124"/>
      <c r="OG47" s="127"/>
      <c r="OH47" s="125"/>
      <c r="OI47" s="125"/>
      <c r="OJ47" s="125"/>
      <c r="OK47" s="125"/>
      <c r="OL47" s="125"/>
      <c r="OM47" s="125"/>
      <c r="ON47" s="125"/>
      <c r="OO47" s="125"/>
      <c r="OP47" s="125"/>
      <c r="OQ47" s="125"/>
      <c r="OR47" s="125"/>
      <c r="OS47" s="128"/>
      <c r="OT47" s="129"/>
      <c r="OU47" s="128"/>
      <c r="OV47" s="324">
        <f>SUM(NT47:OU47)</f>
      </c>
      <c r="OW47" s="132">
        <f>ID47+JG47+KJ47+LM47+MP47+NS47+OV47</f>
      </c>
      <c r="OX47" s="133">
        <f>(COUNTIF(HB47:OV47,"H")+COUNTIF(HB47:OV47,"S")+COUNTIF(HB47:OV47,"L")+COUNTIF(HB47:OV47,"E")+COUNTIF(HB47:OV47,"C"))/2</f>
      </c>
      <c r="OY47" s="130">
        <f>OW47+OX47</f>
      </c>
      <c r="OZ47" s="134"/>
      <c r="PA47" s="135"/>
      <c r="PB47" s="331"/>
      <c r="PC47" s="327">
        <v>0.5</v>
      </c>
      <c r="PD47" s="327">
        <v>0.5</v>
      </c>
      <c r="PE47" s="327">
        <v>0.5</v>
      </c>
      <c r="PF47" s="327">
        <v>0.5</v>
      </c>
      <c r="PG47" s="327">
        <v>0.5</v>
      </c>
      <c r="PH47" s="328">
        <v>0.5</v>
      </c>
      <c r="PI47" s="327">
        <v>0.5</v>
      </c>
      <c r="PJ47" s="329">
        <v>0.5</v>
      </c>
      <c r="PK47" s="328">
        <v>0.5</v>
      </c>
      <c r="PL47" s="334"/>
      <c r="PM47" s="335"/>
      <c r="PN47" s="326">
        <v>0.5</v>
      </c>
      <c r="PO47" s="327">
        <v>0.5</v>
      </c>
      <c r="PP47" s="327">
        <v>0.5</v>
      </c>
      <c r="PQ47" s="327">
        <v>0.5</v>
      </c>
      <c r="PR47" s="327">
        <v>0.5</v>
      </c>
      <c r="PS47" s="327">
        <v>0.5</v>
      </c>
      <c r="PT47" s="327">
        <v>0.5</v>
      </c>
      <c r="PU47" s="327">
        <v>0.5</v>
      </c>
      <c r="PV47" s="332"/>
      <c r="PW47" s="332"/>
      <c r="PX47" s="332"/>
      <c r="PY47" s="333"/>
      <c r="PZ47" s="145"/>
      <c r="QA47" s="146"/>
      <c r="QB47" s="325">
        <f>SUM(OZ47:QA47)</f>
      </c>
      <c r="QC47" s="134"/>
      <c r="QD47" s="135"/>
      <c r="QE47" s="331"/>
      <c r="QF47" s="327">
        <v>0.5</v>
      </c>
      <c r="QG47" s="327">
        <v>0.5</v>
      </c>
      <c r="QH47" s="327">
        <v>0.5</v>
      </c>
      <c r="QI47" s="327">
        <v>0.5</v>
      </c>
      <c r="QJ47" s="327">
        <v>0.5</v>
      </c>
      <c r="QK47" s="328">
        <v>0.5</v>
      </c>
      <c r="QL47" s="327">
        <v>0.5</v>
      </c>
      <c r="QM47" s="329">
        <v>0.5</v>
      </c>
      <c r="QN47" s="328">
        <v>0.5</v>
      </c>
      <c r="QO47" s="334"/>
      <c r="QP47" s="335"/>
      <c r="QQ47" s="326">
        <v>0.5</v>
      </c>
      <c r="QR47" s="327">
        <v>0.5</v>
      </c>
      <c r="QS47" s="327">
        <v>0.5</v>
      </c>
      <c r="QT47" s="327">
        <v>0.5</v>
      </c>
      <c r="QU47" s="327">
        <v>0.5</v>
      </c>
      <c r="QV47" s="327">
        <v>0.5</v>
      </c>
      <c r="QW47" s="327">
        <v>0.5</v>
      </c>
      <c r="QX47" s="327">
        <v>0.5</v>
      </c>
      <c r="QY47" s="332"/>
      <c r="QZ47" s="332"/>
      <c r="RA47" s="332"/>
      <c r="RB47" s="333"/>
      <c r="RC47" s="145"/>
      <c r="RD47" s="146"/>
      <c r="RE47" s="325">
        <f>SUM(QC47:RD47)</f>
      </c>
      <c r="RF47" s="134"/>
      <c r="RG47" s="135"/>
      <c r="RH47" s="331"/>
      <c r="RI47" s="327">
        <v>0.5</v>
      </c>
      <c r="RJ47" s="327">
        <v>0.5</v>
      </c>
      <c r="RK47" s="327">
        <v>0.5</v>
      </c>
      <c r="RL47" s="327">
        <v>0.5</v>
      </c>
      <c r="RM47" s="327">
        <v>0.5</v>
      </c>
      <c r="RN47" s="328">
        <v>0.5</v>
      </c>
      <c r="RO47" s="327">
        <v>0.5</v>
      </c>
      <c r="RP47" s="329">
        <v>0.5</v>
      </c>
      <c r="RQ47" s="328">
        <v>0.5</v>
      </c>
      <c r="RR47" s="334"/>
      <c r="RS47" s="335"/>
      <c r="RT47" s="326">
        <v>0.5</v>
      </c>
      <c r="RU47" s="327">
        <v>0.5</v>
      </c>
      <c r="RV47" s="327">
        <v>0.5</v>
      </c>
      <c r="RW47" s="327">
        <v>0.5</v>
      </c>
      <c r="RX47" s="327">
        <v>0.5</v>
      </c>
      <c r="RY47" s="327">
        <v>0.5</v>
      </c>
      <c r="RZ47" s="327">
        <v>0.5</v>
      </c>
      <c r="SA47" s="327">
        <v>0.5</v>
      </c>
      <c r="SB47" s="332"/>
      <c r="SC47" s="332"/>
      <c r="SD47" s="332"/>
      <c r="SE47" s="333"/>
      <c r="SF47" s="145"/>
      <c r="SG47" s="146"/>
      <c r="SH47" s="325">
        <f>SUM(RF47:SG47)</f>
      </c>
      <c r="SI47" s="134"/>
      <c r="SJ47" s="135"/>
      <c r="SK47" s="152"/>
      <c r="SL47" s="139">
        <v>0.5</v>
      </c>
      <c r="SM47" s="139">
        <v>0.5</v>
      </c>
      <c r="SN47" s="139">
        <v>0.5</v>
      </c>
      <c r="SO47" s="139">
        <v>0.5</v>
      </c>
      <c r="SP47" s="139">
        <v>0.5</v>
      </c>
      <c r="SQ47" s="138">
        <v>0.5</v>
      </c>
      <c r="SR47" s="139">
        <v>0.5</v>
      </c>
      <c r="SS47" s="140">
        <v>0.5</v>
      </c>
      <c r="ST47" s="138">
        <v>0.5</v>
      </c>
      <c r="SU47" s="148"/>
      <c r="SV47" s="305"/>
      <c r="SW47" s="139">
        <v>0.5</v>
      </c>
      <c r="SX47" s="139">
        <v>0.5</v>
      </c>
      <c r="SY47" s="139">
        <v>0.5</v>
      </c>
      <c r="SZ47" s="139">
        <v>0.5</v>
      </c>
      <c r="TA47" s="139">
        <v>0.5</v>
      </c>
      <c r="TB47" s="139">
        <v>0.5</v>
      </c>
      <c r="TC47" s="139">
        <v>0.5</v>
      </c>
      <c r="TD47" s="139">
        <v>0.5</v>
      </c>
      <c r="TE47" s="153"/>
      <c r="TF47" s="153"/>
      <c r="TG47" s="153"/>
      <c r="TH47" s="146"/>
      <c r="TI47" s="145"/>
      <c r="TJ47" s="146"/>
      <c r="TK47" s="325">
        <f>SUM(SI47:TJ47)</f>
      </c>
      <c r="TL47" s="134"/>
      <c r="TM47" s="135"/>
      <c r="TN47" s="326">
        <v>0.5</v>
      </c>
      <c r="TO47" s="327">
        <v>0.5</v>
      </c>
      <c r="TP47" s="327">
        <v>0.5</v>
      </c>
      <c r="TQ47" s="327">
        <v>0.5</v>
      </c>
      <c r="TR47" s="327">
        <v>0.5</v>
      </c>
      <c r="TS47" s="327">
        <v>0.5</v>
      </c>
      <c r="TT47" s="328">
        <v>0.5</v>
      </c>
      <c r="TU47" s="327">
        <v>0.5</v>
      </c>
      <c r="TV47" s="329">
        <v>0.5</v>
      </c>
      <c r="TW47" s="328">
        <v>0.5</v>
      </c>
      <c r="TX47" s="328">
        <v>0.5</v>
      </c>
      <c r="TY47" s="330">
        <v>0.5</v>
      </c>
      <c r="TZ47" s="331"/>
      <c r="UA47" s="332"/>
      <c r="UB47" s="332"/>
      <c r="UC47" s="332"/>
      <c r="UD47" s="332"/>
      <c r="UE47" s="332"/>
      <c r="UF47" s="332"/>
      <c r="UG47" s="332"/>
      <c r="UH47" s="332"/>
      <c r="UI47" s="332"/>
      <c r="UJ47" s="332"/>
      <c r="UK47" s="333"/>
      <c r="UL47" s="145"/>
      <c r="UM47" s="146"/>
      <c r="UN47" s="324">
        <f>SUM(TL47:UM47)</f>
      </c>
      <c r="UO47" s="121"/>
      <c r="UP47" s="122"/>
      <c r="UQ47" s="151"/>
      <c r="UR47" s="125"/>
      <c r="US47" s="125"/>
      <c r="UT47" s="125"/>
      <c r="UU47" s="125"/>
      <c r="UV47" s="125"/>
      <c r="UW47" s="124"/>
      <c r="UX47" s="125"/>
      <c r="UY47" s="126"/>
      <c r="UZ47" s="124"/>
      <c r="VA47" s="124"/>
      <c r="VB47" s="127"/>
      <c r="VC47" s="125"/>
      <c r="VD47" s="125"/>
      <c r="VE47" s="125"/>
      <c r="VF47" s="125"/>
      <c r="VG47" s="125"/>
      <c r="VH47" s="125"/>
      <c r="VI47" s="125"/>
      <c r="VJ47" s="125"/>
      <c r="VK47" s="125"/>
      <c r="VL47" s="125"/>
      <c r="VM47" s="125"/>
      <c r="VN47" s="128"/>
      <c r="VO47" s="129"/>
      <c r="VP47" s="128"/>
      <c r="VQ47" s="324">
        <f>SUM(UO47:VP47)</f>
      </c>
      <c r="VR47" s="121"/>
      <c r="VS47" s="122"/>
      <c r="VT47" s="151"/>
      <c r="VU47" s="125"/>
      <c r="VV47" s="125"/>
      <c r="VW47" s="125"/>
      <c r="VX47" s="125"/>
      <c r="VY47" s="125"/>
      <c r="VZ47" s="124"/>
      <c r="WA47" s="125"/>
      <c r="WB47" s="126"/>
      <c r="WC47" s="124"/>
      <c r="WD47" s="124"/>
      <c r="WE47" s="127"/>
      <c r="WF47" s="125"/>
      <c r="WG47" s="125"/>
      <c r="WH47" s="125"/>
      <c r="WI47" s="125"/>
      <c r="WJ47" s="125"/>
      <c r="WK47" s="125"/>
      <c r="WL47" s="125"/>
      <c r="WM47" s="125"/>
      <c r="WN47" s="125"/>
      <c r="WO47" s="125"/>
      <c r="WP47" s="125"/>
      <c r="WQ47" s="128"/>
      <c r="WR47" s="129"/>
      <c r="WS47" s="128"/>
      <c r="WT47" s="324">
        <f>SUM(VR47:WS47)</f>
      </c>
      <c r="WU47" s="150">
        <f>QB47+RE47+SH47+TK47+UN47+VQ47+WT47</f>
      </c>
      <c r="WV47" s="133">
        <f>(COUNTIF(OZ47:WT47,"H")+COUNTIF(OZ47:WT47,"S")+COUNTIF(OZ47:WT47,"L")+COUNTIF(OZ47:WT47,"E")+COUNTIF(OZ47:WT47,"C"))/2</f>
      </c>
      <c r="WW47" s="131">
        <f>WU47+WV47</f>
      </c>
      <c r="WX47" s="134"/>
      <c r="WY47" s="135"/>
      <c r="WZ47" s="331"/>
      <c r="XA47" s="327">
        <v>0.5</v>
      </c>
      <c r="XB47" s="327">
        <v>0.5</v>
      </c>
      <c r="XC47" s="327">
        <v>0.5</v>
      </c>
      <c r="XD47" s="327">
        <v>0.5</v>
      </c>
      <c r="XE47" s="327">
        <v>0.5</v>
      </c>
      <c r="XF47" s="328">
        <v>0.5</v>
      </c>
      <c r="XG47" s="327">
        <v>0.5</v>
      </c>
      <c r="XH47" s="336"/>
      <c r="XI47" s="337"/>
      <c r="XJ47" s="328">
        <v>0.5</v>
      </c>
      <c r="XK47" s="330">
        <v>0.5</v>
      </c>
      <c r="XL47" s="326">
        <v>0.5</v>
      </c>
      <c r="XM47" s="327">
        <v>0.5</v>
      </c>
      <c r="XN47" s="327">
        <v>0.5</v>
      </c>
      <c r="XO47" s="327">
        <v>0.5</v>
      </c>
      <c r="XP47" s="327">
        <v>0.5</v>
      </c>
      <c r="XQ47" s="327">
        <v>0.5</v>
      </c>
      <c r="XR47" s="327">
        <v>0.5</v>
      </c>
      <c r="XS47" s="327">
        <v>0.5</v>
      </c>
      <c r="XT47" s="332"/>
      <c r="XU47" s="332"/>
      <c r="XV47" s="332"/>
      <c r="XW47" s="333"/>
      <c r="XX47" s="145"/>
      <c r="XY47" s="146"/>
      <c r="XZ47" s="325">
        <f>SUM(WX47:XY47)</f>
      </c>
      <c r="YA47" s="134"/>
      <c r="YB47" s="135"/>
      <c r="YC47" s="331"/>
      <c r="YD47" s="327">
        <v>0.5</v>
      </c>
      <c r="YE47" s="327">
        <v>0.5</v>
      </c>
      <c r="YF47" s="327">
        <v>0.5</v>
      </c>
      <c r="YG47" s="327">
        <v>0.5</v>
      </c>
      <c r="YH47" s="327">
        <v>0.5</v>
      </c>
      <c r="YI47" s="328">
        <v>0.5</v>
      </c>
      <c r="YJ47" s="327">
        <v>0.5</v>
      </c>
      <c r="YK47" s="336"/>
      <c r="YL47" s="337"/>
      <c r="YM47" s="328">
        <v>0.5</v>
      </c>
      <c r="YN47" s="330">
        <v>0.5</v>
      </c>
      <c r="YO47" s="326">
        <v>0.5</v>
      </c>
      <c r="YP47" s="327">
        <v>0.5</v>
      </c>
      <c r="YQ47" s="327">
        <v>0.5</v>
      </c>
      <c r="YR47" s="327">
        <v>0.5</v>
      </c>
      <c r="YS47" s="327">
        <v>0.5</v>
      </c>
      <c r="YT47" s="327">
        <v>0.5</v>
      </c>
      <c r="YU47" s="327">
        <v>0.5</v>
      </c>
      <c r="YV47" s="327">
        <v>0.5</v>
      </c>
      <c r="YW47" s="332"/>
      <c r="YX47" s="332"/>
      <c r="YY47" s="332"/>
      <c r="YZ47" s="333"/>
      <c r="ZA47" s="145"/>
      <c r="ZB47" s="146"/>
      <c r="ZC47" s="325">
        <f>SUM(YA47:ZB47)</f>
      </c>
      <c r="ZD47" s="134"/>
      <c r="ZE47" s="135"/>
      <c r="ZF47" s="331"/>
      <c r="ZG47" s="327">
        <v>0.5</v>
      </c>
      <c r="ZH47" s="327">
        <v>0.5</v>
      </c>
      <c r="ZI47" s="327">
        <v>0.5</v>
      </c>
      <c r="ZJ47" s="327">
        <v>0.5</v>
      </c>
      <c r="ZK47" s="327">
        <v>0.5</v>
      </c>
      <c r="ZL47" s="328">
        <v>0.5</v>
      </c>
      <c r="ZM47" s="327">
        <v>0.5</v>
      </c>
      <c r="ZN47" s="336"/>
      <c r="ZO47" s="337"/>
      <c r="ZP47" s="328">
        <v>0.5</v>
      </c>
      <c r="ZQ47" s="330">
        <v>0.5</v>
      </c>
      <c r="ZR47" s="326">
        <v>0.5</v>
      </c>
      <c r="ZS47" s="327">
        <v>0.5</v>
      </c>
      <c r="ZT47" s="327">
        <v>0.5</v>
      </c>
      <c r="ZU47" s="327">
        <v>0.5</v>
      </c>
      <c r="ZV47" s="327">
        <v>0.5</v>
      </c>
      <c r="ZW47" s="327">
        <v>0.5</v>
      </c>
      <c r="ZX47" s="327">
        <v>0.5</v>
      </c>
      <c r="ZY47" s="327">
        <v>0.5</v>
      </c>
      <c r="ZZ47" s="332"/>
      <c r="AAA47" s="332"/>
      <c r="AAB47" s="332"/>
      <c r="AAC47" s="333"/>
      <c r="AAD47" s="145"/>
      <c r="AAE47" s="146"/>
      <c r="AAF47" s="325">
        <f>SUM(ZD47:AAE47)</f>
      </c>
      <c r="AAG47" s="134"/>
      <c r="AAH47" s="135"/>
      <c r="AAI47" s="152"/>
      <c r="AAJ47" s="139">
        <v>0.5</v>
      </c>
      <c r="AAK47" s="139">
        <v>0.5</v>
      </c>
      <c r="AAL47" s="139">
        <v>0.5</v>
      </c>
      <c r="AAM47" s="139">
        <v>0.5</v>
      </c>
      <c r="AAN47" s="139">
        <v>0.5</v>
      </c>
      <c r="AAO47" s="138">
        <v>0.5</v>
      </c>
      <c r="AAP47" s="139">
        <v>0.5</v>
      </c>
      <c r="AAQ47" s="155"/>
      <c r="AAR47" s="137"/>
      <c r="AAS47" s="138">
        <v>0.5</v>
      </c>
      <c r="AAT47" s="149">
        <v>0.5</v>
      </c>
      <c r="AAU47" s="139">
        <v>0.5</v>
      </c>
      <c r="AAV47" s="139">
        <v>0.5</v>
      </c>
      <c r="AAW47" s="139">
        <v>0.5</v>
      </c>
      <c r="AAX47" s="139">
        <v>0.5</v>
      </c>
      <c r="AAY47" s="139">
        <v>0.5</v>
      </c>
      <c r="AAZ47" s="139">
        <v>0.5</v>
      </c>
      <c r="ABA47" s="139">
        <v>0.5</v>
      </c>
      <c r="ABB47" s="139">
        <v>0.5</v>
      </c>
      <c r="ABC47" s="153"/>
      <c r="ABD47" s="153"/>
      <c r="ABE47" s="153"/>
      <c r="ABF47" s="146"/>
      <c r="ABG47" s="145"/>
      <c r="ABH47" s="146"/>
      <c r="ABI47" s="325">
        <f>SUM(AAG47:ABH47)</f>
      </c>
      <c r="ABJ47" s="134"/>
      <c r="ABK47" s="135"/>
      <c r="ABL47" s="338">
        <v>0.5</v>
      </c>
      <c r="ABM47" s="139">
        <v>0.5</v>
      </c>
      <c r="ABN47" s="139">
        <v>0.5</v>
      </c>
      <c r="ABO47" s="139">
        <v>0.5</v>
      </c>
      <c r="ABP47" s="139">
        <v>0.5</v>
      </c>
      <c r="ABQ47" s="139">
        <v>0.5</v>
      </c>
      <c r="ABR47" s="138">
        <v>0.5</v>
      </c>
      <c r="ABS47" s="139">
        <v>0.5</v>
      </c>
      <c r="ABT47" s="140">
        <v>0.5</v>
      </c>
      <c r="ABU47" s="138">
        <v>0.5</v>
      </c>
      <c r="ABV47" s="138">
        <v>0.5</v>
      </c>
      <c r="ABW47" s="149">
        <v>0.5</v>
      </c>
      <c r="ABX47" s="153"/>
      <c r="ABY47" s="153"/>
      <c r="ABZ47" s="153"/>
      <c r="ACA47" s="153"/>
      <c r="ACB47" s="153"/>
      <c r="ACC47" s="153"/>
      <c r="ACD47" s="153"/>
      <c r="ACE47" s="153"/>
      <c r="ACF47" s="153"/>
      <c r="ACG47" s="153"/>
      <c r="ACH47" s="153"/>
      <c r="ACI47" s="146"/>
      <c r="ACJ47" s="145"/>
      <c r="ACK47" s="146"/>
      <c r="ACL47" s="324">
        <f>SUM(ABJ47:ACK47)</f>
      </c>
      <c r="ACM47" s="121"/>
      <c r="ACN47" s="122"/>
      <c r="ACO47" s="151"/>
      <c r="ACP47" s="125"/>
      <c r="ACQ47" s="125"/>
      <c r="ACR47" s="125"/>
      <c r="ACS47" s="125"/>
      <c r="ACT47" s="125"/>
      <c r="ACU47" s="124"/>
      <c r="ACV47" s="125"/>
      <c r="ACW47" s="126"/>
      <c r="ACX47" s="124"/>
      <c r="ACY47" s="124"/>
      <c r="ACZ47" s="127"/>
      <c r="ADA47" s="125"/>
      <c r="ADB47" s="125"/>
      <c r="ADC47" s="125"/>
      <c r="ADD47" s="125"/>
      <c r="ADE47" s="125"/>
      <c r="ADF47" s="125"/>
      <c r="ADG47" s="125"/>
      <c r="ADH47" s="125"/>
      <c r="ADI47" s="125"/>
      <c r="ADJ47" s="125"/>
      <c r="ADK47" s="125"/>
      <c r="ADL47" s="128"/>
      <c r="ADM47" s="129"/>
      <c r="ADN47" s="128"/>
      <c r="ADO47" s="324">
        <f>SUM(ACM47:ADN47)</f>
      </c>
      <c r="ADP47" s="121"/>
      <c r="ADQ47" s="122"/>
      <c r="ADR47" s="151"/>
      <c r="ADS47" s="125"/>
      <c r="ADT47" s="125"/>
      <c r="ADU47" s="125"/>
      <c r="ADV47" s="125"/>
      <c r="ADW47" s="125"/>
      <c r="ADX47" s="124"/>
      <c r="ADY47" s="125"/>
      <c r="ADZ47" s="126"/>
      <c r="AEA47" s="124"/>
      <c r="AEB47" s="124"/>
      <c r="AEC47" s="127"/>
      <c r="AED47" s="125"/>
      <c r="AEE47" s="125"/>
      <c r="AEF47" s="125"/>
      <c r="AEG47" s="125"/>
      <c r="AEH47" s="125"/>
      <c r="AEI47" s="125"/>
      <c r="AEJ47" s="125"/>
      <c r="AEK47" s="125"/>
      <c r="AEL47" s="125"/>
      <c r="AEM47" s="125"/>
      <c r="AEN47" s="125"/>
      <c r="AEO47" s="128"/>
      <c r="AEP47" s="129"/>
      <c r="AEQ47" s="128"/>
      <c r="AER47" s="324">
        <f>SUM(ADP47:AEQ47)</f>
      </c>
      <c r="AES47" s="150">
        <f>XZ47+ZC47+AAF47+ABI47+ACL47+ADO47+AER47</f>
      </c>
      <c r="AET47" s="133">
        <f>(COUNTIF(WX47:AER47,"H")+COUNTIF(WX47:AER47,"S")+COUNTIF(WX47:AER47,"L")+COUNTIF(WX47:AER47,"E")+COUNTIF(WX47:AER47,"C"))/2</f>
      </c>
      <c r="AEU47" s="131">
        <f>AES47+AET47</f>
      </c>
      <c r="AEV47" s="134"/>
      <c r="AEW47" s="135"/>
      <c r="AEX47" s="152"/>
      <c r="AEY47" s="139">
        <v>0.5</v>
      </c>
      <c r="AEZ47" s="139">
        <v>0.5</v>
      </c>
      <c r="AFA47" s="139">
        <v>0.5</v>
      </c>
      <c r="AFB47" s="139">
        <v>0.5</v>
      </c>
      <c r="AFC47" s="139">
        <v>0.5</v>
      </c>
      <c r="AFD47" s="138">
        <v>0.5</v>
      </c>
      <c r="AFE47" s="139">
        <v>0.5</v>
      </c>
      <c r="AFF47" s="155"/>
      <c r="AFG47" s="137"/>
      <c r="AFH47" s="138">
        <v>0.5</v>
      </c>
      <c r="AFI47" s="149">
        <v>0.5</v>
      </c>
      <c r="AFJ47" s="139">
        <v>0.5</v>
      </c>
      <c r="AFK47" s="139">
        <v>0.5</v>
      </c>
      <c r="AFL47" s="139">
        <v>0.5</v>
      </c>
      <c r="AFM47" s="139">
        <v>0.5</v>
      </c>
      <c r="AFN47" s="139">
        <v>0.5</v>
      </c>
      <c r="AFO47" s="139">
        <v>0.5</v>
      </c>
      <c r="AFP47" s="139">
        <v>0.5</v>
      </c>
      <c r="AFQ47" s="139">
        <v>0.5</v>
      </c>
      <c r="AFR47" s="153"/>
      <c r="AFS47" s="153"/>
      <c r="AFT47" s="153"/>
      <c r="AFU47" s="146"/>
      <c r="AFV47" s="145"/>
      <c r="AFW47" s="146"/>
      <c r="AFX47" s="131">
        <f>SUM(AEV47:AFW47)</f>
      </c>
      <c r="AFY47" s="134"/>
      <c r="AFZ47" s="135"/>
      <c r="AGA47" s="152"/>
      <c r="AGB47" s="139">
        <v>0.5</v>
      </c>
      <c r="AGC47" s="139">
        <v>0.5</v>
      </c>
      <c r="AGD47" s="139">
        <v>0.5</v>
      </c>
      <c r="AGE47" s="139">
        <v>0.5</v>
      </c>
      <c r="AGF47" s="139">
        <v>0.5</v>
      </c>
      <c r="AGG47" s="138">
        <v>0.5</v>
      </c>
      <c r="AGH47" s="139">
        <v>0.5</v>
      </c>
      <c r="AGI47" s="155"/>
      <c r="AGJ47" s="137"/>
      <c r="AGK47" s="138">
        <v>0.5</v>
      </c>
      <c r="AGL47" s="149">
        <v>0.5</v>
      </c>
      <c r="AGM47" s="139">
        <v>0.5</v>
      </c>
      <c r="AGN47" s="139">
        <v>0.5</v>
      </c>
      <c r="AGO47" s="139">
        <v>0.5</v>
      </c>
      <c r="AGP47" s="139">
        <v>0.5</v>
      </c>
      <c r="AGQ47" s="139">
        <v>0.5</v>
      </c>
      <c r="AGR47" s="139">
        <v>0.5</v>
      </c>
      <c r="AGS47" s="139">
        <v>0.5</v>
      </c>
      <c r="AGT47" s="139">
        <v>0.5</v>
      </c>
      <c r="AGU47" s="153"/>
      <c r="AGV47" s="153"/>
      <c r="AGW47" s="153"/>
      <c r="AGX47" s="146"/>
      <c r="AGY47" s="145"/>
      <c r="AGZ47" s="146"/>
      <c r="AHA47" s="131">
        <f>SUM(AFY47:AGZ47)</f>
      </c>
      <c r="AHB47" s="134"/>
      <c r="AHC47" s="135"/>
      <c r="AHD47" s="152"/>
      <c r="AHE47" s="139">
        <v>0.5</v>
      </c>
      <c r="AHF47" s="139">
        <v>0.5</v>
      </c>
      <c r="AHG47" s="139">
        <v>0.5</v>
      </c>
      <c r="AHH47" s="139">
        <v>0.5</v>
      </c>
      <c r="AHI47" s="139">
        <v>0.5</v>
      </c>
      <c r="AHJ47" s="138">
        <v>0.5</v>
      </c>
      <c r="AHK47" s="139">
        <v>0.5</v>
      </c>
      <c r="AHL47" s="155"/>
      <c r="AHM47" s="137"/>
      <c r="AHN47" s="138">
        <v>0.5</v>
      </c>
      <c r="AHO47" s="149">
        <v>0.5</v>
      </c>
      <c r="AHP47" s="139">
        <v>0.5</v>
      </c>
      <c r="AHQ47" s="139">
        <v>0.5</v>
      </c>
      <c r="AHR47" s="139">
        <v>0.5</v>
      </c>
      <c r="AHS47" s="139">
        <v>0.5</v>
      </c>
      <c r="AHT47" s="139">
        <v>0.5</v>
      </c>
      <c r="AHU47" s="139">
        <v>0.5</v>
      </c>
      <c r="AHV47" s="139">
        <v>0.5</v>
      </c>
      <c r="AHW47" s="139">
        <v>0.5</v>
      </c>
      <c r="AHX47" s="153"/>
      <c r="AHY47" s="153"/>
      <c r="AHZ47" s="153"/>
      <c r="AIA47" s="146"/>
      <c r="AIB47" s="145"/>
      <c r="AIC47" s="146"/>
      <c r="AID47" s="131">
        <f>SUM(AHB47:AIC47)</f>
      </c>
      <c r="AIE47" s="134"/>
      <c r="AIF47" s="135"/>
      <c r="AIG47" s="152"/>
      <c r="AIH47" s="139">
        <v>0.5</v>
      </c>
      <c r="AII47" s="139">
        <v>0.5</v>
      </c>
      <c r="AIJ47" s="139">
        <v>0.5</v>
      </c>
      <c r="AIK47" s="139">
        <v>0.5</v>
      </c>
      <c r="AIL47" s="139">
        <v>0.5</v>
      </c>
      <c r="AIM47" s="138">
        <v>0.5</v>
      </c>
      <c r="AIN47" s="139">
        <v>0.5</v>
      </c>
      <c r="AIO47" s="155"/>
      <c r="AIP47" s="137"/>
      <c r="AIQ47" s="138">
        <v>0.5</v>
      </c>
      <c r="AIR47" s="149">
        <v>0.5</v>
      </c>
      <c r="AIS47" s="139">
        <v>0.5</v>
      </c>
      <c r="AIT47" s="139">
        <v>0.5</v>
      </c>
      <c r="AIU47" s="139">
        <v>0.5</v>
      </c>
      <c r="AIV47" s="139">
        <v>0.5</v>
      </c>
      <c r="AIW47" s="139">
        <v>0.5</v>
      </c>
      <c r="AIX47" s="139">
        <v>0.5</v>
      </c>
      <c r="AIY47" s="139">
        <v>0.5</v>
      </c>
      <c r="AIZ47" s="139">
        <v>0.5</v>
      </c>
      <c r="AJA47" s="153"/>
      <c r="AJB47" s="153"/>
      <c r="AJC47" s="153"/>
      <c r="AJD47" s="146"/>
      <c r="AJE47" s="145"/>
      <c r="AJF47" s="146"/>
      <c r="AJG47" s="131">
        <f>SUM(AIE47:AJF47)</f>
      </c>
      <c r="AJH47" s="134"/>
      <c r="AJI47" s="135"/>
      <c r="AJJ47" s="338">
        <v>0.5</v>
      </c>
      <c r="AJK47" s="139">
        <v>0.5</v>
      </c>
      <c r="AJL47" s="139">
        <v>0.5</v>
      </c>
      <c r="AJM47" s="139">
        <v>0.5</v>
      </c>
      <c r="AJN47" s="139">
        <v>0.5</v>
      </c>
      <c r="AJO47" s="139">
        <v>0.5</v>
      </c>
      <c r="AJP47" s="138">
        <v>0.5</v>
      </c>
      <c r="AJQ47" s="139">
        <v>0.5</v>
      </c>
      <c r="AJR47" s="140">
        <v>0.5</v>
      </c>
      <c r="AJS47" s="138">
        <v>0.5</v>
      </c>
      <c r="AJT47" s="138">
        <v>0.5</v>
      </c>
      <c r="AJU47" s="149">
        <v>0.5</v>
      </c>
      <c r="AJV47" s="153"/>
      <c r="AJW47" s="153"/>
      <c r="AJX47" s="153"/>
      <c r="AJY47" s="153"/>
      <c r="AJZ47" s="153"/>
      <c r="AKA47" s="153"/>
      <c r="AKB47" s="153"/>
      <c r="AKC47" s="153"/>
      <c r="AKD47" s="153"/>
      <c r="AKE47" s="153"/>
      <c r="AKF47" s="153"/>
      <c r="AKG47" s="146"/>
      <c r="AKH47" s="145"/>
      <c r="AKI47" s="146"/>
      <c r="AKJ47" s="131">
        <f>SUM(AJH47:AKI47)</f>
      </c>
      <c r="AKK47" s="121"/>
      <c r="AKL47" s="122"/>
      <c r="AKM47" s="151"/>
      <c r="AKN47" s="125"/>
      <c r="AKO47" s="125"/>
      <c r="AKP47" s="125"/>
      <c r="AKQ47" s="125"/>
      <c r="AKR47" s="125"/>
      <c r="AKS47" s="124"/>
      <c r="AKT47" s="125"/>
      <c r="AKU47" s="126"/>
      <c r="AKV47" s="124"/>
      <c r="AKW47" s="124"/>
      <c r="AKX47" s="127"/>
      <c r="AKY47" s="125"/>
      <c r="AKZ47" s="125"/>
      <c r="ALA47" s="125"/>
      <c r="ALB47" s="125"/>
      <c r="ALC47" s="125"/>
      <c r="ALD47" s="125"/>
      <c r="ALE47" s="125"/>
      <c r="ALF47" s="125"/>
      <c r="ALG47" s="125"/>
      <c r="ALH47" s="125"/>
      <c r="ALI47" s="125"/>
      <c r="ALJ47" s="128"/>
      <c r="ALK47" s="129"/>
      <c r="ALL47" s="128"/>
      <c r="ALM47" s="324">
        <f>SUM(AKK47:ALL47)</f>
      </c>
      <c r="ALN47" s="121"/>
      <c r="ALO47" s="122"/>
      <c r="ALP47" s="151"/>
      <c r="ALQ47" s="125"/>
      <c r="ALR47" s="125"/>
      <c r="ALS47" s="125"/>
      <c r="ALT47" s="125"/>
      <c r="ALU47" s="125"/>
      <c r="ALV47" s="124"/>
      <c r="ALW47" s="125"/>
      <c r="ALX47" s="126"/>
      <c r="ALY47" s="124"/>
      <c r="ALZ47" s="124"/>
      <c r="AMA47" s="127"/>
      <c r="AMB47" s="125"/>
      <c r="AMC47" s="125"/>
      <c r="AMD47" s="125"/>
      <c r="AME47" s="125"/>
      <c r="AMF47" s="125"/>
      <c r="AMG47" s="125"/>
      <c r="AMH47" s="125"/>
      <c r="AMI47" s="125"/>
      <c r="AMJ47" s="125"/>
      <c r="AMK47" s="125"/>
      <c r="AML47" s="125"/>
      <c r="AMM47" s="128"/>
      <c r="AMN47" s="129"/>
      <c r="AMO47" s="128"/>
      <c r="AMP47" s="324">
        <f>SUM(ALN47:AMO47)</f>
      </c>
      <c r="AMQ47" s="150">
        <f>AFX47+AHA47+AID47+AJG47+AKJ47+ALM47+AMP47</f>
      </c>
      <c r="AMR47" s="133">
        <f>(COUNTIF(AEV47:AMP47,"H")+COUNTIF(AEV47:AMP47,"S")+COUNTIF(AEV47:AMP47,"L")+COUNTIF(AEV47:AMP47,"E")+COUNTIF(AEV47:AMP47,"C"))/2</f>
      </c>
      <c r="AMS47" s="131">
        <f>AMQ47+AMR47</f>
      </c>
      <c r="AMT47" s="4"/>
      <c r="AMU47" s="4"/>
      <c r="AMV47" s="4"/>
      <c r="AMW47" s="4"/>
      <c r="AMX47" s="4"/>
      <c r="AMY47" s="4"/>
      <c r="AMZ47" s="4"/>
      <c r="ANA47" s="4"/>
      <c r="ANB47" s="4"/>
      <c r="ANC47" s="4"/>
      <c r="AND47" s="4"/>
      <c r="ANE47" s="4"/>
      <c r="ANF47" s="4"/>
      <c r="ANG47" s="4"/>
      <c r="ANH47" s="4"/>
      <c r="ANI47" s="4"/>
      <c r="ANJ47" s="13"/>
      <c r="ANK47" s="13"/>
      <c r="ANL47" s="4"/>
      <c r="ANM47" s="4"/>
      <c r="ANN47" s="4"/>
      <c r="ANO47" s="4"/>
      <c r="ANP47" s="4"/>
      <c r="ANQ47" s="4"/>
      <c r="ANR47" s="4"/>
      <c r="ANS47" s="4"/>
      <c r="ANT47" s="4"/>
      <c r="ANU47" s="4"/>
      <c r="ANV47" s="4"/>
      <c r="ANW47" s="4"/>
      <c r="ANX47" s="4"/>
      <c r="ANY47" s="4"/>
      <c r="ANZ47" s="4"/>
      <c r="AOA47" s="4"/>
      <c r="AOB47" s="4"/>
      <c r="AOC47" s="4"/>
      <c r="AOD47" s="4"/>
      <c r="AOE47" s="4"/>
      <c r="AOF47" s="4"/>
      <c r="AOG47" s="4"/>
      <c r="AOH47" s="4"/>
      <c r="AOI47" s="4"/>
      <c r="AOJ47" s="4"/>
      <c r="AOK47" s="4"/>
      <c r="AOL47" s="4"/>
      <c r="AOM47" s="4"/>
      <c r="AON47" s="4"/>
      <c r="AOO47" s="4"/>
      <c r="AOP47" s="4"/>
      <c r="AOQ47" s="4"/>
      <c r="AOR47" s="4"/>
      <c r="AOS47" s="4"/>
      <c r="AOT47" s="4"/>
      <c r="AOU47" s="4"/>
      <c r="AOV47" s="4"/>
      <c r="AOW47" s="4"/>
      <c r="AOX47" s="4"/>
      <c r="AOY47" s="4"/>
      <c r="AOZ47" s="4"/>
      <c r="APA47" s="4"/>
      <c r="APB47" s="4"/>
      <c r="APC47" s="4"/>
      <c r="APD47" s="4"/>
      <c r="APE47" s="4"/>
      <c r="APF47" s="4"/>
      <c r="APG47" s="4"/>
      <c r="APH47" s="4"/>
      <c r="API47" s="4"/>
      <c r="APJ47" s="4"/>
      <c r="APK47" s="4"/>
      <c r="APL47" s="4"/>
      <c r="APM47" s="4"/>
      <c r="APN47" s="4"/>
      <c r="APO47" s="4"/>
      <c r="APP47" s="4"/>
      <c r="APQ47" s="4"/>
      <c r="APR47" s="4"/>
      <c r="APS47" s="4"/>
      <c r="APT47" s="4"/>
      <c r="APU47" s="4"/>
      <c r="APV47" s="4"/>
      <c r="APW47" s="4"/>
      <c r="APX47" s="4"/>
      <c r="APY47" s="4"/>
      <c r="APZ47" s="4"/>
      <c r="AQA47" s="4"/>
      <c r="AQB47" s="4"/>
      <c r="AQC47" s="4"/>
      <c r="AQD47" s="4"/>
      <c r="AQE47" s="4"/>
      <c r="AQF47" s="4"/>
      <c r="AQG47" s="4"/>
      <c r="AQH47" s="4"/>
      <c r="AQI47" s="4"/>
      <c r="AQJ47" s="4"/>
      <c r="AQK47" s="4"/>
      <c r="AQL47" s="4"/>
      <c r="AQM47" s="4"/>
      <c r="AQN47" s="4"/>
      <c r="AQO47" s="4"/>
      <c r="AQP47" s="4"/>
      <c r="AQQ47" s="4"/>
      <c r="AQR47" s="4"/>
      <c r="AQS47" s="4"/>
      <c r="AQT47" s="4"/>
      <c r="AQU47" s="4"/>
      <c r="AQV47" s="4"/>
      <c r="AQW47" s="4"/>
      <c r="AQX47" s="4"/>
      <c r="AQY47" s="4"/>
      <c r="AQZ47" s="4"/>
      <c r="ARA47" s="4"/>
      <c r="ARB47" s="4"/>
      <c r="ARC47" s="4"/>
      <c r="ARD47" s="4"/>
      <c r="ARE47" s="4"/>
      <c r="ARF47" s="4"/>
      <c r="ARG47" s="4"/>
      <c r="ARH47" s="4"/>
      <c r="ARI47" s="4"/>
      <c r="ARJ47" s="4"/>
      <c r="ARK47" s="4"/>
      <c r="ARL47" s="4"/>
      <c r="ARM47" s="4"/>
      <c r="ARN47" s="4"/>
      <c r="ARO47" s="4"/>
      <c r="ARP47" s="4"/>
      <c r="ARQ47" s="4"/>
      <c r="ARR47" s="4"/>
      <c r="ARS47" s="4"/>
      <c r="ART47" s="4"/>
      <c r="ARU47" s="4"/>
      <c r="ARV47" s="4"/>
      <c r="ARW47" s="4"/>
      <c r="ARX47" s="4"/>
      <c r="ARY47" s="4"/>
      <c r="ARZ47" s="4"/>
      <c r="ASA47" s="4"/>
      <c r="ASB47" s="4"/>
      <c r="ASC47" s="4"/>
      <c r="ASD47" s="4"/>
      <c r="ASE47" s="4"/>
      <c r="ASF47" s="4"/>
      <c r="ASG47" s="4"/>
      <c r="ASH47" s="4"/>
      <c r="ASI47" s="4"/>
      <c r="ASJ47" s="4"/>
      <c r="ASK47" s="4"/>
      <c r="ASL47" s="4"/>
      <c r="ASM47" s="4"/>
      <c r="ASN47" s="4"/>
      <c r="ASO47" s="4"/>
      <c r="ASP47" s="4"/>
      <c r="ASQ47" s="4"/>
      <c r="ASR47" s="4"/>
      <c r="ASS47" s="4"/>
      <c r="AST47" s="4"/>
      <c r="ASU47" s="4"/>
    </row>
    <row r="48" ht="15" customHeight="1" spans="1:1191" x14ac:dyDescent="0.25">
      <c r="A48" s="118"/>
      <c r="B48" s="230" t="s">
        <v>87</v>
      </c>
      <c r="C48" s="289" t="s">
        <v>55</v>
      </c>
      <c r="D48" s="300"/>
      <c r="E48" s="301"/>
      <c r="F48" s="123"/>
      <c r="G48" s="124"/>
      <c r="H48" s="124"/>
      <c r="I48" s="124"/>
      <c r="J48" s="124"/>
      <c r="K48" s="124"/>
      <c r="L48" s="124"/>
      <c r="M48" s="125"/>
      <c r="N48" s="126"/>
      <c r="O48" s="124"/>
      <c r="P48" s="124"/>
      <c r="Q48" s="127"/>
      <c r="R48" s="123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5"/>
      <c r="AD48" s="301"/>
      <c r="AE48" s="151"/>
      <c r="AF48" s="131">
        <f>SUM(D48:AE48)</f>
      </c>
      <c r="AG48" s="300"/>
      <c r="AH48" s="301"/>
      <c r="AI48" s="123"/>
      <c r="AJ48" s="124"/>
      <c r="AK48" s="124"/>
      <c r="AL48" s="124"/>
      <c r="AM48" s="124"/>
      <c r="AN48" s="124"/>
      <c r="AO48" s="124"/>
      <c r="AP48" s="125"/>
      <c r="AQ48" s="126"/>
      <c r="AR48" s="124"/>
      <c r="AS48" s="124"/>
      <c r="AT48" s="127"/>
      <c r="AU48" s="123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5"/>
      <c r="BG48" s="301"/>
      <c r="BH48" s="151"/>
      <c r="BI48" s="131">
        <f>SUM(AG48:BH48)</f>
      </c>
      <c r="BJ48" s="300"/>
      <c r="BK48" s="301"/>
      <c r="BL48" s="123"/>
      <c r="BM48" s="124"/>
      <c r="BN48" s="124"/>
      <c r="BO48" s="124"/>
      <c r="BP48" s="124"/>
      <c r="BQ48" s="124"/>
      <c r="BR48" s="124"/>
      <c r="BS48" s="125"/>
      <c r="BT48" s="126"/>
      <c r="BU48" s="124"/>
      <c r="BV48" s="124"/>
      <c r="BW48" s="127"/>
      <c r="BX48" s="123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5"/>
      <c r="CJ48" s="301"/>
      <c r="CK48" s="151"/>
      <c r="CL48" s="131">
        <f>SUM(BJ48:CK48)</f>
      </c>
      <c r="CM48" s="300"/>
      <c r="CN48" s="301"/>
      <c r="CO48" s="123"/>
      <c r="CP48" s="124"/>
      <c r="CQ48" s="124"/>
      <c r="CR48" s="124"/>
      <c r="CS48" s="124"/>
      <c r="CT48" s="124"/>
      <c r="CU48" s="124"/>
      <c r="CV48" s="125"/>
      <c r="CW48" s="126"/>
      <c r="CX48" s="124"/>
      <c r="CY48" s="124"/>
      <c r="CZ48" s="127"/>
      <c r="DA48" s="123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5"/>
      <c r="DM48" s="301"/>
      <c r="DN48" s="151"/>
      <c r="DO48" s="131">
        <f>SUM(CM48:DN48)</f>
      </c>
      <c r="DP48" s="300"/>
      <c r="DQ48" s="301"/>
      <c r="DR48" s="123"/>
      <c r="DS48" s="124"/>
      <c r="DT48" s="124"/>
      <c r="DU48" s="124"/>
      <c r="DV48" s="124"/>
      <c r="DW48" s="124"/>
      <c r="DX48" s="124"/>
      <c r="DY48" s="125"/>
      <c r="DZ48" s="126"/>
      <c r="EA48" s="124"/>
      <c r="EB48" s="124"/>
      <c r="EC48" s="127"/>
      <c r="ED48" s="123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5"/>
      <c r="EP48" s="301"/>
      <c r="EQ48" s="151"/>
      <c r="ER48" s="131">
        <f>SUM(DP48:EQ48)</f>
      </c>
      <c r="ES48" s="300"/>
      <c r="ET48" s="301"/>
      <c r="EU48" s="123"/>
      <c r="EV48" s="124"/>
      <c r="EW48" s="124"/>
      <c r="EX48" s="124"/>
      <c r="EY48" s="124"/>
      <c r="EZ48" s="124"/>
      <c r="FA48" s="124"/>
      <c r="FB48" s="125"/>
      <c r="FC48" s="126"/>
      <c r="FD48" s="124"/>
      <c r="FE48" s="124"/>
      <c r="FF48" s="127"/>
      <c r="FG48" s="123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5"/>
      <c r="FS48" s="301"/>
      <c r="FT48" s="151"/>
      <c r="FU48" s="131">
        <f>SUM(ES48:FT48)</f>
      </c>
      <c r="FV48" s="300"/>
      <c r="FW48" s="301"/>
      <c r="FX48" s="123"/>
      <c r="FY48" s="124"/>
      <c r="FZ48" s="124"/>
      <c r="GA48" s="124"/>
      <c r="GB48" s="124"/>
      <c r="GC48" s="124"/>
      <c r="GD48" s="124"/>
      <c r="GE48" s="125"/>
      <c r="GF48" s="126"/>
      <c r="GG48" s="124"/>
      <c r="GH48" s="124"/>
      <c r="GI48" s="127"/>
      <c r="GJ48" s="123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5"/>
      <c r="GV48" s="301"/>
      <c r="GW48" s="151"/>
      <c r="GX48" s="131">
        <f>SUM(FV48:GW48)</f>
      </c>
      <c r="GY48" s="150">
        <f>AF48+BI48+CL48+DO48+ER48+FU48+GX48</f>
      </c>
      <c r="GZ48" s="302">
        <f>(COUNTIF(D48:GX48,"H")+COUNTIF(D48:GX48,"S")+COUNTIF(D48:GX48,"L")+COUNTIF(D48:GX48,"E")+COUNTIF(D48:GX48,"C"))/2</f>
      </c>
      <c r="HA48" s="131">
        <f>GY48+GZ48</f>
      </c>
      <c r="HB48" s="303"/>
      <c r="HC48" s="304"/>
      <c r="HD48" s="136"/>
      <c r="HE48" s="138">
        <v>0.5</v>
      </c>
      <c r="HF48" s="138">
        <v>0.5</v>
      </c>
      <c r="HG48" s="138">
        <v>0.5</v>
      </c>
      <c r="HH48" s="138">
        <v>0.5</v>
      </c>
      <c r="HI48" s="138">
        <v>0.5</v>
      </c>
      <c r="HJ48" s="138">
        <v>0.5</v>
      </c>
      <c r="HK48" s="139">
        <v>0.5</v>
      </c>
      <c r="HL48" s="140">
        <v>0.5</v>
      </c>
      <c r="HM48" s="138">
        <v>0.5</v>
      </c>
      <c r="HN48" s="148"/>
      <c r="HO48" s="305"/>
      <c r="HP48" s="142">
        <v>0.5</v>
      </c>
      <c r="HQ48" s="138">
        <v>0.5</v>
      </c>
      <c r="HR48" s="138">
        <v>0.5</v>
      </c>
      <c r="HS48" s="138">
        <v>0.5</v>
      </c>
      <c r="HT48" s="138">
        <v>0.5</v>
      </c>
      <c r="HU48" s="138">
        <v>0.5</v>
      </c>
      <c r="HV48" s="138">
        <v>0.5</v>
      </c>
      <c r="HW48" s="138">
        <v>0.5</v>
      </c>
      <c r="HX48" s="137"/>
      <c r="HY48" s="137"/>
      <c r="HZ48" s="137"/>
      <c r="IA48" s="153"/>
      <c r="IB48" s="304"/>
      <c r="IC48" s="152"/>
      <c r="ID48" s="131">
        <f>SUM(HB48:IC48)</f>
      </c>
      <c r="IE48" s="303"/>
      <c r="IF48" s="304"/>
      <c r="IG48" s="136"/>
      <c r="IH48" s="138">
        <v>0.5</v>
      </c>
      <c r="II48" s="138">
        <v>0.5</v>
      </c>
      <c r="IJ48" s="138">
        <v>0.5</v>
      </c>
      <c r="IK48" s="138">
        <v>0.5</v>
      </c>
      <c r="IL48" s="138">
        <v>0.5</v>
      </c>
      <c r="IM48" s="138">
        <v>0.5</v>
      </c>
      <c r="IN48" s="139">
        <v>0.5</v>
      </c>
      <c r="IO48" s="140">
        <v>0.5</v>
      </c>
      <c r="IP48" s="138">
        <v>0.5</v>
      </c>
      <c r="IQ48" s="148"/>
      <c r="IR48" s="305"/>
      <c r="IS48" s="142">
        <v>0.5</v>
      </c>
      <c r="IT48" s="138">
        <v>0.5</v>
      </c>
      <c r="IU48" s="138">
        <v>0.5</v>
      </c>
      <c r="IV48" s="138">
        <v>0.5</v>
      </c>
      <c r="IW48" s="138">
        <v>0.5</v>
      </c>
      <c r="IX48" s="138">
        <v>0.5</v>
      </c>
      <c r="IY48" s="138">
        <v>0.5</v>
      </c>
      <c r="IZ48" s="138">
        <v>0.5</v>
      </c>
      <c r="JA48" s="137"/>
      <c r="JB48" s="137"/>
      <c r="JC48" s="137"/>
      <c r="JD48" s="153"/>
      <c r="JE48" s="304"/>
      <c r="JF48" s="152"/>
      <c r="JG48" s="131">
        <f>SUM(IE48:JF48)</f>
      </c>
      <c r="JH48" s="303"/>
      <c r="JI48" s="304"/>
      <c r="JJ48" s="136"/>
      <c r="JK48" s="138">
        <v>0.5</v>
      </c>
      <c r="JL48" s="138">
        <v>0.5</v>
      </c>
      <c r="JM48" s="138">
        <v>0.5</v>
      </c>
      <c r="JN48" s="138">
        <v>0.5</v>
      </c>
      <c r="JO48" s="138">
        <v>0.5</v>
      </c>
      <c r="JP48" s="138">
        <v>0.5</v>
      </c>
      <c r="JQ48" s="139">
        <v>0.5</v>
      </c>
      <c r="JR48" s="140">
        <v>0.5</v>
      </c>
      <c r="JS48" s="138">
        <v>0.5</v>
      </c>
      <c r="JT48" s="148"/>
      <c r="JU48" s="305"/>
      <c r="JV48" s="142">
        <v>0.5</v>
      </c>
      <c r="JW48" s="138">
        <v>0.5</v>
      </c>
      <c r="JX48" s="138">
        <v>0.5</v>
      </c>
      <c r="JY48" s="138">
        <v>0.5</v>
      </c>
      <c r="JZ48" s="138">
        <v>0.5</v>
      </c>
      <c r="KA48" s="138">
        <v>0.5</v>
      </c>
      <c r="KB48" s="138">
        <v>0.5</v>
      </c>
      <c r="KC48" s="138">
        <v>0.5</v>
      </c>
      <c r="KD48" s="137"/>
      <c r="KE48" s="137"/>
      <c r="KF48" s="137"/>
      <c r="KG48" s="153"/>
      <c r="KH48" s="304"/>
      <c r="KI48" s="152"/>
      <c r="KJ48" s="131">
        <f>SUM(JH48:KI48)</f>
      </c>
      <c r="KK48" s="303"/>
      <c r="KL48" s="304"/>
      <c r="KM48" s="136"/>
      <c r="KN48" s="138">
        <v>0.5</v>
      </c>
      <c r="KO48" s="138">
        <v>0.5</v>
      </c>
      <c r="KP48" s="138">
        <v>0.5</v>
      </c>
      <c r="KQ48" s="138">
        <v>0.5</v>
      </c>
      <c r="KR48" s="138">
        <v>0.5</v>
      </c>
      <c r="KS48" s="138">
        <v>0.5</v>
      </c>
      <c r="KT48" s="139">
        <v>0.5</v>
      </c>
      <c r="KU48" s="140">
        <v>0.5</v>
      </c>
      <c r="KV48" s="138">
        <v>0.5</v>
      </c>
      <c r="KW48" s="148"/>
      <c r="KX48" s="305"/>
      <c r="KY48" s="142">
        <v>0.5</v>
      </c>
      <c r="KZ48" s="138">
        <v>0.5</v>
      </c>
      <c r="LA48" s="138">
        <v>0.5</v>
      </c>
      <c r="LB48" s="138">
        <v>0.5</v>
      </c>
      <c r="LC48" s="138">
        <v>0.5</v>
      </c>
      <c r="LD48" s="138">
        <v>0.5</v>
      </c>
      <c r="LE48" s="138">
        <v>0.5</v>
      </c>
      <c r="LF48" s="138">
        <v>0.5</v>
      </c>
      <c r="LG48" s="137"/>
      <c r="LH48" s="137"/>
      <c r="LI48" s="137"/>
      <c r="LJ48" s="153"/>
      <c r="LK48" s="304"/>
      <c r="LL48" s="152"/>
      <c r="LM48" s="131">
        <f>SUM(KK48:LL48)</f>
      </c>
      <c r="LN48" s="303"/>
      <c r="LO48" s="304"/>
      <c r="LP48" s="142">
        <v>0.5</v>
      </c>
      <c r="LQ48" s="138">
        <v>0.5</v>
      </c>
      <c r="LR48" s="138">
        <v>0.5</v>
      </c>
      <c r="LS48" s="138">
        <v>0.5</v>
      </c>
      <c r="LT48" s="138">
        <v>0.5</v>
      </c>
      <c r="LU48" s="138">
        <v>0.5</v>
      </c>
      <c r="LV48" s="138">
        <v>0.5</v>
      </c>
      <c r="LW48" s="139">
        <v>0.5</v>
      </c>
      <c r="LX48" s="140">
        <v>0.5</v>
      </c>
      <c r="LY48" s="138">
        <v>0.5</v>
      </c>
      <c r="LZ48" s="138">
        <v>0.5</v>
      </c>
      <c r="MA48" s="149">
        <v>0.5</v>
      </c>
      <c r="MB48" s="136"/>
      <c r="MC48" s="137"/>
      <c r="MD48" s="137"/>
      <c r="ME48" s="137"/>
      <c r="MF48" s="137"/>
      <c r="MG48" s="137"/>
      <c r="MH48" s="137"/>
      <c r="MI48" s="137"/>
      <c r="MJ48" s="137"/>
      <c r="MK48" s="137"/>
      <c r="ML48" s="137"/>
      <c r="MM48" s="153"/>
      <c r="MN48" s="304"/>
      <c r="MO48" s="152"/>
      <c r="MP48" s="131">
        <f>SUM(LN48:MO48)</f>
      </c>
      <c r="MQ48" s="300"/>
      <c r="MR48" s="301"/>
      <c r="MS48" s="123"/>
      <c r="MT48" s="124"/>
      <c r="MU48" s="124"/>
      <c r="MV48" s="124"/>
      <c r="MW48" s="124"/>
      <c r="MX48" s="124"/>
      <c r="MY48" s="124"/>
      <c r="MZ48" s="125"/>
      <c r="NA48" s="126"/>
      <c r="NB48" s="124"/>
      <c r="NC48" s="124"/>
      <c r="ND48" s="127"/>
      <c r="NE48" s="123"/>
      <c r="NF48" s="124"/>
      <c r="NG48" s="124"/>
      <c r="NH48" s="124"/>
      <c r="NI48" s="124"/>
      <c r="NJ48" s="124"/>
      <c r="NK48" s="124"/>
      <c r="NL48" s="124"/>
      <c r="NM48" s="124"/>
      <c r="NN48" s="124"/>
      <c r="NO48" s="124"/>
      <c r="NP48" s="125"/>
      <c r="NQ48" s="301"/>
      <c r="NR48" s="151"/>
      <c r="NS48" s="131">
        <f>SUM(MQ48:NR48)</f>
      </c>
      <c r="NT48" s="300"/>
      <c r="NU48" s="301"/>
      <c r="NV48" s="123"/>
      <c r="NW48" s="124"/>
      <c r="NX48" s="124"/>
      <c r="NY48" s="124"/>
      <c r="NZ48" s="124"/>
      <c r="OA48" s="124"/>
      <c r="OB48" s="124"/>
      <c r="OC48" s="125"/>
      <c r="OD48" s="126"/>
      <c r="OE48" s="124"/>
      <c r="OF48" s="124"/>
      <c r="OG48" s="127"/>
      <c r="OH48" s="123"/>
      <c r="OI48" s="124"/>
      <c r="OJ48" s="124"/>
      <c r="OK48" s="124"/>
      <c r="OL48" s="124"/>
      <c r="OM48" s="124"/>
      <c r="ON48" s="124"/>
      <c r="OO48" s="124"/>
      <c r="OP48" s="124"/>
      <c r="OQ48" s="124"/>
      <c r="OR48" s="124"/>
      <c r="OS48" s="125"/>
      <c r="OT48" s="301"/>
      <c r="OU48" s="151"/>
      <c r="OV48" s="131">
        <f>SUM(NT48:OU48)</f>
      </c>
      <c r="OW48" s="150">
        <f>ID48+JG48+KJ48+LM48+MP48+NS48+OV48</f>
      </c>
      <c r="OX48" s="302">
        <f>(COUNTIF(HB48:OV48,"H")+COUNTIF(HB48:OV48,"S")+COUNTIF(HB48:OV48,"L")+COUNTIF(HB48:OV48,"E")+COUNTIF(HB48:OV48,"C"))/2</f>
      </c>
      <c r="OY48" s="131">
        <f>OW48+OX48</f>
      </c>
      <c r="OZ48" s="303"/>
      <c r="PA48" s="304"/>
      <c r="PB48" s="136"/>
      <c r="PC48" s="138">
        <v>0.5</v>
      </c>
      <c r="PD48" s="138">
        <v>0.5</v>
      </c>
      <c r="PE48" s="138">
        <v>0.5</v>
      </c>
      <c r="PF48" s="138">
        <v>0.5</v>
      </c>
      <c r="PG48" s="138">
        <v>0.5</v>
      </c>
      <c r="PH48" s="138">
        <v>0.5</v>
      </c>
      <c r="PI48" s="139">
        <v>0.5</v>
      </c>
      <c r="PJ48" s="155"/>
      <c r="PK48" s="137"/>
      <c r="PL48" s="138">
        <v>0.5</v>
      </c>
      <c r="PM48" s="149">
        <v>0.5</v>
      </c>
      <c r="PN48" s="142">
        <v>0.5</v>
      </c>
      <c r="PO48" s="138">
        <v>0.5</v>
      </c>
      <c r="PP48" s="138">
        <v>0.5</v>
      </c>
      <c r="PQ48" s="138">
        <v>0.5</v>
      </c>
      <c r="PR48" s="138">
        <v>0.5</v>
      </c>
      <c r="PS48" s="138">
        <v>0.5</v>
      </c>
      <c r="PT48" s="138">
        <v>0.5</v>
      </c>
      <c r="PU48" s="137"/>
      <c r="PV48" s="137"/>
      <c r="PW48" s="137"/>
      <c r="PX48" s="137"/>
      <c r="PY48" s="153"/>
      <c r="PZ48" s="304"/>
      <c r="QA48" s="152"/>
      <c r="QB48" s="131">
        <f>SUM(OZ48:QA48)</f>
      </c>
      <c r="QC48" s="303"/>
      <c r="QD48" s="304"/>
      <c r="QE48" s="136"/>
      <c r="QF48" s="138">
        <v>0.5</v>
      </c>
      <c r="QG48" s="138">
        <v>0.5</v>
      </c>
      <c r="QH48" s="138">
        <v>0.5</v>
      </c>
      <c r="QI48" s="138">
        <v>0.5</v>
      </c>
      <c r="QJ48" s="138">
        <v>0.5</v>
      </c>
      <c r="QK48" s="138">
        <v>0.5</v>
      </c>
      <c r="QL48" s="139">
        <v>0.5</v>
      </c>
      <c r="QM48" s="155"/>
      <c r="QN48" s="137"/>
      <c r="QO48" s="138">
        <v>0.5</v>
      </c>
      <c r="QP48" s="149">
        <v>0.5</v>
      </c>
      <c r="QQ48" s="142">
        <v>0.5</v>
      </c>
      <c r="QR48" s="138">
        <v>0.5</v>
      </c>
      <c r="QS48" s="138">
        <v>0.5</v>
      </c>
      <c r="QT48" s="138">
        <v>0.5</v>
      </c>
      <c r="QU48" s="138">
        <v>0.5</v>
      </c>
      <c r="QV48" s="138">
        <v>0.5</v>
      </c>
      <c r="QW48" s="138">
        <v>0.5</v>
      </c>
      <c r="QX48" s="137"/>
      <c r="QY48" s="137"/>
      <c r="QZ48" s="137"/>
      <c r="RA48" s="137"/>
      <c r="RB48" s="153"/>
      <c r="RC48" s="304"/>
      <c r="RD48" s="152"/>
      <c r="RE48" s="131">
        <f>SUM(QC48:RD48)</f>
      </c>
      <c r="RF48" s="303"/>
      <c r="RG48" s="304"/>
      <c r="RH48" s="136"/>
      <c r="RI48" s="138">
        <v>0.5</v>
      </c>
      <c r="RJ48" s="138">
        <v>0.5</v>
      </c>
      <c r="RK48" s="138">
        <v>0.5</v>
      </c>
      <c r="RL48" s="138">
        <v>0.5</v>
      </c>
      <c r="RM48" s="138">
        <v>0.5</v>
      </c>
      <c r="RN48" s="138">
        <v>0.5</v>
      </c>
      <c r="RO48" s="139">
        <v>0.5</v>
      </c>
      <c r="RP48" s="155"/>
      <c r="RQ48" s="137"/>
      <c r="RR48" s="138">
        <v>0.5</v>
      </c>
      <c r="RS48" s="149">
        <v>0.5</v>
      </c>
      <c r="RT48" s="142">
        <v>0.5</v>
      </c>
      <c r="RU48" s="138">
        <v>0.5</v>
      </c>
      <c r="RV48" s="138">
        <v>0.5</v>
      </c>
      <c r="RW48" s="138">
        <v>0.5</v>
      </c>
      <c r="RX48" s="138">
        <v>0.5</v>
      </c>
      <c r="RY48" s="138">
        <v>0.5</v>
      </c>
      <c r="RZ48" s="138">
        <v>0.5</v>
      </c>
      <c r="SA48" s="137"/>
      <c r="SB48" s="137"/>
      <c r="SC48" s="137"/>
      <c r="SD48" s="137"/>
      <c r="SE48" s="153"/>
      <c r="SF48" s="304"/>
      <c r="SG48" s="152"/>
      <c r="SH48" s="131">
        <f>SUM(RF48:SG48)</f>
      </c>
      <c r="SI48" s="303"/>
      <c r="SJ48" s="304"/>
      <c r="SK48" s="136"/>
      <c r="SL48" s="138">
        <v>0.5</v>
      </c>
      <c r="SM48" s="138">
        <v>0.5</v>
      </c>
      <c r="SN48" s="138">
        <v>0.5</v>
      </c>
      <c r="SO48" s="138">
        <v>0.5</v>
      </c>
      <c r="SP48" s="138">
        <v>0.5</v>
      </c>
      <c r="SQ48" s="138">
        <v>0.5</v>
      </c>
      <c r="SR48" s="139">
        <v>0.5</v>
      </c>
      <c r="SS48" s="155"/>
      <c r="ST48" s="137"/>
      <c r="SU48" s="138">
        <v>0.5</v>
      </c>
      <c r="SV48" s="149">
        <v>0.5</v>
      </c>
      <c r="SW48" s="142">
        <v>0.5</v>
      </c>
      <c r="SX48" s="138">
        <v>0.5</v>
      </c>
      <c r="SY48" s="138">
        <v>0.5</v>
      </c>
      <c r="SZ48" s="138">
        <v>0.5</v>
      </c>
      <c r="TA48" s="138">
        <v>0.5</v>
      </c>
      <c r="TB48" s="138">
        <v>0.5</v>
      </c>
      <c r="TC48" s="138">
        <v>0.5</v>
      </c>
      <c r="TD48" s="137"/>
      <c r="TE48" s="137"/>
      <c r="TF48" s="137"/>
      <c r="TG48" s="137"/>
      <c r="TH48" s="153"/>
      <c r="TI48" s="304"/>
      <c r="TJ48" s="152"/>
      <c r="TK48" s="131">
        <f>SUM(SI48:TJ48)</f>
      </c>
      <c r="TL48" s="303"/>
      <c r="TM48" s="304"/>
      <c r="TN48" s="136"/>
      <c r="TO48" s="138">
        <v>0.5</v>
      </c>
      <c r="TP48" s="138">
        <v>0.5</v>
      </c>
      <c r="TQ48" s="138">
        <v>0.5</v>
      </c>
      <c r="TR48" s="138">
        <v>0.5</v>
      </c>
      <c r="TS48" s="138">
        <v>0.5</v>
      </c>
      <c r="TT48" s="138">
        <v>0.5</v>
      </c>
      <c r="TU48" s="139">
        <v>0.5</v>
      </c>
      <c r="TV48" s="155"/>
      <c r="TW48" s="137"/>
      <c r="TX48" s="138">
        <v>0.5</v>
      </c>
      <c r="TY48" s="149">
        <v>0.5</v>
      </c>
      <c r="TZ48" s="142">
        <v>0.5</v>
      </c>
      <c r="UA48" s="138">
        <v>0.5</v>
      </c>
      <c r="UB48" s="138">
        <v>0.5</v>
      </c>
      <c r="UC48" s="138">
        <v>0.5</v>
      </c>
      <c r="UD48" s="138">
        <v>0.5</v>
      </c>
      <c r="UE48" s="138">
        <v>0.5</v>
      </c>
      <c r="UF48" s="138">
        <v>0.5</v>
      </c>
      <c r="UG48" s="137"/>
      <c r="UH48" s="137"/>
      <c r="UI48" s="137"/>
      <c r="UJ48" s="137"/>
      <c r="UK48" s="153"/>
      <c r="UL48" s="304"/>
      <c r="UM48" s="152"/>
      <c r="UN48" s="131">
        <f>SUM(TL48:UM48)</f>
      </c>
      <c r="UO48" s="300"/>
      <c r="UP48" s="301"/>
      <c r="UQ48" s="123"/>
      <c r="UR48" s="124"/>
      <c r="US48" s="124"/>
      <c r="UT48" s="124"/>
      <c r="UU48" s="124"/>
      <c r="UV48" s="124"/>
      <c r="UW48" s="124"/>
      <c r="UX48" s="125"/>
      <c r="UY48" s="126"/>
      <c r="UZ48" s="124"/>
      <c r="VA48" s="124"/>
      <c r="VB48" s="127"/>
      <c r="VC48" s="123"/>
      <c r="VD48" s="124"/>
      <c r="VE48" s="124"/>
      <c r="VF48" s="124"/>
      <c r="VG48" s="124"/>
      <c r="VH48" s="124"/>
      <c r="VI48" s="124"/>
      <c r="VJ48" s="124"/>
      <c r="VK48" s="124"/>
      <c r="VL48" s="124"/>
      <c r="VM48" s="124"/>
      <c r="VN48" s="125"/>
      <c r="VO48" s="301"/>
      <c r="VP48" s="151"/>
      <c r="VQ48" s="131">
        <f>SUM(UO48:VP48)</f>
      </c>
      <c r="VR48" s="300"/>
      <c r="VS48" s="301"/>
      <c r="VT48" s="123"/>
      <c r="VU48" s="124"/>
      <c r="VV48" s="124"/>
      <c r="VW48" s="124"/>
      <c r="VX48" s="124"/>
      <c r="VY48" s="124"/>
      <c r="VZ48" s="124"/>
      <c r="WA48" s="125"/>
      <c r="WB48" s="126"/>
      <c r="WC48" s="124"/>
      <c r="WD48" s="124"/>
      <c r="WE48" s="127"/>
      <c r="WF48" s="123"/>
      <c r="WG48" s="124"/>
      <c r="WH48" s="124"/>
      <c r="WI48" s="124"/>
      <c r="WJ48" s="124"/>
      <c r="WK48" s="124"/>
      <c r="WL48" s="124"/>
      <c r="WM48" s="124"/>
      <c r="WN48" s="124"/>
      <c r="WO48" s="124"/>
      <c r="WP48" s="124"/>
      <c r="WQ48" s="125"/>
      <c r="WR48" s="301"/>
      <c r="WS48" s="151"/>
      <c r="WT48" s="131">
        <f>SUM(VR48:WS48)</f>
      </c>
      <c r="WU48" s="150">
        <f>QB48+RE48+SH48+TK48+UN48+VQ48+WT48</f>
      </c>
      <c r="WV48" s="302">
        <f>(COUNTIF(OZ48:WT48,"H")+COUNTIF(OZ48:WT48,"S")+COUNTIF(OZ48:WT48,"L")+COUNTIF(OZ48:WT48,"E")+COUNTIF(OZ48:WT48,"C"))/2</f>
      </c>
      <c r="WW48" s="131">
        <f>WU48+WV48</f>
      </c>
      <c r="WX48" s="303"/>
      <c r="WY48" s="304"/>
      <c r="WZ48" s="136"/>
      <c r="XA48" s="138">
        <v>0.5</v>
      </c>
      <c r="XB48" s="138">
        <v>0.5</v>
      </c>
      <c r="XC48" s="138">
        <v>0.5</v>
      </c>
      <c r="XD48" s="138">
        <v>0.5</v>
      </c>
      <c r="XE48" s="138">
        <v>0.5</v>
      </c>
      <c r="XF48" s="138">
        <v>0.5</v>
      </c>
      <c r="XG48" s="139">
        <v>0.5</v>
      </c>
      <c r="XH48" s="155"/>
      <c r="XI48" s="137"/>
      <c r="XJ48" s="138">
        <v>0.5</v>
      </c>
      <c r="XK48" s="149">
        <v>0.5</v>
      </c>
      <c r="XL48" s="142">
        <v>0.5</v>
      </c>
      <c r="XM48" s="138">
        <v>0.5</v>
      </c>
      <c r="XN48" s="138">
        <v>0.5</v>
      </c>
      <c r="XO48" s="138">
        <v>0.5</v>
      </c>
      <c r="XP48" s="138">
        <v>0.5</v>
      </c>
      <c r="XQ48" s="138">
        <v>0.5</v>
      </c>
      <c r="XR48" s="138">
        <v>0.5</v>
      </c>
      <c r="XS48" s="138">
        <v>0.5</v>
      </c>
      <c r="XT48" s="137"/>
      <c r="XU48" s="137"/>
      <c r="XV48" s="137"/>
      <c r="XW48" s="153"/>
      <c r="XX48" s="304"/>
      <c r="XY48" s="152"/>
      <c r="XZ48" s="131">
        <f>SUM(WX48:XY48)</f>
      </c>
      <c r="YA48" s="303"/>
      <c r="YB48" s="304"/>
      <c r="YC48" s="136"/>
      <c r="YD48" s="138">
        <v>0.5</v>
      </c>
      <c r="YE48" s="138">
        <v>0.5</v>
      </c>
      <c r="YF48" s="138">
        <v>0.5</v>
      </c>
      <c r="YG48" s="138">
        <v>0.5</v>
      </c>
      <c r="YH48" s="138">
        <v>0.5</v>
      </c>
      <c r="YI48" s="138">
        <v>0.5</v>
      </c>
      <c r="YJ48" s="139">
        <v>0.5</v>
      </c>
      <c r="YK48" s="155"/>
      <c r="YL48" s="137"/>
      <c r="YM48" s="138">
        <v>0.5</v>
      </c>
      <c r="YN48" s="149">
        <v>0.5</v>
      </c>
      <c r="YO48" s="142">
        <v>0.5</v>
      </c>
      <c r="YP48" s="138">
        <v>0.5</v>
      </c>
      <c r="YQ48" s="138">
        <v>0.5</v>
      </c>
      <c r="YR48" s="138">
        <v>0.5</v>
      </c>
      <c r="YS48" s="138">
        <v>0.5</v>
      </c>
      <c r="YT48" s="138">
        <v>0.5</v>
      </c>
      <c r="YU48" s="138">
        <v>0.5</v>
      </c>
      <c r="YV48" s="138">
        <v>0.5</v>
      </c>
      <c r="YW48" s="137"/>
      <c r="YX48" s="137"/>
      <c r="YY48" s="137"/>
      <c r="YZ48" s="153"/>
      <c r="ZA48" s="304"/>
      <c r="ZB48" s="152"/>
      <c r="ZC48" s="131">
        <f>SUM(YA48:ZB48)</f>
      </c>
      <c r="ZD48" s="303"/>
      <c r="ZE48" s="304"/>
      <c r="ZF48" s="136"/>
      <c r="ZG48" s="138">
        <v>0.5</v>
      </c>
      <c r="ZH48" s="138">
        <v>0.5</v>
      </c>
      <c r="ZI48" s="138">
        <v>0.5</v>
      </c>
      <c r="ZJ48" s="138">
        <v>0.5</v>
      </c>
      <c r="ZK48" s="138">
        <v>0.5</v>
      </c>
      <c r="ZL48" s="138">
        <v>0.5</v>
      </c>
      <c r="ZM48" s="139">
        <v>0.5</v>
      </c>
      <c r="ZN48" s="155"/>
      <c r="ZO48" s="137"/>
      <c r="ZP48" s="138">
        <v>0.5</v>
      </c>
      <c r="ZQ48" s="149">
        <v>0.5</v>
      </c>
      <c r="ZR48" s="142">
        <v>0.5</v>
      </c>
      <c r="ZS48" s="138">
        <v>0.5</v>
      </c>
      <c r="ZT48" s="138">
        <v>0.5</v>
      </c>
      <c r="ZU48" s="138">
        <v>0.5</v>
      </c>
      <c r="ZV48" s="138">
        <v>0.5</v>
      </c>
      <c r="ZW48" s="138">
        <v>0.5</v>
      </c>
      <c r="ZX48" s="138">
        <v>0.5</v>
      </c>
      <c r="ZY48" s="138">
        <v>0.5</v>
      </c>
      <c r="ZZ48" s="137"/>
      <c r="AAA48" s="137"/>
      <c r="AAB48" s="137"/>
      <c r="AAC48" s="153"/>
      <c r="AAD48" s="304"/>
      <c r="AAE48" s="152"/>
      <c r="AAF48" s="131">
        <f>SUM(ZD48:AAE48)</f>
      </c>
      <c r="AAG48" s="303"/>
      <c r="AAH48" s="304"/>
      <c r="AAI48" s="136"/>
      <c r="AAJ48" s="138">
        <v>0.5</v>
      </c>
      <c r="AAK48" s="138">
        <v>0.5</v>
      </c>
      <c r="AAL48" s="138">
        <v>0.5</v>
      </c>
      <c r="AAM48" s="138">
        <v>0.5</v>
      </c>
      <c r="AAN48" s="138">
        <v>0.5</v>
      </c>
      <c r="AAO48" s="138">
        <v>0.5</v>
      </c>
      <c r="AAP48" s="139">
        <v>0.5</v>
      </c>
      <c r="AAQ48" s="155"/>
      <c r="AAR48" s="137"/>
      <c r="AAS48" s="138">
        <v>0.5</v>
      </c>
      <c r="AAT48" s="149">
        <v>0.5</v>
      </c>
      <c r="AAU48" s="142">
        <v>0.5</v>
      </c>
      <c r="AAV48" s="138">
        <v>0.5</v>
      </c>
      <c r="AAW48" s="138">
        <v>0.5</v>
      </c>
      <c r="AAX48" s="138">
        <v>0.5</v>
      </c>
      <c r="AAY48" s="138">
        <v>0.5</v>
      </c>
      <c r="AAZ48" s="138">
        <v>0.5</v>
      </c>
      <c r="ABA48" s="138">
        <v>0.5</v>
      </c>
      <c r="ABB48" s="138">
        <v>0.5</v>
      </c>
      <c r="ABC48" s="137"/>
      <c r="ABD48" s="137"/>
      <c r="ABE48" s="137"/>
      <c r="ABF48" s="153"/>
      <c r="ABG48" s="304"/>
      <c r="ABH48" s="152"/>
      <c r="ABI48" s="131">
        <f>SUM(AAG48:ABH48)</f>
      </c>
      <c r="ABJ48" s="303"/>
      <c r="ABK48" s="304"/>
      <c r="ABL48" s="142">
        <v>0.5</v>
      </c>
      <c r="ABM48" s="138">
        <v>0.5</v>
      </c>
      <c r="ABN48" s="138">
        <v>0.5</v>
      </c>
      <c r="ABO48" s="138">
        <v>0.5</v>
      </c>
      <c r="ABP48" s="138">
        <v>0.5</v>
      </c>
      <c r="ABQ48" s="138">
        <v>0.5</v>
      </c>
      <c r="ABR48" s="138">
        <v>0.5</v>
      </c>
      <c r="ABS48" s="139">
        <v>0.5</v>
      </c>
      <c r="ABT48" s="140">
        <v>0.5</v>
      </c>
      <c r="ABU48" s="138">
        <v>0.5</v>
      </c>
      <c r="ABV48" s="138">
        <v>0.5</v>
      </c>
      <c r="ABW48" s="149">
        <v>0.5</v>
      </c>
      <c r="ABX48" s="136"/>
      <c r="ABY48" s="137"/>
      <c r="ABZ48" s="137"/>
      <c r="ACA48" s="137"/>
      <c r="ACB48" s="137"/>
      <c r="ACC48" s="137"/>
      <c r="ACD48" s="137"/>
      <c r="ACE48" s="137"/>
      <c r="ACF48" s="137"/>
      <c r="ACG48" s="137"/>
      <c r="ACH48" s="137"/>
      <c r="ACI48" s="153"/>
      <c r="ACJ48" s="304"/>
      <c r="ACK48" s="152"/>
      <c r="ACL48" s="131">
        <f>SUM(ABJ48:ACK48)</f>
      </c>
      <c r="ACM48" s="300"/>
      <c r="ACN48" s="301"/>
      <c r="ACO48" s="123"/>
      <c r="ACP48" s="124"/>
      <c r="ACQ48" s="124"/>
      <c r="ACR48" s="124"/>
      <c r="ACS48" s="124"/>
      <c r="ACT48" s="124"/>
      <c r="ACU48" s="124"/>
      <c r="ACV48" s="125"/>
      <c r="ACW48" s="126"/>
      <c r="ACX48" s="124"/>
      <c r="ACY48" s="124"/>
      <c r="ACZ48" s="127"/>
      <c r="ADA48" s="123"/>
      <c r="ADB48" s="124"/>
      <c r="ADC48" s="124"/>
      <c r="ADD48" s="124"/>
      <c r="ADE48" s="124"/>
      <c r="ADF48" s="124"/>
      <c r="ADG48" s="124"/>
      <c r="ADH48" s="124"/>
      <c r="ADI48" s="124"/>
      <c r="ADJ48" s="124"/>
      <c r="ADK48" s="124"/>
      <c r="ADL48" s="125"/>
      <c r="ADM48" s="301"/>
      <c r="ADN48" s="151"/>
      <c r="ADO48" s="131">
        <f>SUM(ACM48:ADN48)</f>
      </c>
      <c r="ADP48" s="300"/>
      <c r="ADQ48" s="301"/>
      <c r="ADR48" s="123"/>
      <c r="ADS48" s="124"/>
      <c r="ADT48" s="124"/>
      <c r="ADU48" s="124"/>
      <c r="ADV48" s="124"/>
      <c r="ADW48" s="124"/>
      <c r="ADX48" s="124"/>
      <c r="ADY48" s="125"/>
      <c r="ADZ48" s="126"/>
      <c r="AEA48" s="124"/>
      <c r="AEB48" s="124"/>
      <c r="AEC48" s="127"/>
      <c r="AED48" s="123"/>
      <c r="AEE48" s="124"/>
      <c r="AEF48" s="124"/>
      <c r="AEG48" s="124"/>
      <c r="AEH48" s="124"/>
      <c r="AEI48" s="124"/>
      <c r="AEJ48" s="124"/>
      <c r="AEK48" s="124"/>
      <c r="AEL48" s="124"/>
      <c r="AEM48" s="124"/>
      <c r="AEN48" s="124"/>
      <c r="AEO48" s="125"/>
      <c r="AEP48" s="301"/>
      <c r="AEQ48" s="151"/>
      <c r="AER48" s="131">
        <f>SUM(ADP48:AEQ48)</f>
      </c>
      <c r="AES48" s="150">
        <f>XZ48+ZC48+AAF48+ABI48+ACL48+ADO48+AER48</f>
      </c>
      <c r="AET48" s="302">
        <f>(COUNTIF(WX48:AER48,"H")+COUNTIF(WX48:AER48,"S")+COUNTIF(WX48:AER48,"L")+COUNTIF(WX48:AER48,"E")+COUNTIF(WX48:AER48,"C"))/2</f>
      </c>
      <c r="AEU48" s="131">
        <f>AES48+AET48</f>
      </c>
      <c r="AEV48" s="303"/>
      <c r="AEW48" s="304"/>
      <c r="AEX48" s="136"/>
      <c r="AEY48" s="138">
        <v>0.5</v>
      </c>
      <c r="AEZ48" s="138">
        <v>0.5</v>
      </c>
      <c r="AFA48" s="138">
        <v>0.5</v>
      </c>
      <c r="AFB48" s="138">
        <v>0.5</v>
      </c>
      <c r="AFC48" s="138">
        <v>0.5</v>
      </c>
      <c r="AFD48" s="138">
        <v>0.5</v>
      </c>
      <c r="AFE48" s="139">
        <v>0.5</v>
      </c>
      <c r="AFF48" s="140">
        <v>0.5</v>
      </c>
      <c r="AFG48" s="138">
        <v>0.5</v>
      </c>
      <c r="AFH48" s="148"/>
      <c r="AFI48" s="305"/>
      <c r="AFJ48" s="142">
        <v>0.5</v>
      </c>
      <c r="AFK48" s="138">
        <v>0.5</v>
      </c>
      <c r="AFL48" s="138">
        <v>0.5</v>
      </c>
      <c r="AFM48" s="138">
        <v>0.5</v>
      </c>
      <c r="AFN48" s="138">
        <v>0.5</v>
      </c>
      <c r="AFO48" s="138">
        <v>0.5</v>
      </c>
      <c r="AFP48" s="138">
        <v>0.5</v>
      </c>
      <c r="AFQ48" s="138">
        <v>0.5</v>
      </c>
      <c r="AFR48" s="137"/>
      <c r="AFS48" s="137"/>
      <c r="AFT48" s="137"/>
      <c r="AFU48" s="153"/>
      <c r="AFV48" s="304"/>
      <c r="AFW48" s="152"/>
      <c r="AFX48" s="131">
        <f>SUM(AEV48:AFW48)</f>
      </c>
      <c r="AFY48" s="303"/>
      <c r="AFZ48" s="304"/>
      <c r="AGA48" s="136"/>
      <c r="AGB48" s="138">
        <v>0.5</v>
      </c>
      <c r="AGC48" s="138">
        <v>0.5</v>
      </c>
      <c r="AGD48" s="138">
        <v>0.5</v>
      </c>
      <c r="AGE48" s="138">
        <v>0.5</v>
      </c>
      <c r="AGF48" s="138">
        <v>0.5</v>
      </c>
      <c r="AGG48" s="138">
        <v>0.5</v>
      </c>
      <c r="AGH48" s="139">
        <v>0.5</v>
      </c>
      <c r="AGI48" s="140">
        <v>0.5</v>
      </c>
      <c r="AGJ48" s="138">
        <v>0.5</v>
      </c>
      <c r="AGK48" s="148"/>
      <c r="AGL48" s="305"/>
      <c r="AGM48" s="142">
        <v>0.5</v>
      </c>
      <c r="AGN48" s="138">
        <v>0.5</v>
      </c>
      <c r="AGO48" s="138">
        <v>0.5</v>
      </c>
      <c r="AGP48" s="138">
        <v>0.5</v>
      </c>
      <c r="AGQ48" s="138">
        <v>0.5</v>
      </c>
      <c r="AGR48" s="138">
        <v>0.5</v>
      </c>
      <c r="AGS48" s="138">
        <v>0.5</v>
      </c>
      <c r="AGT48" s="138">
        <v>0.5</v>
      </c>
      <c r="AGU48" s="137"/>
      <c r="AGV48" s="137"/>
      <c r="AGW48" s="137"/>
      <c r="AGX48" s="153"/>
      <c r="AGY48" s="304"/>
      <c r="AGZ48" s="152"/>
      <c r="AHA48" s="131">
        <f>SUM(AFY48:AGZ48)</f>
      </c>
      <c r="AHB48" s="303"/>
      <c r="AHC48" s="304"/>
      <c r="AHD48" s="136"/>
      <c r="AHE48" s="138">
        <v>0.5</v>
      </c>
      <c r="AHF48" s="138">
        <v>0.5</v>
      </c>
      <c r="AHG48" s="138">
        <v>0.5</v>
      </c>
      <c r="AHH48" s="138">
        <v>0.5</v>
      </c>
      <c r="AHI48" s="138">
        <v>0.5</v>
      </c>
      <c r="AHJ48" s="138">
        <v>0.5</v>
      </c>
      <c r="AHK48" s="139">
        <v>0.5</v>
      </c>
      <c r="AHL48" s="140">
        <v>0.5</v>
      </c>
      <c r="AHM48" s="138">
        <v>0.5</v>
      </c>
      <c r="AHN48" s="148"/>
      <c r="AHO48" s="305"/>
      <c r="AHP48" s="142">
        <v>0.5</v>
      </c>
      <c r="AHQ48" s="138">
        <v>0.5</v>
      </c>
      <c r="AHR48" s="138">
        <v>0.5</v>
      </c>
      <c r="AHS48" s="138">
        <v>0.5</v>
      </c>
      <c r="AHT48" s="138">
        <v>0.5</v>
      </c>
      <c r="AHU48" s="138">
        <v>0.5</v>
      </c>
      <c r="AHV48" s="138">
        <v>0.5</v>
      </c>
      <c r="AHW48" s="138">
        <v>0.5</v>
      </c>
      <c r="AHX48" s="137"/>
      <c r="AHY48" s="137"/>
      <c r="AHZ48" s="137"/>
      <c r="AIA48" s="153"/>
      <c r="AIB48" s="304"/>
      <c r="AIC48" s="152"/>
      <c r="AID48" s="131">
        <f>SUM(AHB48:AIC48)</f>
      </c>
      <c r="AIE48" s="303"/>
      <c r="AIF48" s="304"/>
      <c r="AIG48" s="136"/>
      <c r="AIH48" s="138">
        <v>0.5</v>
      </c>
      <c r="AII48" s="138">
        <v>0.5</v>
      </c>
      <c r="AIJ48" s="138">
        <v>0.5</v>
      </c>
      <c r="AIK48" s="138">
        <v>0.5</v>
      </c>
      <c r="AIL48" s="138">
        <v>0.5</v>
      </c>
      <c r="AIM48" s="138">
        <v>0.5</v>
      </c>
      <c r="AIN48" s="139">
        <v>0.5</v>
      </c>
      <c r="AIO48" s="140">
        <v>0.5</v>
      </c>
      <c r="AIP48" s="138">
        <v>0.5</v>
      </c>
      <c r="AIQ48" s="148"/>
      <c r="AIR48" s="305"/>
      <c r="AIS48" s="142">
        <v>0.5</v>
      </c>
      <c r="AIT48" s="138">
        <v>0.5</v>
      </c>
      <c r="AIU48" s="138">
        <v>0.5</v>
      </c>
      <c r="AIV48" s="138">
        <v>0.5</v>
      </c>
      <c r="AIW48" s="138">
        <v>0.5</v>
      </c>
      <c r="AIX48" s="138">
        <v>0.5</v>
      </c>
      <c r="AIY48" s="138">
        <v>0.5</v>
      </c>
      <c r="AIZ48" s="138">
        <v>0.5</v>
      </c>
      <c r="AJA48" s="137"/>
      <c r="AJB48" s="137"/>
      <c r="AJC48" s="137"/>
      <c r="AJD48" s="153"/>
      <c r="AJE48" s="304"/>
      <c r="AJF48" s="152"/>
      <c r="AJG48" s="131">
        <f>SUM(AIE48:AJF48)</f>
      </c>
      <c r="AJH48" s="303"/>
      <c r="AJI48" s="304"/>
      <c r="AJJ48" s="142">
        <v>0.5</v>
      </c>
      <c r="AJK48" s="138">
        <v>0.5</v>
      </c>
      <c r="AJL48" s="138">
        <v>0.5</v>
      </c>
      <c r="AJM48" s="138">
        <v>0.5</v>
      </c>
      <c r="AJN48" s="138">
        <v>0.5</v>
      </c>
      <c r="AJO48" s="138">
        <v>0.5</v>
      </c>
      <c r="AJP48" s="138">
        <v>0.5</v>
      </c>
      <c r="AJQ48" s="139">
        <v>0.5</v>
      </c>
      <c r="AJR48" s="140">
        <v>0.5</v>
      </c>
      <c r="AJS48" s="138">
        <v>0.5</v>
      </c>
      <c r="AJT48" s="138">
        <v>0.5</v>
      </c>
      <c r="AJU48" s="149">
        <v>0.5</v>
      </c>
      <c r="AJV48" s="136"/>
      <c r="AJW48" s="137"/>
      <c r="AJX48" s="137"/>
      <c r="AJY48" s="137"/>
      <c r="AJZ48" s="137"/>
      <c r="AKA48" s="137"/>
      <c r="AKB48" s="137"/>
      <c r="AKC48" s="137"/>
      <c r="AKD48" s="137"/>
      <c r="AKE48" s="137"/>
      <c r="AKF48" s="137"/>
      <c r="AKG48" s="153"/>
      <c r="AKH48" s="304"/>
      <c r="AKI48" s="152"/>
      <c r="AKJ48" s="131">
        <f>SUM(AJH48:AKI48)</f>
      </c>
      <c r="AKK48" s="300"/>
      <c r="AKL48" s="301"/>
      <c r="AKM48" s="123"/>
      <c r="AKN48" s="124"/>
      <c r="AKO48" s="124"/>
      <c r="AKP48" s="124"/>
      <c r="AKQ48" s="124"/>
      <c r="AKR48" s="124"/>
      <c r="AKS48" s="124"/>
      <c r="AKT48" s="125"/>
      <c r="AKU48" s="126"/>
      <c r="AKV48" s="124"/>
      <c r="AKW48" s="124"/>
      <c r="AKX48" s="127"/>
      <c r="AKY48" s="123"/>
      <c r="AKZ48" s="124"/>
      <c r="ALA48" s="124"/>
      <c r="ALB48" s="124"/>
      <c r="ALC48" s="124"/>
      <c r="ALD48" s="124"/>
      <c r="ALE48" s="124"/>
      <c r="ALF48" s="124"/>
      <c r="ALG48" s="124"/>
      <c r="ALH48" s="124"/>
      <c r="ALI48" s="124"/>
      <c r="ALJ48" s="125"/>
      <c r="ALK48" s="301"/>
      <c r="ALL48" s="151"/>
      <c r="ALM48" s="131">
        <f>SUM(AKK48:ALL48)</f>
      </c>
      <c r="ALN48" s="300"/>
      <c r="ALO48" s="301"/>
      <c r="ALP48" s="123"/>
      <c r="ALQ48" s="124"/>
      <c r="ALR48" s="124"/>
      <c r="ALS48" s="124"/>
      <c r="ALT48" s="124"/>
      <c r="ALU48" s="124"/>
      <c r="ALV48" s="124"/>
      <c r="ALW48" s="125"/>
      <c r="ALX48" s="126"/>
      <c r="ALY48" s="124"/>
      <c r="ALZ48" s="124"/>
      <c r="AMA48" s="127"/>
      <c r="AMB48" s="123"/>
      <c r="AMC48" s="124"/>
      <c r="AMD48" s="124"/>
      <c r="AME48" s="124"/>
      <c r="AMF48" s="124"/>
      <c r="AMG48" s="124"/>
      <c r="AMH48" s="124"/>
      <c r="AMI48" s="124"/>
      <c r="AMJ48" s="124"/>
      <c r="AMK48" s="124"/>
      <c r="AML48" s="124"/>
      <c r="AMM48" s="125"/>
      <c r="AMN48" s="301"/>
      <c r="AMO48" s="151"/>
      <c r="AMP48" s="131">
        <f>SUM(ALN48:AMO48)</f>
      </c>
      <c r="AMQ48" s="150">
        <f>AFX48+AHA48+AID48+AJG48+AKJ48+ALM48+AMP48</f>
      </c>
      <c r="AMR48" s="302">
        <f>(COUNTIF(AEV48:AMP48,"H")+COUNTIF(AEV48:AMP48,"S")+COUNTIF(AEV48:AMP48,"L")+COUNTIF(AEV48:AMP48,"E")+COUNTIF(AEV48:AMP48,"C"))/2</f>
      </c>
      <c r="AMS48" s="131">
        <f>AMQ48+AMR48</f>
      </c>
      <c r="AMT48" s="4"/>
      <c r="AMU48" s="4"/>
      <c r="AMV48" s="4"/>
      <c r="AMW48" s="4"/>
      <c r="AMX48" s="4"/>
      <c r="AMY48" s="4"/>
      <c r="AMZ48" s="4"/>
      <c r="ANA48" s="4"/>
      <c r="ANB48" s="4"/>
      <c r="ANC48" s="4"/>
      <c r="AND48" s="4"/>
      <c r="ANE48" s="4"/>
      <c r="ANF48" s="4"/>
      <c r="ANG48" s="4"/>
      <c r="ANH48" s="4"/>
      <c r="ANI48" s="4"/>
      <c r="ANJ48" s="13"/>
      <c r="ANK48" s="13"/>
      <c r="ANL48" s="4"/>
      <c r="ANM48" s="4"/>
      <c r="ANN48" s="4"/>
      <c r="ANO48" s="4"/>
      <c r="ANP48" s="4"/>
      <c r="ANQ48" s="4"/>
      <c r="ANR48" s="4"/>
      <c r="ANS48" s="4"/>
      <c r="ANT48" s="4"/>
      <c r="ANU48" s="4"/>
      <c r="ANV48" s="4"/>
      <c r="ANW48" s="4"/>
      <c r="ANX48" s="4"/>
      <c r="ANY48" s="4"/>
      <c r="ANZ48" s="4"/>
      <c r="AOA48" s="4"/>
      <c r="AOB48" s="4"/>
      <c r="AOC48" s="4"/>
      <c r="AOD48" s="4"/>
      <c r="AOE48" s="4"/>
      <c r="AOF48" s="4"/>
      <c r="AOG48" s="4"/>
      <c r="AOH48" s="4"/>
      <c r="AOI48" s="4"/>
      <c r="AOJ48" s="4"/>
      <c r="AOK48" s="4"/>
      <c r="AOL48" s="4"/>
      <c r="AOM48" s="4"/>
      <c r="AON48" s="4"/>
      <c r="AOO48" s="4"/>
      <c r="AOP48" s="4"/>
      <c r="AOQ48" s="4"/>
      <c r="AOR48" s="4"/>
      <c r="AOS48" s="4"/>
      <c r="AOT48" s="4"/>
      <c r="AOU48" s="4"/>
      <c r="AOV48" s="4"/>
      <c r="AOW48" s="4"/>
      <c r="AOX48" s="4"/>
      <c r="AOY48" s="4"/>
      <c r="AOZ48" s="4"/>
      <c r="APA48" s="4"/>
      <c r="APB48" s="4"/>
      <c r="APC48" s="4"/>
      <c r="APD48" s="4"/>
      <c r="APE48" s="4"/>
      <c r="APF48" s="4"/>
      <c r="APG48" s="4"/>
      <c r="APH48" s="4"/>
      <c r="API48" s="4"/>
      <c r="APJ48" s="4"/>
      <c r="APK48" s="4"/>
      <c r="APL48" s="4"/>
      <c r="APM48" s="4"/>
      <c r="APN48" s="4"/>
      <c r="APO48" s="4"/>
      <c r="APP48" s="4"/>
      <c r="APQ48" s="4"/>
      <c r="APR48" s="4"/>
      <c r="APS48" s="4"/>
      <c r="APT48" s="4"/>
      <c r="APU48" s="4"/>
      <c r="APV48" s="4"/>
      <c r="APW48" s="4"/>
      <c r="APX48" s="4"/>
      <c r="APY48" s="4"/>
      <c r="APZ48" s="4"/>
      <c r="AQA48" s="4"/>
      <c r="AQB48" s="4"/>
      <c r="AQC48" s="4"/>
      <c r="AQD48" s="4"/>
      <c r="AQE48" s="4"/>
      <c r="AQF48" s="4"/>
      <c r="AQG48" s="4"/>
      <c r="AQH48" s="4"/>
      <c r="AQI48" s="4"/>
      <c r="AQJ48" s="4"/>
      <c r="AQK48" s="4"/>
      <c r="AQL48" s="4"/>
      <c r="AQM48" s="4"/>
      <c r="AQN48" s="4"/>
      <c r="AQO48" s="4"/>
      <c r="AQP48" s="4"/>
      <c r="AQQ48" s="4"/>
      <c r="AQR48" s="4"/>
      <c r="AQS48" s="4"/>
      <c r="AQT48" s="4"/>
      <c r="AQU48" s="4"/>
      <c r="AQV48" s="4"/>
      <c r="AQW48" s="4"/>
      <c r="AQX48" s="4"/>
      <c r="AQY48" s="4"/>
      <c r="AQZ48" s="4"/>
      <c r="ARA48" s="4"/>
      <c r="ARB48" s="4"/>
      <c r="ARC48" s="4"/>
      <c r="ARD48" s="4"/>
      <c r="ARE48" s="4"/>
      <c r="ARF48" s="4"/>
      <c r="ARG48" s="4"/>
      <c r="ARH48" s="4"/>
      <c r="ARI48" s="4"/>
      <c r="ARJ48" s="4"/>
      <c r="ARK48" s="4"/>
      <c r="ARL48" s="4"/>
      <c r="ARM48" s="4"/>
      <c r="ARN48" s="4"/>
      <c r="ARO48" s="4"/>
      <c r="ARP48" s="4"/>
      <c r="ARQ48" s="4"/>
      <c r="ARR48" s="4"/>
      <c r="ARS48" s="4"/>
      <c r="ART48" s="4"/>
      <c r="ARU48" s="4"/>
      <c r="ARV48" s="4"/>
      <c r="ARW48" s="4"/>
      <c r="ARX48" s="4"/>
      <c r="ARY48" s="4"/>
      <c r="ARZ48" s="4"/>
      <c r="ASA48" s="4"/>
      <c r="ASB48" s="4"/>
      <c r="ASC48" s="4"/>
      <c r="ASD48" s="4"/>
      <c r="ASE48" s="4"/>
      <c r="ASF48" s="4"/>
      <c r="ASG48" s="4"/>
      <c r="ASH48" s="4"/>
      <c r="ASI48" s="4"/>
      <c r="ASJ48" s="4"/>
      <c r="ASK48" s="4"/>
      <c r="ASL48" s="4"/>
      <c r="ASM48" s="4"/>
      <c r="ASN48" s="4"/>
      <c r="ASO48" s="4"/>
      <c r="ASP48" s="4"/>
      <c r="ASQ48" s="4"/>
      <c r="ASR48" s="4"/>
      <c r="ASS48" s="4"/>
      <c r="AST48" s="4"/>
      <c r="ASU48" s="4"/>
    </row>
    <row r="49" ht="15" customHeight="1" spans="1:1191" x14ac:dyDescent="0.25">
      <c r="A49" s="118"/>
      <c r="B49" s="230" t="s">
        <v>88</v>
      </c>
      <c r="C49" s="289" t="s">
        <v>55</v>
      </c>
      <c r="D49" s="121"/>
      <c r="E49" s="122"/>
      <c r="F49" s="123"/>
      <c r="G49" s="124"/>
      <c r="H49" s="124"/>
      <c r="I49" s="124"/>
      <c r="J49" s="124"/>
      <c r="K49" s="124"/>
      <c r="L49" s="124"/>
      <c r="M49" s="125"/>
      <c r="N49" s="126"/>
      <c r="O49" s="124"/>
      <c r="P49" s="124"/>
      <c r="Q49" s="127"/>
      <c r="R49" s="123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5"/>
      <c r="AD49" s="301"/>
      <c r="AE49" s="151"/>
      <c r="AF49" s="131">
        <f>SUM(D49:AE49)</f>
      </c>
      <c r="AG49" s="121"/>
      <c r="AH49" s="122"/>
      <c r="AI49" s="123"/>
      <c r="AJ49" s="124"/>
      <c r="AK49" s="124"/>
      <c r="AL49" s="124"/>
      <c r="AM49" s="124"/>
      <c r="AN49" s="124"/>
      <c r="AO49" s="124"/>
      <c r="AP49" s="125"/>
      <c r="AQ49" s="126"/>
      <c r="AR49" s="124"/>
      <c r="AS49" s="124"/>
      <c r="AT49" s="127"/>
      <c r="AU49" s="123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5"/>
      <c r="BG49" s="301"/>
      <c r="BH49" s="151"/>
      <c r="BI49" s="131">
        <f>SUM(AG49:BH49)</f>
      </c>
      <c r="BJ49" s="121"/>
      <c r="BK49" s="122"/>
      <c r="BL49" s="123"/>
      <c r="BM49" s="124"/>
      <c r="BN49" s="124"/>
      <c r="BO49" s="124"/>
      <c r="BP49" s="124"/>
      <c r="BQ49" s="124"/>
      <c r="BR49" s="124"/>
      <c r="BS49" s="125"/>
      <c r="BT49" s="126"/>
      <c r="BU49" s="124"/>
      <c r="BV49" s="124"/>
      <c r="BW49" s="127"/>
      <c r="BX49" s="123"/>
      <c r="BY49" s="124"/>
      <c r="BZ49" s="124"/>
      <c r="CA49" s="124"/>
      <c r="CB49" s="124"/>
      <c r="CC49" s="124"/>
      <c r="CD49" s="124"/>
      <c r="CE49" s="124"/>
      <c r="CF49" s="124"/>
      <c r="CG49" s="124"/>
      <c r="CH49" s="124"/>
      <c r="CI49" s="125"/>
      <c r="CJ49" s="301"/>
      <c r="CK49" s="151"/>
      <c r="CL49" s="131">
        <f>SUM(BJ49:CK49)</f>
      </c>
      <c r="CM49" s="121"/>
      <c r="CN49" s="122"/>
      <c r="CO49" s="123"/>
      <c r="CP49" s="124"/>
      <c r="CQ49" s="124"/>
      <c r="CR49" s="124"/>
      <c r="CS49" s="124"/>
      <c r="CT49" s="124"/>
      <c r="CU49" s="124"/>
      <c r="CV49" s="125"/>
      <c r="CW49" s="126"/>
      <c r="CX49" s="124"/>
      <c r="CY49" s="124"/>
      <c r="CZ49" s="127"/>
      <c r="DA49" s="123"/>
      <c r="DB49" s="124"/>
      <c r="DC49" s="124"/>
      <c r="DD49" s="124"/>
      <c r="DE49" s="124"/>
      <c r="DF49" s="124"/>
      <c r="DG49" s="124"/>
      <c r="DH49" s="124"/>
      <c r="DI49" s="124"/>
      <c r="DJ49" s="124"/>
      <c r="DK49" s="124"/>
      <c r="DL49" s="125"/>
      <c r="DM49" s="301"/>
      <c r="DN49" s="151"/>
      <c r="DO49" s="131">
        <f>SUM(CM49:DN49)</f>
      </c>
      <c r="DP49" s="121"/>
      <c r="DQ49" s="122"/>
      <c r="DR49" s="123"/>
      <c r="DS49" s="124"/>
      <c r="DT49" s="124"/>
      <c r="DU49" s="124"/>
      <c r="DV49" s="124"/>
      <c r="DW49" s="124"/>
      <c r="DX49" s="124"/>
      <c r="DY49" s="125"/>
      <c r="DZ49" s="126"/>
      <c r="EA49" s="124"/>
      <c r="EB49" s="124"/>
      <c r="EC49" s="127"/>
      <c r="ED49" s="123"/>
      <c r="EE49" s="124"/>
      <c r="EF49" s="124"/>
      <c r="EG49" s="124"/>
      <c r="EH49" s="124"/>
      <c r="EI49" s="124"/>
      <c r="EJ49" s="124"/>
      <c r="EK49" s="124"/>
      <c r="EL49" s="124"/>
      <c r="EM49" s="124"/>
      <c r="EN49" s="124"/>
      <c r="EO49" s="125"/>
      <c r="EP49" s="301"/>
      <c r="EQ49" s="151"/>
      <c r="ER49" s="131">
        <f>SUM(DP49:EQ49)</f>
      </c>
      <c r="ES49" s="121"/>
      <c r="ET49" s="122"/>
      <c r="EU49" s="123"/>
      <c r="EV49" s="124"/>
      <c r="EW49" s="124"/>
      <c r="EX49" s="124"/>
      <c r="EY49" s="124"/>
      <c r="EZ49" s="124"/>
      <c r="FA49" s="124"/>
      <c r="FB49" s="125"/>
      <c r="FC49" s="126"/>
      <c r="FD49" s="124"/>
      <c r="FE49" s="124"/>
      <c r="FF49" s="127"/>
      <c r="FG49" s="123"/>
      <c r="FH49" s="124"/>
      <c r="FI49" s="124"/>
      <c r="FJ49" s="124"/>
      <c r="FK49" s="124"/>
      <c r="FL49" s="124"/>
      <c r="FM49" s="124"/>
      <c r="FN49" s="124"/>
      <c r="FO49" s="124"/>
      <c r="FP49" s="124"/>
      <c r="FQ49" s="124"/>
      <c r="FR49" s="125"/>
      <c r="FS49" s="301"/>
      <c r="FT49" s="151"/>
      <c r="FU49" s="131">
        <f>SUM(ES49:FT49)</f>
      </c>
      <c r="FV49" s="121"/>
      <c r="FW49" s="122"/>
      <c r="FX49" s="123"/>
      <c r="FY49" s="124"/>
      <c r="FZ49" s="124"/>
      <c r="GA49" s="124"/>
      <c r="GB49" s="124"/>
      <c r="GC49" s="124"/>
      <c r="GD49" s="124"/>
      <c r="GE49" s="125"/>
      <c r="GF49" s="126"/>
      <c r="GG49" s="124"/>
      <c r="GH49" s="124"/>
      <c r="GI49" s="127"/>
      <c r="GJ49" s="123"/>
      <c r="GK49" s="124"/>
      <c r="GL49" s="124"/>
      <c r="GM49" s="124"/>
      <c r="GN49" s="124"/>
      <c r="GO49" s="124"/>
      <c r="GP49" s="124"/>
      <c r="GQ49" s="124"/>
      <c r="GR49" s="124"/>
      <c r="GS49" s="124"/>
      <c r="GT49" s="124"/>
      <c r="GU49" s="125"/>
      <c r="GV49" s="301"/>
      <c r="GW49" s="151"/>
      <c r="GX49" s="131">
        <f>SUM(FV49:GW49)</f>
      </c>
      <c r="GY49" s="150">
        <f>AF49+BI49+CL49+DO49+ER49+FU49+GX49</f>
      </c>
      <c r="GZ49" s="302">
        <f>(COUNTIF(D49:GX49,"H")+COUNTIF(D49:GX49,"S")+COUNTIF(D49:GX49,"L")+COUNTIF(D49:GX49,"E")+COUNTIF(D49:GX49,"C"))/2</f>
      </c>
      <c r="HA49" s="131">
        <f>GY49+GZ49</f>
      </c>
      <c r="HB49" s="134"/>
      <c r="HC49" s="135"/>
      <c r="HD49" s="136"/>
      <c r="HE49" s="137"/>
      <c r="HF49" s="143">
        <v>0.5</v>
      </c>
      <c r="HG49" s="143">
        <v>0.5</v>
      </c>
      <c r="HH49" s="143">
        <v>0.5</v>
      </c>
      <c r="HI49" s="143">
        <v>0.5</v>
      </c>
      <c r="HJ49" s="138">
        <v>0.5</v>
      </c>
      <c r="HK49" s="139">
        <v>0.5</v>
      </c>
      <c r="HL49" s="155"/>
      <c r="HM49" s="137"/>
      <c r="HN49" s="138">
        <v>0.5</v>
      </c>
      <c r="HO49" s="149">
        <v>0.5</v>
      </c>
      <c r="HP49" s="142">
        <v>0.5</v>
      </c>
      <c r="HQ49" s="138">
        <v>0.5</v>
      </c>
      <c r="HR49" s="143">
        <v>0.5</v>
      </c>
      <c r="HS49" s="143">
        <v>0.5</v>
      </c>
      <c r="HT49" s="143">
        <v>0.5</v>
      </c>
      <c r="HU49" s="143">
        <v>0.5</v>
      </c>
      <c r="HV49" s="143">
        <v>0.5</v>
      </c>
      <c r="HW49" s="143">
        <v>0.5</v>
      </c>
      <c r="HX49" s="143">
        <v>0.5</v>
      </c>
      <c r="HY49" s="137"/>
      <c r="HZ49" s="137"/>
      <c r="IA49" s="153"/>
      <c r="IB49" s="304"/>
      <c r="IC49" s="152"/>
      <c r="ID49" s="131">
        <f>SUM(HB49:IC49)</f>
      </c>
      <c r="IE49" s="134"/>
      <c r="IF49" s="135"/>
      <c r="IG49" s="136"/>
      <c r="IH49" s="137"/>
      <c r="II49" s="143">
        <v>0.5</v>
      </c>
      <c r="IJ49" s="143">
        <v>0.5</v>
      </c>
      <c r="IK49" s="143">
        <v>0.5</v>
      </c>
      <c r="IL49" s="143">
        <v>0.5</v>
      </c>
      <c r="IM49" s="138">
        <v>0.5</v>
      </c>
      <c r="IN49" s="139">
        <v>0.5</v>
      </c>
      <c r="IO49" s="155"/>
      <c r="IP49" s="137"/>
      <c r="IQ49" s="138">
        <v>0.5</v>
      </c>
      <c r="IR49" s="149">
        <v>0.5</v>
      </c>
      <c r="IS49" s="142">
        <v>0.5</v>
      </c>
      <c r="IT49" s="138">
        <v>0.5</v>
      </c>
      <c r="IU49" s="143">
        <v>0.5</v>
      </c>
      <c r="IV49" s="143">
        <v>0.5</v>
      </c>
      <c r="IW49" s="143">
        <v>0.5</v>
      </c>
      <c r="IX49" s="143">
        <v>0.5</v>
      </c>
      <c r="IY49" s="143">
        <v>0.5</v>
      </c>
      <c r="IZ49" s="143">
        <v>0.5</v>
      </c>
      <c r="JA49" s="143">
        <v>0.5</v>
      </c>
      <c r="JB49" s="137"/>
      <c r="JC49" s="137"/>
      <c r="JD49" s="153"/>
      <c r="JE49" s="304"/>
      <c r="JF49" s="152"/>
      <c r="JG49" s="131">
        <f>SUM(IE49:JF49)</f>
      </c>
      <c r="JH49" s="134"/>
      <c r="JI49" s="135"/>
      <c r="JJ49" s="136"/>
      <c r="JK49" s="137"/>
      <c r="JL49" s="143">
        <v>0.5</v>
      </c>
      <c r="JM49" s="143">
        <v>0.5</v>
      </c>
      <c r="JN49" s="143">
        <v>0.5</v>
      </c>
      <c r="JO49" s="143">
        <v>0.5</v>
      </c>
      <c r="JP49" s="138">
        <v>0.5</v>
      </c>
      <c r="JQ49" s="139">
        <v>0.5</v>
      </c>
      <c r="JR49" s="155"/>
      <c r="JS49" s="137"/>
      <c r="JT49" s="138">
        <v>0.5</v>
      </c>
      <c r="JU49" s="149">
        <v>0.5</v>
      </c>
      <c r="JV49" s="142">
        <v>0.5</v>
      </c>
      <c r="JW49" s="138">
        <v>0.5</v>
      </c>
      <c r="JX49" s="143">
        <v>0.5</v>
      </c>
      <c r="JY49" s="143">
        <v>0.5</v>
      </c>
      <c r="JZ49" s="143">
        <v>0.5</v>
      </c>
      <c r="KA49" s="143">
        <v>0.5</v>
      </c>
      <c r="KB49" s="143">
        <v>0.5</v>
      </c>
      <c r="KC49" s="143">
        <v>0.5</v>
      </c>
      <c r="KD49" s="143">
        <v>0.5</v>
      </c>
      <c r="KE49" s="137"/>
      <c r="KF49" s="137"/>
      <c r="KG49" s="153"/>
      <c r="KH49" s="304"/>
      <c r="KI49" s="152"/>
      <c r="KJ49" s="131">
        <f>SUM(JH49:KI49)</f>
      </c>
      <c r="KK49" s="134"/>
      <c r="KL49" s="135"/>
      <c r="KM49" s="136"/>
      <c r="KN49" s="137"/>
      <c r="KO49" s="143">
        <v>0.5</v>
      </c>
      <c r="KP49" s="143">
        <v>0.5</v>
      </c>
      <c r="KQ49" s="143">
        <v>0.5</v>
      </c>
      <c r="KR49" s="143">
        <v>0.5</v>
      </c>
      <c r="KS49" s="138">
        <v>0.5</v>
      </c>
      <c r="KT49" s="139">
        <v>0.5</v>
      </c>
      <c r="KU49" s="155"/>
      <c r="KV49" s="137"/>
      <c r="KW49" s="138">
        <v>0.5</v>
      </c>
      <c r="KX49" s="149">
        <v>0.5</v>
      </c>
      <c r="KY49" s="142">
        <v>0.5</v>
      </c>
      <c r="KZ49" s="138">
        <v>0.5</v>
      </c>
      <c r="LA49" s="143">
        <v>0.5</v>
      </c>
      <c r="LB49" s="143">
        <v>0.5</v>
      </c>
      <c r="LC49" s="143">
        <v>0.5</v>
      </c>
      <c r="LD49" s="143">
        <v>0.5</v>
      </c>
      <c r="LE49" s="143">
        <v>0.5</v>
      </c>
      <c r="LF49" s="143">
        <v>0.5</v>
      </c>
      <c r="LG49" s="143">
        <v>0.5</v>
      </c>
      <c r="LH49" s="137"/>
      <c r="LI49" s="137"/>
      <c r="LJ49" s="153"/>
      <c r="LK49" s="304"/>
      <c r="LL49" s="152"/>
      <c r="LM49" s="131">
        <f>SUM(KK49:LL49)</f>
      </c>
      <c r="LN49" s="134"/>
      <c r="LO49" s="135"/>
      <c r="LP49" s="315" t="s">
        <v>22</v>
      </c>
      <c r="LQ49" s="38" t="s">
        <v>22</v>
      </c>
      <c r="LR49" s="38" t="s">
        <v>22</v>
      </c>
      <c r="LS49" s="38" t="s">
        <v>22</v>
      </c>
      <c r="LT49" s="38" t="s">
        <v>22</v>
      </c>
      <c r="LU49" s="38" t="s">
        <v>22</v>
      </c>
      <c r="LV49" s="38" t="s">
        <v>22</v>
      </c>
      <c r="LW49" s="316" t="s">
        <v>22</v>
      </c>
      <c r="LX49" s="317" t="s">
        <v>22</v>
      </c>
      <c r="LY49" s="38" t="s">
        <v>22</v>
      </c>
      <c r="LZ49" s="38" t="s">
        <v>22</v>
      </c>
      <c r="MA49" s="318" t="s">
        <v>22</v>
      </c>
      <c r="MB49" s="136"/>
      <c r="MC49" s="137"/>
      <c r="MD49" s="137"/>
      <c r="ME49" s="137"/>
      <c r="MF49" s="137"/>
      <c r="MG49" s="137"/>
      <c r="MH49" s="137"/>
      <c r="MI49" s="137"/>
      <c r="MJ49" s="137"/>
      <c r="MK49" s="137"/>
      <c r="ML49" s="137"/>
      <c r="MM49" s="153"/>
      <c r="MN49" s="304"/>
      <c r="MO49" s="152"/>
      <c r="MP49" s="131">
        <f>SUM(LN49:MO49)</f>
      </c>
      <c r="MQ49" s="121"/>
      <c r="MR49" s="122"/>
      <c r="MS49" s="123"/>
      <c r="MT49" s="124"/>
      <c r="MU49" s="124"/>
      <c r="MV49" s="124"/>
      <c r="MW49" s="124"/>
      <c r="MX49" s="124"/>
      <c r="MY49" s="124"/>
      <c r="MZ49" s="125"/>
      <c r="NA49" s="126"/>
      <c r="NB49" s="124"/>
      <c r="NC49" s="124"/>
      <c r="ND49" s="127"/>
      <c r="NE49" s="123"/>
      <c r="NF49" s="124"/>
      <c r="NG49" s="124"/>
      <c r="NH49" s="124"/>
      <c r="NI49" s="124"/>
      <c r="NJ49" s="124"/>
      <c r="NK49" s="124"/>
      <c r="NL49" s="124"/>
      <c r="NM49" s="124"/>
      <c r="NN49" s="124"/>
      <c r="NO49" s="124"/>
      <c r="NP49" s="125"/>
      <c r="NQ49" s="301"/>
      <c r="NR49" s="151"/>
      <c r="NS49" s="131">
        <f>SUM(MQ49:NR49)</f>
      </c>
      <c r="NT49" s="121"/>
      <c r="NU49" s="122"/>
      <c r="NV49" s="123"/>
      <c r="NW49" s="124"/>
      <c r="NX49" s="124"/>
      <c r="NY49" s="124"/>
      <c r="NZ49" s="124"/>
      <c r="OA49" s="124"/>
      <c r="OB49" s="124"/>
      <c r="OC49" s="125"/>
      <c r="OD49" s="126"/>
      <c r="OE49" s="124"/>
      <c r="OF49" s="124"/>
      <c r="OG49" s="127"/>
      <c r="OH49" s="123"/>
      <c r="OI49" s="124"/>
      <c r="OJ49" s="124"/>
      <c r="OK49" s="124"/>
      <c r="OL49" s="124"/>
      <c r="OM49" s="124"/>
      <c r="ON49" s="124"/>
      <c r="OO49" s="124"/>
      <c r="OP49" s="124"/>
      <c r="OQ49" s="124"/>
      <c r="OR49" s="124"/>
      <c r="OS49" s="125"/>
      <c r="OT49" s="301"/>
      <c r="OU49" s="151"/>
      <c r="OV49" s="131">
        <f>SUM(NT49:OU49)</f>
      </c>
      <c r="OW49" s="150">
        <f>ID49+JG49+KJ49+LM49+MP49+NS49+OV49</f>
      </c>
      <c r="OX49" s="302">
        <f>(COUNTIF(HB49:OV49,"H")+COUNTIF(HB49:OV49,"S")+COUNTIF(HB49:OV49,"L")+COUNTIF(HB49:OV49,"E")+COUNTIF(HB49:OV49,"C"))/2</f>
      </c>
      <c r="OY49" s="131">
        <f>OW49+OX49</f>
      </c>
      <c r="OZ49" s="134"/>
      <c r="PA49" s="135"/>
      <c r="PB49" s="136"/>
      <c r="PC49" s="138">
        <v>0.5</v>
      </c>
      <c r="PD49" s="138">
        <v>0.5</v>
      </c>
      <c r="PE49" s="138">
        <v>0.5</v>
      </c>
      <c r="PF49" s="138">
        <v>0.5</v>
      </c>
      <c r="PG49" s="138">
        <v>0.5</v>
      </c>
      <c r="PH49" s="138">
        <v>0.5</v>
      </c>
      <c r="PI49" s="139">
        <v>0.5</v>
      </c>
      <c r="PJ49" s="155"/>
      <c r="PK49" s="137"/>
      <c r="PL49" s="138">
        <v>0.5</v>
      </c>
      <c r="PM49" s="149">
        <v>0.5</v>
      </c>
      <c r="PN49" s="142">
        <v>0.5</v>
      </c>
      <c r="PO49" s="138">
        <v>0.5</v>
      </c>
      <c r="PP49" s="138">
        <v>0.5</v>
      </c>
      <c r="PQ49" s="138">
        <v>0.5</v>
      </c>
      <c r="PR49" s="138">
        <v>0.5</v>
      </c>
      <c r="PS49" s="138">
        <v>0.5</v>
      </c>
      <c r="PT49" s="138">
        <v>0.5</v>
      </c>
      <c r="PU49" s="137"/>
      <c r="PV49" s="137"/>
      <c r="PW49" s="137"/>
      <c r="PX49" s="137"/>
      <c r="PY49" s="153"/>
      <c r="PZ49" s="304"/>
      <c r="QA49" s="152"/>
      <c r="QB49" s="131">
        <f>SUM(OZ49:QA49)</f>
      </c>
      <c r="QC49" s="134"/>
      <c r="QD49" s="135"/>
      <c r="QE49" s="136"/>
      <c r="QF49" s="138">
        <v>0.5</v>
      </c>
      <c r="QG49" s="138">
        <v>0.5</v>
      </c>
      <c r="QH49" s="138">
        <v>0.5</v>
      </c>
      <c r="QI49" s="138">
        <v>0.5</v>
      </c>
      <c r="QJ49" s="138">
        <v>0.5</v>
      </c>
      <c r="QK49" s="138">
        <v>0.5</v>
      </c>
      <c r="QL49" s="139">
        <v>0.5</v>
      </c>
      <c r="QM49" s="155"/>
      <c r="QN49" s="137"/>
      <c r="QO49" s="138">
        <v>0.5</v>
      </c>
      <c r="QP49" s="149">
        <v>0.5</v>
      </c>
      <c r="QQ49" s="142">
        <v>0.5</v>
      </c>
      <c r="QR49" s="138">
        <v>0.5</v>
      </c>
      <c r="QS49" s="138">
        <v>0.5</v>
      </c>
      <c r="QT49" s="138">
        <v>0.5</v>
      </c>
      <c r="QU49" s="138">
        <v>0.5</v>
      </c>
      <c r="QV49" s="138">
        <v>0.5</v>
      </c>
      <c r="QW49" s="138">
        <v>0.5</v>
      </c>
      <c r="QX49" s="137"/>
      <c r="QY49" s="137"/>
      <c r="QZ49" s="137"/>
      <c r="RA49" s="137"/>
      <c r="RB49" s="153"/>
      <c r="RC49" s="304"/>
      <c r="RD49" s="152"/>
      <c r="RE49" s="131">
        <f>SUM(QC49:RD49)</f>
      </c>
      <c r="RF49" s="134"/>
      <c r="RG49" s="135"/>
      <c r="RH49" s="136"/>
      <c r="RI49" s="138">
        <v>0.5</v>
      </c>
      <c r="RJ49" s="138">
        <v>0.5</v>
      </c>
      <c r="RK49" s="138">
        <v>0.5</v>
      </c>
      <c r="RL49" s="138">
        <v>0.5</v>
      </c>
      <c r="RM49" s="138">
        <v>0.5</v>
      </c>
      <c r="RN49" s="138">
        <v>0.5</v>
      </c>
      <c r="RO49" s="139">
        <v>0.5</v>
      </c>
      <c r="RP49" s="155"/>
      <c r="RQ49" s="137"/>
      <c r="RR49" s="138">
        <v>0.5</v>
      </c>
      <c r="RS49" s="149">
        <v>0.5</v>
      </c>
      <c r="RT49" s="142">
        <v>0.5</v>
      </c>
      <c r="RU49" s="138">
        <v>0.5</v>
      </c>
      <c r="RV49" s="138">
        <v>0.5</v>
      </c>
      <c r="RW49" s="138">
        <v>0.5</v>
      </c>
      <c r="RX49" s="138">
        <v>0.5</v>
      </c>
      <c r="RY49" s="138">
        <v>0.5</v>
      </c>
      <c r="RZ49" s="138">
        <v>0.5</v>
      </c>
      <c r="SA49" s="137"/>
      <c r="SB49" s="137"/>
      <c r="SC49" s="137"/>
      <c r="SD49" s="137"/>
      <c r="SE49" s="153"/>
      <c r="SF49" s="304"/>
      <c r="SG49" s="152"/>
      <c r="SH49" s="131">
        <f>SUM(RF49:SG49)</f>
      </c>
      <c r="SI49" s="134"/>
      <c r="SJ49" s="135"/>
      <c r="SK49" s="136"/>
      <c r="SL49" s="138">
        <v>0.5</v>
      </c>
      <c r="SM49" s="138">
        <v>0.5</v>
      </c>
      <c r="SN49" s="138">
        <v>0.5</v>
      </c>
      <c r="SO49" s="138">
        <v>0.5</v>
      </c>
      <c r="SP49" s="138">
        <v>0.5</v>
      </c>
      <c r="SQ49" s="138">
        <v>0.5</v>
      </c>
      <c r="SR49" s="139">
        <v>0.5</v>
      </c>
      <c r="SS49" s="155"/>
      <c r="ST49" s="137"/>
      <c r="SU49" s="138">
        <v>0.5</v>
      </c>
      <c r="SV49" s="149">
        <v>0.5</v>
      </c>
      <c r="SW49" s="142">
        <v>0.5</v>
      </c>
      <c r="SX49" s="138">
        <v>0.5</v>
      </c>
      <c r="SY49" s="138">
        <v>0.5</v>
      </c>
      <c r="SZ49" s="138">
        <v>0.5</v>
      </c>
      <c r="TA49" s="138">
        <v>0.5</v>
      </c>
      <c r="TB49" s="138">
        <v>0.5</v>
      </c>
      <c r="TC49" s="138">
        <v>0.5</v>
      </c>
      <c r="TD49" s="137"/>
      <c r="TE49" s="137"/>
      <c r="TF49" s="137"/>
      <c r="TG49" s="137"/>
      <c r="TH49" s="153"/>
      <c r="TI49" s="304"/>
      <c r="TJ49" s="152"/>
      <c r="TK49" s="131">
        <f>SUM(SI49:TJ49)</f>
      </c>
      <c r="TL49" s="134"/>
      <c r="TM49" s="135"/>
      <c r="TN49" s="136"/>
      <c r="TO49" s="38" t="s">
        <v>22</v>
      </c>
      <c r="TP49" s="38" t="s">
        <v>22</v>
      </c>
      <c r="TQ49" s="38" t="s">
        <v>22</v>
      </c>
      <c r="TR49" s="38" t="s">
        <v>22</v>
      </c>
      <c r="TS49" s="38" t="s">
        <v>22</v>
      </c>
      <c r="TT49" s="38" t="s">
        <v>22</v>
      </c>
      <c r="TU49" s="316" t="s">
        <v>22</v>
      </c>
      <c r="TV49" s="155"/>
      <c r="TW49" s="137"/>
      <c r="TX49" s="38" t="s">
        <v>22</v>
      </c>
      <c r="TY49" s="318" t="s">
        <v>22</v>
      </c>
      <c r="TZ49" s="315" t="s">
        <v>22</v>
      </c>
      <c r="UA49" s="38" t="s">
        <v>22</v>
      </c>
      <c r="UB49" s="38" t="s">
        <v>22</v>
      </c>
      <c r="UC49" s="38" t="s">
        <v>22</v>
      </c>
      <c r="UD49" s="38" t="s">
        <v>22</v>
      </c>
      <c r="UE49" s="38" t="s">
        <v>22</v>
      </c>
      <c r="UF49" s="38" t="s">
        <v>22</v>
      </c>
      <c r="UG49" s="137"/>
      <c r="UH49" s="137"/>
      <c r="UI49" s="137"/>
      <c r="UJ49" s="137"/>
      <c r="UK49" s="153"/>
      <c r="UL49" s="304"/>
      <c r="UM49" s="152"/>
      <c r="UN49" s="131">
        <f>SUM(TL49:UM49)</f>
      </c>
      <c r="UO49" s="121"/>
      <c r="UP49" s="122"/>
      <c r="UQ49" s="123"/>
      <c r="UR49" s="124"/>
      <c r="US49" s="124"/>
      <c r="UT49" s="124"/>
      <c r="UU49" s="124"/>
      <c r="UV49" s="124"/>
      <c r="UW49" s="124"/>
      <c r="UX49" s="125"/>
      <c r="UY49" s="126"/>
      <c r="UZ49" s="124"/>
      <c r="VA49" s="124"/>
      <c r="VB49" s="127"/>
      <c r="VC49" s="123"/>
      <c r="VD49" s="124"/>
      <c r="VE49" s="124"/>
      <c r="VF49" s="124"/>
      <c r="VG49" s="124"/>
      <c r="VH49" s="124"/>
      <c r="VI49" s="124"/>
      <c r="VJ49" s="124"/>
      <c r="VK49" s="124"/>
      <c r="VL49" s="124"/>
      <c r="VM49" s="124"/>
      <c r="VN49" s="125"/>
      <c r="VO49" s="301"/>
      <c r="VP49" s="151"/>
      <c r="VQ49" s="131">
        <f>SUM(UO49:VP49)</f>
      </c>
      <c r="VR49" s="121"/>
      <c r="VS49" s="122"/>
      <c r="VT49" s="123"/>
      <c r="VU49" s="124"/>
      <c r="VV49" s="124"/>
      <c r="VW49" s="124"/>
      <c r="VX49" s="124"/>
      <c r="VY49" s="124"/>
      <c r="VZ49" s="124"/>
      <c r="WA49" s="125"/>
      <c r="WB49" s="126"/>
      <c r="WC49" s="124"/>
      <c r="WD49" s="124"/>
      <c r="WE49" s="127"/>
      <c r="WF49" s="123"/>
      <c r="WG49" s="124"/>
      <c r="WH49" s="124"/>
      <c r="WI49" s="124"/>
      <c r="WJ49" s="124"/>
      <c r="WK49" s="124"/>
      <c r="WL49" s="124"/>
      <c r="WM49" s="124"/>
      <c r="WN49" s="124"/>
      <c r="WO49" s="124"/>
      <c r="WP49" s="124"/>
      <c r="WQ49" s="125"/>
      <c r="WR49" s="301"/>
      <c r="WS49" s="151"/>
      <c r="WT49" s="131">
        <f>SUM(VR49:WS49)</f>
      </c>
      <c r="WU49" s="150">
        <f>QB49+RE49+SH49+TK49+UN49+VQ49+WT49</f>
      </c>
      <c r="WV49" s="302">
        <f>(COUNTIF(OZ49:WT49,"H")+COUNTIF(OZ49:WT49,"S")+COUNTIF(OZ49:WT49,"L")+COUNTIF(OZ49:WT49,"E")+COUNTIF(OZ49:WT49,"C"))/2</f>
      </c>
      <c r="WW49" s="131">
        <f>WU49+WV49</f>
      </c>
      <c r="WX49" s="134"/>
      <c r="WY49" s="135"/>
      <c r="WZ49" s="339">
        <v>0.5</v>
      </c>
      <c r="XA49" s="143">
        <v>0.5</v>
      </c>
      <c r="XB49" s="143">
        <v>0.5</v>
      </c>
      <c r="XC49" s="143">
        <v>0.5</v>
      </c>
      <c r="XD49" s="143">
        <v>0.5</v>
      </c>
      <c r="XE49" s="143">
        <v>0.5</v>
      </c>
      <c r="XF49" s="143">
        <v>0.5</v>
      </c>
      <c r="XG49" s="154">
        <v>0.5</v>
      </c>
      <c r="XH49" s="155"/>
      <c r="XI49" s="137"/>
      <c r="XJ49" s="143">
        <v>0.5</v>
      </c>
      <c r="XK49" s="340">
        <v>0.5</v>
      </c>
      <c r="XL49" s="339">
        <v>0.5</v>
      </c>
      <c r="XM49" s="143">
        <v>0.5</v>
      </c>
      <c r="XN49" s="143">
        <v>0.5</v>
      </c>
      <c r="XO49" s="143">
        <v>0.5</v>
      </c>
      <c r="XP49" s="143">
        <v>0.5</v>
      </c>
      <c r="XQ49" s="143">
        <v>0.5</v>
      </c>
      <c r="XR49" s="143">
        <v>0.5</v>
      </c>
      <c r="XS49" s="137"/>
      <c r="XT49" s="137"/>
      <c r="XU49" s="137"/>
      <c r="XV49" s="137"/>
      <c r="XW49" s="153"/>
      <c r="XX49" s="304"/>
      <c r="XY49" s="152"/>
      <c r="XZ49" s="131">
        <f>SUM(WX49:XY49)</f>
      </c>
      <c r="YA49" s="134"/>
      <c r="YB49" s="135"/>
      <c r="YC49" s="339">
        <v>0.5</v>
      </c>
      <c r="YD49" s="143">
        <v>0.5</v>
      </c>
      <c r="YE49" s="143">
        <v>0.5</v>
      </c>
      <c r="YF49" s="143">
        <v>0.5</v>
      </c>
      <c r="YG49" s="143">
        <v>0.5</v>
      </c>
      <c r="YH49" s="143">
        <v>0.5</v>
      </c>
      <c r="YI49" s="143">
        <v>0.5</v>
      </c>
      <c r="YJ49" s="154">
        <v>0.5</v>
      </c>
      <c r="YK49" s="155"/>
      <c r="YL49" s="137"/>
      <c r="YM49" s="143">
        <v>0.5</v>
      </c>
      <c r="YN49" s="340">
        <v>0.5</v>
      </c>
      <c r="YO49" s="339">
        <v>0.5</v>
      </c>
      <c r="YP49" s="143">
        <v>0.5</v>
      </c>
      <c r="YQ49" s="143">
        <v>0.5</v>
      </c>
      <c r="YR49" s="143">
        <v>0.5</v>
      </c>
      <c r="YS49" s="143">
        <v>0.5</v>
      </c>
      <c r="YT49" s="143">
        <v>0.5</v>
      </c>
      <c r="YU49" s="143">
        <v>0.5</v>
      </c>
      <c r="YV49" s="137"/>
      <c r="YW49" s="137"/>
      <c r="YX49" s="137"/>
      <c r="YY49" s="137"/>
      <c r="YZ49" s="153"/>
      <c r="ZA49" s="304"/>
      <c r="ZB49" s="152"/>
      <c r="ZC49" s="131">
        <f>SUM(YA49:ZB49)</f>
      </c>
      <c r="ZD49" s="134"/>
      <c r="ZE49" s="135"/>
      <c r="ZF49" s="339">
        <v>0.5</v>
      </c>
      <c r="ZG49" s="143">
        <v>0.5</v>
      </c>
      <c r="ZH49" s="143">
        <v>0.5</v>
      </c>
      <c r="ZI49" s="143">
        <v>0.5</v>
      </c>
      <c r="ZJ49" s="143">
        <v>0.5</v>
      </c>
      <c r="ZK49" s="143">
        <v>0.5</v>
      </c>
      <c r="ZL49" s="143">
        <v>0.5</v>
      </c>
      <c r="ZM49" s="154">
        <v>0.5</v>
      </c>
      <c r="ZN49" s="155"/>
      <c r="ZO49" s="137"/>
      <c r="ZP49" s="143">
        <v>0.5</v>
      </c>
      <c r="ZQ49" s="340">
        <v>0.5</v>
      </c>
      <c r="ZR49" s="339">
        <v>0.5</v>
      </c>
      <c r="ZS49" s="143">
        <v>0.5</v>
      </c>
      <c r="ZT49" s="143">
        <v>0.5</v>
      </c>
      <c r="ZU49" s="143">
        <v>0.5</v>
      </c>
      <c r="ZV49" s="143">
        <v>0.5</v>
      </c>
      <c r="ZW49" s="143">
        <v>0.5</v>
      </c>
      <c r="ZX49" s="143">
        <v>0.5</v>
      </c>
      <c r="ZY49" s="137"/>
      <c r="ZZ49" s="137"/>
      <c r="AAA49" s="137"/>
      <c r="AAB49" s="137"/>
      <c r="AAC49" s="153"/>
      <c r="AAD49" s="304"/>
      <c r="AAE49" s="152"/>
      <c r="AAF49" s="131">
        <f>SUM(ZD49:AAE49)</f>
      </c>
      <c r="AAG49" s="134"/>
      <c r="AAH49" s="135"/>
      <c r="AAI49" s="339">
        <v>0.5</v>
      </c>
      <c r="AAJ49" s="143">
        <v>0.5</v>
      </c>
      <c r="AAK49" s="143">
        <v>0.5</v>
      </c>
      <c r="AAL49" s="143">
        <v>0.5</v>
      </c>
      <c r="AAM49" s="143">
        <v>0.5</v>
      </c>
      <c r="AAN49" s="143">
        <v>0.5</v>
      </c>
      <c r="AAO49" s="143">
        <v>0.5</v>
      </c>
      <c r="AAP49" s="154">
        <v>0.5</v>
      </c>
      <c r="AAQ49" s="155"/>
      <c r="AAR49" s="137"/>
      <c r="AAS49" s="143">
        <v>0.5</v>
      </c>
      <c r="AAT49" s="340">
        <v>0.5</v>
      </c>
      <c r="AAU49" s="339">
        <v>0.5</v>
      </c>
      <c r="AAV49" s="143">
        <v>0.5</v>
      </c>
      <c r="AAW49" s="143">
        <v>0.5</v>
      </c>
      <c r="AAX49" s="143">
        <v>0.5</v>
      </c>
      <c r="AAY49" s="143">
        <v>0.5</v>
      </c>
      <c r="AAZ49" s="143">
        <v>0.5</v>
      </c>
      <c r="ABA49" s="143">
        <v>0.5</v>
      </c>
      <c r="ABB49" s="137"/>
      <c r="ABC49" s="137"/>
      <c r="ABD49" s="137"/>
      <c r="ABE49" s="137"/>
      <c r="ABF49" s="153"/>
      <c r="ABG49" s="304"/>
      <c r="ABH49" s="152"/>
      <c r="ABI49" s="131">
        <f>SUM(AAG49:ABH49)</f>
      </c>
      <c r="ABJ49" s="134"/>
      <c r="ABK49" s="135"/>
      <c r="ABL49" s="315" t="s">
        <v>22</v>
      </c>
      <c r="ABM49" s="38" t="s">
        <v>22</v>
      </c>
      <c r="ABN49" s="38" t="s">
        <v>22</v>
      </c>
      <c r="ABO49" s="38" t="s">
        <v>22</v>
      </c>
      <c r="ABP49" s="38" t="s">
        <v>22</v>
      </c>
      <c r="ABQ49" s="38" t="s">
        <v>22</v>
      </c>
      <c r="ABR49" s="38" t="s">
        <v>22</v>
      </c>
      <c r="ABS49" s="316" t="s">
        <v>22</v>
      </c>
      <c r="ABT49" s="317" t="s">
        <v>22</v>
      </c>
      <c r="ABU49" s="38" t="s">
        <v>22</v>
      </c>
      <c r="ABV49" s="38" t="s">
        <v>22</v>
      </c>
      <c r="ABW49" s="318" t="s">
        <v>22</v>
      </c>
      <c r="ABX49" s="136"/>
      <c r="ABY49" s="137"/>
      <c r="ABZ49" s="137"/>
      <c r="ACA49" s="137"/>
      <c r="ACB49" s="137"/>
      <c r="ACC49" s="137"/>
      <c r="ACD49" s="137"/>
      <c r="ACE49" s="137"/>
      <c r="ACF49" s="137"/>
      <c r="ACG49" s="137"/>
      <c r="ACH49" s="137"/>
      <c r="ACI49" s="153"/>
      <c r="ACJ49" s="304"/>
      <c r="ACK49" s="152"/>
      <c r="ACL49" s="131">
        <f>SUM(ABJ49:ACK49)</f>
      </c>
      <c r="ACM49" s="121"/>
      <c r="ACN49" s="122"/>
      <c r="ACO49" s="123"/>
      <c r="ACP49" s="124"/>
      <c r="ACQ49" s="124"/>
      <c r="ACR49" s="124"/>
      <c r="ACS49" s="124"/>
      <c r="ACT49" s="124"/>
      <c r="ACU49" s="124"/>
      <c r="ACV49" s="125"/>
      <c r="ACW49" s="126"/>
      <c r="ACX49" s="124"/>
      <c r="ACY49" s="124"/>
      <c r="ACZ49" s="127"/>
      <c r="ADA49" s="123"/>
      <c r="ADB49" s="124"/>
      <c r="ADC49" s="124"/>
      <c r="ADD49" s="124"/>
      <c r="ADE49" s="124"/>
      <c r="ADF49" s="124"/>
      <c r="ADG49" s="124"/>
      <c r="ADH49" s="124"/>
      <c r="ADI49" s="124"/>
      <c r="ADJ49" s="124"/>
      <c r="ADK49" s="124"/>
      <c r="ADL49" s="125"/>
      <c r="ADM49" s="301"/>
      <c r="ADN49" s="151"/>
      <c r="ADO49" s="131">
        <f>SUM(ACM49:ADN49)</f>
      </c>
      <c r="ADP49" s="121"/>
      <c r="ADQ49" s="122"/>
      <c r="ADR49" s="123"/>
      <c r="ADS49" s="124"/>
      <c r="ADT49" s="124"/>
      <c r="ADU49" s="124"/>
      <c r="ADV49" s="124"/>
      <c r="ADW49" s="124"/>
      <c r="ADX49" s="124"/>
      <c r="ADY49" s="125"/>
      <c r="ADZ49" s="126"/>
      <c r="AEA49" s="124"/>
      <c r="AEB49" s="124"/>
      <c r="AEC49" s="127"/>
      <c r="AED49" s="123"/>
      <c r="AEE49" s="124"/>
      <c r="AEF49" s="124"/>
      <c r="AEG49" s="124"/>
      <c r="AEH49" s="124"/>
      <c r="AEI49" s="124"/>
      <c r="AEJ49" s="124"/>
      <c r="AEK49" s="124"/>
      <c r="AEL49" s="124"/>
      <c r="AEM49" s="124"/>
      <c r="AEN49" s="124"/>
      <c r="AEO49" s="125"/>
      <c r="AEP49" s="301"/>
      <c r="AEQ49" s="151"/>
      <c r="AER49" s="131">
        <f>SUM(ADP49:AEQ49)</f>
      </c>
      <c r="AES49" s="150">
        <f>XZ49+ZC49+AAF49+ABI49+ACL49+ADO49+AER49</f>
      </c>
      <c r="AET49" s="302">
        <f>(COUNTIF(WX49:AER49,"H")+COUNTIF(WX49:AER49,"S")+COUNTIF(WX49:AER49,"L")+COUNTIF(WX49:AER49,"E")+COUNTIF(WX49:AER49,"C"))/2</f>
      </c>
      <c r="AEU49" s="131">
        <f>AES49+AET49</f>
      </c>
      <c r="AEV49" s="134"/>
      <c r="AEW49" s="135"/>
      <c r="AEX49" s="136"/>
      <c r="AEY49" s="138">
        <v>0.5</v>
      </c>
      <c r="AEZ49" s="138">
        <v>0.5</v>
      </c>
      <c r="AFA49" s="138">
        <v>0.5</v>
      </c>
      <c r="AFB49" s="138">
        <v>0.5</v>
      </c>
      <c r="AFC49" s="138">
        <v>0.5</v>
      </c>
      <c r="AFD49" s="138">
        <v>0.5</v>
      </c>
      <c r="AFE49" s="139">
        <v>0.5</v>
      </c>
      <c r="AFF49" s="155"/>
      <c r="AFG49" s="137"/>
      <c r="AFH49" s="138">
        <v>0.5</v>
      </c>
      <c r="AFI49" s="149">
        <v>0.5</v>
      </c>
      <c r="AFJ49" s="142">
        <v>0.5</v>
      </c>
      <c r="AFK49" s="138">
        <v>0.5</v>
      </c>
      <c r="AFL49" s="138">
        <v>0.5</v>
      </c>
      <c r="AFM49" s="138">
        <v>0.5</v>
      </c>
      <c r="AFN49" s="138">
        <v>0.5</v>
      </c>
      <c r="AFO49" s="138">
        <v>0.5</v>
      </c>
      <c r="AFP49" s="138">
        <v>0.5</v>
      </c>
      <c r="AFQ49" s="138">
        <v>0.5</v>
      </c>
      <c r="AFR49" s="137"/>
      <c r="AFS49" s="137"/>
      <c r="AFT49" s="137"/>
      <c r="AFU49" s="153"/>
      <c r="AFV49" s="304"/>
      <c r="AFW49" s="152"/>
      <c r="AFX49" s="131">
        <f>SUM(AEV49:AFW49)</f>
      </c>
      <c r="AFY49" s="134"/>
      <c r="AFZ49" s="135"/>
      <c r="AGA49" s="136"/>
      <c r="AGB49" s="138">
        <v>0.5</v>
      </c>
      <c r="AGC49" s="138">
        <v>0.5</v>
      </c>
      <c r="AGD49" s="138">
        <v>0.5</v>
      </c>
      <c r="AGE49" s="138">
        <v>0.5</v>
      </c>
      <c r="AGF49" s="138">
        <v>0.5</v>
      </c>
      <c r="AGG49" s="138">
        <v>0.5</v>
      </c>
      <c r="AGH49" s="139">
        <v>0.5</v>
      </c>
      <c r="AGI49" s="155"/>
      <c r="AGJ49" s="137"/>
      <c r="AGK49" s="138">
        <v>0.5</v>
      </c>
      <c r="AGL49" s="149">
        <v>0.5</v>
      </c>
      <c r="AGM49" s="142">
        <v>0.5</v>
      </c>
      <c r="AGN49" s="138">
        <v>0.5</v>
      </c>
      <c r="AGO49" s="138">
        <v>0.5</v>
      </c>
      <c r="AGP49" s="138">
        <v>0.5</v>
      </c>
      <c r="AGQ49" s="138">
        <v>0.5</v>
      </c>
      <c r="AGR49" s="138">
        <v>0.5</v>
      </c>
      <c r="AGS49" s="138">
        <v>0.5</v>
      </c>
      <c r="AGT49" s="138">
        <v>0.5</v>
      </c>
      <c r="AGU49" s="137"/>
      <c r="AGV49" s="137"/>
      <c r="AGW49" s="137"/>
      <c r="AGX49" s="153"/>
      <c r="AGY49" s="304"/>
      <c r="AGZ49" s="152"/>
      <c r="AHA49" s="131">
        <f>SUM(AFY49:AGZ49)</f>
      </c>
      <c r="AHB49" s="134"/>
      <c r="AHC49" s="135"/>
      <c r="AHD49" s="136"/>
      <c r="AHE49" s="138">
        <v>0.5</v>
      </c>
      <c r="AHF49" s="138">
        <v>0.5</v>
      </c>
      <c r="AHG49" s="138">
        <v>0.5</v>
      </c>
      <c r="AHH49" s="138">
        <v>0.5</v>
      </c>
      <c r="AHI49" s="138">
        <v>0.5</v>
      </c>
      <c r="AHJ49" s="138">
        <v>0.5</v>
      </c>
      <c r="AHK49" s="139">
        <v>0.5</v>
      </c>
      <c r="AHL49" s="155"/>
      <c r="AHM49" s="137"/>
      <c r="AHN49" s="138">
        <v>0.5</v>
      </c>
      <c r="AHO49" s="149">
        <v>0.5</v>
      </c>
      <c r="AHP49" s="142">
        <v>0.5</v>
      </c>
      <c r="AHQ49" s="138">
        <v>0.5</v>
      </c>
      <c r="AHR49" s="138">
        <v>0.5</v>
      </c>
      <c r="AHS49" s="138">
        <v>0.5</v>
      </c>
      <c r="AHT49" s="138">
        <v>0.5</v>
      </c>
      <c r="AHU49" s="138">
        <v>0.5</v>
      </c>
      <c r="AHV49" s="138">
        <v>0.5</v>
      </c>
      <c r="AHW49" s="138">
        <v>0.5</v>
      </c>
      <c r="AHX49" s="137"/>
      <c r="AHY49" s="137"/>
      <c r="AHZ49" s="137"/>
      <c r="AIA49" s="153"/>
      <c r="AIB49" s="304"/>
      <c r="AIC49" s="152"/>
      <c r="AID49" s="131">
        <f>SUM(AHB49:AIC49)</f>
      </c>
      <c r="AIE49" s="134"/>
      <c r="AIF49" s="135"/>
      <c r="AIG49" s="136"/>
      <c r="AIH49" s="138">
        <v>0.5</v>
      </c>
      <c r="AII49" s="138">
        <v>0.5</v>
      </c>
      <c r="AIJ49" s="138">
        <v>0.5</v>
      </c>
      <c r="AIK49" s="138">
        <v>0.5</v>
      </c>
      <c r="AIL49" s="138">
        <v>0.5</v>
      </c>
      <c r="AIM49" s="138">
        <v>0.5</v>
      </c>
      <c r="AIN49" s="139">
        <v>0.5</v>
      </c>
      <c r="AIO49" s="155"/>
      <c r="AIP49" s="137"/>
      <c r="AIQ49" s="138">
        <v>0.5</v>
      </c>
      <c r="AIR49" s="149">
        <v>0.5</v>
      </c>
      <c r="AIS49" s="142">
        <v>0.5</v>
      </c>
      <c r="AIT49" s="138">
        <v>0.5</v>
      </c>
      <c r="AIU49" s="138">
        <v>0.5</v>
      </c>
      <c r="AIV49" s="138">
        <v>0.5</v>
      </c>
      <c r="AIW49" s="138">
        <v>0.5</v>
      </c>
      <c r="AIX49" s="138">
        <v>0.5</v>
      </c>
      <c r="AIY49" s="138">
        <v>0.5</v>
      </c>
      <c r="AIZ49" s="138">
        <v>0.5</v>
      </c>
      <c r="AJA49" s="137"/>
      <c r="AJB49" s="137"/>
      <c r="AJC49" s="137"/>
      <c r="AJD49" s="153"/>
      <c r="AJE49" s="304"/>
      <c r="AJF49" s="152"/>
      <c r="AJG49" s="131">
        <f>SUM(AIE49:AJF49)</f>
      </c>
      <c r="AJH49" s="134"/>
      <c r="AJI49" s="135"/>
      <c r="AJJ49" s="142">
        <v>0.5</v>
      </c>
      <c r="AJK49" s="138">
        <v>0.5</v>
      </c>
      <c r="AJL49" s="138">
        <v>0.5</v>
      </c>
      <c r="AJM49" s="138">
        <v>0.5</v>
      </c>
      <c r="AJN49" s="138">
        <v>0.5</v>
      </c>
      <c r="AJO49" s="138">
        <v>0.5</v>
      </c>
      <c r="AJP49" s="138">
        <v>0.5</v>
      </c>
      <c r="AJQ49" s="139">
        <v>0.5</v>
      </c>
      <c r="AJR49" s="140">
        <v>0.5</v>
      </c>
      <c r="AJS49" s="138">
        <v>0.5</v>
      </c>
      <c r="AJT49" s="138">
        <v>0.5</v>
      </c>
      <c r="AJU49" s="149">
        <v>0.5</v>
      </c>
      <c r="AJV49" s="136"/>
      <c r="AJW49" s="137"/>
      <c r="AJX49" s="137"/>
      <c r="AJY49" s="137"/>
      <c r="AJZ49" s="137"/>
      <c r="AKA49" s="137"/>
      <c r="AKB49" s="137"/>
      <c r="AKC49" s="137"/>
      <c r="AKD49" s="137"/>
      <c r="AKE49" s="137"/>
      <c r="AKF49" s="137"/>
      <c r="AKG49" s="153"/>
      <c r="AKH49" s="304"/>
      <c r="AKI49" s="152"/>
      <c r="AKJ49" s="131">
        <f>SUM(AJH49:AKI49)</f>
      </c>
      <c r="AKK49" s="121"/>
      <c r="AKL49" s="122"/>
      <c r="AKM49" s="123"/>
      <c r="AKN49" s="124"/>
      <c r="AKO49" s="124"/>
      <c r="AKP49" s="124"/>
      <c r="AKQ49" s="124"/>
      <c r="AKR49" s="124"/>
      <c r="AKS49" s="124"/>
      <c r="AKT49" s="125"/>
      <c r="AKU49" s="126"/>
      <c r="AKV49" s="124"/>
      <c r="AKW49" s="124"/>
      <c r="AKX49" s="127"/>
      <c r="AKY49" s="123"/>
      <c r="AKZ49" s="124"/>
      <c r="ALA49" s="124"/>
      <c r="ALB49" s="124"/>
      <c r="ALC49" s="124"/>
      <c r="ALD49" s="124"/>
      <c r="ALE49" s="124"/>
      <c r="ALF49" s="124"/>
      <c r="ALG49" s="124"/>
      <c r="ALH49" s="124"/>
      <c r="ALI49" s="124"/>
      <c r="ALJ49" s="125"/>
      <c r="ALK49" s="301"/>
      <c r="ALL49" s="151"/>
      <c r="ALM49" s="131">
        <f>SUM(AKK49:ALL49)</f>
      </c>
      <c r="ALN49" s="121"/>
      <c r="ALO49" s="122"/>
      <c r="ALP49" s="123"/>
      <c r="ALQ49" s="124"/>
      <c r="ALR49" s="124"/>
      <c r="ALS49" s="124"/>
      <c r="ALT49" s="124"/>
      <c r="ALU49" s="124"/>
      <c r="ALV49" s="124"/>
      <c r="ALW49" s="125"/>
      <c r="ALX49" s="126"/>
      <c r="ALY49" s="124"/>
      <c r="ALZ49" s="124"/>
      <c r="AMA49" s="127"/>
      <c r="AMB49" s="123"/>
      <c r="AMC49" s="124"/>
      <c r="AMD49" s="124"/>
      <c r="AME49" s="124"/>
      <c r="AMF49" s="124"/>
      <c r="AMG49" s="124"/>
      <c r="AMH49" s="124"/>
      <c r="AMI49" s="124"/>
      <c r="AMJ49" s="124"/>
      <c r="AMK49" s="124"/>
      <c r="AML49" s="124"/>
      <c r="AMM49" s="125"/>
      <c r="AMN49" s="301"/>
      <c r="AMO49" s="151"/>
      <c r="AMP49" s="131">
        <f>SUM(ALN49:AMO49)</f>
      </c>
      <c r="AMQ49" s="150">
        <f>AFX49+AHA49+AID49+AJG49+AKJ49+ALM49+AMP49</f>
      </c>
      <c r="AMR49" s="302">
        <f>(COUNTIF(AEV49:AMP49,"H")+COUNTIF(AEV49:AMP49,"S")+COUNTIF(AEV49:AMP49,"L")+COUNTIF(AEV49:AMP49,"E")+COUNTIF(AEV49:AMP49,"C"))/2</f>
      </c>
      <c r="AMS49" s="131">
        <f>AMQ49+AMR49</f>
      </c>
      <c r="AMT49" s="4"/>
      <c r="AMU49" s="4"/>
      <c r="AMV49" s="4"/>
      <c r="AMW49" s="4"/>
      <c r="AMX49" s="4"/>
      <c r="AMY49" s="4"/>
      <c r="AMZ49" s="4"/>
      <c r="ANA49" s="4"/>
      <c r="ANB49" s="4"/>
      <c r="ANC49" s="4"/>
      <c r="AND49" s="4"/>
      <c r="ANE49" s="4"/>
      <c r="ANF49" s="4"/>
      <c r="ANG49" s="4"/>
      <c r="ANH49" s="4"/>
      <c r="ANI49" s="4"/>
      <c r="ANJ49" s="13"/>
      <c r="ANK49" s="13"/>
      <c r="ANL49" s="4"/>
      <c r="ANM49" s="4"/>
      <c r="ANN49" s="4"/>
      <c r="ANO49" s="4"/>
      <c r="ANP49" s="4"/>
      <c r="ANQ49" s="4"/>
      <c r="ANR49" s="4"/>
      <c r="ANS49" s="4"/>
      <c r="ANT49" s="4"/>
      <c r="ANU49" s="4"/>
      <c r="ANV49" s="4"/>
      <c r="ANW49" s="4"/>
      <c r="ANX49" s="4"/>
      <c r="ANY49" s="4"/>
      <c r="ANZ49" s="4"/>
      <c r="AOA49" s="4"/>
      <c r="AOB49" s="4"/>
      <c r="AOC49" s="4"/>
      <c r="AOD49" s="4"/>
      <c r="AOE49" s="4"/>
      <c r="AOF49" s="4"/>
      <c r="AOG49" s="4"/>
      <c r="AOH49" s="4"/>
      <c r="AOI49" s="4"/>
      <c r="AOJ49" s="4"/>
      <c r="AOK49" s="4"/>
      <c r="AOL49" s="4"/>
      <c r="AOM49" s="4"/>
      <c r="AON49" s="4"/>
      <c r="AOO49" s="4"/>
      <c r="AOP49" s="4"/>
      <c r="AOQ49" s="4"/>
      <c r="AOR49" s="4"/>
      <c r="AOS49" s="4"/>
      <c r="AOT49" s="4"/>
      <c r="AOU49" s="4"/>
      <c r="AOV49" s="4"/>
      <c r="AOW49" s="4"/>
      <c r="AOX49" s="4"/>
      <c r="AOY49" s="4"/>
      <c r="AOZ49" s="4"/>
      <c r="APA49" s="4"/>
      <c r="APB49" s="4"/>
      <c r="APC49" s="4"/>
      <c r="APD49" s="4"/>
      <c r="APE49" s="4"/>
      <c r="APF49" s="4"/>
      <c r="APG49" s="4"/>
      <c r="APH49" s="4"/>
      <c r="API49" s="4"/>
      <c r="APJ49" s="4"/>
      <c r="APK49" s="4"/>
      <c r="APL49" s="4"/>
      <c r="APM49" s="4"/>
      <c r="APN49" s="4"/>
      <c r="APO49" s="4"/>
      <c r="APP49" s="4"/>
      <c r="APQ49" s="4"/>
      <c r="APR49" s="4"/>
      <c r="APS49" s="4"/>
      <c r="APT49" s="4"/>
      <c r="APU49" s="4"/>
      <c r="APV49" s="4"/>
      <c r="APW49" s="4"/>
      <c r="APX49" s="4"/>
      <c r="APY49" s="4"/>
      <c r="APZ49" s="4"/>
      <c r="AQA49" s="4"/>
      <c r="AQB49" s="4"/>
      <c r="AQC49" s="4"/>
      <c r="AQD49" s="4"/>
      <c r="AQE49" s="4"/>
      <c r="AQF49" s="4"/>
      <c r="AQG49" s="4"/>
      <c r="AQH49" s="4"/>
      <c r="AQI49" s="4"/>
      <c r="AQJ49" s="4"/>
      <c r="AQK49" s="4"/>
      <c r="AQL49" s="4"/>
      <c r="AQM49" s="4"/>
      <c r="AQN49" s="4"/>
      <c r="AQO49" s="4"/>
      <c r="AQP49" s="4"/>
      <c r="AQQ49" s="4"/>
      <c r="AQR49" s="4"/>
      <c r="AQS49" s="4"/>
      <c r="AQT49" s="4"/>
      <c r="AQU49" s="4"/>
      <c r="AQV49" s="4"/>
      <c r="AQW49" s="4"/>
      <c r="AQX49" s="4"/>
      <c r="AQY49" s="4"/>
      <c r="AQZ49" s="4"/>
      <c r="ARA49" s="4"/>
      <c r="ARB49" s="4"/>
      <c r="ARC49" s="4"/>
      <c r="ARD49" s="4"/>
      <c r="ARE49" s="4"/>
      <c r="ARF49" s="4"/>
      <c r="ARG49" s="4"/>
      <c r="ARH49" s="4"/>
      <c r="ARI49" s="4"/>
      <c r="ARJ49" s="4"/>
      <c r="ARK49" s="4"/>
      <c r="ARL49" s="4"/>
      <c r="ARM49" s="4"/>
      <c r="ARN49" s="4"/>
      <c r="ARO49" s="4"/>
      <c r="ARP49" s="4"/>
      <c r="ARQ49" s="4"/>
      <c r="ARR49" s="4"/>
      <c r="ARS49" s="4"/>
      <c r="ART49" s="4"/>
      <c r="ARU49" s="4"/>
      <c r="ARV49" s="4"/>
      <c r="ARW49" s="4"/>
      <c r="ARX49" s="4"/>
      <c r="ARY49" s="4"/>
      <c r="ARZ49" s="4"/>
      <c r="ASA49" s="4"/>
      <c r="ASB49" s="4"/>
      <c r="ASC49" s="4"/>
      <c r="ASD49" s="4"/>
      <c r="ASE49" s="4"/>
      <c r="ASF49" s="4"/>
      <c r="ASG49" s="4"/>
      <c r="ASH49" s="4"/>
      <c r="ASI49" s="4"/>
      <c r="ASJ49" s="4"/>
      <c r="ASK49" s="4"/>
      <c r="ASL49" s="4"/>
      <c r="ASM49" s="4"/>
      <c r="ASN49" s="4"/>
      <c r="ASO49" s="4"/>
      <c r="ASP49" s="4"/>
      <c r="ASQ49" s="4"/>
      <c r="ASR49" s="4"/>
      <c r="ASS49" s="4"/>
      <c r="AST49" s="4"/>
      <c r="ASU49" s="4"/>
    </row>
    <row r="50" ht="15" customHeight="1" spans="1:1191" x14ac:dyDescent="0.25">
      <c r="A50" s="118"/>
      <c r="B50" s="230" t="s">
        <v>89</v>
      </c>
      <c r="C50" s="289" t="s">
        <v>55</v>
      </c>
      <c r="D50" s="121"/>
      <c r="E50" s="122"/>
      <c r="F50" s="123"/>
      <c r="G50" s="124"/>
      <c r="H50" s="124"/>
      <c r="I50" s="124"/>
      <c r="J50" s="124"/>
      <c r="K50" s="124"/>
      <c r="L50" s="124"/>
      <c r="M50" s="125"/>
      <c r="N50" s="126"/>
      <c r="O50" s="124"/>
      <c r="P50" s="124"/>
      <c r="Q50" s="127"/>
      <c r="R50" s="123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5"/>
      <c r="AD50" s="301"/>
      <c r="AE50" s="151"/>
      <c r="AF50" s="131">
        <f>SUM(D50:AE50)</f>
      </c>
      <c r="AG50" s="121"/>
      <c r="AH50" s="122"/>
      <c r="AI50" s="123"/>
      <c r="AJ50" s="124"/>
      <c r="AK50" s="124"/>
      <c r="AL50" s="124"/>
      <c r="AM50" s="124"/>
      <c r="AN50" s="124"/>
      <c r="AO50" s="124"/>
      <c r="AP50" s="125"/>
      <c r="AQ50" s="126"/>
      <c r="AR50" s="124"/>
      <c r="AS50" s="124"/>
      <c r="AT50" s="127"/>
      <c r="AU50" s="123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5"/>
      <c r="BG50" s="301"/>
      <c r="BH50" s="151"/>
      <c r="BI50" s="131">
        <f>SUM(AG50:BH50)</f>
      </c>
      <c r="BJ50" s="121"/>
      <c r="BK50" s="122"/>
      <c r="BL50" s="123"/>
      <c r="BM50" s="124"/>
      <c r="BN50" s="124"/>
      <c r="BO50" s="124"/>
      <c r="BP50" s="124"/>
      <c r="BQ50" s="124"/>
      <c r="BR50" s="124"/>
      <c r="BS50" s="125"/>
      <c r="BT50" s="126"/>
      <c r="BU50" s="124"/>
      <c r="BV50" s="124"/>
      <c r="BW50" s="127"/>
      <c r="BX50" s="123"/>
      <c r="BY50" s="124"/>
      <c r="BZ50" s="124"/>
      <c r="CA50" s="124"/>
      <c r="CB50" s="124"/>
      <c r="CC50" s="124"/>
      <c r="CD50" s="124"/>
      <c r="CE50" s="124"/>
      <c r="CF50" s="124"/>
      <c r="CG50" s="124"/>
      <c r="CH50" s="124"/>
      <c r="CI50" s="125"/>
      <c r="CJ50" s="301"/>
      <c r="CK50" s="151"/>
      <c r="CL50" s="131">
        <f>SUM(BJ50:CK50)</f>
      </c>
      <c r="CM50" s="121"/>
      <c r="CN50" s="122"/>
      <c r="CO50" s="123"/>
      <c r="CP50" s="124"/>
      <c r="CQ50" s="124"/>
      <c r="CR50" s="124"/>
      <c r="CS50" s="124"/>
      <c r="CT50" s="124"/>
      <c r="CU50" s="124"/>
      <c r="CV50" s="125"/>
      <c r="CW50" s="126"/>
      <c r="CX50" s="124"/>
      <c r="CY50" s="124"/>
      <c r="CZ50" s="127"/>
      <c r="DA50" s="123"/>
      <c r="DB50" s="124"/>
      <c r="DC50" s="124"/>
      <c r="DD50" s="124"/>
      <c r="DE50" s="124"/>
      <c r="DF50" s="124"/>
      <c r="DG50" s="124"/>
      <c r="DH50" s="124"/>
      <c r="DI50" s="124"/>
      <c r="DJ50" s="124"/>
      <c r="DK50" s="124"/>
      <c r="DL50" s="125"/>
      <c r="DM50" s="301"/>
      <c r="DN50" s="151"/>
      <c r="DO50" s="131">
        <f>SUM(CM50:DN50)</f>
      </c>
      <c r="DP50" s="121"/>
      <c r="DQ50" s="122"/>
      <c r="DR50" s="123"/>
      <c r="DS50" s="124"/>
      <c r="DT50" s="124"/>
      <c r="DU50" s="124"/>
      <c r="DV50" s="124"/>
      <c r="DW50" s="124"/>
      <c r="DX50" s="124"/>
      <c r="DY50" s="125"/>
      <c r="DZ50" s="126"/>
      <c r="EA50" s="124"/>
      <c r="EB50" s="124"/>
      <c r="EC50" s="127"/>
      <c r="ED50" s="123"/>
      <c r="EE50" s="124"/>
      <c r="EF50" s="124"/>
      <c r="EG50" s="124"/>
      <c r="EH50" s="124"/>
      <c r="EI50" s="124"/>
      <c r="EJ50" s="124"/>
      <c r="EK50" s="124"/>
      <c r="EL50" s="124"/>
      <c r="EM50" s="124"/>
      <c r="EN50" s="124"/>
      <c r="EO50" s="125"/>
      <c r="EP50" s="301"/>
      <c r="EQ50" s="151"/>
      <c r="ER50" s="131">
        <f>SUM(DP50:EQ50)</f>
      </c>
      <c r="ES50" s="121"/>
      <c r="ET50" s="122"/>
      <c r="EU50" s="123"/>
      <c r="EV50" s="124"/>
      <c r="EW50" s="124"/>
      <c r="EX50" s="124"/>
      <c r="EY50" s="124"/>
      <c r="EZ50" s="124"/>
      <c r="FA50" s="124"/>
      <c r="FB50" s="125"/>
      <c r="FC50" s="126"/>
      <c r="FD50" s="124"/>
      <c r="FE50" s="124"/>
      <c r="FF50" s="127"/>
      <c r="FG50" s="123"/>
      <c r="FH50" s="124"/>
      <c r="FI50" s="124"/>
      <c r="FJ50" s="124"/>
      <c r="FK50" s="124"/>
      <c r="FL50" s="124"/>
      <c r="FM50" s="124"/>
      <c r="FN50" s="124"/>
      <c r="FO50" s="124"/>
      <c r="FP50" s="124"/>
      <c r="FQ50" s="124"/>
      <c r="FR50" s="125"/>
      <c r="FS50" s="301"/>
      <c r="FT50" s="151"/>
      <c r="FU50" s="131">
        <f>SUM(ES50:FT50)</f>
      </c>
      <c r="FV50" s="121"/>
      <c r="FW50" s="122"/>
      <c r="FX50" s="123"/>
      <c r="FY50" s="124"/>
      <c r="FZ50" s="124"/>
      <c r="GA50" s="124"/>
      <c r="GB50" s="124"/>
      <c r="GC50" s="124"/>
      <c r="GD50" s="124"/>
      <c r="GE50" s="125"/>
      <c r="GF50" s="126"/>
      <c r="GG50" s="124"/>
      <c r="GH50" s="124"/>
      <c r="GI50" s="127"/>
      <c r="GJ50" s="123"/>
      <c r="GK50" s="124"/>
      <c r="GL50" s="124"/>
      <c r="GM50" s="124"/>
      <c r="GN50" s="124"/>
      <c r="GO50" s="124"/>
      <c r="GP50" s="124"/>
      <c r="GQ50" s="124"/>
      <c r="GR50" s="124"/>
      <c r="GS50" s="124"/>
      <c r="GT50" s="124"/>
      <c r="GU50" s="125"/>
      <c r="GV50" s="301"/>
      <c r="GW50" s="151"/>
      <c r="GX50" s="131">
        <f>SUM(FV50:GW50)</f>
      </c>
      <c r="GY50" s="150">
        <f>AF50+BI50+CL50+DO50+ER50+FU50+GX50</f>
      </c>
      <c r="GZ50" s="302">
        <f>(COUNTIF(D50:GX50,"H")+COUNTIF(D50:GX50,"S")+COUNTIF(D50:GX50,"L")+COUNTIF(D50:GX50,"E")+COUNTIF(D50:GX50,"C"))/2</f>
      </c>
      <c r="HA50" s="131">
        <f>GY50+GZ50</f>
      </c>
      <c r="HB50" s="134"/>
      <c r="HC50" s="135"/>
      <c r="HD50" s="136"/>
      <c r="HE50" s="138">
        <v>0.5</v>
      </c>
      <c r="HF50" s="138">
        <v>0.5</v>
      </c>
      <c r="HG50" s="138">
        <v>0.5</v>
      </c>
      <c r="HH50" s="138">
        <v>0.5</v>
      </c>
      <c r="HI50" s="138">
        <v>0.5</v>
      </c>
      <c r="HJ50" s="138">
        <v>0.5</v>
      </c>
      <c r="HK50" s="139">
        <v>0.5</v>
      </c>
      <c r="HL50" s="140">
        <v>0.5</v>
      </c>
      <c r="HM50" s="138">
        <v>0.5</v>
      </c>
      <c r="HN50" s="148"/>
      <c r="HO50" s="305"/>
      <c r="HP50" s="142">
        <v>0.5</v>
      </c>
      <c r="HQ50" s="138">
        <v>0.5</v>
      </c>
      <c r="HR50" s="138">
        <v>0.5</v>
      </c>
      <c r="HS50" s="138">
        <v>0.5</v>
      </c>
      <c r="HT50" s="138">
        <v>0.5</v>
      </c>
      <c r="HU50" s="138">
        <v>0.5</v>
      </c>
      <c r="HV50" s="138">
        <v>0.5</v>
      </c>
      <c r="HW50" s="138">
        <v>0.5</v>
      </c>
      <c r="HX50" s="137"/>
      <c r="HY50" s="137"/>
      <c r="HZ50" s="137"/>
      <c r="IA50" s="153"/>
      <c r="IB50" s="304"/>
      <c r="IC50" s="152"/>
      <c r="ID50" s="131">
        <f>SUM(HB50:IC50)</f>
      </c>
      <c r="IE50" s="134"/>
      <c r="IF50" s="135"/>
      <c r="IG50" s="136"/>
      <c r="IH50" s="138">
        <v>0.5</v>
      </c>
      <c r="II50" s="138">
        <v>0.5</v>
      </c>
      <c r="IJ50" s="138">
        <v>0.5</v>
      </c>
      <c r="IK50" s="138">
        <v>0.5</v>
      </c>
      <c r="IL50" s="138">
        <v>0.5</v>
      </c>
      <c r="IM50" s="138">
        <v>0.5</v>
      </c>
      <c r="IN50" s="139">
        <v>0.5</v>
      </c>
      <c r="IO50" s="341">
        <v>0.5</v>
      </c>
      <c r="IP50" s="139">
        <v>0.5</v>
      </c>
      <c r="IQ50" s="148"/>
      <c r="IR50" s="305"/>
      <c r="IS50" s="142">
        <v>0.5</v>
      </c>
      <c r="IT50" s="138">
        <v>0.5</v>
      </c>
      <c r="IU50" s="138">
        <v>0.5</v>
      </c>
      <c r="IV50" s="138">
        <v>0.5</v>
      </c>
      <c r="IW50" s="138">
        <v>0.5</v>
      </c>
      <c r="IX50" s="138">
        <v>0.5</v>
      </c>
      <c r="IY50" s="138">
        <v>0.5</v>
      </c>
      <c r="IZ50" s="138">
        <v>0.5</v>
      </c>
      <c r="JA50" s="137"/>
      <c r="JB50" s="137"/>
      <c r="JC50" s="137"/>
      <c r="JD50" s="153"/>
      <c r="JE50" s="304"/>
      <c r="JF50" s="152"/>
      <c r="JG50" s="131">
        <f>SUM(IE50:JF50)</f>
      </c>
      <c r="JH50" s="134"/>
      <c r="JI50" s="135"/>
      <c r="JJ50" s="136"/>
      <c r="JK50" s="138">
        <v>0.5</v>
      </c>
      <c r="JL50" s="138">
        <v>0.5</v>
      </c>
      <c r="JM50" s="138">
        <v>0.5</v>
      </c>
      <c r="JN50" s="138">
        <v>0.5</v>
      </c>
      <c r="JO50" s="138">
        <v>0.5</v>
      </c>
      <c r="JP50" s="138">
        <v>0.5</v>
      </c>
      <c r="JQ50" s="139">
        <v>0.5</v>
      </c>
      <c r="JR50" s="341">
        <v>0.5</v>
      </c>
      <c r="JS50" s="139">
        <v>0.5</v>
      </c>
      <c r="JT50" s="148"/>
      <c r="JU50" s="305"/>
      <c r="JV50" s="142">
        <v>0.5</v>
      </c>
      <c r="JW50" s="138">
        <v>0.5</v>
      </c>
      <c r="JX50" s="138">
        <v>0.5</v>
      </c>
      <c r="JY50" s="138">
        <v>0.5</v>
      </c>
      <c r="JZ50" s="138">
        <v>0.5</v>
      </c>
      <c r="KA50" s="138">
        <v>0.5</v>
      </c>
      <c r="KB50" s="138">
        <v>0.5</v>
      </c>
      <c r="KC50" s="138">
        <v>0.5</v>
      </c>
      <c r="KD50" s="137"/>
      <c r="KE50" s="137"/>
      <c r="KF50" s="137"/>
      <c r="KG50" s="153"/>
      <c r="KH50" s="304"/>
      <c r="KI50" s="152"/>
      <c r="KJ50" s="131">
        <f>SUM(JH50:KI50)</f>
      </c>
      <c r="KK50" s="134"/>
      <c r="KL50" s="135"/>
      <c r="KM50" s="136"/>
      <c r="KN50" s="138">
        <v>0.5</v>
      </c>
      <c r="KO50" s="138">
        <v>0.5</v>
      </c>
      <c r="KP50" s="138">
        <v>0.5</v>
      </c>
      <c r="KQ50" s="138">
        <v>0.5</v>
      </c>
      <c r="KR50" s="138">
        <v>0.5</v>
      </c>
      <c r="KS50" s="138">
        <v>0.5</v>
      </c>
      <c r="KT50" s="139">
        <v>0.5</v>
      </c>
      <c r="KU50" s="341">
        <v>0.5</v>
      </c>
      <c r="KV50" s="139">
        <v>0.5</v>
      </c>
      <c r="KW50" s="148"/>
      <c r="KX50" s="305"/>
      <c r="KY50" s="142">
        <v>0.5</v>
      </c>
      <c r="KZ50" s="138">
        <v>0.5</v>
      </c>
      <c r="LA50" s="138">
        <v>0.5</v>
      </c>
      <c r="LB50" s="138">
        <v>0.5</v>
      </c>
      <c r="LC50" s="138">
        <v>0.5</v>
      </c>
      <c r="LD50" s="138">
        <v>0.5</v>
      </c>
      <c r="LE50" s="138">
        <v>0.5</v>
      </c>
      <c r="LF50" s="138">
        <v>0.5</v>
      </c>
      <c r="LG50" s="137"/>
      <c r="LH50" s="137"/>
      <c r="LI50" s="137"/>
      <c r="LJ50" s="153"/>
      <c r="LK50" s="304"/>
      <c r="LL50" s="152"/>
      <c r="LM50" s="131">
        <f>SUM(KK50:LL50)</f>
      </c>
      <c r="LN50" s="134"/>
      <c r="LO50" s="135"/>
      <c r="LP50" s="142">
        <v>0.5</v>
      </c>
      <c r="LQ50" s="138">
        <v>0.5</v>
      </c>
      <c r="LR50" s="138">
        <v>0.5</v>
      </c>
      <c r="LS50" s="138">
        <v>0.5</v>
      </c>
      <c r="LT50" s="138">
        <v>0.5</v>
      </c>
      <c r="LU50" s="138">
        <v>0.5</v>
      </c>
      <c r="LV50" s="138">
        <v>0.5</v>
      </c>
      <c r="LW50" s="139">
        <v>0.5</v>
      </c>
      <c r="LX50" s="341">
        <v>0.5</v>
      </c>
      <c r="LY50" s="139">
        <v>0.5</v>
      </c>
      <c r="LZ50" s="138">
        <v>0.5</v>
      </c>
      <c r="MA50" s="149">
        <v>0.5</v>
      </c>
      <c r="MB50" s="136"/>
      <c r="MC50" s="137"/>
      <c r="MD50" s="137"/>
      <c r="ME50" s="137"/>
      <c r="MF50" s="137"/>
      <c r="MG50" s="137"/>
      <c r="MH50" s="137"/>
      <c r="MI50" s="137"/>
      <c r="MJ50" s="137"/>
      <c r="MK50" s="137"/>
      <c r="ML50" s="137"/>
      <c r="MM50" s="153"/>
      <c r="MN50" s="304"/>
      <c r="MO50" s="152"/>
      <c r="MP50" s="131">
        <f>SUM(LN50:MO50)</f>
      </c>
      <c r="MQ50" s="121"/>
      <c r="MR50" s="122"/>
      <c r="MS50" s="123"/>
      <c r="MT50" s="124"/>
      <c r="MU50" s="124"/>
      <c r="MV50" s="124"/>
      <c r="MW50" s="124"/>
      <c r="MX50" s="124"/>
      <c r="MY50" s="124"/>
      <c r="MZ50" s="125"/>
      <c r="NA50" s="126"/>
      <c r="NB50" s="124"/>
      <c r="NC50" s="124"/>
      <c r="ND50" s="127"/>
      <c r="NE50" s="123"/>
      <c r="NF50" s="124"/>
      <c r="NG50" s="124"/>
      <c r="NH50" s="124"/>
      <c r="NI50" s="124"/>
      <c r="NJ50" s="124"/>
      <c r="NK50" s="124"/>
      <c r="NL50" s="124"/>
      <c r="NM50" s="124"/>
      <c r="NN50" s="124"/>
      <c r="NO50" s="124"/>
      <c r="NP50" s="125"/>
      <c r="NQ50" s="301"/>
      <c r="NR50" s="151"/>
      <c r="NS50" s="131">
        <f>SUM(MQ50:NR50)</f>
      </c>
      <c r="NT50" s="121"/>
      <c r="NU50" s="122"/>
      <c r="NV50" s="123"/>
      <c r="NW50" s="124"/>
      <c r="NX50" s="124"/>
      <c r="NY50" s="124"/>
      <c r="NZ50" s="124"/>
      <c r="OA50" s="124"/>
      <c r="OB50" s="124"/>
      <c r="OC50" s="125"/>
      <c r="OD50" s="126"/>
      <c r="OE50" s="124"/>
      <c r="OF50" s="124"/>
      <c r="OG50" s="127"/>
      <c r="OH50" s="123"/>
      <c r="OI50" s="124"/>
      <c r="OJ50" s="124"/>
      <c r="OK50" s="124"/>
      <c r="OL50" s="124"/>
      <c r="OM50" s="124"/>
      <c r="ON50" s="124"/>
      <c r="OO50" s="124"/>
      <c r="OP50" s="124"/>
      <c r="OQ50" s="124"/>
      <c r="OR50" s="124"/>
      <c r="OS50" s="125"/>
      <c r="OT50" s="301"/>
      <c r="OU50" s="151"/>
      <c r="OV50" s="131">
        <f>SUM(NT50:OU50)</f>
      </c>
      <c r="OW50" s="150">
        <f>ID50+JG50+KJ50+LM50+MP50+NS50+OV50</f>
      </c>
      <c r="OX50" s="302">
        <f>(COUNTIF(HB50:OV50,"H")+COUNTIF(HB50:OV50,"S")+COUNTIF(HB50:OV50,"L")+COUNTIF(HB50:OV50,"E")+COUNTIF(HB50:OV50,"C"))/2</f>
      </c>
      <c r="OY50" s="131">
        <f>OW50+OX50</f>
      </c>
      <c r="OZ50" s="134"/>
      <c r="PA50" s="135"/>
      <c r="PB50" s="136"/>
      <c r="PC50" s="138">
        <v>0.5</v>
      </c>
      <c r="PD50" s="138">
        <v>0.5</v>
      </c>
      <c r="PE50" s="138">
        <v>0.5</v>
      </c>
      <c r="PF50" s="138">
        <v>0.5</v>
      </c>
      <c r="PG50" s="138">
        <v>0.5</v>
      </c>
      <c r="PH50" s="138">
        <v>0.5</v>
      </c>
      <c r="PI50" s="139">
        <v>0.5</v>
      </c>
      <c r="PJ50" s="341">
        <v>0.5</v>
      </c>
      <c r="PK50" s="139">
        <v>0.5</v>
      </c>
      <c r="PL50" s="137"/>
      <c r="PM50" s="141"/>
      <c r="PN50" s="142">
        <v>0.5</v>
      </c>
      <c r="PO50" s="138">
        <v>0.5</v>
      </c>
      <c r="PP50" s="138">
        <v>0.5</v>
      </c>
      <c r="PQ50" s="138">
        <v>0.5</v>
      </c>
      <c r="PR50" s="138">
        <v>0.5</v>
      </c>
      <c r="PS50" s="138">
        <v>0.5</v>
      </c>
      <c r="PT50" s="138">
        <v>0.5</v>
      </c>
      <c r="PU50" s="137"/>
      <c r="PV50" s="137"/>
      <c r="PW50" s="137"/>
      <c r="PX50" s="137"/>
      <c r="PY50" s="153"/>
      <c r="PZ50" s="304"/>
      <c r="QA50" s="152"/>
      <c r="QB50" s="131">
        <f>SUM(OZ50:QA50)</f>
      </c>
      <c r="QC50" s="134"/>
      <c r="QD50" s="135"/>
      <c r="QE50" s="136"/>
      <c r="QF50" s="143">
        <v>0.5</v>
      </c>
      <c r="QG50" s="143">
        <v>0.5</v>
      </c>
      <c r="QH50" s="143">
        <v>0.5</v>
      </c>
      <c r="QI50" s="143">
        <v>0.5</v>
      </c>
      <c r="QJ50" s="143">
        <v>0.5</v>
      </c>
      <c r="QK50" s="138">
        <v>0.5</v>
      </c>
      <c r="QL50" s="139">
        <v>0.5</v>
      </c>
      <c r="QM50" s="341">
        <v>0.5</v>
      </c>
      <c r="QN50" s="139">
        <v>0.5</v>
      </c>
      <c r="QO50" s="137"/>
      <c r="QP50" s="141"/>
      <c r="QQ50" s="142">
        <v>0.5</v>
      </c>
      <c r="QR50" s="138">
        <v>0.5</v>
      </c>
      <c r="QS50" s="138">
        <v>0.5</v>
      </c>
      <c r="QT50" s="138">
        <v>0.5</v>
      </c>
      <c r="QU50" s="138">
        <v>0.5</v>
      </c>
      <c r="QV50" s="138">
        <v>0.5</v>
      </c>
      <c r="QW50" s="138">
        <v>0.5</v>
      </c>
      <c r="QX50" s="137"/>
      <c r="QY50" s="137"/>
      <c r="QZ50" s="137"/>
      <c r="RA50" s="137"/>
      <c r="RB50" s="153"/>
      <c r="RC50" s="304"/>
      <c r="RD50" s="152"/>
      <c r="RE50" s="131">
        <f>SUM(QC50:RD50)</f>
      </c>
      <c r="RF50" s="134"/>
      <c r="RG50" s="135"/>
      <c r="RH50" s="136"/>
      <c r="RI50" s="143">
        <v>0.5</v>
      </c>
      <c r="RJ50" s="143">
        <v>0.5</v>
      </c>
      <c r="RK50" s="143">
        <v>0.5</v>
      </c>
      <c r="RL50" s="143">
        <v>0.5</v>
      </c>
      <c r="RM50" s="143">
        <v>0.5</v>
      </c>
      <c r="RN50" s="138">
        <v>0.5</v>
      </c>
      <c r="RO50" s="139">
        <v>0.5</v>
      </c>
      <c r="RP50" s="341">
        <v>0.5</v>
      </c>
      <c r="RQ50" s="139">
        <v>0.5</v>
      </c>
      <c r="RR50" s="137"/>
      <c r="RS50" s="141"/>
      <c r="RT50" s="142">
        <v>0.5</v>
      </c>
      <c r="RU50" s="138">
        <v>0.5</v>
      </c>
      <c r="RV50" s="138">
        <v>0.5</v>
      </c>
      <c r="RW50" s="138">
        <v>0.5</v>
      </c>
      <c r="RX50" s="138">
        <v>0.5</v>
      </c>
      <c r="RY50" s="138">
        <v>0.5</v>
      </c>
      <c r="RZ50" s="138">
        <v>0.5</v>
      </c>
      <c r="SA50" s="137"/>
      <c r="SB50" s="137"/>
      <c r="SC50" s="137"/>
      <c r="SD50" s="137"/>
      <c r="SE50" s="153"/>
      <c r="SF50" s="304"/>
      <c r="SG50" s="152"/>
      <c r="SH50" s="131">
        <f>SUM(RF50:SG50)</f>
      </c>
      <c r="SI50" s="134"/>
      <c r="SJ50" s="135"/>
      <c r="SK50" s="136"/>
      <c r="SL50" s="143">
        <v>0.5</v>
      </c>
      <c r="SM50" s="143">
        <v>0.5</v>
      </c>
      <c r="SN50" s="143">
        <v>0.5</v>
      </c>
      <c r="SO50" s="143">
        <v>0.5</v>
      </c>
      <c r="SP50" s="143">
        <v>0.5</v>
      </c>
      <c r="SQ50" s="138">
        <v>0.5</v>
      </c>
      <c r="SR50" s="139">
        <v>0.5</v>
      </c>
      <c r="SS50" s="140">
        <v>0.5</v>
      </c>
      <c r="ST50" s="138">
        <v>0.5</v>
      </c>
      <c r="SU50" s="137"/>
      <c r="SV50" s="141"/>
      <c r="SW50" s="142">
        <v>0.5</v>
      </c>
      <c r="SX50" s="138">
        <v>0.5</v>
      </c>
      <c r="SY50" s="138">
        <v>0.5</v>
      </c>
      <c r="SZ50" s="138">
        <v>0.5</v>
      </c>
      <c r="TA50" s="138">
        <v>0.5</v>
      </c>
      <c r="TB50" s="138">
        <v>0.5</v>
      </c>
      <c r="TC50" s="138">
        <v>0.5</v>
      </c>
      <c r="TD50" s="137"/>
      <c r="TE50" s="137"/>
      <c r="TF50" s="137"/>
      <c r="TG50" s="137"/>
      <c r="TH50" s="153"/>
      <c r="TI50" s="304"/>
      <c r="TJ50" s="152"/>
      <c r="TK50" s="131">
        <f>SUM(SI50:TJ50)</f>
      </c>
      <c r="TL50" s="134"/>
      <c r="TM50" s="135"/>
      <c r="TN50" s="136"/>
      <c r="TO50" s="143">
        <v>0.5</v>
      </c>
      <c r="TP50" s="143">
        <v>0.5</v>
      </c>
      <c r="TQ50" s="143">
        <v>0.5</v>
      </c>
      <c r="TR50" s="143">
        <v>0.5</v>
      </c>
      <c r="TS50" s="143">
        <v>0.5</v>
      </c>
      <c r="TT50" s="138">
        <v>0.5</v>
      </c>
      <c r="TU50" s="139">
        <v>0.5</v>
      </c>
      <c r="TV50" s="341">
        <v>0.5</v>
      </c>
      <c r="TW50" s="139">
        <v>0.5</v>
      </c>
      <c r="TX50" s="137"/>
      <c r="TY50" s="141"/>
      <c r="TZ50" s="142">
        <v>0.5</v>
      </c>
      <c r="UA50" s="138">
        <v>0.5</v>
      </c>
      <c r="UB50" s="138">
        <v>0.5</v>
      </c>
      <c r="UC50" s="138">
        <v>0.5</v>
      </c>
      <c r="UD50" s="138">
        <v>0.5</v>
      </c>
      <c r="UE50" s="138">
        <v>0.5</v>
      </c>
      <c r="UF50" s="138">
        <v>0.5</v>
      </c>
      <c r="UG50" s="137"/>
      <c r="UH50" s="137"/>
      <c r="UI50" s="137"/>
      <c r="UJ50" s="137"/>
      <c r="UK50" s="153"/>
      <c r="UL50" s="304"/>
      <c r="UM50" s="152"/>
      <c r="UN50" s="131">
        <f>SUM(TL50:UM50)</f>
      </c>
      <c r="UO50" s="121"/>
      <c r="UP50" s="122"/>
      <c r="UQ50" s="123"/>
      <c r="UR50" s="124"/>
      <c r="US50" s="124"/>
      <c r="UT50" s="124"/>
      <c r="UU50" s="124"/>
      <c r="UV50" s="124"/>
      <c r="UW50" s="124"/>
      <c r="UX50" s="125"/>
      <c r="UY50" s="126"/>
      <c r="UZ50" s="124"/>
      <c r="VA50" s="124"/>
      <c r="VB50" s="127"/>
      <c r="VC50" s="123"/>
      <c r="VD50" s="124"/>
      <c r="VE50" s="124"/>
      <c r="VF50" s="124"/>
      <c r="VG50" s="124"/>
      <c r="VH50" s="124"/>
      <c r="VI50" s="124"/>
      <c r="VJ50" s="124"/>
      <c r="VK50" s="124"/>
      <c r="VL50" s="124"/>
      <c r="VM50" s="124"/>
      <c r="VN50" s="125"/>
      <c r="VO50" s="301"/>
      <c r="VP50" s="151"/>
      <c r="VQ50" s="131">
        <f>SUM(UO50:VP50)</f>
      </c>
      <c r="VR50" s="121"/>
      <c r="VS50" s="122"/>
      <c r="VT50" s="123"/>
      <c r="VU50" s="124"/>
      <c r="VV50" s="124"/>
      <c r="VW50" s="124"/>
      <c r="VX50" s="124"/>
      <c r="VY50" s="124"/>
      <c r="VZ50" s="124"/>
      <c r="WA50" s="125"/>
      <c r="WB50" s="126"/>
      <c r="WC50" s="124"/>
      <c r="WD50" s="124"/>
      <c r="WE50" s="127"/>
      <c r="WF50" s="123"/>
      <c r="WG50" s="124"/>
      <c r="WH50" s="124"/>
      <c r="WI50" s="124"/>
      <c r="WJ50" s="124"/>
      <c r="WK50" s="124"/>
      <c r="WL50" s="124"/>
      <c r="WM50" s="124"/>
      <c r="WN50" s="124"/>
      <c r="WO50" s="124"/>
      <c r="WP50" s="124"/>
      <c r="WQ50" s="125"/>
      <c r="WR50" s="301"/>
      <c r="WS50" s="151"/>
      <c r="WT50" s="131">
        <f>SUM(VR50:WS50)</f>
      </c>
      <c r="WU50" s="150">
        <f>QB50+RE50+SH50+TK50+UN50+VQ50+WT50</f>
      </c>
      <c r="WV50" s="302">
        <f>(COUNTIF(OZ50:WT50,"H")+COUNTIF(OZ50:WT50,"S")+COUNTIF(OZ50:WT50,"L")+COUNTIF(OZ50:WT50,"E")+COUNTIF(OZ50:WT50,"C"))/2</f>
      </c>
      <c r="WW50" s="131">
        <f>WU50+WV50</f>
      </c>
      <c r="WX50" s="134"/>
      <c r="WY50" s="135"/>
      <c r="WZ50" s="136"/>
      <c r="XA50" s="138">
        <v>0.5</v>
      </c>
      <c r="XB50" s="138">
        <v>0.5</v>
      </c>
      <c r="XC50" s="138">
        <v>0.5</v>
      </c>
      <c r="XD50" s="138">
        <v>0.5</v>
      </c>
      <c r="XE50" s="138">
        <v>0.5</v>
      </c>
      <c r="XF50" s="138">
        <v>0.5</v>
      </c>
      <c r="XG50" s="139">
        <v>0.5</v>
      </c>
      <c r="XH50" s="140">
        <v>0.5</v>
      </c>
      <c r="XI50" s="138">
        <v>0.5</v>
      </c>
      <c r="XJ50" s="148"/>
      <c r="XK50" s="305"/>
      <c r="XL50" s="142">
        <v>0.5</v>
      </c>
      <c r="XM50" s="138">
        <v>0.5</v>
      </c>
      <c r="XN50" s="138">
        <v>0.5</v>
      </c>
      <c r="XO50" s="138">
        <v>0.5</v>
      </c>
      <c r="XP50" s="138">
        <v>0.5</v>
      </c>
      <c r="XQ50" s="138">
        <v>0.5</v>
      </c>
      <c r="XR50" s="138">
        <v>0.5</v>
      </c>
      <c r="XS50" s="138">
        <v>0.5</v>
      </c>
      <c r="XT50" s="137"/>
      <c r="XU50" s="137"/>
      <c r="XV50" s="137"/>
      <c r="XW50" s="153"/>
      <c r="XX50" s="304"/>
      <c r="XY50" s="152"/>
      <c r="XZ50" s="131">
        <f>SUM(WX50:XY50)</f>
      </c>
      <c r="YA50" s="134"/>
      <c r="YB50" s="135"/>
      <c r="YC50" s="136"/>
      <c r="YD50" s="138">
        <v>0.5</v>
      </c>
      <c r="YE50" s="138">
        <v>0.5</v>
      </c>
      <c r="YF50" s="138">
        <v>0.5</v>
      </c>
      <c r="YG50" s="138">
        <v>0.5</v>
      </c>
      <c r="YH50" s="138">
        <v>0.5</v>
      </c>
      <c r="YI50" s="138">
        <v>0.5</v>
      </c>
      <c r="YJ50" s="139">
        <v>0.5</v>
      </c>
      <c r="YK50" s="140">
        <v>0.5</v>
      </c>
      <c r="YL50" s="138">
        <v>0.5</v>
      </c>
      <c r="YM50" s="148"/>
      <c r="YN50" s="305"/>
      <c r="YO50" s="142">
        <v>0.5</v>
      </c>
      <c r="YP50" s="138">
        <v>0.5</v>
      </c>
      <c r="YQ50" s="138">
        <v>0.5</v>
      </c>
      <c r="YR50" s="138">
        <v>0.5</v>
      </c>
      <c r="YS50" s="138">
        <v>0.5</v>
      </c>
      <c r="YT50" s="138">
        <v>0.5</v>
      </c>
      <c r="YU50" s="138">
        <v>0.5</v>
      </c>
      <c r="YV50" s="138">
        <v>0.5</v>
      </c>
      <c r="YW50" s="137"/>
      <c r="YX50" s="137"/>
      <c r="YY50" s="137"/>
      <c r="YZ50" s="153"/>
      <c r="ZA50" s="304"/>
      <c r="ZB50" s="152"/>
      <c r="ZC50" s="131">
        <f>SUM(YA50:ZB50)</f>
      </c>
      <c r="ZD50" s="134"/>
      <c r="ZE50" s="135"/>
      <c r="ZF50" s="136"/>
      <c r="ZG50" s="138">
        <v>0.5</v>
      </c>
      <c r="ZH50" s="138">
        <v>0.5</v>
      </c>
      <c r="ZI50" s="138">
        <v>0.5</v>
      </c>
      <c r="ZJ50" s="138">
        <v>0.5</v>
      </c>
      <c r="ZK50" s="138">
        <v>0.5</v>
      </c>
      <c r="ZL50" s="138">
        <v>0.5</v>
      </c>
      <c r="ZM50" s="139">
        <v>0.5</v>
      </c>
      <c r="ZN50" s="140">
        <v>0.5</v>
      </c>
      <c r="ZO50" s="138">
        <v>0.5</v>
      </c>
      <c r="ZP50" s="148"/>
      <c r="ZQ50" s="305"/>
      <c r="ZR50" s="142">
        <v>0.5</v>
      </c>
      <c r="ZS50" s="138">
        <v>0.5</v>
      </c>
      <c r="ZT50" s="138">
        <v>0.5</v>
      </c>
      <c r="ZU50" s="138">
        <v>0.5</v>
      </c>
      <c r="ZV50" s="138">
        <v>0.5</v>
      </c>
      <c r="ZW50" s="138">
        <v>0.5</v>
      </c>
      <c r="ZX50" s="138">
        <v>0.5</v>
      </c>
      <c r="ZY50" s="138">
        <v>0.5</v>
      </c>
      <c r="ZZ50" s="137"/>
      <c r="AAA50" s="137"/>
      <c r="AAB50" s="137"/>
      <c r="AAC50" s="153"/>
      <c r="AAD50" s="304"/>
      <c r="AAE50" s="152"/>
      <c r="AAF50" s="131">
        <f>SUM(ZD50:AAE50)</f>
      </c>
      <c r="AAG50" s="134"/>
      <c r="AAH50" s="135"/>
      <c r="AAI50" s="136"/>
      <c r="AAJ50" s="138">
        <v>0.5</v>
      </c>
      <c r="AAK50" s="138">
        <v>0.5</v>
      </c>
      <c r="AAL50" s="138">
        <v>0.5</v>
      </c>
      <c r="AAM50" s="138">
        <v>0.5</v>
      </c>
      <c r="AAN50" s="138">
        <v>0.5</v>
      </c>
      <c r="AAO50" s="138">
        <v>0.5</v>
      </c>
      <c r="AAP50" s="139">
        <v>0.5</v>
      </c>
      <c r="AAQ50" s="140">
        <v>0.5</v>
      </c>
      <c r="AAR50" s="138">
        <v>0.5</v>
      </c>
      <c r="AAS50" s="148"/>
      <c r="AAT50" s="305"/>
      <c r="AAU50" s="142">
        <v>0.5</v>
      </c>
      <c r="AAV50" s="138">
        <v>0.5</v>
      </c>
      <c r="AAW50" s="138">
        <v>0.5</v>
      </c>
      <c r="AAX50" s="138">
        <v>0.5</v>
      </c>
      <c r="AAY50" s="138">
        <v>0.5</v>
      </c>
      <c r="AAZ50" s="138">
        <v>0.5</v>
      </c>
      <c r="ABA50" s="138">
        <v>0.5</v>
      </c>
      <c r="ABB50" s="138">
        <v>0.5</v>
      </c>
      <c r="ABC50" s="137"/>
      <c r="ABD50" s="137"/>
      <c r="ABE50" s="137"/>
      <c r="ABF50" s="153"/>
      <c r="ABG50" s="304"/>
      <c r="ABH50" s="152"/>
      <c r="ABI50" s="131">
        <f>SUM(AAG50:ABH50)</f>
      </c>
      <c r="ABJ50" s="134"/>
      <c r="ABK50" s="135"/>
      <c r="ABL50" s="142">
        <v>0.5</v>
      </c>
      <c r="ABM50" s="138">
        <v>0.5</v>
      </c>
      <c r="ABN50" s="138">
        <v>0.5</v>
      </c>
      <c r="ABO50" s="138">
        <v>0.5</v>
      </c>
      <c r="ABP50" s="138">
        <v>0.5</v>
      </c>
      <c r="ABQ50" s="138">
        <v>0.5</v>
      </c>
      <c r="ABR50" s="138">
        <v>0.5</v>
      </c>
      <c r="ABS50" s="139">
        <v>0.5</v>
      </c>
      <c r="ABT50" s="140">
        <v>0.5</v>
      </c>
      <c r="ABU50" s="138">
        <v>0.5</v>
      </c>
      <c r="ABV50" s="138">
        <v>0.5</v>
      </c>
      <c r="ABW50" s="149">
        <v>0.5</v>
      </c>
      <c r="ABX50" s="136"/>
      <c r="ABY50" s="137"/>
      <c r="ABZ50" s="137"/>
      <c r="ACA50" s="137"/>
      <c r="ACB50" s="137"/>
      <c r="ACC50" s="137"/>
      <c r="ACD50" s="137"/>
      <c r="ACE50" s="137"/>
      <c r="ACF50" s="137"/>
      <c r="ACG50" s="137"/>
      <c r="ACH50" s="137"/>
      <c r="ACI50" s="153"/>
      <c r="ACJ50" s="304"/>
      <c r="ACK50" s="152"/>
      <c r="ACL50" s="131">
        <f>SUM(ABJ50:ACK50)</f>
      </c>
      <c r="ACM50" s="121"/>
      <c r="ACN50" s="122"/>
      <c r="ACO50" s="123"/>
      <c r="ACP50" s="124"/>
      <c r="ACQ50" s="124"/>
      <c r="ACR50" s="124"/>
      <c r="ACS50" s="124"/>
      <c r="ACT50" s="124"/>
      <c r="ACU50" s="124"/>
      <c r="ACV50" s="125"/>
      <c r="ACW50" s="126"/>
      <c r="ACX50" s="124"/>
      <c r="ACY50" s="124"/>
      <c r="ACZ50" s="127"/>
      <c r="ADA50" s="123"/>
      <c r="ADB50" s="124"/>
      <c r="ADC50" s="124"/>
      <c r="ADD50" s="124"/>
      <c r="ADE50" s="124"/>
      <c r="ADF50" s="124"/>
      <c r="ADG50" s="124"/>
      <c r="ADH50" s="124"/>
      <c r="ADI50" s="124"/>
      <c r="ADJ50" s="124"/>
      <c r="ADK50" s="124"/>
      <c r="ADL50" s="125"/>
      <c r="ADM50" s="301"/>
      <c r="ADN50" s="151"/>
      <c r="ADO50" s="131">
        <f>SUM(ACM50:ADN50)</f>
      </c>
      <c r="ADP50" s="121"/>
      <c r="ADQ50" s="122"/>
      <c r="ADR50" s="123"/>
      <c r="ADS50" s="124"/>
      <c r="ADT50" s="124"/>
      <c r="ADU50" s="124"/>
      <c r="ADV50" s="124"/>
      <c r="ADW50" s="124"/>
      <c r="ADX50" s="124"/>
      <c r="ADY50" s="125"/>
      <c r="ADZ50" s="126"/>
      <c r="AEA50" s="124"/>
      <c r="AEB50" s="124"/>
      <c r="AEC50" s="127"/>
      <c r="AED50" s="123"/>
      <c r="AEE50" s="124"/>
      <c r="AEF50" s="124"/>
      <c r="AEG50" s="124"/>
      <c r="AEH50" s="124"/>
      <c r="AEI50" s="124"/>
      <c r="AEJ50" s="124"/>
      <c r="AEK50" s="124"/>
      <c r="AEL50" s="124"/>
      <c r="AEM50" s="124"/>
      <c r="AEN50" s="124"/>
      <c r="AEO50" s="125"/>
      <c r="AEP50" s="301"/>
      <c r="AEQ50" s="151"/>
      <c r="AER50" s="131">
        <f>SUM(ADP50:AEQ50)</f>
      </c>
      <c r="AES50" s="150">
        <f>XZ50+ZC50+AAF50+ABI50+ACL50+ADO50+AER50</f>
      </c>
      <c r="AET50" s="302">
        <f>(COUNTIF(WX50:AER50,"H")+COUNTIF(WX50:AER50,"S")+COUNTIF(WX50:AER50,"L")+COUNTIF(WX50:AER50,"E")+COUNTIF(WX50:AER50,"C"))/2</f>
      </c>
      <c r="AEU50" s="131">
        <f>AES50+AET50</f>
      </c>
      <c r="AEV50" s="134"/>
      <c r="AEW50" s="135"/>
      <c r="AEX50" s="136"/>
      <c r="AEY50" s="138">
        <v>0.5</v>
      </c>
      <c r="AEZ50" s="138">
        <v>0.5</v>
      </c>
      <c r="AFA50" s="138">
        <v>0.5</v>
      </c>
      <c r="AFB50" s="138">
        <v>0.5</v>
      </c>
      <c r="AFC50" s="138">
        <v>0.5</v>
      </c>
      <c r="AFD50" s="138">
        <v>0.5</v>
      </c>
      <c r="AFE50" s="139">
        <v>0.5</v>
      </c>
      <c r="AFF50" s="155"/>
      <c r="AFG50" s="137"/>
      <c r="AFH50" s="138">
        <v>0.5</v>
      </c>
      <c r="AFI50" s="149">
        <v>0.5</v>
      </c>
      <c r="AFJ50" s="142">
        <v>0.5</v>
      </c>
      <c r="AFK50" s="138">
        <v>0.5</v>
      </c>
      <c r="AFL50" s="138">
        <v>0.5</v>
      </c>
      <c r="AFM50" s="138">
        <v>0.5</v>
      </c>
      <c r="AFN50" s="138">
        <v>0.5</v>
      </c>
      <c r="AFO50" s="138">
        <v>0.5</v>
      </c>
      <c r="AFP50" s="138">
        <v>0.5</v>
      </c>
      <c r="AFQ50" s="138">
        <v>0.5</v>
      </c>
      <c r="AFR50" s="137"/>
      <c r="AFS50" s="137"/>
      <c r="AFT50" s="137"/>
      <c r="AFU50" s="153"/>
      <c r="AFV50" s="304"/>
      <c r="AFW50" s="152"/>
      <c r="AFX50" s="131">
        <f>SUM(AEV50:AFW50)</f>
      </c>
      <c r="AFY50" s="134"/>
      <c r="AFZ50" s="135"/>
      <c r="AGA50" s="136"/>
      <c r="AGB50" s="138">
        <v>0.5</v>
      </c>
      <c r="AGC50" s="138">
        <v>0.5</v>
      </c>
      <c r="AGD50" s="138">
        <v>0.5</v>
      </c>
      <c r="AGE50" s="138">
        <v>0.5</v>
      </c>
      <c r="AGF50" s="138">
        <v>0.5</v>
      </c>
      <c r="AGG50" s="138">
        <v>0.5</v>
      </c>
      <c r="AGH50" s="139">
        <v>0.5</v>
      </c>
      <c r="AGI50" s="155"/>
      <c r="AGJ50" s="137"/>
      <c r="AGK50" s="138">
        <v>0.5</v>
      </c>
      <c r="AGL50" s="149">
        <v>0.5</v>
      </c>
      <c r="AGM50" s="142">
        <v>0.5</v>
      </c>
      <c r="AGN50" s="138">
        <v>0.5</v>
      </c>
      <c r="AGO50" s="138">
        <v>0.5</v>
      </c>
      <c r="AGP50" s="138">
        <v>0.5</v>
      </c>
      <c r="AGQ50" s="138">
        <v>0.5</v>
      </c>
      <c r="AGR50" s="138">
        <v>0.5</v>
      </c>
      <c r="AGS50" s="138">
        <v>0.5</v>
      </c>
      <c r="AGT50" s="138">
        <v>0.5</v>
      </c>
      <c r="AGU50" s="137"/>
      <c r="AGV50" s="137"/>
      <c r="AGW50" s="137"/>
      <c r="AGX50" s="153"/>
      <c r="AGY50" s="304"/>
      <c r="AGZ50" s="152"/>
      <c r="AHA50" s="131">
        <f>SUM(AFY50:AGZ50)</f>
      </c>
      <c r="AHB50" s="134"/>
      <c r="AHC50" s="135"/>
      <c r="AHD50" s="136"/>
      <c r="AHE50" s="138">
        <v>0.5</v>
      </c>
      <c r="AHF50" s="138">
        <v>0.5</v>
      </c>
      <c r="AHG50" s="138">
        <v>0.5</v>
      </c>
      <c r="AHH50" s="138">
        <v>0.5</v>
      </c>
      <c r="AHI50" s="138">
        <v>0.5</v>
      </c>
      <c r="AHJ50" s="138">
        <v>0.5</v>
      </c>
      <c r="AHK50" s="139">
        <v>0.5</v>
      </c>
      <c r="AHL50" s="155"/>
      <c r="AHM50" s="137"/>
      <c r="AHN50" s="138">
        <v>0.5</v>
      </c>
      <c r="AHO50" s="149">
        <v>0.5</v>
      </c>
      <c r="AHP50" s="142">
        <v>0.5</v>
      </c>
      <c r="AHQ50" s="138">
        <v>0.5</v>
      </c>
      <c r="AHR50" s="138">
        <v>0.5</v>
      </c>
      <c r="AHS50" s="138">
        <v>0.5</v>
      </c>
      <c r="AHT50" s="138">
        <v>0.5</v>
      </c>
      <c r="AHU50" s="138">
        <v>0.5</v>
      </c>
      <c r="AHV50" s="138">
        <v>0.5</v>
      </c>
      <c r="AHW50" s="138">
        <v>0.5</v>
      </c>
      <c r="AHX50" s="137"/>
      <c r="AHY50" s="137"/>
      <c r="AHZ50" s="137"/>
      <c r="AIA50" s="153"/>
      <c r="AIB50" s="304"/>
      <c r="AIC50" s="152"/>
      <c r="AID50" s="131">
        <f>SUM(AHB50:AIC50)</f>
      </c>
      <c r="AIE50" s="134"/>
      <c r="AIF50" s="135"/>
      <c r="AIG50" s="136"/>
      <c r="AIH50" s="138">
        <v>0.5</v>
      </c>
      <c r="AII50" s="138">
        <v>0.5</v>
      </c>
      <c r="AIJ50" s="138">
        <v>0.5</v>
      </c>
      <c r="AIK50" s="138">
        <v>0.5</v>
      </c>
      <c r="AIL50" s="138">
        <v>0.5</v>
      </c>
      <c r="AIM50" s="138">
        <v>0.5</v>
      </c>
      <c r="AIN50" s="139">
        <v>0.5</v>
      </c>
      <c r="AIO50" s="155"/>
      <c r="AIP50" s="137"/>
      <c r="AIQ50" s="138">
        <v>0.5</v>
      </c>
      <c r="AIR50" s="149">
        <v>0.5</v>
      </c>
      <c r="AIS50" s="142">
        <v>0.5</v>
      </c>
      <c r="AIT50" s="138">
        <v>0.5</v>
      </c>
      <c r="AIU50" s="138">
        <v>0.5</v>
      </c>
      <c r="AIV50" s="138">
        <v>0.5</v>
      </c>
      <c r="AIW50" s="138">
        <v>0.5</v>
      </c>
      <c r="AIX50" s="138">
        <v>0.5</v>
      </c>
      <c r="AIY50" s="138">
        <v>0.5</v>
      </c>
      <c r="AIZ50" s="138">
        <v>0.5</v>
      </c>
      <c r="AJA50" s="137"/>
      <c r="AJB50" s="137"/>
      <c r="AJC50" s="137"/>
      <c r="AJD50" s="153"/>
      <c r="AJE50" s="304"/>
      <c r="AJF50" s="152"/>
      <c r="AJG50" s="131">
        <f>SUM(AIE50:AJF50)</f>
      </c>
      <c r="AJH50" s="134"/>
      <c r="AJI50" s="135"/>
      <c r="AJJ50" s="142">
        <v>0.5</v>
      </c>
      <c r="AJK50" s="138">
        <v>0.5</v>
      </c>
      <c r="AJL50" s="138">
        <v>0.5</v>
      </c>
      <c r="AJM50" s="138">
        <v>0.5</v>
      </c>
      <c r="AJN50" s="138">
        <v>0.5</v>
      </c>
      <c r="AJO50" s="138">
        <v>0.5</v>
      </c>
      <c r="AJP50" s="138">
        <v>0.5</v>
      </c>
      <c r="AJQ50" s="139">
        <v>0.5</v>
      </c>
      <c r="AJR50" s="140">
        <v>0.5</v>
      </c>
      <c r="AJS50" s="138">
        <v>0.5</v>
      </c>
      <c r="AJT50" s="138">
        <v>0.5</v>
      </c>
      <c r="AJU50" s="149">
        <v>0.5</v>
      </c>
      <c r="AJV50" s="136"/>
      <c r="AJW50" s="137"/>
      <c r="AJX50" s="137"/>
      <c r="AJY50" s="137"/>
      <c r="AJZ50" s="137"/>
      <c r="AKA50" s="137"/>
      <c r="AKB50" s="137"/>
      <c r="AKC50" s="137"/>
      <c r="AKD50" s="137"/>
      <c r="AKE50" s="137"/>
      <c r="AKF50" s="137"/>
      <c r="AKG50" s="153"/>
      <c r="AKH50" s="304"/>
      <c r="AKI50" s="152"/>
      <c r="AKJ50" s="131">
        <f>SUM(AJH50:AKI50)</f>
      </c>
      <c r="AKK50" s="121"/>
      <c r="AKL50" s="122"/>
      <c r="AKM50" s="123"/>
      <c r="AKN50" s="124"/>
      <c r="AKO50" s="124"/>
      <c r="AKP50" s="124"/>
      <c r="AKQ50" s="124"/>
      <c r="AKR50" s="124"/>
      <c r="AKS50" s="124"/>
      <c r="AKT50" s="125"/>
      <c r="AKU50" s="126"/>
      <c r="AKV50" s="124"/>
      <c r="AKW50" s="124"/>
      <c r="AKX50" s="127"/>
      <c r="AKY50" s="123"/>
      <c r="AKZ50" s="124"/>
      <c r="ALA50" s="124"/>
      <c r="ALB50" s="124"/>
      <c r="ALC50" s="124"/>
      <c r="ALD50" s="124"/>
      <c r="ALE50" s="124"/>
      <c r="ALF50" s="124"/>
      <c r="ALG50" s="124"/>
      <c r="ALH50" s="124"/>
      <c r="ALI50" s="124"/>
      <c r="ALJ50" s="125"/>
      <c r="ALK50" s="301"/>
      <c r="ALL50" s="151"/>
      <c r="ALM50" s="131">
        <f>SUM(AKK50:ALL50)</f>
      </c>
      <c r="ALN50" s="121"/>
      <c r="ALO50" s="122"/>
      <c r="ALP50" s="123"/>
      <c r="ALQ50" s="124"/>
      <c r="ALR50" s="124"/>
      <c r="ALS50" s="124"/>
      <c r="ALT50" s="124"/>
      <c r="ALU50" s="124"/>
      <c r="ALV50" s="124"/>
      <c r="ALW50" s="125"/>
      <c r="ALX50" s="126"/>
      <c r="ALY50" s="124"/>
      <c r="ALZ50" s="124"/>
      <c r="AMA50" s="127"/>
      <c r="AMB50" s="123"/>
      <c r="AMC50" s="124"/>
      <c r="AMD50" s="124"/>
      <c r="AME50" s="124"/>
      <c r="AMF50" s="124"/>
      <c r="AMG50" s="124"/>
      <c r="AMH50" s="124"/>
      <c r="AMI50" s="124"/>
      <c r="AMJ50" s="124"/>
      <c r="AMK50" s="124"/>
      <c r="AML50" s="124"/>
      <c r="AMM50" s="125"/>
      <c r="AMN50" s="301"/>
      <c r="AMO50" s="151"/>
      <c r="AMP50" s="131">
        <f>SUM(ALN50:AMO50)</f>
      </c>
      <c r="AMQ50" s="150">
        <f>AFX50+AHA50+AID50+AJG50+AKJ50+ALM50+AMP50</f>
      </c>
      <c r="AMR50" s="302">
        <f>(COUNTIF(AEV50:AMP50,"H")+COUNTIF(AEV50:AMP50,"S")+COUNTIF(AEV50:AMP50,"L")+COUNTIF(AEV50:AMP50,"E")+COUNTIF(AEV50:AMP50,"C"))/2</f>
      </c>
      <c r="AMS50" s="131">
        <f>AMQ50+AMR50</f>
      </c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13"/>
      <c r="ANK50" s="13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</row>
    <row r="51" ht="15" customHeight="1" spans="1:1191" x14ac:dyDescent="0.25">
      <c r="A51" s="232"/>
      <c r="B51" s="342" t="s">
        <v>90</v>
      </c>
      <c r="C51" s="343" t="s">
        <v>55</v>
      </c>
      <c r="D51" s="344"/>
      <c r="E51" s="345"/>
      <c r="F51" s="346"/>
      <c r="G51" s="239"/>
      <c r="H51" s="239"/>
      <c r="I51" s="239"/>
      <c r="J51" s="239"/>
      <c r="K51" s="239"/>
      <c r="L51" s="239"/>
      <c r="M51" s="238"/>
      <c r="N51" s="240"/>
      <c r="O51" s="239"/>
      <c r="P51" s="239"/>
      <c r="Q51" s="241"/>
      <c r="R51" s="346"/>
      <c r="S51" s="239"/>
      <c r="T51" s="239"/>
      <c r="U51" s="239"/>
      <c r="V51" s="239"/>
      <c r="W51" s="239"/>
      <c r="X51" s="239"/>
      <c r="Y51" s="239"/>
      <c r="Z51" s="239"/>
      <c r="AA51" s="239"/>
      <c r="AB51" s="239"/>
      <c r="AC51" s="238"/>
      <c r="AD51" s="345"/>
      <c r="AE51" s="237"/>
      <c r="AF51" s="244">
        <f>SUM(D51:AE51)</f>
      </c>
      <c r="AG51" s="344"/>
      <c r="AH51" s="345"/>
      <c r="AI51" s="346"/>
      <c r="AJ51" s="239"/>
      <c r="AK51" s="239"/>
      <c r="AL51" s="239"/>
      <c r="AM51" s="239"/>
      <c r="AN51" s="239"/>
      <c r="AO51" s="239"/>
      <c r="AP51" s="238"/>
      <c r="AQ51" s="240"/>
      <c r="AR51" s="239"/>
      <c r="AS51" s="239"/>
      <c r="AT51" s="241"/>
      <c r="AU51" s="346"/>
      <c r="AV51" s="239"/>
      <c r="AW51" s="239"/>
      <c r="AX51" s="239"/>
      <c r="AY51" s="239"/>
      <c r="AZ51" s="239"/>
      <c r="BA51" s="239"/>
      <c r="BB51" s="239"/>
      <c r="BC51" s="239"/>
      <c r="BD51" s="239"/>
      <c r="BE51" s="239"/>
      <c r="BF51" s="238"/>
      <c r="BG51" s="345"/>
      <c r="BH51" s="237"/>
      <c r="BI51" s="244">
        <f>SUM(AG51:BH51)</f>
      </c>
      <c r="BJ51" s="344"/>
      <c r="BK51" s="345"/>
      <c r="BL51" s="346"/>
      <c r="BM51" s="239"/>
      <c r="BN51" s="239"/>
      <c r="BO51" s="239"/>
      <c r="BP51" s="239"/>
      <c r="BQ51" s="239"/>
      <c r="BR51" s="239"/>
      <c r="BS51" s="238"/>
      <c r="BT51" s="240"/>
      <c r="BU51" s="239"/>
      <c r="BV51" s="239"/>
      <c r="BW51" s="241"/>
      <c r="BX51" s="346"/>
      <c r="BY51" s="239"/>
      <c r="BZ51" s="239"/>
      <c r="CA51" s="239"/>
      <c r="CB51" s="239"/>
      <c r="CC51" s="239"/>
      <c r="CD51" s="239"/>
      <c r="CE51" s="239"/>
      <c r="CF51" s="239"/>
      <c r="CG51" s="239"/>
      <c r="CH51" s="239"/>
      <c r="CI51" s="238"/>
      <c r="CJ51" s="345"/>
      <c r="CK51" s="237"/>
      <c r="CL51" s="244">
        <f>SUM(BJ51:CK51)</f>
      </c>
      <c r="CM51" s="344"/>
      <c r="CN51" s="345"/>
      <c r="CO51" s="346"/>
      <c r="CP51" s="239"/>
      <c r="CQ51" s="239"/>
      <c r="CR51" s="239"/>
      <c r="CS51" s="239"/>
      <c r="CT51" s="239"/>
      <c r="CU51" s="239"/>
      <c r="CV51" s="238"/>
      <c r="CW51" s="240"/>
      <c r="CX51" s="239"/>
      <c r="CY51" s="239"/>
      <c r="CZ51" s="241"/>
      <c r="DA51" s="346"/>
      <c r="DB51" s="239"/>
      <c r="DC51" s="239"/>
      <c r="DD51" s="239"/>
      <c r="DE51" s="239"/>
      <c r="DF51" s="239"/>
      <c r="DG51" s="239"/>
      <c r="DH51" s="239"/>
      <c r="DI51" s="239"/>
      <c r="DJ51" s="239"/>
      <c r="DK51" s="239"/>
      <c r="DL51" s="238"/>
      <c r="DM51" s="345"/>
      <c r="DN51" s="237"/>
      <c r="DO51" s="244">
        <f>SUM(CM51:DN51)</f>
      </c>
      <c r="DP51" s="344"/>
      <c r="DQ51" s="345"/>
      <c r="DR51" s="346"/>
      <c r="DS51" s="239"/>
      <c r="DT51" s="239"/>
      <c r="DU51" s="239"/>
      <c r="DV51" s="239"/>
      <c r="DW51" s="239"/>
      <c r="DX51" s="239"/>
      <c r="DY51" s="238"/>
      <c r="DZ51" s="240"/>
      <c r="EA51" s="239"/>
      <c r="EB51" s="239"/>
      <c r="EC51" s="241"/>
      <c r="ED51" s="346"/>
      <c r="EE51" s="239"/>
      <c r="EF51" s="239"/>
      <c r="EG51" s="239"/>
      <c r="EH51" s="239"/>
      <c r="EI51" s="239"/>
      <c r="EJ51" s="239"/>
      <c r="EK51" s="239"/>
      <c r="EL51" s="239"/>
      <c r="EM51" s="239"/>
      <c r="EN51" s="239"/>
      <c r="EO51" s="238"/>
      <c r="EP51" s="345"/>
      <c r="EQ51" s="237"/>
      <c r="ER51" s="244">
        <f>SUM(DP51:EQ51)</f>
      </c>
      <c r="ES51" s="344"/>
      <c r="ET51" s="345"/>
      <c r="EU51" s="346"/>
      <c r="EV51" s="239"/>
      <c r="EW51" s="239"/>
      <c r="EX51" s="239"/>
      <c r="EY51" s="239"/>
      <c r="EZ51" s="239"/>
      <c r="FA51" s="239"/>
      <c r="FB51" s="238"/>
      <c r="FC51" s="240"/>
      <c r="FD51" s="239"/>
      <c r="FE51" s="239"/>
      <c r="FF51" s="241"/>
      <c r="FG51" s="346"/>
      <c r="FH51" s="239"/>
      <c r="FI51" s="239"/>
      <c r="FJ51" s="239"/>
      <c r="FK51" s="239"/>
      <c r="FL51" s="239"/>
      <c r="FM51" s="239"/>
      <c r="FN51" s="239"/>
      <c r="FO51" s="239"/>
      <c r="FP51" s="239"/>
      <c r="FQ51" s="239"/>
      <c r="FR51" s="238"/>
      <c r="FS51" s="345"/>
      <c r="FT51" s="237"/>
      <c r="FU51" s="244">
        <f>SUM(ES51:FT51)</f>
      </c>
      <c r="FV51" s="344"/>
      <c r="FW51" s="345"/>
      <c r="FX51" s="346"/>
      <c r="FY51" s="239"/>
      <c r="FZ51" s="239"/>
      <c r="GA51" s="239"/>
      <c r="GB51" s="239"/>
      <c r="GC51" s="239"/>
      <c r="GD51" s="239"/>
      <c r="GE51" s="238"/>
      <c r="GF51" s="240"/>
      <c r="GG51" s="239"/>
      <c r="GH51" s="239"/>
      <c r="GI51" s="241"/>
      <c r="GJ51" s="346"/>
      <c r="GK51" s="239"/>
      <c r="GL51" s="239"/>
      <c r="GM51" s="239"/>
      <c r="GN51" s="239"/>
      <c r="GO51" s="239"/>
      <c r="GP51" s="239"/>
      <c r="GQ51" s="239"/>
      <c r="GR51" s="239"/>
      <c r="GS51" s="239"/>
      <c r="GT51" s="239"/>
      <c r="GU51" s="238"/>
      <c r="GV51" s="345"/>
      <c r="GW51" s="237"/>
      <c r="GX51" s="244">
        <f>SUM(FV51:GW51)</f>
      </c>
      <c r="GY51" s="264">
        <f>AF51+BI51+CL51+DO51+ER51+FU51+GX51</f>
      </c>
      <c r="GZ51" s="347">
        <f>(COUNTIF(D51:GX51,"H")+COUNTIF(D51:GX51,"S")+COUNTIF(D51:GX51,"L")+COUNTIF(D51:GX51,"E")+COUNTIF(D51:GX51,"C"))/2</f>
      </c>
      <c r="HA51" s="244">
        <f>GY51+GZ51</f>
      </c>
      <c r="HB51" s="348"/>
      <c r="HC51" s="349"/>
      <c r="HD51" s="350"/>
      <c r="HE51" s="261">
        <v>0.5</v>
      </c>
      <c r="HF51" s="261">
        <v>0.5</v>
      </c>
      <c r="HG51" s="261">
        <v>0.5</v>
      </c>
      <c r="HH51" s="261">
        <v>0.5</v>
      </c>
      <c r="HI51" s="261">
        <v>0.5</v>
      </c>
      <c r="HJ51" s="261">
        <v>0.5</v>
      </c>
      <c r="HK51" s="262">
        <v>0.5</v>
      </c>
      <c r="HL51" s="265"/>
      <c r="HM51" s="256"/>
      <c r="HN51" s="261">
        <v>0.5</v>
      </c>
      <c r="HO51" s="266">
        <v>0.5</v>
      </c>
      <c r="HP51" s="351">
        <v>0.5</v>
      </c>
      <c r="HQ51" s="261">
        <v>0.5</v>
      </c>
      <c r="HR51" s="261">
        <v>0.5</v>
      </c>
      <c r="HS51" s="261">
        <v>0.5</v>
      </c>
      <c r="HT51" s="261">
        <v>0.5</v>
      </c>
      <c r="HU51" s="261">
        <v>0.5</v>
      </c>
      <c r="HV51" s="261">
        <v>0.5</v>
      </c>
      <c r="HW51" s="261">
        <v>0.5</v>
      </c>
      <c r="HX51" s="256"/>
      <c r="HY51" s="256"/>
      <c r="HZ51" s="256"/>
      <c r="IA51" s="251"/>
      <c r="IB51" s="349"/>
      <c r="IC51" s="250"/>
      <c r="ID51" s="244">
        <f>SUM(HB51:IC51)</f>
      </c>
      <c r="IE51" s="348"/>
      <c r="IF51" s="349"/>
      <c r="IG51" s="350"/>
      <c r="IH51" s="261">
        <v>0.5</v>
      </c>
      <c r="II51" s="261">
        <v>0.5</v>
      </c>
      <c r="IJ51" s="261">
        <v>0.5</v>
      </c>
      <c r="IK51" s="261">
        <v>0.5</v>
      </c>
      <c r="IL51" s="261">
        <v>0.5</v>
      </c>
      <c r="IM51" s="261">
        <v>0.5</v>
      </c>
      <c r="IN51" s="262">
        <v>0.5</v>
      </c>
      <c r="IO51" s="265"/>
      <c r="IP51" s="256"/>
      <c r="IQ51" s="261">
        <v>0.5</v>
      </c>
      <c r="IR51" s="266">
        <v>0.5</v>
      </c>
      <c r="IS51" s="351">
        <v>0.5</v>
      </c>
      <c r="IT51" s="261">
        <v>0.5</v>
      </c>
      <c r="IU51" s="261">
        <v>0.5</v>
      </c>
      <c r="IV51" s="261">
        <v>0.5</v>
      </c>
      <c r="IW51" s="261">
        <v>0.5</v>
      </c>
      <c r="IX51" s="261">
        <v>0.5</v>
      </c>
      <c r="IY51" s="261">
        <v>0.5</v>
      </c>
      <c r="IZ51" s="261">
        <v>0.5</v>
      </c>
      <c r="JA51" s="256"/>
      <c r="JB51" s="256"/>
      <c r="JC51" s="256"/>
      <c r="JD51" s="251"/>
      <c r="JE51" s="349"/>
      <c r="JF51" s="250"/>
      <c r="JG51" s="244">
        <f>SUM(IE51:JF51)</f>
      </c>
      <c r="JH51" s="348"/>
      <c r="JI51" s="349"/>
      <c r="JJ51" s="350"/>
      <c r="JK51" s="261">
        <v>0.5</v>
      </c>
      <c r="JL51" s="261">
        <v>0.5</v>
      </c>
      <c r="JM51" s="261">
        <v>0.5</v>
      </c>
      <c r="JN51" s="261">
        <v>0.5</v>
      </c>
      <c r="JO51" s="261">
        <v>0.5</v>
      </c>
      <c r="JP51" s="261">
        <v>0.5</v>
      </c>
      <c r="JQ51" s="262">
        <v>0.5</v>
      </c>
      <c r="JR51" s="265"/>
      <c r="JS51" s="256"/>
      <c r="JT51" s="261">
        <v>0.5</v>
      </c>
      <c r="JU51" s="266">
        <v>0.5</v>
      </c>
      <c r="JV51" s="351">
        <v>0.5</v>
      </c>
      <c r="JW51" s="261">
        <v>0.5</v>
      </c>
      <c r="JX51" s="261">
        <v>0.5</v>
      </c>
      <c r="JY51" s="261">
        <v>0.5</v>
      </c>
      <c r="JZ51" s="261">
        <v>0.5</v>
      </c>
      <c r="KA51" s="261">
        <v>0.5</v>
      </c>
      <c r="KB51" s="261">
        <v>0.5</v>
      </c>
      <c r="KC51" s="261">
        <v>0.5</v>
      </c>
      <c r="KD51" s="256"/>
      <c r="KE51" s="256"/>
      <c r="KF51" s="256"/>
      <c r="KG51" s="251"/>
      <c r="KH51" s="349"/>
      <c r="KI51" s="250"/>
      <c r="KJ51" s="244">
        <f>SUM(JH51:KI51)</f>
      </c>
      <c r="KK51" s="348"/>
      <c r="KL51" s="349"/>
      <c r="KM51" s="350"/>
      <c r="KN51" s="261">
        <v>0.5</v>
      </c>
      <c r="KO51" s="261">
        <v>0.5</v>
      </c>
      <c r="KP51" s="261">
        <v>0.5</v>
      </c>
      <c r="KQ51" s="261">
        <v>0.5</v>
      </c>
      <c r="KR51" s="261">
        <v>0.5</v>
      </c>
      <c r="KS51" s="261">
        <v>0.5</v>
      </c>
      <c r="KT51" s="262">
        <v>0.5</v>
      </c>
      <c r="KU51" s="265"/>
      <c r="KV51" s="256"/>
      <c r="KW51" s="261">
        <v>0.5</v>
      </c>
      <c r="KX51" s="266">
        <v>0.5</v>
      </c>
      <c r="KY51" s="351">
        <v>0.5</v>
      </c>
      <c r="KZ51" s="261">
        <v>0.5</v>
      </c>
      <c r="LA51" s="261">
        <v>0.5</v>
      </c>
      <c r="LB51" s="261">
        <v>0.5</v>
      </c>
      <c r="LC51" s="261">
        <v>0.5</v>
      </c>
      <c r="LD51" s="261">
        <v>0.5</v>
      </c>
      <c r="LE51" s="261">
        <v>0.5</v>
      </c>
      <c r="LF51" s="261">
        <v>0.5</v>
      </c>
      <c r="LG51" s="256"/>
      <c r="LH51" s="256"/>
      <c r="LI51" s="256"/>
      <c r="LJ51" s="251"/>
      <c r="LK51" s="349"/>
      <c r="LL51" s="250"/>
      <c r="LM51" s="244">
        <f>SUM(KK51:LL51)</f>
      </c>
      <c r="LN51" s="348"/>
      <c r="LO51" s="349"/>
      <c r="LP51" s="351">
        <v>0.5</v>
      </c>
      <c r="LQ51" s="261">
        <v>0.5</v>
      </c>
      <c r="LR51" s="261">
        <v>0.5</v>
      </c>
      <c r="LS51" s="261">
        <v>0.5</v>
      </c>
      <c r="LT51" s="261">
        <v>0.5</v>
      </c>
      <c r="LU51" s="261">
        <v>0.5</v>
      </c>
      <c r="LV51" s="261">
        <v>0.5</v>
      </c>
      <c r="LW51" s="262">
        <v>0.5</v>
      </c>
      <c r="LX51" s="263">
        <v>0.5</v>
      </c>
      <c r="LY51" s="261">
        <v>0.5</v>
      </c>
      <c r="LZ51" s="261">
        <v>0.5</v>
      </c>
      <c r="MA51" s="266">
        <v>0.5</v>
      </c>
      <c r="MB51" s="350"/>
      <c r="MC51" s="256"/>
      <c r="MD51" s="256"/>
      <c r="ME51" s="256"/>
      <c r="MF51" s="256"/>
      <c r="MG51" s="256"/>
      <c r="MH51" s="256"/>
      <c r="MI51" s="256"/>
      <c r="MJ51" s="256"/>
      <c r="MK51" s="256"/>
      <c r="ML51" s="256"/>
      <c r="MM51" s="251"/>
      <c r="MN51" s="349"/>
      <c r="MO51" s="250"/>
      <c r="MP51" s="244">
        <f>SUM(LN51:MO51)</f>
      </c>
      <c r="MQ51" s="344"/>
      <c r="MR51" s="345"/>
      <c r="MS51" s="346"/>
      <c r="MT51" s="239"/>
      <c r="MU51" s="239"/>
      <c r="MV51" s="239"/>
      <c r="MW51" s="239"/>
      <c r="MX51" s="239"/>
      <c r="MY51" s="239"/>
      <c r="MZ51" s="238"/>
      <c r="NA51" s="240"/>
      <c r="NB51" s="239"/>
      <c r="NC51" s="239"/>
      <c r="ND51" s="241"/>
      <c r="NE51" s="346"/>
      <c r="NF51" s="239"/>
      <c r="NG51" s="239"/>
      <c r="NH51" s="239"/>
      <c r="NI51" s="239"/>
      <c r="NJ51" s="239"/>
      <c r="NK51" s="239"/>
      <c r="NL51" s="239"/>
      <c r="NM51" s="239"/>
      <c r="NN51" s="239"/>
      <c r="NO51" s="239"/>
      <c r="NP51" s="238"/>
      <c r="NQ51" s="345"/>
      <c r="NR51" s="237"/>
      <c r="NS51" s="244">
        <f>SUM(MQ51:NR51)</f>
      </c>
      <c r="NT51" s="344"/>
      <c r="NU51" s="345"/>
      <c r="NV51" s="346"/>
      <c r="NW51" s="239"/>
      <c r="NX51" s="239"/>
      <c r="NY51" s="239"/>
      <c r="NZ51" s="239"/>
      <c r="OA51" s="239"/>
      <c r="OB51" s="239"/>
      <c r="OC51" s="238"/>
      <c r="OD51" s="240"/>
      <c r="OE51" s="239"/>
      <c r="OF51" s="239"/>
      <c r="OG51" s="241"/>
      <c r="OH51" s="346"/>
      <c r="OI51" s="239"/>
      <c r="OJ51" s="239"/>
      <c r="OK51" s="239"/>
      <c r="OL51" s="239"/>
      <c r="OM51" s="239"/>
      <c r="ON51" s="239"/>
      <c r="OO51" s="239"/>
      <c r="OP51" s="239"/>
      <c r="OQ51" s="239"/>
      <c r="OR51" s="239"/>
      <c r="OS51" s="238"/>
      <c r="OT51" s="345"/>
      <c r="OU51" s="237"/>
      <c r="OV51" s="244">
        <f>SUM(NT51:OU51)</f>
      </c>
      <c r="OW51" s="264">
        <f>ID51+JG51+KJ51+LM51+MP51+NS51+OV51</f>
      </c>
      <c r="OX51" s="347">
        <f>(COUNTIF(HB51:OV51,"H")+COUNTIF(HB51:OV51,"S")+COUNTIF(HB51:OV51,"L")+COUNTIF(HB51:OV51,"E")+COUNTIF(HB51:OV51,"C"))/2</f>
      </c>
      <c r="OY51" s="244">
        <f>OW51+OX51</f>
      </c>
      <c r="OZ51" s="348"/>
      <c r="PA51" s="349"/>
      <c r="PB51" s="350"/>
      <c r="PC51" s="352" t="s">
        <v>4</v>
      </c>
      <c r="PD51" s="352" t="s">
        <v>4</v>
      </c>
      <c r="PE51" s="352" t="s">
        <v>4</v>
      </c>
      <c r="PF51" s="352" t="s">
        <v>4</v>
      </c>
      <c r="PG51" s="352" t="s">
        <v>4</v>
      </c>
      <c r="PH51" s="352" t="s">
        <v>4</v>
      </c>
      <c r="PI51" s="353" t="s">
        <v>4</v>
      </c>
      <c r="PJ51" s="265"/>
      <c r="PK51" s="256"/>
      <c r="PL51" s="352" t="s">
        <v>4</v>
      </c>
      <c r="PM51" s="354" t="s">
        <v>4</v>
      </c>
      <c r="PN51" s="355" t="s">
        <v>4</v>
      </c>
      <c r="PO51" s="352" t="s">
        <v>4</v>
      </c>
      <c r="PP51" s="352" t="s">
        <v>4</v>
      </c>
      <c r="PQ51" s="352" t="s">
        <v>4</v>
      </c>
      <c r="PR51" s="352" t="s">
        <v>4</v>
      </c>
      <c r="PS51" s="352" t="s">
        <v>4</v>
      </c>
      <c r="PT51" s="352" t="s">
        <v>4</v>
      </c>
      <c r="PU51" s="256"/>
      <c r="PV51" s="256"/>
      <c r="PW51" s="256"/>
      <c r="PX51" s="256"/>
      <c r="PY51" s="251"/>
      <c r="PZ51" s="349"/>
      <c r="QA51" s="250"/>
      <c r="QB51" s="244">
        <f>SUM(OZ51:QA51)</f>
      </c>
      <c r="QC51" s="348"/>
      <c r="QD51" s="349"/>
      <c r="QE51" s="350"/>
      <c r="QF51" s="352" t="s">
        <v>4</v>
      </c>
      <c r="QG51" s="352" t="s">
        <v>4</v>
      </c>
      <c r="QH51" s="352" t="s">
        <v>4</v>
      </c>
      <c r="QI51" s="352" t="s">
        <v>4</v>
      </c>
      <c r="QJ51" s="352" t="s">
        <v>4</v>
      </c>
      <c r="QK51" s="352" t="s">
        <v>4</v>
      </c>
      <c r="QL51" s="353" t="s">
        <v>4</v>
      </c>
      <c r="QM51" s="265"/>
      <c r="QN51" s="256"/>
      <c r="QO51" s="352" t="s">
        <v>4</v>
      </c>
      <c r="QP51" s="354" t="s">
        <v>4</v>
      </c>
      <c r="QQ51" s="355" t="s">
        <v>4</v>
      </c>
      <c r="QR51" s="352" t="s">
        <v>4</v>
      </c>
      <c r="QS51" s="352" t="s">
        <v>4</v>
      </c>
      <c r="QT51" s="352" t="s">
        <v>4</v>
      </c>
      <c r="QU51" s="352" t="s">
        <v>4</v>
      </c>
      <c r="QV51" s="352" t="s">
        <v>4</v>
      </c>
      <c r="QW51" s="352" t="s">
        <v>4</v>
      </c>
      <c r="QX51" s="256"/>
      <c r="QY51" s="256"/>
      <c r="QZ51" s="256"/>
      <c r="RA51" s="256"/>
      <c r="RB51" s="251"/>
      <c r="RC51" s="349"/>
      <c r="RD51" s="250"/>
      <c r="RE51" s="244">
        <f>SUM(QC51:RD51)</f>
      </c>
      <c r="RF51" s="348"/>
      <c r="RG51" s="349"/>
      <c r="RH51" s="350"/>
      <c r="RI51" s="261">
        <v>0.5</v>
      </c>
      <c r="RJ51" s="261">
        <v>0.5</v>
      </c>
      <c r="RK51" s="261">
        <v>0.5</v>
      </c>
      <c r="RL51" s="261">
        <v>0.5</v>
      </c>
      <c r="RM51" s="261">
        <v>0.5</v>
      </c>
      <c r="RN51" s="261">
        <v>0.5</v>
      </c>
      <c r="RO51" s="262">
        <v>0.5</v>
      </c>
      <c r="RP51" s="265"/>
      <c r="RQ51" s="256"/>
      <c r="RR51" s="261">
        <v>0.5</v>
      </c>
      <c r="RS51" s="266">
        <v>0.5</v>
      </c>
      <c r="RT51" s="351">
        <v>0.5</v>
      </c>
      <c r="RU51" s="261">
        <v>0.5</v>
      </c>
      <c r="RV51" s="261">
        <v>0.5</v>
      </c>
      <c r="RW51" s="261">
        <v>0.5</v>
      </c>
      <c r="RX51" s="261">
        <v>0.5</v>
      </c>
      <c r="RY51" s="261">
        <v>0.5</v>
      </c>
      <c r="RZ51" s="261">
        <v>0.5</v>
      </c>
      <c r="SA51" s="256"/>
      <c r="SB51" s="256"/>
      <c r="SC51" s="256"/>
      <c r="SD51" s="256"/>
      <c r="SE51" s="251"/>
      <c r="SF51" s="349"/>
      <c r="SG51" s="250"/>
      <c r="SH51" s="244">
        <f>SUM(RF51:SG51)</f>
      </c>
      <c r="SI51" s="348"/>
      <c r="SJ51" s="349"/>
      <c r="SK51" s="350"/>
      <c r="SL51" s="261">
        <v>0.5</v>
      </c>
      <c r="SM51" s="261">
        <v>0.5</v>
      </c>
      <c r="SN51" s="261">
        <v>0.5</v>
      </c>
      <c r="SO51" s="261">
        <v>0.5</v>
      </c>
      <c r="SP51" s="261">
        <v>0.5</v>
      </c>
      <c r="SQ51" s="261">
        <v>0.5</v>
      </c>
      <c r="SR51" s="262">
        <v>0.5</v>
      </c>
      <c r="SS51" s="265"/>
      <c r="ST51" s="256"/>
      <c r="SU51" s="261">
        <v>0.5</v>
      </c>
      <c r="SV51" s="266">
        <v>0.5</v>
      </c>
      <c r="SW51" s="351">
        <v>0.5</v>
      </c>
      <c r="SX51" s="261">
        <v>0.5</v>
      </c>
      <c r="SY51" s="261">
        <v>0.5</v>
      </c>
      <c r="SZ51" s="261">
        <v>0.5</v>
      </c>
      <c r="TA51" s="261">
        <v>0.5</v>
      </c>
      <c r="TB51" s="261">
        <v>0.5</v>
      </c>
      <c r="TC51" s="261">
        <v>0.5</v>
      </c>
      <c r="TD51" s="256"/>
      <c r="TE51" s="256"/>
      <c r="TF51" s="256"/>
      <c r="TG51" s="256"/>
      <c r="TH51" s="251"/>
      <c r="TI51" s="349"/>
      <c r="TJ51" s="250"/>
      <c r="TK51" s="244">
        <f>SUM(SI51:TJ51)</f>
      </c>
      <c r="TL51" s="348"/>
      <c r="TM51" s="349"/>
      <c r="TN51" s="350"/>
      <c r="TO51" s="261">
        <v>0.5</v>
      </c>
      <c r="TP51" s="261">
        <v>0.5</v>
      </c>
      <c r="TQ51" s="261">
        <v>0.5</v>
      </c>
      <c r="TR51" s="261">
        <v>0.5</v>
      </c>
      <c r="TS51" s="261">
        <v>0.5</v>
      </c>
      <c r="TT51" s="261">
        <v>0.5</v>
      </c>
      <c r="TU51" s="262">
        <v>0.5</v>
      </c>
      <c r="TV51" s="265"/>
      <c r="TW51" s="256"/>
      <c r="TX51" s="261">
        <v>0.5</v>
      </c>
      <c r="TY51" s="266">
        <v>0.5</v>
      </c>
      <c r="TZ51" s="351">
        <v>0.5</v>
      </c>
      <c r="UA51" s="261">
        <v>0.5</v>
      </c>
      <c r="UB51" s="261">
        <v>0.5</v>
      </c>
      <c r="UC51" s="261">
        <v>0.5</v>
      </c>
      <c r="UD51" s="261">
        <v>0.5</v>
      </c>
      <c r="UE51" s="261">
        <v>0.5</v>
      </c>
      <c r="UF51" s="261">
        <v>0.5</v>
      </c>
      <c r="UG51" s="256"/>
      <c r="UH51" s="256"/>
      <c r="UI51" s="256"/>
      <c r="UJ51" s="256"/>
      <c r="UK51" s="251"/>
      <c r="UL51" s="349"/>
      <c r="UM51" s="250"/>
      <c r="UN51" s="244">
        <f>SUM(TL51:UM51)</f>
      </c>
      <c r="UO51" s="344"/>
      <c r="UP51" s="345"/>
      <c r="UQ51" s="346"/>
      <c r="UR51" s="239"/>
      <c r="US51" s="239"/>
      <c r="UT51" s="239"/>
      <c r="UU51" s="239"/>
      <c r="UV51" s="239"/>
      <c r="UW51" s="239"/>
      <c r="UX51" s="238"/>
      <c r="UY51" s="240"/>
      <c r="UZ51" s="239"/>
      <c r="VA51" s="239"/>
      <c r="VB51" s="241"/>
      <c r="VC51" s="346"/>
      <c r="VD51" s="239"/>
      <c r="VE51" s="239"/>
      <c r="VF51" s="239"/>
      <c r="VG51" s="239"/>
      <c r="VH51" s="239"/>
      <c r="VI51" s="239"/>
      <c r="VJ51" s="239"/>
      <c r="VK51" s="239"/>
      <c r="VL51" s="239"/>
      <c r="VM51" s="239"/>
      <c r="VN51" s="238"/>
      <c r="VO51" s="345"/>
      <c r="VP51" s="237"/>
      <c r="VQ51" s="244">
        <f>SUM(UO51:VP51)</f>
      </c>
      <c r="VR51" s="344"/>
      <c r="VS51" s="345"/>
      <c r="VT51" s="346"/>
      <c r="VU51" s="239"/>
      <c r="VV51" s="239"/>
      <c r="VW51" s="239"/>
      <c r="VX51" s="239"/>
      <c r="VY51" s="239"/>
      <c r="VZ51" s="239"/>
      <c r="WA51" s="238"/>
      <c r="WB51" s="240"/>
      <c r="WC51" s="239"/>
      <c r="WD51" s="239"/>
      <c r="WE51" s="241"/>
      <c r="WF51" s="346"/>
      <c r="WG51" s="239"/>
      <c r="WH51" s="239"/>
      <c r="WI51" s="239"/>
      <c r="WJ51" s="239"/>
      <c r="WK51" s="239"/>
      <c r="WL51" s="239"/>
      <c r="WM51" s="239"/>
      <c r="WN51" s="239"/>
      <c r="WO51" s="239"/>
      <c r="WP51" s="239"/>
      <c r="WQ51" s="238"/>
      <c r="WR51" s="345"/>
      <c r="WS51" s="237"/>
      <c r="WT51" s="244">
        <f>SUM(VR51:WS51)</f>
      </c>
      <c r="WU51" s="264">
        <f>QB51+RE51+SH51+TK51+UN51+VQ51+WT51</f>
      </c>
      <c r="WV51" s="347">
        <f>(COUNTIF(OZ51:WT51,"H")+COUNTIF(OZ51:WT51,"S")+COUNTIF(OZ51:WT51,"L")+COUNTIF(OZ51:WT51,"E")+COUNTIF(OZ51:WT51,"C"))/2</f>
      </c>
      <c r="WW51" s="244">
        <f>WU51+WV51</f>
      </c>
      <c r="WX51" s="348"/>
      <c r="WY51" s="349"/>
      <c r="WZ51" s="350"/>
      <c r="XA51" s="261">
        <v>0.5</v>
      </c>
      <c r="XB51" s="261">
        <v>0.5</v>
      </c>
      <c r="XC51" s="261">
        <v>0.5</v>
      </c>
      <c r="XD51" s="261">
        <v>0.5</v>
      </c>
      <c r="XE51" s="261">
        <v>0.5</v>
      </c>
      <c r="XF51" s="261">
        <v>0.5</v>
      </c>
      <c r="XG51" s="262">
        <v>0.5</v>
      </c>
      <c r="XH51" s="265"/>
      <c r="XI51" s="256"/>
      <c r="XJ51" s="261">
        <v>0.5</v>
      </c>
      <c r="XK51" s="266">
        <v>0.5</v>
      </c>
      <c r="XL51" s="351">
        <v>0.5</v>
      </c>
      <c r="XM51" s="261">
        <v>0.5</v>
      </c>
      <c r="XN51" s="261">
        <v>0.5</v>
      </c>
      <c r="XO51" s="261">
        <v>0.5</v>
      </c>
      <c r="XP51" s="261">
        <v>0.5</v>
      </c>
      <c r="XQ51" s="261">
        <v>0.5</v>
      </c>
      <c r="XR51" s="261">
        <v>0.5</v>
      </c>
      <c r="XS51" s="261">
        <v>0.5</v>
      </c>
      <c r="XT51" s="256"/>
      <c r="XU51" s="256"/>
      <c r="XV51" s="256"/>
      <c r="XW51" s="251"/>
      <c r="XX51" s="349"/>
      <c r="XY51" s="250"/>
      <c r="XZ51" s="244">
        <f>SUM(WX51:XY51)</f>
      </c>
      <c r="YA51" s="348"/>
      <c r="YB51" s="349"/>
      <c r="YC51" s="350"/>
      <c r="YD51" s="261">
        <v>0.5</v>
      </c>
      <c r="YE51" s="261">
        <v>0.5</v>
      </c>
      <c r="YF51" s="261">
        <v>0.5</v>
      </c>
      <c r="YG51" s="261">
        <v>0.5</v>
      </c>
      <c r="YH51" s="261">
        <v>0.5</v>
      </c>
      <c r="YI51" s="261">
        <v>0.5</v>
      </c>
      <c r="YJ51" s="262">
        <v>0.5</v>
      </c>
      <c r="YK51" s="265"/>
      <c r="YL51" s="256"/>
      <c r="YM51" s="261">
        <v>0.5</v>
      </c>
      <c r="YN51" s="266">
        <v>0.5</v>
      </c>
      <c r="YO51" s="351">
        <v>0.5</v>
      </c>
      <c r="YP51" s="261">
        <v>0.5</v>
      </c>
      <c r="YQ51" s="261">
        <v>0.5</v>
      </c>
      <c r="YR51" s="261">
        <v>0.5</v>
      </c>
      <c r="YS51" s="261">
        <v>0.5</v>
      </c>
      <c r="YT51" s="261">
        <v>0.5</v>
      </c>
      <c r="YU51" s="261">
        <v>0.5</v>
      </c>
      <c r="YV51" s="261">
        <v>0.5</v>
      </c>
      <c r="YW51" s="256"/>
      <c r="YX51" s="256"/>
      <c r="YY51" s="256"/>
      <c r="YZ51" s="251"/>
      <c r="ZA51" s="349"/>
      <c r="ZB51" s="250"/>
      <c r="ZC51" s="244">
        <f>SUM(YA51:ZB51)</f>
      </c>
      <c r="ZD51" s="348"/>
      <c r="ZE51" s="349"/>
      <c r="ZF51" s="350"/>
      <c r="ZG51" s="261">
        <v>0.5</v>
      </c>
      <c r="ZH51" s="261">
        <v>0.5</v>
      </c>
      <c r="ZI51" s="261">
        <v>0.5</v>
      </c>
      <c r="ZJ51" s="261">
        <v>0.5</v>
      </c>
      <c r="ZK51" s="261">
        <v>0.5</v>
      </c>
      <c r="ZL51" s="261">
        <v>0.5</v>
      </c>
      <c r="ZM51" s="262">
        <v>0.5</v>
      </c>
      <c r="ZN51" s="265"/>
      <c r="ZO51" s="256"/>
      <c r="ZP51" s="261">
        <v>0.5</v>
      </c>
      <c r="ZQ51" s="266">
        <v>0.5</v>
      </c>
      <c r="ZR51" s="351">
        <v>0.5</v>
      </c>
      <c r="ZS51" s="261">
        <v>0.5</v>
      </c>
      <c r="ZT51" s="261">
        <v>0.5</v>
      </c>
      <c r="ZU51" s="261">
        <v>0.5</v>
      </c>
      <c r="ZV51" s="261">
        <v>0.5</v>
      </c>
      <c r="ZW51" s="261">
        <v>0.5</v>
      </c>
      <c r="ZX51" s="261">
        <v>0.5</v>
      </c>
      <c r="ZY51" s="261">
        <v>0.5</v>
      </c>
      <c r="ZZ51" s="256"/>
      <c r="AAA51" s="256"/>
      <c r="AAB51" s="256"/>
      <c r="AAC51" s="251"/>
      <c r="AAD51" s="349"/>
      <c r="AAE51" s="250"/>
      <c r="AAF51" s="244">
        <f>SUM(ZD51:AAE51)</f>
      </c>
      <c r="AAG51" s="348"/>
      <c r="AAH51" s="349"/>
      <c r="AAI51" s="350"/>
      <c r="AAJ51" s="261">
        <v>0.5</v>
      </c>
      <c r="AAK51" s="261">
        <v>0.5</v>
      </c>
      <c r="AAL51" s="261">
        <v>0.5</v>
      </c>
      <c r="AAM51" s="261">
        <v>0.5</v>
      </c>
      <c r="AAN51" s="261">
        <v>0.5</v>
      </c>
      <c r="AAO51" s="261">
        <v>0.5</v>
      </c>
      <c r="AAP51" s="262">
        <v>0.5</v>
      </c>
      <c r="AAQ51" s="265"/>
      <c r="AAR51" s="256"/>
      <c r="AAS51" s="261">
        <v>0.5</v>
      </c>
      <c r="AAT51" s="266">
        <v>0.5</v>
      </c>
      <c r="AAU51" s="351">
        <v>0.5</v>
      </c>
      <c r="AAV51" s="261">
        <v>0.5</v>
      </c>
      <c r="AAW51" s="261">
        <v>0.5</v>
      </c>
      <c r="AAX51" s="261">
        <v>0.5</v>
      </c>
      <c r="AAY51" s="261">
        <v>0.5</v>
      </c>
      <c r="AAZ51" s="261">
        <v>0.5</v>
      </c>
      <c r="ABA51" s="261">
        <v>0.5</v>
      </c>
      <c r="ABB51" s="261">
        <v>0.5</v>
      </c>
      <c r="ABC51" s="256"/>
      <c r="ABD51" s="256"/>
      <c r="ABE51" s="256"/>
      <c r="ABF51" s="251"/>
      <c r="ABG51" s="349"/>
      <c r="ABH51" s="250"/>
      <c r="ABI51" s="244">
        <f>SUM(AAG51:ABH51)</f>
      </c>
      <c r="ABJ51" s="348"/>
      <c r="ABK51" s="349"/>
      <c r="ABL51" s="351">
        <v>0.5</v>
      </c>
      <c r="ABM51" s="261">
        <v>0.5</v>
      </c>
      <c r="ABN51" s="261">
        <v>0.5</v>
      </c>
      <c r="ABO51" s="261">
        <v>0.5</v>
      </c>
      <c r="ABP51" s="261">
        <v>0.5</v>
      </c>
      <c r="ABQ51" s="261">
        <v>0.5</v>
      </c>
      <c r="ABR51" s="261">
        <v>0.5</v>
      </c>
      <c r="ABS51" s="262">
        <v>0.5</v>
      </c>
      <c r="ABT51" s="263">
        <v>0.5</v>
      </c>
      <c r="ABU51" s="261">
        <v>0.5</v>
      </c>
      <c r="ABV51" s="261">
        <v>0.5</v>
      </c>
      <c r="ABW51" s="266">
        <v>0.5</v>
      </c>
      <c r="ABX51" s="350"/>
      <c r="ABY51" s="256"/>
      <c r="ABZ51" s="256"/>
      <c r="ACA51" s="256"/>
      <c r="ACB51" s="256"/>
      <c r="ACC51" s="256"/>
      <c r="ACD51" s="256"/>
      <c r="ACE51" s="256"/>
      <c r="ACF51" s="256"/>
      <c r="ACG51" s="256"/>
      <c r="ACH51" s="256"/>
      <c r="ACI51" s="251"/>
      <c r="ACJ51" s="349"/>
      <c r="ACK51" s="250"/>
      <c r="ACL51" s="244">
        <f>SUM(ABJ51:ACK51)</f>
      </c>
      <c r="ACM51" s="344"/>
      <c r="ACN51" s="345"/>
      <c r="ACO51" s="346"/>
      <c r="ACP51" s="239"/>
      <c r="ACQ51" s="239"/>
      <c r="ACR51" s="239"/>
      <c r="ACS51" s="239"/>
      <c r="ACT51" s="239"/>
      <c r="ACU51" s="239"/>
      <c r="ACV51" s="238"/>
      <c r="ACW51" s="240"/>
      <c r="ACX51" s="239"/>
      <c r="ACY51" s="239"/>
      <c r="ACZ51" s="241"/>
      <c r="ADA51" s="346"/>
      <c r="ADB51" s="239"/>
      <c r="ADC51" s="239"/>
      <c r="ADD51" s="239"/>
      <c r="ADE51" s="239"/>
      <c r="ADF51" s="239"/>
      <c r="ADG51" s="239"/>
      <c r="ADH51" s="239"/>
      <c r="ADI51" s="239"/>
      <c r="ADJ51" s="239"/>
      <c r="ADK51" s="239"/>
      <c r="ADL51" s="238"/>
      <c r="ADM51" s="345"/>
      <c r="ADN51" s="237"/>
      <c r="ADO51" s="244">
        <f>SUM(ACM51:ADN51)</f>
      </c>
      <c r="ADP51" s="344"/>
      <c r="ADQ51" s="345"/>
      <c r="ADR51" s="346"/>
      <c r="ADS51" s="239"/>
      <c r="ADT51" s="239"/>
      <c r="ADU51" s="239"/>
      <c r="ADV51" s="239"/>
      <c r="ADW51" s="239"/>
      <c r="ADX51" s="239"/>
      <c r="ADY51" s="238"/>
      <c r="ADZ51" s="240"/>
      <c r="AEA51" s="239"/>
      <c r="AEB51" s="239"/>
      <c r="AEC51" s="241"/>
      <c r="AED51" s="346"/>
      <c r="AEE51" s="239"/>
      <c r="AEF51" s="239"/>
      <c r="AEG51" s="239"/>
      <c r="AEH51" s="239"/>
      <c r="AEI51" s="239"/>
      <c r="AEJ51" s="239"/>
      <c r="AEK51" s="239"/>
      <c r="AEL51" s="239"/>
      <c r="AEM51" s="239"/>
      <c r="AEN51" s="239"/>
      <c r="AEO51" s="238"/>
      <c r="AEP51" s="345"/>
      <c r="AEQ51" s="237"/>
      <c r="AER51" s="244">
        <f>SUM(ADP51:AEQ51)</f>
      </c>
      <c r="AES51" s="264">
        <f>XZ51+ZC51+AAF51+ABI51+ACL51+ADO51+AER51</f>
      </c>
      <c r="AET51" s="347">
        <f>(COUNTIF(WX51:AER51,"H")+COUNTIF(WX51:AER51,"S")+COUNTIF(WX51:AER51,"L")+COUNTIF(WX51:AER51,"E")+COUNTIF(WX51:AER51,"C"))/2</f>
      </c>
      <c r="AEU51" s="244">
        <f>AES51+AET51</f>
      </c>
      <c r="AEV51" s="348"/>
      <c r="AEW51" s="349"/>
      <c r="AEX51" s="350"/>
      <c r="AEY51" s="261">
        <v>0.5</v>
      </c>
      <c r="AEZ51" s="261">
        <v>0.5</v>
      </c>
      <c r="AFA51" s="261">
        <v>0.5</v>
      </c>
      <c r="AFB51" s="261">
        <v>0.5</v>
      </c>
      <c r="AFC51" s="261">
        <v>0.5</v>
      </c>
      <c r="AFD51" s="261">
        <v>0.5</v>
      </c>
      <c r="AFE51" s="262">
        <v>0.5</v>
      </c>
      <c r="AFF51" s="263">
        <v>0.5</v>
      </c>
      <c r="AFG51" s="261">
        <v>0.5</v>
      </c>
      <c r="AFH51" s="356"/>
      <c r="AFI51" s="357"/>
      <c r="AFJ51" s="351">
        <v>0.5</v>
      </c>
      <c r="AFK51" s="261">
        <v>0.5</v>
      </c>
      <c r="AFL51" s="261">
        <v>0.5</v>
      </c>
      <c r="AFM51" s="261">
        <v>0.5</v>
      </c>
      <c r="AFN51" s="261">
        <v>0.5</v>
      </c>
      <c r="AFO51" s="261">
        <v>0.5</v>
      </c>
      <c r="AFP51" s="261">
        <v>0.5</v>
      </c>
      <c r="AFQ51" s="261">
        <v>0.5</v>
      </c>
      <c r="AFR51" s="256"/>
      <c r="AFS51" s="256"/>
      <c r="AFT51" s="256"/>
      <c r="AFU51" s="251"/>
      <c r="AFV51" s="349"/>
      <c r="AFW51" s="250"/>
      <c r="AFX51" s="244">
        <f>SUM(AEV51:AFW51)</f>
      </c>
      <c r="AFY51" s="348"/>
      <c r="AFZ51" s="349"/>
      <c r="AGA51" s="350"/>
      <c r="AGB51" s="261">
        <v>0.5</v>
      </c>
      <c r="AGC51" s="261">
        <v>0.5</v>
      </c>
      <c r="AGD51" s="261">
        <v>0.5</v>
      </c>
      <c r="AGE51" s="261">
        <v>0.5</v>
      </c>
      <c r="AGF51" s="261">
        <v>0.5</v>
      </c>
      <c r="AGG51" s="261">
        <v>0.5</v>
      </c>
      <c r="AGH51" s="262">
        <v>0.5</v>
      </c>
      <c r="AGI51" s="263">
        <v>0.5</v>
      </c>
      <c r="AGJ51" s="261">
        <v>0.5</v>
      </c>
      <c r="AGK51" s="356"/>
      <c r="AGL51" s="357"/>
      <c r="AGM51" s="351">
        <v>0.5</v>
      </c>
      <c r="AGN51" s="261">
        <v>0.5</v>
      </c>
      <c r="AGO51" s="261">
        <v>0.5</v>
      </c>
      <c r="AGP51" s="261">
        <v>0.5</v>
      </c>
      <c r="AGQ51" s="261">
        <v>0.5</v>
      </c>
      <c r="AGR51" s="261">
        <v>0.5</v>
      </c>
      <c r="AGS51" s="261">
        <v>0.5</v>
      </c>
      <c r="AGT51" s="261">
        <v>0.5</v>
      </c>
      <c r="AGU51" s="256"/>
      <c r="AGV51" s="256"/>
      <c r="AGW51" s="256"/>
      <c r="AGX51" s="251"/>
      <c r="AGY51" s="349"/>
      <c r="AGZ51" s="250"/>
      <c r="AHA51" s="244">
        <f>SUM(AFY51:AGZ51)</f>
      </c>
      <c r="AHB51" s="348"/>
      <c r="AHC51" s="349"/>
      <c r="AHD51" s="350"/>
      <c r="AHE51" s="261">
        <v>0.5</v>
      </c>
      <c r="AHF51" s="261">
        <v>0.5</v>
      </c>
      <c r="AHG51" s="261">
        <v>0.5</v>
      </c>
      <c r="AHH51" s="261">
        <v>0.5</v>
      </c>
      <c r="AHI51" s="261">
        <v>0.5</v>
      </c>
      <c r="AHJ51" s="261">
        <v>0.5</v>
      </c>
      <c r="AHK51" s="262">
        <v>0.5</v>
      </c>
      <c r="AHL51" s="263">
        <v>0.5</v>
      </c>
      <c r="AHM51" s="261">
        <v>0.5</v>
      </c>
      <c r="AHN51" s="356"/>
      <c r="AHO51" s="357"/>
      <c r="AHP51" s="351">
        <v>0.5</v>
      </c>
      <c r="AHQ51" s="261">
        <v>0.5</v>
      </c>
      <c r="AHR51" s="261">
        <v>0.5</v>
      </c>
      <c r="AHS51" s="261">
        <v>0.5</v>
      </c>
      <c r="AHT51" s="261">
        <v>0.5</v>
      </c>
      <c r="AHU51" s="261">
        <v>0.5</v>
      </c>
      <c r="AHV51" s="261">
        <v>0.5</v>
      </c>
      <c r="AHW51" s="261">
        <v>0.5</v>
      </c>
      <c r="AHX51" s="256"/>
      <c r="AHY51" s="256"/>
      <c r="AHZ51" s="256"/>
      <c r="AIA51" s="251"/>
      <c r="AIB51" s="349"/>
      <c r="AIC51" s="250"/>
      <c r="AID51" s="244">
        <f>SUM(AHB51:AIC51)</f>
      </c>
      <c r="AIE51" s="348"/>
      <c r="AIF51" s="349"/>
      <c r="AIG51" s="350"/>
      <c r="AIH51" s="261">
        <v>0.5</v>
      </c>
      <c r="AII51" s="261">
        <v>0.5</v>
      </c>
      <c r="AIJ51" s="261">
        <v>0.5</v>
      </c>
      <c r="AIK51" s="261">
        <v>0.5</v>
      </c>
      <c r="AIL51" s="261">
        <v>0.5</v>
      </c>
      <c r="AIM51" s="261">
        <v>0.5</v>
      </c>
      <c r="AIN51" s="262">
        <v>0.5</v>
      </c>
      <c r="AIO51" s="263">
        <v>0.5</v>
      </c>
      <c r="AIP51" s="261">
        <v>0.5</v>
      </c>
      <c r="AIQ51" s="356"/>
      <c r="AIR51" s="357"/>
      <c r="AIS51" s="351">
        <v>0.5</v>
      </c>
      <c r="AIT51" s="261">
        <v>0.5</v>
      </c>
      <c r="AIU51" s="261">
        <v>0.5</v>
      </c>
      <c r="AIV51" s="261">
        <v>0.5</v>
      </c>
      <c r="AIW51" s="261">
        <v>0.5</v>
      </c>
      <c r="AIX51" s="261">
        <v>0.5</v>
      </c>
      <c r="AIY51" s="261">
        <v>0.5</v>
      </c>
      <c r="AIZ51" s="261">
        <v>0.5</v>
      </c>
      <c r="AJA51" s="256"/>
      <c r="AJB51" s="256"/>
      <c r="AJC51" s="256"/>
      <c r="AJD51" s="251"/>
      <c r="AJE51" s="349"/>
      <c r="AJF51" s="250"/>
      <c r="AJG51" s="244">
        <f>SUM(AIE51:AJF51)</f>
      </c>
      <c r="AJH51" s="348"/>
      <c r="AJI51" s="349"/>
      <c r="AJJ51" s="351">
        <v>0.5</v>
      </c>
      <c r="AJK51" s="261">
        <v>0.5</v>
      </c>
      <c r="AJL51" s="261">
        <v>0.5</v>
      </c>
      <c r="AJM51" s="261">
        <v>0.5</v>
      </c>
      <c r="AJN51" s="261">
        <v>0.5</v>
      </c>
      <c r="AJO51" s="261">
        <v>0.5</v>
      </c>
      <c r="AJP51" s="261">
        <v>0.5</v>
      </c>
      <c r="AJQ51" s="262">
        <v>0.5</v>
      </c>
      <c r="AJR51" s="263">
        <v>0.5</v>
      </c>
      <c r="AJS51" s="261">
        <v>0.5</v>
      </c>
      <c r="AJT51" s="261">
        <v>0.5</v>
      </c>
      <c r="AJU51" s="266">
        <v>0.5</v>
      </c>
      <c r="AJV51" s="350"/>
      <c r="AJW51" s="256"/>
      <c r="AJX51" s="256"/>
      <c r="AJY51" s="256"/>
      <c r="AJZ51" s="256"/>
      <c r="AKA51" s="256"/>
      <c r="AKB51" s="256"/>
      <c r="AKC51" s="256"/>
      <c r="AKD51" s="256"/>
      <c r="AKE51" s="256"/>
      <c r="AKF51" s="256"/>
      <c r="AKG51" s="251"/>
      <c r="AKH51" s="349"/>
      <c r="AKI51" s="250"/>
      <c r="AKJ51" s="244">
        <f>SUM(AJH51:AKI51)</f>
      </c>
      <c r="AKK51" s="344"/>
      <c r="AKL51" s="345"/>
      <c r="AKM51" s="346"/>
      <c r="AKN51" s="239"/>
      <c r="AKO51" s="239"/>
      <c r="AKP51" s="239"/>
      <c r="AKQ51" s="239"/>
      <c r="AKR51" s="239"/>
      <c r="AKS51" s="239"/>
      <c r="AKT51" s="238"/>
      <c r="AKU51" s="240"/>
      <c r="AKV51" s="239"/>
      <c r="AKW51" s="239"/>
      <c r="AKX51" s="241"/>
      <c r="AKY51" s="346"/>
      <c r="AKZ51" s="239"/>
      <c r="ALA51" s="239"/>
      <c r="ALB51" s="239"/>
      <c r="ALC51" s="239"/>
      <c r="ALD51" s="239"/>
      <c r="ALE51" s="239"/>
      <c r="ALF51" s="239"/>
      <c r="ALG51" s="239"/>
      <c r="ALH51" s="239"/>
      <c r="ALI51" s="239"/>
      <c r="ALJ51" s="238"/>
      <c r="ALK51" s="345"/>
      <c r="ALL51" s="237"/>
      <c r="ALM51" s="244">
        <f>SUM(AKK51:ALL51)</f>
      </c>
      <c r="ALN51" s="344"/>
      <c r="ALO51" s="345"/>
      <c r="ALP51" s="346"/>
      <c r="ALQ51" s="239"/>
      <c r="ALR51" s="239"/>
      <c r="ALS51" s="239"/>
      <c r="ALT51" s="239"/>
      <c r="ALU51" s="239"/>
      <c r="ALV51" s="239"/>
      <c r="ALW51" s="238"/>
      <c r="ALX51" s="240"/>
      <c r="ALY51" s="239"/>
      <c r="ALZ51" s="239"/>
      <c r="AMA51" s="241"/>
      <c r="AMB51" s="346"/>
      <c r="AMC51" s="239"/>
      <c r="AMD51" s="239"/>
      <c r="AME51" s="239"/>
      <c r="AMF51" s="239"/>
      <c r="AMG51" s="239"/>
      <c r="AMH51" s="239"/>
      <c r="AMI51" s="239"/>
      <c r="AMJ51" s="239"/>
      <c r="AMK51" s="239"/>
      <c r="AML51" s="239"/>
      <c r="AMM51" s="238"/>
      <c r="AMN51" s="345"/>
      <c r="AMO51" s="237"/>
      <c r="AMP51" s="244">
        <f>SUM(ALN51:AMO51)</f>
      </c>
      <c r="AMQ51" s="264">
        <f>AFX51+AHA51+AID51+AJG51+AKJ51+ALM51+AMP51</f>
      </c>
      <c r="AMR51" s="347">
        <f>(COUNTIF(AEV51:AMP51,"H")+COUNTIF(AEV51:AMP51,"S")+COUNTIF(AEV51:AMP51,"L")+COUNTIF(AEV51:AMP51,"E")+COUNTIF(AEV51:AMP51,"C"))/2</f>
      </c>
      <c r="AMS51" s="244">
        <f>AMQ51+AMR51</f>
      </c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13"/>
      <c r="ANK51" s="13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</row>
    <row r="52" spans="1:1191" x14ac:dyDescent="0.25">
      <c r="A52" s="9"/>
      <c r="B52" s="268" t="s">
        <v>73</v>
      </c>
      <c r="C52" s="269">
        <f>COUNTA(C38:C51)</f>
      </c>
      <c r="D52" s="273"/>
      <c r="E52" s="273"/>
      <c r="F52" s="271">
        <f>COUNTIF(F38:F51,0.5)</f>
      </c>
      <c r="G52" s="271">
        <f>COUNTIF(G38:G51,0.5)</f>
      </c>
      <c r="H52" s="271">
        <f>COUNTIF(H38:H51,0.5)</f>
      </c>
      <c r="I52" s="271">
        <f>COUNTIF(I38:I51,0.5)</f>
      </c>
      <c r="J52" s="271">
        <f>COUNTIF(J38:J51,0.5)</f>
      </c>
      <c r="K52" s="271">
        <f>COUNTIF(K38:K51,0.5)</f>
      </c>
      <c r="L52" s="271">
        <f>COUNTIF(L38:L51,0.5)</f>
      </c>
      <c r="M52" s="271">
        <f>COUNTIF(M38:M51,0.5)</f>
      </c>
      <c r="N52" s="271">
        <f>COUNTIF(N38:N51,0.5)</f>
      </c>
      <c r="O52" s="271">
        <f>COUNTIF(O38:O51,0.5)</f>
      </c>
      <c r="P52" s="271">
        <f>COUNTIF(P38:P51,0.5)</f>
      </c>
      <c r="Q52" s="271">
        <f>COUNTIF(Q38:Q51,0.5)</f>
      </c>
      <c r="R52" s="271">
        <f>COUNTIF(R38:R51,0.5)</f>
      </c>
      <c r="S52" s="271">
        <f>COUNTIF(S38:S51,0.5)</f>
      </c>
      <c r="T52" s="271">
        <f>COUNTIF(T38:T51,0.5)</f>
      </c>
      <c r="U52" s="271">
        <f>COUNTIF(U38:U51,0.5)</f>
      </c>
      <c r="V52" s="271">
        <f>COUNTIF(V38:V51,0.5)</f>
      </c>
      <c r="W52" s="271">
        <f>COUNTIF(W38:W51,0.5)</f>
      </c>
      <c r="X52" s="271">
        <f>COUNTIF(X38:X51,0.5)</f>
      </c>
      <c r="Y52" s="271">
        <f>COUNTIF(Y38:Y51,0.5)</f>
      </c>
      <c r="Z52" s="271">
        <f>COUNTIF(Z38:Z51,0.5)</f>
      </c>
      <c r="AA52" s="271">
        <f>COUNTIF(AA38:AA51,0.5)</f>
      </c>
      <c r="AB52" s="271">
        <f>COUNTIF(AB38:AB51,0.5)</f>
      </c>
      <c r="AC52" s="271">
        <f>COUNTIF(AC38:AC51,0.5)</f>
      </c>
      <c r="AD52" s="269"/>
      <c r="AE52" s="269"/>
      <c r="AF52" s="282"/>
      <c r="AG52" s="282"/>
      <c r="AH52" s="273"/>
      <c r="AI52" s="271">
        <f>COUNTIF(AI38:AI51,0.5)</f>
      </c>
      <c r="AJ52" s="271">
        <f>COUNTIF(AJ38:AJ51,0.5)</f>
      </c>
      <c r="AK52" s="271">
        <f>COUNTIF(AK38:AK51,0.5)</f>
      </c>
      <c r="AL52" s="271">
        <f>COUNTIF(AL38:AL51,0.5)</f>
      </c>
      <c r="AM52" s="271">
        <f>COUNTIF(AM38:AM51,0.5)</f>
      </c>
      <c r="AN52" s="271">
        <f>COUNTIF(AN38:AN51,0.5)</f>
      </c>
      <c r="AO52" s="271">
        <f>COUNTIF(AO38:AO51,0.5)</f>
      </c>
      <c r="AP52" s="271">
        <f>COUNTIF(AP38:AP51,0.5)</f>
      </c>
      <c r="AQ52" s="271">
        <f>COUNTIF(AQ38:AQ51,0.5)</f>
      </c>
      <c r="AR52" s="271">
        <f>COUNTIF(AR38:AR51,0.5)</f>
      </c>
      <c r="AS52" s="271">
        <f>COUNTIF(AS38:AS51,0.5)</f>
      </c>
      <c r="AT52" s="271">
        <f>COUNTIF(AT38:AT51,0.5)</f>
      </c>
      <c r="AU52" s="271">
        <f>COUNTIF(AU38:AU51,0.5)</f>
      </c>
      <c r="AV52" s="271">
        <f>COUNTIF(AV38:AV51,0.5)</f>
      </c>
      <c r="AW52" s="271">
        <f>COUNTIF(AW38:AW51,0.5)</f>
      </c>
      <c r="AX52" s="271">
        <f>COUNTIF(AX38:AX51,0.5)</f>
      </c>
      <c r="AY52" s="271">
        <f>COUNTIF(AY38:AY51,0.5)</f>
      </c>
      <c r="AZ52" s="271">
        <f>COUNTIF(AZ38:AZ51,0.5)</f>
      </c>
      <c r="BA52" s="271">
        <f>COUNTIF(BA38:BA51,0.5)</f>
      </c>
      <c r="BB52" s="271">
        <f>COUNTIF(BB38:BB51,0.5)</f>
      </c>
      <c r="BC52" s="271">
        <f>COUNTIF(BC38:BC51,0.5)</f>
      </c>
      <c r="BD52" s="271">
        <f>COUNTIF(BD38:BD51,0.5)</f>
      </c>
      <c r="BE52" s="271">
        <f>COUNTIF(BE38:BE51,0.5)</f>
      </c>
      <c r="BF52" s="271">
        <f>COUNTIF(BF38:BF51,0.5)</f>
      </c>
      <c r="BG52" s="269"/>
      <c r="BH52" s="269"/>
      <c r="BI52" s="282"/>
      <c r="BJ52" s="282"/>
      <c r="BK52" s="273"/>
      <c r="BL52" s="271">
        <f>COUNTIF(BL38:BL51,0.5)</f>
      </c>
      <c r="BM52" s="271">
        <f>COUNTIF(BM38:BM51,0.5)</f>
      </c>
      <c r="BN52" s="271">
        <f>COUNTIF(BN38:BN51,0.5)</f>
      </c>
      <c r="BO52" s="271">
        <f>COUNTIF(BO38:BO51,0.5)</f>
      </c>
      <c r="BP52" s="271">
        <f>COUNTIF(BP38:BP51,0.5)</f>
      </c>
      <c r="BQ52" s="271">
        <f>COUNTIF(BQ38:BQ51,0.5)</f>
      </c>
      <c r="BR52" s="271">
        <f>COUNTIF(BR38:BR51,0.5)</f>
      </c>
      <c r="BS52" s="271">
        <f>COUNTIF(BS38:BS51,0.5)</f>
      </c>
      <c r="BT52" s="271">
        <f>COUNTIF(BT38:BT51,0.5)</f>
      </c>
      <c r="BU52" s="271">
        <f>COUNTIF(BU38:BU51,0.5)</f>
      </c>
      <c r="BV52" s="271">
        <f>COUNTIF(BV38:BV51,0.5)</f>
      </c>
      <c r="BW52" s="271">
        <f>COUNTIF(BW38:BW51,0.5)</f>
      </c>
      <c r="BX52" s="271">
        <f>COUNTIF(BX38:BX51,0.5)</f>
      </c>
      <c r="BY52" s="271">
        <f>COUNTIF(BY38:BY51,0.5)</f>
      </c>
      <c r="BZ52" s="271">
        <f>COUNTIF(BZ38:BZ51,0.5)</f>
      </c>
      <c r="CA52" s="271">
        <f>COUNTIF(CA38:CA51,0.5)</f>
      </c>
      <c r="CB52" s="271">
        <f>COUNTIF(CB38:CB51,0.5)</f>
      </c>
      <c r="CC52" s="271">
        <f>COUNTIF(CC38:CC51,0.5)</f>
      </c>
      <c r="CD52" s="271">
        <f>COUNTIF(CD38:CD51,0.5)</f>
      </c>
      <c r="CE52" s="271">
        <f>COUNTIF(CE38:CE51,0.5)</f>
      </c>
      <c r="CF52" s="271">
        <f>COUNTIF(CF38:CF51,0.5)</f>
      </c>
      <c r="CG52" s="271">
        <f>COUNTIF(CG38:CG51,0.5)</f>
      </c>
      <c r="CH52" s="271">
        <f>COUNTIF(CH38:CH51,0.5)</f>
      </c>
      <c r="CI52" s="271">
        <f>COUNTIF(CI38:CI51,0.5)</f>
      </c>
      <c r="CJ52" s="269"/>
      <c r="CK52" s="269"/>
      <c r="CL52" s="282"/>
      <c r="CM52" s="282"/>
      <c r="CN52" s="273"/>
      <c r="CO52" s="271">
        <f>COUNTIF(CO38:CO51,0.5)</f>
      </c>
      <c r="CP52" s="271">
        <f>COUNTIF(CP38:CP51,0.5)</f>
      </c>
      <c r="CQ52" s="271">
        <f>COUNTIF(CQ38:CQ51,0.5)</f>
      </c>
      <c r="CR52" s="271">
        <f>COUNTIF(CR38:CR51,0.5)</f>
      </c>
      <c r="CS52" s="271">
        <f>COUNTIF(CS38:CS51,0.5)</f>
      </c>
      <c r="CT52" s="271">
        <f>COUNTIF(CT38:CT51,0.5)</f>
      </c>
      <c r="CU52" s="271">
        <f>COUNTIF(CU38:CU51,0.5)</f>
      </c>
      <c r="CV52" s="271">
        <f>COUNTIF(CV38:CV51,0.5)</f>
      </c>
      <c r="CW52" s="271">
        <f>COUNTIF(CW38:CW51,0.5)</f>
      </c>
      <c r="CX52" s="271">
        <f>COUNTIF(CX38:CX51,0.5)</f>
      </c>
      <c r="CY52" s="271">
        <f>COUNTIF(CY38:CY51,0.5)</f>
      </c>
      <c r="CZ52" s="271">
        <f>COUNTIF(CZ38:CZ51,0.5)</f>
      </c>
      <c r="DA52" s="271">
        <f>COUNTIF(DA38:DA51,0.5)</f>
      </c>
      <c r="DB52" s="271">
        <f>COUNTIF(DB38:DB51,0.5)</f>
      </c>
      <c r="DC52" s="271">
        <f>COUNTIF(DC38:DC51,0.5)</f>
      </c>
      <c r="DD52" s="271">
        <f>COUNTIF(DD38:DD51,0.5)</f>
      </c>
      <c r="DE52" s="271">
        <f>COUNTIF(DE38:DE51,0.5)</f>
      </c>
      <c r="DF52" s="271">
        <f>COUNTIF(DF38:DF51,0.5)</f>
      </c>
      <c r="DG52" s="271">
        <f>COUNTIF(DG38:DG51,0.5)</f>
      </c>
      <c r="DH52" s="271">
        <f>COUNTIF(DH38:DH51,0.5)</f>
      </c>
      <c r="DI52" s="271">
        <f>COUNTIF(DI38:DI51,0.5)</f>
      </c>
      <c r="DJ52" s="271">
        <f>COUNTIF(DJ38:DJ51,0.5)</f>
      </c>
      <c r="DK52" s="271">
        <f>COUNTIF(DK38:DK51,0.5)</f>
      </c>
      <c r="DL52" s="271">
        <f>COUNTIF(DL38:DL51,0.5)</f>
      </c>
      <c r="DM52" s="269"/>
      <c r="DN52" s="269"/>
      <c r="DO52" s="282"/>
      <c r="DP52" s="282"/>
      <c r="DQ52" s="273"/>
      <c r="DR52" s="271">
        <f>COUNTIF(DR38:DR51,0.5)</f>
      </c>
      <c r="DS52" s="271">
        <f>COUNTIF(DS38:DS51,0.5)</f>
      </c>
      <c r="DT52" s="271">
        <f>COUNTIF(DT38:DT51,0.5)</f>
      </c>
      <c r="DU52" s="271">
        <f>COUNTIF(DU38:DU51,0.5)</f>
      </c>
      <c r="DV52" s="271">
        <f>COUNTIF(DV38:DV51,0.5)</f>
      </c>
      <c r="DW52" s="271">
        <f>COUNTIF(DW38:DW51,0.5)</f>
      </c>
      <c r="DX52" s="271">
        <f>COUNTIF(DX38:DX51,0.5)</f>
      </c>
      <c r="DY52" s="271">
        <f>COUNTIF(DY38:DY51,0.5)</f>
      </c>
      <c r="DZ52" s="271">
        <f>COUNTIF(DZ38:DZ51,0.5)</f>
      </c>
      <c r="EA52" s="271">
        <f>COUNTIF(EA38:EA51,0.5)</f>
      </c>
      <c r="EB52" s="271">
        <f>COUNTIF(EB38:EB51,0.5)</f>
      </c>
      <c r="EC52" s="271">
        <f>COUNTIF(EC38:EC51,0.5)</f>
      </c>
      <c r="ED52" s="271">
        <f>COUNTIF(ED38:ED51,0.5)</f>
      </c>
      <c r="EE52" s="271">
        <f>COUNTIF(EE38:EE51,0.5)</f>
      </c>
      <c r="EF52" s="271">
        <f>COUNTIF(EF38:EF51,0.5)</f>
      </c>
      <c r="EG52" s="271">
        <f>COUNTIF(EG38:EG51,0.5)</f>
      </c>
      <c r="EH52" s="271">
        <f>COUNTIF(EH38:EH51,0.5)</f>
      </c>
      <c r="EI52" s="271">
        <f>COUNTIF(EI38:EI51,0.5)</f>
      </c>
      <c r="EJ52" s="271">
        <f>COUNTIF(EJ38:EJ51,0.5)</f>
      </c>
      <c r="EK52" s="271">
        <f>COUNTIF(EK38:EK51,0.5)</f>
      </c>
      <c r="EL52" s="271">
        <f>COUNTIF(EL38:EL51,0.5)</f>
      </c>
      <c r="EM52" s="271">
        <f>COUNTIF(EM38:EM51,0.5)</f>
      </c>
      <c r="EN52" s="271">
        <f>COUNTIF(EN38:EN51,0.5)</f>
      </c>
      <c r="EO52" s="271">
        <f>COUNTIF(EO38:EO51,0.5)</f>
      </c>
      <c r="EP52" s="269"/>
      <c r="EQ52" s="269"/>
      <c r="ER52" s="282"/>
      <c r="ES52" s="282"/>
      <c r="ET52" s="273"/>
      <c r="EU52" s="273"/>
      <c r="EV52" s="273"/>
      <c r="EW52" s="273"/>
      <c r="EX52" s="273"/>
      <c r="EY52" s="273"/>
      <c r="EZ52" s="273"/>
      <c r="FA52" s="273"/>
      <c r="FB52" s="273"/>
      <c r="FC52" s="273"/>
      <c r="FD52" s="273"/>
      <c r="FE52" s="273"/>
      <c r="FF52" s="273"/>
      <c r="FG52" s="273"/>
      <c r="FH52" s="273"/>
      <c r="FI52" s="273"/>
      <c r="FJ52" s="273"/>
      <c r="FK52" s="273"/>
      <c r="FL52" s="273"/>
      <c r="FM52" s="273"/>
      <c r="FN52" s="273"/>
      <c r="FO52" s="273"/>
      <c r="FP52" s="273"/>
      <c r="FQ52" s="273"/>
      <c r="FR52" s="273"/>
      <c r="FS52" s="273"/>
      <c r="FT52" s="273"/>
      <c r="FU52" s="273"/>
      <c r="FV52" s="273"/>
      <c r="FW52" s="273"/>
      <c r="FX52" s="273"/>
      <c r="FY52" s="273"/>
      <c r="FZ52" s="273"/>
      <c r="GA52" s="273"/>
      <c r="GB52" s="273"/>
      <c r="GC52" s="273"/>
      <c r="GD52" s="273"/>
      <c r="GE52" s="273"/>
      <c r="GF52" s="273"/>
      <c r="GG52" s="273"/>
      <c r="GH52" s="273"/>
      <c r="GI52" s="273"/>
      <c r="GJ52" s="273"/>
      <c r="GK52" s="273"/>
      <c r="GL52" s="273"/>
      <c r="GM52" s="273"/>
      <c r="GN52" s="273"/>
      <c r="GO52" s="273"/>
      <c r="GP52" s="273"/>
      <c r="GQ52" s="273"/>
      <c r="GR52" s="273"/>
      <c r="GS52" s="273"/>
      <c r="GT52" s="273"/>
      <c r="GU52" s="273"/>
      <c r="GV52" s="269"/>
      <c r="GW52" s="269"/>
      <c r="GX52" s="282"/>
      <c r="GY52" s="5"/>
      <c r="GZ52" s="5"/>
      <c r="HA52" s="358"/>
      <c r="HB52" s="359"/>
      <c r="HC52" s="273"/>
      <c r="HD52" s="271">
        <f>COUNTIF(HD38:HD51,0.5)</f>
      </c>
      <c r="HE52" s="271">
        <f>COUNTIF(HE38:HE51,0.5)</f>
      </c>
      <c r="HF52" s="271">
        <f>COUNTIF(HF38:HF51,0.5)</f>
      </c>
      <c r="HG52" s="271">
        <f>COUNTIF(HG38:HG51,0.5)</f>
      </c>
      <c r="HH52" s="271">
        <f>COUNTIF(HH38:HH51,0.5)</f>
      </c>
      <c r="HI52" s="271">
        <f>COUNTIF(HI38:HI51,0.5)</f>
      </c>
      <c r="HJ52" s="271">
        <f>COUNTIF(HJ38:HJ51,0.5)</f>
      </c>
      <c r="HK52" s="271">
        <f>COUNTIF(HK38:HK51,0.5)</f>
      </c>
      <c r="HL52" s="271">
        <f>COUNTIF(HL38:HL51,0.5)</f>
      </c>
      <c r="HM52" s="271">
        <f>COUNTIF(HM38:HM51,0.5)</f>
      </c>
      <c r="HN52" s="271">
        <f>COUNTIF(HN38:HN51,0.5)</f>
      </c>
      <c r="HO52" s="271">
        <f>COUNTIF(HO38:HO51,0.5)</f>
      </c>
      <c r="HP52" s="271">
        <f>COUNTIF(HP38:HP51,0.5)</f>
      </c>
      <c r="HQ52" s="271">
        <f>COUNTIF(HQ38:HQ51,0.5)</f>
      </c>
      <c r="HR52" s="271">
        <f>COUNTIF(HR38:HR51,0.5)</f>
      </c>
      <c r="HS52" s="271">
        <f>COUNTIF(HS38:HS51,0.5)</f>
      </c>
      <c r="HT52" s="271">
        <f>COUNTIF(HT38:HT51,0.5)</f>
      </c>
      <c r="HU52" s="271">
        <f>COUNTIF(HU38:HU51,0.5)</f>
      </c>
      <c r="HV52" s="271">
        <f>COUNTIF(HV38:HV51,0.5)</f>
      </c>
      <c r="HW52" s="271">
        <f>COUNTIF(HW38:HW51,0.5)</f>
      </c>
      <c r="HX52" s="271">
        <f>COUNTIF(HX38:HX51,0.5)</f>
      </c>
      <c r="HY52" s="271">
        <f>COUNTIF(HY38:HY51,0.5)</f>
      </c>
      <c r="HZ52" s="271">
        <f>COUNTIF(HZ38:HZ51,0.5)</f>
      </c>
      <c r="IA52" s="271">
        <f>COUNTIF(IA38:IA51,0.5)</f>
      </c>
      <c r="IB52" s="269"/>
      <c r="IC52" s="269"/>
      <c r="ID52" s="282"/>
      <c r="IE52" s="282"/>
      <c r="IF52" s="273"/>
      <c r="IG52" s="271">
        <f>COUNTIF(IG38:IG51,0.5)</f>
      </c>
      <c r="IH52" s="271">
        <f>COUNTIF(IH38:IH51,0.5)</f>
      </c>
      <c r="II52" s="271">
        <f>COUNTIF(II38:II51,0.5)</f>
      </c>
      <c r="IJ52" s="271">
        <f>COUNTIF(IJ38:IJ51,0.5)</f>
      </c>
      <c r="IK52" s="271">
        <f>COUNTIF(IK38:IK51,0.5)</f>
      </c>
      <c r="IL52" s="271">
        <f>COUNTIF(IL38:IL51,0.5)</f>
      </c>
      <c r="IM52" s="271">
        <f>COUNTIF(IM38:IM51,0.5)</f>
      </c>
      <c r="IN52" s="271">
        <f>COUNTIF(IN38:IN51,0.5)</f>
      </c>
      <c r="IO52" s="271">
        <f>COUNTIF(IO38:IO51,0.5)</f>
      </c>
      <c r="IP52" s="271">
        <f>COUNTIF(IP38:IP51,0.5)</f>
      </c>
      <c r="IQ52" s="271">
        <f>COUNTIF(IQ38:IQ51,0.5)</f>
      </c>
      <c r="IR52" s="271">
        <f>COUNTIF(IR38:IR51,0.5)</f>
      </c>
      <c r="IS52" s="271">
        <f>COUNTIF(IS38:IS51,0.5)</f>
      </c>
      <c r="IT52" s="271">
        <f>COUNTIF(IT38:IT51,0.5)</f>
      </c>
      <c r="IU52" s="271">
        <f>COUNTIF(IU38:IU51,0.5)</f>
      </c>
      <c r="IV52" s="271">
        <f>COUNTIF(IV38:IV51,0.5)</f>
      </c>
      <c r="IW52" s="271">
        <f>COUNTIF(IW38:IW51,0.5)</f>
      </c>
      <c r="IX52" s="271">
        <f>COUNTIF(IX38:IX51,0.5)</f>
      </c>
      <c r="IY52" s="271">
        <f>COUNTIF(IY38:IY51,0.5)</f>
      </c>
      <c r="IZ52" s="271">
        <f>COUNTIF(IZ38:IZ51,0.5)</f>
      </c>
      <c r="JA52" s="271">
        <f>COUNTIF(JA38:JA51,0.5)</f>
      </c>
      <c r="JB52" s="271">
        <f>COUNTIF(JB38:JB51,0.5)</f>
      </c>
      <c r="JC52" s="271">
        <f>COUNTIF(JC38:JC51,0.5)</f>
      </c>
      <c r="JD52" s="271">
        <f>COUNTIF(JD38:JD51,0.5)</f>
      </c>
      <c r="JE52" s="269"/>
      <c r="JF52" s="269"/>
      <c r="JG52" s="282"/>
      <c r="JH52" s="282"/>
      <c r="JI52" s="273"/>
      <c r="JJ52" s="271">
        <f>COUNTIF(JJ38:JJ51,0.5)</f>
      </c>
      <c r="JK52" s="271">
        <f>COUNTIF(JK38:JK51,0.5)</f>
      </c>
      <c r="JL52" s="271">
        <f>COUNTIF(JL38:JL51,0.5)</f>
      </c>
      <c r="JM52" s="271">
        <f>COUNTIF(JM38:JM51,0.5)</f>
      </c>
      <c r="JN52" s="271">
        <f>COUNTIF(JN38:JN51,0.5)</f>
      </c>
      <c r="JO52" s="271">
        <f>COUNTIF(JO38:JO51,0.5)</f>
      </c>
      <c r="JP52" s="271">
        <f>COUNTIF(JP38:JP51,0.5)</f>
      </c>
      <c r="JQ52" s="271">
        <f>COUNTIF(JQ38:JQ51,0.5)</f>
      </c>
      <c r="JR52" s="271">
        <f>COUNTIF(JR38:JR51,0.5)</f>
      </c>
      <c r="JS52" s="271">
        <f>COUNTIF(JS38:JS51,0.5)</f>
      </c>
      <c r="JT52" s="271">
        <f>COUNTIF(JT38:JT51,0.5)</f>
      </c>
      <c r="JU52" s="271">
        <f>COUNTIF(JU38:JU51,0.5)</f>
      </c>
      <c r="JV52" s="271">
        <f>COUNTIF(JV38:JV51,0.5)</f>
      </c>
      <c r="JW52" s="271">
        <f>COUNTIF(JW38:JW51,0.5)</f>
      </c>
      <c r="JX52" s="271">
        <f>COUNTIF(JX38:JX51,0.5)</f>
      </c>
      <c r="JY52" s="271">
        <f>COUNTIF(JY38:JY51,0.5)</f>
      </c>
      <c r="JZ52" s="271">
        <f>COUNTIF(JZ38:JZ51,0.5)</f>
      </c>
      <c r="KA52" s="271">
        <f>COUNTIF(KA38:KA51,0.5)</f>
      </c>
      <c r="KB52" s="271">
        <f>COUNTIF(KB38:KB51,0.5)</f>
      </c>
      <c r="KC52" s="271">
        <f>COUNTIF(KC38:KC51,0.5)</f>
      </c>
      <c r="KD52" s="271">
        <f>COUNTIF(KD38:KD51,0.5)</f>
      </c>
      <c r="KE52" s="271">
        <f>COUNTIF(KE38:KE51,0.5)</f>
      </c>
      <c r="KF52" s="271">
        <f>COUNTIF(KF38:KF51,0.5)</f>
      </c>
      <c r="KG52" s="271">
        <f>COUNTIF(KG38:KG51,0.5)</f>
      </c>
      <c r="KH52" s="269"/>
      <c r="KI52" s="269"/>
      <c r="KJ52" s="282"/>
      <c r="KK52" s="282"/>
      <c r="KL52" s="273"/>
      <c r="KM52" s="271">
        <f>COUNTIF(KM38:KM51,0.5)</f>
      </c>
      <c r="KN52" s="271">
        <f>COUNTIF(KN38:KN51,0.5)</f>
      </c>
      <c r="KO52" s="271">
        <f>COUNTIF(KO38:KO51,0.5)</f>
      </c>
      <c r="KP52" s="271">
        <f>COUNTIF(KP38:KP51,0.5)</f>
      </c>
      <c r="KQ52" s="271">
        <f>COUNTIF(KQ38:KQ51,0.5)</f>
      </c>
      <c r="KR52" s="271">
        <f>COUNTIF(KR38:KR51,0.5)</f>
      </c>
      <c r="KS52" s="271">
        <f>COUNTIF(KS38:KS51,0.5)</f>
      </c>
      <c r="KT52" s="271">
        <f>COUNTIF(KT38:KT51,0.5)</f>
      </c>
      <c r="KU52" s="271">
        <f>COUNTIF(KU38:KU51,0.5)</f>
      </c>
      <c r="KV52" s="271">
        <f>COUNTIF(KV38:KV51,0.5)</f>
      </c>
      <c r="KW52" s="271">
        <f>COUNTIF(KW38:KW51,0.5)</f>
      </c>
      <c r="KX52" s="271">
        <f>COUNTIF(KX38:KX51,0.5)</f>
      </c>
      <c r="KY52" s="271">
        <f>COUNTIF(KY38:KY51,0.5)</f>
      </c>
      <c r="KZ52" s="271">
        <f>COUNTIF(KZ38:KZ51,0.5)</f>
      </c>
      <c r="LA52" s="271">
        <f>COUNTIF(LA38:LA51,0.5)</f>
      </c>
      <c r="LB52" s="271">
        <f>COUNTIF(LB38:LB51,0.5)</f>
      </c>
      <c r="LC52" s="271">
        <f>COUNTIF(LC38:LC51,0.5)</f>
      </c>
      <c r="LD52" s="271">
        <f>COUNTIF(LD38:LD51,0.5)</f>
      </c>
      <c r="LE52" s="271">
        <f>COUNTIF(LE38:LE51,0.5)</f>
      </c>
      <c r="LF52" s="271">
        <f>COUNTIF(LF38:LF51,0.5)</f>
      </c>
      <c r="LG52" s="271">
        <f>COUNTIF(LG38:LG51,0.5)</f>
      </c>
      <c r="LH52" s="271">
        <f>COUNTIF(LH38:LH51,0.5)</f>
      </c>
      <c r="LI52" s="271">
        <f>COUNTIF(LI38:LI51,0.5)</f>
      </c>
      <c r="LJ52" s="271">
        <f>COUNTIF(LJ38:LJ51,0.5)</f>
      </c>
      <c r="LK52" s="269"/>
      <c r="LL52" s="269"/>
      <c r="LM52" s="282"/>
      <c r="LN52" s="282"/>
      <c r="LO52" s="273"/>
      <c r="LP52" s="271">
        <f>COUNTIF(LP38:LP51,0.5)</f>
      </c>
      <c r="LQ52" s="271">
        <f>COUNTIF(LQ38:LQ51,0.5)</f>
      </c>
      <c r="LR52" s="271">
        <f>COUNTIF(LR38:LR51,0.5)</f>
      </c>
      <c r="LS52" s="271">
        <f>COUNTIF(LS38:LS51,0.5)</f>
      </c>
      <c r="LT52" s="271">
        <f>COUNTIF(LT38:LT51,0.5)</f>
      </c>
      <c r="LU52" s="271">
        <f>COUNTIF(LU38:LU51,0.5)</f>
      </c>
      <c r="LV52" s="271">
        <f>COUNTIF(LV38:LV51,0.5)</f>
      </c>
      <c r="LW52" s="271">
        <f>COUNTIF(LW38:LW51,0.5)</f>
      </c>
      <c r="LX52" s="271">
        <f>COUNTIF(LX38:LX51,0.5)</f>
      </c>
      <c r="LY52" s="271">
        <f>COUNTIF(LY38:LY51,0.5)</f>
      </c>
      <c r="LZ52" s="271">
        <f>COUNTIF(LZ38:LZ51,0.5)</f>
      </c>
      <c r="MA52" s="271">
        <f>COUNTIF(MA38:MA51,0.5)</f>
      </c>
      <c r="MB52" s="271">
        <f>COUNTIF(MB38:MB51,0.5)</f>
      </c>
      <c r="MC52" s="271">
        <f>COUNTIF(MC38:MC51,0.5)</f>
      </c>
      <c r="MD52" s="271">
        <f>COUNTIF(MD38:MD51,0.5)</f>
      </c>
      <c r="ME52" s="271">
        <f>COUNTIF(ME38:ME51,0.5)</f>
      </c>
      <c r="MF52" s="271">
        <f>COUNTIF(MF38:MF51,0.5)</f>
      </c>
      <c r="MG52" s="271">
        <f>COUNTIF(MG38:MG51,0.5)</f>
      </c>
      <c r="MH52" s="271">
        <f>COUNTIF(MH38:MH51,0.5)</f>
      </c>
      <c r="MI52" s="271">
        <f>COUNTIF(MI38:MI51,0.5)</f>
      </c>
      <c r="MJ52" s="271">
        <f>COUNTIF(MJ38:MJ51,0.5)</f>
      </c>
      <c r="MK52" s="271">
        <f>COUNTIF(MK38:MK51,0.5)</f>
      </c>
      <c r="ML52" s="271">
        <f>COUNTIF(ML38:ML51,0.5)</f>
      </c>
      <c r="MM52" s="271">
        <f>COUNTIF(MM38:MM51,0.5)</f>
      </c>
      <c r="MN52" s="269"/>
      <c r="MO52" s="269"/>
      <c r="MP52" s="282"/>
      <c r="MQ52" s="282"/>
      <c r="MR52" s="273"/>
      <c r="MS52" s="273"/>
      <c r="MT52" s="273"/>
      <c r="MU52" s="273"/>
      <c r="MV52" s="273"/>
      <c r="MW52" s="273"/>
      <c r="MX52" s="273"/>
      <c r="MY52" s="273"/>
      <c r="MZ52" s="273"/>
      <c r="NA52" s="273"/>
      <c r="NB52" s="273"/>
      <c r="NC52" s="273"/>
      <c r="ND52" s="273"/>
      <c r="NE52" s="273"/>
      <c r="NF52" s="273"/>
      <c r="NG52" s="273"/>
      <c r="NH52" s="273"/>
      <c r="NI52" s="273"/>
      <c r="NJ52" s="273"/>
      <c r="NK52" s="273"/>
      <c r="NL52" s="273"/>
      <c r="NM52" s="273"/>
      <c r="NN52" s="273"/>
      <c r="NO52" s="273"/>
      <c r="NP52" s="273"/>
      <c r="NQ52" s="273"/>
      <c r="NR52" s="273"/>
      <c r="NS52" s="273"/>
      <c r="NT52" s="273"/>
      <c r="NU52" s="273"/>
      <c r="NV52" s="273"/>
      <c r="NW52" s="273"/>
      <c r="NX52" s="273"/>
      <c r="NY52" s="273"/>
      <c r="NZ52" s="273"/>
      <c r="OA52" s="273"/>
      <c r="OB52" s="273"/>
      <c r="OC52" s="273"/>
      <c r="OD52" s="273"/>
      <c r="OE52" s="273"/>
      <c r="OF52" s="273"/>
      <c r="OG52" s="273"/>
      <c r="OH52" s="273"/>
      <c r="OI52" s="273"/>
      <c r="OJ52" s="273"/>
      <c r="OK52" s="273"/>
      <c r="OL52" s="273"/>
      <c r="OM52" s="273"/>
      <c r="ON52" s="273"/>
      <c r="OO52" s="273"/>
      <c r="OP52" s="273"/>
      <c r="OQ52" s="273"/>
      <c r="OR52" s="273"/>
      <c r="OS52" s="273"/>
      <c r="OT52" s="269"/>
      <c r="OU52" s="269"/>
      <c r="OV52" s="282"/>
      <c r="OW52" s="5"/>
      <c r="OX52" s="5"/>
      <c r="OY52" s="22"/>
      <c r="OZ52" s="359"/>
      <c r="PA52" s="273"/>
      <c r="PB52" s="271">
        <f>COUNTIF(PB38:PB51,0.5)</f>
      </c>
      <c r="PC52" s="271">
        <f>COUNTIF(PC38:PC51,0.5)</f>
      </c>
      <c r="PD52" s="271">
        <f>COUNTIF(PD38:PD51,0.5)</f>
      </c>
      <c r="PE52" s="271">
        <f>COUNTIF(PE38:PE51,0.5)</f>
      </c>
      <c r="PF52" s="271">
        <f>COUNTIF(PF38:PF51,0.5)</f>
      </c>
      <c r="PG52" s="271">
        <f>COUNTIF(PG38:PG51,0.5)</f>
      </c>
      <c r="PH52" s="271">
        <f>COUNTIF(PH38:PH51,0.5)</f>
      </c>
      <c r="PI52" s="271">
        <f>COUNTIF(PI38:PI51,0.5)</f>
      </c>
      <c r="PJ52" s="271">
        <f>COUNTIF(PJ38:PJ51,0.5)</f>
      </c>
      <c r="PK52" s="271">
        <f>COUNTIF(PK38:PK51,0.5)</f>
      </c>
      <c r="PL52" s="271">
        <f>COUNTIF(PL38:PL51,0.5)</f>
      </c>
      <c r="PM52" s="271">
        <f>COUNTIF(PM38:PM51,0.5)</f>
      </c>
      <c r="PN52" s="271">
        <f>COUNTIF(PN38:PN51,0.5)</f>
      </c>
      <c r="PO52" s="271">
        <f>COUNTIF(PO38:PO51,0.5)</f>
      </c>
      <c r="PP52" s="271">
        <f>COUNTIF(PP38:PP51,0.5)</f>
      </c>
      <c r="PQ52" s="271">
        <f>COUNTIF(PQ38:PQ51,0.5)</f>
      </c>
      <c r="PR52" s="271">
        <f>COUNTIF(PR38:PR51,0.5)</f>
      </c>
      <c r="PS52" s="271">
        <f>COUNTIF(PS38:PS51,0.5)</f>
      </c>
      <c r="PT52" s="271">
        <f>COUNTIF(PT38:PT51,0.5)</f>
      </c>
      <c r="PU52" s="271">
        <f>COUNTIF(PU38:PU51,0.5)</f>
      </c>
      <c r="PV52" s="271">
        <f>COUNTIF(PV38:PV51,0.5)</f>
      </c>
      <c r="PW52" s="271">
        <f>COUNTIF(PW38:PW51,0.5)</f>
      </c>
      <c r="PX52" s="271">
        <f>COUNTIF(PX38:PX51,0.5)</f>
      </c>
      <c r="PY52" s="271">
        <f>COUNTIF(PY38:PY51,0.5)</f>
      </c>
      <c r="PZ52" s="269"/>
      <c r="QA52" s="269"/>
      <c r="QB52" s="282"/>
      <c r="QC52" s="282"/>
      <c r="QD52" s="273"/>
      <c r="QE52" s="271">
        <f>COUNTIF(QE38:QE51,0.5)</f>
      </c>
      <c r="QF52" s="271">
        <f>COUNTIF(QF38:QF51,0.5)</f>
      </c>
      <c r="QG52" s="271">
        <f>COUNTIF(QG38:QG51,0.5)</f>
      </c>
      <c r="QH52" s="271">
        <f>COUNTIF(QH38:QH51,0.5)</f>
      </c>
      <c r="QI52" s="271">
        <f>COUNTIF(QI38:QI51,0.5)</f>
      </c>
      <c r="QJ52" s="271">
        <f>COUNTIF(QJ38:QJ51,0.5)</f>
      </c>
      <c r="QK52" s="271">
        <f>COUNTIF(QK38:QK51,0.5)</f>
      </c>
      <c r="QL52" s="271">
        <f>COUNTIF(QL38:QL51,0.5)</f>
      </c>
      <c r="QM52" s="271">
        <f>COUNTIF(QM38:QM51,0.5)</f>
      </c>
      <c r="QN52" s="271">
        <f>COUNTIF(QN38:QN51,0.5)</f>
      </c>
      <c r="QO52" s="271">
        <f>COUNTIF(QO38:QO51,0.5)</f>
      </c>
      <c r="QP52" s="271">
        <f>COUNTIF(QP38:QP51,0.5)</f>
      </c>
      <c r="QQ52" s="271">
        <f>COUNTIF(QQ38:QQ51,0.5)</f>
      </c>
      <c r="QR52" s="271">
        <f>COUNTIF(QR38:QR51,0.5)</f>
      </c>
      <c r="QS52" s="271">
        <f>COUNTIF(QS38:QS51,0.5)</f>
      </c>
      <c r="QT52" s="271">
        <f>COUNTIF(QT38:QT51,0.5)</f>
      </c>
      <c r="QU52" s="271">
        <f>COUNTIF(QU38:QU51,0.5)</f>
      </c>
      <c r="QV52" s="271">
        <f>COUNTIF(QV38:QV51,0.5)</f>
      </c>
      <c r="QW52" s="271">
        <f>COUNTIF(QW38:QW51,0.5)</f>
      </c>
      <c r="QX52" s="271">
        <f>COUNTIF(QX38:QX51,0.5)</f>
      </c>
      <c r="QY52" s="271">
        <f>COUNTIF(QY38:QY51,0.5)</f>
      </c>
      <c r="QZ52" s="271">
        <f>COUNTIF(QZ38:QZ51,0.5)</f>
      </c>
      <c r="RA52" s="271">
        <f>COUNTIF(RA38:RA51,0.5)</f>
      </c>
      <c r="RB52" s="271">
        <f>COUNTIF(RB38:RB51,0.5)</f>
      </c>
      <c r="RC52" s="269"/>
      <c r="RD52" s="269"/>
      <c r="RE52" s="282"/>
      <c r="RF52" s="282"/>
      <c r="RG52" s="273"/>
      <c r="RH52" s="271">
        <f>COUNTIF(RH38:RH51,0.5)</f>
      </c>
      <c r="RI52" s="271">
        <f>COUNTIF(RI38:RI51,0.5)</f>
      </c>
      <c r="RJ52" s="271">
        <f>COUNTIF(RJ38:RJ51,0.5)</f>
      </c>
      <c r="RK52" s="271">
        <f>COUNTIF(RK38:RK51,0.5)</f>
      </c>
      <c r="RL52" s="271">
        <f>COUNTIF(RL38:RL51,0.5)</f>
      </c>
      <c r="RM52" s="271">
        <f>COUNTIF(RM38:RM51,0.5)</f>
      </c>
      <c r="RN52" s="271">
        <f>COUNTIF(RN38:RN51,0.5)</f>
      </c>
      <c r="RO52" s="271">
        <f>COUNTIF(RO38:RO51,0.5)</f>
      </c>
      <c r="RP52" s="271">
        <f>COUNTIF(RP38:RP51,0.5)</f>
      </c>
      <c r="RQ52" s="271">
        <f>COUNTIF(RQ38:RQ51,0.5)</f>
      </c>
      <c r="RR52" s="271">
        <f>COUNTIF(RR38:RR51,0.5)</f>
      </c>
      <c r="RS52" s="271">
        <f>COUNTIF(RS38:RS51,0.5)</f>
      </c>
      <c r="RT52" s="271">
        <f>COUNTIF(RT38:RT51,0.5)</f>
      </c>
      <c r="RU52" s="271">
        <f>COUNTIF(RU38:RU51,0.5)</f>
      </c>
      <c r="RV52" s="271">
        <f>COUNTIF(RV38:RV51,0.5)</f>
      </c>
      <c r="RW52" s="271">
        <f>COUNTIF(RW38:RW51,0.5)</f>
      </c>
      <c r="RX52" s="271">
        <f>COUNTIF(RX38:RX51,0.5)</f>
      </c>
      <c r="RY52" s="271">
        <f>COUNTIF(RY38:RY51,0.5)</f>
      </c>
      <c r="RZ52" s="271">
        <f>COUNTIF(RZ38:RZ51,0.5)</f>
      </c>
      <c r="SA52" s="271">
        <f>COUNTIF(SA38:SA51,0.5)</f>
      </c>
      <c r="SB52" s="271">
        <f>COUNTIF(SB38:SB51,0.5)</f>
      </c>
      <c r="SC52" s="271">
        <f>COUNTIF(SC38:SC51,0.5)</f>
      </c>
      <c r="SD52" s="271">
        <f>COUNTIF(SD38:SD51,0.5)</f>
      </c>
      <c r="SE52" s="271">
        <f>COUNTIF(SE38:SE51,0.5)</f>
      </c>
      <c r="SF52" s="269"/>
      <c r="SG52" s="269"/>
      <c r="SH52" s="282"/>
      <c r="SI52" s="282"/>
      <c r="SJ52" s="273"/>
      <c r="SK52" s="271">
        <f>COUNTIF(SK38:SK51,0.5)</f>
      </c>
      <c r="SL52" s="271">
        <f>COUNTIF(SL38:SL51,0.5)</f>
      </c>
      <c r="SM52" s="271">
        <f>COUNTIF(SM38:SM51,0.5)</f>
      </c>
      <c r="SN52" s="271">
        <f>COUNTIF(SN38:SN51,0.5)</f>
      </c>
      <c r="SO52" s="271">
        <f>COUNTIF(SO38:SO51,0.5)</f>
      </c>
      <c r="SP52" s="271">
        <f>COUNTIF(SP38:SP51,0.5)</f>
      </c>
      <c r="SQ52" s="271">
        <f>COUNTIF(SQ38:SQ51,0.5)</f>
      </c>
      <c r="SR52" s="271">
        <f>COUNTIF(SR38:SR51,0.5)</f>
      </c>
      <c r="SS52" s="271">
        <f>COUNTIF(SS38:SS51,0.5)</f>
      </c>
      <c r="ST52" s="271">
        <f>COUNTIF(ST38:ST51,0.5)</f>
      </c>
      <c r="SU52" s="271">
        <f>COUNTIF(SU38:SU51,0.5)</f>
      </c>
      <c r="SV52" s="271">
        <f>COUNTIF(SV38:SV51,0.5)</f>
      </c>
      <c r="SW52" s="271">
        <f>COUNTIF(SW38:SW51,0.5)</f>
      </c>
      <c r="SX52" s="271">
        <f>COUNTIF(SX38:SX51,0.5)</f>
      </c>
      <c r="SY52" s="271">
        <f>COUNTIF(SY38:SY51,0.5)</f>
      </c>
      <c r="SZ52" s="271">
        <f>COUNTIF(SZ38:SZ51,0.5)</f>
      </c>
      <c r="TA52" s="271">
        <f>COUNTIF(TA38:TA51,0.5)</f>
      </c>
      <c r="TB52" s="271">
        <f>COUNTIF(TB38:TB51,0.5)</f>
      </c>
      <c r="TC52" s="271">
        <f>COUNTIF(TC38:TC51,0.5)</f>
      </c>
      <c r="TD52" s="271">
        <f>COUNTIF(TD38:TD51,0.5)</f>
      </c>
      <c r="TE52" s="271">
        <f>COUNTIF(TE38:TE51,0.5)</f>
      </c>
      <c r="TF52" s="271">
        <f>COUNTIF(TF38:TF51,0.5)</f>
      </c>
      <c r="TG52" s="271">
        <f>COUNTIF(TG38:TG51,0.5)</f>
      </c>
      <c r="TH52" s="271">
        <f>COUNTIF(TH38:TH51,0.5)</f>
      </c>
      <c r="TI52" s="269"/>
      <c r="TJ52" s="269"/>
      <c r="TK52" s="282"/>
      <c r="TL52" s="282"/>
      <c r="TM52" s="273"/>
      <c r="TN52" s="271">
        <f>COUNTIF(TN38:TN51,0.5)</f>
      </c>
      <c r="TO52" s="271">
        <f>COUNTIF(TO38:TO51,0.5)</f>
      </c>
      <c r="TP52" s="271">
        <f>COUNTIF(TP38:TP51,0.5)</f>
      </c>
      <c r="TQ52" s="271">
        <f>COUNTIF(TQ38:TQ51,0.5)</f>
      </c>
      <c r="TR52" s="271">
        <f>COUNTIF(TR38:TR51,0.5)</f>
      </c>
      <c r="TS52" s="271">
        <f>COUNTIF(TS38:TS51,0.5)</f>
      </c>
      <c r="TT52" s="271">
        <f>COUNTIF(TT38:TT51,0.5)</f>
      </c>
      <c r="TU52" s="271">
        <f>COUNTIF(TU38:TU51,0.5)</f>
      </c>
      <c r="TV52" s="271">
        <f>COUNTIF(TV38:TV51,0.5)</f>
      </c>
      <c r="TW52" s="271">
        <f>COUNTIF(TW38:TW51,0.5)</f>
      </c>
      <c r="TX52" s="271">
        <f>COUNTIF(TX38:TX51,0.5)</f>
      </c>
      <c r="TY52" s="271">
        <f>COUNTIF(TY38:TY51,0.5)</f>
      </c>
      <c r="TZ52" s="271">
        <f>COUNTIF(TZ38:TZ51,0.5)</f>
      </c>
      <c r="UA52" s="271">
        <f>COUNTIF(UA38:UA51,0.5)</f>
      </c>
      <c r="UB52" s="271">
        <f>COUNTIF(UB38:UB51,0.5)</f>
      </c>
      <c r="UC52" s="271">
        <f>COUNTIF(UC38:UC51,0.5)</f>
      </c>
      <c r="UD52" s="271">
        <f>COUNTIF(UD38:UD51,0.5)</f>
      </c>
      <c r="UE52" s="271">
        <f>COUNTIF(UE38:UE51,0.5)</f>
      </c>
      <c r="UF52" s="271">
        <f>COUNTIF(UF38:UF51,0.5)</f>
      </c>
      <c r="UG52" s="271">
        <f>COUNTIF(UG38:UG51,0.5)</f>
      </c>
      <c r="UH52" s="271">
        <f>COUNTIF(UH38:UH51,0.5)</f>
      </c>
      <c r="UI52" s="271">
        <f>COUNTIF(UI38:UI51,0.5)</f>
      </c>
      <c r="UJ52" s="271">
        <f>COUNTIF(UJ38:UJ51,0.5)</f>
      </c>
      <c r="UK52" s="271">
        <f>COUNTIF(UK38:UK51,0.5)</f>
      </c>
      <c r="UL52" s="269"/>
      <c r="UM52" s="269"/>
      <c r="UN52" s="282"/>
      <c r="UO52" s="282"/>
      <c r="UP52" s="273"/>
      <c r="UQ52" s="273"/>
      <c r="UR52" s="273"/>
      <c r="US52" s="273"/>
      <c r="UT52" s="273"/>
      <c r="UU52" s="273"/>
      <c r="UV52" s="273"/>
      <c r="UW52" s="273"/>
      <c r="UX52" s="273"/>
      <c r="UY52" s="273"/>
      <c r="UZ52" s="273"/>
      <c r="VA52" s="273"/>
      <c r="VB52" s="273"/>
      <c r="VC52" s="273"/>
      <c r="VD52" s="273"/>
      <c r="VE52" s="273"/>
      <c r="VF52" s="273"/>
      <c r="VG52" s="273"/>
      <c r="VH52" s="273"/>
      <c r="VI52" s="273"/>
      <c r="VJ52" s="273"/>
      <c r="VK52" s="273"/>
      <c r="VL52" s="273"/>
      <c r="VM52" s="273"/>
      <c r="VN52" s="273"/>
      <c r="VO52" s="273"/>
      <c r="VP52" s="273"/>
      <c r="VQ52" s="273"/>
      <c r="VR52" s="273"/>
      <c r="VS52" s="273"/>
      <c r="VT52" s="273"/>
      <c r="VU52" s="273"/>
      <c r="VV52" s="273"/>
      <c r="VW52" s="273"/>
      <c r="VX52" s="273"/>
      <c r="VY52" s="273"/>
      <c r="VZ52" s="273"/>
      <c r="WA52" s="273"/>
      <c r="WB52" s="273"/>
      <c r="WC52" s="273"/>
      <c r="WD52" s="273"/>
      <c r="WE52" s="273"/>
      <c r="WF52" s="273"/>
      <c r="WG52" s="273"/>
      <c r="WH52" s="273"/>
      <c r="WI52" s="273"/>
      <c r="WJ52" s="273"/>
      <c r="WK52" s="273"/>
      <c r="WL52" s="273"/>
      <c r="WM52" s="273"/>
      <c r="WN52" s="273"/>
      <c r="WO52" s="273"/>
      <c r="WP52" s="273"/>
      <c r="WQ52" s="273"/>
      <c r="WR52" s="269"/>
      <c r="WS52" s="269"/>
      <c r="WT52" s="282"/>
      <c r="WU52" s="5"/>
      <c r="WV52" s="5"/>
      <c r="WW52" s="22"/>
      <c r="WX52" s="359"/>
      <c r="WY52" s="273"/>
      <c r="WZ52" s="271">
        <f>COUNTIF(WZ38:WZ51,0.5)</f>
      </c>
      <c r="XA52" s="271">
        <f>COUNTIF(XA38:XA51,0.5)</f>
      </c>
      <c r="XB52" s="271">
        <f>COUNTIF(XB38:XB51,0.5)</f>
      </c>
      <c r="XC52" s="271">
        <f>COUNTIF(XC38:XC51,0.5)</f>
      </c>
      <c r="XD52" s="271">
        <f>COUNTIF(XD38:XD51,0.5)</f>
      </c>
      <c r="XE52" s="271">
        <f>COUNTIF(XE38:XE51,0.5)</f>
      </c>
      <c r="XF52" s="271">
        <f>COUNTIF(XF38:XF51,0.5)</f>
      </c>
      <c r="XG52" s="271">
        <f>COUNTIF(XG38:XG51,0.5)</f>
      </c>
      <c r="XH52" s="271">
        <f>COUNTIF(XH38:XH51,0.5)</f>
      </c>
      <c r="XI52" s="271">
        <f>COUNTIF(XI38:XI51,0.5)</f>
      </c>
      <c r="XJ52" s="271">
        <f>COUNTIF(XJ38:XJ51,0.5)</f>
      </c>
      <c r="XK52" s="271">
        <f>COUNTIF(XK38:XK51,0.5)</f>
      </c>
      <c r="XL52" s="271">
        <f>COUNTIF(XL38:XL51,0.5)</f>
      </c>
      <c r="XM52" s="271">
        <f>COUNTIF(XM38:XM51,0.5)</f>
      </c>
      <c r="XN52" s="271">
        <f>COUNTIF(XN38:XN51,0.5)</f>
      </c>
      <c r="XO52" s="271">
        <f>COUNTIF(XO38:XO51,0.5)</f>
      </c>
      <c r="XP52" s="271">
        <f>COUNTIF(XP38:XP51,0.5)</f>
      </c>
      <c r="XQ52" s="271">
        <f>COUNTIF(XQ38:XQ51,0.5)</f>
      </c>
      <c r="XR52" s="271">
        <f>COUNTIF(XR38:XR51,0.5)</f>
      </c>
      <c r="XS52" s="271">
        <f>COUNTIF(XS38:XS51,0.5)</f>
      </c>
      <c r="XT52" s="271">
        <f>COUNTIF(XT38:XT51,0.5)</f>
      </c>
      <c r="XU52" s="271">
        <f>COUNTIF(XU38:XU51,0.5)</f>
      </c>
      <c r="XV52" s="271">
        <f>COUNTIF(XV38:XV51,0.5)</f>
      </c>
      <c r="XW52" s="271">
        <f>COUNTIF(XW38:XW51,0.5)</f>
      </c>
      <c r="XX52" s="269"/>
      <c r="XY52" s="269"/>
      <c r="XZ52" s="282"/>
      <c r="YA52" s="282"/>
      <c r="YB52" s="273"/>
      <c r="YC52" s="271">
        <f>COUNTIF(YC38:YC51,0.5)</f>
      </c>
      <c r="YD52" s="271">
        <f>COUNTIF(YD38:YD51,0.5)</f>
      </c>
      <c r="YE52" s="271">
        <f>COUNTIF(YE38:YE51,0.5)</f>
      </c>
      <c r="YF52" s="271">
        <f>COUNTIF(YF38:YF51,0.5)</f>
      </c>
      <c r="YG52" s="271">
        <f>COUNTIF(YG38:YG51,0.5)</f>
      </c>
      <c r="YH52" s="271">
        <f>COUNTIF(YH38:YH51,0.5)</f>
      </c>
      <c r="YI52" s="271">
        <f>COUNTIF(YI38:YI51,0.5)</f>
      </c>
      <c r="YJ52" s="271">
        <f>COUNTIF(YJ38:YJ51,0.5)</f>
      </c>
      <c r="YK52" s="271">
        <f>COUNTIF(YK38:YK51,0.5)</f>
      </c>
      <c r="YL52" s="271">
        <f>COUNTIF(YL38:YL51,0.5)</f>
      </c>
      <c r="YM52" s="271">
        <f>COUNTIF(YM38:YM51,0.5)</f>
      </c>
      <c r="YN52" s="271">
        <f>COUNTIF(YN38:YN51,0.5)</f>
      </c>
      <c r="YO52" s="271">
        <f>COUNTIF(YO38:YO51,0.5)</f>
      </c>
      <c r="YP52" s="271">
        <f>COUNTIF(YP38:YP51,0.5)</f>
      </c>
      <c r="YQ52" s="271">
        <f>COUNTIF(YQ38:YQ51,0.5)</f>
      </c>
      <c r="YR52" s="271">
        <f>COUNTIF(YR38:YR51,0.5)</f>
      </c>
      <c r="YS52" s="271">
        <f>COUNTIF(YS38:YS51,0.5)</f>
      </c>
      <c r="YT52" s="271">
        <f>COUNTIF(YT38:YT51,0.5)</f>
      </c>
      <c r="YU52" s="271">
        <f>COUNTIF(YU38:YU51,0.5)</f>
      </c>
      <c r="YV52" s="271">
        <f>COUNTIF(YV38:YV51,0.5)</f>
      </c>
      <c r="YW52" s="271">
        <f>COUNTIF(YW38:YW51,0.5)</f>
      </c>
      <c r="YX52" s="271">
        <f>COUNTIF(YX38:YX51,0.5)</f>
      </c>
      <c r="YY52" s="271">
        <f>COUNTIF(YY38:YY51,0.5)</f>
      </c>
      <c r="YZ52" s="271">
        <f>COUNTIF(YZ38:YZ51,0.5)</f>
      </c>
      <c r="ZA52" s="269"/>
      <c r="ZB52" s="269"/>
      <c r="ZC52" s="282"/>
      <c r="ZD52" s="282"/>
      <c r="ZE52" s="273"/>
      <c r="ZF52" s="271">
        <f>COUNTIF(ZF38:ZF51,0.5)</f>
      </c>
      <c r="ZG52" s="271">
        <f>COUNTIF(ZG38:ZG51,0.5)</f>
      </c>
      <c r="ZH52" s="271">
        <f>COUNTIF(ZH38:ZH51,0.5)</f>
      </c>
      <c r="ZI52" s="271">
        <f>COUNTIF(ZI38:ZI51,0.5)</f>
      </c>
      <c r="ZJ52" s="271">
        <f>COUNTIF(ZJ38:ZJ51,0.5)</f>
      </c>
      <c r="ZK52" s="271">
        <f>COUNTIF(ZK38:ZK51,0.5)</f>
      </c>
      <c r="ZL52" s="271">
        <f>COUNTIF(ZL38:ZL51,0.5)</f>
      </c>
      <c r="ZM52" s="271">
        <f>COUNTIF(ZM38:ZM51,0.5)</f>
      </c>
      <c r="ZN52" s="271">
        <f>COUNTIF(ZN38:ZN51,0.5)</f>
      </c>
      <c r="ZO52" s="271">
        <f>COUNTIF(ZO38:ZO51,0.5)</f>
      </c>
      <c r="ZP52" s="271">
        <f>COUNTIF(ZP38:ZP51,0.5)</f>
      </c>
      <c r="ZQ52" s="271">
        <f>COUNTIF(ZQ38:ZQ51,0.5)</f>
      </c>
      <c r="ZR52" s="271">
        <f>COUNTIF(ZR38:ZR51,0.5)</f>
      </c>
      <c r="ZS52" s="271">
        <f>COUNTIF(ZS38:ZS51,0.5)</f>
      </c>
      <c r="ZT52" s="271">
        <f>COUNTIF(ZT38:ZT51,0.5)</f>
      </c>
      <c r="ZU52" s="271">
        <f>COUNTIF(ZU38:ZU51,0.5)</f>
      </c>
      <c r="ZV52" s="271">
        <f>COUNTIF(ZV38:ZV51,0.5)</f>
      </c>
      <c r="ZW52" s="271">
        <f>COUNTIF(ZW38:ZW51,0.5)</f>
      </c>
      <c r="ZX52" s="271">
        <f>COUNTIF(ZX38:ZX51,0.5)</f>
      </c>
      <c r="ZY52" s="271">
        <f>COUNTIF(ZY38:ZY51,0.5)</f>
      </c>
      <c r="ZZ52" s="271">
        <f>COUNTIF(ZZ38:ZZ51,0.5)</f>
      </c>
      <c r="AAA52" s="271">
        <f>COUNTIF(AAA38:AAA51,0.5)</f>
      </c>
      <c r="AAB52" s="271">
        <f>COUNTIF(AAB38:AAB51,0.5)</f>
      </c>
      <c r="AAC52" s="271">
        <f>COUNTIF(AAC38:AAC51,0.5)</f>
      </c>
      <c r="AAD52" s="269"/>
      <c r="AAE52" s="269"/>
      <c r="AAF52" s="282"/>
      <c r="AAG52" s="282"/>
      <c r="AAH52" s="273"/>
      <c r="AAI52" s="271">
        <f>COUNTIF(AAI38:AAI51,0.5)</f>
      </c>
      <c r="AAJ52" s="271">
        <f>COUNTIF(AAJ38:AAJ51,0.5)</f>
      </c>
      <c r="AAK52" s="271">
        <f>COUNTIF(AAK38:AAK51,0.5)</f>
      </c>
      <c r="AAL52" s="271">
        <f>COUNTIF(AAL38:AAL51,0.5)</f>
      </c>
      <c r="AAM52" s="271">
        <f>COUNTIF(AAM38:AAM51,0.5)</f>
      </c>
      <c r="AAN52" s="271">
        <f>COUNTIF(AAN38:AAN51,0.5)</f>
      </c>
      <c r="AAO52" s="271">
        <f>COUNTIF(AAO38:AAO51,0.5)</f>
      </c>
      <c r="AAP52" s="271">
        <f>COUNTIF(AAP38:AAP51,0.5)</f>
      </c>
      <c r="AAQ52" s="271">
        <f>COUNTIF(AAQ38:AAQ51,0.5)</f>
      </c>
      <c r="AAR52" s="271">
        <f>COUNTIF(AAR38:AAR51,0.5)</f>
      </c>
      <c r="AAS52" s="271">
        <f>COUNTIF(AAS38:AAS51,0.5)</f>
      </c>
      <c r="AAT52" s="271">
        <f>COUNTIF(AAT38:AAT51,0.5)</f>
      </c>
      <c r="AAU52" s="271">
        <f>COUNTIF(AAU38:AAU51,0.5)</f>
      </c>
      <c r="AAV52" s="271">
        <f>COUNTIF(AAV38:AAV51,0.5)</f>
      </c>
      <c r="AAW52" s="271">
        <f>COUNTIF(AAW38:AAW51,0.5)</f>
      </c>
      <c r="AAX52" s="271">
        <f>COUNTIF(AAX38:AAX51,0.5)</f>
      </c>
      <c r="AAY52" s="271">
        <f>COUNTIF(AAY38:AAY51,0.5)</f>
      </c>
      <c r="AAZ52" s="271">
        <f>COUNTIF(AAZ38:AAZ51,0.5)</f>
      </c>
      <c r="ABA52" s="271">
        <f>COUNTIF(ABA38:ABA51,0.5)</f>
      </c>
      <c r="ABB52" s="271">
        <f>COUNTIF(ABB38:ABB51,0.5)</f>
      </c>
      <c r="ABC52" s="271">
        <f>COUNTIF(ABC38:ABC51,0.5)</f>
      </c>
      <c r="ABD52" s="271">
        <f>COUNTIF(ABD38:ABD51,0.5)</f>
      </c>
      <c r="ABE52" s="271">
        <f>COUNTIF(ABE38:ABE51,0.5)</f>
      </c>
      <c r="ABF52" s="271">
        <f>COUNTIF(ABF38:ABF51,0.5)</f>
      </c>
      <c r="ABG52" s="269"/>
      <c r="ABH52" s="269"/>
      <c r="ABI52" s="282"/>
      <c r="ABJ52" s="282"/>
      <c r="ABK52" s="273"/>
      <c r="ABL52" s="271">
        <f>COUNTIF(ABL38:ABL51,0.5)</f>
      </c>
      <c r="ABM52" s="271">
        <f>COUNTIF(ABM38:ABM51,0.5)</f>
      </c>
      <c r="ABN52" s="271">
        <f>COUNTIF(ABN38:ABN51,0.5)</f>
      </c>
      <c r="ABO52" s="271">
        <f>COUNTIF(ABO38:ABO51,0.5)</f>
      </c>
      <c r="ABP52" s="271">
        <f>COUNTIF(ABP38:ABP51,0.5)</f>
      </c>
      <c r="ABQ52" s="271">
        <f>COUNTIF(ABQ38:ABQ51,0.5)</f>
      </c>
      <c r="ABR52" s="271">
        <f>COUNTIF(ABR38:ABR51,0.5)</f>
      </c>
      <c r="ABS52" s="271">
        <f>COUNTIF(ABS38:ABS51,0.5)</f>
      </c>
      <c r="ABT52" s="271">
        <f>COUNTIF(ABT38:ABT51,0.5)</f>
      </c>
      <c r="ABU52" s="271">
        <f>COUNTIF(ABU38:ABU51,0.5)</f>
      </c>
      <c r="ABV52" s="271">
        <f>COUNTIF(ABV38:ABV51,0.5)</f>
      </c>
      <c r="ABW52" s="271">
        <f>COUNTIF(ABW38:ABW51,0.5)</f>
      </c>
      <c r="ABX52" s="271">
        <f>COUNTIF(ABX38:ABX51,0.5)</f>
      </c>
      <c r="ABY52" s="271">
        <f>COUNTIF(ABY38:ABY51,0.5)</f>
      </c>
      <c r="ABZ52" s="271">
        <f>COUNTIF(ABZ38:ABZ51,0.5)</f>
      </c>
      <c r="ACA52" s="271">
        <f>COUNTIF(ACA38:ACA51,0.5)</f>
      </c>
      <c r="ACB52" s="271">
        <f>COUNTIF(ACB38:ACB51,0.5)</f>
      </c>
      <c r="ACC52" s="271">
        <f>COUNTIF(ACC38:ACC51,0.5)</f>
      </c>
      <c r="ACD52" s="271">
        <f>COUNTIF(ACD38:ACD51,0.5)</f>
      </c>
      <c r="ACE52" s="271">
        <f>COUNTIF(ACE38:ACE51,0.5)</f>
      </c>
      <c r="ACF52" s="271">
        <f>COUNTIF(ACF38:ACF51,0.5)</f>
      </c>
      <c r="ACG52" s="271">
        <f>COUNTIF(ACG38:ACG51,0.5)</f>
      </c>
      <c r="ACH52" s="271">
        <f>COUNTIF(ACH38:ACH51,0.5)</f>
      </c>
      <c r="ACI52" s="271">
        <f>COUNTIF(ACI38:ACI51,0.5)</f>
      </c>
      <c r="ACJ52" s="269"/>
      <c r="ACK52" s="269"/>
      <c r="ACL52" s="282"/>
      <c r="ACM52" s="282"/>
      <c r="ACN52" s="273"/>
      <c r="ACO52" s="273"/>
      <c r="ACP52" s="273"/>
      <c r="ACQ52" s="273"/>
      <c r="ACR52" s="273"/>
      <c r="ACS52" s="273"/>
      <c r="ACT52" s="273"/>
      <c r="ACU52" s="273"/>
      <c r="ACV52" s="273"/>
      <c r="ACW52" s="273"/>
      <c r="ACX52" s="273"/>
      <c r="ACY52" s="273"/>
      <c r="ACZ52" s="273"/>
      <c r="ADA52" s="273"/>
      <c r="ADB52" s="273"/>
      <c r="ADC52" s="273"/>
      <c r="ADD52" s="273"/>
      <c r="ADE52" s="273"/>
      <c r="ADF52" s="273"/>
      <c r="ADG52" s="273"/>
      <c r="ADH52" s="273"/>
      <c r="ADI52" s="273"/>
      <c r="ADJ52" s="273"/>
      <c r="ADK52" s="273"/>
      <c r="ADL52" s="273"/>
      <c r="ADM52" s="273"/>
      <c r="ADN52" s="273"/>
      <c r="ADO52" s="273"/>
      <c r="ADP52" s="273"/>
      <c r="ADQ52" s="273"/>
      <c r="ADR52" s="273"/>
      <c r="ADS52" s="273"/>
      <c r="ADT52" s="273"/>
      <c r="ADU52" s="273"/>
      <c r="ADV52" s="273"/>
      <c r="ADW52" s="273"/>
      <c r="ADX52" s="273"/>
      <c r="ADY52" s="273"/>
      <c r="ADZ52" s="273"/>
      <c r="AEA52" s="273"/>
      <c r="AEB52" s="273"/>
      <c r="AEC52" s="273"/>
      <c r="AED52" s="273"/>
      <c r="AEE52" s="273"/>
      <c r="AEF52" s="273"/>
      <c r="AEG52" s="273"/>
      <c r="AEH52" s="273"/>
      <c r="AEI52" s="273"/>
      <c r="AEJ52" s="273"/>
      <c r="AEK52" s="273"/>
      <c r="AEL52" s="273"/>
      <c r="AEM52" s="273"/>
      <c r="AEN52" s="273"/>
      <c r="AEO52" s="273"/>
      <c r="AEP52" s="269"/>
      <c r="AEQ52" s="269"/>
      <c r="AER52" s="282"/>
      <c r="AES52" s="5"/>
      <c r="AET52" s="5"/>
      <c r="AEU52" s="22"/>
      <c r="AEV52" s="359"/>
      <c r="AEW52" s="273"/>
      <c r="AEX52" s="271">
        <f>COUNTIF(AEX38:AEX51,0.5)</f>
      </c>
      <c r="AEY52" s="271">
        <f>COUNTIF(AEY38:AEY51,0.5)</f>
      </c>
      <c r="AEZ52" s="271">
        <f>COUNTIF(AEZ38:AEZ51,0.5)</f>
      </c>
      <c r="AFA52" s="271">
        <f>COUNTIF(AFA38:AFA51,0.5)</f>
      </c>
      <c r="AFB52" s="271">
        <f>COUNTIF(AFB38:AFB51,0.5)</f>
      </c>
      <c r="AFC52" s="271">
        <f>COUNTIF(AFC38:AFC51,0.5)</f>
      </c>
      <c r="AFD52" s="271">
        <f>COUNTIF(AFD38:AFD51,0.5)</f>
      </c>
      <c r="AFE52" s="271">
        <f>COUNTIF(AFE38:AFE51,0.5)</f>
      </c>
      <c r="AFF52" s="271">
        <f>COUNTIF(AFF38:AFF51,0.5)</f>
      </c>
      <c r="AFG52" s="271">
        <f>COUNTIF(AFG38:AFG51,0.5)</f>
      </c>
      <c r="AFH52" s="271">
        <f>COUNTIF(AFH38:AFH51,0.5)</f>
      </c>
      <c r="AFI52" s="271">
        <f>COUNTIF(AFI38:AFI51,0.5)</f>
      </c>
      <c r="AFJ52" s="271">
        <f>COUNTIF(AFJ38:AFJ51,0.5)</f>
      </c>
      <c r="AFK52" s="271">
        <f>COUNTIF(AFK38:AFK51,0.5)</f>
      </c>
      <c r="AFL52" s="271">
        <f>COUNTIF(AFL38:AFL51,0.5)</f>
      </c>
      <c r="AFM52" s="271">
        <f>COUNTIF(AFM38:AFM51,0.5)</f>
      </c>
      <c r="AFN52" s="271">
        <f>COUNTIF(AFN38:AFN51,0.5)</f>
      </c>
      <c r="AFO52" s="271">
        <f>COUNTIF(AFO38:AFO51,0.5)</f>
      </c>
      <c r="AFP52" s="271">
        <f>COUNTIF(AFP38:AFP51,0.5)</f>
      </c>
      <c r="AFQ52" s="271">
        <f>COUNTIF(AFQ38:AFQ51,0.5)</f>
      </c>
      <c r="AFR52" s="271">
        <f>COUNTIF(AFR38:AFR51,0.5)</f>
      </c>
      <c r="AFS52" s="271">
        <f>COUNTIF(AFS38:AFS51,0.5)</f>
      </c>
      <c r="AFT52" s="271">
        <f>COUNTIF(AFT38:AFT51,0.5)</f>
      </c>
      <c r="AFU52" s="271">
        <f>COUNTIF(AFU38:AFU51,0.5)</f>
      </c>
      <c r="AFV52" s="269"/>
      <c r="AFW52" s="269"/>
      <c r="AFX52" s="282"/>
      <c r="AFY52" s="282"/>
      <c r="AFZ52" s="273"/>
      <c r="AGA52" s="271">
        <f>COUNTIF(AGA38:AGA51,0.5)</f>
      </c>
      <c r="AGB52" s="271">
        <f>COUNTIF(AGB38:AGB51,0.5)</f>
      </c>
      <c r="AGC52" s="271">
        <f>COUNTIF(AGC38:AGC51,0.5)</f>
      </c>
      <c r="AGD52" s="271">
        <f>COUNTIF(AGD38:AGD51,0.5)</f>
      </c>
      <c r="AGE52" s="271">
        <f>COUNTIF(AGE38:AGE51,0.5)</f>
      </c>
      <c r="AGF52" s="271">
        <f>COUNTIF(AGF38:AGF51,0.5)</f>
      </c>
      <c r="AGG52" s="271">
        <f>COUNTIF(AGG38:AGG51,0.5)</f>
      </c>
      <c r="AGH52" s="271">
        <f>COUNTIF(AGH38:AGH51,0.5)</f>
      </c>
      <c r="AGI52" s="271">
        <f>COUNTIF(AGI38:AGI51,0.5)</f>
      </c>
      <c r="AGJ52" s="271">
        <f>COUNTIF(AGJ38:AGJ51,0.5)</f>
      </c>
      <c r="AGK52" s="271">
        <f>COUNTIF(AGK38:AGK51,0.5)</f>
      </c>
      <c r="AGL52" s="271">
        <f>COUNTIF(AGL38:AGL51,0.5)</f>
      </c>
      <c r="AGM52" s="271">
        <f>COUNTIF(AGM38:AGM51,0.5)</f>
      </c>
      <c r="AGN52" s="271">
        <f>COUNTIF(AGN38:AGN51,0.5)</f>
      </c>
      <c r="AGO52" s="271">
        <f>COUNTIF(AGO38:AGO51,0.5)</f>
      </c>
      <c r="AGP52" s="271">
        <f>COUNTIF(AGP38:AGP51,0.5)</f>
      </c>
      <c r="AGQ52" s="271">
        <f>COUNTIF(AGQ38:AGQ51,0.5)</f>
      </c>
      <c r="AGR52" s="271">
        <f>COUNTIF(AGR38:AGR51,0.5)</f>
      </c>
      <c r="AGS52" s="271">
        <f>COUNTIF(AGS38:AGS51,0.5)</f>
      </c>
      <c r="AGT52" s="271">
        <f>COUNTIF(AGT38:AGT51,0.5)</f>
      </c>
      <c r="AGU52" s="271">
        <f>COUNTIF(AGU38:AGU51,0.5)</f>
      </c>
      <c r="AGV52" s="271">
        <f>COUNTIF(AGV38:AGV51,0.5)</f>
      </c>
      <c r="AGW52" s="271">
        <f>COUNTIF(AGW38:AGW51,0.5)</f>
      </c>
      <c r="AGX52" s="271">
        <f>COUNTIF(AGX38:AGX51,0.5)</f>
      </c>
      <c r="AGY52" s="269"/>
      <c r="AGZ52" s="269"/>
      <c r="AHA52" s="282"/>
      <c r="AHB52" s="282"/>
      <c r="AHC52" s="273"/>
      <c r="AHD52" s="271">
        <f>COUNTIF(AHD38:AHD51,0.5)</f>
      </c>
      <c r="AHE52" s="271">
        <f>COUNTIF(AHE38:AHE51,0.5)</f>
      </c>
      <c r="AHF52" s="271">
        <f>COUNTIF(AHF38:AHF51,0.5)</f>
      </c>
      <c r="AHG52" s="271">
        <f>COUNTIF(AHG38:AHG51,0.5)</f>
      </c>
      <c r="AHH52" s="271">
        <f>COUNTIF(AHH38:AHH51,0.5)</f>
      </c>
      <c r="AHI52" s="271">
        <f>COUNTIF(AHI38:AHI51,0.5)</f>
      </c>
      <c r="AHJ52" s="271">
        <f>COUNTIF(AHJ38:AHJ51,0.5)</f>
      </c>
      <c r="AHK52" s="271">
        <f>COUNTIF(AHK38:AHK51,0.5)</f>
      </c>
      <c r="AHL52" s="271">
        <f>COUNTIF(AHL38:AHL51,0.5)</f>
      </c>
      <c r="AHM52" s="271">
        <f>COUNTIF(AHM38:AHM51,0.5)</f>
      </c>
      <c r="AHN52" s="271">
        <f>COUNTIF(AHN38:AHN51,0.5)</f>
      </c>
      <c r="AHO52" s="271">
        <f>COUNTIF(AHO38:AHO51,0.5)</f>
      </c>
      <c r="AHP52" s="271">
        <f>COUNTIF(AHP38:AHP51,0.5)</f>
      </c>
      <c r="AHQ52" s="271">
        <f>COUNTIF(AHQ38:AHQ51,0.5)</f>
      </c>
      <c r="AHR52" s="271">
        <f>COUNTIF(AHR38:AHR51,0.5)</f>
      </c>
      <c r="AHS52" s="271">
        <f>COUNTIF(AHS38:AHS51,0.5)</f>
      </c>
      <c r="AHT52" s="271">
        <f>COUNTIF(AHT38:AHT51,0.5)</f>
      </c>
      <c r="AHU52" s="271">
        <f>COUNTIF(AHU38:AHU51,0.5)</f>
      </c>
      <c r="AHV52" s="271">
        <f>COUNTIF(AHV38:AHV51,0.5)</f>
      </c>
      <c r="AHW52" s="271">
        <f>COUNTIF(AHW38:AHW51,0.5)</f>
      </c>
      <c r="AHX52" s="271">
        <f>COUNTIF(AHX38:AHX51,0.5)</f>
      </c>
      <c r="AHY52" s="271">
        <f>COUNTIF(AHY38:AHY51,0.5)</f>
      </c>
      <c r="AHZ52" s="271">
        <f>COUNTIF(AHZ38:AHZ51,0.5)</f>
      </c>
      <c r="AIA52" s="271">
        <f>COUNTIF(AIA38:AIA51,0.5)</f>
      </c>
      <c r="AIB52" s="269"/>
      <c r="AIC52" s="269"/>
      <c r="AID52" s="282"/>
      <c r="AIE52" s="282"/>
      <c r="AIF52" s="273"/>
      <c r="AIG52" s="271">
        <f>COUNTIF(AIG38:AIG51,0.5)</f>
      </c>
      <c r="AIH52" s="271">
        <f>COUNTIF(AIH38:AIH51,0.5)</f>
      </c>
      <c r="AII52" s="271">
        <f>COUNTIF(AII38:AII51,0.5)</f>
      </c>
      <c r="AIJ52" s="271">
        <f>COUNTIF(AIJ38:AIJ51,0.5)</f>
      </c>
      <c r="AIK52" s="271">
        <f>COUNTIF(AIK38:AIK51,0.5)</f>
      </c>
      <c r="AIL52" s="271">
        <f>COUNTIF(AIL38:AIL51,0.5)</f>
      </c>
      <c r="AIM52" s="271">
        <f>COUNTIF(AIM38:AIM51,0.5)</f>
      </c>
      <c r="AIN52" s="271">
        <f>COUNTIF(AIN38:AIN51,0.5)</f>
      </c>
      <c r="AIO52" s="271">
        <f>COUNTIF(AIO38:AIO51,0.5)</f>
      </c>
      <c r="AIP52" s="271">
        <f>COUNTIF(AIP38:AIP51,0.5)</f>
      </c>
      <c r="AIQ52" s="271">
        <f>COUNTIF(AIQ38:AIQ51,0.5)</f>
      </c>
      <c r="AIR52" s="271">
        <f>COUNTIF(AIR38:AIR51,0.5)</f>
      </c>
      <c r="AIS52" s="271">
        <f>COUNTIF(AIS38:AIS51,0.5)</f>
      </c>
      <c r="AIT52" s="271">
        <f>COUNTIF(AIT38:AIT51,0.5)</f>
      </c>
      <c r="AIU52" s="271">
        <f>COUNTIF(AIU38:AIU51,0.5)</f>
      </c>
      <c r="AIV52" s="271">
        <f>COUNTIF(AIV38:AIV51,0.5)</f>
      </c>
      <c r="AIW52" s="271">
        <f>COUNTIF(AIW38:AIW51,0.5)</f>
      </c>
      <c r="AIX52" s="271">
        <f>COUNTIF(AIX38:AIX51,0.5)</f>
      </c>
      <c r="AIY52" s="271">
        <f>COUNTIF(AIY38:AIY51,0.5)</f>
      </c>
      <c r="AIZ52" s="271">
        <f>COUNTIF(AIZ38:AIZ51,0.5)</f>
      </c>
      <c r="AJA52" s="271">
        <f>COUNTIF(AJA38:AJA51,0.5)</f>
      </c>
      <c r="AJB52" s="271">
        <f>COUNTIF(AJB38:AJB51,0.5)</f>
      </c>
      <c r="AJC52" s="271">
        <f>COUNTIF(AJC38:AJC51,0.5)</f>
      </c>
      <c r="AJD52" s="271">
        <f>COUNTIF(AJD38:AJD51,0.5)</f>
      </c>
      <c r="AJE52" s="269"/>
      <c r="AJF52" s="269"/>
      <c r="AJG52" s="282"/>
      <c r="AJH52" s="282"/>
      <c r="AJI52" s="273"/>
      <c r="AJJ52" s="271">
        <f>COUNTIF(AJJ38:AJJ51,0.5)</f>
      </c>
      <c r="AJK52" s="271">
        <f>COUNTIF(AJK38:AJK51,0.5)</f>
      </c>
      <c r="AJL52" s="271">
        <f>COUNTIF(AJL38:AJL51,0.5)</f>
      </c>
      <c r="AJM52" s="271">
        <f>COUNTIF(AJM38:AJM51,0.5)</f>
      </c>
      <c r="AJN52" s="271">
        <f>COUNTIF(AJN38:AJN51,0.5)</f>
      </c>
      <c r="AJO52" s="271">
        <f>COUNTIF(AJO38:AJO51,0.5)</f>
      </c>
      <c r="AJP52" s="271">
        <f>COUNTIF(AJP38:AJP51,0.5)</f>
      </c>
      <c r="AJQ52" s="271">
        <f>COUNTIF(AJQ38:AJQ51,0.5)</f>
      </c>
      <c r="AJR52" s="271">
        <f>COUNTIF(AJR38:AJR51,0.5)</f>
      </c>
      <c r="AJS52" s="271">
        <f>COUNTIF(AJS38:AJS51,0.5)</f>
      </c>
      <c r="AJT52" s="271">
        <f>COUNTIF(AJT38:AJT51,0.5)</f>
      </c>
      <c r="AJU52" s="271">
        <f>COUNTIF(AJU38:AJU51,0.5)</f>
      </c>
      <c r="AJV52" s="271">
        <f>COUNTIF(AJV38:AJV51,0.5)</f>
      </c>
      <c r="AJW52" s="271">
        <f>COUNTIF(AJW38:AJW51,0.5)</f>
      </c>
      <c r="AJX52" s="271">
        <f>COUNTIF(AJX38:AJX51,0.5)</f>
      </c>
      <c r="AJY52" s="271">
        <f>COUNTIF(AJY38:AJY51,0.5)</f>
      </c>
      <c r="AJZ52" s="271">
        <f>COUNTIF(AJZ38:AJZ51,0.5)</f>
      </c>
      <c r="AKA52" s="271">
        <f>COUNTIF(AKA38:AKA51,0.5)</f>
      </c>
      <c r="AKB52" s="271">
        <f>COUNTIF(AKB38:AKB51,0.5)</f>
      </c>
      <c r="AKC52" s="271">
        <f>COUNTIF(AKC38:AKC51,0.5)</f>
      </c>
      <c r="AKD52" s="271">
        <f>COUNTIF(AKD38:AKD51,0.5)</f>
      </c>
      <c r="AKE52" s="271">
        <f>COUNTIF(AKE38:AKE51,0.5)</f>
      </c>
      <c r="AKF52" s="271">
        <f>COUNTIF(AKF38:AKF51,0.5)</f>
      </c>
      <c r="AKG52" s="271">
        <f>COUNTIF(AKG38:AKG51,0.5)</f>
      </c>
      <c r="AKH52" s="269"/>
      <c r="AKI52" s="269"/>
      <c r="AKJ52" s="282"/>
      <c r="AKK52" s="282"/>
      <c r="AKL52" s="273"/>
      <c r="AKM52" s="273"/>
      <c r="AKN52" s="273"/>
      <c r="AKO52" s="273"/>
      <c r="AKP52" s="273"/>
      <c r="AKQ52" s="273"/>
      <c r="AKR52" s="273"/>
      <c r="AKS52" s="273"/>
      <c r="AKT52" s="273"/>
      <c r="AKU52" s="273"/>
      <c r="AKV52" s="273"/>
      <c r="AKW52" s="273"/>
      <c r="AKX52" s="273"/>
      <c r="AKY52" s="273"/>
      <c r="AKZ52" s="273"/>
      <c r="ALA52" s="273"/>
      <c r="ALB52" s="273"/>
      <c r="ALC52" s="273"/>
      <c r="ALD52" s="273"/>
      <c r="ALE52" s="273"/>
      <c r="ALF52" s="273"/>
      <c r="ALG52" s="273"/>
      <c r="ALH52" s="273"/>
      <c r="ALI52" s="273"/>
      <c r="ALJ52" s="273"/>
      <c r="ALK52" s="273"/>
      <c r="ALL52" s="273"/>
      <c r="ALM52" s="273"/>
      <c r="ALN52" s="273"/>
      <c r="ALO52" s="273"/>
      <c r="ALP52" s="273"/>
      <c r="ALQ52" s="273"/>
      <c r="ALR52" s="273"/>
      <c r="ALS52" s="273"/>
      <c r="ALT52" s="273"/>
      <c r="ALU52" s="273"/>
      <c r="ALV52" s="273"/>
      <c r="ALW52" s="273"/>
      <c r="ALX52" s="273"/>
      <c r="ALY52" s="273"/>
      <c r="ALZ52" s="273"/>
      <c r="AMA52" s="273"/>
      <c r="AMB52" s="273"/>
      <c r="AMC52" s="273"/>
      <c r="AMD52" s="273"/>
      <c r="AME52" s="273"/>
      <c r="AMF52" s="273"/>
      <c r="AMG52" s="273"/>
      <c r="AMH52" s="273"/>
      <c r="AMI52" s="273"/>
      <c r="AMJ52" s="273"/>
      <c r="AMK52" s="273"/>
      <c r="AML52" s="273"/>
      <c r="AMM52" s="273"/>
      <c r="AMN52" s="269"/>
      <c r="AMO52" s="269"/>
      <c r="AMP52" s="282"/>
      <c r="AMQ52" s="5"/>
      <c r="AMR52" s="5"/>
      <c r="AMS52" s="22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</row>
    <row r="53" ht="15.75" customHeight="1" spans="1:1191" x14ac:dyDescent="0.25">
      <c r="A53" s="9"/>
      <c r="B53" s="360"/>
      <c r="C53" s="361"/>
      <c r="D53" s="273"/>
      <c r="E53" s="273"/>
      <c r="F53" s="277"/>
      <c r="G53" s="278" t="s">
        <v>74</v>
      </c>
      <c r="H53" s="279"/>
      <c r="I53" s="280">
        <f>SUM(F52:AC52)/16</f>
      </c>
      <c r="J53" s="279"/>
      <c r="K53" s="277"/>
      <c r="L53" s="277"/>
      <c r="M53" s="277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8"/>
      <c r="AG53" s="8"/>
      <c r="AH53" s="273"/>
      <c r="AI53" s="277"/>
      <c r="AJ53" s="278" t="s">
        <v>74</v>
      </c>
      <c r="AK53" s="279"/>
      <c r="AL53" s="280">
        <f>SUM(AI52:BF52)/16</f>
      </c>
      <c r="AM53" s="279"/>
      <c r="AN53" s="277"/>
      <c r="AO53" s="277"/>
      <c r="AP53" s="277"/>
      <c r="AQ53" s="277"/>
      <c r="AR53" s="277"/>
      <c r="AS53" s="277"/>
      <c r="AT53" s="277"/>
      <c r="AU53" s="282"/>
      <c r="AV53" s="282"/>
      <c r="AW53" s="282"/>
      <c r="AX53" s="282"/>
      <c r="AY53" s="282"/>
      <c r="AZ53" s="282"/>
      <c r="BA53" s="282"/>
      <c r="BB53" s="282"/>
      <c r="BC53" s="282"/>
      <c r="BD53" s="282"/>
      <c r="BE53" s="282"/>
      <c r="BF53" s="282"/>
      <c r="BG53" s="282"/>
      <c r="BH53" s="282"/>
      <c r="BI53" s="282"/>
      <c r="BJ53" s="282"/>
      <c r="BK53" s="273"/>
      <c r="BL53" s="277"/>
      <c r="BM53" s="278" t="s">
        <v>74</v>
      </c>
      <c r="BN53" s="279"/>
      <c r="BO53" s="280">
        <f>SUM(BL52:CI52)/16</f>
      </c>
      <c r="BP53" s="279"/>
      <c r="BQ53" s="277"/>
      <c r="BR53" s="277"/>
      <c r="BS53" s="277"/>
      <c r="BT53" s="277"/>
      <c r="BU53" s="277"/>
      <c r="BV53" s="277"/>
      <c r="BW53" s="277"/>
      <c r="BX53" s="282"/>
      <c r="BY53" s="282"/>
      <c r="BZ53" s="282"/>
      <c r="CA53" s="282"/>
      <c r="CB53" s="282"/>
      <c r="CC53" s="282"/>
      <c r="CD53" s="282"/>
      <c r="CE53" s="282"/>
      <c r="CF53" s="282"/>
      <c r="CG53" s="282"/>
      <c r="CH53" s="282"/>
      <c r="CI53" s="282"/>
      <c r="CJ53" s="282"/>
      <c r="CK53" s="282"/>
      <c r="CL53" s="282"/>
      <c r="CM53" s="282"/>
      <c r="CN53" s="273"/>
      <c r="CO53" s="277"/>
      <c r="CP53" s="278" t="s">
        <v>74</v>
      </c>
      <c r="CQ53" s="279"/>
      <c r="CR53" s="280">
        <f>SUM(CO52:DL52)/16</f>
      </c>
      <c r="CS53" s="279"/>
      <c r="CT53" s="277"/>
      <c r="CU53" s="277"/>
      <c r="CV53" s="277"/>
      <c r="CW53" s="277"/>
      <c r="CX53" s="277"/>
      <c r="CY53" s="277"/>
      <c r="CZ53" s="277"/>
      <c r="DA53" s="282"/>
      <c r="DB53" s="282"/>
      <c r="DC53" s="282"/>
      <c r="DD53" s="282"/>
      <c r="DE53" s="282"/>
      <c r="DF53" s="282"/>
      <c r="DG53" s="282"/>
      <c r="DH53" s="282"/>
      <c r="DI53" s="282"/>
      <c r="DJ53" s="282"/>
      <c r="DK53" s="282"/>
      <c r="DL53" s="282"/>
      <c r="DM53" s="282"/>
      <c r="DN53" s="282"/>
      <c r="DO53" s="282"/>
      <c r="DP53" s="282"/>
      <c r="DQ53" s="273"/>
      <c r="DR53" s="277"/>
      <c r="DS53" s="278" t="s">
        <v>74</v>
      </c>
      <c r="DT53" s="279"/>
      <c r="DU53" s="280">
        <f>SUM(DR52:EO52)/16</f>
      </c>
      <c r="DV53" s="279"/>
      <c r="DW53" s="277"/>
      <c r="DX53" s="277"/>
      <c r="DY53" s="277"/>
      <c r="DZ53" s="277"/>
      <c r="EA53" s="277"/>
      <c r="EB53" s="277"/>
      <c r="EC53" s="277"/>
      <c r="ED53" s="282"/>
      <c r="EE53" s="282"/>
      <c r="EF53" s="282"/>
      <c r="EG53" s="282"/>
      <c r="EH53" s="282"/>
      <c r="EI53" s="282"/>
      <c r="EJ53" s="282"/>
      <c r="EK53" s="282"/>
      <c r="EL53" s="282"/>
      <c r="EM53" s="282"/>
      <c r="EN53" s="282"/>
      <c r="EO53" s="282"/>
      <c r="EP53" s="282"/>
      <c r="EQ53" s="282"/>
      <c r="ER53" s="282"/>
      <c r="ES53" s="282"/>
      <c r="ET53" s="273"/>
      <c r="EU53" s="277"/>
      <c r="EV53" s="277"/>
      <c r="EW53" s="277"/>
      <c r="EX53" s="277"/>
      <c r="EY53" s="277"/>
      <c r="EZ53" s="277"/>
      <c r="FA53" s="277"/>
      <c r="FB53" s="277"/>
      <c r="FC53" s="277"/>
      <c r="FD53" s="277"/>
      <c r="FE53" s="277"/>
      <c r="FF53" s="277"/>
      <c r="FG53" s="282"/>
      <c r="FH53" s="282"/>
      <c r="FI53" s="282"/>
      <c r="FJ53" s="282"/>
      <c r="FK53" s="282"/>
      <c r="FL53" s="282"/>
      <c r="FM53" s="282"/>
      <c r="FN53" s="282"/>
      <c r="FO53" s="282"/>
      <c r="FP53" s="282"/>
      <c r="FQ53" s="282"/>
      <c r="FR53" s="282"/>
      <c r="FS53" s="282"/>
      <c r="FT53" s="282"/>
      <c r="FU53" s="282"/>
      <c r="FV53" s="282"/>
      <c r="FW53" s="273"/>
      <c r="FX53" s="277"/>
      <c r="FY53" s="277"/>
      <c r="FZ53" s="277"/>
      <c r="GA53" s="277"/>
      <c r="GB53" s="277"/>
      <c r="GC53" s="277"/>
      <c r="GD53" s="277"/>
      <c r="GE53" s="277"/>
      <c r="GF53" s="277"/>
      <c r="GG53" s="277"/>
      <c r="GH53" s="277"/>
      <c r="GI53" s="277"/>
      <c r="GJ53" s="282"/>
      <c r="GK53" s="282"/>
      <c r="GL53" s="282"/>
      <c r="GM53" s="282"/>
      <c r="GN53" s="282"/>
      <c r="GO53" s="282"/>
      <c r="GP53" s="282"/>
      <c r="GQ53" s="282"/>
      <c r="GR53" s="282"/>
      <c r="GS53" s="282"/>
      <c r="GT53" s="282"/>
      <c r="GU53" s="282"/>
      <c r="GV53" s="282"/>
      <c r="GW53" s="282"/>
      <c r="GX53" s="282"/>
      <c r="GY53" s="5"/>
      <c r="GZ53" s="5"/>
      <c r="HA53" s="22"/>
      <c r="HB53" s="359"/>
      <c r="HC53" s="273"/>
      <c r="HD53" s="277"/>
      <c r="HE53" s="278" t="s">
        <v>74</v>
      </c>
      <c r="HF53" s="279"/>
      <c r="HG53" s="280">
        <f>SUM(HD52:IA52)/16</f>
      </c>
      <c r="HH53" s="279"/>
      <c r="HI53" s="277"/>
      <c r="HJ53" s="277"/>
      <c r="HK53" s="277"/>
      <c r="HL53" s="277"/>
      <c r="HM53" s="277"/>
      <c r="HN53" s="277"/>
      <c r="HO53" s="277"/>
      <c r="HP53" s="282"/>
      <c r="HQ53" s="282"/>
      <c r="HR53" s="282"/>
      <c r="HS53" s="282"/>
      <c r="HT53" s="282"/>
      <c r="HU53" s="282"/>
      <c r="HV53" s="282"/>
      <c r="HW53" s="282"/>
      <c r="HX53" s="282"/>
      <c r="HY53" s="282"/>
      <c r="HZ53" s="282"/>
      <c r="IA53" s="282"/>
      <c r="IB53" s="282"/>
      <c r="IC53" s="282"/>
      <c r="ID53" s="282"/>
      <c r="IE53" s="282"/>
      <c r="IF53" s="273"/>
      <c r="IG53" s="277"/>
      <c r="IH53" s="278" t="s">
        <v>74</v>
      </c>
      <c r="II53" s="279"/>
      <c r="IJ53" s="280">
        <f>SUM(IG52:JD52)/16</f>
      </c>
      <c r="IK53" s="279"/>
      <c r="IL53" s="277"/>
      <c r="IM53" s="277"/>
      <c r="IN53" s="277"/>
      <c r="IO53" s="277"/>
      <c r="IP53" s="277"/>
      <c r="IQ53" s="277"/>
      <c r="IR53" s="277"/>
      <c r="IS53" s="282"/>
      <c r="IT53" s="282"/>
      <c r="IU53" s="282"/>
      <c r="IV53" s="282"/>
      <c r="IW53" s="282"/>
      <c r="IX53" s="282"/>
      <c r="IY53" s="282"/>
      <c r="IZ53" s="282"/>
      <c r="JA53" s="282"/>
      <c r="JB53" s="282"/>
      <c r="JC53" s="282"/>
      <c r="JD53" s="282"/>
      <c r="JE53" s="282"/>
      <c r="JF53" s="282"/>
      <c r="JG53" s="282"/>
      <c r="JH53" s="282"/>
      <c r="JI53" s="273"/>
      <c r="JJ53" s="277"/>
      <c r="JK53" s="278" t="s">
        <v>74</v>
      </c>
      <c r="JL53" s="279"/>
      <c r="JM53" s="280">
        <f>SUM(JJ52:KG52)/16</f>
      </c>
      <c r="JN53" s="279"/>
      <c r="JO53" s="277"/>
      <c r="JP53" s="277"/>
      <c r="JQ53" s="277"/>
      <c r="JR53" s="277"/>
      <c r="JS53" s="277"/>
      <c r="JT53" s="277"/>
      <c r="JU53" s="277"/>
      <c r="JV53" s="282"/>
      <c r="JW53" s="282"/>
      <c r="JX53" s="282"/>
      <c r="JY53" s="282"/>
      <c r="JZ53" s="282"/>
      <c r="KA53" s="282"/>
      <c r="KB53" s="282"/>
      <c r="KC53" s="282"/>
      <c r="KD53" s="282"/>
      <c r="KE53" s="282"/>
      <c r="KF53" s="282"/>
      <c r="KG53" s="282"/>
      <c r="KH53" s="282"/>
      <c r="KI53" s="282"/>
      <c r="KJ53" s="282"/>
      <c r="KK53" s="282"/>
      <c r="KL53" s="273"/>
      <c r="KM53" s="277"/>
      <c r="KN53" s="278" t="s">
        <v>74</v>
      </c>
      <c r="KO53" s="279"/>
      <c r="KP53" s="280">
        <f>SUM(KM52:LJ52)/16</f>
      </c>
      <c r="KQ53" s="279"/>
      <c r="KR53" s="277"/>
      <c r="KS53" s="277"/>
      <c r="KT53" s="277"/>
      <c r="KU53" s="277"/>
      <c r="KV53" s="277"/>
      <c r="KW53" s="277"/>
      <c r="KX53" s="277"/>
      <c r="KY53" s="282"/>
      <c r="KZ53" s="282"/>
      <c r="LA53" s="282"/>
      <c r="LB53" s="282"/>
      <c r="LC53" s="282"/>
      <c r="LD53" s="282"/>
      <c r="LE53" s="282"/>
      <c r="LF53" s="282"/>
      <c r="LG53" s="282"/>
      <c r="LH53" s="282"/>
      <c r="LI53" s="282"/>
      <c r="LJ53" s="282"/>
      <c r="LK53" s="282"/>
      <c r="LL53" s="282"/>
      <c r="LM53" s="282"/>
      <c r="LN53" s="282"/>
      <c r="LO53" s="273"/>
      <c r="LP53" s="277"/>
      <c r="LQ53" s="278" t="s">
        <v>74</v>
      </c>
      <c r="LR53" s="279"/>
      <c r="LS53" s="280">
        <f>SUM(LP52:MM52)/16</f>
      </c>
      <c r="LT53" s="279"/>
      <c r="LU53" s="277"/>
      <c r="LV53" s="277"/>
      <c r="LW53" s="277"/>
      <c r="LX53" s="277"/>
      <c r="LY53" s="277"/>
      <c r="LZ53" s="277"/>
      <c r="MA53" s="277"/>
      <c r="MB53" s="282"/>
      <c r="MC53" s="282"/>
      <c r="MD53" s="282"/>
      <c r="ME53" s="282"/>
      <c r="MF53" s="282"/>
      <c r="MG53" s="282"/>
      <c r="MH53" s="282"/>
      <c r="MI53" s="282"/>
      <c r="MJ53" s="282"/>
      <c r="MK53" s="282"/>
      <c r="ML53" s="282"/>
      <c r="MM53" s="282"/>
      <c r="MN53" s="282"/>
      <c r="MO53" s="282"/>
      <c r="MP53" s="282"/>
      <c r="MQ53" s="282"/>
      <c r="MR53" s="273"/>
      <c r="MS53" s="277"/>
      <c r="MT53" s="277"/>
      <c r="MU53" s="277"/>
      <c r="MV53" s="277"/>
      <c r="MW53" s="277"/>
      <c r="MX53" s="277"/>
      <c r="MY53" s="277"/>
      <c r="MZ53" s="277"/>
      <c r="NA53" s="277"/>
      <c r="NB53" s="277"/>
      <c r="NC53" s="277"/>
      <c r="ND53" s="277"/>
      <c r="NE53" s="282"/>
      <c r="NF53" s="282"/>
      <c r="NG53" s="282"/>
      <c r="NH53" s="282"/>
      <c r="NI53" s="282"/>
      <c r="NJ53" s="282"/>
      <c r="NK53" s="282"/>
      <c r="NL53" s="282"/>
      <c r="NM53" s="282"/>
      <c r="NN53" s="282"/>
      <c r="NO53" s="282"/>
      <c r="NP53" s="282"/>
      <c r="NQ53" s="282"/>
      <c r="NR53" s="282"/>
      <c r="NS53" s="282"/>
      <c r="NT53" s="282"/>
      <c r="NU53" s="273"/>
      <c r="NV53" s="277"/>
      <c r="NW53" s="277"/>
      <c r="NX53" s="277"/>
      <c r="NY53" s="277"/>
      <c r="NZ53" s="277"/>
      <c r="OA53" s="277"/>
      <c r="OB53" s="277"/>
      <c r="OC53" s="277"/>
      <c r="OD53" s="277"/>
      <c r="OE53" s="277"/>
      <c r="OF53" s="277"/>
      <c r="OG53" s="277"/>
      <c r="OH53" s="282"/>
      <c r="OI53" s="282"/>
      <c r="OJ53" s="282"/>
      <c r="OK53" s="282"/>
      <c r="OL53" s="282"/>
      <c r="OM53" s="282"/>
      <c r="ON53" s="282"/>
      <c r="OO53" s="282"/>
      <c r="OP53" s="282"/>
      <c r="OQ53" s="282"/>
      <c r="OR53" s="282"/>
      <c r="OS53" s="282"/>
      <c r="OT53" s="282"/>
      <c r="OU53" s="282"/>
      <c r="OV53" s="282"/>
      <c r="OW53" s="5"/>
      <c r="OX53" s="5"/>
      <c r="OY53" s="22"/>
      <c r="OZ53" s="359"/>
      <c r="PA53" s="273"/>
      <c r="PB53" s="277"/>
      <c r="PC53" s="278" t="s">
        <v>74</v>
      </c>
      <c r="PD53" s="279"/>
      <c r="PE53" s="280">
        <f>SUM(PB52:PY52)/16</f>
      </c>
      <c r="PF53" s="279"/>
      <c r="PG53" s="277"/>
      <c r="PH53" s="277"/>
      <c r="PI53" s="277"/>
      <c r="PJ53" s="277"/>
      <c r="PK53" s="277"/>
      <c r="PL53" s="277"/>
      <c r="PM53" s="277"/>
      <c r="PN53" s="282"/>
      <c r="PO53" s="282"/>
      <c r="PP53" s="282"/>
      <c r="PQ53" s="282"/>
      <c r="PR53" s="282"/>
      <c r="PS53" s="282"/>
      <c r="PT53" s="282"/>
      <c r="PU53" s="282"/>
      <c r="PV53" s="282"/>
      <c r="PW53" s="282"/>
      <c r="PX53" s="282"/>
      <c r="PY53" s="282"/>
      <c r="PZ53" s="282"/>
      <c r="QA53" s="282"/>
      <c r="QB53" s="282"/>
      <c r="QC53" s="282"/>
      <c r="QD53" s="273"/>
      <c r="QE53" s="277"/>
      <c r="QF53" s="278" t="s">
        <v>74</v>
      </c>
      <c r="QG53" s="279"/>
      <c r="QH53" s="280">
        <f>SUM(QE52:RB52)/16</f>
      </c>
      <c r="QI53" s="279"/>
      <c r="QJ53" s="277"/>
      <c r="QK53" s="277"/>
      <c r="QL53" s="277"/>
      <c r="QM53" s="277"/>
      <c r="QN53" s="277"/>
      <c r="QO53" s="277"/>
      <c r="QP53" s="277"/>
      <c r="QQ53" s="282"/>
      <c r="QR53" s="282"/>
      <c r="QS53" s="282"/>
      <c r="QT53" s="282"/>
      <c r="QU53" s="282"/>
      <c r="QV53" s="282"/>
      <c r="QW53" s="282"/>
      <c r="QX53" s="282"/>
      <c r="QY53" s="282"/>
      <c r="QZ53" s="282"/>
      <c r="RA53" s="282"/>
      <c r="RB53" s="282"/>
      <c r="RC53" s="282"/>
      <c r="RD53" s="282"/>
      <c r="RE53" s="282"/>
      <c r="RF53" s="282"/>
      <c r="RG53" s="273"/>
      <c r="RH53" s="277"/>
      <c r="RI53" s="278" t="s">
        <v>74</v>
      </c>
      <c r="RJ53" s="279"/>
      <c r="RK53" s="280">
        <f>SUM(RH52:SE52)/16</f>
      </c>
      <c r="RL53" s="279"/>
      <c r="RM53" s="277"/>
      <c r="RN53" s="277"/>
      <c r="RO53" s="277"/>
      <c r="RP53" s="277"/>
      <c r="RQ53" s="277"/>
      <c r="RR53" s="277"/>
      <c r="RS53" s="277"/>
      <c r="RT53" s="282"/>
      <c r="RU53" s="282"/>
      <c r="RV53" s="282"/>
      <c r="RW53" s="282"/>
      <c r="RX53" s="282"/>
      <c r="RY53" s="282"/>
      <c r="RZ53" s="282"/>
      <c r="SA53" s="282"/>
      <c r="SB53" s="282"/>
      <c r="SC53" s="282"/>
      <c r="SD53" s="282"/>
      <c r="SE53" s="282"/>
      <c r="SF53" s="282"/>
      <c r="SG53" s="282"/>
      <c r="SH53" s="282"/>
      <c r="SI53" s="282"/>
      <c r="SJ53" s="273"/>
      <c r="SK53" s="277"/>
      <c r="SL53" s="278" t="s">
        <v>74</v>
      </c>
      <c r="SM53" s="279"/>
      <c r="SN53" s="280">
        <f>SUM(SK52:TH52)/16</f>
      </c>
      <c r="SO53" s="279"/>
      <c r="SP53" s="277"/>
      <c r="SQ53" s="277"/>
      <c r="SR53" s="277"/>
      <c r="SS53" s="277"/>
      <c r="ST53" s="277"/>
      <c r="SU53" s="277"/>
      <c r="SV53" s="277"/>
      <c r="SW53" s="282"/>
      <c r="SX53" s="282"/>
      <c r="SY53" s="282"/>
      <c r="SZ53" s="282"/>
      <c r="TA53" s="282"/>
      <c r="TB53" s="282"/>
      <c r="TC53" s="282"/>
      <c r="TD53" s="282"/>
      <c r="TE53" s="282"/>
      <c r="TF53" s="282"/>
      <c r="TG53" s="282"/>
      <c r="TH53" s="282"/>
      <c r="TI53" s="282"/>
      <c r="TJ53" s="282"/>
      <c r="TK53" s="282"/>
      <c r="TL53" s="282"/>
      <c r="TM53" s="273"/>
      <c r="TN53" s="277"/>
      <c r="TO53" s="278" t="s">
        <v>74</v>
      </c>
      <c r="TP53" s="279"/>
      <c r="TQ53" s="280">
        <f>SUM(TN52:UK52)/16</f>
      </c>
      <c r="TR53" s="279"/>
      <c r="TS53" s="277"/>
      <c r="TT53" s="277"/>
      <c r="TU53" s="277"/>
      <c r="TV53" s="277"/>
      <c r="TW53" s="277"/>
      <c r="TX53" s="277"/>
      <c r="TY53" s="277"/>
      <c r="TZ53" s="282"/>
      <c r="UA53" s="282"/>
      <c r="UB53" s="282"/>
      <c r="UC53" s="282"/>
      <c r="UD53" s="282"/>
      <c r="UE53" s="282"/>
      <c r="UF53" s="282"/>
      <c r="UG53" s="282"/>
      <c r="UH53" s="282"/>
      <c r="UI53" s="282"/>
      <c r="UJ53" s="282"/>
      <c r="UK53" s="282"/>
      <c r="UL53" s="282"/>
      <c r="UM53" s="282"/>
      <c r="UN53" s="282"/>
      <c r="UO53" s="282"/>
      <c r="UP53" s="273"/>
      <c r="UQ53" s="277"/>
      <c r="UR53" s="277"/>
      <c r="US53" s="277"/>
      <c r="UT53" s="277"/>
      <c r="UU53" s="277"/>
      <c r="UV53" s="277"/>
      <c r="UW53" s="277"/>
      <c r="UX53" s="277"/>
      <c r="UY53" s="277"/>
      <c r="UZ53" s="277"/>
      <c r="VA53" s="277"/>
      <c r="VB53" s="277"/>
      <c r="VC53" s="282"/>
      <c r="VD53" s="282"/>
      <c r="VE53" s="282"/>
      <c r="VF53" s="282"/>
      <c r="VG53" s="282"/>
      <c r="VH53" s="282"/>
      <c r="VI53" s="282"/>
      <c r="VJ53" s="282"/>
      <c r="VK53" s="282"/>
      <c r="VL53" s="282"/>
      <c r="VM53" s="282"/>
      <c r="VN53" s="282"/>
      <c r="VO53" s="282"/>
      <c r="VP53" s="282"/>
      <c r="VQ53" s="282"/>
      <c r="VR53" s="282"/>
      <c r="VS53" s="273"/>
      <c r="VT53" s="277"/>
      <c r="VU53" s="277"/>
      <c r="VV53" s="277"/>
      <c r="VW53" s="277"/>
      <c r="VX53" s="277"/>
      <c r="VY53" s="277"/>
      <c r="VZ53" s="277"/>
      <c r="WA53" s="277"/>
      <c r="WB53" s="277"/>
      <c r="WC53" s="277"/>
      <c r="WD53" s="277"/>
      <c r="WE53" s="277"/>
      <c r="WF53" s="282"/>
      <c r="WG53" s="282"/>
      <c r="WH53" s="282"/>
      <c r="WI53" s="282"/>
      <c r="WJ53" s="282"/>
      <c r="WK53" s="282"/>
      <c r="WL53" s="282"/>
      <c r="WM53" s="282"/>
      <c r="WN53" s="282"/>
      <c r="WO53" s="282"/>
      <c r="WP53" s="282"/>
      <c r="WQ53" s="282"/>
      <c r="WR53" s="282"/>
      <c r="WS53" s="282"/>
      <c r="WT53" s="282"/>
      <c r="WU53" s="5"/>
      <c r="WV53" s="5"/>
      <c r="WW53" s="22"/>
      <c r="WX53" s="359"/>
      <c r="WY53" s="273"/>
      <c r="WZ53" s="277"/>
      <c r="XA53" s="278" t="s">
        <v>74</v>
      </c>
      <c r="XB53" s="279"/>
      <c r="XC53" s="280">
        <f>SUM(WZ52:XW52)/16</f>
      </c>
      <c r="XD53" s="279"/>
      <c r="XE53" s="277"/>
      <c r="XF53" s="277"/>
      <c r="XG53" s="277"/>
      <c r="XH53" s="277"/>
      <c r="XI53" s="277"/>
      <c r="XJ53" s="277"/>
      <c r="XK53" s="277"/>
      <c r="XL53" s="277"/>
      <c r="XM53" s="277"/>
      <c r="XN53" s="277"/>
      <c r="XO53" s="277"/>
      <c r="XP53" s="277"/>
      <c r="XQ53" s="277"/>
      <c r="XR53" s="277"/>
      <c r="XS53" s="277"/>
      <c r="XT53" s="277"/>
      <c r="XU53" s="277"/>
      <c r="XV53" s="277"/>
      <c r="XW53" s="277"/>
      <c r="XX53" s="277"/>
      <c r="XY53" s="277"/>
      <c r="XZ53" s="282"/>
      <c r="YA53" s="282"/>
      <c r="YB53" s="273"/>
      <c r="YC53" s="277"/>
      <c r="YD53" s="278" t="s">
        <v>74</v>
      </c>
      <c r="YE53" s="279"/>
      <c r="YF53" s="280">
        <f>SUM(YC52:YZ52)/16</f>
      </c>
      <c r="YG53" s="279"/>
      <c r="YH53" s="277"/>
      <c r="YI53" s="277"/>
      <c r="YJ53" s="277"/>
      <c r="YK53" s="277"/>
      <c r="YL53" s="277"/>
      <c r="YM53" s="277"/>
      <c r="YN53" s="277"/>
      <c r="YO53" s="277"/>
      <c r="YP53" s="277"/>
      <c r="YQ53" s="277"/>
      <c r="YR53" s="277"/>
      <c r="YS53" s="277"/>
      <c r="YT53" s="277"/>
      <c r="YU53" s="277"/>
      <c r="YV53" s="277"/>
      <c r="YW53" s="277"/>
      <c r="YX53" s="277"/>
      <c r="YY53" s="277"/>
      <c r="YZ53" s="277"/>
      <c r="ZA53" s="277"/>
      <c r="ZB53" s="277"/>
      <c r="ZC53" s="282"/>
      <c r="ZD53" s="282"/>
      <c r="ZE53" s="273"/>
      <c r="ZF53" s="277"/>
      <c r="ZG53" s="278" t="s">
        <v>74</v>
      </c>
      <c r="ZH53" s="279"/>
      <c r="ZI53" s="280">
        <f>SUM(ZF52:AAC52)/16</f>
      </c>
      <c r="ZJ53" s="279"/>
      <c r="ZK53" s="277"/>
      <c r="ZL53" s="277"/>
      <c r="ZM53" s="277"/>
      <c r="ZN53" s="277"/>
      <c r="ZO53" s="277"/>
      <c r="ZP53" s="277"/>
      <c r="ZQ53" s="277"/>
      <c r="ZR53" s="277"/>
      <c r="ZS53" s="277"/>
      <c r="ZT53" s="277"/>
      <c r="ZU53" s="277"/>
      <c r="ZV53" s="277"/>
      <c r="ZW53" s="277"/>
      <c r="ZX53" s="277"/>
      <c r="ZY53" s="277"/>
      <c r="ZZ53" s="277"/>
      <c r="AAA53" s="277"/>
      <c r="AAB53" s="277"/>
      <c r="AAC53" s="277"/>
      <c r="AAD53" s="277"/>
      <c r="AAE53" s="277"/>
      <c r="AAF53" s="282"/>
      <c r="AAG53" s="282"/>
      <c r="AAH53" s="273"/>
      <c r="AAI53" s="277"/>
      <c r="AAJ53" s="278" t="s">
        <v>74</v>
      </c>
      <c r="AAK53" s="279"/>
      <c r="AAL53" s="280">
        <f>SUM(AAI52:ABF52)/16</f>
      </c>
      <c r="AAM53" s="279"/>
      <c r="AAN53" s="277"/>
      <c r="AAO53" s="277"/>
      <c r="AAP53" s="277"/>
      <c r="AAQ53" s="277"/>
      <c r="AAR53" s="277"/>
      <c r="AAS53" s="277"/>
      <c r="AAT53" s="277"/>
      <c r="AAU53" s="277"/>
      <c r="AAV53" s="277"/>
      <c r="AAW53" s="277"/>
      <c r="AAX53" s="277"/>
      <c r="AAY53" s="277"/>
      <c r="AAZ53" s="277"/>
      <c r="ABA53" s="277"/>
      <c r="ABB53" s="277"/>
      <c r="ABC53" s="277"/>
      <c r="ABD53" s="277"/>
      <c r="ABE53" s="277"/>
      <c r="ABF53" s="277"/>
      <c r="ABG53" s="277"/>
      <c r="ABH53" s="277"/>
      <c r="ABI53" s="282"/>
      <c r="ABJ53" s="282"/>
      <c r="ABK53" s="273"/>
      <c r="ABL53" s="277"/>
      <c r="ABM53" s="278" t="s">
        <v>74</v>
      </c>
      <c r="ABN53" s="279"/>
      <c r="ABO53" s="280">
        <f>SUM(ABL52:ACI52)/16</f>
      </c>
      <c r="ABP53" s="279"/>
      <c r="ABQ53" s="277"/>
      <c r="ABR53" s="277"/>
      <c r="ABS53" s="277"/>
      <c r="ABT53" s="277"/>
      <c r="ABU53" s="277"/>
      <c r="ABV53" s="277"/>
      <c r="ABW53" s="277"/>
      <c r="ABX53" s="277"/>
      <c r="ABY53" s="277"/>
      <c r="ABZ53" s="277"/>
      <c r="ACA53" s="277"/>
      <c r="ACB53" s="277"/>
      <c r="ACC53" s="277"/>
      <c r="ACD53" s="277"/>
      <c r="ACE53" s="277"/>
      <c r="ACF53" s="277"/>
      <c r="ACG53" s="277"/>
      <c r="ACH53" s="277"/>
      <c r="ACI53" s="277"/>
      <c r="ACJ53" s="277"/>
      <c r="ACK53" s="277"/>
      <c r="ACL53" s="282"/>
      <c r="ACM53" s="282"/>
      <c r="ACN53" s="273"/>
      <c r="ACO53" s="277"/>
      <c r="ACP53" s="277"/>
      <c r="ACQ53" s="277"/>
      <c r="ACR53" s="277"/>
      <c r="ACS53" s="277"/>
      <c r="ACT53" s="277"/>
      <c r="ACU53" s="277"/>
      <c r="ACV53" s="277"/>
      <c r="ACW53" s="277"/>
      <c r="ACX53" s="277"/>
      <c r="ACY53" s="277"/>
      <c r="ACZ53" s="277"/>
      <c r="ADA53" s="282"/>
      <c r="ADB53" s="282"/>
      <c r="ADC53" s="282"/>
      <c r="ADD53" s="282"/>
      <c r="ADE53" s="282"/>
      <c r="ADF53" s="282"/>
      <c r="ADG53" s="282"/>
      <c r="ADH53" s="282"/>
      <c r="ADI53" s="282"/>
      <c r="ADJ53" s="282"/>
      <c r="ADK53" s="282"/>
      <c r="ADL53" s="282"/>
      <c r="ADM53" s="282"/>
      <c r="ADN53" s="282"/>
      <c r="ADO53" s="282"/>
      <c r="ADP53" s="282"/>
      <c r="ADQ53" s="273"/>
      <c r="ADR53" s="277"/>
      <c r="ADS53" s="277"/>
      <c r="ADT53" s="277"/>
      <c r="ADU53" s="277"/>
      <c r="ADV53" s="277"/>
      <c r="ADW53" s="277"/>
      <c r="ADX53" s="277"/>
      <c r="ADY53" s="277"/>
      <c r="ADZ53" s="277"/>
      <c r="AEA53" s="277"/>
      <c r="AEB53" s="277"/>
      <c r="AEC53" s="277"/>
      <c r="AED53" s="282"/>
      <c r="AEE53" s="282"/>
      <c r="AEF53" s="282"/>
      <c r="AEG53" s="282"/>
      <c r="AEH53" s="282"/>
      <c r="AEI53" s="282"/>
      <c r="AEJ53" s="282"/>
      <c r="AEK53" s="282"/>
      <c r="AEL53" s="282"/>
      <c r="AEM53" s="282"/>
      <c r="AEN53" s="282"/>
      <c r="AEO53" s="282"/>
      <c r="AEP53" s="282"/>
      <c r="AEQ53" s="282"/>
      <c r="AER53" s="282"/>
      <c r="AES53" s="5"/>
      <c r="AET53" s="5"/>
      <c r="AEU53" s="22"/>
      <c r="AEV53" s="359"/>
      <c r="AEW53" s="273"/>
      <c r="AEX53" s="277"/>
      <c r="AEY53" s="278" t="s">
        <v>74</v>
      </c>
      <c r="AEZ53" s="279"/>
      <c r="AFA53" s="280">
        <f>SUM(AEX52:AFU52)/16</f>
      </c>
      <c r="AFB53" s="279"/>
      <c r="AFC53" s="277"/>
      <c r="AFD53" s="277"/>
      <c r="AFE53" s="277"/>
      <c r="AFF53" s="277"/>
      <c r="AFG53" s="277"/>
      <c r="AFH53" s="277"/>
      <c r="AFI53" s="277"/>
      <c r="AFJ53" s="277"/>
      <c r="AFK53" s="277"/>
      <c r="AFL53" s="277"/>
      <c r="AFM53" s="277"/>
      <c r="AFN53" s="277"/>
      <c r="AFO53" s="277"/>
      <c r="AFP53" s="277"/>
      <c r="AFQ53" s="277"/>
      <c r="AFR53" s="277"/>
      <c r="AFS53" s="277"/>
      <c r="AFT53" s="277"/>
      <c r="AFU53" s="277"/>
      <c r="AFV53" s="277"/>
      <c r="AFW53" s="277"/>
      <c r="AFX53" s="282"/>
      <c r="AFY53" s="282"/>
      <c r="AFZ53" s="273"/>
      <c r="AGA53" s="277"/>
      <c r="AGB53" s="278" t="s">
        <v>74</v>
      </c>
      <c r="AGC53" s="279"/>
      <c r="AGD53" s="280">
        <f>SUM(AGA52:AGX52)/16</f>
      </c>
      <c r="AGE53" s="279"/>
      <c r="AGF53" s="277"/>
      <c r="AGG53" s="277"/>
      <c r="AGH53" s="277"/>
      <c r="AGI53" s="277"/>
      <c r="AGJ53" s="277"/>
      <c r="AGK53" s="277"/>
      <c r="AGL53" s="277"/>
      <c r="AGM53" s="277"/>
      <c r="AGN53" s="277"/>
      <c r="AGO53" s="277"/>
      <c r="AGP53" s="277"/>
      <c r="AGQ53" s="277"/>
      <c r="AGR53" s="277"/>
      <c r="AGS53" s="277"/>
      <c r="AGT53" s="277"/>
      <c r="AGU53" s="277"/>
      <c r="AGV53" s="277"/>
      <c r="AGW53" s="277"/>
      <c r="AGX53" s="277"/>
      <c r="AGY53" s="277"/>
      <c r="AGZ53" s="277"/>
      <c r="AHA53" s="282"/>
      <c r="AHB53" s="282"/>
      <c r="AHC53" s="273"/>
      <c r="AHD53" s="277"/>
      <c r="AHE53" s="278" t="s">
        <v>74</v>
      </c>
      <c r="AHF53" s="279"/>
      <c r="AHG53" s="280">
        <f>SUM(AHD52:AIA52)/16</f>
      </c>
      <c r="AHH53" s="279"/>
      <c r="AHI53" s="277"/>
      <c r="AHJ53" s="277"/>
      <c r="AHK53" s="277"/>
      <c r="AHL53" s="277"/>
      <c r="AHM53" s="277"/>
      <c r="AHN53" s="277"/>
      <c r="AHO53" s="277"/>
      <c r="AHP53" s="277"/>
      <c r="AHQ53" s="277"/>
      <c r="AHR53" s="277"/>
      <c r="AHS53" s="277"/>
      <c r="AHT53" s="277"/>
      <c r="AHU53" s="277"/>
      <c r="AHV53" s="277"/>
      <c r="AHW53" s="277"/>
      <c r="AHX53" s="277"/>
      <c r="AHY53" s="277"/>
      <c r="AHZ53" s="277"/>
      <c r="AIA53" s="277"/>
      <c r="AIB53" s="277"/>
      <c r="AIC53" s="277"/>
      <c r="AID53" s="282"/>
      <c r="AIE53" s="282"/>
      <c r="AIF53" s="273"/>
      <c r="AIG53" s="277"/>
      <c r="AIH53" s="278" t="s">
        <v>74</v>
      </c>
      <c r="AII53" s="279"/>
      <c r="AIJ53" s="280">
        <f>SUM(AIG52:AJD52)/16</f>
      </c>
      <c r="AIK53" s="279"/>
      <c r="AIL53" s="277"/>
      <c r="AIM53" s="277"/>
      <c r="AIN53" s="277"/>
      <c r="AIO53" s="277"/>
      <c r="AIP53" s="277"/>
      <c r="AIQ53" s="277"/>
      <c r="AIR53" s="277"/>
      <c r="AIS53" s="277"/>
      <c r="AIT53" s="277"/>
      <c r="AIU53" s="277"/>
      <c r="AIV53" s="277"/>
      <c r="AIW53" s="277"/>
      <c r="AIX53" s="277"/>
      <c r="AIY53" s="277"/>
      <c r="AIZ53" s="277"/>
      <c r="AJA53" s="277"/>
      <c r="AJB53" s="277"/>
      <c r="AJC53" s="277"/>
      <c r="AJD53" s="277"/>
      <c r="AJE53" s="277"/>
      <c r="AJF53" s="277"/>
      <c r="AJG53" s="282"/>
      <c r="AJH53" s="282"/>
      <c r="AJI53" s="273"/>
      <c r="AJJ53" s="277"/>
      <c r="AJK53" s="278" t="s">
        <v>74</v>
      </c>
      <c r="AJL53" s="279"/>
      <c r="AJM53" s="280">
        <f>SUM(AJJ52:AKG52)/16</f>
      </c>
      <c r="AJN53" s="279"/>
      <c r="AJO53" s="277"/>
      <c r="AJP53" s="277"/>
      <c r="AJQ53" s="277"/>
      <c r="AJR53" s="277"/>
      <c r="AJS53" s="277"/>
      <c r="AJT53" s="277"/>
      <c r="AJU53" s="277"/>
      <c r="AJV53" s="277"/>
      <c r="AJW53" s="277"/>
      <c r="AJX53" s="277"/>
      <c r="AJY53" s="277"/>
      <c r="AJZ53" s="277"/>
      <c r="AKA53" s="277"/>
      <c r="AKB53" s="277"/>
      <c r="AKC53" s="277"/>
      <c r="AKD53" s="277"/>
      <c r="AKE53" s="277"/>
      <c r="AKF53" s="277"/>
      <c r="AKG53" s="277"/>
      <c r="AKH53" s="277"/>
      <c r="AKI53" s="277"/>
      <c r="AKJ53" s="282"/>
      <c r="AKK53" s="282"/>
      <c r="AKL53" s="273"/>
      <c r="AKM53" s="277"/>
      <c r="AKN53" s="277"/>
      <c r="AKO53" s="277"/>
      <c r="AKP53" s="277"/>
      <c r="AKQ53" s="277"/>
      <c r="AKR53" s="277"/>
      <c r="AKS53" s="277"/>
      <c r="AKT53" s="277"/>
      <c r="AKU53" s="277"/>
      <c r="AKV53" s="277"/>
      <c r="AKW53" s="277"/>
      <c r="AKX53" s="277"/>
      <c r="AKY53" s="282"/>
      <c r="AKZ53" s="282"/>
      <c r="ALA53" s="282"/>
      <c r="ALB53" s="282"/>
      <c r="ALC53" s="282"/>
      <c r="ALD53" s="282"/>
      <c r="ALE53" s="282"/>
      <c r="ALF53" s="282"/>
      <c r="ALG53" s="282"/>
      <c r="ALH53" s="282"/>
      <c r="ALI53" s="282"/>
      <c r="ALJ53" s="282"/>
      <c r="ALK53" s="282"/>
      <c r="ALL53" s="282"/>
      <c r="ALM53" s="282"/>
      <c r="ALN53" s="282"/>
      <c r="ALO53" s="273"/>
      <c r="ALP53" s="277"/>
      <c r="ALQ53" s="277"/>
      <c r="ALR53" s="277"/>
      <c r="ALS53" s="277"/>
      <c r="ALT53" s="277"/>
      <c r="ALU53" s="277"/>
      <c r="ALV53" s="277"/>
      <c r="ALW53" s="277"/>
      <c r="ALX53" s="277"/>
      <c r="ALY53" s="277"/>
      <c r="ALZ53" s="277"/>
      <c r="AMA53" s="277"/>
      <c r="AMB53" s="282"/>
      <c r="AMC53" s="282"/>
      <c r="AMD53" s="282"/>
      <c r="AME53" s="282"/>
      <c r="AMF53" s="282"/>
      <c r="AMG53" s="282"/>
      <c r="AMH53" s="282"/>
      <c r="AMI53" s="282"/>
      <c r="AMJ53" s="282"/>
      <c r="AMK53" s="282"/>
      <c r="AML53" s="282"/>
      <c r="AMM53" s="282"/>
      <c r="AMN53" s="282"/>
      <c r="AMO53" s="282"/>
      <c r="AMP53" s="282"/>
      <c r="AMQ53" s="5"/>
      <c r="AMR53" s="5"/>
      <c r="AMS53" s="22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</row>
    <row r="54" ht="15.75" customHeight="1" spans="1:1191" x14ac:dyDescent="0.25">
      <c r="A54" s="277"/>
      <c r="B54" s="275"/>
      <c r="C54" s="276"/>
      <c r="D54" s="277"/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  <c r="CK54" s="277"/>
      <c r="CL54" s="277"/>
      <c r="CM54" s="277"/>
      <c r="CN54" s="277"/>
      <c r="CO54" s="277"/>
      <c r="CP54" s="277"/>
      <c r="CQ54" s="277"/>
      <c r="CR54" s="277"/>
      <c r="CS54" s="277"/>
      <c r="CT54" s="277"/>
      <c r="CU54" s="277"/>
      <c r="CV54" s="277"/>
      <c r="CW54" s="277"/>
      <c r="CX54" s="277"/>
      <c r="CY54" s="277"/>
      <c r="CZ54" s="277"/>
      <c r="DA54" s="277"/>
      <c r="DB54" s="277"/>
      <c r="DC54" s="277"/>
      <c r="DD54" s="277"/>
      <c r="DE54" s="277"/>
      <c r="DF54" s="277"/>
      <c r="DG54" s="277"/>
      <c r="DH54" s="277"/>
      <c r="DI54" s="277"/>
      <c r="DJ54" s="277"/>
      <c r="DK54" s="277"/>
      <c r="DL54" s="277"/>
      <c r="DM54" s="277"/>
      <c r="DN54" s="277"/>
      <c r="DO54" s="277"/>
      <c r="DP54" s="277"/>
      <c r="DQ54" s="277"/>
      <c r="DR54" s="277"/>
      <c r="DS54" s="277"/>
      <c r="DT54" s="277"/>
      <c r="DU54" s="277"/>
      <c r="DV54" s="277"/>
      <c r="DW54" s="277"/>
      <c r="DX54" s="277"/>
      <c r="DY54" s="277"/>
      <c r="DZ54" s="277"/>
      <c r="EA54" s="277"/>
      <c r="EB54" s="277"/>
      <c r="EC54" s="277"/>
      <c r="ED54" s="277"/>
      <c r="EE54" s="277"/>
      <c r="EF54" s="277"/>
      <c r="EG54" s="277"/>
      <c r="EH54" s="277"/>
      <c r="EI54" s="277"/>
      <c r="EJ54" s="277"/>
      <c r="EK54" s="277"/>
      <c r="EL54" s="277"/>
      <c r="EM54" s="277"/>
      <c r="EN54" s="277"/>
      <c r="EO54" s="277"/>
      <c r="EP54" s="277"/>
      <c r="EQ54" s="277"/>
      <c r="ER54" s="277"/>
      <c r="ES54" s="277"/>
      <c r="ET54" s="277"/>
      <c r="EU54" s="277"/>
      <c r="EV54" s="277"/>
      <c r="EW54" s="277"/>
      <c r="EX54" s="277"/>
      <c r="EY54" s="277"/>
      <c r="EZ54" s="277"/>
      <c r="FA54" s="277"/>
      <c r="FB54" s="277"/>
      <c r="FC54" s="277"/>
      <c r="FD54" s="277"/>
      <c r="FE54" s="277"/>
      <c r="FF54" s="277"/>
      <c r="FG54" s="277"/>
      <c r="FH54" s="277"/>
      <c r="FI54" s="277"/>
      <c r="FJ54" s="277"/>
      <c r="FK54" s="277"/>
      <c r="FL54" s="277"/>
      <c r="FM54" s="277"/>
      <c r="FN54" s="277"/>
      <c r="FO54" s="277"/>
      <c r="FP54" s="277"/>
      <c r="FQ54" s="277"/>
      <c r="FR54" s="277"/>
      <c r="FS54" s="277"/>
      <c r="FT54" s="277"/>
      <c r="FU54" s="277"/>
      <c r="FV54" s="277"/>
      <c r="FW54" s="277"/>
      <c r="FX54" s="277"/>
      <c r="FY54" s="277"/>
      <c r="FZ54" s="277"/>
      <c r="GA54" s="277"/>
      <c r="GB54" s="277"/>
      <c r="GC54" s="277"/>
      <c r="GD54" s="277"/>
      <c r="GE54" s="277"/>
      <c r="GF54" s="277"/>
      <c r="GG54" s="277"/>
      <c r="GH54" s="277"/>
      <c r="GI54" s="277"/>
      <c r="GJ54" s="277"/>
      <c r="GK54" s="277"/>
      <c r="GL54" s="277"/>
      <c r="GM54" s="277"/>
      <c r="GN54" s="277"/>
      <c r="GO54" s="277"/>
      <c r="GP54" s="277"/>
      <c r="GQ54" s="277"/>
      <c r="GR54" s="277"/>
      <c r="GS54" s="277"/>
      <c r="GT54" s="277"/>
      <c r="GU54" s="277"/>
      <c r="GV54" s="277"/>
      <c r="GW54" s="277"/>
      <c r="GX54" s="277"/>
      <c r="GY54" s="277"/>
      <c r="GZ54" s="277"/>
      <c r="HA54" s="281"/>
      <c r="HB54" s="273"/>
      <c r="HC54" s="277"/>
      <c r="HD54" s="277"/>
      <c r="HE54" s="277"/>
      <c r="HF54" s="277"/>
      <c r="HG54" s="277"/>
      <c r="HH54" s="277"/>
      <c r="HI54" s="277"/>
      <c r="HJ54" s="277"/>
      <c r="HK54" s="277"/>
      <c r="HL54" s="277"/>
      <c r="HM54" s="277"/>
      <c r="HN54" s="277"/>
      <c r="HO54" s="277"/>
      <c r="HP54" s="277"/>
      <c r="HQ54" s="277"/>
      <c r="HR54" s="277"/>
      <c r="HS54" s="277"/>
      <c r="HT54" s="277"/>
      <c r="HU54" s="277"/>
      <c r="HV54" s="277"/>
      <c r="HW54" s="277"/>
      <c r="HX54" s="277"/>
      <c r="HY54" s="277"/>
      <c r="HZ54" s="277"/>
      <c r="IA54" s="277"/>
      <c r="IB54" s="277"/>
      <c r="IC54" s="277"/>
      <c r="ID54" s="277"/>
      <c r="IE54" s="277"/>
      <c r="IF54" s="277"/>
      <c r="IG54" s="277"/>
      <c r="IH54" s="277"/>
      <c r="II54" s="277"/>
      <c r="IJ54" s="277"/>
      <c r="IK54" s="277"/>
      <c r="IL54" s="277"/>
      <c r="IM54" s="277"/>
      <c r="IN54" s="277"/>
      <c r="IO54" s="277"/>
      <c r="IP54" s="277"/>
      <c r="IQ54" s="277"/>
      <c r="IR54" s="277"/>
      <c r="IS54" s="277"/>
      <c r="IT54" s="277"/>
      <c r="IU54" s="277"/>
      <c r="IV54" s="277"/>
      <c r="IW54" s="277"/>
      <c r="IX54" s="277"/>
      <c r="IY54" s="277"/>
      <c r="IZ54" s="277"/>
      <c r="JA54" s="277"/>
      <c r="JB54" s="277"/>
      <c r="JC54" s="277"/>
      <c r="JD54" s="277"/>
      <c r="JE54" s="277"/>
      <c r="JF54" s="277"/>
      <c r="JG54" s="277"/>
      <c r="JH54" s="277"/>
      <c r="JI54" s="277"/>
      <c r="JJ54" s="277"/>
      <c r="JK54" s="277"/>
      <c r="JL54" s="277"/>
      <c r="JM54" s="277"/>
      <c r="JN54" s="277"/>
      <c r="JO54" s="277"/>
      <c r="JP54" s="277"/>
      <c r="JQ54" s="277"/>
      <c r="JR54" s="277"/>
      <c r="JS54" s="277"/>
      <c r="JT54" s="277"/>
      <c r="JU54" s="277"/>
      <c r="JV54" s="277"/>
      <c r="JW54" s="277"/>
      <c r="JX54" s="277"/>
      <c r="JY54" s="277"/>
      <c r="JZ54" s="277"/>
      <c r="KA54" s="277"/>
      <c r="KB54" s="277"/>
      <c r="KC54" s="277"/>
      <c r="KD54" s="277"/>
      <c r="KE54" s="277"/>
      <c r="KF54" s="277"/>
      <c r="KG54" s="277"/>
      <c r="KH54" s="277"/>
      <c r="KI54" s="277"/>
      <c r="KJ54" s="277"/>
      <c r="KK54" s="277"/>
      <c r="KL54" s="277"/>
      <c r="KM54" s="277"/>
      <c r="KN54" s="277"/>
      <c r="KO54" s="277"/>
      <c r="KP54" s="277"/>
      <c r="KQ54" s="277"/>
      <c r="KR54" s="277"/>
      <c r="KS54" s="277"/>
      <c r="KT54" s="277"/>
      <c r="KU54" s="277"/>
      <c r="KV54" s="277"/>
      <c r="KW54" s="277"/>
      <c r="KX54" s="277"/>
      <c r="KY54" s="277"/>
      <c r="KZ54" s="277"/>
      <c r="LA54" s="277"/>
      <c r="LB54" s="277"/>
      <c r="LC54" s="277"/>
      <c r="LD54" s="277"/>
      <c r="LE54" s="277"/>
      <c r="LF54" s="277"/>
      <c r="LG54" s="277"/>
      <c r="LH54" s="277"/>
      <c r="LI54" s="277"/>
      <c r="LJ54" s="277"/>
      <c r="LK54" s="277"/>
      <c r="LL54" s="277"/>
      <c r="LM54" s="277"/>
      <c r="LN54" s="277"/>
      <c r="LO54" s="277"/>
      <c r="LP54" s="277"/>
      <c r="LQ54" s="277"/>
      <c r="LR54" s="277"/>
      <c r="LS54" s="277"/>
      <c r="LT54" s="277"/>
      <c r="LU54" s="277"/>
      <c r="LV54" s="277"/>
      <c r="LW54" s="277"/>
      <c r="LX54" s="277"/>
      <c r="LY54" s="277"/>
      <c r="LZ54" s="277"/>
      <c r="MA54" s="277"/>
      <c r="MB54" s="277"/>
      <c r="MC54" s="277"/>
      <c r="MD54" s="277"/>
      <c r="ME54" s="277"/>
      <c r="MF54" s="277"/>
      <c r="MG54" s="277"/>
      <c r="MH54" s="277"/>
      <c r="MI54" s="277"/>
      <c r="MJ54" s="277"/>
      <c r="MK54" s="277"/>
      <c r="ML54" s="277"/>
      <c r="MM54" s="277"/>
      <c r="MN54" s="277"/>
      <c r="MO54" s="277"/>
      <c r="MP54" s="277"/>
      <c r="MQ54" s="277"/>
      <c r="MR54" s="277"/>
      <c r="MS54" s="277"/>
      <c r="MT54" s="277"/>
      <c r="MU54" s="277"/>
      <c r="MV54" s="277"/>
      <c r="MW54" s="277"/>
      <c r="MX54" s="277"/>
      <c r="MY54" s="277"/>
      <c r="MZ54" s="277"/>
      <c r="NA54" s="277"/>
      <c r="NB54" s="277"/>
      <c r="NC54" s="277"/>
      <c r="ND54" s="277"/>
      <c r="NE54" s="277"/>
      <c r="NF54" s="277"/>
      <c r="NG54" s="277"/>
      <c r="NH54" s="277"/>
      <c r="NI54" s="277"/>
      <c r="NJ54" s="277"/>
      <c r="NK54" s="277"/>
      <c r="NL54" s="277"/>
      <c r="NM54" s="277"/>
      <c r="NN54" s="277"/>
      <c r="NO54" s="277"/>
      <c r="NP54" s="277"/>
      <c r="NQ54" s="277"/>
      <c r="NR54" s="277"/>
      <c r="NS54" s="277"/>
      <c r="NT54" s="277"/>
      <c r="NU54" s="277"/>
      <c r="NV54" s="277"/>
      <c r="NW54" s="277"/>
      <c r="NX54" s="277"/>
      <c r="NY54" s="277"/>
      <c r="NZ54" s="277"/>
      <c r="OA54" s="277"/>
      <c r="OB54" s="277"/>
      <c r="OC54" s="277"/>
      <c r="OD54" s="277"/>
      <c r="OE54" s="277"/>
      <c r="OF54" s="277"/>
      <c r="OG54" s="277"/>
      <c r="OH54" s="277"/>
      <c r="OI54" s="277"/>
      <c r="OJ54" s="277"/>
      <c r="OK54" s="277"/>
      <c r="OL54" s="277"/>
      <c r="OM54" s="277"/>
      <c r="ON54" s="277"/>
      <c r="OO54" s="277"/>
      <c r="OP54" s="277"/>
      <c r="OQ54" s="277"/>
      <c r="OR54" s="277"/>
      <c r="OS54" s="277"/>
      <c r="OT54" s="277"/>
      <c r="OU54" s="277"/>
      <c r="OV54" s="277"/>
      <c r="OW54" s="277"/>
      <c r="OX54" s="277"/>
      <c r="OY54" s="281"/>
      <c r="OZ54" s="277"/>
      <c r="PA54" s="277"/>
      <c r="PB54" s="277"/>
      <c r="PC54" s="277"/>
      <c r="PD54" s="277"/>
      <c r="PE54" s="277"/>
      <c r="PF54" s="277"/>
      <c r="PG54" s="277"/>
      <c r="PH54" s="277"/>
      <c r="PI54" s="277"/>
      <c r="PJ54" s="277"/>
      <c r="PK54" s="277"/>
      <c r="PL54" s="277"/>
      <c r="PM54" s="277"/>
      <c r="PN54" s="277"/>
      <c r="PO54" s="277"/>
      <c r="PP54" s="277"/>
      <c r="PQ54" s="277"/>
      <c r="PR54" s="277"/>
      <c r="PS54" s="277"/>
      <c r="PT54" s="277"/>
      <c r="PU54" s="277"/>
      <c r="PV54" s="277"/>
      <c r="PW54" s="277"/>
      <c r="PX54" s="277"/>
      <c r="PY54" s="277"/>
      <c r="PZ54" s="277"/>
      <c r="QA54" s="277"/>
      <c r="QB54" s="277"/>
      <c r="QC54" s="277"/>
      <c r="QD54" s="277"/>
      <c r="QE54" s="277"/>
      <c r="QF54" s="277"/>
      <c r="QG54" s="277"/>
      <c r="QH54" s="277"/>
      <c r="QI54" s="282"/>
      <c r="QJ54" s="277"/>
      <c r="QK54" s="277"/>
      <c r="QL54" s="277"/>
      <c r="QM54" s="277"/>
      <c r="QN54" s="277"/>
      <c r="QO54" s="277"/>
      <c r="QP54" s="277"/>
      <c r="QQ54" s="277"/>
      <c r="QR54" s="277"/>
      <c r="QS54" s="277"/>
      <c r="QT54" s="277"/>
      <c r="QU54" s="277"/>
      <c r="QV54" s="277"/>
      <c r="QW54" s="277"/>
      <c r="QX54" s="277"/>
      <c r="QY54" s="277"/>
      <c r="QZ54" s="277"/>
      <c r="RA54" s="277"/>
      <c r="RB54" s="277"/>
      <c r="RC54" s="277"/>
      <c r="RD54" s="277"/>
      <c r="RE54" s="277"/>
      <c r="RF54" s="277"/>
      <c r="RG54" s="277"/>
      <c r="RH54" s="277"/>
      <c r="RI54" s="277"/>
      <c r="RJ54" s="277"/>
      <c r="RK54" s="277"/>
      <c r="RL54" s="277"/>
      <c r="RM54" s="277"/>
      <c r="RN54" s="277"/>
      <c r="RO54" s="277"/>
      <c r="RP54" s="277"/>
      <c r="RQ54" s="277"/>
      <c r="RR54" s="277"/>
      <c r="RS54" s="277"/>
      <c r="RT54" s="277"/>
      <c r="RU54" s="277"/>
      <c r="RV54" s="277"/>
      <c r="RW54" s="277"/>
      <c r="RX54" s="277"/>
      <c r="RY54" s="277"/>
      <c r="RZ54" s="277"/>
      <c r="SA54" s="277"/>
      <c r="SB54" s="277"/>
      <c r="SC54" s="277"/>
      <c r="SD54" s="277"/>
      <c r="SE54" s="277"/>
      <c r="SF54" s="277"/>
      <c r="SG54" s="277"/>
      <c r="SH54" s="277"/>
      <c r="SI54" s="277"/>
      <c r="SJ54" s="277"/>
      <c r="SK54" s="277"/>
      <c r="SL54" s="277"/>
      <c r="SM54" s="277"/>
      <c r="SN54" s="277"/>
      <c r="SO54" s="277"/>
      <c r="SP54" s="277"/>
      <c r="SQ54" s="277"/>
      <c r="SR54" s="277"/>
      <c r="SS54" s="277"/>
      <c r="ST54" s="277"/>
      <c r="SU54" s="277"/>
      <c r="SV54" s="277"/>
      <c r="SW54" s="277"/>
      <c r="SX54" s="277"/>
      <c r="SY54" s="277"/>
      <c r="SZ54" s="277"/>
      <c r="TA54" s="277"/>
      <c r="TB54" s="277"/>
      <c r="TC54" s="277"/>
      <c r="TD54" s="277"/>
      <c r="TE54" s="277"/>
      <c r="TF54" s="277"/>
      <c r="TG54" s="277"/>
      <c r="TH54" s="277"/>
      <c r="TI54" s="277"/>
      <c r="TJ54" s="277"/>
      <c r="TK54" s="277"/>
      <c r="TL54" s="277"/>
      <c r="TM54" s="277"/>
      <c r="TN54" s="277"/>
      <c r="TO54" s="277"/>
      <c r="TP54" s="277"/>
      <c r="TQ54" s="277"/>
      <c r="TR54" s="277"/>
      <c r="TS54" s="277"/>
      <c r="TT54" s="277"/>
      <c r="TU54" s="277"/>
      <c r="TV54" s="277"/>
      <c r="TW54" s="277"/>
      <c r="TX54" s="277"/>
      <c r="TY54" s="277"/>
      <c r="TZ54" s="277"/>
      <c r="UA54" s="277"/>
      <c r="UB54" s="277"/>
      <c r="UC54" s="277"/>
      <c r="UD54" s="277"/>
      <c r="UE54" s="277"/>
      <c r="UF54" s="277"/>
      <c r="UG54" s="277"/>
      <c r="UH54" s="277"/>
      <c r="UI54" s="277"/>
      <c r="UJ54" s="277"/>
      <c r="UK54" s="277"/>
      <c r="UL54" s="277"/>
      <c r="UM54" s="277"/>
      <c r="UN54" s="277"/>
      <c r="UO54" s="277"/>
      <c r="UP54" s="277"/>
      <c r="UQ54" s="277"/>
      <c r="UR54" s="277"/>
      <c r="US54" s="277"/>
      <c r="UT54" s="277"/>
      <c r="UU54" s="277"/>
      <c r="UV54" s="277"/>
      <c r="UW54" s="277"/>
      <c r="UX54" s="277"/>
      <c r="UY54" s="277"/>
      <c r="UZ54" s="277"/>
      <c r="VA54" s="277"/>
      <c r="VB54" s="277"/>
      <c r="VC54" s="277"/>
      <c r="VD54" s="277"/>
      <c r="VE54" s="277"/>
      <c r="VF54" s="277"/>
      <c r="VG54" s="277"/>
      <c r="VH54" s="277"/>
      <c r="VI54" s="277"/>
      <c r="VJ54" s="277"/>
      <c r="VK54" s="277"/>
      <c r="VL54" s="277"/>
      <c r="VM54" s="277"/>
      <c r="VN54" s="277"/>
      <c r="VO54" s="277"/>
      <c r="VP54" s="277"/>
      <c r="VQ54" s="277"/>
      <c r="VR54" s="277"/>
      <c r="VS54" s="277"/>
      <c r="VT54" s="277"/>
      <c r="VU54" s="277"/>
      <c r="VV54" s="277"/>
      <c r="VW54" s="277"/>
      <c r="VX54" s="277"/>
      <c r="VY54" s="277"/>
      <c r="VZ54" s="277"/>
      <c r="WA54" s="277"/>
      <c r="WB54" s="277"/>
      <c r="WC54" s="277"/>
      <c r="WD54" s="277"/>
      <c r="WE54" s="277"/>
      <c r="WF54" s="277"/>
      <c r="WG54" s="277"/>
      <c r="WH54" s="277"/>
      <c r="WI54" s="277"/>
      <c r="WJ54" s="277"/>
      <c r="WK54" s="277"/>
      <c r="WL54" s="277"/>
      <c r="WM54" s="277"/>
      <c r="WN54" s="277"/>
      <c r="WO54" s="277"/>
      <c r="WP54" s="277"/>
      <c r="WQ54" s="277"/>
      <c r="WR54" s="277"/>
      <c r="WS54" s="277"/>
      <c r="WT54" s="277"/>
      <c r="WU54" s="277"/>
      <c r="WV54" s="277"/>
      <c r="WW54" s="281"/>
      <c r="WX54" s="277"/>
      <c r="WY54" s="277"/>
      <c r="WZ54" s="277"/>
      <c r="XA54" s="277"/>
      <c r="XB54" s="277"/>
      <c r="XC54" s="277"/>
      <c r="XD54" s="277"/>
      <c r="XE54" s="277"/>
      <c r="XF54" s="277"/>
      <c r="XG54" s="277"/>
      <c r="XH54" s="277"/>
      <c r="XI54" s="277"/>
      <c r="XJ54" s="277"/>
      <c r="XK54" s="277"/>
      <c r="XL54" s="277"/>
      <c r="XM54" s="277"/>
      <c r="XN54" s="277"/>
      <c r="XO54" s="277"/>
      <c r="XP54" s="277"/>
      <c r="XQ54" s="277"/>
      <c r="XR54" s="277"/>
      <c r="XS54" s="277"/>
      <c r="XT54" s="277"/>
      <c r="XU54" s="277"/>
      <c r="XV54" s="277"/>
      <c r="XW54" s="277"/>
      <c r="XX54" s="277"/>
      <c r="XY54" s="277"/>
      <c r="XZ54" s="277"/>
      <c r="YA54" s="277"/>
      <c r="YB54" s="277"/>
      <c r="YC54" s="277"/>
      <c r="YD54" s="277"/>
      <c r="YE54" s="277"/>
      <c r="YF54" s="277"/>
      <c r="YG54" s="277"/>
      <c r="YH54" s="277"/>
      <c r="YI54" s="277"/>
      <c r="YJ54" s="277"/>
      <c r="YK54" s="277"/>
      <c r="YL54" s="277"/>
      <c r="YM54" s="277"/>
      <c r="YN54" s="277"/>
      <c r="YO54" s="277"/>
      <c r="YP54" s="277"/>
      <c r="YQ54" s="277"/>
      <c r="YR54" s="277"/>
      <c r="YS54" s="277"/>
      <c r="YT54" s="277"/>
      <c r="YU54" s="277"/>
      <c r="YV54" s="277"/>
      <c r="YW54" s="277"/>
      <c r="YX54" s="277"/>
      <c r="YY54" s="277"/>
      <c r="YZ54" s="277"/>
      <c r="ZA54" s="277"/>
      <c r="ZB54" s="277"/>
      <c r="ZC54" s="277"/>
      <c r="ZD54" s="277"/>
      <c r="ZE54" s="277"/>
      <c r="ZF54" s="277"/>
      <c r="ZG54" s="277"/>
      <c r="ZH54" s="277"/>
      <c r="ZI54" s="277"/>
      <c r="ZJ54" s="277"/>
      <c r="ZK54" s="277"/>
      <c r="ZL54" s="277"/>
      <c r="ZM54" s="277"/>
      <c r="ZN54" s="277"/>
      <c r="ZO54" s="277"/>
      <c r="ZP54" s="277"/>
      <c r="ZQ54" s="277"/>
      <c r="ZR54" s="277"/>
      <c r="ZS54" s="277"/>
      <c r="ZT54" s="277"/>
      <c r="ZU54" s="277"/>
      <c r="ZV54" s="277"/>
      <c r="ZW54" s="277"/>
      <c r="ZX54" s="277"/>
      <c r="ZY54" s="277"/>
      <c r="ZZ54" s="277"/>
      <c r="AAA54" s="277"/>
      <c r="AAB54" s="277"/>
      <c r="AAC54" s="277"/>
      <c r="AAD54" s="277"/>
      <c r="AAE54" s="277"/>
      <c r="AAF54" s="277"/>
      <c r="AAG54" s="277"/>
      <c r="AAH54" s="277"/>
      <c r="AAI54" s="277"/>
      <c r="AAJ54" s="277"/>
      <c r="AAK54" s="277"/>
      <c r="AAL54" s="277"/>
      <c r="AAM54" s="277"/>
      <c r="AAN54" s="277"/>
      <c r="AAO54" s="277"/>
      <c r="AAP54" s="277"/>
      <c r="AAQ54" s="277"/>
      <c r="AAR54" s="277"/>
      <c r="AAS54" s="277"/>
      <c r="AAT54" s="277"/>
      <c r="AAU54" s="277"/>
      <c r="AAV54" s="277"/>
      <c r="AAW54" s="277"/>
      <c r="AAX54" s="277"/>
      <c r="AAY54" s="277"/>
      <c r="AAZ54" s="277"/>
      <c r="ABA54" s="277"/>
      <c r="ABB54" s="277"/>
      <c r="ABC54" s="277"/>
      <c r="ABD54" s="277"/>
      <c r="ABE54" s="277"/>
      <c r="ABF54" s="277"/>
      <c r="ABG54" s="277"/>
      <c r="ABH54" s="277"/>
      <c r="ABI54" s="277"/>
      <c r="ABJ54" s="277"/>
      <c r="ABK54" s="277"/>
      <c r="ABL54" s="277"/>
      <c r="ABM54" s="277"/>
      <c r="ABN54" s="277"/>
      <c r="ABO54" s="277"/>
      <c r="ABP54" s="277"/>
      <c r="ABQ54" s="277"/>
      <c r="ABR54" s="277"/>
      <c r="ABS54" s="277"/>
      <c r="ABT54" s="277"/>
      <c r="ABU54" s="277"/>
      <c r="ABV54" s="277"/>
      <c r="ABW54" s="277"/>
      <c r="ABX54" s="277"/>
      <c r="ABY54" s="277"/>
      <c r="ABZ54" s="277"/>
      <c r="ACA54" s="277"/>
      <c r="ACB54" s="277"/>
      <c r="ACC54" s="277"/>
      <c r="ACD54" s="277"/>
      <c r="ACE54" s="277"/>
      <c r="ACF54" s="277"/>
      <c r="ACG54" s="277"/>
      <c r="ACH54" s="277"/>
      <c r="ACI54" s="277"/>
      <c r="ACJ54" s="277"/>
      <c r="ACK54" s="277"/>
      <c r="ACL54" s="277"/>
      <c r="ACM54" s="277"/>
      <c r="ACN54" s="277"/>
      <c r="ACO54" s="277"/>
      <c r="ACP54" s="277"/>
      <c r="ACQ54" s="277"/>
      <c r="ACR54" s="277"/>
      <c r="ACS54" s="277"/>
      <c r="ACT54" s="277"/>
      <c r="ACU54" s="277"/>
      <c r="ACV54" s="277"/>
      <c r="ACW54" s="277"/>
      <c r="ACX54" s="277"/>
      <c r="ACY54" s="277"/>
      <c r="ACZ54" s="277"/>
      <c r="ADA54" s="277"/>
      <c r="ADB54" s="277"/>
      <c r="ADC54" s="277"/>
      <c r="ADD54" s="277"/>
      <c r="ADE54" s="277"/>
      <c r="ADF54" s="277"/>
      <c r="ADG54" s="277"/>
      <c r="ADH54" s="277"/>
      <c r="ADI54" s="277"/>
      <c r="ADJ54" s="277"/>
      <c r="ADK54" s="277"/>
      <c r="ADL54" s="277"/>
      <c r="ADM54" s="277"/>
      <c r="ADN54" s="277"/>
      <c r="ADO54" s="277"/>
      <c r="ADP54" s="277"/>
      <c r="ADQ54" s="277"/>
      <c r="ADR54" s="277"/>
      <c r="ADS54" s="277"/>
      <c r="ADT54" s="277"/>
      <c r="ADU54" s="277"/>
      <c r="ADV54" s="277"/>
      <c r="ADW54" s="277"/>
      <c r="ADX54" s="277"/>
      <c r="ADY54" s="277"/>
      <c r="ADZ54" s="277"/>
      <c r="AEA54" s="277"/>
      <c r="AEB54" s="277"/>
      <c r="AEC54" s="277"/>
      <c r="AED54" s="277"/>
      <c r="AEE54" s="277"/>
      <c r="AEF54" s="277"/>
      <c r="AEG54" s="277"/>
      <c r="AEH54" s="277"/>
      <c r="AEI54" s="277"/>
      <c r="AEJ54" s="277"/>
      <c r="AEK54" s="277"/>
      <c r="AEL54" s="277"/>
      <c r="AEM54" s="277"/>
      <c r="AEN54" s="277"/>
      <c r="AEO54" s="277"/>
      <c r="AEP54" s="277"/>
      <c r="AEQ54" s="277"/>
      <c r="AER54" s="277"/>
      <c r="AES54" s="277"/>
      <c r="AET54" s="277"/>
      <c r="AEU54" s="281"/>
      <c r="AEV54" s="277"/>
      <c r="AEW54" s="277"/>
      <c r="AEX54" s="277"/>
      <c r="AEY54" s="277"/>
      <c r="AEZ54" s="277"/>
      <c r="AFA54" s="277"/>
      <c r="AFB54" s="277"/>
      <c r="AFC54" s="277"/>
      <c r="AFD54" s="277"/>
      <c r="AFE54" s="277"/>
      <c r="AFF54" s="277"/>
      <c r="AFG54" s="277"/>
      <c r="AFH54" s="277"/>
      <c r="AFI54" s="277"/>
      <c r="AFJ54" s="277"/>
      <c r="AFK54" s="277"/>
      <c r="AFL54" s="277"/>
      <c r="AFM54" s="277"/>
      <c r="AFN54" s="277"/>
      <c r="AFO54" s="277"/>
      <c r="AFP54" s="277"/>
      <c r="AFQ54" s="277"/>
      <c r="AFR54" s="277"/>
      <c r="AFS54" s="277"/>
      <c r="AFT54" s="277"/>
      <c r="AFU54" s="277"/>
      <c r="AFV54" s="277"/>
      <c r="AFW54" s="277"/>
      <c r="AFX54" s="277"/>
      <c r="AFY54" s="277"/>
      <c r="AFZ54" s="277"/>
      <c r="AGA54" s="277"/>
      <c r="AGB54" s="277"/>
      <c r="AGC54" s="277"/>
      <c r="AGD54" s="277"/>
      <c r="AGE54" s="277"/>
      <c r="AGF54" s="277"/>
      <c r="AGG54" s="277"/>
      <c r="AGH54" s="277"/>
      <c r="AGI54" s="277"/>
      <c r="AGJ54" s="277"/>
      <c r="AGK54" s="277"/>
      <c r="AGL54" s="277"/>
      <c r="AGM54" s="277"/>
      <c r="AGN54" s="277"/>
      <c r="AGO54" s="277"/>
      <c r="AGP54" s="277"/>
      <c r="AGQ54" s="277"/>
      <c r="AGR54" s="277"/>
      <c r="AGS54" s="277"/>
      <c r="AGT54" s="277"/>
      <c r="AGU54" s="277"/>
      <c r="AGV54" s="277"/>
      <c r="AGW54" s="277"/>
      <c r="AGX54" s="277"/>
      <c r="AGY54" s="277"/>
      <c r="AGZ54" s="277"/>
      <c r="AHA54" s="277"/>
      <c r="AHB54" s="277"/>
      <c r="AHC54" s="277"/>
      <c r="AHD54" s="277"/>
      <c r="AHE54" s="277"/>
      <c r="AHF54" s="277"/>
      <c r="AHG54" s="277"/>
      <c r="AHH54" s="277"/>
      <c r="AHI54" s="277"/>
      <c r="AHJ54" s="277"/>
      <c r="AHK54" s="277"/>
      <c r="AHL54" s="277"/>
      <c r="AHM54" s="277"/>
      <c r="AHN54" s="277"/>
      <c r="AHO54" s="277"/>
      <c r="AHP54" s="277"/>
      <c r="AHQ54" s="277"/>
      <c r="AHR54" s="277"/>
      <c r="AHS54" s="277"/>
      <c r="AHT54" s="277"/>
      <c r="AHU54" s="277"/>
      <c r="AHV54" s="277"/>
      <c r="AHW54" s="277"/>
      <c r="AHX54" s="277"/>
      <c r="AHY54" s="277"/>
      <c r="AHZ54" s="277"/>
      <c r="AIA54" s="277"/>
      <c r="AIB54" s="277"/>
      <c r="AIC54" s="277"/>
      <c r="AID54" s="277"/>
      <c r="AIE54" s="277"/>
      <c r="AIF54" s="277"/>
      <c r="AIG54" s="277"/>
      <c r="AIH54" s="277"/>
      <c r="AII54" s="277"/>
      <c r="AIJ54" s="277"/>
      <c r="AIK54" s="277"/>
      <c r="AIL54" s="277"/>
      <c r="AIM54" s="277"/>
      <c r="AIN54" s="277"/>
      <c r="AIO54" s="277"/>
      <c r="AIP54" s="277"/>
      <c r="AIQ54" s="277"/>
      <c r="AIR54" s="277"/>
      <c r="AIS54" s="277"/>
      <c r="AIT54" s="277"/>
      <c r="AIU54" s="277"/>
      <c r="AIV54" s="277"/>
      <c r="AIW54" s="277"/>
      <c r="AIX54" s="277"/>
      <c r="AIY54" s="277"/>
      <c r="AIZ54" s="277"/>
      <c r="AJA54" s="277"/>
      <c r="AJB54" s="277"/>
      <c r="AJC54" s="277"/>
      <c r="AJD54" s="277"/>
      <c r="AJE54" s="277"/>
      <c r="AJF54" s="277"/>
      <c r="AJG54" s="277"/>
      <c r="AJH54" s="277"/>
      <c r="AJI54" s="277"/>
      <c r="AJJ54" s="277"/>
      <c r="AJK54" s="277"/>
      <c r="AJL54" s="277"/>
      <c r="AJM54" s="277"/>
      <c r="AJN54" s="277"/>
      <c r="AJO54" s="277"/>
      <c r="AJP54" s="277"/>
      <c r="AJQ54" s="277"/>
      <c r="AJR54" s="277"/>
      <c r="AJS54" s="277"/>
      <c r="AJT54" s="277"/>
      <c r="AJU54" s="277"/>
      <c r="AJV54" s="277"/>
      <c r="AJW54" s="277"/>
      <c r="AJX54" s="277"/>
      <c r="AJY54" s="277"/>
      <c r="AJZ54" s="277"/>
      <c r="AKA54" s="277"/>
      <c r="AKB54" s="277"/>
      <c r="AKC54" s="277"/>
      <c r="AKD54" s="277"/>
      <c r="AKE54" s="277"/>
      <c r="AKF54" s="277"/>
      <c r="AKG54" s="277"/>
      <c r="AKH54" s="277"/>
      <c r="AKI54" s="277"/>
      <c r="AKJ54" s="4"/>
      <c r="AKK54" s="277"/>
      <c r="AKL54" s="277"/>
      <c r="AKM54" s="277"/>
      <c r="AKN54" s="277"/>
      <c r="AKO54" s="277"/>
      <c r="AKP54" s="277"/>
      <c r="AKQ54" s="277"/>
      <c r="AKR54" s="277"/>
      <c r="AKS54" s="277"/>
      <c r="AKT54" s="277"/>
      <c r="AKU54" s="277"/>
      <c r="AKV54" s="277"/>
      <c r="AKW54" s="277"/>
      <c r="AKX54" s="277"/>
      <c r="AKY54" s="277"/>
      <c r="AKZ54" s="277"/>
      <c r="ALA54" s="277"/>
      <c r="ALB54" s="277"/>
      <c r="ALC54" s="277"/>
      <c r="ALD54" s="277"/>
      <c r="ALE54" s="277"/>
      <c r="ALF54" s="277"/>
      <c r="ALG54" s="277"/>
      <c r="ALH54" s="277"/>
      <c r="ALI54" s="277"/>
      <c r="ALJ54" s="277"/>
      <c r="ALK54" s="277"/>
      <c r="ALL54" s="277"/>
      <c r="ALM54" s="277"/>
      <c r="ALN54" s="277"/>
      <c r="ALO54" s="277"/>
      <c r="ALP54" s="277"/>
      <c r="ALQ54" s="277"/>
      <c r="ALR54" s="277"/>
      <c r="ALS54" s="277"/>
      <c r="ALT54" s="277"/>
      <c r="ALU54" s="277"/>
      <c r="ALV54" s="277"/>
      <c r="ALW54" s="277"/>
      <c r="ALX54" s="277"/>
      <c r="ALY54" s="277"/>
      <c r="ALZ54" s="277"/>
      <c r="AMA54" s="277"/>
      <c r="AMB54" s="277"/>
      <c r="AMC54" s="277"/>
      <c r="AMD54" s="277"/>
      <c r="AME54" s="277"/>
      <c r="AMF54" s="277"/>
      <c r="AMG54" s="277"/>
      <c r="AMH54" s="277"/>
      <c r="AMI54" s="277"/>
      <c r="AMJ54" s="277"/>
      <c r="AMK54" s="277"/>
      <c r="AML54" s="277"/>
      <c r="AMM54" s="277"/>
      <c r="AMN54" s="277"/>
      <c r="AMO54" s="277"/>
      <c r="AMP54" s="277"/>
      <c r="AMQ54" s="277"/>
      <c r="AMR54" s="277"/>
      <c r="AMS54" s="281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</row>
    <row r="55" ht="18" customHeight="1" spans="1:1191" s="362" customFormat="1" x14ac:dyDescent="0.25">
      <c r="A55" s="363" t="s">
        <v>91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36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36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36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  <c r="AAA55" s="4"/>
      <c r="AAB55" s="4"/>
      <c r="AAC55" s="4"/>
      <c r="AAD55" s="4"/>
      <c r="AAE55" s="4"/>
      <c r="AAF55" s="4"/>
      <c r="AAG55" s="4"/>
      <c r="AAH55" s="4"/>
      <c r="AAI55" s="4"/>
      <c r="AAJ55" s="4"/>
      <c r="AAK55" s="4"/>
      <c r="AAL55" s="4"/>
      <c r="AAM55" s="4"/>
      <c r="AAN55" s="4"/>
      <c r="AAO55" s="4"/>
      <c r="AAP55" s="4"/>
      <c r="AAQ55" s="4"/>
      <c r="AAR55" s="4"/>
      <c r="AAS55" s="4"/>
      <c r="AAT55" s="4"/>
      <c r="AAU55" s="4"/>
      <c r="AAV55" s="4"/>
      <c r="AAW55" s="4"/>
      <c r="AAX55" s="4"/>
      <c r="AAY55" s="4"/>
      <c r="AAZ55" s="4"/>
      <c r="ABA55" s="4"/>
      <c r="ABB55" s="4"/>
      <c r="ABC55" s="4"/>
      <c r="ABD55" s="4"/>
      <c r="ABE55" s="4"/>
      <c r="ABF55" s="4"/>
      <c r="ABG55" s="4"/>
      <c r="ABH55" s="4"/>
      <c r="ABI55" s="4"/>
      <c r="ABJ55" s="4"/>
      <c r="ABK55" s="4"/>
      <c r="ABL55" s="4"/>
      <c r="ABM55" s="4"/>
      <c r="ABN55" s="4"/>
      <c r="ABO55" s="4"/>
      <c r="ABP55" s="4"/>
      <c r="ABQ55" s="4"/>
      <c r="ABR55" s="4"/>
      <c r="ABS55" s="4"/>
      <c r="ABT55" s="4"/>
      <c r="ABU55" s="4"/>
      <c r="ABV55" s="4"/>
      <c r="ABW55" s="4"/>
      <c r="ABX55" s="4"/>
      <c r="ABY55" s="4"/>
      <c r="ABZ55" s="4"/>
      <c r="ACA55" s="4"/>
      <c r="ACB55" s="4"/>
      <c r="ACC55" s="4"/>
      <c r="ACD55" s="4"/>
      <c r="ACE55" s="4"/>
      <c r="ACF55" s="4"/>
      <c r="ACG55" s="4"/>
      <c r="ACH55" s="4"/>
      <c r="ACI55" s="4"/>
      <c r="ACJ55" s="4"/>
      <c r="ACK55" s="4"/>
      <c r="ACL55" s="4"/>
      <c r="ACM55" s="4"/>
      <c r="ACN55" s="4"/>
      <c r="ACO55" s="4"/>
      <c r="ACP55" s="4"/>
      <c r="ACQ55" s="4"/>
      <c r="ACR55" s="4"/>
      <c r="ACS55" s="4"/>
      <c r="ACT55" s="4"/>
      <c r="ACU55" s="4"/>
      <c r="ACV55" s="4"/>
      <c r="ACW55" s="4"/>
      <c r="ACX55" s="4"/>
      <c r="ACY55" s="4"/>
      <c r="ACZ55" s="4"/>
      <c r="ADA55" s="4"/>
      <c r="ADB55" s="4"/>
      <c r="ADC55" s="4"/>
      <c r="ADD55" s="4"/>
      <c r="ADE55" s="4"/>
      <c r="ADF55" s="4"/>
      <c r="ADG55" s="4"/>
      <c r="ADH55" s="4"/>
      <c r="ADI55" s="4"/>
      <c r="ADJ55" s="4"/>
      <c r="ADK55" s="4"/>
      <c r="ADL55" s="4"/>
      <c r="ADM55" s="4"/>
      <c r="ADN55" s="4"/>
      <c r="ADO55" s="4"/>
      <c r="ADP55" s="4"/>
      <c r="ADQ55" s="4"/>
      <c r="ADR55" s="4"/>
      <c r="ADS55" s="4"/>
      <c r="ADT55" s="4"/>
      <c r="ADU55" s="4"/>
      <c r="ADV55" s="4"/>
      <c r="ADW55" s="4"/>
      <c r="ADX55" s="4"/>
      <c r="ADY55" s="4"/>
      <c r="ADZ55" s="4"/>
      <c r="AEA55" s="4"/>
      <c r="AEB55" s="4"/>
      <c r="AEC55" s="4"/>
      <c r="AED55" s="4"/>
      <c r="AEE55" s="4"/>
      <c r="AEF55" s="4"/>
      <c r="AEG55" s="4"/>
      <c r="AEH55" s="4"/>
      <c r="AEI55" s="4"/>
      <c r="AEJ55" s="4"/>
      <c r="AEK55" s="4"/>
      <c r="AEL55" s="4"/>
      <c r="AEM55" s="4"/>
      <c r="AEN55" s="4"/>
      <c r="AEO55" s="4"/>
      <c r="AEP55" s="4"/>
      <c r="AEQ55" s="4"/>
      <c r="AER55" s="4"/>
      <c r="AES55" s="4"/>
      <c r="AET55" s="4"/>
      <c r="AEU55" s="364"/>
      <c r="AEV55" s="4"/>
      <c r="AEW55" s="4"/>
      <c r="AEX55" s="4"/>
      <c r="AEY55" s="4"/>
      <c r="AEZ55" s="4"/>
      <c r="AFA55" s="4"/>
      <c r="AFB55" s="4"/>
      <c r="AFC55" s="4"/>
      <c r="AFD55" s="4"/>
      <c r="AFE55" s="4"/>
      <c r="AFF55" s="4"/>
      <c r="AFG55" s="4"/>
      <c r="AFH55" s="4"/>
      <c r="AFI55" s="4"/>
      <c r="AFJ55" s="4"/>
      <c r="AFK55" s="4"/>
      <c r="AFL55" s="4"/>
      <c r="AFM55" s="4"/>
      <c r="AFN55" s="4"/>
      <c r="AFO55" s="4"/>
      <c r="AFP55" s="4"/>
      <c r="AFQ55" s="4"/>
      <c r="AFR55" s="4"/>
      <c r="AFS55" s="4"/>
      <c r="AFT55" s="4"/>
      <c r="AFU55" s="4"/>
      <c r="AFV55" s="4"/>
      <c r="AFW55" s="4"/>
      <c r="AFX55" s="4"/>
      <c r="AFY55" s="4"/>
      <c r="AFZ55" s="4"/>
      <c r="AGA55" s="4"/>
      <c r="AGB55" s="4"/>
      <c r="AGC55" s="4"/>
      <c r="AGD55" s="4"/>
      <c r="AGE55" s="4"/>
      <c r="AGF55" s="4"/>
      <c r="AGG55" s="4"/>
      <c r="AGH55" s="4"/>
      <c r="AGI55" s="4"/>
      <c r="AGJ55" s="4"/>
      <c r="AGK55" s="4"/>
      <c r="AGL55" s="4"/>
      <c r="AGM55" s="4"/>
      <c r="AGN55" s="4"/>
      <c r="AGO55" s="4"/>
      <c r="AGP55" s="4"/>
      <c r="AGQ55" s="4"/>
      <c r="AGR55" s="4"/>
      <c r="AGS55" s="4"/>
      <c r="AGT55" s="4"/>
      <c r="AGU55" s="4"/>
      <c r="AGV55" s="4"/>
      <c r="AGW55" s="4"/>
      <c r="AGX55" s="4"/>
      <c r="AGY55" s="4"/>
      <c r="AGZ55" s="4"/>
      <c r="AHA55" s="4"/>
      <c r="AHB55" s="4"/>
      <c r="AHC55" s="4"/>
      <c r="AHD55" s="4"/>
      <c r="AHE55" s="4"/>
      <c r="AHF55" s="4"/>
      <c r="AHG55" s="4"/>
      <c r="AHH55" s="4"/>
      <c r="AHI55" s="4"/>
      <c r="AHJ55" s="4"/>
      <c r="AHK55" s="4"/>
      <c r="AHL55" s="4"/>
      <c r="AHM55" s="4"/>
      <c r="AHN55" s="4"/>
      <c r="AHO55" s="4"/>
      <c r="AHP55" s="4"/>
      <c r="AHQ55" s="4"/>
      <c r="AHR55" s="4"/>
      <c r="AHS55" s="4"/>
      <c r="AHT55" s="4"/>
      <c r="AHU55" s="4"/>
      <c r="AHV55" s="4"/>
      <c r="AHW55" s="4"/>
      <c r="AHX55" s="4"/>
      <c r="AHY55" s="4"/>
      <c r="AHZ55" s="4"/>
      <c r="AIA55" s="4"/>
      <c r="AIB55" s="4"/>
      <c r="AIC55" s="4"/>
      <c r="AID55" s="4"/>
      <c r="AIE55" s="4"/>
      <c r="AIF55" s="4"/>
      <c r="AIG55" s="4"/>
      <c r="AIH55" s="4"/>
      <c r="AII55" s="4"/>
      <c r="AIJ55" s="4"/>
      <c r="AIK55" s="4"/>
      <c r="AIL55" s="4"/>
      <c r="AIM55" s="4"/>
      <c r="AIN55" s="4"/>
      <c r="AIO55" s="4"/>
      <c r="AIP55" s="4"/>
      <c r="AIQ55" s="4"/>
      <c r="AIR55" s="4"/>
      <c r="AIS55" s="4"/>
      <c r="AIT55" s="4"/>
      <c r="AIU55" s="4"/>
      <c r="AIV55" s="4"/>
      <c r="AIW55" s="4"/>
      <c r="AIX55" s="4"/>
      <c r="AIY55" s="4"/>
      <c r="AIZ55" s="4"/>
      <c r="AJA55" s="4"/>
      <c r="AJB55" s="4"/>
      <c r="AJC55" s="4"/>
      <c r="AJD55" s="4"/>
      <c r="AJE55" s="4"/>
      <c r="AJF55" s="4"/>
      <c r="AJG55" s="4"/>
      <c r="AJH55" s="4"/>
      <c r="AJI55" s="4"/>
      <c r="AJJ55" s="4"/>
      <c r="AJK55" s="4"/>
      <c r="AJL55" s="4"/>
      <c r="AJM55" s="4"/>
      <c r="AJN55" s="4"/>
      <c r="AJO55" s="4"/>
      <c r="AJP55" s="4"/>
      <c r="AJQ55" s="4"/>
      <c r="AJR55" s="4"/>
      <c r="AJS55" s="4"/>
      <c r="AJT55" s="4"/>
      <c r="AJU55" s="4"/>
      <c r="AJV55" s="4"/>
      <c r="AJW55" s="4"/>
      <c r="AJX55" s="4"/>
      <c r="AJY55" s="4"/>
      <c r="AJZ55" s="4"/>
      <c r="AKA55" s="4"/>
      <c r="AKB55" s="4"/>
      <c r="AKC55" s="4"/>
      <c r="AKD55" s="4"/>
      <c r="AKE55" s="4"/>
      <c r="AKF55" s="4"/>
      <c r="AKG55" s="4"/>
      <c r="AKH55" s="4"/>
      <c r="AKI55" s="4"/>
      <c r="AKJ55" s="4"/>
      <c r="AKK55" s="4"/>
      <c r="AKL55" s="4"/>
      <c r="AKM55" s="4"/>
      <c r="AKN55" s="4"/>
      <c r="AKO55" s="4"/>
      <c r="AKP55" s="4"/>
      <c r="AKQ55" s="4"/>
      <c r="AKR55" s="4"/>
      <c r="AKS55" s="4"/>
      <c r="AKT55" s="4"/>
      <c r="AKU55" s="4"/>
      <c r="AKV55" s="4"/>
      <c r="AKW55" s="4"/>
      <c r="AKX55" s="4"/>
      <c r="AKY55" s="4"/>
      <c r="AKZ55" s="4"/>
      <c r="ALA55" s="4"/>
      <c r="ALB55" s="4"/>
      <c r="ALC55" s="4"/>
      <c r="ALD55" s="4"/>
      <c r="ALE55" s="4"/>
      <c r="ALF55" s="4"/>
      <c r="ALG55" s="4"/>
      <c r="ALH55" s="4"/>
      <c r="ALI55" s="4"/>
      <c r="ALJ55" s="4"/>
      <c r="ALK55" s="4"/>
      <c r="ALL55" s="4"/>
      <c r="ALM55" s="4"/>
      <c r="ALN55" s="4"/>
      <c r="ALO55" s="4"/>
      <c r="ALP55" s="4"/>
      <c r="ALQ55" s="4"/>
      <c r="ALR55" s="4"/>
      <c r="ALS55" s="4"/>
      <c r="ALT55" s="4"/>
      <c r="ALU55" s="4"/>
      <c r="ALV55" s="4"/>
      <c r="ALW55" s="4"/>
      <c r="ALX55" s="4"/>
      <c r="ALY55" s="4"/>
      <c r="ALZ55" s="4"/>
      <c r="AMA55" s="4"/>
      <c r="AMB55" s="4"/>
      <c r="AMC55" s="4"/>
      <c r="AMD55" s="4"/>
      <c r="AME55" s="4"/>
      <c r="AMF55" s="4"/>
      <c r="AMG55" s="4"/>
      <c r="AMH55" s="4"/>
      <c r="AMI55" s="4"/>
      <c r="AMJ55" s="4"/>
      <c r="AMK55" s="4"/>
      <c r="AML55" s="4"/>
      <c r="AMM55" s="4"/>
      <c r="AMN55" s="4"/>
      <c r="AMO55" s="4"/>
      <c r="AMP55" s="4"/>
      <c r="AMQ55" s="4"/>
      <c r="AMR55" s="4"/>
      <c r="AMS55" s="364"/>
      <c r="AMT55" s="4"/>
      <c r="AMU55" s="4"/>
      <c r="AMV55" s="4"/>
      <c r="AMW55" s="4"/>
      <c r="AMX55" s="4"/>
      <c r="AMY55" s="4"/>
      <c r="AMZ55" s="4"/>
      <c r="ANA55" s="4"/>
      <c r="ANB55" s="4"/>
      <c r="ANC55" s="4"/>
      <c r="AND55" s="4"/>
      <c r="ANE55" s="4"/>
      <c r="ANF55" s="4"/>
      <c r="ANG55" s="4"/>
      <c r="ANH55" s="4"/>
      <c r="ANI55" s="4"/>
      <c r="ANJ55" s="4"/>
      <c r="ANK55" s="4"/>
      <c r="ANL55" s="4"/>
      <c r="ANM55" s="4"/>
      <c r="ANN55" s="4"/>
      <c r="ANO55" s="4"/>
      <c r="ANP55" s="4"/>
      <c r="ANQ55" s="4"/>
      <c r="ANR55" s="4"/>
      <c r="ANS55" s="4"/>
      <c r="ANT55" s="4"/>
      <c r="ANU55" s="4"/>
      <c r="ANV55" s="4"/>
      <c r="ANW55" s="4"/>
      <c r="ANX55" s="4"/>
      <c r="ANY55" s="4"/>
      <c r="ANZ55" s="4"/>
      <c r="AOA55" s="4"/>
      <c r="AOB55" s="4"/>
      <c r="AOC55" s="4"/>
      <c r="AOD55" s="4"/>
      <c r="AOE55" s="4"/>
      <c r="AOF55" s="4"/>
      <c r="AOG55" s="4"/>
      <c r="AOH55" s="4"/>
      <c r="AOI55" s="4"/>
      <c r="AOJ55" s="4"/>
      <c r="AOK55" s="4"/>
      <c r="AOL55" s="4"/>
      <c r="AOM55" s="4"/>
      <c r="AON55" s="4"/>
      <c r="AOO55" s="4"/>
      <c r="AOP55" s="4"/>
      <c r="AOQ55" s="4"/>
      <c r="AOR55" s="4"/>
      <c r="AOS55" s="4"/>
      <c r="AOT55" s="4"/>
      <c r="AOU55" s="4"/>
      <c r="AOV55" s="4"/>
      <c r="AOW55" s="4"/>
      <c r="AOX55" s="4"/>
      <c r="AOY55" s="4"/>
      <c r="AOZ55" s="4"/>
      <c r="APA55" s="4"/>
      <c r="APB55" s="4"/>
      <c r="APC55" s="4"/>
      <c r="APD55" s="4"/>
      <c r="APE55" s="4"/>
      <c r="APF55" s="4"/>
      <c r="APG55" s="4"/>
      <c r="APH55" s="4"/>
      <c r="API55" s="4"/>
      <c r="APJ55" s="4"/>
      <c r="APK55" s="4"/>
      <c r="APL55" s="4"/>
      <c r="APM55" s="4"/>
      <c r="APN55" s="4"/>
      <c r="APO55" s="4"/>
      <c r="APP55" s="4"/>
      <c r="APQ55" s="4"/>
      <c r="APR55" s="4"/>
      <c r="APS55" s="4"/>
      <c r="APT55" s="4"/>
      <c r="APU55" s="4"/>
      <c r="APV55" s="4"/>
      <c r="APW55" s="4"/>
      <c r="APX55" s="4"/>
      <c r="APY55" s="4"/>
      <c r="APZ55" s="4"/>
      <c r="AQA55" s="4"/>
      <c r="AQB55" s="4"/>
      <c r="AQC55" s="4"/>
      <c r="AQD55" s="4"/>
      <c r="AQE55" s="4"/>
      <c r="AQF55" s="4"/>
      <c r="AQG55" s="4"/>
      <c r="AQH55" s="4"/>
      <c r="AQI55" s="4"/>
      <c r="AQJ55" s="4"/>
      <c r="AQK55" s="4"/>
      <c r="AQL55" s="4"/>
      <c r="AQM55" s="4"/>
      <c r="AQN55" s="4"/>
      <c r="AQO55" s="4"/>
      <c r="AQP55" s="4"/>
      <c r="AQQ55" s="4"/>
      <c r="AQR55" s="4"/>
      <c r="AQS55" s="4"/>
      <c r="AQT55" s="4"/>
      <c r="AQU55" s="4"/>
      <c r="AQV55" s="4"/>
      <c r="AQW55" s="4"/>
      <c r="AQX55" s="4"/>
      <c r="AQY55" s="4"/>
      <c r="AQZ55" s="4"/>
      <c r="ARA55" s="4"/>
      <c r="ARB55" s="4"/>
      <c r="ARC55" s="4"/>
      <c r="ARD55" s="4"/>
      <c r="ARE55" s="4"/>
      <c r="ARF55" s="4"/>
      <c r="ARG55" s="4"/>
      <c r="ARH55" s="4"/>
      <c r="ARI55" s="4"/>
      <c r="ARJ55" s="4"/>
      <c r="ARK55" s="4"/>
      <c r="ARL55" s="4"/>
      <c r="ARM55" s="4"/>
      <c r="ARN55" s="4"/>
      <c r="ARO55" s="4"/>
      <c r="ARP55" s="4"/>
      <c r="ARQ55" s="4"/>
      <c r="ARR55" s="4"/>
      <c r="ARS55" s="4"/>
      <c r="ART55" s="4"/>
      <c r="ARU55" s="4"/>
      <c r="ARV55" s="4"/>
      <c r="ARW55" s="4"/>
      <c r="ARX55" s="4"/>
      <c r="ARY55" s="4"/>
      <c r="ARZ55" s="4"/>
      <c r="ASA55" s="4"/>
      <c r="ASB55" s="4"/>
      <c r="ASC55" s="4"/>
      <c r="ASD55" s="4"/>
      <c r="ASE55" s="4"/>
      <c r="ASF55" s="4"/>
      <c r="ASG55" s="4"/>
      <c r="ASH55" s="4"/>
      <c r="ASI55" s="4"/>
      <c r="ASJ55" s="4"/>
      <c r="ASK55" s="4"/>
      <c r="ASL55" s="4"/>
      <c r="ASM55" s="4"/>
      <c r="ASN55" s="4"/>
      <c r="ASO55" s="4"/>
      <c r="ASP55" s="4"/>
      <c r="ASQ55" s="4"/>
      <c r="ASR55" s="4"/>
      <c r="ASS55" s="4"/>
      <c r="AST55" s="4"/>
      <c r="ASU55" s="4"/>
    </row>
    <row r="56" ht="80.25" customHeight="1" spans="1:1191" s="74" customFormat="1" x14ac:dyDescent="0.25">
      <c r="A56" s="365" t="s">
        <v>92</v>
      </c>
      <c r="B56" s="76" t="s">
        <v>26</v>
      </c>
      <c r="C56" s="77" t="s">
        <v>27</v>
      </c>
      <c r="D56" s="78" t="s">
        <v>28</v>
      </c>
      <c r="E56" s="79" t="s">
        <v>29</v>
      </c>
      <c r="F56" s="79" t="s">
        <v>30</v>
      </c>
      <c r="G56" s="80"/>
      <c r="H56" s="81" t="s">
        <v>31</v>
      </c>
      <c r="I56" s="80"/>
      <c r="J56" s="81" t="s">
        <v>32</v>
      </c>
      <c r="K56" s="80"/>
      <c r="L56" s="81" t="s">
        <v>33</v>
      </c>
      <c r="M56" s="80"/>
      <c r="N56" s="82" t="s">
        <v>34</v>
      </c>
      <c r="O56" s="80"/>
      <c r="P56" s="82" t="s">
        <v>35</v>
      </c>
      <c r="Q56" s="80"/>
      <c r="R56" s="81" t="s">
        <v>36</v>
      </c>
      <c r="S56" s="80"/>
      <c r="T56" s="81" t="s">
        <v>37</v>
      </c>
      <c r="U56" s="80"/>
      <c r="V56" s="81" t="s">
        <v>38</v>
      </c>
      <c r="W56" s="80"/>
      <c r="X56" s="81" t="s">
        <v>39</v>
      </c>
      <c r="Y56" s="80"/>
      <c r="Z56" s="81" t="s">
        <v>40</v>
      </c>
      <c r="AA56" s="80"/>
      <c r="AB56" s="81" t="s">
        <v>41</v>
      </c>
      <c r="AC56" s="80"/>
      <c r="AD56" s="83" t="s">
        <v>42</v>
      </c>
      <c r="AE56" s="84" t="s">
        <v>43</v>
      </c>
      <c r="AF56" s="85" t="s">
        <v>44</v>
      </c>
      <c r="AG56" s="78" t="s">
        <v>28</v>
      </c>
      <c r="AH56" s="79" t="s">
        <v>29</v>
      </c>
      <c r="AI56" s="79" t="s">
        <v>30</v>
      </c>
      <c r="AJ56" s="80"/>
      <c r="AK56" s="81" t="s">
        <v>31</v>
      </c>
      <c r="AL56" s="80"/>
      <c r="AM56" s="81" t="s">
        <v>32</v>
      </c>
      <c r="AN56" s="80"/>
      <c r="AO56" s="81" t="s">
        <v>33</v>
      </c>
      <c r="AP56" s="80"/>
      <c r="AQ56" s="82" t="s">
        <v>34</v>
      </c>
      <c r="AR56" s="80"/>
      <c r="AS56" s="82" t="s">
        <v>35</v>
      </c>
      <c r="AT56" s="80"/>
      <c r="AU56" s="81" t="s">
        <v>36</v>
      </c>
      <c r="AV56" s="80"/>
      <c r="AW56" s="81" t="s">
        <v>37</v>
      </c>
      <c r="AX56" s="80"/>
      <c r="AY56" s="81" t="s">
        <v>38</v>
      </c>
      <c r="AZ56" s="80"/>
      <c r="BA56" s="81" t="s">
        <v>39</v>
      </c>
      <c r="BB56" s="80"/>
      <c r="BC56" s="81" t="s">
        <v>40</v>
      </c>
      <c r="BD56" s="80"/>
      <c r="BE56" s="81" t="s">
        <v>41</v>
      </c>
      <c r="BF56" s="80"/>
      <c r="BG56" s="83" t="s">
        <v>42</v>
      </c>
      <c r="BH56" s="84" t="s">
        <v>43</v>
      </c>
      <c r="BI56" s="85" t="s">
        <v>44</v>
      </c>
      <c r="BJ56" s="78" t="s">
        <v>28</v>
      </c>
      <c r="BK56" s="79" t="s">
        <v>29</v>
      </c>
      <c r="BL56" s="79" t="s">
        <v>30</v>
      </c>
      <c r="BM56" s="80"/>
      <c r="BN56" s="81" t="s">
        <v>31</v>
      </c>
      <c r="BO56" s="80"/>
      <c r="BP56" s="81" t="s">
        <v>32</v>
      </c>
      <c r="BQ56" s="80"/>
      <c r="BR56" s="81" t="s">
        <v>33</v>
      </c>
      <c r="BS56" s="80"/>
      <c r="BT56" s="82" t="s">
        <v>34</v>
      </c>
      <c r="BU56" s="80"/>
      <c r="BV56" s="82" t="s">
        <v>35</v>
      </c>
      <c r="BW56" s="80"/>
      <c r="BX56" s="81" t="s">
        <v>36</v>
      </c>
      <c r="BY56" s="80"/>
      <c r="BZ56" s="81" t="s">
        <v>37</v>
      </c>
      <c r="CA56" s="80"/>
      <c r="CB56" s="81" t="s">
        <v>38</v>
      </c>
      <c r="CC56" s="80"/>
      <c r="CD56" s="81" t="s">
        <v>39</v>
      </c>
      <c r="CE56" s="80"/>
      <c r="CF56" s="81" t="s">
        <v>40</v>
      </c>
      <c r="CG56" s="80"/>
      <c r="CH56" s="81" t="s">
        <v>41</v>
      </c>
      <c r="CI56" s="80"/>
      <c r="CJ56" s="83" t="s">
        <v>42</v>
      </c>
      <c r="CK56" s="84" t="s">
        <v>43</v>
      </c>
      <c r="CL56" s="85" t="s">
        <v>44</v>
      </c>
      <c r="CM56" s="78" t="s">
        <v>28</v>
      </c>
      <c r="CN56" s="79" t="s">
        <v>29</v>
      </c>
      <c r="CO56" s="79" t="s">
        <v>30</v>
      </c>
      <c r="CP56" s="80"/>
      <c r="CQ56" s="81" t="s">
        <v>31</v>
      </c>
      <c r="CR56" s="80"/>
      <c r="CS56" s="81" t="s">
        <v>32</v>
      </c>
      <c r="CT56" s="80"/>
      <c r="CU56" s="81" t="s">
        <v>33</v>
      </c>
      <c r="CV56" s="80"/>
      <c r="CW56" s="82" t="s">
        <v>34</v>
      </c>
      <c r="CX56" s="80"/>
      <c r="CY56" s="82" t="s">
        <v>35</v>
      </c>
      <c r="CZ56" s="80"/>
      <c r="DA56" s="81" t="s">
        <v>36</v>
      </c>
      <c r="DB56" s="80"/>
      <c r="DC56" s="81" t="s">
        <v>37</v>
      </c>
      <c r="DD56" s="80"/>
      <c r="DE56" s="81" t="s">
        <v>38</v>
      </c>
      <c r="DF56" s="80"/>
      <c r="DG56" s="81" t="s">
        <v>39</v>
      </c>
      <c r="DH56" s="80"/>
      <c r="DI56" s="81" t="s">
        <v>40</v>
      </c>
      <c r="DJ56" s="80"/>
      <c r="DK56" s="81" t="s">
        <v>41</v>
      </c>
      <c r="DL56" s="80"/>
      <c r="DM56" s="83" t="s">
        <v>42</v>
      </c>
      <c r="DN56" s="84" t="s">
        <v>43</v>
      </c>
      <c r="DO56" s="85" t="s">
        <v>44</v>
      </c>
      <c r="DP56" s="78" t="s">
        <v>28</v>
      </c>
      <c r="DQ56" s="81" t="s">
        <v>29</v>
      </c>
      <c r="DR56" s="79" t="s">
        <v>30</v>
      </c>
      <c r="DS56" s="80"/>
      <c r="DT56" s="81" t="s">
        <v>31</v>
      </c>
      <c r="DU56" s="80"/>
      <c r="DV56" s="81" t="s">
        <v>32</v>
      </c>
      <c r="DW56" s="80"/>
      <c r="DX56" s="81" t="s">
        <v>33</v>
      </c>
      <c r="DY56" s="80"/>
      <c r="DZ56" s="82" t="s">
        <v>34</v>
      </c>
      <c r="EA56" s="80"/>
      <c r="EB56" s="82" t="s">
        <v>35</v>
      </c>
      <c r="EC56" s="80"/>
      <c r="ED56" s="81" t="s">
        <v>36</v>
      </c>
      <c r="EE56" s="80"/>
      <c r="EF56" s="81" t="s">
        <v>37</v>
      </c>
      <c r="EG56" s="80"/>
      <c r="EH56" s="81" t="s">
        <v>38</v>
      </c>
      <c r="EI56" s="80"/>
      <c r="EJ56" s="81" t="s">
        <v>39</v>
      </c>
      <c r="EK56" s="80"/>
      <c r="EL56" s="81" t="s">
        <v>40</v>
      </c>
      <c r="EM56" s="80"/>
      <c r="EN56" s="81" t="s">
        <v>41</v>
      </c>
      <c r="EO56" s="80"/>
      <c r="EP56" s="83" t="s">
        <v>42</v>
      </c>
      <c r="EQ56" s="84" t="s">
        <v>43</v>
      </c>
      <c r="ER56" s="85" t="s">
        <v>44</v>
      </c>
      <c r="ES56" s="78" t="s">
        <v>28</v>
      </c>
      <c r="ET56" s="79" t="s">
        <v>29</v>
      </c>
      <c r="EU56" s="81" t="s">
        <v>30</v>
      </c>
      <c r="EV56" s="80"/>
      <c r="EW56" s="81" t="s">
        <v>31</v>
      </c>
      <c r="EX56" s="80"/>
      <c r="EY56" s="81" t="s">
        <v>32</v>
      </c>
      <c r="EZ56" s="80"/>
      <c r="FA56" s="81" t="s">
        <v>33</v>
      </c>
      <c r="FB56" s="80"/>
      <c r="FC56" s="82" t="s">
        <v>34</v>
      </c>
      <c r="FD56" s="80"/>
      <c r="FE56" s="82" t="s">
        <v>35</v>
      </c>
      <c r="FF56" s="80"/>
      <c r="FG56" s="81" t="s">
        <v>36</v>
      </c>
      <c r="FH56" s="80"/>
      <c r="FI56" s="81" t="s">
        <v>37</v>
      </c>
      <c r="FJ56" s="80"/>
      <c r="FK56" s="81" t="s">
        <v>38</v>
      </c>
      <c r="FL56" s="80"/>
      <c r="FM56" s="81" t="s">
        <v>39</v>
      </c>
      <c r="FN56" s="80"/>
      <c r="FO56" s="81" t="s">
        <v>40</v>
      </c>
      <c r="FP56" s="80"/>
      <c r="FQ56" s="81" t="s">
        <v>41</v>
      </c>
      <c r="FR56" s="80"/>
      <c r="FS56" s="83" t="s">
        <v>42</v>
      </c>
      <c r="FT56" s="84" t="s">
        <v>43</v>
      </c>
      <c r="FU56" s="85" t="s">
        <v>44</v>
      </c>
      <c r="FV56" s="78" t="s">
        <v>28</v>
      </c>
      <c r="FW56" s="79" t="s">
        <v>29</v>
      </c>
      <c r="FX56" s="79" t="s">
        <v>30</v>
      </c>
      <c r="FY56" s="80"/>
      <c r="FZ56" s="81" t="s">
        <v>31</v>
      </c>
      <c r="GA56" s="80"/>
      <c r="GB56" s="81" t="s">
        <v>32</v>
      </c>
      <c r="GC56" s="80"/>
      <c r="GD56" s="81" t="s">
        <v>33</v>
      </c>
      <c r="GE56" s="80"/>
      <c r="GF56" s="82" t="s">
        <v>34</v>
      </c>
      <c r="GG56" s="80"/>
      <c r="GH56" s="82" t="s">
        <v>35</v>
      </c>
      <c r="GI56" s="80"/>
      <c r="GJ56" s="81" t="s">
        <v>36</v>
      </c>
      <c r="GK56" s="80"/>
      <c r="GL56" s="81" t="s">
        <v>37</v>
      </c>
      <c r="GM56" s="80"/>
      <c r="GN56" s="81" t="s">
        <v>38</v>
      </c>
      <c r="GO56" s="80"/>
      <c r="GP56" s="81" t="s">
        <v>39</v>
      </c>
      <c r="GQ56" s="80"/>
      <c r="GR56" s="81" t="s">
        <v>40</v>
      </c>
      <c r="GS56" s="80"/>
      <c r="GT56" s="81" t="s">
        <v>41</v>
      </c>
      <c r="GU56" s="80"/>
      <c r="GV56" s="83" t="s">
        <v>42</v>
      </c>
      <c r="GW56" s="84" t="s">
        <v>43</v>
      </c>
      <c r="GX56" s="85" t="s">
        <v>44</v>
      </c>
      <c r="GY56" s="87" t="s">
        <v>45</v>
      </c>
      <c r="GZ56" s="88" t="s">
        <v>46</v>
      </c>
      <c r="HA56" s="89" t="s">
        <v>47</v>
      </c>
      <c r="HB56" s="78" t="s">
        <v>28</v>
      </c>
      <c r="HC56" s="79" t="s">
        <v>29</v>
      </c>
      <c r="HD56" s="79" t="s">
        <v>30</v>
      </c>
      <c r="HE56" s="80"/>
      <c r="HF56" s="81" t="s">
        <v>31</v>
      </c>
      <c r="HG56" s="80"/>
      <c r="HH56" s="81" t="s">
        <v>32</v>
      </c>
      <c r="HI56" s="80"/>
      <c r="HJ56" s="81" t="s">
        <v>33</v>
      </c>
      <c r="HK56" s="80"/>
      <c r="HL56" s="82" t="s">
        <v>34</v>
      </c>
      <c r="HM56" s="80"/>
      <c r="HN56" s="82" t="s">
        <v>35</v>
      </c>
      <c r="HO56" s="80"/>
      <c r="HP56" s="81" t="s">
        <v>36</v>
      </c>
      <c r="HQ56" s="80"/>
      <c r="HR56" s="81" t="s">
        <v>37</v>
      </c>
      <c r="HS56" s="80"/>
      <c r="HT56" s="81" t="s">
        <v>38</v>
      </c>
      <c r="HU56" s="80"/>
      <c r="HV56" s="81" t="s">
        <v>39</v>
      </c>
      <c r="HW56" s="80"/>
      <c r="HX56" s="81" t="s">
        <v>40</v>
      </c>
      <c r="HY56" s="80"/>
      <c r="HZ56" s="81" t="s">
        <v>41</v>
      </c>
      <c r="IA56" s="80"/>
      <c r="IB56" s="83" t="s">
        <v>42</v>
      </c>
      <c r="IC56" s="84" t="s">
        <v>43</v>
      </c>
      <c r="ID56" s="85" t="s">
        <v>44</v>
      </c>
      <c r="IE56" s="78" t="s">
        <v>28</v>
      </c>
      <c r="IF56" s="79" t="s">
        <v>29</v>
      </c>
      <c r="IG56" s="79" t="s">
        <v>30</v>
      </c>
      <c r="IH56" s="80"/>
      <c r="II56" s="81" t="s">
        <v>31</v>
      </c>
      <c r="IJ56" s="80"/>
      <c r="IK56" s="81" t="s">
        <v>32</v>
      </c>
      <c r="IL56" s="80"/>
      <c r="IM56" s="81" t="s">
        <v>33</v>
      </c>
      <c r="IN56" s="80"/>
      <c r="IO56" s="82" t="s">
        <v>34</v>
      </c>
      <c r="IP56" s="80"/>
      <c r="IQ56" s="82" t="s">
        <v>35</v>
      </c>
      <c r="IR56" s="80"/>
      <c r="IS56" s="81" t="s">
        <v>36</v>
      </c>
      <c r="IT56" s="80"/>
      <c r="IU56" s="81" t="s">
        <v>37</v>
      </c>
      <c r="IV56" s="80"/>
      <c r="IW56" s="81" t="s">
        <v>38</v>
      </c>
      <c r="IX56" s="80"/>
      <c r="IY56" s="81" t="s">
        <v>39</v>
      </c>
      <c r="IZ56" s="80"/>
      <c r="JA56" s="81" t="s">
        <v>40</v>
      </c>
      <c r="JB56" s="80"/>
      <c r="JC56" s="81" t="s">
        <v>41</v>
      </c>
      <c r="JD56" s="80"/>
      <c r="JE56" s="83" t="s">
        <v>42</v>
      </c>
      <c r="JF56" s="84" t="s">
        <v>43</v>
      </c>
      <c r="JG56" s="85" t="s">
        <v>44</v>
      </c>
      <c r="JH56" s="78" t="s">
        <v>28</v>
      </c>
      <c r="JI56" s="79" t="s">
        <v>29</v>
      </c>
      <c r="JJ56" s="79" t="s">
        <v>30</v>
      </c>
      <c r="JK56" s="80"/>
      <c r="JL56" s="81" t="s">
        <v>31</v>
      </c>
      <c r="JM56" s="80"/>
      <c r="JN56" s="81" t="s">
        <v>32</v>
      </c>
      <c r="JO56" s="80"/>
      <c r="JP56" s="81" t="s">
        <v>33</v>
      </c>
      <c r="JQ56" s="80"/>
      <c r="JR56" s="82" t="s">
        <v>34</v>
      </c>
      <c r="JS56" s="80"/>
      <c r="JT56" s="82" t="s">
        <v>35</v>
      </c>
      <c r="JU56" s="80"/>
      <c r="JV56" s="81" t="s">
        <v>36</v>
      </c>
      <c r="JW56" s="80"/>
      <c r="JX56" s="81" t="s">
        <v>37</v>
      </c>
      <c r="JY56" s="80"/>
      <c r="JZ56" s="81" t="s">
        <v>38</v>
      </c>
      <c r="KA56" s="80"/>
      <c r="KB56" s="81" t="s">
        <v>39</v>
      </c>
      <c r="KC56" s="80"/>
      <c r="KD56" s="81" t="s">
        <v>40</v>
      </c>
      <c r="KE56" s="80"/>
      <c r="KF56" s="81" t="s">
        <v>41</v>
      </c>
      <c r="KG56" s="80"/>
      <c r="KH56" s="83" t="s">
        <v>42</v>
      </c>
      <c r="KI56" s="84" t="s">
        <v>43</v>
      </c>
      <c r="KJ56" s="85" t="s">
        <v>44</v>
      </c>
      <c r="KK56" s="78" t="s">
        <v>28</v>
      </c>
      <c r="KL56" s="79" t="s">
        <v>29</v>
      </c>
      <c r="KM56" s="79" t="s">
        <v>30</v>
      </c>
      <c r="KN56" s="80"/>
      <c r="KO56" s="81" t="s">
        <v>31</v>
      </c>
      <c r="KP56" s="80"/>
      <c r="KQ56" s="81" t="s">
        <v>32</v>
      </c>
      <c r="KR56" s="80"/>
      <c r="KS56" s="81" t="s">
        <v>33</v>
      </c>
      <c r="KT56" s="80"/>
      <c r="KU56" s="82" t="s">
        <v>34</v>
      </c>
      <c r="KV56" s="80"/>
      <c r="KW56" s="82" t="s">
        <v>35</v>
      </c>
      <c r="KX56" s="80"/>
      <c r="KY56" s="81" t="s">
        <v>36</v>
      </c>
      <c r="KZ56" s="80"/>
      <c r="LA56" s="81" t="s">
        <v>37</v>
      </c>
      <c r="LB56" s="80"/>
      <c r="LC56" s="81" t="s">
        <v>38</v>
      </c>
      <c r="LD56" s="80"/>
      <c r="LE56" s="81" t="s">
        <v>39</v>
      </c>
      <c r="LF56" s="80"/>
      <c r="LG56" s="81" t="s">
        <v>40</v>
      </c>
      <c r="LH56" s="80"/>
      <c r="LI56" s="81" t="s">
        <v>41</v>
      </c>
      <c r="LJ56" s="80"/>
      <c r="LK56" s="83" t="s">
        <v>42</v>
      </c>
      <c r="LL56" s="84" t="s">
        <v>43</v>
      </c>
      <c r="LM56" s="85" t="s">
        <v>44</v>
      </c>
      <c r="LN56" s="78" t="s">
        <v>28</v>
      </c>
      <c r="LO56" s="79" t="s">
        <v>29</v>
      </c>
      <c r="LP56" s="79" t="s">
        <v>30</v>
      </c>
      <c r="LQ56" s="80"/>
      <c r="LR56" s="81" t="s">
        <v>31</v>
      </c>
      <c r="LS56" s="80"/>
      <c r="LT56" s="81" t="s">
        <v>32</v>
      </c>
      <c r="LU56" s="80"/>
      <c r="LV56" s="81" t="s">
        <v>33</v>
      </c>
      <c r="LW56" s="80"/>
      <c r="LX56" s="82" t="s">
        <v>34</v>
      </c>
      <c r="LY56" s="80"/>
      <c r="LZ56" s="82" t="s">
        <v>35</v>
      </c>
      <c r="MA56" s="80"/>
      <c r="MB56" s="81" t="s">
        <v>36</v>
      </c>
      <c r="MC56" s="80"/>
      <c r="MD56" s="81" t="s">
        <v>37</v>
      </c>
      <c r="ME56" s="80"/>
      <c r="MF56" s="81" t="s">
        <v>38</v>
      </c>
      <c r="MG56" s="80"/>
      <c r="MH56" s="81" t="s">
        <v>39</v>
      </c>
      <c r="MI56" s="80"/>
      <c r="MJ56" s="81" t="s">
        <v>40</v>
      </c>
      <c r="MK56" s="80"/>
      <c r="ML56" s="81" t="s">
        <v>41</v>
      </c>
      <c r="MM56" s="80"/>
      <c r="MN56" s="83" t="s">
        <v>42</v>
      </c>
      <c r="MO56" s="84" t="s">
        <v>43</v>
      </c>
      <c r="MP56" s="85" t="s">
        <v>44</v>
      </c>
      <c r="MQ56" s="78" t="s">
        <v>28</v>
      </c>
      <c r="MR56" s="79" t="s">
        <v>29</v>
      </c>
      <c r="MS56" s="81" t="s">
        <v>30</v>
      </c>
      <c r="MT56" s="80"/>
      <c r="MU56" s="81" t="s">
        <v>31</v>
      </c>
      <c r="MV56" s="80"/>
      <c r="MW56" s="81" t="s">
        <v>32</v>
      </c>
      <c r="MX56" s="80"/>
      <c r="MY56" s="81" t="s">
        <v>33</v>
      </c>
      <c r="MZ56" s="80"/>
      <c r="NA56" s="82" t="s">
        <v>34</v>
      </c>
      <c r="NB56" s="80"/>
      <c r="NC56" s="82" t="s">
        <v>35</v>
      </c>
      <c r="ND56" s="80"/>
      <c r="NE56" s="81" t="s">
        <v>36</v>
      </c>
      <c r="NF56" s="80"/>
      <c r="NG56" s="81" t="s">
        <v>37</v>
      </c>
      <c r="NH56" s="80"/>
      <c r="NI56" s="81" t="s">
        <v>38</v>
      </c>
      <c r="NJ56" s="80"/>
      <c r="NK56" s="81" t="s">
        <v>39</v>
      </c>
      <c r="NL56" s="80"/>
      <c r="NM56" s="81" t="s">
        <v>40</v>
      </c>
      <c r="NN56" s="80"/>
      <c r="NO56" s="81" t="s">
        <v>41</v>
      </c>
      <c r="NP56" s="80"/>
      <c r="NQ56" s="83" t="s">
        <v>42</v>
      </c>
      <c r="NR56" s="84" t="s">
        <v>43</v>
      </c>
      <c r="NS56" s="85" t="s">
        <v>44</v>
      </c>
      <c r="NT56" s="78" t="s">
        <v>28</v>
      </c>
      <c r="NU56" s="79" t="s">
        <v>29</v>
      </c>
      <c r="NV56" s="79" t="s">
        <v>30</v>
      </c>
      <c r="NW56" s="80"/>
      <c r="NX56" s="81" t="s">
        <v>31</v>
      </c>
      <c r="NY56" s="80"/>
      <c r="NZ56" s="81" t="s">
        <v>32</v>
      </c>
      <c r="OA56" s="80"/>
      <c r="OB56" s="81" t="s">
        <v>33</v>
      </c>
      <c r="OC56" s="80"/>
      <c r="OD56" s="82" t="s">
        <v>34</v>
      </c>
      <c r="OE56" s="80"/>
      <c r="OF56" s="82" t="s">
        <v>35</v>
      </c>
      <c r="OG56" s="80"/>
      <c r="OH56" s="81" t="s">
        <v>36</v>
      </c>
      <c r="OI56" s="80"/>
      <c r="OJ56" s="81" t="s">
        <v>37</v>
      </c>
      <c r="OK56" s="80"/>
      <c r="OL56" s="81" t="s">
        <v>38</v>
      </c>
      <c r="OM56" s="80"/>
      <c r="ON56" s="81" t="s">
        <v>39</v>
      </c>
      <c r="OO56" s="80"/>
      <c r="OP56" s="81" t="s">
        <v>40</v>
      </c>
      <c r="OQ56" s="80"/>
      <c r="OR56" s="81" t="s">
        <v>41</v>
      </c>
      <c r="OS56" s="80"/>
      <c r="OT56" s="83" t="s">
        <v>42</v>
      </c>
      <c r="OU56" s="84" t="s">
        <v>43</v>
      </c>
      <c r="OV56" s="85" t="s">
        <v>44</v>
      </c>
      <c r="OW56" s="87" t="s">
        <v>45</v>
      </c>
      <c r="OX56" s="88" t="s">
        <v>46</v>
      </c>
      <c r="OY56" s="89" t="s">
        <v>47</v>
      </c>
      <c r="OZ56" s="78" t="s">
        <v>28</v>
      </c>
      <c r="PA56" s="79" t="s">
        <v>29</v>
      </c>
      <c r="PB56" s="79" t="s">
        <v>30</v>
      </c>
      <c r="PC56" s="80"/>
      <c r="PD56" s="81" t="s">
        <v>31</v>
      </c>
      <c r="PE56" s="80"/>
      <c r="PF56" s="81" t="s">
        <v>32</v>
      </c>
      <c r="PG56" s="80"/>
      <c r="PH56" s="81" t="s">
        <v>33</v>
      </c>
      <c r="PI56" s="80"/>
      <c r="PJ56" s="82" t="s">
        <v>34</v>
      </c>
      <c r="PK56" s="80"/>
      <c r="PL56" s="82" t="s">
        <v>35</v>
      </c>
      <c r="PM56" s="80"/>
      <c r="PN56" s="81" t="s">
        <v>36</v>
      </c>
      <c r="PO56" s="80"/>
      <c r="PP56" s="81" t="s">
        <v>37</v>
      </c>
      <c r="PQ56" s="80"/>
      <c r="PR56" s="81" t="s">
        <v>38</v>
      </c>
      <c r="PS56" s="80"/>
      <c r="PT56" s="81" t="s">
        <v>39</v>
      </c>
      <c r="PU56" s="80"/>
      <c r="PV56" s="81" t="s">
        <v>40</v>
      </c>
      <c r="PW56" s="80"/>
      <c r="PX56" s="81" t="s">
        <v>41</v>
      </c>
      <c r="PY56" s="80"/>
      <c r="PZ56" s="83" t="s">
        <v>42</v>
      </c>
      <c r="QA56" s="84" t="s">
        <v>43</v>
      </c>
      <c r="QB56" s="85" t="s">
        <v>44</v>
      </c>
      <c r="QC56" s="78" t="s">
        <v>28</v>
      </c>
      <c r="QD56" s="79" t="s">
        <v>29</v>
      </c>
      <c r="QE56" s="79" t="s">
        <v>30</v>
      </c>
      <c r="QF56" s="80"/>
      <c r="QG56" s="81" t="s">
        <v>31</v>
      </c>
      <c r="QH56" s="80"/>
      <c r="QI56" s="81" t="s">
        <v>32</v>
      </c>
      <c r="QJ56" s="80"/>
      <c r="QK56" s="81" t="s">
        <v>33</v>
      </c>
      <c r="QL56" s="80"/>
      <c r="QM56" s="82" t="s">
        <v>34</v>
      </c>
      <c r="QN56" s="80"/>
      <c r="QO56" s="82" t="s">
        <v>35</v>
      </c>
      <c r="QP56" s="80"/>
      <c r="QQ56" s="81" t="s">
        <v>36</v>
      </c>
      <c r="QR56" s="80"/>
      <c r="QS56" s="81" t="s">
        <v>37</v>
      </c>
      <c r="QT56" s="80"/>
      <c r="QU56" s="81" t="s">
        <v>38</v>
      </c>
      <c r="QV56" s="80"/>
      <c r="QW56" s="81" t="s">
        <v>39</v>
      </c>
      <c r="QX56" s="80"/>
      <c r="QY56" s="81" t="s">
        <v>40</v>
      </c>
      <c r="QZ56" s="80"/>
      <c r="RA56" s="81" t="s">
        <v>41</v>
      </c>
      <c r="RB56" s="80"/>
      <c r="RC56" s="83" t="s">
        <v>42</v>
      </c>
      <c r="RD56" s="84" t="s">
        <v>43</v>
      </c>
      <c r="RE56" s="85" t="s">
        <v>44</v>
      </c>
      <c r="RF56" s="78" t="s">
        <v>28</v>
      </c>
      <c r="RG56" s="79" t="s">
        <v>29</v>
      </c>
      <c r="RH56" s="79" t="s">
        <v>30</v>
      </c>
      <c r="RI56" s="80"/>
      <c r="RJ56" s="81" t="s">
        <v>31</v>
      </c>
      <c r="RK56" s="80"/>
      <c r="RL56" s="81" t="s">
        <v>32</v>
      </c>
      <c r="RM56" s="80"/>
      <c r="RN56" s="81" t="s">
        <v>33</v>
      </c>
      <c r="RO56" s="80"/>
      <c r="RP56" s="82" t="s">
        <v>34</v>
      </c>
      <c r="RQ56" s="80"/>
      <c r="RR56" s="82" t="s">
        <v>35</v>
      </c>
      <c r="RS56" s="80"/>
      <c r="RT56" s="81" t="s">
        <v>36</v>
      </c>
      <c r="RU56" s="80"/>
      <c r="RV56" s="81" t="s">
        <v>37</v>
      </c>
      <c r="RW56" s="80"/>
      <c r="RX56" s="81" t="s">
        <v>38</v>
      </c>
      <c r="RY56" s="80"/>
      <c r="RZ56" s="81" t="s">
        <v>39</v>
      </c>
      <c r="SA56" s="80"/>
      <c r="SB56" s="81" t="s">
        <v>40</v>
      </c>
      <c r="SC56" s="80"/>
      <c r="SD56" s="81" t="s">
        <v>41</v>
      </c>
      <c r="SE56" s="80"/>
      <c r="SF56" s="83" t="s">
        <v>42</v>
      </c>
      <c r="SG56" s="84" t="s">
        <v>43</v>
      </c>
      <c r="SH56" s="85" t="s">
        <v>44</v>
      </c>
      <c r="SI56" s="78" t="s">
        <v>28</v>
      </c>
      <c r="SJ56" s="79" t="s">
        <v>29</v>
      </c>
      <c r="SK56" s="79" t="s">
        <v>30</v>
      </c>
      <c r="SL56" s="80"/>
      <c r="SM56" s="81" t="s">
        <v>31</v>
      </c>
      <c r="SN56" s="80"/>
      <c r="SO56" s="81" t="s">
        <v>32</v>
      </c>
      <c r="SP56" s="80"/>
      <c r="SQ56" s="81" t="s">
        <v>33</v>
      </c>
      <c r="SR56" s="80"/>
      <c r="SS56" s="82" t="s">
        <v>34</v>
      </c>
      <c r="ST56" s="80"/>
      <c r="SU56" s="82" t="s">
        <v>35</v>
      </c>
      <c r="SV56" s="80"/>
      <c r="SW56" s="81" t="s">
        <v>36</v>
      </c>
      <c r="SX56" s="80"/>
      <c r="SY56" s="81" t="s">
        <v>37</v>
      </c>
      <c r="SZ56" s="80"/>
      <c r="TA56" s="81" t="s">
        <v>38</v>
      </c>
      <c r="TB56" s="80"/>
      <c r="TC56" s="81" t="s">
        <v>39</v>
      </c>
      <c r="TD56" s="80"/>
      <c r="TE56" s="81" t="s">
        <v>40</v>
      </c>
      <c r="TF56" s="80"/>
      <c r="TG56" s="81" t="s">
        <v>41</v>
      </c>
      <c r="TH56" s="80"/>
      <c r="TI56" s="83" t="s">
        <v>42</v>
      </c>
      <c r="TJ56" s="84" t="s">
        <v>43</v>
      </c>
      <c r="TK56" s="85" t="s">
        <v>44</v>
      </c>
      <c r="TL56" s="78" t="s">
        <v>28</v>
      </c>
      <c r="TM56" s="79" t="s">
        <v>29</v>
      </c>
      <c r="TN56" s="79" t="s">
        <v>30</v>
      </c>
      <c r="TO56" s="80"/>
      <c r="TP56" s="81" t="s">
        <v>31</v>
      </c>
      <c r="TQ56" s="80"/>
      <c r="TR56" s="81" t="s">
        <v>32</v>
      </c>
      <c r="TS56" s="80"/>
      <c r="TT56" s="81" t="s">
        <v>33</v>
      </c>
      <c r="TU56" s="80"/>
      <c r="TV56" s="82" t="s">
        <v>34</v>
      </c>
      <c r="TW56" s="80"/>
      <c r="TX56" s="82" t="s">
        <v>35</v>
      </c>
      <c r="TY56" s="80"/>
      <c r="TZ56" s="81" t="s">
        <v>36</v>
      </c>
      <c r="UA56" s="80"/>
      <c r="UB56" s="81" t="s">
        <v>37</v>
      </c>
      <c r="UC56" s="80"/>
      <c r="UD56" s="81" t="s">
        <v>38</v>
      </c>
      <c r="UE56" s="80"/>
      <c r="UF56" s="81" t="s">
        <v>39</v>
      </c>
      <c r="UG56" s="80"/>
      <c r="UH56" s="81" t="s">
        <v>40</v>
      </c>
      <c r="UI56" s="80"/>
      <c r="UJ56" s="81" t="s">
        <v>41</v>
      </c>
      <c r="UK56" s="80"/>
      <c r="UL56" s="83" t="s">
        <v>42</v>
      </c>
      <c r="UM56" s="84" t="s">
        <v>43</v>
      </c>
      <c r="UN56" s="85" t="s">
        <v>44</v>
      </c>
      <c r="UO56" s="78" t="s">
        <v>28</v>
      </c>
      <c r="UP56" s="79" t="s">
        <v>29</v>
      </c>
      <c r="UQ56" s="81" t="s">
        <v>30</v>
      </c>
      <c r="UR56" s="80"/>
      <c r="US56" s="81" t="s">
        <v>31</v>
      </c>
      <c r="UT56" s="80"/>
      <c r="UU56" s="81" t="s">
        <v>32</v>
      </c>
      <c r="UV56" s="80"/>
      <c r="UW56" s="81" t="s">
        <v>33</v>
      </c>
      <c r="UX56" s="80"/>
      <c r="UY56" s="82" t="s">
        <v>34</v>
      </c>
      <c r="UZ56" s="80"/>
      <c r="VA56" s="82" t="s">
        <v>35</v>
      </c>
      <c r="VB56" s="80"/>
      <c r="VC56" s="81" t="s">
        <v>36</v>
      </c>
      <c r="VD56" s="80"/>
      <c r="VE56" s="81" t="s">
        <v>37</v>
      </c>
      <c r="VF56" s="80"/>
      <c r="VG56" s="81" t="s">
        <v>38</v>
      </c>
      <c r="VH56" s="80"/>
      <c r="VI56" s="81" t="s">
        <v>39</v>
      </c>
      <c r="VJ56" s="80"/>
      <c r="VK56" s="81" t="s">
        <v>40</v>
      </c>
      <c r="VL56" s="80"/>
      <c r="VM56" s="81" t="s">
        <v>41</v>
      </c>
      <c r="VN56" s="80"/>
      <c r="VO56" s="83" t="s">
        <v>42</v>
      </c>
      <c r="VP56" s="84" t="s">
        <v>43</v>
      </c>
      <c r="VQ56" s="85" t="s">
        <v>44</v>
      </c>
      <c r="VR56" s="78" t="s">
        <v>28</v>
      </c>
      <c r="VS56" s="79" t="s">
        <v>29</v>
      </c>
      <c r="VT56" s="79" t="s">
        <v>30</v>
      </c>
      <c r="VU56" s="80"/>
      <c r="VV56" s="81" t="s">
        <v>31</v>
      </c>
      <c r="VW56" s="80"/>
      <c r="VX56" s="81" t="s">
        <v>32</v>
      </c>
      <c r="VY56" s="80"/>
      <c r="VZ56" s="81" t="s">
        <v>33</v>
      </c>
      <c r="WA56" s="80"/>
      <c r="WB56" s="82" t="s">
        <v>34</v>
      </c>
      <c r="WC56" s="80"/>
      <c r="WD56" s="82" t="s">
        <v>35</v>
      </c>
      <c r="WE56" s="80"/>
      <c r="WF56" s="81" t="s">
        <v>36</v>
      </c>
      <c r="WG56" s="80"/>
      <c r="WH56" s="81" t="s">
        <v>37</v>
      </c>
      <c r="WI56" s="80"/>
      <c r="WJ56" s="81" t="s">
        <v>38</v>
      </c>
      <c r="WK56" s="80"/>
      <c r="WL56" s="81" t="s">
        <v>39</v>
      </c>
      <c r="WM56" s="80"/>
      <c r="WN56" s="81" t="s">
        <v>40</v>
      </c>
      <c r="WO56" s="80"/>
      <c r="WP56" s="81" t="s">
        <v>41</v>
      </c>
      <c r="WQ56" s="80"/>
      <c r="WR56" s="83" t="s">
        <v>42</v>
      </c>
      <c r="WS56" s="84" t="s">
        <v>43</v>
      </c>
      <c r="WT56" s="85" t="s">
        <v>44</v>
      </c>
      <c r="WU56" s="87" t="s">
        <v>45</v>
      </c>
      <c r="WV56" s="88" t="s">
        <v>46</v>
      </c>
      <c r="WW56" s="89" t="s">
        <v>47</v>
      </c>
      <c r="WX56" s="78" t="s">
        <v>28</v>
      </c>
      <c r="WY56" s="79" t="s">
        <v>29</v>
      </c>
      <c r="WZ56" s="79" t="s">
        <v>30</v>
      </c>
      <c r="XA56" s="80"/>
      <c r="XB56" s="81" t="s">
        <v>31</v>
      </c>
      <c r="XC56" s="80"/>
      <c r="XD56" s="81" t="s">
        <v>32</v>
      </c>
      <c r="XE56" s="80"/>
      <c r="XF56" s="81" t="s">
        <v>33</v>
      </c>
      <c r="XG56" s="80"/>
      <c r="XH56" s="82" t="s">
        <v>34</v>
      </c>
      <c r="XI56" s="80"/>
      <c r="XJ56" s="82" t="s">
        <v>35</v>
      </c>
      <c r="XK56" s="80"/>
      <c r="XL56" s="81" t="s">
        <v>36</v>
      </c>
      <c r="XM56" s="80"/>
      <c r="XN56" s="81" t="s">
        <v>37</v>
      </c>
      <c r="XO56" s="80"/>
      <c r="XP56" s="81" t="s">
        <v>38</v>
      </c>
      <c r="XQ56" s="80"/>
      <c r="XR56" s="81" t="s">
        <v>39</v>
      </c>
      <c r="XS56" s="80"/>
      <c r="XT56" s="81" t="s">
        <v>40</v>
      </c>
      <c r="XU56" s="80"/>
      <c r="XV56" s="81" t="s">
        <v>41</v>
      </c>
      <c r="XW56" s="80"/>
      <c r="XX56" s="83" t="s">
        <v>42</v>
      </c>
      <c r="XY56" s="84" t="s">
        <v>43</v>
      </c>
      <c r="XZ56" s="85" t="s">
        <v>44</v>
      </c>
      <c r="YA56" s="78" t="s">
        <v>28</v>
      </c>
      <c r="YB56" s="79" t="s">
        <v>29</v>
      </c>
      <c r="YC56" s="79" t="s">
        <v>30</v>
      </c>
      <c r="YD56" s="80"/>
      <c r="YE56" s="81" t="s">
        <v>31</v>
      </c>
      <c r="YF56" s="80"/>
      <c r="YG56" s="81" t="s">
        <v>32</v>
      </c>
      <c r="YH56" s="80"/>
      <c r="YI56" s="81" t="s">
        <v>33</v>
      </c>
      <c r="YJ56" s="80"/>
      <c r="YK56" s="82" t="s">
        <v>34</v>
      </c>
      <c r="YL56" s="80"/>
      <c r="YM56" s="82" t="s">
        <v>35</v>
      </c>
      <c r="YN56" s="80"/>
      <c r="YO56" s="81" t="s">
        <v>36</v>
      </c>
      <c r="YP56" s="80"/>
      <c r="YQ56" s="81" t="s">
        <v>37</v>
      </c>
      <c r="YR56" s="80"/>
      <c r="YS56" s="81" t="s">
        <v>38</v>
      </c>
      <c r="YT56" s="80"/>
      <c r="YU56" s="81" t="s">
        <v>39</v>
      </c>
      <c r="YV56" s="80"/>
      <c r="YW56" s="81" t="s">
        <v>40</v>
      </c>
      <c r="YX56" s="80"/>
      <c r="YY56" s="81" t="s">
        <v>41</v>
      </c>
      <c r="YZ56" s="80"/>
      <c r="ZA56" s="83" t="s">
        <v>42</v>
      </c>
      <c r="ZB56" s="84" t="s">
        <v>43</v>
      </c>
      <c r="ZC56" s="85" t="s">
        <v>44</v>
      </c>
      <c r="ZD56" s="78" t="s">
        <v>28</v>
      </c>
      <c r="ZE56" s="79" t="s">
        <v>29</v>
      </c>
      <c r="ZF56" s="79" t="s">
        <v>30</v>
      </c>
      <c r="ZG56" s="80"/>
      <c r="ZH56" s="81" t="s">
        <v>31</v>
      </c>
      <c r="ZI56" s="80"/>
      <c r="ZJ56" s="81" t="s">
        <v>32</v>
      </c>
      <c r="ZK56" s="80"/>
      <c r="ZL56" s="81" t="s">
        <v>33</v>
      </c>
      <c r="ZM56" s="80"/>
      <c r="ZN56" s="82" t="s">
        <v>34</v>
      </c>
      <c r="ZO56" s="80"/>
      <c r="ZP56" s="82" t="s">
        <v>35</v>
      </c>
      <c r="ZQ56" s="80"/>
      <c r="ZR56" s="81" t="s">
        <v>36</v>
      </c>
      <c r="ZS56" s="80"/>
      <c r="ZT56" s="81" t="s">
        <v>37</v>
      </c>
      <c r="ZU56" s="80"/>
      <c r="ZV56" s="81" t="s">
        <v>38</v>
      </c>
      <c r="ZW56" s="80"/>
      <c r="ZX56" s="81" t="s">
        <v>39</v>
      </c>
      <c r="ZY56" s="80"/>
      <c r="ZZ56" s="81" t="s">
        <v>40</v>
      </c>
      <c r="AAA56" s="80"/>
      <c r="AAB56" s="81" t="s">
        <v>41</v>
      </c>
      <c r="AAC56" s="80"/>
      <c r="AAD56" s="83" t="s">
        <v>42</v>
      </c>
      <c r="AAE56" s="84" t="s">
        <v>43</v>
      </c>
      <c r="AAF56" s="85" t="s">
        <v>44</v>
      </c>
      <c r="AAG56" s="78" t="s">
        <v>28</v>
      </c>
      <c r="AAH56" s="79" t="s">
        <v>29</v>
      </c>
      <c r="AAI56" s="79" t="s">
        <v>30</v>
      </c>
      <c r="AAJ56" s="80"/>
      <c r="AAK56" s="81" t="s">
        <v>31</v>
      </c>
      <c r="AAL56" s="80"/>
      <c r="AAM56" s="81" t="s">
        <v>32</v>
      </c>
      <c r="AAN56" s="80"/>
      <c r="AAO56" s="81" t="s">
        <v>33</v>
      </c>
      <c r="AAP56" s="80"/>
      <c r="AAQ56" s="82" t="s">
        <v>34</v>
      </c>
      <c r="AAR56" s="80"/>
      <c r="AAS56" s="82" t="s">
        <v>35</v>
      </c>
      <c r="AAT56" s="80"/>
      <c r="AAU56" s="81" t="s">
        <v>36</v>
      </c>
      <c r="AAV56" s="80"/>
      <c r="AAW56" s="81" t="s">
        <v>37</v>
      </c>
      <c r="AAX56" s="80"/>
      <c r="AAY56" s="81" t="s">
        <v>38</v>
      </c>
      <c r="AAZ56" s="80"/>
      <c r="ABA56" s="81" t="s">
        <v>39</v>
      </c>
      <c r="ABB56" s="80"/>
      <c r="ABC56" s="81" t="s">
        <v>40</v>
      </c>
      <c r="ABD56" s="80"/>
      <c r="ABE56" s="81" t="s">
        <v>41</v>
      </c>
      <c r="ABF56" s="80"/>
      <c r="ABG56" s="83" t="s">
        <v>42</v>
      </c>
      <c r="ABH56" s="84" t="s">
        <v>43</v>
      </c>
      <c r="ABI56" s="85" t="s">
        <v>44</v>
      </c>
      <c r="ABJ56" s="78" t="s">
        <v>28</v>
      </c>
      <c r="ABK56" s="79" t="s">
        <v>29</v>
      </c>
      <c r="ABL56" s="79" t="s">
        <v>30</v>
      </c>
      <c r="ABM56" s="80"/>
      <c r="ABN56" s="81" t="s">
        <v>31</v>
      </c>
      <c r="ABO56" s="80"/>
      <c r="ABP56" s="81" t="s">
        <v>32</v>
      </c>
      <c r="ABQ56" s="80"/>
      <c r="ABR56" s="81" t="s">
        <v>33</v>
      </c>
      <c r="ABS56" s="80"/>
      <c r="ABT56" s="82" t="s">
        <v>34</v>
      </c>
      <c r="ABU56" s="80"/>
      <c r="ABV56" s="82" t="s">
        <v>35</v>
      </c>
      <c r="ABW56" s="80"/>
      <c r="ABX56" s="81" t="s">
        <v>36</v>
      </c>
      <c r="ABY56" s="80"/>
      <c r="ABZ56" s="81" t="s">
        <v>37</v>
      </c>
      <c r="ACA56" s="80"/>
      <c r="ACB56" s="81" t="s">
        <v>38</v>
      </c>
      <c r="ACC56" s="80"/>
      <c r="ACD56" s="81" t="s">
        <v>39</v>
      </c>
      <c r="ACE56" s="80"/>
      <c r="ACF56" s="81" t="s">
        <v>40</v>
      </c>
      <c r="ACG56" s="80"/>
      <c r="ACH56" s="81" t="s">
        <v>41</v>
      </c>
      <c r="ACI56" s="80"/>
      <c r="ACJ56" s="83" t="s">
        <v>42</v>
      </c>
      <c r="ACK56" s="84" t="s">
        <v>43</v>
      </c>
      <c r="ACL56" s="85" t="s">
        <v>44</v>
      </c>
      <c r="ACM56" s="78" t="s">
        <v>28</v>
      </c>
      <c r="ACN56" s="79" t="s">
        <v>29</v>
      </c>
      <c r="ACO56" s="81" t="s">
        <v>30</v>
      </c>
      <c r="ACP56" s="80"/>
      <c r="ACQ56" s="81" t="s">
        <v>31</v>
      </c>
      <c r="ACR56" s="80"/>
      <c r="ACS56" s="81" t="s">
        <v>32</v>
      </c>
      <c r="ACT56" s="80"/>
      <c r="ACU56" s="81" t="s">
        <v>33</v>
      </c>
      <c r="ACV56" s="80"/>
      <c r="ACW56" s="82" t="s">
        <v>34</v>
      </c>
      <c r="ACX56" s="80"/>
      <c r="ACY56" s="82" t="s">
        <v>35</v>
      </c>
      <c r="ACZ56" s="80"/>
      <c r="ADA56" s="81" t="s">
        <v>36</v>
      </c>
      <c r="ADB56" s="80"/>
      <c r="ADC56" s="81" t="s">
        <v>37</v>
      </c>
      <c r="ADD56" s="80"/>
      <c r="ADE56" s="81" t="s">
        <v>38</v>
      </c>
      <c r="ADF56" s="80"/>
      <c r="ADG56" s="81" t="s">
        <v>39</v>
      </c>
      <c r="ADH56" s="80"/>
      <c r="ADI56" s="81" t="s">
        <v>40</v>
      </c>
      <c r="ADJ56" s="80"/>
      <c r="ADK56" s="81" t="s">
        <v>41</v>
      </c>
      <c r="ADL56" s="80"/>
      <c r="ADM56" s="83" t="s">
        <v>42</v>
      </c>
      <c r="ADN56" s="84" t="s">
        <v>43</v>
      </c>
      <c r="ADO56" s="85" t="s">
        <v>44</v>
      </c>
      <c r="ADP56" s="78" t="s">
        <v>28</v>
      </c>
      <c r="ADQ56" s="79" t="s">
        <v>29</v>
      </c>
      <c r="ADR56" s="79" t="s">
        <v>30</v>
      </c>
      <c r="ADS56" s="80"/>
      <c r="ADT56" s="81" t="s">
        <v>31</v>
      </c>
      <c r="ADU56" s="80"/>
      <c r="ADV56" s="81" t="s">
        <v>32</v>
      </c>
      <c r="ADW56" s="80"/>
      <c r="ADX56" s="81" t="s">
        <v>33</v>
      </c>
      <c r="ADY56" s="80"/>
      <c r="ADZ56" s="82" t="s">
        <v>34</v>
      </c>
      <c r="AEA56" s="80"/>
      <c r="AEB56" s="82" t="s">
        <v>35</v>
      </c>
      <c r="AEC56" s="80"/>
      <c r="AED56" s="81" t="s">
        <v>36</v>
      </c>
      <c r="AEE56" s="80"/>
      <c r="AEF56" s="81" t="s">
        <v>37</v>
      </c>
      <c r="AEG56" s="80"/>
      <c r="AEH56" s="81" t="s">
        <v>38</v>
      </c>
      <c r="AEI56" s="80"/>
      <c r="AEJ56" s="81" t="s">
        <v>39</v>
      </c>
      <c r="AEK56" s="80"/>
      <c r="AEL56" s="81" t="s">
        <v>40</v>
      </c>
      <c r="AEM56" s="80"/>
      <c r="AEN56" s="81" t="s">
        <v>41</v>
      </c>
      <c r="AEO56" s="80"/>
      <c r="AEP56" s="83" t="s">
        <v>42</v>
      </c>
      <c r="AEQ56" s="84" t="s">
        <v>43</v>
      </c>
      <c r="AER56" s="85" t="s">
        <v>44</v>
      </c>
      <c r="AES56" s="87" t="s">
        <v>45</v>
      </c>
      <c r="AET56" s="88" t="s">
        <v>46</v>
      </c>
      <c r="AEU56" s="89" t="s">
        <v>47</v>
      </c>
      <c r="AEV56" s="78" t="s">
        <v>28</v>
      </c>
      <c r="AEW56" s="79" t="s">
        <v>29</v>
      </c>
      <c r="AEX56" s="79" t="s">
        <v>30</v>
      </c>
      <c r="AEY56" s="80"/>
      <c r="AEZ56" s="81" t="s">
        <v>31</v>
      </c>
      <c r="AFA56" s="80"/>
      <c r="AFB56" s="81" t="s">
        <v>32</v>
      </c>
      <c r="AFC56" s="80"/>
      <c r="AFD56" s="81" t="s">
        <v>33</v>
      </c>
      <c r="AFE56" s="80"/>
      <c r="AFF56" s="82" t="s">
        <v>34</v>
      </c>
      <c r="AFG56" s="80"/>
      <c r="AFH56" s="82" t="s">
        <v>35</v>
      </c>
      <c r="AFI56" s="80"/>
      <c r="AFJ56" s="81" t="s">
        <v>36</v>
      </c>
      <c r="AFK56" s="80"/>
      <c r="AFL56" s="81" t="s">
        <v>37</v>
      </c>
      <c r="AFM56" s="80"/>
      <c r="AFN56" s="81" t="s">
        <v>38</v>
      </c>
      <c r="AFO56" s="80"/>
      <c r="AFP56" s="81" t="s">
        <v>39</v>
      </c>
      <c r="AFQ56" s="80"/>
      <c r="AFR56" s="81" t="s">
        <v>40</v>
      </c>
      <c r="AFS56" s="80"/>
      <c r="AFT56" s="81" t="s">
        <v>41</v>
      </c>
      <c r="AFU56" s="80"/>
      <c r="AFV56" s="83" t="s">
        <v>42</v>
      </c>
      <c r="AFW56" s="84" t="s">
        <v>43</v>
      </c>
      <c r="AFX56" s="85" t="s">
        <v>44</v>
      </c>
      <c r="AFY56" s="78" t="s">
        <v>28</v>
      </c>
      <c r="AFZ56" s="79" t="s">
        <v>29</v>
      </c>
      <c r="AGA56" s="79" t="s">
        <v>30</v>
      </c>
      <c r="AGB56" s="80"/>
      <c r="AGC56" s="81" t="s">
        <v>31</v>
      </c>
      <c r="AGD56" s="80"/>
      <c r="AGE56" s="81" t="s">
        <v>32</v>
      </c>
      <c r="AGF56" s="80"/>
      <c r="AGG56" s="81" t="s">
        <v>33</v>
      </c>
      <c r="AGH56" s="80"/>
      <c r="AGI56" s="82" t="s">
        <v>34</v>
      </c>
      <c r="AGJ56" s="80"/>
      <c r="AGK56" s="82" t="s">
        <v>35</v>
      </c>
      <c r="AGL56" s="80"/>
      <c r="AGM56" s="81" t="s">
        <v>36</v>
      </c>
      <c r="AGN56" s="80"/>
      <c r="AGO56" s="81" t="s">
        <v>37</v>
      </c>
      <c r="AGP56" s="80"/>
      <c r="AGQ56" s="81" t="s">
        <v>38</v>
      </c>
      <c r="AGR56" s="80"/>
      <c r="AGS56" s="81" t="s">
        <v>39</v>
      </c>
      <c r="AGT56" s="80"/>
      <c r="AGU56" s="81" t="s">
        <v>40</v>
      </c>
      <c r="AGV56" s="80"/>
      <c r="AGW56" s="81" t="s">
        <v>41</v>
      </c>
      <c r="AGX56" s="80"/>
      <c r="AGY56" s="83" t="s">
        <v>42</v>
      </c>
      <c r="AGZ56" s="84" t="s">
        <v>43</v>
      </c>
      <c r="AHA56" s="85" t="s">
        <v>44</v>
      </c>
      <c r="AHB56" s="78" t="s">
        <v>28</v>
      </c>
      <c r="AHC56" s="79" t="s">
        <v>29</v>
      </c>
      <c r="AHD56" s="79" t="s">
        <v>30</v>
      </c>
      <c r="AHE56" s="80"/>
      <c r="AHF56" s="81" t="s">
        <v>31</v>
      </c>
      <c r="AHG56" s="80"/>
      <c r="AHH56" s="81" t="s">
        <v>32</v>
      </c>
      <c r="AHI56" s="80"/>
      <c r="AHJ56" s="81" t="s">
        <v>33</v>
      </c>
      <c r="AHK56" s="80"/>
      <c r="AHL56" s="82" t="s">
        <v>34</v>
      </c>
      <c r="AHM56" s="80"/>
      <c r="AHN56" s="82" t="s">
        <v>35</v>
      </c>
      <c r="AHO56" s="80"/>
      <c r="AHP56" s="81" t="s">
        <v>36</v>
      </c>
      <c r="AHQ56" s="80"/>
      <c r="AHR56" s="81" t="s">
        <v>37</v>
      </c>
      <c r="AHS56" s="80"/>
      <c r="AHT56" s="81" t="s">
        <v>38</v>
      </c>
      <c r="AHU56" s="80"/>
      <c r="AHV56" s="81" t="s">
        <v>39</v>
      </c>
      <c r="AHW56" s="80"/>
      <c r="AHX56" s="81" t="s">
        <v>40</v>
      </c>
      <c r="AHY56" s="80"/>
      <c r="AHZ56" s="81" t="s">
        <v>41</v>
      </c>
      <c r="AIA56" s="80"/>
      <c r="AIB56" s="83" t="s">
        <v>42</v>
      </c>
      <c r="AIC56" s="84" t="s">
        <v>43</v>
      </c>
      <c r="AID56" s="85" t="s">
        <v>44</v>
      </c>
      <c r="AIE56" s="78" t="s">
        <v>28</v>
      </c>
      <c r="AIF56" s="79" t="s">
        <v>29</v>
      </c>
      <c r="AIG56" s="79" t="s">
        <v>30</v>
      </c>
      <c r="AIH56" s="80"/>
      <c r="AII56" s="81" t="s">
        <v>31</v>
      </c>
      <c r="AIJ56" s="80"/>
      <c r="AIK56" s="81" t="s">
        <v>32</v>
      </c>
      <c r="AIL56" s="80"/>
      <c r="AIM56" s="81" t="s">
        <v>33</v>
      </c>
      <c r="AIN56" s="80"/>
      <c r="AIO56" s="82" t="s">
        <v>34</v>
      </c>
      <c r="AIP56" s="80"/>
      <c r="AIQ56" s="82" t="s">
        <v>35</v>
      </c>
      <c r="AIR56" s="80"/>
      <c r="AIS56" s="81" t="s">
        <v>36</v>
      </c>
      <c r="AIT56" s="80"/>
      <c r="AIU56" s="81" t="s">
        <v>37</v>
      </c>
      <c r="AIV56" s="80"/>
      <c r="AIW56" s="81" t="s">
        <v>38</v>
      </c>
      <c r="AIX56" s="80"/>
      <c r="AIY56" s="81" t="s">
        <v>39</v>
      </c>
      <c r="AIZ56" s="80"/>
      <c r="AJA56" s="81" t="s">
        <v>40</v>
      </c>
      <c r="AJB56" s="80"/>
      <c r="AJC56" s="81" t="s">
        <v>41</v>
      </c>
      <c r="AJD56" s="80"/>
      <c r="AJE56" s="83" t="s">
        <v>42</v>
      </c>
      <c r="AJF56" s="84" t="s">
        <v>43</v>
      </c>
      <c r="AJG56" s="85" t="s">
        <v>44</v>
      </c>
      <c r="AJH56" s="78" t="s">
        <v>28</v>
      </c>
      <c r="AJI56" s="79" t="s">
        <v>29</v>
      </c>
      <c r="AJJ56" s="79" t="s">
        <v>30</v>
      </c>
      <c r="AJK56" s="80"/>
      <c r="AJL56" s="81" t="s">
        <v>31</v>
      </c>
      <c r="AJM56" s="80"/>
      <c r="AJN56" s="81" t="s">
        <v>32</v>
      </c>
      <c r="AJO56" s="80"/>
      <c r="AJP56" s="81" t="s">
        <v>33</v>
      </c>
      <c r="AJQ56" s="80"/>
      <c r="AJR56" s="82" t="s">
        <v>34</v>
      </c>
      <c r="AJS56" s="80"/>
      <c r="AJT56" s="82" t="s">
        <v>35</v>
      </c>
      <c r="AJU56" s="80"/>
      <c r="AJV56" s="81" t="s">
        <v>36</v>
      </c>
      <c r="AJW56" s="80"/>
      <c r="AJX56" s="81" t="s">
        <v>37</v>
      </c>
      <c r="AJY56" s="80"/>
      <c r="AJZ56" s="81" t="s">
        <v>38</v>
      </c>
      <c r="AKA56" s="80"/>
      <c r="AKB56" s="81" t="s">
        <v>39</v>
      </c>
      <c r="AKC56" s="80"/>
      <c r="AKD56" s="81" t="s">
        <v>40</v>
      </c>
      <c r="AKE56" s="80"/>
      <c r="AKF56" s="81" t="s">
        <v>41</v>
      </c>
      <c r="AKG56" s="80"/>
      <c r="AKH56" s="83" t="s">
        <v>42</v>
      </c>
      <c r="AKI56" s="84" t="s">
        <v>43</v>
      </c>
      <c r="AKJ56" s="85" t="s">
        <v>44</v>
      </c>
      <c r="AKK56" s="78" t="s">
        <v>28</v>
      </c>
      <c r="AKL56" s="79" t="s">
        <v>29</v>
      </c>
      <c r="AKM56" s="81" t="s">
        <v>30</v>
      </c>
      <c r="AKN56" s="80"/>
      <c r="AKO56" s="81" t="s">
        <v>31</v>
      </c>
      <c r="AKP56" s="80"/>
      <c r="AKQ56" s="81" t="s">
        <v>32</v>
      </c>
      <c r="AKR56" s="80"/>
      <c r="AKS56" s="81" t="s">
        <v>33</v>
      </c>
      <c r="AKT56" s="80"/>
      <c r="AKU56" s="82" t="s">
        <v>34</v>
      </c>
      <c r="AKV56" s="80"/>
      <c r="AKW56" s="82" t="s">
        <v>35</v>
      </c>
      <c r="AKX56" s="80"/>
      <c r="AKY56" s="81" t="s">
        <v>36</v>
      </c>
      <c r="AKZ56" s="80"/>
      <c r="ALA56" s="81" t="s">
        <v>37</v>
      </c>
      <c r="ALB56" s="80"/>
      <c r="ALC56" s="81" t="s">
        <v>38</v>
      </c>
      <c r="ALD56" s="80"/>
      <c r="ALE56" s="81" t="s">
        <v>39</v>
      </c>
      <c r="ALF56" s="80"/>
      <c r="ALG56" s="81" t="s">
        <v>40</v>
      </c>
      <c r="ALH56" s="80"/>
      <c r="ALI56" s="81" t="s">
        <v>41</v>
      </c>
      <c r="ALJ56" s="80"/>
      <c r="ALK56" s="83" t="s">
        <v>42</v>
      </c>
      <c r="ALL56" s="84" t="s">
        <v>43</v>
      </c>
      <c r="ALM56" s="85" t="s">
        <v>44</v>
      </c>
      <c r="ALN56" s="78" t="s">
        <v>28</v>
      </c>
      <c r="ALO56" s="79" t="s">
        <v>29</v>
      </c>
      <c r="ALP56" s="79" t="s">
        <v>30</v>
      </c>
      <c r="ALQ56" s="80"/>
      <c r="ALR56" s="81" t="s">
        <v>31</v>
      </c>
      <c r="ALS56" s="80"/>
      <c r="ALT56" s="81" t="s">
        <v>32</v>
      </c>
      <c r="ALU56" s="80"/>
      <c r="ALV56" s="81" t="s">
        <v>33</v>
      </c>
      <c r="ALW56" s="80"/>
      <c r="ALX56" s="82" t="s">
        <v>34</v>
      </c>
      <c r="ALY56" s="80"/>
      <c r="ALZ56" s="82" t="s">
        <v>35</v>
      </c>
      <c r="AMA56" s="80"/>
      <c r="AMB56" s="81" t="s">
        <v>36</v>
      </c>
      <c r="AMC56" s="80"/>
      <c r="AMD56" s="81" t="s">
        <v>37</v>
      </c>
      <c r="AME56" s="80"/>
      <c r="AMF56" s="81" t="s">
        <v>38</v>
      </c>
      <c r="AMG56" s="80"/>
      <c r="AMH56" s="81" t="s">
        <v>39</v>
      </c>
      <c r="AMI56" s="80"/>
      <c r="AMJ56" s="81" t="s">
        <v>40</v>
      </c>
      <c r="AMK56" s="80"/>
      <c r="AML56" s="81" t="s">
        <v>41</v>
      </c>
      <c r="AMM56" s="80"/>
      <c r="AMN56" s="83" t="s">
        <v>42</v>
      </c>
      <c r="AMO56" s="84" t="s">
        <v>43</v>
      </c>
      <c r="AMP56" s="85" t="s">
        <v>44</v>
      </c>
      <c r="AMQ56" s="87" t="s">
        <v>45</v>
      </c>
      <c r="AMR56" s="88" t="s">
        <v>46</v>
      </c>
      <c r="AMS56" s="89" t="s">
        <v>47</v>
      </c>
      <c r="AMT56" s="4"/>
      <c r="AMU56" s="4"/>
      <c r="AMV56" s="4"/>
      <c r="AMW56" s="4"/>
      <c r="AMX56" s="4"/>
      <c r="AMY56" s="4"/>
      <c r="AMZ56" s="4"/>
      <c r="ANA56" s="4"/>
      <c r="ANB56" s="4"/>
      <c r="ANC56" s="4"/>
      <c r="AND56" s="4"/>
      <c r="ANE56" s="4"/>
      <c r="ANF56" s="4"/>
      <c r="ANG56" s="4"/>
      <c r="ANH56" s="4"/>
      <c r="ANI56" s="4"/>
      <c r="ANJ56" s="4"/>
      <c r="ANK56" s="4"/>
      <c r="ANL56" s="4"/>
      <c r="ANM56" s="4"/>
      <c r="ANN56" s="4"/>
      <c r="ANO56" s="4"/>
      <c r="ANP56" s="4"/>
      <c r="ANQ56" s="4"/>
      <c r="ANR56" s="4"/>
      <c r="ANS56" s="4"/>
      <c r="ANT56" s="4"/>
      <c r="ANU56" s="4"/>
      <c r="ANV56" s="4"/>
      <c r="ANW56" s="4"/>
      <c r="ANX56" s="4"/>
      <c r="ANY56" s="4"/>
      <c r="ANZ56" s="4"/>
      <c r="AOA56" s="4"/>
      <c r="AOB56" s="4"/>
      <c r="AOC56" s="4"/>
      <c r="AOD56" s="4"/>
      <c r="AOE56" s="4"/>
      <c r="AOF56" s="4"/>
      <c r="AOG56" s="4"/>
      <c r="AOH56" s="4"/>
      <c r="AOI56" s="4"/>
      <c r="AOJ56" s="4"/>
      <c r="AOK56" s="4"/>
      <c r="AOL56" s="4"/>
      <c r="AOM56" s="4"/>
      <c r="AON56" s="4"/>
      <c r="AOO56" s="4"/>
      <c r="AOP56" s="4"/>
      <c r="AOQ56" s="4"/>
      <c r="AOR56" s="4"/>
      <c r="AOS56" s="4"/>
      <c r="AOT56" s="4"/>
      <c r="AOU56" s="4"/>
      <c r="AOV56" s="4"/>
      <c r="AOW56" s="4"/>
      <c r="AOX56" s="4"/>
      <c r="AOY56" s="4"/>
      <c r="AOZ56" s="4"/>
      <c r="APA56" s="4"/>
      <c r="APB56" s="4"/>
      <c r="APC56" s="4"/>
      <c r="APD56" s="4"/>
      <c r="APE56" s="4"/>
      <c r="APF56" s="4"/>
      <c r="APG56" s="4"/>
      <c r="APH56" s="4"/>
      <c r="API56" s="4"/>
      <c r="APJ56" s="4"/>
      <c r="APK56" s="4"/>
      <c r="APL56" s="4"/>
      <c r="APM56" s="4"/>
      <c r="APN56" s="4"/>
      <c r="APO56" s="4"/>
      <c r="APP56" s="4"/>
      <c r="APQ56" s="4"/>
      <c r="APR56" s="4"/>
      <c r="APS56" s="4"/>
      <c r="APT56" s="4"/>
      <c r="APU56" s="4"/>
      <c r="APV56" s="4"/>
      <c r="APW56" s="4"/>
      <c r="APX56" s="4"/>
      <c r="APY56" s="4"/>
      <c r="APZ56" s="4"/>
      <c r="AQA56" s="4"/>
      <c r="AQB56" s="4"/>
      <c r="AQC56" s="4"/>
      <c r="AQD56" s="4"/>
      <c r="AQE56" s="4"/>
      <c r="AQF56" s="4"/>
      <c r="AQG56" s="4"/>
      <c r="AQH56" s="4"/>
      <c r="AQI56" s="4"/>
      <c r="AQJ56" s="4"/>
      <c r="AQK56" s="4"/>
      <c r="AQL56" s="4"/>
      <c r="AQM56" s="4"/>
      <c r="AQN56" s="4"/>
      <c r="AQO56" s="4"/>
      <c r="AQP56" s="4"/>
      <c r="AQQ56" s="4"/>
      <c r="AQR56" s="4"/>
      <c r="AQS56" s="4"/>
      <c r="AQT56" s="4"/>
      <c r="AQU56" s="4"/>
      <c r="AQV56" s="4"/>
      <c r="AQW56" s="4"/>
      <c r="AQX56" s="4"/>
      <c r="AQY56" s="4"/>
      <c r="AQZ56" s="4"/>
      <c r="ARA56" s="4"/>
      <c r="ARB56" s="4"/>
      <c r="ARC56" s="4"/>
      <c r="ARD56" s="4"/>
      <c r="ARE56" s="4"/>
      <c r="ARF56" s="4"/>
      <c r="ARG56" s="4"/>
      <c r="ARH56" s="4"/>
      <c r="ARI56" s="4"/>
      <c r="ARJ56" s="4"/>
      <c r="ARK56" s="4"/>
      <c r="ARL56" s="4"/>
      <c r="ARM56" s="4"/>
      <c r="ARN56" s="4"/>
      <c r="ARO56" s="4"/>
      <c r="ARP56" s="4"/>
      <c r="ARQ56" s="4"/>
      <c r="ARR56" s="4"/>
      <c r="ARS56" s="4"/>
      <c r="ART56" s="4"/>
      <c r="ARU56" s="4"/>
      <c r="ARV56" s="4"/>
      <c r="ARW56" s="4"/>
      <c r="ARX56" s="4"/>
      <c r="ARY56" s="4"/>
      <c r="ARZ56" s="4"/>
      <c r="ASA56" s="4"/>
      <c r="ASB56" s="4"/>
      <c r="ASC56" s="4"/>
      <c r="ASD56" s="4"/>
      <c r="ASE56" s="4"/>
      <c r="ASF56" s="4"/>
      <c r="ASG56" s="4"/>
      <c r="ASH56" s="4"/>
      <c r="ASI56" s="4"/>
      <c r="ASJ56" s="4"/>
      <c r="ASK56" s="4"/>
      <c r="ASL56" s="4"/>
      <c r="ASM56" s="4"/>
      <c r="ASN56" s="4"/>
      <c r="ASO56" s="4"/>
      <c r="ASP56" s="4"/>
      <c r="ASQ56" s="4"/>
      <c r="ASR56" s="4"/>
      <c r="ASS56" s="4"/>
      <c r="AST56" s="4"/>
      <c r="ASU56" s="4"/>
    </row>
    <row r="57" ht="15" customHeight="1" spans="1:1191" x14ac:dyDescent="0.25">
      <c r="A57" s="366" t="s">
        <v>93</v>
      </c>
      <c r="B57" s="367" t="s">
        <v>94</v>
      </c>
      <c r="C57" s="289" t="s">
        <v>55</v>
      </c>
      <c r="D57" s="121"/>
      <c r="E57" s="122"/>
      <c r="F57" s="292"/>
      <c r="G57" s="196"/>
      <c r="H57" s="196"/>
      <c r="I57" s="196"/>
      <c r="J57" s="196"/>
      <c r="K57" s="196"/>
      <c r="L57" s="196"/>
      <c r="M57" s="195"/>
      <c r="N57" s="197"/>
      <c r="O57" s="196"/>
      <c r="P57" s="196"/>
      <c r="Q57" s="198"/>
      <c r="R57" s="292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5"/>
      <c r="AD57" s="122"/>
      <c r="AE57" s="194"/>
      <c r="AF57" s="130">
        <f>SUM(D57:AE57)</f>
      </c>
      <c r="AG57" s="121"/>
      <c r="AH57" s="122"/>
      <c r="AI57" s="292"/>
      <c r="AJ57" s="196"/>
      <c r="AK57" s="196"/>
      <c r="AL57" s="196"/>
      <c r="AM57" s="196"/>
      <c r="AN57" s="196"/>
      <c r="AO57" s="196"/>
      <c r="AP57" s="195"/>
      <c r="AQ57" s="197"/>
      <c r="AR57" s="196"/>
      <c r="AS57" s="196"/>
      <c r="AT57" s="198"/>
      <c r="AU57" s="292"/>
      <c r="AV57" s="196"/>
      <c r="AW57" s="196"/>
      <c r="AX57" s="196"/>
      <c r="AY57" s="196"/>
      <c r="AZ57" s="196"/>
      <c r="BA57" s="196"/>
      <c r="BB57" s="196"/>
      <c r="BC57" s="196"/>
      <c r="BD57" s="196"/>
      <c r="BE57" s="196"/>
      <c r="BF57" s="195"/>
      <c r="BG57" s="122"/>
      <c r="BH57" s="194"/>
      <c r="BI57" s="368">
        <f>SUM(AG57:BH57)</f>
      </c>
      <c r="BJ57" s="121"/>
      <c r="BK57" s="122"/>
      <c r="BL57" s="292"/>
      <c r="BM57" s="196"/>
      <c r="BN57" s="196"/>
      <c r="BO57" s="196"/>
      <c r="BP57" s="196"/>
      <c r="BQ57" s="196"/>
      <c r="BR57" s="196"/>
      <c r="BS57" s="195"/>
      <c r="BT57" s="197"/>
      <c r="BU57" s="196"/>
      <c r="BV57" s="196"/>
      <c r="BW57" s="198"/>
      <c r="BX57" s="292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5"/>
      <c r="CJ57" s="122"/>
      <c r="CK57" s="194"/>
      <c r="CL57" s="130">
        <f>SUM(BJ57:CK57)</f>
      </c>
      <c r="CM57" s="121"/>
      <c r="CN57" s="122"/>
      <c r="CO57" s="292"/>
      <c r="CP57" s="196"/>
      <c r="CQ57" s="196"/>
      <c r="CR57" s="196"/>
      <c r="CS57" s="196"/>
      <c r="CT57" s="196"/>
      <c r="CU57" s="196"/>
      <c r="CV57" s="195"/>
      <c r="CW57" s="197"/>
      <c r="CX57" s="196"/>
      <c r="CY57" s="196"/>
      <c r="CZ57" s="198"/>
      <c r="DA57" s="292"/>
      <c r="DB57" s="196"/>
      <c r="DC57" s="196"/>
      <c r="DD57" s="196"/>
      <c r="DE57" s="196"/>
      <c r="DF57" s="196"/>
      <c r="DG57" s="196"/>
      <c r="DH57" s="196"/>
      <c r="DI57" s="196"/>
      <c r="DJ57" s="196"/>
      <c r="DK57" s="196"/>
      <c r="DL57" s="195"/>
      <c r="DM57" s="122"/>
      <c r="DN57" s="194"/>
      <c r="DO57" s="130">
        <f>SUM(CM57:DN57)</f>
      </c>
      <c r="DP57" s="121"/>
      <c r="DQ57" s="122"/>
      <c r="DR57" s="292"/>
      <c r="DS57" s="196"/>
      <c r="DT57" s="196"/>
      <c r="DU57" s="196"/>
      <c r="DV57" s="196"/>
      <c r="DW57" s="196"/>
      <c r="DX57" s="196"/>
      <c r="DY57" s="195"/>
      <c r="DZ57" s="197"/>
      <c r="EA57" s="196"/>
      <c r="EB57" s="196"/>
      <c r="EC57" s="198"/>
      <c r="ED57" s="292"/>
      <c r="EE57" s="196"/>
      <c r="EF57" s="196"/>
      <c r="EG57" s="196"/>
      <c r="EH57" s="196"/>
      <c r="EI57" s="196"/>
      <c r="EJ57" s="196"/>
      <c r="EK57" s="196"/>
      <c r="EL57" s="196"/>
      <c r="EM57" s="196"/>
      <c r="EN57" s="196"/>
      <c r="EO57" s="195"/>
      <c r="EP57" s="122"/>
      <c r="EQ57" s="194"/>
      <c r="ER57" s="130">
        <f>SUM(DP57:EQ57)</f>
      </c>
      <c r="ES57" s="121"/>
      <c r="ET57" s="122"/>
      <c r="EU57" s="292"/>
      <c r="EV57" s="196"/>
      <c r="EW57" s="196"/>
      <c r="EX57" s="196"/>
      <c r="EY57" s="196"/>
      <c r="EZ57" s="196"/>
      <c r="FA57" s="196"/>
      <c r="FB57" s="195"/>
      <c r="FC57" s="197"/>
      <c r="FD57" s="196"/>
      <c r="FE57" s="196"/>
      <c r="FF57" s="198"/>
      <c r="FG57" s="292"/>
      <c r="FH57" s="196"/>
      <c r="FI57" s="196"/>
      <c r="FJ57" s="196"/>
      <c r="FK57" s="196"/>
      <c r="FL57" s="196"/>
      <c r="FM57" s="196"/>
      <c r="FN57" s="196"/>
      <c r="FO57" s="196"/>
      <c r="FP57" s="196"/>
      <c r="FQ57" s="196"/>
      <c r="FR57" s="195"/>
      <c r="FS57" s="122"/>
      <c r="FT57" s="194"/>
      <c r="FU57" s="130">
        <f>SUM(ES57:FT57)</f>
      </c>
      <c r="FV57" s="121"/>
      <c r="FW57" s="122"/>
      <c r="FX57" s="292"/>
      <c r="FY57" s="196"/>
      <c r="FZ57" s="196"/>
      <c r="GA57" s="196"/>
      <c r="GB57" s="196"/>
      <c r="GC57" s="196"/>
      <c r="GD57" s="196"/>
      <c r="GE57" s="195"/>
      <c r="GF57" s="197"/>
      <c r="GG57" s="196"/>
      <c r="GH57" s="196"/>
      <c r="GI57" s="198"/>
      <c r="GJ57" s="292"/>
      <c r="GK57" s="196"/>
      <c r="GL57" s="196"/>
      <c r="GM57" s="196"/>
      <c r="GN57" s="196"/>
      <c r="GO57" s="196"/>
      <c r="GP57" s="196"/>
      <c r="GQ57" s="196"/>
      <c r="GR57" s="196"/>
      <c r="GS57" s="196"/>
      <c r="GT57" s="196"/>
      <c r="GU57" s="195"/>
      <c r="GV57" s="122"/>
      <c r="GW57" s="194"/>
      <c r="GX57" s="130">
        <f>SUM(FV57:GW57)</f>
      </c>
      <c r="GY57" s="132">
        <f>AF57+BI57+CL57+DO57+ER57+FU57+GX57</f>
      </c>
      <c r="GZ57" s="133">
        <f>(COUNTIF(D57:GX57,"H")+COUNTIF(D57:GX57,"S")+COUNTIF(D57:GX57,"L")+COUNTIF(D57:GX57,"E")+COUNTIF(D57:GX57,"C"))/2</f>
      </c>
      <c r="HA57" s="130">
        <f>GY57+GZ57</f>
      </c>
      <c r="HB57" s="134"/>
      <c r="HC57" s="135"/>
      <c r="HD57" s="295"/>
      <c r="HE57" s="369" t="s">
        <v>9</v>
      </c>
      <c r="HF57" s="369" t="s">
        <v>9</v>
      </c>
      <c r="HG57" s="369" t="s">
        <v>9</v>
      </c>
      <c r="HH57" s="369" t="s">
        <v>9</v>
      </c>
      <c r="HI57" s="369" t="s">
        <v>9</v>
      </c>
      <c r="HJ57" s="369" t="s">
        <v>9</v>
      </c>
      <c r="HK57" s="370" t="s">
        <v>9</v>
      </c>
      <c r="HL57" s="371" t="s">
        <v>9</v>
      </c>
      <c r="HM57" s="207"/>
      <c r="HN57" s="207"/>
      <c r="HO57" s="372" t="s">
        <v>9</v>
      </c>
      <c r="HP57" s="373" t="s">
        <v>9</v>
      </c>
      <c r="HQ57" s="369" t="s">
        <v>9</v>
      </c>
      <c r="HR57" s="369" t="s">
        <v>9</v>
      </c>
      <c r="HS57" s="369" t="s">
        <v>9</v>
      </c>
      <c r="HT57" s="369" t="s">
        <v>9</v>
      </c>
      <c r="HU57" s="369" t="s">
        <v>9</v>
      </c>
      <c r="HV57" s="369" t="s">
        <v>9</v>
      </c>
      <c r="HW57" s="207"/>
      <c r="HX57" s="207"/>
      <c r="HY57" s="207"/>
      <c r="HZ57" s="207"/>
      <c r="IA57" s="202"/>
      <c r="IB57" s="135"/>
      <c r="IC57" s="201"/>
      <c r="ID57" s="130">
        <f>SUM(HB57:IC57)</f>
      </c>
      <c r="IE57" s="374"/>
      <c r="IF57" s="375"/>
      <c r="IG57" s="376"/>
      <c r="IH57" s="15">
        <v>0.5</v>
      </c>
      <c r="II57" s="15">
        <v>0.5</v>
      </c>
      <c r="IJ57" s="15">
        <v>0.5</v>
      </c>
      <c r="IK57" s="15">
        <v>0.5</v>
      </c>
      <c r="IL57" s="15">
        <v>0.5</v>
      </c>
      <c r="IM57" s="15">
        <v>0.5</v>
      </c>
      <c r="IN57" s="211">
        <v>0.5</v>
      </c>
      <c r="IO57" s="377"/>
      <c r="IP57" s="15"/>
      <c r="IQ57" s="15">
        <v>0.5</v>
      </c>
      <c r="IR57" s="378">
        <v>0.5</v>
      </c>
      <c r="IS57" s="377">
        <v>0.5</v>
      </c>
      <c r="IT57" s="15">
        <v>0.5</v>
      </c>
      <c r="IU57" s="15">
        <v>0.5</v>
      </c>
      <c r="IV57" s="15">
        <v>0.5</v>
      </c>
      <c r="IW57" s="15">
        <v>0.5</v>
      </c>
      <c r="IX57" s="15">
        <v>0.5</v>
      </c>
      <c r="IY57" s="15">
        <v>0.5</v>
      </c>
      <c r="IZ57" s="15"/>
      <c r="JA57" s="15"/>
      <c r="JB57" s="15"/>
      <c r="JC57" s="15"/>
      <c r="JD57" s="379"/>
      <c r="JE57" s="375"/>
      <c r="JF57" s="380"/>
      <c r="JG57" s="130">
        <f>SUM(IE57:JF57)</f>
      </c>
      <c r="JH57" s="374"/>
      <c r="JI57" s="375"/>
      <c r="JJ57" s="376"/>
      <c r="JK57" s="15">
        <v>0.5</v>
      </c>
      <c r="JL57" s="15">
        <v>0.5</v>
      </c>
      <c r="JM57" s="15">
        <v>0.5</v>
      </c>
      <c r="JN57" s="15">
        <v>0.5</v>
      </c>
      <c r="JO57" s="15">
        <v>0.5</v>
      </c>
      <c r="JP57" s="15">
        <v>0.5</v>
      </c>
      <c r="JQ57" s="211">
        <v>0.5</v>
      </c>
      <c r="JR57" s="377"/>
      <c r="JS57" s="15"/>
      <c r="JT57" s="15">
        <v>0.5</v>
      </c>
      <c r="JU57" s="378">
        <v>0.5</v>
      </c>
      <c r="JV57" s="377">
        <v>0.5</v>
      </c>
      <c r="JW57" s="15">
        <v>0.5</v>
      </c>
      <c r="JX57" s="15">
        <v>0.5</v>
      </c>
      <c r="JY57" s="15">
        <v>0.5</v>
      </c>
      <c r="JZ57" s="15">
        <v>0.5</v>
      </c>
      <c r="KA57" s="15">
        <v>0.5</v>
      </c>
      <c r="KB57" s="15">
        <v>0.5</v>
      </c>
      <c r="KC57" s="15"/>
      <c r="KD57" s="15"/>
      <c r="KE57" s="15"/>
      <c r="KF57" s="15"/>
      <c r="KG57" s="379"/>
      <c r="KH57" s="375"/>
      <c r="KI57" s="380"/>
      <c r="KJ57" s="130">
        <f>SUM(JH57:KI57)</f>
      </c>
      <c r="KK57" s="374"/>
      <c r="KL57" s="375"/>
      <c r="KM57" s="376"/>
      <c r="KN57" s="15">
        <v>0.5</v>
      </c>
      <c r="KO57" s="15">
        <v>0.5</v>
      </c>
      <c r="KP57" s="15">
        <v>0.5</v>
      </c>
      <c r="KQ57" s="15">
        <v>0.5</v>
      </c>
      <c r="KR57" s="15">
        <v>0.5</v>
      </c>
      <c r="KS57" s="15">
        <v>0.5</v>
      </c>
      <c r="KT57" s="211">
        <v>0.5</v>
      </c>
      <c r="KU57" s="377"/>
      <c r="KV57" s="15"/>
      <c r="KW57" s="15">
        <v>0.5</v>
      </c>
      <c r="KX57" s="378">
        <v>0.5</v>
      </c>
      <c r="KY57" s="377">
        <v>0.5</v>
      </c>
      <c r="KZ57" s="15">
        <v>0.5</v>
      </c>
      <c r="LA57" s="15">
        <v>0.5</v>
      </c>
      <c r="LB57" s="15">
        <v>0.5</v>
      </c>
      <c r="LC57" s="15">
        <v>0.5</v>
      </c>
      <c r="LD57" s="15">
        <v>0.5</v>
      </c>
      <c r="LE57" s="15">
        <v>0.5</v>
      </c>
      <c r="LF57" s="15"/>
      <c r="LG57" s="15"/>
      <c r="LH57" s="15"/>
      <c r="LI57" s="15"/>
      <c r="LJ57" s="379"/>
      <c r="LK57" s="375"/>
      <c r="LL57" s="380"/>
      <c r="LM57" s="130">
        <f>SUM(KK57:LL57)</f>
      </c>
      <c r="LN57" s="374"/>
      <c r="LO57" s="375"/>
      <c r="LP57" s="376"/>
      <c r="LQ57" s="15">
        <v>0.5</v>
      </c>
      <c r="LR57" s="15">
        <v>0.5</v>
      </c>
      <c r="LS57" s="15">
        <v>0.5</v>
      </c>
      <c r="LT57" s="15">
        <v>0.5</v>
      </c>
      <c r="LU57" s="15">
        <v>0.5</v>
      </c>
      <c r="LV57" s="15">
        <v>0.5</v>
      </c>
      <c r="LW57" s="211">
        <v>0.5</v>
      </c>
      <c r="LX57" s="377"/>
      <c r="LY57" s="15"/>
      <c r="LZ57" s="15">
        <v>0.5</v>
      </c>
      <c r="MA57" s="378">
        <v>0.5</v>
      </c>
      <c r="MB57" s="377">
        <v>0.5</v>
      </c>
      <c r="MC57" s="15">
        <v>0.5</v>
      </c>
      <c r="MD57" s="15">
        <v>0.5</v>
      </c>
      <c r="ME57" s="15">
        <v>0.5</v>
      </c>
      <c r="MF57" s="15">
        <v>0.5</v>
      </c>
      <c r="MG57" s="15">
        <v>0.5</v>
      </c>
      <c r="MH57" s="15">
        <v>0.5</v>
      </c>
      <c r="MI57" s="15"/>
      <c r="MJ57" s="15"/>
      <c r="MK57" s="15"/>
      <c r="ML57" s="15"/>
      <c r="MM57" s="379"/>
      <c r="MN57" s="375"/>
      <c r="MO57" s="380"/>
      <c r="MP57" s="130">
        <f>SUM(LN57:MO57)</f>
      </c>
      <c r="MQ57" s="121"/>
      <c r="MR57" s="122"/>
      <c r="MS57" s="292"/>
      <c r="MT57" s="196"/>
      <c r="MU57" s="196"/>
      <c r="MV57" s="196"/>
      <c r="MW57" s="196"/>
      <c r="MX57" s="196"/>
      <c r="MY57" s="196"/>
      <c r="MZ57" s="195"/>
      <c r="NA57" s="197"/>
      <c r="NB57" s="196"/>
      <c r="NC57" s="196"/>
      <c r="ND57" s="198"/>
      <c r="NE57" s="292"/>
      <c r="NF57" s="196"/>
      <c r="NG57" s="196"/>
      <c r="NH57" s="196"/>
      <c r="NI57" s="196"/>
      <c r="NJ57" s="196"/>
      <c r="NK57" s="196"/>
      <c r="NL57" s="196"/>
      <c r="NM57" s="196"/>
      <c r="NN57" s="196"/>
      <c r="NO57" s="196"/>
      <c r="NP57" s="195"/>
      <c r="NQ57" s="122"/>
      <c r="NR57" s="194"/>
      <c r="NS57" s="130">
        <f>SUM(MQ57:NR57)</f>
      </c>
      <c r="NT57" s="121"/>
      <c r="NU57" s="122"/>
      <c r="NV57" s="292"/>
      <c r="NW57" s="196"/>
      <c r="NX57" s="196"/>
      <c r="NY57" s="196"/>
      <c r="NZ57" s="196"/>
      <c r="OA57" s="196"/>
      <c r="OB57" s="196"/>
      <c r="OC57" s="195"/>
      <c r="OD57" s="197"/>
      <c r="OE57" s="196"/>
      <c r="OF57" s="196"/>
      <c r="OG57" s="198"/>
      <c r="OH57" s="292"/>
      <c r="OI57" s="196"/>
      <c r="OJ57" s="196"/>
      <c r="OK57" s="196"/>
      <c r="OL57" s="196"/>
      <c r="OM57" s="196"/>
      <c r="ON57" s="196"/>
      <c r="OO57" s="196"/>
      <c r="OP57" s="196"/>
      <c r="OQ57" s="196"/>
      <c r="OR57" s="196"/>
      <c r="OS57" s="195"/>
      <c r="OT57" s="122"/>
      <c r="OU57" s="194"/>
      <c r="OV57" s="130">
        <f>SUM(NT57:OU57)</f>
      </c>
      <c r="OW57" s="132">
        <f>ID57+JG57+KJ57+LM57+MP57+NS57+OV57</f>
      </c>
      <c r="OX57" s="133">
        <f>(COUNTIF(HB57:OV57,"H")+COUNTIF(HB57:OV57,"S")+COUNTIF(HB57:OV57,"L")+COUNTIF(HB57:OV57,"E")+COUNTIF(HB57:OV57,"C"))/2</f>
      </c>
      <c r="OY57" s="130">
        <f>OW57+OX57</f>
      </c>
      <c r="OZ57" s="374"/>
      <c r="PA57" s="375"/>
      <c r="PB57" s="376"/>
      <c r="PC57" s="377"/>
      <c r="PD57" s="377"/>
      <c r="PE57" s="377">
        <v>0.5</v>
      </c>
      <c r="PF57" s="377">
        <v>0.5</v>
      </c>
      <c r="PG57" s="377">
        <v>0.5</v>
      </c>
      <c r="PH57" s="377">
        <v>0.5</v>
      </c>
      <c r="PI57" s="377">
        <v>0.5</v>
      </c>
      <c r="PJ57" s="377">
        <v>0.5</v>
      </c>
      <c r="PK57" s="15">
        <v>0.5</v>
      </c>
      <c r="PL57" s="15"/>
      <c r="PM57" s="378"/>
      <c r="PN57" s="377">
        <v>0.5</v>
      </c>
      <c r="PO57" s="15">
        <v>0.5</v>
      </c>
      <c r="PP57" s="15">
        <v>0.5</v>
      </c>
      <c r="PQ57" s="15">
        <v>0.5</v>
      </c>
      <c r="PR57" s="15">
        <v>0.5</v>
      </c>
      <c r="PS57" s="15">
        <v>0.5</v>
      </c>
      <c r="PT57" s="15">
        <v>0.5</v>
      </c>
      <c r="PU57" s="15">
        <v>0.5</v>
      </c>
      <c r="PV57" s="15">
        <v>0.5</v>
      </c>
      <c r="PW57" s="15"/>
      <c r="PX57" s="15"/>
      <c r="PY57" s="379"/>
      <c r="PZ57" s="375"/>
      <c r="QA57" s="380"/>
      <c r="QB57" s="130">
        <f>SUM(OZ57:QA57)</f>
      </c>
      <c r="QC57" s="134"/>
      <c r="QD57" s="135"/>
      <c r="QE57" s="295"/>
      <c r="QF57" s="377" t="s">
        <v>4</v>
      </c>
      <c r="QG57" s="377" t="s">
        <v>4</v>
      </c>
      <c r="QH57" s="377" t="s">
        <v>4</v>
      </c>
      <c r="QI57" s="377" t="s">
        <v>4</v>
      </c>
      <c r="QJ57" s="377" t="s">
        <v>4</v>
      </c>
      <c r="QK57" s="377" t="s">
        <v>4</v>
      </c>
      <c r="QL57" s="377" t="s">
        <v>4</v>
      </c>
      <c r="QM57" s="381" t="s">
        <v>4</v>
      </c>
      <c r="QN57" s="207"/>
      <c r="QO57" s="207"/>
      <c r="QP57" s="382" t="s">
        <v>4</v>
      </c>
      <c r="QQ57" s="383" t="s">
        <v>4</v>
      </c>
      <c r="QR57" s="377" t="s">
        <v>4</v>
      </c>
      <c r="QS57" s="377" t="s">
        <v>4</v>
      </c>
      <c r="QT57" s="377" t="s">
        <v>4</v>
      </c>
      <c r="QU57" s="377" t="s">
        <v>4</v>
      </c>
      <c r="QV57" s="377" t="s">
        <v>4</v>
      </c>
      <c r="QW57" s="377" t="s">
        <v>4</v>
      </c>
      <c r="QX57" s="207"/>
      <c r="QY57" s="207"/>
      <c r="QZ57" s="207"/>
      <c r="RA57" s="207"/>
      <c r="RB57" s="202"/>
      <c r="RC57" s="135"/>
      <c r="RD57" s="201"/>
      <c r="RE57" s="130">
        <f>SUM(QC57:RD57)</f>
      </c>
      <c r="RF57" s="374"/>
      <c r="RG57" s="375"/>
      <c r="RH57" s="376"/>
      <c r="RI57" s="377" t="s">
        <v>4</v>
      </c>
      <c r="RJ57" s="377" t="s">
        <v>4</v>
      </c>
      <c r="RK57" s="377" t="s">
        <v>4</v>
      </c>
      <c r="RL57" s="377" t="s">
        <v>4</v>
      </c>
      <c r="RM57" s="377" t="s">
        <v>4</v>
      </c>
      <c r="RN57" s="377" t="s">
        <v>4</v>
      </c>
      <c r="RO57" s="377" t="s">
        <v>4</v>
      </c>
      <c r="RP57" s="377"/>
      <c r="RQ57" s="15"/>
      <c r="RR57" s="15">
        <v>0.5</v>
      </c>
      <c r="RS57" s="378">
        <v>0.5</v>
      </c>
      <c r="RT57" s="377">
        <v>0.5</v>
      </c>
      <c r="RU57" s="15">
        <v>0.5</v>
      </c>
      <c r="RV57" s="15">
        <v>0.5</v>
      </c>
      <c r="RW57" s="15">
        <v>0.5</v>
      </c>
      <c r="RX57" s="15">
        <v>0.5</v>
      </c>
      <c r="RY57" s="15">
        <v>0.5</v>
      </c>
      <c r="RZ57" s="15">
        <v>0.5</v>
      </c>
      <c r="SA57" s="15"/>
      <c r="SB57" s="15"/>
      <c r="SC57" s="15"/>
      <c r="SD57" s="15"/>
      <c r="SE57" s="379"/>
      <c r="SF57" s="375"/>
      <c r="SG57" s="380"/>
      <c r="SH57" s="130">
        <f>SUM(RF57:SG57)</f>
      </c>
      <c r="SI57" s="374"/>
      <c r="SJ57" s="375"/>
      <c r="SK57" s="376"/>
      <c r="SL57" s="15">
        <v>0.5</v>
      </c>
      <c r="SM57" s="15">
        <v>0.5</v>
      </c>
      <c r="SN57" s="15">
        <v>0.5</v>
      </c>
      <c r="SO57" s="15">
        <v>0.5</v>
      </c>
      <c r="SP57" s="15">
        <v>0.5</v>
      </c>
      <c r="SQ57" s="15">
        <v>0.5</v>
      </c>
      <c r="SR57" s="211">
        <v>0.5</v>
      </c>
      <c r="SS57" s="377"/>
      <c r="ST57" s="15"/>
      <c r="SU57" s="15">
        <v>0.5</v>
      </c>
      <c r="SV57" s="378">
        <v>0.5</v>
      </c>
      <c r="SW57" s="377">
        <v>0.5</v>
      </c>
      <c r="SX57" s="15">
        <v>0.5</v>
      </c>
      <c r="SY57" s="15">
        <v>0.5</v>
      </c>
      <c r="SZ57" s="15">
        <v>0.5</v>
      </c>
      <c r="TA57" s="15">
        <v>0.5</v>
      </c>
      <c r="TB57" s="15">
        <v>0.5</v>
      </c>
      <c r="TC57" s="15">
        <v>0.5</v>
      </c>
      <c r="TD57" s="15"/>
      <c r="TE57" s="15"/>
      <c r="TF57" s="15"/>
      <c r="TG57" s="15"/>
      <c r="TH57" s="379"/>
      <c r="TI57" s="375"/>
      <c r="TJ57" s="380"/>
      <c r="TK57" s="130">
        <f>SUM(SI57:TJ57)</f>
      </c>
      <c r="TL57" s="374"/>
      <c r="TM57" s="375"/>
      <c r="TN57" s="376"/>
      <c r="TO57" s="15">
        <v>0.5</v>
      </c>
      <c r="TP57" s="15">
        <v>0.5</v>
      </c>
      <c r="TQ57" s="15">
        <v>0.5</v>
      </c>
      <c r="TR57" s="15">
        <v>0.5</v>
      </c>
      <c r="TS57" s="15">
        <v>0.5</v>
      </c>
      <c r="TT57" s="15">
        <v>0.5</v>
      </c>
      <c r="TU57" s="211">
        <v>0.5</v>
      </c>
      <c r="TV57" s="377"/>
      <c r="TW57" s="15"/>
      <c r="TX57" s="15">
        <v>0.5</v>
      </c>
      <c r="TY57" s="378">
        <v>0.5</v>
      </c>
      <c r="TZ57" s="377">
        <v>0.5</v>
      </c>
      <c r="UA57" s="15">
        <v>0.5</v>
      </c>
      <c r="UB57" s="15">
        <v>0.5</v>
      </c>
      <c r="UC57" s="15">
        <v>0.5</v>
      </c>
      <c r="UD57" s="15">
        <v>0.5</v>
      </c>
      <c r="UE57" s="15">
        <v>0.5</v>
      </c>
      <c r="UF57" s="15">
        <v>0.5</v>
      </c>
      <c r="UG57" s="15"/>
      <c r="UH57" s="15"/>
      <c r="UI57" s="15"/>
      <c r="UJ57" s="15"/>
      <c r="UK57" s="379"/>
      <c r="UL57" s="375"/>
      <c r="UM57" s="380"/>
      <c r="UN57" s="130">
        <f>SUM(TL57:UM57)</f>
      </c>
      <c r="UO57" s="121"/>
      <c r="UP57" s="122"/>
      <c r="UQ57" s="292"/>
      <c r="UR57" s="196"/>
      <c r="US57" s="196"/>
      <c r="UT57" s="196"/>
      <c r="UU57" s="196"/>
      <c r="UV57" s="196"/>
      <c r="UW57" s="196"/>
      <c r="UX57" s="195"/>
      <c r="UY57" s="197"/>
      <c r="UZ57" s="196"/>
      <c r="VA57" s="196"/>
      <c r="VB57" s="198"/>
      <c r="VC57" s="292"/>
      <c r="VD57" s="196"/>
      <c r="VE57" s="196"/>
      <c r="VF57" s="196"/>
      <c r="VG57" s="196"/>
      <c r="VH57" s="196"/>
      <c r="VI57" s="196"/>
      <c r="VJ57" s="196"/>
      <c r="VK57" s="196"/>
      <c r="VL57" s="196"/>
      <c r="VM57" s="196"/>
      <c r="VN57" s="195"/>
      <c r="VO57" s="122"/>
      <c r="VP57" s="194"/>
      <c r="VQ57" s="130">
        <f>SUM(UO57:VP57)</f>
      </c>
      <c r="VR57" s="121"/>
      <c r="VS57" s="122"/>
      <c r="VT57" s="292"/>
      <c r="VU57" s="196"/>
      <c r="VV57" s="196"/>
      <c r="VW57" s="196"/>
      <c r="VX57" s="196"/>
      <c r="VY57" s="196"/>
      <c r="VZ57" s="196"/>
      <c r="WA57" s="195"/>
      <c r="WB57" s="197"/>
      <c r="WC57" s="196"/>
      <c r="WD57" s="196"/>
      <c r="WE57" s="198"/>
      <c r="WF57" s="292"/>
      <c r="WG57" s="196"/>
      <c r="WH57" s="196"/>
      <c r="WI57" s="196"/>
      <c r="WJ57" s="196"/>
      <c r="WK57" s="196"/>
      <c r="WL57" s="196"/>
      <c r="WM57" s="196"/>
      <c r="WN57" s="196"/>
      <c r="WO57" s="196"/>
      <c r="WP57" s="196"/>
      <c r="WQ57" s="195"/>
      <c r="WR57" s="122"/>
      <c r="WS57" s="194"/>
      <c r="WT57" s="130">
        <f>SUM(VR57:WS57)</f>
      </c>
      <c r="WU57" s="132">
        <f>QB57+RE57+SH57+TK57+UN57+VQ57+WT57</f>
      </c>
      <c r="WV57" s="133">
        <f>(COUNTIF(OZ57:WT57,"H")+COUNTIF(OZ57:WT57,"S")+COUNTIF(OZ57:WT57,"L")+COUNTIF(OZ57:WT57,"E")+COUNTIF(OZ57:WT57,"C"))/2</f>
      </c>
      <c r="WW57" s="130">
        <f>WU57+WV57</f>
      </c>
      <c r="WX57" s="374"/>
      <c r="WY57" s="375"/>
      <c r="WZ57" s="376"/>
      <c r="XA57" s="33">
        <v>0.5</v>
      </c>
      <c r="XB57" s="33">
        <v>0.5</v>
      </c>
      <c r="XC57" s="33">
        <v>0.5</v>
      </c>
      <c r="XD57" s="33">
        <v>0.5</v>
      </c>
      <c r="XE57" s="33">
        <v>0.5</v>
      </c>
      <c r="XF57" s="33">
        <v>0.5</v>
      </c>
      <c r="XG57" s="384">
        <v>0.5</v>
      </c>
      <c r="XH57" s="385">
        <v>0.5</v>
      </c>
      <c r="XI57" s="33">
        <v>0.5</v>
      </c>
      <c r="XJ57" s="33">
        <v>0.5</v>
      </c>
      <c r="XK57" s="386">
        <v>0.5</v>
      </c>
      <c r="XL57" s="387">
        <v>0.5</v>
      </c>
      <c r="XM57" s="29">
        <v>0.5</v>
      </c>
      <c r="XN57" s="29">
        <v>0.5</v>
      </c>
      <c r="XO57" s="29">
        <v>0.5</v>
      </c>
      <c r="XP57" s="29">
        <v>0.5</v>
      </c>
      <c r="XQ57" s="29">
        <v>0.5</v>
      </c>
      <c r="XR57" s="29">
        <v>0.5</v>
      </c>
      <c r="XS57" s="29">
        <v>0.5</v>
      </c>
      <c r="XT57" s="29">
        <v>0.5</v>
      </c>
      <c r="XU57" s="29">
        <v>0.5</v>
      </c>
      <c r="XV57" s="29">
        <v>0.5</v>
      </c>
      <c r="XW57" s="388">
        <v>0.5</v>
      </c>
      <c r="XX57" s="375"/>
      <c r="XY57" s="380"/>
      <c r="XZ57" s="130">
        <f>SUM(WX57:XY57)</f>
      </c>
      <c r="YA57" s="374"/>
      <c r="YB57" s="375"/>
      <c r="YC57" s="376"/>
      <c r="YD57" s="29">
        <v>0.5</v>
      </c>
      <c r="YE57" s="29">
        <v>0.5</v>
      </c>
      <c r="YF57" s="29">
        <v>0.5</v>
      </c>
      <c r="YG57" s="29">
        <v>0.5</v>
      </c>
      <c r="YH57" s="29">
        <v>0.5</v>
      </c>
      <c r="YI57" s="29">
        <v>0.5</v>
      </c>
      <c r="YJ57" s="388">
        <v>0.5</v>
      </c>
      <c r="YK57" s="377"/>
      <c r="YL57" s="15"/>
      <c r="YM57" s="29">
        <v>0.5</v>
      </c>
      <c r="YN57" s="389">
        <v>0.5</v>
      </c>
      <c r="YO57" s="387">
        <v>0.5</v>
      </c>
      <c r="YP57" s="29">
        <v>0.5</v>
      </c>
      <c r="YQ57" s="29">
        <v>0.5</v>
      </c>
      <c r="YR57" s="29">
        <v>0.5</v>
      </c>
      <c r="YS57" s="29">
        <v>0.5</v>
      </c>
      <c r="YT57" s="29">
        <v>0.5</v>
      </c>
      <c r="YU57" s="29">
        <v>0.5</v>
      </c>
      <c r="YV57" s="29">
        <v>0.5</v>
      </c>
      <c r="YW57" s="29">
        <v>0.5</v>
      </c>
      <c r="YX57" s="15"/>
      <c r="YY57" s="15"/>
      <c r="YZ57" s="379"/>
      <c r="ZA57" s="375"/>
      <c r="ZB57" s="380"/>
      <c r="ZC57" s="130">
        <f>SUM(YA57:ZB57)</f>
      </c>
      <c r="ZD57" s="374"/>
      <c r="ZE57" s="375"/>
      <c r="ZF57" s="376"/>
      <c r="ZG57" s="29">
        <v>0.5</v>
      </c>
      <c r="ZH57" s="29">
        <v>0.5</v>
      </c>
      <c r="ZI57" s="29">
        <v>0.5</v>
      </c>
      <c r="ZJ57" s="29">
        <v>0.5</v>
      </c>
      <c r="ZK57" s="29">
        <v>0.5</v>
      </c>
      <c r="ZL57" s="29">
        <v>0.5</v>
      </c>
      <c r="ZM57" s="388">
        <v>0.5</v>
      </c>
      <c r="ZN57" s="377"/>
      <c r="ZO57" s="15"/>
      <c r="ZP57" s="29">
        <v>0.5</v>
      </c>
      <c r="ZQ57" s="389">
        <v>0.5</v>
      </c>
      <c r="ZR57" s="387">
        <v>0.5</v>
      </c>
      <c r="ZS57" s="29">
        <v>0.5</v>
      </c>
      <c r="ZT57" s="29">
        <v>0.5</v>
      </c>
      <c r="ZU57" s="29">
        <v>0.5</v>
      </c>
      <c r="ZV57" s="29">
        <v>0.5</v>
      </c>
      <c r="ZW57" s="29">
        <v>0.5</v>
      </c>
      <c r="ZX57" s="29">
        <v>0.5</v>
      </c>
      <c r="ZY57" s="29">
        <v>0.5</v>
      </c>
      <c r="ZZ57" s="29">
        <v>0.5</v>
      </c>
      <c r="AAA57" s="15"/>
      <c r="AAB57" s="15"/>
      <c r="AAC57" s="379"/>
      <c r="AAD57" s="375"/>
      <c r="AAE57" s="380"/>
      <c r="AAF57" s="130">
        <f>SUM(ZD57:AAE57)</f>
      </c>
      <c r="AAG57" s="374"/>
      <c r="AAH57" s="375"/>
      <c r="AAI57" s="376"/>
      <c r="AAJ57" s="29">
        <v>0.5</v>
      </c>
      <c r="AAK57" s="29">
        <v>0.5</v>
      </c>
      <c r="AAL57" s="29">
        <v>0.5</v>
      </c>
      <c r="AAM57" s="29">
        <v>0.5</v>
      </c>
      <c r="AAN57" s="29">
        <v>0.5</v>
      </c>
      <c r="AAO57" s="29">
        <v>0.5</v>
      </c>
      <c r="AAP57" s="388">
        <v>0.5</v>
      </c>
      <c r="AAQ57" s="390">
        <v>0.5</v>
      </c>
      <c r="AAR57" s="29">
        <v>0.5</v>
      </c>
      <c r="AAS57" s="33">
        <v>0.5</v>
      </c>
      <c r="AAT57" s="386">
        <v>0.5</v>
      </c>
      <c r="AAU57" s="391">
        <v>0.5</v>
      </c>
      <c r="AAV57" s="33">
        <v>0.5</v>
      </c>
      <c r="AAW57" s="33">
        <v>0.5</v>
      </c>
      <c r="AAX57" s="33">
        <v>0.5</v>
      </c>
      <c r="AAY57" s="33">
        <v>0.5</v>
      </c>
      <c r="AAZ57" s="33">
        <v>0.5</v>
      </c>
      <c r="ABA57" s="33">
        <v>0.5</v>
      </c>
      <c r="ABB57" s="33">
        <v>0.5</v>
      </c>
      <c r="ABC57" s="33">
        <v>0.5</v>
      </c>
      <c r="ABD57" s="33">
        <v>0.5</v>
      </c>
      <c r="ABE57" s="15"/>
      <c r="ABF57" s="379"/>
      <c r="ABG57" s="375"/>
      <c r="ABH57" s="380"/>
      <c r="ABI57" s="130">
        <f>SUM(AAG57:ABH57)</f>
      </c>
      <c r="ABJ57" s="374"/>
      <c r="ABK57" s="375"/>
      <c r="ABL57" s="376"/>
      <c r="ABM57" s="15"/>
      <c r="ABN57" s="15"/>
      <c r="ABO57" s="15"/>
      <c r="ABP57" s="15"/>
      <c r="ABQ57" s="15"/>
      <c r="ABR57" s="15"/>
      <c r="ABS57" s="379"/>
      <c r="ABT57" s="377"/>
      <c r="ABU57" s="15"/>
      <c r="ABV57" s="15"/>
      <c r="ABW57" s="392"/>
      <c r="ABX57" s="376"/>
      <c r="ABY57" s="15"/>
      <c r="ABZ57" s="15"/>
      <c r="ACA57" s="15"/>
      <c r="ACB57" s="15"/>
      <c r="ACC57" s="15"/>
      <c r="ACD57" s="15"/>
      <c r="ACE57" s="15"/>
      <c r="ACF57" s="15"/>
      <c r="ACG57" s="15"/>
      <c r="ACH57" s="15"/>
      <c r="ACI57" s="379"/>
      <c r="ACJ57" s="375"/>
      <c r="ACK57" s="380"/>
      <c r="ACL57" s="130">
        <f>SUM(ABJ57:ACK57)</f>
      </c>
      <c r="ACM57" s="121"/>
      <c r="ACN57" s="122"/>
      <c r="ACO57" s="292"/>
      <c r="ACP57" s="196"/>
      <c r="ACQ57" s="196"/>
      <c r="ACR57" s="196"/>
      <c r="ACS57" s="196"/>
      <c r="ACT57" s="196"/>
      <c r="ACU57" s="196"/>
      <c r="ACV57" s="195"/>
      <c r="ACW57" s="197"/>
      <c r="ACX57" s="196"/>
      <c r="ACY57" s="196"/>
      <c r="ACZ57" s="198"/>
      <c r="ADA57" s="292"/>
      <c r="ADB57" s="196"/>
      <c r="ADC57" s="196"/>
      <c r="ADD57" s="196"/>
      <c r="ADE57" s="196"/>
      <c r="ADF57" s="196"/>
      <c r="ADG57" s="196"/>
      <c r="ADH57" s="196"/>
      <c r="ADI57" s="196"/>
      <c r="ADJ57" s="196"/>
      <c r="ADK57" s="196"/>
      <c r="ADL57" s="195"/>
      <c r="ADM57" s="122"/>
      <c r="ADN57" s="194"/>
      <c r="ADO57" s="130">
        <f>SUM(ACM57:ADN57)</f>
      </c>
      <c r="ADP57" s="121"/>
      <c r="ADQ57" s="122"/>
      <c r="ADR57" s="292"/>
      <c r="ADS57" s="196"/>
      <c r="ADT57" s="196"/>
      <c r="ADU57" s="196"/>
      <c r="ADV57" s="196"/>
      <c r="ADW57" s="196"/>
      <c r="ADX57" s="196"/>
      <c r="ADY57" s="195"/>
      <c r="ADZ57" s="197"/>
      <c r="AEA57" s="196"/>
      <c r="AEB57" s="196"/>
      <c r="AEC57" s="198"/>
      <c r="AED57" s="292"/>
      <c r="AEE57" s="196"/>
      <c r="AEF57" s="196"/>
      <c r="AEG57" s="196"/>
      <c r="AEH57" s="196"/>
      <c r="AEI57" s="196"/>
      <c r="AEJ57" s="196"/>
      <c r="AEK57" s="196"/>
      <c r="AEL57" s="196"/>
      <c r="AEM57" s="196"/>
      <c r="AEN57" s="196"/>
      <c r="AEO57" s="195"/>
      <c r="AEP57" s="122"/>
      <c r="AEQ57" s="194"/>
      <c r="AER57" s="130">
        <f>SUM(ADP57:AEQ57)</f>
      </c>
      <c r="AES57" s="132">
        <f>XZ57+ZC57+AAF57+ABI57+ACL57+ADO57+AER57</f>
      </c>
      <c r="AET57" s="133">
        <f>(COUNTIF(WX57:AER57,"H")+COUNTIF(WX57:AER57,"S")+COUNTIF(WX57:AER57,"L")+COUNTIF(WX57:AER57,"E")+COUNTIF(WX57:AER57,"C"))/2</f>
      </c>
      <c r="AEU57" s="130">
        <f>AES57+AET57</f>
      </c>
      <c r="AEV57" s="374"/>
      <c r="AEW57" s="375"/>
      <c r="AEX57" s="376"/>
      <c r="AEY57" s="15">
        <v>0.5</v>
      </c>
      <c r="AEZ57" s="15">
        <v>0.5</v>
      </c>
      <c r="AFA57" s="15">
        <v>0.5</v>
      </c>
      <c r="AFB57" s="15">
        <v>0.5</v>
      </c>
      <c r="AFC57" s="15">
        <v>0.5</v>
      </c>
      <c r="AFD57" s="15">
        <v>0.5</v>
      </c>
      <c r="AFE57" s="211">
        <v>0.5</v>
      </c>
      <c r="AFF57" s="377"/>
      <c r="AFG57" s="15"/>
      <c r="AFH57" s="15">
        <v>0.5</v>
      </c>
      <c r="AFI57" s="378">
        <v>0.5</v>
      </c>
      <c r="AFJ57" s="377">
        <v>0.5</v>
      </c>
      <c r="AFK57" s="15">
        <v>0.5</v>
      </c>
      <c r="AFL57" s="15">
        <v>0.5</v>
      </c>
      <c r="AFM57" s="15">
        <v>0.5</v>
      </c>
      <c r="AFN57" s="15">
        <v>0.5</v>
      </c>
      <c r="AFO57" s="15">
        <v>0.5</v>
      </c>
      <c r="AFP57" s="15">
        <v>0.5</v>
      </c>
      <c r="AFQ57" s="15"/>
      <c r="AFR57" s="15"/>
      <c r="AFS57" s="15"/>
      <c r="AFT57" s="15"/>
      <c r="AFU57" s="379"/>
      <c r="AFV57" s="375"/>
      <c r="AFW57" s="380"/>
      <c r="AFX57" s="130">
        <f>SUM(AEV57:AFW57)</f>
      </c>
      <c r="AFY57" s="374"/>
      <c r="AFZ57" s="375"/>
      <c r="AGA57" s="376"/>
      <c r="AGB57" s="15">
        <v>0.5</v>
      </c>
      <c r="AGC57" s="15">
        <v>0.5</v>
      </c>
      <c r="AGD57" s="15">
        <v>0.5</v>
      </c>
      <c r="AGE57" s="15">
        <v>0.5</v>
      </c>
      <c r="AGF57" s="15">
        <v>0.5</v>
      </c>
      <c r="AGG57" s="15">
        <v>0.5</v>
      </c>
      <c r="AGH57" s="211">
        <v>0.5</v>
      </c>
      <c r="AGI57" s="377"/>
      <c r="AGJ57" s="15"/>
      <c r="AGK57" s="15">
        <v>0.5</v>
      </c>
      <c r="AGL57" s="378">
        <v>0.5</v>
      </c>
      <c r="AGM57" s="377">
        <v>0.5</v>
      </c>
      <c r="AGN57" s="15">
        <v>0.5</v>
      </c>
      <c r="AGO57" s="15">
        <v>0.5</v>
      </c>
      <c r="AGP57" s="15">
        <v>0.5</v>
      </c>
      <c r="AGQ57" s="15">
        <v>0.5</v>
      </c>
      <c r="AGR57" s="15">
        <v>0.5</v>
      </c>
      <c r="AGS57" s="15">
        <v>0.5</v>
      </c>
      <c r="AGT57" s="15"/>
      <c r="AGU57" s="15"/>
      <c r="AGV57" s="15"/>
      <c r="AGW57" s="15"/>
      <c r="AGX57" s="379"/>
      <c r="AGY57" s="375"/>
      <c r="AGZ57" s="380"/>
      <c r="AHA57" s="130">
        <f>SUM(AFY57:AGZ57)</f>
      </c>
      <c r="AHB57" s="374"/>
      <c r="AHC57" s="375"/>
      <c r="AHD57" s="376"/>
      <c r="AHE57" s="15">
        <v>0.5</v>
      </c>
      <c r="AHF57" s="15">
        <v>0.5</v>
      </c>
      <c r="AHG57" s="15">
        <v>0.5</v>
      </c>
      <c r="AHH57" s="15">
        <v>0.5</v>
      </c>
      <c r="AHI57" s="15">
        <v>0.5</v>
      </c>
      <c r="AHJ57" s="15">
        <v>0.5</v>
      </c>
      <c r="AHK57" s="211">
        <v>0.5</v>
      </c>
      <c r="AHL57" s="377"/>
      <c r="AHM57" s="15"/>
      <c r="AHN57" s="15">
        <v>0.5</v>
      </c>
      <c r="AHO57" s="378">
        <v>0.5</v>
      </c>
      <c r="AHP57" s="377">
        <v>0.5</v>
      </c>
      <c r="AHQ57" s="15">
        <v>0.5</v>
      </c>
      <c r="AHR57" s="15">
        <v>0.5</v>
      </c>
      <c r="AHS57" s="15">
        <v>0.5</v>
      </c>
      <c r="AHT57" s="15">
        <v>0.5</v>
      </c>
      <c r="AHU57" s="15">
        <v>0.5</v>
      </c>
      <c r="AHV57" s="15">
        <v>0.5</v>
      </c>
      <c r="AHW57" s="15"/>
      <c r="AHX57" s="15"/>
      <c r="AHY57" s="15"/>
      <c r="AHZ57" s="15"/>
      <c r="AIA57" s="379"/>
      <c r="AIB57" s="375"/>
      <c r="AIC57" s="380"/>
      <c r="AID57" s="130">
        <f>SUM(AHB57:AIC57)</f>
      </c>
      <c r="AIE57" s="374"/>
      <c r="AIF57" s="375"/>
      <c r="AIG57" s="376"/>
      <c r="AIH57" s="15">
        <v>0.5</v>
      </c>
      <c r="AII57" s="15">
        <v>0.5</v>
      </c>
      <c r="AIJ57" s="15">
        <v>0.5</v>
      </c>
      <c r="AIK57" s="15">
        <v>0.5</v>
      </c>
      <c r="AIL57" s="15">
        <v>0.5</v>
      </c>
      <c r="AIM57" s="15">
        <v>0.5</v>
      </c>
      <c r="AIN57" s="211">
        <v>0.5</v>
      </c>
      <c r="AIO57" s="377"/>
      <c r="AIP57" s="15"/>
      <c r="AIQ57" s="15">
        <v>0.5</v>
      </c>
      <c r="AIR57" s="378">
        <v>0.5</v>
      </c>
      <c r="AIS57" s="377">
        <v>0.5</v>
      </c>
      <c r="AIT57" s="15">
        <v>0.5</v>
      </c>
      <c r="AIU57" s="15">
        <v>0.5</v>
      </c>
      <c r="AIV57" s="15">
        <v>0.5</v>
      </c>
      <c r="AIW57" s="15">
        <v>0.5</v>
      </c>
      <c r="AIX57" s="15">
        <v>0.5</v>
      </c>
      <c r="AIY57" s="15">
        <v>0.5</v>
      </c>
      <c r="AIZ57" s="15"/>
      <c r="AJA57" s="15"/>
      <c r="AJB57" s="15"/>
      <c r="AJC57" s="15"/>
      <c r="AJD57" s="379"/>
      <c r="AJE57" s="375"/>
      <c r="AJF57" s="380"/>
      <c r="AJG57" s="130">
        <f>SUM(AIE57:AJF57)</f>
      </c>
      <c r="AJH57" s="374"/>
      <c r="AJI57" s="375"/>
      <c r="AJJ57" s="376"/>
      <c r="AJK57" s="15">
        <v>0.5</v>
      </c>
      <c r="AJL57" s="15">
        <v>0.5</v>
      </c>
      <c r="AJM57" s="15">
        <v>0.5</v>
      </c>
      <c r="AJN57" s="15">
        <v>0.5</v>
      </c>
      <c r="AJO57" s="15">
        <v>0.5</v>
      </c>
      <c r="AJP57" s="15">
        <v>0.5</v>
      </c>
      <c r="AJQ57" s="211">
        <v>0.5</v>
      </c>
      <c r="AJR57" s="377"/>
      <c r="AJS57" s="15"/>
      <c r="AJT57" s="15">
        <v>0.5</v>
      </c>
      <c r="AJU57" s="378">
        <v>0.5</v>
      </c>
      <c r="AJV57" s="377">
        <v>0.5</v>
      </c>
      <c r="AJW57" s="15">
        <v>0.5</v>
      </c>
      <c r="AJX57" s="15">
        <v>0.5</v>
      </c>
      <c r="AJY57" s="15">
        <v>0.5</v>
      </c>
      <c r="AJZ57" s="15">
        <v>0.5</v>
      </c>
      <c r="AKA57" s="15">
        <v>0.5</v>
      </c>
      <c r="AKB57" s="15">
        <v>0.5</v>
      </c>
      <c r="AKC57" s="15"/>
      <c r="AKD57" s="15"/>
      <c r="AKE57" s="15"/>
      <c r="AKF57" s="15"/>
      <c r="AKG57" s="379"/>
      <c r="AKH57" s="375"/>
      <c r="AKI57" s="380"/>
      <c r="AKJ57" s="130">
        <f>SUM(AJH57:AKI57)</f>
      </c>
      <c r="AKK57" s="121"/>
      <c r="AKL57" s="122"/>
      <c r="AKM57" s="292"/>
      <c r="AKN57" s="196"/>
      <c r="AKO57" s="196"/>
      <c r="AKP57" s="196"/>
      <c r="AKQ57" s="196"/>
      <c r="AKR57" s="196"/>
      <c r="AKS57" s="196"/>
      <c r="AKT57" s="195"/>
      <c r="AKU57" s="197"/>
      <c r="AKV57" s="196"/>
      <c r="AKW57" s="196"/>
      <c r="AKX57" s="198"/>
      <c r="AKY57" s="292"/>
      <c r="AKZ57" s="196"/>
      <c r="ALA57" s="196"/>
      <c r="ALB57" s="196"/>
      <c r="ALC57" s="196"/>
      <c r="ALD57" s="196"/>
      <c r="ALE57" s="196"/>
      <c r="ALF57" s="196"/>
      <c r="ALG57" s="196"/>
      <c r="ALH57" s="196"/>
      <c r="ALI57" s="196"/>
      <c r="ALJ57" s="195"/>
      <c r="ALK57" s="122"/>
      <c r="ALL57" s="194"/>
      <c r="ALM57" s="130">
        <f>SUM(AKK57:ALL57)</f>
      </c>
      <c r="ALN57" s="121"/>
      <c r="ALO57" s="122"/>
      <c r="ALP57" s="292"/>
      <c r="ALQ57" s="196"/>
      <c r="ALR57" s="196"/>
      <c r="ALS57" s="196"/>
      <c r="ALT57" s="196"/>
      <c r="ALU57" s="196"/>
      <c r="ALV57" s="196"/>
      <c r="ALW57" s="195"/>
      <c r="ALX57" s="197"/>
      <c r="ALY57" s="196"/>
      <c r="ALZ57" s="196"/>
      <c r="AMA57" s="198"/>
      <c r="AMB57" s="292"/>
      <c r="AMC57" s="196"/>
      <c r="AMD57" s="196"/>
      <c r="AME57" s="196"/>
      <c r="AMF57" s="196"/>
      <c r="AMG57" s="196"/>
      <c r="AMH57" s="196"/>
      <c r="AMI57" s="196"/>
      <c r="AMJ57" s="196"/>
      <c r="AMK57" s="196"/>
      <c r="AML57" s="196"/>
      <c r="AMM57" s="195"/>
      <c r="AMN57" s="122"/>
      <c r="AMO57" s="194"/>
      <c r="AMP57" s="130">
        <f>SUM(ALN57:AMO57)</f>
      </c>
      <c r="AMQ57" s="132">
        <f>AFX57+AHA57+AID57+AJG57+AKJ57+ALM57+AMP57</f>
      </c>
      <c r="AMR57" s="133">
        <f>(COUNTIF(AEV57:AMP57,"H")+COUNTIF(AEV57:AMP57,"S")+COUNTIF(AEV57:AMP57,"L")+COUNTIF(AEV57:AMP57,"E")+COUNTIF(AEV57:AMP57,"C"))/2</f>
      </c>
      <c r="AMS57" s="130">
        <f>AMQ57+AMR57</f>
      </c>
      <c r="AMT57" s="4"/>
      <c r="AMU57" s="4"/>
      <c r="AMV57" s="4"/>
      <c r="AMW57" s="4"/>
      <c r="AMX57" s="4"/>
      <c r="AMY57" s="4"/>
      <c r="AMZ57" s="4"/>
      <c r="ANA57" s="4"/>
      <c r="ANB57" s="4"/>
      <c r="ANC57" s="4"/>
      <c r="AND57" s="4"/>
      <c r="ANE57" s="4"/>
      <c r="ANF57" s="4"/>
      <c r="ANG57" s="4"/>
      <c r="ANH57" s="4"/>
      <c r="ANI57" s="4"/>
      <c r="ANJ57" s="13"/>
      <c r="ANK57" s="13"/>
      <c r="ANL57" s="4"/>
      <c r="ANM57" s="4"/>
      <c r="ANN57" s="4"/>
      <c r="ANO57" s="4"/>
      <c r="ANP57" s="4"/>
      <c r="ANQ57" s="4"/>
      <c r="ANR57" s="4"/>
      <c r="ANS57" s="4"/>
      <c r="ANT57" s="4"/>
      <c r="ANU57" s="4"/>
      <c r="ANV57" s="4"/>
      <c r="ANW57" s="4"/>
      <c r="ANX57" s="4"/>
      <c r="ANY57" s="4"/>
      <c r="ANZ57" s="4"/>
      <c r="AOA57" s="4"/>
      <c r="AOB57" s="4"/>
      <c r="AOC57" s="4"/>
      <c r="AOD57" s="4"/>
      <c r="AOE57" s="4"/>
      <c r="AOF57" s="4"/>
      <c r="AOG57" s="4"/>
      <c r="AOH57" s="4"/>
      <c r="AOI57" s="4"/>
      <c r="AOJ57" s="4"/>
      <c r="AOK57" s="4"/>
      <c r="AOL57" s="4"/>
      <c r="AOM57" s="4"/>
      <c r="AON57" s="4"/>
      <c r="AOO57" s="4"/>
      <c r="AOP57" s="4"/>
      <c r="AOQ57" s="4"/>
      <c r="AOR57" s="4"/>
      <c r="AOS57" s="4"/>
      <c r="AOT57" s="4"/>
      <c r="AOU57" s="4"/>
      <c r="AOV57" s="4"/>
      <c r="AOW57" s="4"/>
      <c r="AOX57" s="4"/>
      <c r="AOY57" s="4"/>
      <c r="AOZ57" s="4"/>
      <c r="APA57" s="4"/>
      <c r="APB57" s="4"/>
      <c r="APC57" s="4"/>
      <c r="APD57" s="4"/>
      <c r="APE57" s="4"/>
      <c r="APF57" s="4"/>
      <c r="APG57" s="4"/>
      <c r="APH57" s="4"/>
      <c r="API57" s="4"/>
      <c r="APJ57" s="4"/>
      <c r="APK57" s="4"/>
      <c r="APL57" s="4"/>
      <c r="APM57" s="4"/>
      <c r="APN57" s="4"/>
      <c r="APO57" s="4"/>
      <c r="APP57" s="4"/>
      <c r="APQ57" s="4"/>
      <c r="APR57" s="4"/>
      <c r="APS57" s="4"/>
      <c r="APT57" s="4"/>
      <c r="APU57" s="4"/>
      <c r="APV57" s="4"/>
      <c r="APW57" s="4"/>
      <c r="APX57" s="4"/>
      <c r="APY57" s="4"/>
      <c r="APZ57" s="4"/>
      <c r="AQA57" s="4"/>
      <c r="AQB57" s="4"/>
      <c r="AQC57" s="4"/>
      <c r="AQD57" s="4"/>
      <c r="AQE57" s="4"/>
      <c r="AQF57" s="4"/>
      <c r="AQG57" s="4"/>
      <c r="AQH57" s="4"/>
      <c r="AQI57" s="4"/>
      <c r="AQJ57" s="4"/>
      <c r="AQK57" s="4"/>
      <c r="AQL57" s="4"/>
      <c r="AQM57" s="4"/>
      <c r="AQN57" s="4"/>
      <c r="AQO57" s="4"/>
      <c r="AQP57" s="4"/>
      <c r="AQQ57" s="4"/>
      <c r="AQR57" s="4"/>
      <c r="AQS57" s="4"/>
      <c r="AQT57" s="4"/>
      <c r="AQU57" s="4"/>
      <c r="AQV57" s="4"/>
      <c r="AQW57" s="4"/>
      <c r="AQX57" s="4"/>
      <c r="AQY57" s="4"/>
      <c r="AQZ57" s="4"/>
      <c r="ARA57" s="4"/>
      <c r="ARB57" s="4"/>
      <c r="ARC57" s="4"/>
      <c r="ARD57" s="4"/>
      <c r="ARE57" s="4"/>
      <c r="ARF57" s="4"/>
      <c r="ARG57" s="4"/>
      <c r="ARH57" s="4"/>
      <c r="ARI57" s="4"/>
      <c r="ARJ57" s="4"/>
      <c r="ARK57" s="4"/>
      <c r="ARL57" s="4"/>
      <c r="ARM57" s="4"/>
      <c r="ARN57" s="4"/>
      <c r="ARO57" s="4"/>
      <c r="ARP57" s="4"/>
      <c r="ARQ57" s="4"/>
      <c r="ARR57" s="4"/>
      <c r="ARS57" s="4"/>
      <c r="ART57" s="4"/>
      <c r="ARU57" s="4"/>
      <c r="ARV57" s="4"/>
      <c r="ARW57" s="4"/>
      <c r="ARX57" s="4"/>
      <c r="ARY57" s="4"/>
      <c r="ARZ57" s="4"/>
      <c r="ASA57" s="4"/>
      <c r="ASB57" s="4"/>
      <c r="ASC57" s="4"/>
      <c r="ASD57" s="4"/>
      <c r="ASE57" s="4"/>
      <c r="ASF57" s="4"/>
      <c r="ASG57" s="4"/>
      <c r="ASH57" s="4"/>
      <c r="ASI57" s="4"/>
      <c r="ASJ57" s="4"/>
      <c r="ASK57" s="4"/>
      <c r="ASL57" s="4"/>
      <c r="ASM57" s="4"/>
      <c r="ASN57" s="4"/>
      <c r="ASO57" s="4"/>
      <c r="ASP57" s="4"/>
      <c r="ASQ57" s="4"/>
      <c r="ASR57" s="4"/>
      <c r="ASS57" s="4"/>
      <c r="AST57" s="4"/>
      <c r="ASU57" s="4"/>
    </row>
    <row r="58" ht="15" customHeight="1" spans="1:1191" x14ac:dyDescent="0.25">
      <c r="A58" s="118"/>
      <c r="B58" s="367" t="s">
        <v>95</v>
      </c>
      <c r="C58" s="289" t="s">
        <v>55</v>
      </c>
      <c r="D58" s="121"/>
      <c r="E58" s="122"/>
      <c r="F58" s="292"/>
      <c r="G58" s="196"/>
      <c r="H58" s="196"/>
      <c r="I58" s="196"/>
      <c r="J58" s="196"/>
      <c r="K58" s="196"/>
      <c r="L58" s="196"/>
      <c r="M58" s="195"/>
      <c r="N58" s="197"/>
      <c r="O58" s="196"/>
      <c r="P58" s="196"/>
      <c r="Q58" s="198"/>
      <c r="R58" s="292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5"/>
      <c r="AD58" s="122"/>
      <c r="AE58" s="194"/>
      <c r="AF58" s="131">
        <f>SUM(D58:AE58)</f>
      </c>
      <c r="AG58" s="121"/>
      <c r="AH58" s="122"/>
      <c r="AI58" s="292"/>
      <c r="AJ58" s="196"/>
      <c r="AK58" s="196"/>
      <c r="AL58" s="196"/>
      <c r="AM58" s="196"/>
      <c r="AN58" s="196"/>
      <c r="AO58" s="196"/>
      <c r="AP58" s="195"/>
      <c r="AQ58" s="197"/>
      <c r="AR58" s="196"/>
      <c r="AS58" s="196"/>
      <c r="AT58" s="198"/>
      <c r="AU58" s="292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5"/>
      <c r="BG58" s="122"/>
      <c r="BH58" s="194"/>
      <c r="BI58" s="131">
        <f>SUM(AG58:BH58)</f>
      </c>
      <c r="BJ58" s="121"/>
      <c r="BK58" s="122"/>
      <c r="BL58" s="292"/>
      <c r="BM58" s="196"/>
      <c r="BN58" s="196"/>
      <c r="BO58" s="196"/>
      <c r="BP58" s="196"/>
      <c r="BQ58" s="196"/>
      <c r="BR58" s="196"/>
      <c r="BS58" s="195"/>
      <c r="BT58" s="197"/>
      <c r="BU58" s="196"/>
      <c r="BV58" s="196"/>
      <c r="BW58" s="198"/>
      <c r="BX58" s="292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5"/>
      <c r="CJ58" s="122"/>
      <c r="CK58" s="194"/>
      <c r="CL58" s="131">
        <f>SUM(BJ58:CK58)</f>
      </c>
      <c r="CM58" s="121"/>
      <c r="CN58" s="122"/>
      <c r="CO58" s="292"/>
      <c r="CP58" s="196"/>
      <c r="CQ58" s="196"/>
      <c r="CR58" s="196"/>
      <c r="CS58" s="196"/>
      <c r="CT58" s="196"/>
      <c r="CU58" s="196"/>
      <c r="CV58" s="195"/>
      <c r="CW58" s="197"/>
      <c r="CX58" s="196"/>
      <c r="CY58" s="196"/>
      <c r="CZ58" s="198"/>
      <c r="DA58" s="292"/>
      <c r="DB58" s="196"/>
      <c r="DC58" s="196"/>
      <c r="DD58" s="196"/>
      <c r="DE58" s="196"/>
      <c r="DF58" s="196"/>
      <c r="DG58" s="196"/>
      <c r="DH58" s="196"/>
      <c r="DI58" s="196"/>
      <c r="DJ58" s="196"/>
      <c r="DK58" s="196"/>
      <c r="DL58" s="195"/>
      <c r="DM58" s="122"/>
      <c r="DN58" s="194"/>
      <c r="DO58" s="131">
        <f>SUM(CM58:DN58)</f>
      </c>
      <c r="DP58" s="121"/>
      <c r="DQ58" s="122"/>
      <c r="DR58" s="292"/>
      <c r="DS58" s="196"/>
      <c r="DT58" s="196"/>
      <c r="DU58" s="196"/>
      <c r="DV58" s="196"/>
      <c r="DW58" s="196"/>
      <c r="DX58" s="196"/>
      <c r="DY58" s="195"/>
      <c r="DZ58" s="197"/>
      <c r="EA58" s="196"/>
      <c r="EB58" s="196"/>
      <c r="EC58" s="198"/>
      <c r="ED58" s="292"/>
      <c r="EE58" s="196"/>
      <c r="EF58" s="196"/>
      <c r="EG58" s="196"/>
      <c r="EH58" s="196"/>
      <c r="EI58" s="196"/>
      <c r="EJ58" s="196"/>
      <c r="EK58" s="196"/>
      <c r="EL58" s="196"/>
      <c r="EM58" s="196"/>
      <c r="EN58" s="196"/>
      <c r="EO58" s="195"/>
      <c r="EP58" s="122"/>
      <c r="EQ58" s="194"/>
      <c r="ER58" s="131">
        <f>SUM(DP58:EQ58)</f>
      </c>
      <c r="ES58" s="121"/>
      <c r="ET58" s="122"/>
      <c r="EU58" s="292"/>
      <c r="EV58" s="196"/>
      <c r="EW58" s="196"/>
      <c r="EX58" s="196"/>
      <c r="EY58" s="196"/>
      <c r="EZ58" s="196"/>
      <c r="FA58" s="196"/>
      <c r="FB58" s="195"/>
      <c r="FC58" s="197"/>
      <c r="FD58" s="196"/>
      <c r="FE58" s="196"/>
      <c r="FF58" s="198"/>
      <c r="FG58" s="292"/>
      <c r="FH58" s="196"/>
      <c r="FI58" s="196"/>
      <c r="FJ58" s="196"/>
      <c r="FK58" s="196"/>
      <c r="FL58" s="196"/>
      <c r="FM58" s="196"/>
      <c r="FN58" s="196"/>
      <c r="FO58" s="196"/>
      <c r="FP58" s="196"/>
      <c r="FQ58" s="196"/>
      <c r="FR58" s="195"/>
      <c r="FS58" s="122"/>
      <c r="FT58" s="194"/>
      <c r="FU58" s="131">
        <f>SUM(ES58:FT58)</f>
      </c>
      <c r="FV58" s="121"/>
      <c r="FW58" s="122"/>
      <c r="FX58" s="292"/>
      <c r="FY58" s="196"/>
      <c r="FZ58" s="196"/>
      <c r="GA58" s="196"/>
      <c r="GB58" s="196"/>
      <c r="GC58" s="196"/>
      <c r="GD58" s="196"/>
      <c r="GE58" s="195"/>
      <c r="GF58" s="197"/>
      <c r="GG58" s="196"/>
      <c r="GH58" s="196"/>
      <c r="GI58" s="198"/>
      <c r="GJ58" s="292"/>
      <c r="GK58" s="196"/>
      <c r="GL58" s="196"/>
      <c r="GM58" s="196"/>
      <c r="GN58" s="196"/>
      <c r="GO58" s="196"/>
      <c r="GP58" s="196"/>
      <c r="GQ58" s="196"/>
      <c r="GR58" s="196"/>
      <c r="GS58" s="196"/>
      <c r="GT58" s="196"/>
      <c r="GU58" s="195"/>
      <c r="GV58" s="122"/>
      <c r="GW58" s="194"/>
      <c r="GX58" s="131">
        <f>SUM(FV58:GW58)</f>
      </c>
      <c r="GY58" s="150">
        <f>AF58+BI58+CL58+DO58+ER58+FU58+GX58</f>
      </c>
      <c r="GZ58" s="302">
        <f>(COUNTIF(D58:GX58,"H")+COUNTIF(D58:GX58,"S")+COUNTIF(D58:GX58,"L")+COUNTIF(D58:GX58,"E")+COUNTIF(D58:GX58,"C"))/2</f>
      </c>
      <c r="HA58" s="131">
        <f>GY58+GZ58</f>
      </c>
      <c r="HB58" s="374"/>
      <c r="HC58" s="375"/>
      <c r="HD58" s="376"/>
      <c r="HE58" s="15"/>
      <c r="HF58" s="15"/>
      <c r="HG58" s="393">
        <v>0.5</v>
      </c>
      <c r="HH58" s="393">
        <v>0.5</v>
      </c>
      <c r="HI58" s="393">
        <v>0.5</v>
      </c>
      <c r="HJ58" s="393">
        <v>0.5</v>
      </c>
      <c r="HK58" s="394">
        <v>0.5</v>
      </c>
      <c r="HL58" s="395">
        <v>0.5</v>
      </c>
      <c r="HM58" s="393">
        <v>0.5</v>
      </c>
      <c r="HN58" s="15"/>
      <c r="HO58" s="392"/>
      <c r="HP58" s="396">
        <v>0.5</v>
      </c>
      <c r="HQ58" s="393">
        <v>0.5</v>
      </c>
      <c r="HR58" s="393">
        <v>0.5</v>
      </c>
      <c r="HS58" s="393">
        <v>0.5</v>
      </c>
      <c r="HT58" s="393">
        <v>0.5</v>
      </c>
      <c r="HU58" s="393">
        <v>0.5</v>
      </c>
      <c r="HV58" s="393">
        <v>0.5</v>
      </c>
      <c r="HW58" s="393">
        <v>0.5</v>
      </c>
      <c r="HX58" s="393">
        <v>0.5</v>
      </c>
      <c r="HY58" s="15"/>
      <c r="HZ58" s="15"/>
      <c r="IA58" s="379"/>
      <c r="IB58" s="375"/>
      <c r="IC58" s="380"/>
      <c r="ID58" s="131">
        <f>SUM(HB58:IC58)</f>
      </c>
      <c r="IE58" s="374"/>
      <c r="IF58" s="375"/>
      <c r="IG58" s="376"/>
      <c r="IH58" s="15"/>
      <c r="II58" s="15"/>
      <c r="IJ58" s="393">
        <v>0.5</v>
      </c>
      <c r="IK58" s="393">
        <v>0.5</v>
      </c>
      <c r="IL58" s="393">
        <v>0.5</v>
      </c>
      <c r="IM58" s="393">
        <v>0.5</v>
      </c>
      <c r="IN58" s="394">
        <v>0.5</v>
      </c>
      <c r="IO58" s="395">
        <v>0.5</v>
      </c>
      <c r="IP58" s="393">
        <v>0.5</v>
      </c>
      <c r="IQ58" s="15"/>
      <c r="IR58" s="392"/>
      <c r="IS58" s="396">
        <v>0.5</v>
      </c>
      <c r="IT58" s="393">
        <v>0.5</v>
      </c>
      <c r="IU58" s="393">
        <v>0.5</v>
      </c>
      <c r="IV58" s="393">
        <v>0.5</v>
      </c>
      <c r="IW58" s="393">
        <v>0.5</v>
      </c>
      <c r="IX58" s="393">
        <v>0.5</v>
      </c>
      <c r="IY58" s="393">
        <v>0.5</v>
      </c>
      <c r="IZ58" s="393">
        <v>0.5</v>
      </c>
      <c r="JA58" s="393">
        <v>0.5</v>
      </c>
      <c r="JB58" s="15"/>
      <c r="JC58" s="15"/>
      <c r="JD58" s="379"/>
      <c r="JE58" s="375"/>
      <c r="JF58" s="380"/>
      <c r="JG58" s="131">
        <f>SUM(IE58:JF58)</f>
      </c>
      <c r="JH58" s="374"/>
      <c r="JI58" s="375"/>
      <c r="JJ58" s="376"/>
      <c r="JK58" s="15"/>
      <c r="JL58" s="15"/>
      <c r="JM58" s="393">
        <v>0.5</v>
      </c>
      <c r="JN58" s="393">
        <v>0.5</v>
      </c>
      <c r="JO58" s="393">
        <v>0.5</v>
      </c>
      <c r="JP58" s="393">
        <v>0.5</v>
      </c>
      <c r="JQ58" s="394">
        <v>0.5</v>
      </c>
      <c r="JR58" s="395">
        <v>0.5</v>
      </c>
      <c r="JS58" s="393">
        <v>0.5</v>
      </c>
      <c r="JT58" s="15"/>
      <c r="JU58" s="392"/>
      <c r="JV58" s="396">
        <v>0.5</v>
      </c>
      <c r="JW58" s="393">
        <v>0.5</v>
      </c>
      <c r="JX58" s="393">
        <v>0.5</v>
      </c>
      <c r="JY58" s="393">
        <v>0.5</v>
      </c>
      <c r="JZ58" s="393">
        <v>0.5</v>
      </c>
      <c r="KA58" s="393">
        <v>0.5</v>
      </c>
      <c r="KB58" s="393">
        <v>0.5</v>
      </c>
      <c r="KC58" s="393">
        <v>0.5</v>
      </c>
      <c r="KD58" s="393">
        <v>0.5</v>
      </c>
      <c r="KE58" s="15"/>
      <c r="KF58" s="15"/>
      <c r="KG58" s="379"/>
      <c r="KH58" s="375"/>
      <c r="KI58" s="380"/>
      <c r="KJ58" s="131">
        <f>SUM(JH58:KI58)</f>
      </c>
      <c r="KK58" s="374"/>
      <c r="KL58" s="375"/>
      <c r="KM58" s="376"/>
      <c r="KN58" s="15"/>
      <c r="KO58" s="15"/>
      <c r="KP58" s="393">
        <v>0.5</v>
      </c>
      <c r="KQ58" s="393">
        <v>0.5</v>
      </c>
      <c r="KR58" s="393">
        <v>0.5</v>
      </c>
      <c r="KS58" s="393">
        <v>0.5</v>
      </c>
      <c r="KT58" s="394">
        <v>0.5</v>
      </c>
      <c r="KU58" s="395">
        <v>0.5</v>
      </c>
      <c r="KV58" s="393">
        <v>0.5</v>
      </c>
      <c r="KW58" s="15"/>
      <c r="KX58" s="392"/>
      <c r="KY58" s="396">
        <v>0.5</v>
      </c>
      <c r="KZ58" s="393">
        <v>0.5</v>
      </c>
      <c r="LA58" s="393">
        <v>0.5</v>
      </c>
      <c r="LB58" s="393">
        <v>0.5</v>
      </c>
      <c r="LC58" s="393">
        <v>0.5</v>
      </c>
      <c r="LD58" s="393">
        <v>0.5</v>
      </c>
      <c r="LE58" s="393">
        <v>0.5</v>
      </c>
      <c r="LF58" s="393">
        <v>0.5</v>
      </c>
      <c r="LG58" s="393">
        <v>0.5</v>
      </c>
      <c r="LH58" s="15"/>
      <c r="LI58" s="15"/>
      <c r="LJ58" s="379"/>
      <c r="LK58" s="375"/>
      <c r="LL58" s="380"/>
      <c r="LM58" s="131">
        <f>SUM(KK58:LL58)</f>
      </c>
      <c r="LN58" s="374"/>
      <c r="LO58" s="375"/>
      <c r="LP58" s="376"/>
      <c r="LQ58" s="15"/>
      <c r="LR58" s="15"/>
      <c r="LS58" s="393">
        <v>0.5</v>
      </c>
      <c r="LT58" s="393">
        <v>0.5</v>
      </c>
      <c r="LU58" s="393">
        <v>0.5</v>
      </c>
      <c r="LV58" s="393">
        <v>0.5</v>
      </c>
      <c r="LW58" s="394">
        <v>0.5</v>
      </c>
      <c r="LX58" s="395">
        <v>0.5</v>
      </c>
      <c r="LY58" s="393">
        <v>0.5</v>
      </c>
      <c r="LZ58" s="15"/>
      <c r="MA58" s="392"/>
      <c r="MB58" s="396">
        <v>0.5</v>
      </c>
      <c r="MC58" s="393">
        <v>0.5</v>
      </c>
      <c r="MD58" s="393">
        <v>0.5</v>
      </c>
      <c r="ME58" s="393">
        <v>0.5</v>
      </c>
      <c r="MF58" s="393">
        <v>0.5</v>
      </c>
      <c r="MG58" s="393">
        <v>0.5</v>
      </c>
      <c r="MH58" s="393">
        <v>0.5</v>
      </c>
      <c r="MI58" s="393">
        <v>0.5</v>
      </c>
      <c r="MJ58" s="393">
        <v>0.5</v>
      </c>
      <c r="MK58" s="15"/>
      <c r="ML58" s="15"/>
      <c r="MM58" s="379"/>
      <c r="MN58" s="375"/>
      <c r="MO58" s="380"/>
      <c r="MP58" s="131">
        <f>SUM(LN58:MO58)</f>
      </c>
      <c r="MQ58" s="121"/>
      <c r="MR58" s="122"/>
      <c r="MS58" s="292"/>
      <c r="MT58" s="196"/>
      <c r="MU58" s="196"/>
      <c r="MV58" s="196"/>
      <c r="MW58" s="196"/>
      <c r="MX58" s="196"/>
      <c r="MY58" s="196"/>
      <c r="MZ58" s="195"/>
      <c r="NA58" s="197"/>
      <c r="NB58" s="196"/>
      <c r="NC58" s="196"/>
      <c r="ND58" s="198"/>
      <c r="NE58" s="292"/>
      <c r="NF58" s="196"/>
      <c r="NG58" s="196"/>
      <c r="NH58" s="196"/>
      <c r="NI58" s="196"/>
      <c r="NJ58" s="196"/>
      <c r="NK58" s="196"/>
      <c r="NL58" s="196"/>
      <c r="NM58" s="196"/>
      <c r="NN58" s="196"/>
      <c r="NO58" s="196"/>
      <c r="NP58" s="195"/>
      <c r="NQ58" s="122"/>
      <c r="NR58" s="194"/>
      <c r="NS58" s="131">
        <f>SUM(MQ58:NR58)</f>
      </c>
      <c r="NT58" s="121"/>
      <c r="NU58" s="122"/>
      <c r="NV58" s="292"/>
      <c r="NW58" s="196"/>
      <c r="NX58" s="196"/>
      <c r="NY58" s="196"/>
      <c r="NZ58" s="196"/>
      <c r="OA58" s="196"/>
      <c r="OB58" s="196"/>
      <c r="OC58" s="195"/>
      <c r="OD58" s="197"/>
      <c r="OE58" s="196"/>
      <c r="OF58" s="196"/>
      <c r="OG58" s="198"/>
      <c r="OH58" s="292"/>
      <c r="OI58" s="196"/>
      <c r="OJ58" s="196"/>
      <c r="OK58" s="196"/>
      <c r="OL58" s="196"/>
      <c r="OM58" s="196"/>
      <c r="ON58" s="196"/>
      <c r="OO58" s="196"/>
      <c r="OP58" s="196"/>
      <c r="OQ58" s="196"/>
      <c r="OR58" s="196"/>
      <c r="OS58" s="195"/>
      <c r="OT58" s="122"/>
      <c r="OU58" s="194"/>
      <c r="OV58" s="131">
        <f>SUM(NT58:OU58)</f>
      </c>
      <c r="OW58" s="150">
        <f>ID58+JG58+KJ58+LM58+MP58+NS58+OV58</f>
      </c>
      <c r="OX58" s="302">
        <f>(COUNTIF(HB58:OV58,"H")+COUNTIF(HB58:OV58,"S")+COUNTIF(HB58:OV58,"L")+COUNTIF(HB58:OV58,"E")+COUNTIF(HB58:OV58,"C"))/2</f>
      </c>
      <c r="OY58" s="131">
        <f>OW58+OX58</f>
      </c>
      <c r="OZ58" s="374"/>
      <c r="PA58" s="375"/>
      <c r="PB58" s="376"/>
      <c r="PC58" s="15"/>
      <c r="PD58" s="15"/>
      <c r="PE58" s="393">
        <v>0.5</v>
      </c>
      <c r="PF58" s="393">
        <v>0.5</v>
      </c>
      <c r="PG58" s="393">
        <v>0.5</v>
      </c>
      <c r="PH58" s="393">
        <v>0.5</v>
      </c>
      <c r="PI58" s="394">
        <v>0.5</v>
      </c>
      <c r="PJ58" s="395">
        <v>0.5</v>
      </c>
      <c r="PK58" s="393">
        <v>0.5</v>
      </c>
      <c r="PL58" s="15"/>
      <c r="PM58" s="392"/>
      <c r="PN58" s="396">
        <v>0.5</v>
      </c>
      <c r="PO58" s="393">
        <v>0.5</v>
      </c>
      <c r="PP58" s="393">
        <v>0.5</v>
      </c>
      <c r="PQ58" s="393">
        <v>0.5</v>
      </c>
      <c r="PR58" s="393">
        <v>0.5</v>
      </c>
      <c r="PS58" s="393">
        <v>0.5</v>
      </c>
      <c r="PT58" s="393">
        <v>0.5</v>
      </c>
      <c r="PU58" s="393">
        <v>0.5</v>
      </c>
      <c r="PV58" s="393">
        <v>0.5</v>
      </c>
      <c r="PW58" s="15"/>
      <c r="PX58" s="15"/>
      <c r="PY58" s="379"/>
      <c r="PZ58" s="375"/>
      <c r="QA58" s="380"/>
      <c r="QB58" s="131">
        <f>SUM(OZ58:QA58)</f>
      </c>
      <c r="QC58" s="374"/>
      <c r="QD58" s="375"/>
      <c r="QE58" s="376"/>
      <c r="QF58" s="15"/>
      <c r="QG58" s="15"/>
      <c r="QH58" s="393">
        <v>0.5</v>
      </c>
      <c r="QI58" s="393">
        <v>0.5</v>
      </c>
      <c r="QJ58" s="393">
        <v>0.5</v>
      </c>
      <c r="QK58" s="393">
        <v>0.5</v>
      </c>
      <c r="QL58" s="394">
        <v>0.5</v>
      </c>
      <c r="QM58" s="395">
        <v>0.5</v>
      </c>
      <c r="QN58" s="393">
        <v>0.5</v>
      </c>
      <c r="QO58" s="15"/>
      <c r="QP58" s="392"/>
      <c r="QQ58" s="396">
        <v>0.5</v>
      </c>
      <c r="QR58" s="393">
        <v>0.5</v>
      </c>
      <c r="QS58" s="393">
        <v>0.5</v>
      </c>
      <c r="QT58" s="393">
        <v>0.5</v>
      </c>
      <c r="QU58" s="393">
        <v>0.5</v>
      </c>
      <c r="QV58" s="393">
        <v>0.5</v>
      </c>
      <c r="QW58" s="393">
        <v>0.5</v>
      </c>
      <c r="QX58" s="393">
        <v>0.5</v>
      </c>
      <c r="QY58" s="393">
        <v>0.5</v>
      </c>
      <c r="QZ58" s="15"/>
      <c r="RA58" s="15"/>
      <c r="RB58" s="379"/>
      <c r="RC58" s="375"/>
      <c r="RD58" s="380"/>
      <c r="RE58" s="131">
        <f>SUM(QC58:RD58)</f>
      </c>
      <c r="RF58" s="374"/>
      <c r="RG58" s="375"/>
      <c r="RH58" s="376"/>
      <c r="RI58" s="15"/>
      <c r="RJ58" s="15"/>
      <c r="RK58" s="393">
        <v>0.5</v>
      </c>
      <c r="RL58" s="393">
        <v>0.5</v>
      </c>
      <c r="RM58" s="393">
        <v>0.5</v>
      </c>
      <c r="RN58" s="393">
        <v>0.5</v>
      </c>
      <c r="RO58" s="394">
        <v>0.5</v>
      </c>
      <c r="RP58" s="395">
        <v>0.5</v>
      </c>
      <c r="RQ58" s="393">
        <v>0.5</v>
      </c>
      <c r="RR58" s="15"/>
      <c r="RS58" s="392"/>
      <c r="RT58" s="396">
        <v>0.5</v>
      </c>
      <c r="RU58" s="393">
        <v>0.5</v>
      </c>
      <c r="RV58" s="393">
        <v>0.5</v>
      </c>
      <c r="RW58" s="393">
        <v>0.5</v>
      </c>
      <c r="RX58" s="393">
        <v>0.5</v>
      </c>
      <c r="RY58" s="393">
        <v>0.5</v>
      </c>
      <c r="RZ58" s="393">
        <v>0.5</v>
      </c>
      <c r="SA58" s="393">
        <v>0.5</v>
      </c>
      <c r="SB58" s="393">
        <v>0.5</v>
      </c>
      <c r="SC58" s="15"/>
      <c r="SD58" s="15"/>
      <c r="SE58" s="379"/>
      <c r="SF58" s="375"/>
      <c r="SG58" s="380"/>
      <c r="SH58" s="131">
        <f>SUM(RF58:SG58)</f>
      </c>
      <c r="SI58" s="374"/>
      <c r="SJ58" s="375"/>
      <c r="SK58" s="376"/>
      <c r="SL58" s="15"/>
      <c r="SM58" s="15"/>
      <c r="SN58" s="393">
        <v>0.5</v>
      </c>
      <c r="SO58" s="393">
        <v>0.5</v>
      </c>
      <c r="SP58" s="393">
        <v>0.5</v>
      </c>
      <c r="SQ58" s="393">
        <v>0.5</v>
      </c>
      <c r="SR58" s="394">
        <v>0.5</v>
      </c>
      <c r="SS58" s="395">
        <v>0.5</v>
      </c>
      <c r="ST58" s="393">
        <v>0.5</v>
      </c>
      <c r="SU58" s="15"/>
      <c r="SV58" s="392"/>
      <c r="SW58" s="396">
        <v>0.5</v>
      </c>
      <c r="SX58" s="393">
        <v>0.5</v>
      </c>
      <c r="SY58" s="393">
        <v>0.5</v>
      </c>
      <c r="SZ58" s="393">
        <v>0.5</v>
      </c>
      <c r="TA58" s="393">
        <v>0.5</v>
      </c>
      <c r="TB58" s="393">
        <v>0.5</v>
      </c>
      <c r="TC58" s="393">
        <v>0.5</v>
      </c>
      <c r="TD58" s="393">
        <v>0.5</v>
      </c>
      <c r="TE58" s="393">
        <v>0.5</v>
      </c>
      <c r="TF58" s="15"/>
      <c r="TG58" s="15"/>
      <c r="TH58" s="379"/>
      <c r="TI58" s="375"/>
      <c r="TJ58" s="380"/>
      <c r="TK58" s="131">
        <f>SUM(SI58:TJ58)</f>
      </c>
      <c r="TL58" s="374"/>
      <c r="TM58" s="375"/>
      <c r="TN58" s="376"/>
      <c r="TO58" s="15"/>
      <c r="TP58" s="15"/>
      <c r="TQ58" s="393">
        <v>0.5</v>
      </c>
      <c r="TR58" s="393">
        <v>0.5</v>
      </c>
      <c r="TS58" s="393">
        <v>0.5</v>
      </c>
      <c r="TT58" s="393">
        <v>0.5</v>
      </c>
      <c r="TU58" s="394">
        <v>0.5</v>
      </c>
      <c r="TV58" s="395">
        <v>0.5</v>
      </c>
      <c r="TW58" s="393">
        <v>0.5</v>
      </c>
      <c r="TX58" s="15"/>
      <c r="TY58" s="392"/>
      <c r="TZ58" s="396">
        <v>0.5</v>
      </c>
      <c r="UA58" s="393">
        <v>0.5</v>
      </c>
      <c r="UB58" s="393">
        <v>0.5</v>
      </c>
      <c r="UC58" s="393">
        <v>0.5</v>
      </c>
      <c r="UD58" s="393">
        <v>0.5</v>
      </c>
      <c r="UE58" s="393">
        <v>0.5</v>
      </c>
      <c r="UF58" s="393">
        <v>0.5</v>
      </c>
      <c r="UG58" s="393">
        <v>0.5</v>
      </c>
      <c r="UH58" s="393">
        <v>0.5</v>
      </c>
      <c r="UI58" s="15"/>
      <c r="UJ58" s="15"/>
      <c r="UK58" s="379"/>
      <c r="UL58" s="375"/>
      <c r="UM58" s="380"/>
      <c r="UN58" s="131">
        <f>SUM(TL58:UM58)</f>
      </c>
      <c r="UO58" s="121"/>
      <c r="UP58" s="122"/>
      <c r="UQ58" s="292"/>
      <c r="UR58" s="196"/>
      <c r="US58" s="196"/>
      <c r="UT58" s="196"/>
      <c r="UU58" s="196"/>
      <c r="UV58" s="196"/>
      <c r="UW58" s="196"/>
      <c r="UX58" s="195"/>
      <c r="UY58" s="197"/>
      <c r="UZ58" s="196"/>
      <c r="VA58" s="196"/>
      <c r="VB58" s="198"/>
      <c r="VC58" s="292"/>
      <c r="VD58" s="196"/>
      <c r="VE58" s="196"/>
      <c r="VF58" s="196"/>
      <c r="VG58" s="196"/>
      <c r="VH58" s="196"/>
      <c r="VI58" s="196"/>
      <c r="VJ58" s="196"/>
      <c r="VK58" s="196"/>
      <c r="VL58" s="196"/>
      <c r="VM58" s="196"/>
      <c r="VN58" s="195"/>
      <c r="VO58" s="122"/>
      <c r="VP58" s="194"/>
      <c r="VQ58" s="131">
        <f>SUM(UO58:VP58)</f>
      </c>
      <c r="VR58" s="121"/>
      <c r="VS58" s="122"/>
      <c r="VT58" s="292"/>
      <c r="VU58" s="196"/>
      <c r="VV58" s="196"/>
      <c r="VW58" s="196"/>
      <c r="VX58" s="196"/>
      <c r="VY58" s="196"/>
      <c r="VZ58" s="196"/>
      <c r="WA58" s="195"/>
      <c r="WB58" s="197"/>
      <c r="WC58" s="196"/>
      <c r="WD58" s="196"/>
      <c r="WE58" s="198"/>
      <c r="WF58" s="292"/>
      <c r="WG58" s="196"/>
      <c r="WH58" s="196"/>
      <c r="WI58" s="196"/>
      <c r="WJ58" s="196"/>
      <c r="WK58" s="196"/>
      <c r="WL58" s="196"/>
      <c r="WM58" s="196"/>
      <c r="WN58" s="196"/>
      <c r="WO58" s="196"/>
      <c r="WP58" s="196"/>
      <c r="WQ58" s="195"/>
      <c r="WR58" s="122"/>
      <c r="WS58" s="194"/>
      <c r="WT58" s="131">
        <f>SUM(VR58:WS58)</f>
      </c>
      <c r="WU58" s="150">
        <f>QB58+RE58+SH58+TK58+UN58+VQ58+WT58</f>
      </c>
      <c r="WV58" s="302">
        <f>(COUNTIF(OZ58:WT58,"H")+COUNTIF(OZ58:WT58,"S")+COUNTIF(OZ58:WT58,"L")+COUNTIF(OZ58:WT58,"E")+COUNTIF(OZ58:WT58,"C"))/2</f>
      </c>
      <c r="WW58" s="131">
        <f>WU58+WV58</f>
      </c>
      <c r="WX58" s="374"/>
      <c r="WY58" s="375"/>
      <c r="WZ58" s="376"/>
      <c r="XA58" s="33">
        <v>0.5</v>
      </c>
      <c r="XB58" s="33">
        <v>0.5</v>
      </c>
      <c r="XC58" s="33">
        <v>0.5</v>
      </c>
      <c r="XD58" s="33">
        <v>0.5</v>
      </c>
      <c r="XE58" s="33">
        <v>0.5</v>
      </c>
      <c r="XF58" s="33">
        <v>0.5</v>
      </c>
      <c r="XG58" s="384">
        <v>0.5</v>
      </c>
      <c r="XH58" s="385">
        <v>0.5</v>
      </c>
      <c r="XI58" s="33">
        <v>0.5</v>
      </c>
      <c r="XJ58" s="33">
        <v>0.5</v>
      </c>
      <c r="XK58" s="386">
        <v>0.5</v>
      </c>
      <c r="XL58" s="387">
        <v>0.5</v>
      </c>
      <c r="XM58" s="29">
        <v>0.5</v>
      </c>
      <c r="XN58" s="29">
        <v>0.5</v>
      </c>
      <c r="XO58" s="29">
        <v>0.5</v>
      </c>
      <c r="XP58" s="29">
        <v>0.5</v>
      </c>
      <c r="XQ58" s="29">
        <v>0.5</v>
      </c>
      <c r="XR58" s="29">
        <v>0.5</v>
      </c>
      <c r="XS58" s="29">
        <v>0.5</v>
      </c>
      <c r="XT58" s="29">
        <v>0.5</v>
      </c>
      <c r="XU58" s="29">
        <v>0.5</v>
      </c>
      <c r="XV58" s="29">
        <v>0.5</v>
      </c>
      <c r="XW58" s="388">
        <v>0.5</v>
      </c>
      <c r="XX58" s="375"/>
      <c r="XY58" s="380"/>
      <c r="XZ58" s="131">
        <f>SUM(WX58:XY58)</f>
      </c>
      <c r="YA58" s="374"/>
      <c r="YB58" s="375"/>
      <c r="YC58" s="376"/>
      <c r="YD58" s="15"/>
      <c r="YE58" s="15"/>
      <c r="YF58" s="15"/>
      <c r="YG58" s="29">
        <v>0.5</v>
      </c>
      <c r="YH58" s="29">
        <v>0.5</v>
      </c>
      <c r="YI58" s="29">
        <v>0.5</v>
      </c>
      <c r="YJ58" s="388">
        <v>0.5</v>
      </c>
      <c r="YK58" s="390">
        <v>0.5</v>
      </c>
      <c r="YL58" s="29">
        <v>0.5</v>
      </c>
      <c r="YM58" s="15"/>
      <c r="YN58" s="392"/>
      <c r="YO58" s="387">
        <v>0.5</v>
      </c>
      <c r="YP58" s="29">
        <v>0.5</v>
      </c>
      <c r="YQ58" s="29">
        <v>0.5</v>
      </c>
      <c r="YR58" s="29">
        <v>0.5</v>
      </c>
      <c r="YS58" s="29">
        <v>0.5</v>
      </c>
      <c r="YT58" s="29">
        <v>0.5</v>
      </c>
      <c r="YU58" s="29">
        <v>0.5</v>
      </c>
      <c r="YV58" s="29">
        <v>0.5</v>
      </c>
      <c r="YW58" s="29">
        <v>0.5</v>
      </c>
      <c r="YX58" s="29">
        <v>0.5</v>
      </c>
      <c r="YY58" s="29">
        <v>0.5</v>
      </c>
      <c r="YZ58" s="388">
        <v>0.5</v>
      </c>
      <c r="ZA58" s="375"/>
      <c r="ZB58" s="380"/>
      <c r="ZC58" s="131">
        <f>SUM(YA58:ZB58)</f>
      </c>
      <c r="ZD58" s="374"/>
      <c r="ZE58" s="375"/>
      <c r="ZF58" s="376"/>
      <c r="ZG58" s="15"/>
      <c r="ZH58" s="15"/>
      <c r="ZI58" s="15"/>
      <c r="ZJ58" s="29">
        <v>0.5</v>
      </c>
      <c r="ZK58" s="29">
        <v>0.5</v>
      </c>
      <c r="ZL58" s="29">
        <v>0.5</v>
      </c>
      <c r="ZM58" s="388">
        <v>0.5</v>
      </c>
      <c r="ZN58" s="390">
        <v>0.5</v>
      </c>
      <c r="ZO58" s="29">
        <v>0.5</v>
      </c>
      <c r="ZP58" s="15"/>
      <c r="ZQ58" s="392"/>
      <c r="ZR58" s="387">
        <v>0.5</v>
      </c>
      <c r="ZS58" s="29">
        <v>0.5</v>
      </c>
      <c r="ZT58" s="29">
        <v>0.5</v>
      </c>
      <c r="ZU58" s="29">
        <v>0.5</v>
      </c>
      <c r="ZV58" s="29">
        <v>0.5</v>
      </c>
      <c r="ZW58" s="29">
        <v>0.5</v>
      </c>
      <c r="ZX58" s="29">
        <v>0.5</v>
      </c>
      <c r="ZY58" s="29">
        <v>0.5</v>
      </c>
      <c r="ZZ58" s="29">
        <v>0.5</v>
      </c>
      <c r="AAA58" s="29">
        <v>0.5</v>
      </c>
      <c r="AAB58" s="29">
        <v>0.5</v>
      </c>
      <c r="AAC58" s="388">
        <v>0.5</v>
      </c>
      <c r="AAD58" s="375"/>
      <c r="AAE58" s="380"/>
      <c r="AAF58" s="131">
        <f>SUM(ZD58:AAE58)</f>
      </c>
      <c r="AAG58" s="374"/>
      <c r="AAH58" s="375"/>
      <c r="AAI58" s="376"/>
      <c r="AAJ58" s="29">
        <v>0.5</v>
      </c>
      <c r="AAK58" s="29">
        <v>0.5</v>
      </c>
      <c r="AAL58" s="29">
        <v>0.5</v>
      </c>
      <c r="AAM58" s="29">
        <v>0.5</v>
      </c>
      <c r="AAN58" s="29">
        <v>0.5</v>
      </c>
      <c r="AAO58" s="29">
        <v>0.5</v>
      </c>
      <c r="AAP58" s="388">
        <v>0.5</v>
      </c>
      <c r="AAQ58" s="390">
        <v>0.5</v>
      </c>
      <c r="AAR58" s="29">
        <v>0.5</v>
      </c>
      <c r="AAS58" s="33">
        <v>0.5</v>
      </c>
      <c r="AAT58" s="386">
        <v>0.5</v>
      </c>
      <c r="AAU58" s="391">
        <v>0.5</v>
      </c>
      <c r="AAV58" s="33">
        <v>0.5</v>
      </c>
      <c r="AAW58" s="33">
        <v>0.5</v>
      </c>
      <c r="AAX58" s="33">
        <v>0.5</v>
      </c>
      <c r="AAY58" s="33">
        <v>0.5</v>
      </c>
      <c r="AAZ58" s="33">
        <v>0.5</v>
      </c>
      <c r="ABA58" s="33">
        <v>0.5</v>
      </c>
      <c r="ABB58" s="33">
        <v>0.5</v>
      </c>
      <c r="ABC58" s="33">
        <v>0.5</v>
      </c>
      <c r="ABD58" s="33">
        <v>0.5</v>
      </c>
      <c r="ABE58" s="15"/>
      <c r="ABF58" s="379"/>
      <c r="ABG58" s="375"/>
      <c r="ABH58" s="380"/>
      <c r="ABI58" s="131">
        <f>SUM(AAG58:ABH58)</f>
      </c>
      <c r="ABJ58" s="374"/>
      <c r="ABK58" s="375"/>
      <c r="ABL58" s="376"/>
      <c r="ABM58" s="15"/>
      <c r="ABN58" s="15"/>
      <c r="ABO58" s="15"/>
      <c r="ABP58" s="15"/>
      <c r="ABQ58" s="15"/>
      <c r="ABR58" s="15"/>
      <c r="ABS58" s="379"/>
      <c r="ABT58" s="377"/>
      <c r="ABU58" s="15"/>
      <c r="ABV58" s="15"/>
      <c r="ABW58" s="392"/>
      <c r="ABX58" s="376"/>
      <c r="ABY58" s="15"/>
      <c r="ABZ58" s="15"/>
      <c r="ACA58" s="15"/>
      <c r="ACB58" s="15"/>
      <c r="ACC58" s="15"/>
      <c r="ACD58" s="15"/>
      <c r="ACE58" s="15"/>
      <c r="ACF58" s="15"/>
      <c r="ACG58" s="15"/>
      <c r="ACH58" s="15"/>
      <c r="ACI58" s="379"/>
      <c r="ACJ58" s="375"/>
      <c r="ACK58" s="380"/>
      <c r="ACL58" s="131">
        <f>SUM(ABJ58:ACK58)</f>
      </c>
      <c r="ACM58" s="121"/>
      <c r="ACN58" s="122"/>
      <c r="ACO58" s="292"/>
      <c r="ACP58" s="196"/>
      <c r="ACQ58" s="196"/>
      <c r="ACR58" s="196"/>
      <c r="ACS58" s="196"/>
      <c r="ACT58" s="196"/>
      <c r="ACU58" s="196"/>
      <c r="ACV58" s="195"/>
      <c r="ACW58" s="197"/>
      <c r="ACX58" s="196"/>
      <c r="ACY58" s="196"/>
      <c r="ACZ58" s="198"/>
      <c r="ADA58" s="292"/>
      <c r="ADB58" s="196"/>
      <c r="ADC58" s="196"/>
      <c r="ADD58" s="196"/>
      <c r="ADE58" s="196"/>
      <c r="ADF58" s="196"/>
      <c r="ADG58" s="196"/>
      <c r="ADH58" s="196"/>
      <c r="ADI58" s="196"/>
      <c r="ADJ58" s="196"/>
      <c r="ADK58" s="196"/>
      <c r="ADL58" s="195"/>
      <c r="ADM58" s="122"/>
      <c r="ADN58" s="194"/>
      <c r="ADO58" s="131">
        <f>SUM(ACM58:ADN58)</f>
      </c>
      <c r="ADP58" s="121"/>
      <c r="ADQ58" s="122"/>
      <c r="ADR58" s="292"/>
      <c r="ADS58" s="196"/>
      <c r="ADT58" s="196"/>
      <c r="ADU58" s="196"/>
      <c r="ADV58" s="196"/>
      <c r="ADW58" s="196"/>
      <c r="ADX58" s="196"/>
      <c r="ADY58" s="195"/>
      <c r="ADZ58" s="197"/>
      <c r="AEA58" s="196"/>
      <c r="AEB58" s="196"/>
      <c r="AEC58" s="198"/>
      <c r="AED58" s="292"/>
      <c r="AEE58" s="196"/>
      <c r="AEF58" s="196"/>
      <c r="AEG58" s="196"/>
      <c r="AEH58" s="196"/>
      <c r="AEI58" s="196"/>
      <c r="AEJ58" s="196"/>
      <c r="AEK58" s="196"/>
      <c r="AEL58" s="196"/>
      <c r="AEM58" s="196"/>
      <c r="AEN58" s="196"/>
      <c r="AEO58" s="195"/>
      <c r="AEP58" s="122"/>
      <c r="AEQ58" s="194"/>
      <c r="AER58" s="131">
        <f>SUM(ADP58:AEQ58)</f>
      </c>
      <c r="AES58" s="150">
        <f>XZ58+ZC58+AAF58+ABI58+ACL58+ADO58+AER58</f>
      </c>
      <c r="AET58" s="302">
        <f>(COUNTIF(WX58:AER58,"H")+COUNTIF(WX58:AER58,"S")+COUNTIF(WX58:AER58,"L")+COUNTIF(WX58:AER58,"E")+COUNTIF(WX58:AER58,"C"))/2</f>
      </c>
      <c r="AEU58" s="131">
        <f>AES58+AET58</f>
      </c>
      <c r="AEV58" s="134"/>
      <c r="AEW58" s="135"/>
      <c r="AEX58" s="295"/>
      <c r="AEY58" s="377" t="s">
        <v>4</v>
      </c>
      <c r="AEZ58" s="377" t="s">
        <v>4</v>
      </c>
      <c r="AFA58" s="377" t="s">
        <v>4</v>
      </c>
      <c r="AFB58" s="377" t="s">
        <v>4</v>
      </c>
      <c r="AFC58" s="377" t="s">
        <v>4</v>
      </c>
      <c r="AFD58" s="377" t="s">
        <v>4</v>
      </c>
      <c r="AFE58" s="377" t="s">
        <v>4</v>
      </c>
      <c r="AFF58" s="381" t="s">
        <v>4</v>
      </c>
      <c r="AFG58" s="207"/>
      <c r="AFH58" s="207"/>
      <c r="AFI58" s="382" t="s">
        <v>4</v>
      </c>
      <c r="AFJ58" s="383" t="s">
        <v>4</v>
      </c>
      <c r="AFK58" s="377" t="s">
        <v>4</v>
      </c>
      <c r="AFL58" s="377" t="s">
        <v>4</v>
      </c>
      <c r="AFM58" s="377" t="s">
        <v>4</v>
      </c>
      <c r="AFN58" s="377" t="s">
        <v>4</v>
      </c>
      <c r="AFO58" s="377" t="s">
        <v>4</v>
      </c>
      <c r="AFP58" s="377" t="s">
        <v>4</v>
      </c>
      <c r="AFQ58" s="207"/>
      <c r="AFR58" s="207"/>
      <c r="AFS58" s="207"/>
      <c r="AFT58" s="207"/>
      <c r="AFU58" s="202"/>
      <c r="AFV58" s="135"/>
      <c r="AFW58" s="201"/>
      <c r="AFX58" s="131">
        <f>SUM(AEV58:AFW58)</f>
      </c>
      <c r="AFY58" s="374"/>
      <c r="AFZ58" s="375"/>
      <c r="AGA58" s="376"/>
      <c r="AGB58" s="15"/>
      <c r="AGC58" s="15"/>
      <c r="AGD58" s="393">
        <v>0.5</v>
      </c>
      <c r="AGE58" s="393">
        <v>0.5</v>
      </c>
      <c r="AGF58" s="393">
        <v>0.5</v>
      </c>
      <c r="AGG58" s="393">
        <v>0.5</v>
      </c>
      <c r="AGH58" s="394">
        <v>0.5</v>
      </c>
      <c r="AGI58" s="395">
        <v>0.5</v>
      </c>
      <c r="AGJ58" s="393">
        <v>0.5</v>
      </c>
      <c r="AGK58" s="15"/>
      <c r="AGL58" s="392"/>
      <c r="AGM58" s="396">
        <v>0.5</v>
      </c>
      <c r="AGN58" s="393">
        <v>0.5</v>
      </c>
      <c r="AGO58" s="393">
        <v>0.5</v>
      </c>
      <c r="AGP58" s="393">
        <v>0.5</v>
      </c>
      <c r="AGQ58" s="393">
        <v>0.5</v>
      </c>
      <c r="AGR58" s="393">
        <v>0.5</v>
      </c>
      <c r="AGS58" s="393">
        <v>0.5</v>
      </c>
      <c r="AGT58" s="393">
        <v>0.5</v>
      </c>
      <c r="AGU58" s="393">
        <v>0.5</v>
      </c>
      <c r="AGV58" s="15"/>
      <c r="AGW58" s="15"/>
      <c r="AGX58" s="379"/>
      <c r="AGY58" s="375"/>
      <c r="AGZ58" s="380"/>
      <c r="AHA58" s="131">
        <f>SUM(AFY58:AGZ58)</f>
      </c>
      <c r="AHB58" s="374"/>
      <c r="AHC58" s="375"/>
      <c r="AHD58" s="376"/>
      <c r="AHE58" s="15"/>
      <c r="AHF58" s="15"/>
      <c r="AHG58" s="393">
        <v>0.5</v>
      </c>
      <c r="AHH58" s="393">
        <v>0.5</v>
      </c>
      <c r="AHI58" s="393">
        <v>0.5</v>
      </c>
      <c r="AHJ58" s="393">
        <v>0.5</v>
      </c>
      <c r="AHK58" s="394">
        <v>0.5</v>
      </c>
      <c r="AHL58" s="395">
        <v>0.5</v>
      </c>
      <c r="AHM58" s="393">
        <v>0.5</v>
      </c>
      <c r="AHN58" s="15"/>
      <c r="AHO58" s="392"/>
      <c r="AHP58" s="396">
        <v>0.5</v>
      </c>
      <c r="AHQ58" s="393">
        <v>0.5</v>
      </c>
      <c r="AHR58" s="393">
        <v>0.5</v>
      </c>
      <c r="AHS58" s="393">
        <v>0.5</v>
      </c>
      <c r="AHT58" s="393">
        <v>0.5</v>
      </c>
      <c r="AHU58" s="393">
        <v>0.5</v>
      </c>
      <c r="AHV58" s="393">
        <v>0.5</v>
      </c>
      <c r="AHW58" s="393">
        <v>0.5</v>
      </c>
      <c r="AHX58" s="393">
        <v>0.5</v>
      </c>
      <c r="AHY58" s="15"/>
      <c r="AHZ58" s="15"/>
      <c r="AIA58" s="379"/>
      <c r="AIB58" s="375"/>
      <c r="AIC58" s="380"/>
      <c r="AID58" s="131">
        <f>SUM(AHB58:AIC58)</f>
      </c>
      <c r="AIE58" s="374"/>
      <c r="AIF58" s="375"/>
      <c r="AIG58" s="376"/>
      <c r="AIH58" s="15"/>
      <c r="AII58" s="15"/>
      <c r="AIJ58" s="393">
        <v>0.5</v>
      </c>
      <c r="AIK58" s="393">
        <v>0.5</v>
      </c>
      <c r="AIL58" s="393">
        <v>0.5</v>
      </c>
      <c r="AIM58" s="393">
        <v>0.5</v>
      </c>
      <c r="AIN58" s="394">
        <v>0.5</v>
      </c>
      <c r="AIO58" s="395">
        <v>0.5</v>
      </c>
      <c r="AIP58" s="393">
        <v>0.5</v>
      </c>
      <c r="AIQ58" s="15"/>
      <c r="AIR58" s="392"/>
      <c r="AIS58" s="396">
        <v>0.5</v>
      </c>
      <c r="AIT58" s="393">
        <v>0.5</v>
      </c>
      <c r="AIU58" s="393">
        <v>0.5</v>
      </c>
      <c r="AIV58" s="393">
        <v>0.5</v>
      </c>
      <c r="AIW58" s="393">
        <v>0.5</v>
      </c>
      <c r="AIX58" s="393">
        <v>0.5</v>
      </c>
      <c r="AIY58" s="393">
        <v>0.5</v>
      </c>
      <c r="AIZ58" s="393">
        <v>0.5</v>
      </c>
      <c r="AJA58" s="393">
        <v>0.5</v>
      </c>
      <c r="AJB58" s="15"/>
      <c r="AJC58" s="15"/>
      <c r="AJD58" s="379"/>
      <c r="AJE58" s="375"/>
      <c r="AJF58" s="380"/>
      <c r="AJG58" s="131">
        <f>SUM(AIE58:AJF58)</f>
      </c>
      <c r="AJH58" s="374"/>
      <c r="AJI58" s="375"/>
      <c r="AJJ58" s="376"/>
      <c r="AJK58" s="15"/>
      <c r="AJL58" s="15"/>
      <c r="AJM58" s="393">
        <v>0.5</v>
      </c>
      <c r="AJN58" s="393">
        <v>0.5</v>
      </c>
      <c r="AJO58" s="393">
        <v>0.5</v>
      </c>
      <c r="AJP58" s="393">
        <v>0.5</v>
      </c>
      <c r="AJQ58" s="394">
        <v>0.5</v>
      </c>
      <c r="AJR58" s="395">
        <v>0.5</v>
      </c>
      <c r="AJS58" s="393">
        <v>0.5</v>
      </c>
      <c r="AJT58" s="15"/>
      <c r="AJU58" s="392"/>
      <c r="AJV58" s="396">
        <v>0.5</v>
      </c>
      <c r="AJW58" s="393">
        <v>0.5</v>
      </c>
      <c r="AJX58" s="393">
        <v>0.5</v>
      </c>
      <c r="AJY58" s="393">
        <v>0.5</v>
      </c>
      <c r="AJZ58" s="393">
        <v>0.5</v>
      </c>
      <c r="AKA58" s="393">
        <v>0.5</v>
      </c>
      <c r="AKB58" s="393">
        <v>0.5</v>
      </c>
      <c r="AKC58" s="393">
        <v>0.5</v>
      </c>
      <c r="AKD58" s="393">
        <v>0.5</v>
      </c>
      <c r="AKE58" s="15"/>
      <c r="AKF58" s="15"/>
      <c r="AKG58" s="379"/>
      <c r="AKH58" s="375"/>
      <c r="AKI58" s="380"/>
      <c r="AKJ58" s="131">
        <f>SUM(AJH58:AKI58)</f>
      </c>
      <c r="AKK58" s="121"/>
      <c r="AKL58" s="122"/>
      <c r="AKM58" s="292"/>
      <c r="AKN58" s="196"/>
      <c r="AKO58" s="196"/>
      <c r="AKP58" s="196"/>
      <c r="AKQ58" s="196"/>
      <c r="AKR58" s="196"/>
      <c r="AKS58" s="196"/>
      <c r="AKT58" s="195"/>
      <c r="AKU58" s="197"/>
      <c r="AKV58" s="196"/>
      <c r="AKW58" s="196"/>
      <c r="AKX58" s="198"/>
      <c r="AKY58" s="292"/>
      <c r="AKZ58" s="196"/>
      <c r="ALA58" s="196"/>
      <c r="ALB58" s="196"/>
      <c r="ALC58" s="196"/>
      <c r="ALD58" s="196"/>
      <c r="ALE58" s="196"/>
      <c r="ALF58" s="196"/>
      <c r="ALG58" s="196"/>
      <c r="ALH58" s="196"/>
      <c r="ALI58" s="196"/>
      <c r="ALJ58" s="195"/>
      <c r="ALK58" s="122"/>
      <c r="ALL58" s="194"/>
      <c r="ALM58" s="131">
        <f>SUM(AKK58:ALL58)</f>
      </c>
      <c r="ALN58" s="121"/>
      <c r="ALO58" s="122"/>
      <c r="ALP58" s="292"/>
      <c r="ALQ58" s="196"/>
      <c r="ALR58" s="196"/>
      <c r="ALS58" s="196"/>
      <c r="ALT58" s="196"/>
      <c r="ALU58" s="196"/>
      <c r="ALV58" s="196"/>
      <c r="ALW58" s="195"/>
      <c r="ALX58" s="197"/>
      <c r="ALY58" s="196"/>
      <c r="ALZ58" s="196"/>
      <c r="AMA58" s="198"/>
      <c r="AMB58" s="292"/>
      <c r="AMC58" s="196"/>
      <c r="AMD58" s="196"/>
      <c r="AME58" s="196"/>
      <c r="AMF58" s="196"/>
      <c r="AMG58" s="196"/>
      <c r="AMH58" s="196"/>
      <c r="AMI58" s="196"/>
      <c r="AMJ58" s="196"/>
      <c r="AMK58" s="196"/>
      <c r="AML58" s="196"/>
      <c r="AMM58" s="195"/>
      <c r="AMN58" s="122"/>
      <c r="AMO58" s="194"/>
      <c r="AMP58" s="131">
        <f>SUM(ALN58:AMO58)</f>
      </c>
      <c r="AMQ58" s="150">
        <f>AFX58+AHA58+AID58+AJG58+AKJ58+ALM58+AMP58</f>
      </c>
      <c r="AMR58" s="302">
        <f>(COUNTIF(AEV58:AMP58,"H")+COUNTIF(AEV58:AMP58,"S")+COUNTIF(AEV58:AMP58,"L")+COUNTIF(AEV58:AMP58,"E")+COUNTIF(AEV58:AMP58,"C"))/2</f>
      </c>
      <c r="AMS58" s="131">
        <f>AMQ58+AMR58</f>
      </c>
      <c r="AMT58" s="4"/>
      <c r="AMU58" s="4"/>
      <c r="AMV58" s="4"/>
      <c r="AMW58" s="4"/>
      <c r="AMX58" s="4"/>
      <c r="AMY58" s="4"/>
      <c r="AMZ58" s="4"/>
      <c r="ANA58" s="4"/>
      <c r="ANB58" s="4"/>
      <c r="ANC58" s="4"/>
      <c r="AND58" s="4"/>
      <c r="ANE58" s="4"/>
      <c r="ANF58" s="4"/>
      <c r="ANG58" s="4"/>
      <c r="ANH58" s="4"/>
      <c r="ANI58" s="4"/>
      <c r="ANJ58" s="13"/>
      <c r="ANK58" s="13"/>
      <c r="ANL58" s="4"/>
      <c r="ANM58" s="4"/>
      <c r="ANN58" s="4"/>
      <c r="ANO58" s="4"/>
      <c r="ANP58" s="4"/>
      <c r="ANQ58" s="4"/>
      <c r="ANR58" s="4"/>
      <c r="ANS58" s="4"/>
      <c r="ANT58" s="4"/>
      <c r="ANU58" s="4"/>
      <c r="ANV58" s="4"/>
      <c r="ANW58" s="4"/>
      <c r="ANX58" s="4"/>
      <c r="ANY58" s="4"/>
      <c r="ANZ58" s="4"/>
      <c r="AOA58" s="4"/>
      <c r="AOB58" s="4"/>
      <c r="AOC58" s="4"/>
      <c r="AOD58" s="4"/>
      <c r="AOE58" s="4"/>
      <c r="AOF58" s="4"/>
      <c r="AOG58" s="4"/>
      <c r="AOH58" s="4"/>
      <c r="AOI58" s="4"/>
      <c r="AOJ58" s="4"/>
      <c r="AOK58" s="4"/>
      <c r="AOL58" s="4"/>
      <c r="AOM58" s="4"/>
      <c r="AON58" s="4"/>
      <c r="AOO58" s="4"/>
      <c r="AOP58" s="4"/>
      <c r="AOQ58" s="4"/>
      <c r="AOR58" s="4"/>
      <c r="AOS58" s="4"/>
      <c r="AOT58" s="4"/>
      <c r="AOU58" s="4"/>
      <c r="AOV58" s="4"/>
      <c r="AOW58" s="4"/>
      <c r="AOX58" s="4"/>
      <c r="AOY58" s="4"/>
      <c r="AOZ58" s="4"/>
      <c r="APA58" s="4"/>
      <c r="APB58" s="4"/>
      <c r="APC58" s="4"/>
      <c r="APD58" s="4"/>
      <c r="APE58" s="4"/>
      <c r="APF58" s="4"/>
      <c r="APG58" s="4"/>
      <c r="APH58" s="4"/>
      <c r="API58" s="4"/>
      <c r="APJ58" s="4"/>
      <c r="APK58" s="4"/>
      <c r="APL58" s="4"/>
      <c r="APM58" s="4"/>
      <c r="APN58" s="4"/>
      <c r="APO58" s="4"/>
      <c r="APP58" s="4"/>
      <c r="APQ58" s="4"/>
      <c r="APR58" s="4"/>
      <c r="APS58" s="4"/>
      <c r="APT58" s="4"/>
      <c r="APU58" s="4"/>
      <c r="APV58" s="4"/>
      <c r="APW58" s="4"/>
      <c r="APX58" s="4"/>
      <c r="APY58" s="4"/>
      <c r="APZ58" s="4"/>
      <c r="AQA58" s="4"/>
      <c r="AQB58" s="4"/>
      <c r="AQC58" s="4"/>
      <c r="AQD58" s="4"/>
      <c r="AQE58" s="4"/>
      <c r="AQF58" s="4"/>
      <c r="AQG58" s="4"/>
      <c r="AQH58" s="4"/>
      <c r="AQI58" s="4"/>
      <c r="AQJ58" s="4"/>
      <c r="AQK58" s="4"/>
      <c r="AQL58" s="4"/>
      <c r="AQM58" s="4"/>
      <c r="AQN58" s="4"/>
      <c r="AQO58" s="4"/>
      <c r="AQP58" s="4"/>
      <c r="AQQ58" s="4"/>
      <c r="AQR58" s="4"/>
      <c r="AQS58" s="4"/>
      <c r="AQT58" s="4"/>
      <c r="AQU58" s="4"/>
      <c r="AQV58" s="4"/>
      <c r="AQW58" s="4"/>
      <c r="AQX58" s="4"/>
      <c r="AQY58" s="4"/>
      <c r="AQZ58" s="4"/>
      <c r="ARA58" s="4"/>
      <c r="ARB58" s="4"/>
      <c r="ARC58" s="4"/>
      <c r="ARD58" s="4"/>
      <c r="ARE58" s="4"/>
      <c r="ARF58" s="4"/>
      <c r="ARG58" s="4"/>
      <c r="ARH58" s="4"/>
      <c r="ARI58" s="4"/>
      <c r="ARJ58" s="4"/>
      <c r="ARK58" s="4"/>
      <c r="ARL58" s="4"/>
      <c r="ARM58" s="4"/>
      <c r="ARN58" s="4"/>
      <c r="ARO58" s="4"/>
      <c r="ARP58" s="4"/>
      <c r="ARQ58" s="4"/>
      <c r="ARR58" s="4"/>
      <c r="ARS58" s="4"/>
      <c r="ART58" s="4"/>
      <c r="ARU58" s="4"/>
      <c r="ARV58" s="4"/>
      <c r="ARW58" s="4"/>
      <c r="ARX58" s="4"/>
      <c r="ARY58" s="4"/>
      <c r="ARZ58" s="4"/>
      <c r="ASA58" s="4"/>
      <c r="ASB58" s="4"/>
      <c r="ASC58" s="4"/>
      <c r="ASD58" s="4"/>
      <c r="ASE58" s="4"/>
      <c r="ASF58" s="4"/>
      <c r="ASG58" s="4"/>
      <c r="ASH58" s="4"/>
      <c r="ASI58" s="4"/>
      <c r="ASJ58" s="4"/>
      <c r="ASK58" s="4"/>
      <c r="ASL58" s="4"/>
      <c r="ASM58" s="4"/>
      <c r="ASN58" s="4"/>
      <c r="ASO58" s="4"/>
      <c r="ASP58" s="4"/>
      <c r="ASQ58" s="4"/>
      <c r="ASR58" s="4"/>
      <c r="ASS58" s="4"/>
      <c r="AST58" s="4"/>
      <c r="ASU58" s="4"/>
    </row>
    <row r="59" ht="15" customHeight="1" spans="1:1191" x14ac:dyDescent="0.25">
      <c r="A59" s="118"/>
      <c r="B59" s="397" t="s">
        <v>96</v>
      </c>
      <c r="C59" s="289" t="s">
        <v>55</v>
      </c>
      <c r="D59" s="121"/>
      <c r="E59" s="122"/>
      <c r="F59" s="292"/>
      <c r="G59" s="196"/>
      <c r="H59" s="196"/>
      <c r="I59" s="196"/>
      <c r="J59" s="196"/>
      <c r="K59" s="196"/>
      <c r="L59" s="196"/>
      <c r="M59" s="195"/>
      <c r="N59" s="197"/>
      <c r="O59" s="196"/>
      <c r="P59" s="196"/>
      <c r="Q59" s="198"/>
      <c r="R59" s="292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5"/>
      <c r="AD59" s="122"/>
      <c r="AE59" s="194"/>
      <c r="AF59" s="130">
        <f>SUM(D59:AE59)</f>
      </c>
      <c r="AG59" s="121"/>
      <c r="AH59" s="122"/>
      <c r="AI59" s="292"/>
      <c r="AJ59" s="196"/>
      <c r="AK59" s="196"/>
      <c r="AL59" s="196"/>
      <c r="AM59" s="196"/>
      <c r="AN59" s="196"/>
      <c r="AO59" s="196"/>
      <c r="AP59" s="195"/>
      <c r="AQ59" s="197"/>
      <c r="AR59" s="196"/>
      <c r="AS59" s="196"/>
      <c r="AT59" s="198"/>
      <c r="AU59" s="292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5"/>
      <c r="BG59" s="122"/>
      <c r="BH59" s="194"/>
      <c r="BI59" s="130">
        <f>SUM(AG59:BH59)</f>
      </c>
      <c r="BJ59" s="121"/>
      <c r="BK59" s="122"/>
      <c r="BL59" s="292"/>
      <c r="BM59" s="196"/>
      <c r="BN59" s="196"/>
      <c r="BO59" s="196"/>
      <c r="BP59" s="196"/>
      <c r="BQ59" s="196"/>
      <c r="BR59" s="196"/>
      <c r="BS59" s="195"/>
      <c r="BT59" s="197"/>
      <c r="BU59" s="196"/>
      <c r="BV59" s="196"/>
      <c r="BW59" s="198"/>
      <c r="BX59" s="292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5"/>
      <c r="CJ59" s="122"/>
      <c r="CK59" s="194"/>
      <c r="CL59" s="130">
        <f>SUM(BJ59:CK59)</f>
      </c>
      <c r="CM59" s="121"/>
      <c r="CN59" s="122"/>
      <c r="CO59" s="292"/>
      <c r="CP59" s="196"/>
      <c r="CQ59" s="196"/>
      <c r="CR59" s="196"/>
      <c r="CS59" s="196"/>
      <c r="CT59" s="196"/>
      <c r="CU59" s="196"/>
      <c r="CV59" s="195"/>
      <c r="CW59" s="197"/>
      <c r="CX59" s="196"/>
      <c r="CY59" s="196"/>
      <c r="CZ59" s="198"/>
      <c r="DA59" s="292"/>
      <c r="DB59" s="196"/>
      <c r="DC59" s="196"/>
      <c r="DD59" s="196"/>
      <c r="DE59" s="196"/>
      <c r="DF59" s="196"/>
      <c r="DG59" s="196"/>
      <c r="DH59" s="196"/>
      <c r="DI59" s="196"/>
      <c r="DJ59" s="196"/>
      <c r="DK59" s="196"/>
      <c r="DL59" s="195"/>
      <c r="DM59" s="122"/>
      <c r="DN59" s="194"/>
      <c r="DO59" s="130">
        <f>SUM(CM59:DN59)</f>
      </c>
      <c r="DP59" s="121"/>
      <c r="DQ59" s="122"/>
      <c r="DR59" s="292"/>
      <c r="DS59" s="196"/>
      <c r="DT59" s="196"/>
      <c r="DU59" s="196"/>
      <c r="DV59" s="196"/>
      <c r="DW59" s="196"/>
      <c r="DX59" s="196"/>
      <c r="DY59" s="195"/>
      <c r="DZ59" s="197"/>
      <c r="EA59" s="196"/>
      <c r="EB59" s="196"/>
      <c r="EC59" s="198"/>
      <c r="ED59" s="292"/>
      <c r="EE59" s="196"/>
      <c r="EF59" s="196"/>
      <c r="EG59" s="196"/>
      <c r="EH59" s="196"/>
      <c r="EI59" s="196"/>
      <c r="EJ59" s="196"/>
      <c r="EK59" s="196"/>
      <c r="EL59" s="196"/>
      <c r="EM59" s="196"/>
      <c r="EN59" s="196"/>
      <c r="EO59" s="195"/>
      <c r="EP59" s="122"/>
      <c r="EQ59" s="194"/>
      <c r="ER59" s="130">
        <f>SUM(DP59:EQ59)</f>
      </c>
      <c r="ES59" s="121"/>
      <c r="ET59" s="122"/>
      <c r="EU59" s="292"/>
      <c r="EV59" s="196"/>
      <c r="EW59" s="196"/>
      <c r="EX59" s="196"/>
      <c r="EY59" s="196"/>
      <c r="EZ59" s="196"/>
      <c r="FA59" s="196"/>
      <c r="FB59" s="195"/>
      <c r="FC59" s="197"/>
      <c r="FD59" s="196"/>
      <c r="FE59" s="196"/>
      <c r="FF59" s="198"/>
      <c r="FG59" s="292"/>
      <c r="FH59" s="196"/>
      <c r="FI59" s="196"/>
      <c r="FJ59" s="196"/>
      <c r="FK59" s="196"/>
      <c r="FL59" s="196"/>
      <c r="FM59" s="196"/>
      <c r="FN59" s="196"/>
      <c r="FO59" s="196"/>
      <c r="FP59" s="196"/>
      <c r="FQ59" s="196"/>
      <c r="FR59" s="195"/>
      <c r="FS59" s="122"/>
      <c r="FT59" s="194"/>
      <c r="FU59" s="130">
        <f>SUM(ES59:FT59)</f>
      </c>
      <c r="FV59" s="121"/>
      <c r="FW59" s="122"/>
      <c r="FX59" s="292"/>
      <c r="FY59" s="196"/>
      <c r="FZ59" s="196"/>
      <c r="GA59" s="196"/>
      <c r="GB59" s="196"/>
      <c r="GC59" s="196"/>
      <c r="GD59" s="196"/>
      <c r="GE59" s="195"/>
      <c r="GF59" s="197"/>
      <c r="GG59" s="196"/>
      <c r="GH59" s="196"/>
      <c r="GI59" s="198"/>
      <c r="GJ59" s="292"/>
      <c r="GK59" s="196"/>
      <c r="GL59" s="196"/>
      <c r="GM59" s="196"/>
      <c r="GN59" s="196"/>
      <c r="GO59" s="196"/>
      <c r="GP59" s="196"/>
      <c r="GQ59" s="196"/>
      <c r="GR59" s="196"/>
      <c r="GS59" s="196"/>
      <c r="GT59" s="196"/>
      <c r="GU59" s="195"/>
      <c r="GV59" s="122"/>
      <c r="GW59" s="194"/>
      <c r="GX59" s="130">
        <f>SUM(FV59:GW59)</f>
      </c>
      <c r="GY59" s="132">
        <f>AF59+BI59+CL59+DO59+ER59+FU59+GX59</f>
      </c>
      <c r="GZ59" s="133">
        <f>(COUNTIF(D59:GX59,"H")+COUNTIF(D59:GX59,"S")+COUNTIF(D59:GX59,"L")+COUNTIF(D59:GX59,"E")+COUNTIF(D59:GX59,"C"))/2</f>
      </c>
      <c r="HA59" s="130">
        <f>GY59+GZ59</f>
      </c>
      <c r="HB59" s="374"/>
      <c r="HC59" s="375"/>
      <c r="HD59" s="398">
        <v>0.5</v>
      </c>
      <c r="HE59" s="399">
        <v>0.5</v>
      </c>
      <c r="HF59" s="399">
        <v>0.5</v>
      </c>
      <c r="HG59" s="399">
        <v>0.5</v>
      </c>
      <c r="HH59" s="399">
        <v>0.5</v>
      </c>
      <c r="HI59" s="399">
        <v>0.5</v>
      </c>
      <c r="HJ59" s="399">
        <v>0.5</v>
      </c>
      <c r="HK59" s="400">
        <v>0.5</v>
      </c>
      <c r="HL59" s="401">
        <v>0.5</v>
      </c>
      <c r="HM59" s="15"/>
      <c r="HN59" s="15"/>
      <c r="HO59" s="402">
        <v>0.5</v>
      </c>
      <c r="HP59" s="398">
        <v>0.5</v>
      </c>
      <c r="HQ59" s="399">
        <v>0.5</v>
      </c>
      <c r="HR59" s="399">
        <v>0.5</v>
      </c>
      <c r="HS59" s="399">
        <v>0.5</v>
      </c>
      <c r="HT59" s="399">
        <v>0.5</v>
      </c>
      <c r="HU59" s="399">
        <v>0.5</v>
      </c>
      <c r="HV59" s="15"/>
      <c r="HW59" s="15"/>
      <c r="HX59" s="15"/>
      <c r="HY59" s="15"/>
      <c r="HZ59" s="15"/>
      <c r="IA59" s="379"/>
      <c r="IB59" s="375"/>
      <c r="IC59" s="380"/>
      <c r="ID59" s="130">
        <f>SUM(HB59:IC59)</f>
      </c>
      <c r="IE59" s="374"/>
      <c r="IF59" s="375"/>
      <c r="IG59" s="398">
        <v>0.5</v>
      </c>
      <c r="IH59" s="399">
        <v>0.5</v>
      </c>
      <c r="II59" s="399">
        <v>0.5</v>
      </c>
      <c r="IJ59" s="399">
        <v>0.5</v>
      </c>
      <c r="IK59" s="399">
        <v>0.5</v>
      </c>
      <c r="IL59" s="399">
        <v>0.5</v>
      </c>
      <c r="IM59" s="399">
        <v>0.5</v>
      </c>
      <c r="IN59" s="400">
        <v>0.5</v>
      </c>
      <c r="IO59" s="401">
        <v>0.5</v>
      </c>
      <c r="IP59" s="15"/>
      <c r="IQ59" s="15"/>
      <c r="IR59" s="402">
        <v>0.5</v>
      </c>
      <c r="IS59" s="398">
        <v>0.5</v>
      </c>
      <c r="IT59" s="399">
        <v>0.5</v>
      </c>
      <c r="IU59" s="399">
        <v>0.5</v>
      </c>
      <c r="IV59" s="399">
        <v>0.5</v>
      </c>
      <c r="IW59" s="399">
        <v>0.5</v>
      </c>
      <c r="IX59" s="399">
        <v>0.5</v>
      </c>
      <c r="IY59" s="15"/>
      <c r="IZ59" s="15"/>
      <c r="JA59" s="15"/>
      <c r="JB59" s="15"/>
      <c r="JC59" s="15"/>
      <c r="JD59" s="379"/>
      <c r="JE59" s="375"/>
      <c r="JF59" s="380"/>
      <c r="JG59" s="130">
        <f>SUM(IE59:JF59)</f>
      </c>
      <c r="JH59" s="374"/>
      <c r="JI59" s="375"/>
      <c r="JJ59" s="398">
        <v>0.5</v>
      </c>
      <c r="JK59" s="399">
        <v>0.5</v>
      </c>
      <c r="JL59" s="399">
        <v>0.5</v>
      </c>
      <c r="JM59" s="399">
        <v>0.5</v>
      </c>
      <c r="JN59" s="399">
        <v>0.5</v>
      </c>
      <c r="JO59" s="399">
        <v>0.5</v>
      </c>
      <c r="JP59" s="399">
        <v>0.5</v>
      </c>
      <c r="JQ59" s="400">
        <v>0.5</v>
      </c>
      <c r="JR59" s="401">
        <v>0.5</v>
      </c>
      <c r="JS59" s="15"/>
      <c r="JT59" s="15"/>
      <c r="JU59" s="402">
        <v>0.5</v>
      </c>
      <c r="JV59" s="398">
        <v>0.5</v>
      </c>
      <c r="JW59" s="399">
        <v>0.5</v>
      </c>
      <c r="JX59" s="399">
        <v>0.5</v>
      </c>
      <c r="JY59" s="399">
        <v>0.5</v>
      </c>
      <c r="JZ59" s="399">
        <v>0.5</v>
      </c>
      <c r="KA59" s="399">
        <v>0.5</v>
      </c>
      <c r="KB59" s="15"/>
      <c r="KC59" s="15"/>
      <c r="KD59" s="15"/>
      <c r="KE59" s="15"/>
      <c r="KF59" s="15"/>
      <c r="KG59" s="379"/>
      <c r="KH59" s="375"/>
      <c r="KI59" s="380"/>
      <c r="KJ59" s="130">
        <f>SUM(JH59:KI59)</f>
      </c>
      <c r="KK59" s="374"/>
      <c r="KL59" s="375"/>
      <c r="KM59" s="398">
        <v>0.5</v>
      </c>
      <c r="KN59" s="399">
        <v>0.5</v>
      </c>
      <c r="KO59" s="399">
        <v>0.5</v>
      </c>
      <c r="KP59" s="399">
        <v>0.5</v>
      </c>
      <c r="KQ59" s="399">
        <v>0.5</v>
      </c>
      <c r="KR59" s="399">
        <v>0.5</v>
      </c>
      <c r="KS59" s="399">
        <v>0.5</v>
      </c>
      <c r="KT59" s="400">
        <v>0.5</v>
      </c>
      <c r="KU59" s="401">
        <v>0.5</v>
      </c>
      <c r="KV59" s="15"/>
      <c r="KW59" s="15"/>
      <c r="KX59" s="402">
        <v>0.5</v>
      </c>
      <c r="KY59" s="398">
        <v>0.5</v>
      </c>
      <c r="KZ59" s="399">
        <v>0.5</v>
      </c>
      <c r="LA59" s="399">
        <v>0.5</v>
      </c>
      <c r="LB59" s="399">
        <v>0.5</v>
      </c>
      <c r="LC59" s="399">
        <v>0.5</v>
      </c>
      <c r="LD59" s="399">
        <v>0.5</v>
      </c>
      <c r="LE59" s="15"/>
      <c r="LF59" s="15"/>
      <c r="LG59" s="15"/>
      <c r="LH59" s="15"/>
      <c r="LI59" s="15"/>
      <c r="LJ59" s="379"/>
      <c r="LK59" s="375"/>
      <c r="LL59" s="380"/>
      <c r="LM59" s="130">
        <f>SUM(KK59:LL59)</f>
      </c>
      <c r="LN59" s="374"/>
      <c r="LO59" s="375"/>
      <c r="LP59" s="398">
        <v>0.5</v>
      </c>
      <c r="LQ59" s="399">
        <v>0.5</v>
      </c>
      <c r="LR59" s="399">
        <v>0.5</v>
      </c>
      <c r="LS59" s="399">
        <v>0.5</v>
      </c>
      <c r="LT59" s="399">
        <v>0.5</v>
      </c>
      <c r="LU59" s="399">
        <v>0.5</v>
      </c>
      <c r="LV59" s="399">
        <v>0.5</v>
      </c>
      <c r="LW59" s="400">
        <v>0.5</v>
      </c>
      <c r="LX59" s="401">
        <v>0.5</v>
      </c>
      <c r="LY59" s="15"/>
      <c r="LZ59" s="15"/>
      <c r="MA59" s="402">
        <v>0.5</v>
      </c>
      <c r="MB59" s="398">
        <v>0.5</v>
      </c>
      <c r="MC59" s="399">
        <v>0.5</v>
      </c>
      <c r="MD59" s="399">
        <v>0.5</v>
      </c>
      <c r="ME59" s="399">
        <v>0.5</v>
      </c>
      <c r="MF59" s="399">
        <v>0.5</v>
      </c>
      <c r="MG59" s="399">
        <v>0.5</v>
      </c>
      <c r="MH59" s="15"/>
      <c r="MI59" s="15"/>
      <c r="MJ59" s="15"/>
      <c r="MK59" s="15"/>
      <c r="ML59" s="15"/>
      <c r="MM59" s="379"/>
      <c r="MN59" s="375"/>
      <c r="MO59" s="380"/>
      <c r="MP59" s="130">
        <f>SUM(LN59:MO59)</f>
      </c>
      <c r="MQ59" s="121"/>
      <c r="MR59" s="122"/>
      <c r="MS59" s="292"/>
      <c r="MT59" s="196"/>
      <c r="MU59" s="196"/>
      <c r="MV59" s="196"/>
      <c r="MW59" s="196"/>
      <c r="MX59" s="196"/>
      <c r="MY59" s="196"/>
      <c r="MZ59" s="195"/>
      <c r="NA59" s="197"/>
      <c r="NB59" s="196"/>
      <c r="NC59" s="196"/>
      <c r="ND59" s="198"/>
      <c r="NE59" s="292"/>
      <c r="NF59" s="196"/>
      <c r="NG59" s="196"/>
      <c r="NH59" s="196"/>
      <c r="NI59" s="196"/>
      <c r="NJ59" s="196"/>
      <c r="NK59" s="196"/>
      <c r="NL59" s="196"/>
      <c r="NM59" s="196"/>
      <c r="NN59" s="196"/>
      <c r="NO59" s="196"/>
      <c r="NP59" s="195"/>
      <c r="NQ59" s="122"/>
      <c r="NR59" s="194"/>
      <c r="NS59" s="130">
        <f>SUM(MQ59:NR59)</f>
      </c>
      <c r="NT59" s="121"/>
      <c r="NU59" s="122"/>
      <c r="NV59" s="292"/>
      <c r="NW59" s="196"/>
      <c r="NX59" s="196"/>
      <c r="NY59" s="196"/>
      <c r="NZ59" s="196"/>
      <c r="OA59" s="196"/>
      <c r="OB59" s="196"/>
      <c r="OC59" s="195"/>
      <c r="OD59" s="197"/>
      <c r="OE59" s="196"/>
      <c r="OF59" s="196"/>
      <c r="OG59" s="198"/>
      <c r="OH59" s="292"/>
      <c r="OI59" s="196"/>
      <c r="OJ59" s="196"/>
      <c r="OK59" s="196"/>
      <c r="OL59" s="196"/>
      <c r="OM59" s="196"/>
      <c r="ON59" s="196"/>
      <c r="OO59" s="196"/>
      <c r="OP59" s="196"/>
      <c r="OQ59" s="196"/>
      <c r="OR59" s="196"/>
      <c r="OS59" s="195"/>
      <c r="OT59" s="122"/>
      <c r="OU59" s="194"/>
      <c r="OV59" s="130">
        <f>SUM(NT59:OU59)</f>
      </c>
      <c r="OW59" s="132">
        <f>ID59+JG59+KJ59+LM59+MP59+NS59+OV59</f>
      </c>
      <c r="OX59" s="133">
        <f>(COUNTIF(HB59:OV59,"H")+COUNTIF(HB59:OV59,"S")+COUNTIF(HB59:OV59,"L")+COUNTIF(HB59:OV59,"E")+COUNTIF(HB59:OV59,"C"))/2</f>
      </c>
      <c r="OY59" s="130">
        <f>OW59+OX59</f>
      </c>
      <c r="OZ59" s="134"/>
      <c r="PA59" s="135"/>
      <c r="PB59" s="295"/>
      <c r="PC59" s="369" t="s">
        <v>9</v>
      </c>
      <c r="PD59" s="369" t="s">
        <v>9</v>
      </c>
      <c r="PE59" s="369" t="s">
        <v>9</v>
      </c>
      <c r="PF59" s="369" t="s">
        <v>9</v>
      </c>
      <c r="PG59" s="369" t="s">
        <v>9</v>
      </c>
      <c r="PH59" s="369" t="s">
        <v>9</v>
      </c>
      <c r="PI59" s="370" t="s">
        <v>9</v>
      </c>
      <c r="PJ59" s="371" t="s">
        <v>9</v>
      </c>
      <c r="PK59" s="207"/>
      <c r="PL59" s="207"/>
      <c r="PM59" s="372" t="s">
        <v>9</v>
      </c>
      <c r="PN59" s="373" t="s">
        <v>9</v>
      </c>
      <c r="PO59" s="369" t="s">
        <v>9</v>
      </c>
      <c r="PP59" s="369" t="s">
        <v>9</v>
      </c>
      <c r="PQ59" s="369" t="s">
        <v>9</v>
      </c>
      <c r="PR59" s="369" t="s">
        <v>9</v>
      </c>
      <c r="PS59" s="369" t="s">
        <v>9</v>
      </c>
      <c r="PT59" s="369" t="s">
        <v>9</v>
      </c>
      <c r="PU59" s="207"/>
      <c r="PV59" s="207"/>
      <c r="PW59" s="207"/>
      <c r="PX59" s="207"/>
      <c r="PY59" s="202"/>
      <c r="PZ59" s="135"/>
      <c r="QA59" s="201"/>
      <c r="QB59" s="130">
        <f>SUM(OZ59:QA59)</f>
      </c>
      <c r="QC59" s="374"/>
      <c r="QD59" s="375"/>
      <c r="QE59" s="398">
        <v>0.5</v>
      </c>
      <c r="QF59" s="399">
        <v>0.5</v>
      </c>
      <c r="QG59" s="399">
        <v>0.5</v>
      </c>
      <c r="QH59" s="399">
        <v>0.5</v>
      </c>
      <c r="QI59" s="399">
        <v>0.5</v>
      </c>
      <c r="QJ59" s="399">
        <v>0.5</v>
      </c>
      <c r="QK59" s="399">
        <v>0.5</v>
      </c>
      <c r="QL59" s="400">
        <v>0.5</v>
      </c>
      <c r="QM59" s="401">
        <v>0.5</v>
      </c>
      <c r="QN59" s="15"/>
      <c r="QO59" s="15"/>
      <c r="QP59" s="402">
        <v>0.5</v>
      </c>
      <c r="QQ59" s="398">
        <v>0.5</v>
      </c>
      <c r="QR59" s="399">
        <v>0.5</v>
      </c>
      <c r="QS59" s="399">
        <v>0.5</v>
      </c>
      <c r="QT59" s="399">
        <v>0.5</v>
      </c>
      <c r="QU59" s="399">
        <v>0.5</v>
      </c>
      <c r="QV59" s="399">
        <v>0.5</v>
      </c>
      <c r="QW59" s="15"/>
      <c r="QX59" s="15"/>
      <c r="QY59" s="15"/>
      <c r="QZ59" s="15"/>
      <c r="RA59" s="15"/>
      <c r="RB59" s="379"/>
      <c r="RC59" s="375"/>
      <c r="RD59" s="380"/>
      <c r="RE59" s="130">
        <f>SUM(QC59:RD59)</f>
      </c>
      <c r="RF59" s="374"/>
      <c r="RG59" s="375"/>
      <c r="RH59" s="398">
        <v>0.5</v>
      </c>
      <c r="RI59" s="399">
        <v>0.5</v>
      </c>
      <c r="RJ59" s="399">
        <v>0.5</v>
      </c>
      <c r="RK59" s="399">
        <v>0.5</v>
      </c>
      <c r="RL59" s="399">
        <v>0.5</v>
      </c>
      <c r="RM59" s="399">
        <v>0.5</v>
      </c>
      <c r="RN59" s="399">
        <v>0.5</v>
      </c>
      <c r="RO59" s="400">
        <v>0.5</v>
      </c>
      <c r="RP59" s="401">
        <v>0.5</v>
      </c>
      <c r="RQ59" s="15"/>
      <c r="RR59" s="15"/>
      <c r="RS59" s="402">
        <v>0.5</v>
      </c>
      <c r="RT59" s="398">
        <v>0.5</v>
      </c>
      <c r="RU59" s="399">
        <v>0.5</v>
      </c>
      <c r="RV59" s="399">
        <v>0.5</v>
      </c>
      <c r="RW59" s="399">
        <v>0.5</v>
      </c>
      <c r="RX59" s="399">
        <v>0.5</v>
      </c>
      <c r="RY59" s="399">
        <v>0.5</v>
      </c>
      <c r="RZ59" s="15"/>
      <c r="SA59" s="15"/>
      <c r="SB59" s="15"/>
      <c r="SC59" s="15"/>
      <c r="SD59" s="15"/>
      <c r="SE59" s="379"/>
      <c r="SF59" s="375"/>
      <c r="SG59" s="380"/>
      <c r="SH59" s="130">
        <f>SUM(RF59:SG59)</f>
      </c>
      <c r="SI59" s="374"/>
      <c r="SJ59" s="375"/>
      <c r="SK59" s="398">
        <v>0.5</v>
      </c>
      <c r="SL59" s="399">
        <v>0.5</v>
      </c>
      <c r="SM59" s="399">
        <v>0.5</v>
      </c>
      <c r="SN59" s="399">
        <v>0.5</v>
      </c>
      <c r="SO59" s="399">
        <v>0.5</v>
      </c>
      <c r="SP59" s="399">
        <v>0.5</v>
      </c>
      <c r="SQ59" s="399">
        <v>0.5</v>
      </c>
      <c r="SR59" s="400">
        <v>0.5</v>
      </c>
      <c r="SS59" s="401">
        <v>0.5</v>
      </c>
      <c r="ST59" s="15"/>
      <c r="SU59" s="15"/>
      <c r="SV59" s="402">
        <v>0.5</v>
      </c>
      <c r="SW59" s="398">
        <v>0.5</v>
      </c>
      <c r="SX59" s="399">
        <v>0.5</v>
      </c>
      <c r="SY59" s="399">
        <v>0.5</v>
      </c>
      <c r="SZ59" s="399">
        <v>0.5</v>
      </c>
      <c r="TA59" s="399">
        <v>0.5</v>
      </c>
      <c r="TB59" s="399">
        <v>0.5</v>
      </c>
      <c r="TC59" s="15"/>
      <c r="TD59" s="15"/>
      <c r="TE59" s="15"/>
      <c r="TF59" s="15"/>
      <c r="TG59" s="15"/>
      <c r="TH59" s="379"/>
      <c r="TI59" s="375"/>
      <c r="TJ59" s="380"/>
      <c r="TK59" s="130">
        <f>SUM(SI59:TJ59)</f>
      </c>
      <c r="TL59" s="374"/>
      <c r="TM59" s="375"/>
      <c r="TN59" s="398">
        <v>0.5</v>
      </c>
      <c r="TO59" s="399">
        <v>0.5</v>
      </c>
      <c r="TP59" s="399">
        <v>0.5</v>
      </c>
      <c r="TQ59" s="399">
        <v>0.5</v>
      </c>
      <c r="TR59" s="399">
        <v>0.5</v>
      </c>
      <c r="TS59" s="399">
        <v>0.5</v>
      </c>
      <c r="TT59" s="399">
        <v>0.5</v>
      </c>
      <c r="TU59" s="400">
        <v>0.5</v>
      </c>
      <c r="TV59" s="401">
        <v>0.5</v>
      </c>
      <c r="TW59" s="15"/>
      <c r="TX59" s="15"/>
      <c r="TY59" s="402">
        <v>0.5</v>
      </c>
      <c r="TZ59" s="398">
        <v>0.5</v>
      </c>
      <c r="UA59" s="399">
        <v>0.5</v>
      </c>
      <c r="UB59" s="399">
        <v>0.5</v>
      </c>
      <c r="UC59" s="399">
        <v>0.5</v>
      </c>
      <c r="UD59" s="399">
        <v>0.5</v>
      </c>
      <c r="UE59" s="399">
        <v>0.5</v>
      </c>
      <c r="UF59" s="15"/>
      <c r="UG59" s="15"/>
      <c r="UH59" s="15"/>
      <c r="UI59" s="15"/>
      <c r="UJ59" s="15"/>
      <c r="UK59" s="379"/>
      <c r="UL59" s="375"/>
      <c r="UM59" s="380"/>
      <c r="UN59" s="130">
        <f>SUM(TL59:UM59)</f>
      </c>
      <c r="UO59" s="121"/>
      <c r="UP59" s="122"/>
      <c r="UQ59" s="292"/>
      <c r="UR59" s="196"/>
      <c r="US59" s="196"/>
      <c r="UT59" s="196"/>
      <c r="UU59" s="196"/>
      <c r="UV59" s="196"/>
      <c r="UW59" s="196"/>
      <c r="UX59" s="195"/>
      <c r="UY59" s="197"/>
      <c r="UZ59" s="196"/>
      <c r="VA59" s="196"/>
      <c r="VB59" s="198"/>
      <c r="VC59" s="292"/>
      <c r="VD59" s="196"/>
      <c r="VE59" s="196"/>
      <c r="VF59" s="196"/>
      <c r="VG59" s="196"/>
      <c r="VH59" s="196"/>
      <c r="VI59" s="196"/>
      <c r="VJ59" s="196"/>
      <c r="VK59" s="196"/>
      <c r="VL59" s="196"/>
      <c r="VM59" s="196"/>
      <c r="VN59" s="195"/>
      <c r="VO59" s="122"/>
      <c r="VP59" s="194"/>
      <c r="VQ59" s="130">
        <f>SUM(UO59:VP59)</f>
      </c>
      <c r="VR59" s="121"/>
      <c r="VS59" s="122"/>
      <c r="VT59" s="292"/>
      <c r="VU59" s="196"/>
      <c r="VV59" s="196"/>
      <c r="VW59" s="196"/>
      <c r="VX59" s="196"/>
      <c r="VY59" s="196"/>
      <c r="VZ59" s="196"/>
      <c r="WA59" s="195"/>
      <c r="WB59" s="197"/>
      <c r="WC59" s="196"/>
      <c r="WD59" s="196"/>
      <c r="WE59" s="198"/>
      <c r="WF59" s="292"/>
      <c r="WG59" s="196"/>
      <c r="WH59" s="196"/>
      <c r="WI59" s="196"/>
      <c r="WJ59" s="196"/>
      <c r="WK59" s="196"/>
      <c r="WL59" s="196"/>
      <c r="WM59" s="196"/>
      <c r="WN59" s="196"/>
      <c r="WO59" s="196"/>
      <c r="WP59" s="196"/>
      <c r="WQ59" s="195"/>
      <c r="WR59" s="122"/>
      <c r="WS59" s="194"/>
      <c r="WT59" s="130">
        <f>SUM(VR59:WS59)</f>
      </c>
      <c r="WU59" s="132">
        <f>QB59+RE59+SH59+TK59+UN59+VQ59+WT59</f>
      </c>
      <c r="WV59" s="133">
        <f>(COUNTIF(OZ59:WT59,"H")+COUNTIF(OZ59:WT59,"S")+COUNTIF(OZ59:WT59,"L")+COUNTIF(OZ59:WT59,"E")+COUNTIF(OZ59:WT59,"C"))/2</f>
      </c>
      <c r="WW59" s="130">
        <f>WU59+WV59</f>
      </c>
      <c r="WX59" s="374"/>
      <c r="WY59" s="375"/>
      <c r="WZ59" s="398">
        <v>0.5</v>
      </c>
      <c r="XA59" s="399">
        <v>0.5</v>
      </c>
      <c r="XB59" s="399">
        <v>0.5</v>
      </c>
      <c r="XC59" s="399">
        <v>0.5</v>
      </c>
      <c r="XD59" s="399">
        <v>0.5</v>
      </c>
      <c r="XE59" s="399">
        <v>0.5</v>
      </c>
      <c r="XF59" s="399">
        <v>0.5</v>
      </c>
      <c r="XG59" s="400">
        <v>0.5</v>
      </c>
      <c r="XH59" s="401">
        <v>0.5</v>
      </c>
      <c r="XI59" s="15"/>
      <c r="XJ59" s="15"/>
      <c r="XK59" s="402">
        <v>0.5</v>
      </c>
      <c r="XL59" s="398">
        <v>0.5</v>
      </c>
      <c r="XM59" s="399">
        <v>0.5</v>
      </c>
      <c r="XN59" s="399">
        <v>0.5</v>
      </c>
      <c r="XO59" s="399">
        <v>0.5</v>
      </c>
      <c r="XP59" s="399">
        <v>0.5</v>
      </c>
      <c r="XQ59" s="399">
        <v>0.5</v>
      </c>
      <c r="XR59" s="15"/>
      <c r="XS59" s="15"/>
      <c r="XT59" s="15"/>
      <c r="XU59" s="15"/>
      <c r="XV59" s="15"/>
      <c r="XW59" s="379"/>
      <c r="XX59" s="375"/>
      <c r="XY59" s="380"/>
      <c r="XZ59" s="130">
        <f>SUM(WX59:XY59)</f>
      </c>
      <c r="YA59" s="374"/>
      <c r="YB59" s="375"/>
      <c r="YC59" s="398">
        <v>0.5</v>
      </c>
      <c r="YD59" s="399">
        <v>0.5</v>
      </c>
      <c r="YE59" s="399">
        <v>0.5</v>
      </c>
      <c r="YF59" s="399">
        <v>0.5</v>
      </c>
      <c r="YG59" s="399">
        <v>0.5</v>
      </c>
      <c r="YH59" s="399">
        <v>0.5</v>
      </c>
      <c r="YI59" s="399">
        <v>0.5</v>
      </c>
      <c r="YJ59" s="400">
        <v>0.5</v>
      </c>
      <c r="YK59" s="401">
        <v>0.5</v>
      </c>
      <c r="YL59" s="15"/>
      <c r="YM59" s="15"/>
      <c r="YN59" s="402">
        <v>0.5</v>
      </c>
      <c r="YO59" s="398">
        <v>0.5</v>
      </c>
      <c r="YP59" s="399">
        <v>0.5</v>
      </c>
      <c r="YQ59" s="399">
        <v>0.5</v>
      </c>
      <c r="YR59" s="399">
        <v>0.5</v>
      </c>
      <c r="YS59" s="399">
        <v>0.5</v>
      </c>
      <c r="YT59" s="399">
        <v>0.5</v>
      </c>
      <c r="YU59" s="15"/>
      <c r="YV59" s="15"/>
      <c r="YW59" s="15"/>
      <c r="YX59" s="15"/>
      <c r="YY59" s="15"/>
      <c r="YZ59" s="379"/>
      <c r="ZA59" s="375"/>
      <c r="ZB59" s="380"/>
      <c r="ZC59" s="130">
        <f>SUM(YA59:ZB59)</f>
      </c>
      <c r="ZD59" s="374"/>
      <c r="ZE59" s="375"/>
      <c r="ZF59" s="398">
        <v>0.5</v>
      </c>
      <c r="ZG59" s="399">
        <v>0.5</v>
      </c>
      <c r="ZH59" s="399">
        <v>0.5</v>
      </c>
      <c r="ZI59" s="399">
        <v>0.5</v>
      </c>
      <c r="ZJ59" s="399">
        <v>0.5</v>
      </c>
      <c r="ZK59" s="399">
        <v>0.5</v>
      </c>
      <c r="ZL59" s="399">
        <v>0.5</v>
      </c>
      <c r="ZM59" s="400">
        <v>0.5</v>
      </c>
      <c r="ZN59" s="401">
        <v>0.5</v>
      </c>
      <c r="ZO59" s="15"/>
      <c r="ZP59" s="15"/>
      <c r="ZQ59" s="402">
        <v>0.5</v>
      </c>
      <c r="ZR59" s="398">
        <v>0.5</v>
      </c>
      <c r="ZS59" s="399">
        <v>0.5</v>
      </c>
      <c r="ZT59" s="399">
        <v>0.5</v>
      </c>
      <c r="ZU59" s="399">
        <v>0.5</v>
      </c>
      <c r="ZV59" s="399">
        <v>0.5</v>
      </c>
      <c r="ZW59" s="399">
        <v>0.5</v>
      </c>
      <c r="ZX59" s="15"/>
      <c r="ZY59" s="15"/>
      <c r="ZZ59" s="15"/>
      <c r="AAA59" s="15"/>
      <c r="AAB59" s="15"/>
      <c r="AAC59" s="379"/>
      <c r="AAD59" s="375"/>
      <c r="AAE59" s="380"/>
      <c r="AAF59" s="130">
        <f>SUM(ZD59:AAE59)</f>
      </c>
      <c r="AAG59" s="374"/>
      <c r="AAH59" s="375"/>
      <c r="AAI59" s="398">
        <v>0.5</v>
      </c>
      <c r="AAJ59" s="399">
        <v>0.5</v>
      </c>
      <c r="AAK59" s="399">
        <v>0.5</v>
      </c>
      <c r="AAL59" s="399">
        <v>0.5</v>
      </c>
      <c r="AAM59" s="399">
        <v>0.5</v>
      </c>
      <c r="AAN59" s="399">
        <v>0.5</v>
      </c>
      <c r="AAO59" s="399">
        <v>0.5</v>
      </c>
      <c r="AAP59" s="400">
        <v>0.5</v>
      </c>
      <c r="AAQ59" s="401">
        <v>0.5</v>
      </c>
      <c r="AAR59" s="15"/>
      <c r="AAS59" s="15"/>
      <c r="AAT59" s="402">
        <v>0.5</v>
      </c>
      <c r="AAU59" s="398">
        <v>0.5</v>
      </c>
      <c r="AAV59" s="399">
        <v>0.5</v>
      </c>
      <c r="AAW59" s="399">
        <v>0.5</v>
      </c>
      <c r="AAX59" s="399">
        <v>0.5</v>
      </c>
      <c r="AAY59" s="399">
        <v>0.5</v>
      </c>
      <c r="AAZ59" s="399">
        <v>0.5</v>
      </c>
      <c r="ABA59" s="15"/>
      <c r="ABB59" s="15"/>
      <c r="ABC59" s="15"/>
      <c r="ABD59" s="15"/>
      <c r="ABE59" s="15"/>
      <c r="ABF59" s="379"/>
      <c r="ABG59" s="375"/>
      <c r="ABH59" s="380"/>
      <c r="ABI59" s="130">
        <f>SUM(AAG59:ABH59)</f>
      </c>
      <c r="ABJ59" s="374"/>
      <c r="ABK59" s="375"/>
      <c r="ABL59" s="398">
        <v>0.5</v>
      </c>
      <c r="ABM59" s="399">
        <v>0.5</v>
      </c>
      <c r="ABN59" s="399">
        <v>0.5</v>
      </c>
      <c r="ABO59" s="399">
        <v>0.5</v>
      </c>
      <c r="ABP59" s="399">
        <v>0.5</v>
      </c>
      <c r="ABQ59" s="399">
        <v>0.5</v>
      </c>
      <c r="ABR59" s="399">
        <v>0.5</v>
      </c>
      <c r="ABS59" s="400">
        <v>0.5</v>
      </c>
      <c r="ABT59" s="401">
        <v>0.5</v>
      </c>
      <c r="ABU59" s="15"/>
      <c r="ABV59" s="15"/>
      <c r="ABW59" s="402">
        <v>0.5</v>
      </c>
      <c r="ABX59" s="398">
        <v>0.5</v>
      </c>
      <c r="ABY59" s="399">
        <v>0.5</v>
      </c>
      <c r="ABZ59" s="399">
        <v>0.5</v>
      </c>
      <c r="ACA59" s="399">
        <v>0.5</v>
      </c>
      <c r="ACB59" s="399">
        <v>0.5</v>
      </c>
      <c r="ACC59" s="399">
        <v>0.5</v>
      </c>
      <c r="ACD59" s="15"/>
      <c r="ACE59" s="15"/>
      <c r="ACF59" s="15"/>
      <c r="ACG59" s="15"/>
      <c r="ACH59" s="15"/>
      <c r="ACI59" s="379"/>
      <c r="ACJ59" s="375"/>
      <c r="ACK59" s="380"/>
      <c r="ACL59" s="130">
        <f>SUM(ABJ59:ACK59)</f>
      </c>
      <c r="ACM59" s="121"/>
      <c r="ACN59" s="122"/>
      <c r="ACO59" s="292"/>
      <c r="ACP59" s="196"/>
      <c r="ACQ59" s="196"/>
      <c r="ACR59" s="196"/>
      <c r="ACS59" s="196"/>
      <c r="ACT59" s="196"/>
      <c r="ACU59" s="196"/>
      <c r="ACV59" s="195"/>
      <c r="ACW59" s="197"/>
      <c r="ACX59" s="196"/>
      <c r="ACY59" s="196"/>
      <c r="ACZ59" s="198"/>
      <c r="ADA59" s="292"/>
      <c r="ADB59" s="196"/>
      <c r="ADC59" s="196"/>
      <c r="ADD59" s="196"/>
      <c r="ADE59" s="196"/>
      <c r="ADF59" s="196"/>
      <c r="ADG59" s="196"/>
      <c r="ADH59" s="196"/>
      <c r="ADI59" s="196"/>
      <c r="ADJ59" s="196"/>
      <c r="ADK59" s="196"/>
      <c r="ADL59" s="195"/>
      <c r="ADM59" s="122"/>
      <c r="ADN59" s="194"/>
      <c r="ADO59" s="130">
        <f>SUM(ACM59:ADN59)</f>
      </c>
      <c r="ADP59" s="121"/>
      <c r="ADQ59" s="122"/>
      <c r="ADR59" s="292"/>
      <c r="ADS59" s="196"/>
      <c r="ADT59" s="196"/>
      <c r="ADU59" s="196"/>
      <c r="ADV59" s="196"/>
      <c r="ADW59" s="196"/>
      <c r="ADX59" s="196"/>
      <c r="ADY59" s="195"/>
      <c r="ADZ59" s="197"/>
      <c r="AEA59" s="196"/>
      <c r="AEB59" s="196"/>
      <c r="AEC59" s="198"/>
      <c r="AED59" s="292"/>
      <c r="AEE59" s="196"/>
      <c r="AEF59" s="196"/>
      <c r="AEG59" s="196"/>
      <c r="AEH59" s="196"/>
      <c r="AEI59" s="196"/>
      <c r="AEJ59" s="196"/>
      <c r="AEK59" s="196"/>
      <c r="AEL59" s="196"/>
      <c r="AEM59" s="196"/>
      <c r="AEN59" s="196"/>
      <c r="AEO59" s="195"/>
      <c r="AEP59" s="122"/>
      <c r="AEQ59" s="194"/>
      <c r="AER59" s="130">
        <f>SUM(ADP59:AEQ59)</f>
      </c>
      <c r="AES59" s="132">
        <f>XZ59+ZC59+AAF59+ABI59+ACL59+ADO59+AER59</f>
      </c>
      <c r="AET59" s="133">
        <f>(COUNTIF(WX59:AER59,"H")+COUNTIF(WX59:AER59,"S")+COUNTIF(WX59:AER59,"L")+COUNTIF(WX59:AER59,"E")+COUNTIF(WX59:AER59,"C"))/2</f>
      </c>
      <c r="AEU59" s="130">
        <f>AES59+AET59</f>
      </c>
      <c r="AEV59" s="374"/>
      <c r="AEW59" s="375"/>
      <c r="AEX59" s="398">
        <v>0.5</v>
      </c>
      <c r="AEY59" s="399">
        <v>0.5</v>
      </c>
      <c r="AEZ59" s="399">
        <v>0.5</v>
      </c>
      <c r="AFA59" s="399">
        <v>0.5</v>
      </c>
      <c r="AFB59" s="399">
        <v>0.5</v>
      </c>
      <c r="AFC59" s="399">
        <v>0.5</v>
      </c>
      <c r="AFD59" s="399">
        <v>0.5</v>
      </c>
      <c r="AFE59" s="400">
        <v>0.5</v>
      </c>
      <c r="AFF59" s="401">
        <v>0.5</v>
      </c>
      <c r="AFG59" s="15"/>
      <c r="AFH59" s="15"/>
      <c r="AFI59" s="402">
        <v>0.5</v>
      </c>
      <c r="AFJ59" s="398">
        <v>0.5</v>
      </c>
      <c r="AFK59" s="399">
        <v>0.5</v>
      </c>
      <c r="AFL59" s="399">
        <v>0.5</v>
      </c>
      <c r="AFM59" s="399">
        <v>0.5</v>
      </c>
      <c r="AFN59" s="399">
        <v>0.5</v>
      </c>
      <c r="AFO59" s="399">
        <v>0.5</v>
      </c>
      <c r="AFP59" s="15"/>
      <c r="AFQ59" s="15"/>
      <c r="AFR59" s="15"/>
      <c r="AFS59" s="15"/>
      <c r="AFT59" s="15"/>
      <c r="AFU59" s="379"/>
      <c r="AFV59" s="375"/>
      <c r="AFW59" s="380"/>
      <c r="AFX59" s="130">
        <f>SUM(AEV59:AFW59)</f>
      </c>
      <c r="AFY59" s="374"/>
      <c r="AFZ59" s="375"/>
      <c r="AGA59" s="398">
        <v>0.5</v>
      </c>
      <c r="AGB59" s="399">
        <v>0.5</v>
      </c>
      <c r="AGC59" s="399">
        <v>0.5</v>
      </c>
      <c r="AGD59" s="399">
        <v>0.5</v>
      </c>
      <c r="AGE59" s="399">
        <v>0.5</v>
      </c>
      <c r="AGF59" s="399">
        <v>0.5</v>
      </c>
      <c r="AGG59" s="399">
        <v>0.5</v>
      </c>
      <c r="AGH59" s="400">
        <v>0.5</v>
      </c>
      <c r="AGI59" s="401">
        <v>0.5</v>
      </c>
      <c r="AGJ59" s="15"/>
      <c r="AGK59" s="15"/>
      <c r="AGL59" s="402">
        <v>0.5</v>
      </c>
      <c r="AGM59" s="398">
        <v>0.5</v>
      </c>
      <c r="AGN59" s="399">
        <v>0.5</v>
      </c>
      <c r="AGO59" s="399">
        <v>0.5</v>
      </c>
      <c r="AGP59" s="399">
        <v>0.5</v>
      </c>
      <c r="AGQ59" s="399">
        <v>0.5</v>
      </c>
      <c r="AGR59" s="399">
        <v>0.5</v>
      </c>
      <c r="AGS59" s="15"/>
      <c r="AGT59" s="15"/>
      <c r="AGU59" s="15"/>
      <c r="AGV59" s="15"/>
      <c r="AGW59" s="15"/>
      <c r="AGX59" s="379"/>
      <c r="AGY59" s="375"/>
      <c r="AGZ59" s="380"/>
      <c r="AHA59" s="130">
        <f>SUM(AFY59:AGZ59)</f>
      </c>
      <c r="AHB59" s="374"/>
      <c r="AHC59" s="375"/>
      <c r="AHD59" s="398">
        <v>0.5</v>
      </c>
      <c r="AHE59" s="399">
        <v>0.5</v>
      </c>
      <c r="AHF59" s="399">
        <v>0.5</v>
      </c>
      <c r="AHG59" s="399">
        <v>0.5</v>
      </c>
      <c r="AHH59" s="399">
        <v>0.5</v>
      </c>
      <c r="AHI59" s="399">
        <v>0.5</v>
      </c>
      <c r="AHJ59" s="399">
        <v>0.5</v>
      </c>
      <c r="AHK59" s="400">
        <v>0.5</v>
      </c>
      <c r="AHL59" s="401">
        <v>0.5</v>
      </c>
      <c r="AHM59" s="15"/>
      <c r="AHN59" s="15"/>
      <c r="AHO59" s="402">
        <v>0.5</v>
      </c>
      <c r="AHP59" s="398">
        <v>0.5</v>
      </c>
      <c r="AHQ59" s="399">
        <v>0.5</v>
      </c>
      <c r="AHR59" s="399">
        <v>0.5</v>
      </c>
      <c r="AHS59" s="399">
        <v>0.5</v>
      </c>
      <c r="AHT59" s="399">
        <v>0.5</v>
      </c>
      <c r="AHU59" s="399">
        <v>0.5</v>
      </c>
      <c r="AHV59" s="15"/>
      <c r="AHW59" s="15"/>
      <c r="AHX59" s="15"/>
      <c r="AHY59" s="15"/>
      <c r="AHZ59" s="15"/>
      <c r="AIA59" s="379"/>
      <c r="AIB59" s="375"/>
      <c r="AIC59" s="380"/>
      <c r="AID59" s="130">
        <f>SUM(AHB59:AIC59)</f>
      </c>
      <c r="AIE59" s="374"/>
      <c r="AIF59" s="375"/>
      <c r="AIG59" s="398">
        <v>0.5</v>
      </c>
      <c r="AIH59" s="399">
        <v>0.5</v>
      </c>
      <c r="AII59" s="399">
        <v>0.5</v>
      </c>
      <c r="AIJ59" s="399">
        <v>0.5</v>
      </c>
      <c r="AIK59" s="399">
        <v>0.5</v>
      </c>
      <c r="AIL59" s="399">
        <v>0.5</v>
      </c>
      <c r="AIM59" s="399">
        <v>0.5</v>
      </c>
      <c r="AIN59" s="400">
        <v>0.5</v>
      </c>
      <c r="AIO59" s="401">
        <v>0.5</v>
      </c>
      <c r="AIP59" s="15"/>
      <c r="AIQ59" s="15"/>
      <c r="AIR59" s="402">
        <v>0.5</v>
      </c>
      <c r="AIS59" s="398">
        <v>0.5</v>
      </c>
      <c r="AIT59" s="399">
        <v>0.5</v>
      </c>
      <c r="AIU59" s="399">
        <v>0.5</v>
      </c>
      <c r="AIV59" s="399">
        <v>0.5</v>
      </c>
      <c r="AIW59" s="399">
        <v>0.5</v>
      </c>
      <c r="AIX59" s="399">
        <v>0.5</v>
      </c>
      <c r="AIY59" s="15"/>
      <c r="AIZ59" s="15"/>
      <c r="AJA59" s="15"/>
      <c r="AJB59" s="15"/>
      <c r="AJC59" s="15"/>
      <c r="AJD59" s="379"/>
      <c r="AJE59" s="375"/>
      <c r="AJF59" s="380"/>
      <c r="AJG59" s="130">
        <f>SUM(AIE59:AJF59)</f>
      </c>
      <c r="AJH59" s="374"/>
      <c r="AJI59" s="375"/>
      <c r="AJJ59" s="398">
        <v>0.5</v>
      </c>
      <c r="AJK59" s="399">
        <v>0.5</v>
      </c>
      <c r="AJL59" s="399">
        <v>0.5</v>
      </c>
      <c r="AJM59" s="399">
        <v>0.5</v>
      </c>
      <c r="AJN59" s="399">
        <v>0.5</v>
      </c>
      <c r="AJO59" s="399">
        <v>0.5</v>
      </c>
      <c r="AJP59" s="399">
        <v>0.5</v>
      </c>
      <c r="AJQ59" s="400">
        <v>0.5</v>
      </c>
      <c r="AJR59" s="401">
        <v>0.5</v>
      </c>
      <c r="AJS59" s="15"/>
      <c r="AJT59" s="15"/>
      <c r="AJU59" s="402">
        <v>0.5</v>
      </c>
      <c r="AJV59" s="398">
        <v>0.5</v>
      </c>
      <c r="AJW59" s="399">
        <v>0.5</v>
      </c>
      <c r="AJX59" s="399">
        <v>0.5</v>
      </c>
      <c r="AJY59" s="399">
        <v>0.5</v>
      </c>
      <c r="AJZ59" s="399">
        <v>0.5</v>
      </c>
      <c r="AKA59" s="399">
        <v>0.5</v>
      </c>
      <c r="AKB59" s="15"/>
      <c r="AKC59" s="15"/>
      <c r="AKD59" s="15"/>
      <c r="AKE59" s="15"/>
      <c r="AKF59" s="15"/>
      <c r="AKG59" s="379"/>
      <c r="AKH59" s="375"/>
      <c r="AKI59" s="380"/>
      <c r="AKJ59" s="130">
        <f>SUM(AJH59:AKI59)</f>
      </c>
      <c r="AKK59" s="121"/>
      <c r="AKL59" s="122"/>
      <c r="AKM59" s="292"/>
      <c r="AKN59" s="196"/>
      <c r="AKO59" s="196"/>
      <c r="AKP59" s="196"/>
      <c r="AKQ59" s="196"/>
      <c r="AKR59" s="196"/>
      <c r="AKS59" s="196"/>
      <c r="AKT59" s="195"/>
      <c r="AKU59" s="197"/>
      <c r="AKV59" s="196"/>
      <c r="AKW59" s="196"/>
      <c r="AKX59" s="198"/>
      <c r="AKY59" s="292"/>
      <c r="AKZ59" s="196"/>
      <c r="ALA59" s="196"/>
      <c r="ALB59" s="196"/>
      <c r="ALC59" s="196"/>
      <c r="ALD59" s="196"/>
      <c r="ALE59" s="196"/>
      <c r="ALF59" s="196"/>
      <c r="ALG59" s="196"/>
      <c r="ALH59" s="196"/>
      <c r="ALI59" s="196"/>
      <c r="ALJ59" s="195"/>
      <c r="ALK59" s="122"/>
      <c r="ALL59" s="194"/>
      <c r="ALM59" s="130">
        <f>SUM(AKK59:ALL59)</f>
      </c>
      <c r="ALN59" s="121"/>
      <c r="ALO59" s="122"/>
      <c r="ALP59" s="292"/>
      <c r="ALQ59" s="196"/>
      <c r="ALR59" s="196"/>
      <c r="ALS59" s="196"/>
      <c r="ALT59" s="196"/>
      <c r="ALU59" s="196"/>
      <c r="ALV59" s="196"/>
      <c r="ALW59" s="195"/>
      <c r="ALX59" s="197"/>
      <c r="ALY59" s="196"/>
      <c r="ALZ59" s="196"/>
      <c r="AMA59" s="198"/>
      <c r="AMB59" s="292"/>
      <c r="AMC59" s="196"/>
      <c r="AMD59" s="196"/>
      <c r="AME59" s="196"/>
      <c r="AMF59" s="196"/>
      <c r="AMG59" s="196"/>
      <c r="AMH59" s="196"/>
      <c r="AMI59" s="196"/>
      <c r="AMJ59" s="196"/>
      <c r="AMK59" s="196"/>
      <c r="AML59" s="196"/>
      <c r="AMM59" s="195"/>
      <c r="AMN59" s="122"/>
      <c r="AMO59" s="194"/>
      <c r="AMP59" s="130">
        <f>SUM(ALN59:AMO59)</f>
      </c>
      <c r="AMQ59" s="132">
        <f>AFX59+AHA59+AID59+AJG59+AKJ59+ALM59+AMP59</f>
      </c>
      <c r="AMR59" s="133">
        <f>(COUNTIF(AEV59:AMP59,"H")+COUNTIF(AEV59:AMP59,"S")+COUNTIF(AEV59:AMP59,"L")+COUNTIF(AEV59:AMP59,"E")+COUNTIF(AEV59:AMP59,"C"))/2</f>
      </c>
      <c r="AMS59" s="130">
        <f>AMQ59+AMR59</f>
      </c>
      <c r="AMT59" s="4"/>
      <c r="AMU59" s="4"/>
      <c r="AMV59" s="4"/>
      <c r="AMW59" s="4"/>
      <c r="AMX59" s="4"/>
      <c r="AMY59" s="4"/>
      <c r="AMZ59" s="4"/>
      <c r="ANA59" s="4"/>
      <c r="ANB59" s="4"/>
      <c r="ANC59" s="4"/>
      <c r="AND59" s="4"/>
      <c r="ANE59" s="4"/>
      <c r="ANF59" s="4"/>
      <c r="ANG59" s="4"/>
      <c r="ANH59" s="4"/>
      <c r="ANI59" s="4"/>
      <c r="ANJ59" s="13"/>
      <c r="ANK59" s="13"/>
      <c r="ANL59" s="4"/>
      <c r="ANM59" s="4"/>
      <c r="ANN59" s="4"/>
      <c r="ANO59" s="4"/>
      <c r="ANP59" s="4"/>
      <c r="ANQ59" s="4"/>
      <c r="ANR59" s="4"/>
      <c r="ANS59" s="4"/>
      <c r="ANT59" s="4"/>
      <c r="ANU59" s="4"/>
      <c r="ANV59" s="4"/>
      <c r="ANW59" s="4"/>
      <c r="ANX59" s="4"/>
      <c r="ANY59" s="4"/>
      <c r="ANZ59" s="4"/>
      <c r="AOA59" s="4"/>
      <c r="AOB59" s="4"/>
      <c r="AOC59" s="4"/>
      <c r="AOD59" s="4"/>
      <c r="AOE59" s="4"/>
      <c r="AOF59" s="4"/>
      <c r="AOG59" s="4"/>
      <c r="AOH59" s="4"/>
      <c r="AOI59" s="4"/>
      <c r="AOJ59" s="4"/>
      <c r="AOK59" s="4"/>
      <c r="AOL59" s="4"/>
      <c r="AOM59" s="4"/>
      <c r="AON59" s="4"/>
      <c r="AOO59" s="4"/>
      <c r="AOP59" s="4"/>
      <c r="AOQ59" s="4"/>
      <c r="AOR59" s="4"/>
      <c r="AOS59" s="4"/>
      <c r="AOT59" s="4"/>
      <c r="AOU59" s="4"/>
      <c r="AOV59" s="4"/>
      <c r="AOW59" s="4"/>
      <c r="AOX59" s="4"/>
      <c r="AOY59" s="4"/>
      <c r="AOZ59" s="4"/>
      <c r="APA59" s="4"/>
      <c r="APB59" s="4"/>
      <c r="APC59" s="4"/>
      <c r="APD59" s="4"/>
      <c r="APE59" s="4"/>
      <c r="APF59" s="4"/>
      <c r="APG59" s="4"/>
      <c r="APH59" s="4"/>
      <c r="API59" s="4"/>
      <c r="APJ59" s="4"/>
      <c r="APK59" s="4"/>
      <c r="APL59" s="4"/>
      <c r="APM59" s="4"/>
      <c r="APN59" s="4"/>
      <c r="APO59" s="4"/>
      <c r="APP59" s="4"/>
      <c r="APQ59" s="4"/>
      <c r="APR59" s="4"/>
      <c r="APS59" s="4"/>
      <c r="APT59" s="4"/>
      <c r="APU59" s="4"/>
      <c r="APV59" s="4"/>
      <c r="APW59" s="4"/>
      <c r="APX59" s="4"/>
      <c r="APY59" s="4"/>
      <c r="APZ59" s="4"/>
      <c r="AQA59" s="4"/>
      <c r="AQB59" s="4"/>
      <c r="AQC59" s="4"/>
      <c r="AQD59" s="4"/>
      <c r="AQE59" s="4"/>
      <c r="AQF59" s="4"/>
      <c r="AQG59" s="4"/>
      <c r="AQH59" s="4"/>
      <c r="AQI59" s="4"/>
      <c r="AQJ59" s="4"/>
      <c r="AQK59" s="4"/>
      <c r="AQL59" s="4"/>
      <c r="AQM59" s="4"/>
      <c r="AQN59" s="4"/>
      <c r="AQO59" s="4"/>
      <c r="AQP59" s="4"/>
      <c r="AQQ59" s="4"/>
      <c r="AQR59" s="4"/>
      <c r="AQS59" s="4"/>
      <c r="AQT59" s="4"/>
      <c r="AQU59" s="4"/>
      <c r="AQV59" s="4"/>
      <c r="AQW59" s="4"/>
      <c r="AQX59" s="4"/>
      <c r="AQY59" s="4"/>
      <c r="AQZ59" s="4"/>
      <c r="ARA59" s="4"/>
      <c r="ARB59" s="4"/>
      <c r="ARC59" s="4"/>
      <c r="ARD59" s="4"/>
      <c r="ARE59" s="4"/>
      <c r="ARF59" s="4"/>
      <c r="ARG59" s="4"/>
      <c r="ARH59" s="4"/>
      <c r="ARI59" s="4"/>
      <c r="ARJ59" s="4"/>
      <c r="ARK59" s="4"/>
      <c r="ARL59" s="4"/>
      <c r="ARM59" s="4"/>
      <c r="ARN59" s="4"/>
      <c r="ARO59" s="4"/>
      <c r="ARP59" s="4"/>
      <c r="ARQ59" s="4"/>
      <c r="ARR59" s="4"/>
      <c r="ARS59" s="4"/>
      <c r="ART59" s="4"/>
      <c r="ARU59" s="4"/>
      <c r="ARV59" s="4"/>
      <c r="ARW59" s="4"/>
      <c r="ARX59" s="4"/>
      <c r="ARY59" s="4"/>
      <c r="ARZ59" s="4"/>
      <c r="ASA59" s="4"/>
      <c r="ASB59" s="4"/>
      <c r="ASC59" s="4"/>
      <c r="ASD59" s="4"/>
      <c r="ASE59" s="4"/>
      <c r="ASF59" s="4"/>
      <c r="ASG59" s="4"/>
      <c r="ASH59" s="4"/>
      <c r="ASI59" s="4"/>
      <c r="ASJ59" s="4"/>
      <c r="ASK59" s="4"/>
      <c r="ASL59" s="4"/>
      <c r="ASM59" s="4"/>
      <c r="ASN59" s="4"/>
      <c r="ASO59" s="4"/>
      <c r="ASP59" s="4"/>
      <c r="ASQ59" s="4"/>
      <c r="ASR59" s="4"/>
      <c r="ASS59" s="4"/>
      <c r="AST59" s="4"/>
      <c r="ASU59" s="4"/>
    </row>
    <row r="60" ht="15" customHeight="1" spans="1:1191" x14ac:dyDescent="0.25">
      <c r="A60" s="118"/>
      <c r="B60" s="403" t="s">
        <v>97</v>
      </c>
      <c r="C60" s="289" t="s">
        <v>55</v>
      </c>
      <c r="D60" s="121"/>
      <c r="E60" s="122"/>
      <c r="F60" s="123"/>
      <c r="G60" s="124"/>
      <c r="H60" s="124"/>
      <c r="I60" s="124"/>
      <c r="J60" s="124"/>
      <c r="K60" s="124"/>
      <c r="L60" s="124"/>
      <c r="M60" s="125"/>
      <c r="N60" s="126"/>
      <c r="O60" s="124"/>
      <c r="P60" s="124"/>
      <c r="Q60" s="127"/>
      <c r="R60" s="123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5"/>
      <c r="AD60" s="301"/>
      <c r="AE60" s="151"/>
      <c r="AF60" s="131">
        <f>SUM(D60:AE60)</f>
      </c>
      <c r="AG60" s="121"/>
      <c r="AH60" s="122"/>
      <c r="AI60" s="123"/>
      <c r="AJ60" s="124"/>
      <c r="AK60" s="124"/>
      <c r="AL60" s="124"/>
      <c r="AM60" s="124"/>
      <c r="AN60" s="124"/>
      <c r="AO60" s="124"/>
      <c r="AP60" s="125"/>
      <c r="AQ60" s="126"/>
      <c r="AR60" s="124"/>
      <c r="AS60" s="124"/>
      <c r="AT60" s="127"/>
      <c r="AU60" s="123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5"/>
      <c r="BG60" s="301"/>
      <c r="BH60" s="151"/>
      <c r="BI60" s="131">
        <f>SUM(AG60:BH60)</f>
      </c>
      <c r="BJ60" s="121"/>
      <c r="BK60" s="122"/>
      <c r="BL60" s="123"/>
      <c r="BM60" s="124"/>
      <c r="BN60" s="124"/>
      <c r="BO60" s="124"/>
      <c r="BP60" s="124"/>
      <c r="BQ60" s="124"/>
      <c r="BR60" s="124"/>
      <c r="BS60" s="125"/>
      <c r="BT60" s="126"/>
      <c r="BU60" s="124"/>
      <c r="BV60" s="124"/>
      <c r="BW60" s="127"/>
      <c r="BX60" s="123"/>
      <c r="BY60" s="124"/>
      <c r="BZ60" s="124"/>
      <c r="CA60" s="124"/>
      <c r="CB60" s="124"/>
      <c r="CC60" s="124"/>
      <c r="CD60" s="124"/>
      <c r="CE60" s="124"/>
      <c r="CF60" s="124"/>
      <c r="CG60" s="124"/>
      <c r="CH60" s="124"/>
      <c r="CI60" s="125"/>
      <c r="CJ60" s="301"/>
      <c r="CK60" s="151"/>
      <c r="CL60" s="131">
        <f>SUM(BJ60:CK60)</f>
      </c>
      <c r="CM60" s="121"/>
      <c r="CN60" s="122"/>
      <c r="CO60" s="123"/>
      <c r="CP60" s="124"/>
      <c r="CQ60" s="124"/>
      <c r="CR60" s="124"/>
      <c r="CS60" s="124"/>
      <c r="CT60" s="124"/>
      <c r="CU60" s="124"/>
      <c r="CV60" s="125"/>
      <c r="CW60" s="126"/>
      <c r="CX60" s="124"/>
      <c r="CY60" s="124"/>
      <c r="CZ60" s="127"/>
      <c r="DA60" s="123"/>
      <c r="DB60" s="124"/>
      <c r="DC60" s="124"/>
      <c r="DD60" s="124"/>
      <c r="DE60" s="124"/>
      <c r="DF60" s="124"/>
      <c r="DG60" s="124"/>
      <c r="DH60" s="124"/>
      <c r="DI60" s="124"/>
      <c r="DJ60" s="124"/>
      <c r="DK60" s="124"/>
      <c r="DL60" s="125"/>
      <c r="DM60" s="301"/>
      <c r="DN60" s="151"/>
      <c r="DO60" s="131">
        <f>SUM(CM60:DN60)</f>
      </c>
      <c r="DP60" s="121"/>
      <c r="DQ60" s="122"/>
      <c r="DR60" s="123"/>
      <c r="DS60" s="124"/>
      <c r="DT60" s="124"/>
      <c r="DU60" s="124"/>
      <c r="DV60" s="124"/>
      <c r="DW60" s="124"/>
      <c r="DX60" s="124"/>
      <c r="DY60" s="125"/>
      <c r="DZ60" s="126"/>
      <c r="EA60" s="124"/>
      <c r="EB60" s="124"/>
      <c r="EC60" s="127"/>
      <c r="ED60" s="123"/>
      <c r="EE60" s="124"/>
      <c r="EF60" s="124"/>
      <c r="EG60" s="124"/>
      <c r="EH60" s="124"/>
      <c r="EI60" s="124"/>
      <c r="EJ60" s="124"/>
      <c r="EK60" s="124"/>
      <c r="EL60" s="124"/>
      <c r="EM60" s="124"/>
      <c r="EN60" s="124"/>
      <c r="EO60" s="125"/>
      <c r="EP60" s="301"/>
      <c r="EQ60" s="151"/>
      <c r="ER60" s="131">
        <f>SUM(DP60:EQ60)</f>
      </c>
      <c r="ES60" s="121"/>
      <c r="ET60" s="122"/>
      <c r="EU60" s="123"/>
      <c r="EV60" s="124"/>
      <c r="EW60" s="124"/>
      <c r="EX60" s="124"/>
      <c r="EY60" s="124"/>
      <c r="EZ60" s="124"/>
      <c r="FA60" s="124"/>
      <c r="FB60" s="125"/>
      <c r="FC60" s="126"/>
      <c r="FD60" s="124"/>
      <c r="FE60" s="124"/>
      <c r="FF60" s="127"/>
      <c r="FG60" s="123"/>
      <c r="FH60" s="124"/>
      <c r="FI60" s="124"/>
      <c r="FJ60" s="124"/>
      <c r="FK60" s="124"/>
      <c r="FL60" s="124"/>
      <c r="FM60" s="124"/>
      <c r="FN60" s="124"/>
      <c r="FO60" s="124"/>
      <c r="FP60" s="124"/>
      <c r="FQ60" s="124"/>
      <c r="FR60" s="125"/>
      <c r="FS60" s="301"/>
      <c r="FT60" s="151"/>
      <c r="FU60" s="131">
        <f>SUM(ES60:FT60)</f>
      </c>
      <c r="FV60" s="121"/>
      <c r="FW60" s="122"/>
      <c r="FX60" s="123"/>
      <c r="FY60" s="124"/>
      <c r="FZ60" s="124"/>
      <c r="GA60" s="124"/>
      <c r="GB60" s="124"/>
      <c r="GC60" s="124"/>
      <c r="GD60" s="124"/>
      <c r="GE60" s="125"/>
      <c r="GF60" s="126"/>
      <c r="GG60" s="124"/>
      <c r="GH60" s="124"/>
      <c r="GI60" s="127"/>
      <c r="GJ60" s="123"/>
      <c r="GK60" s="124"/>
      <c r="GL60" s="124"/>
      <c r="GM60" s="124"/>
      <c r="GN60" s="124"/>
      <c r="GO60" s="124"/>
      <c r="GP60" s="124"/>
      <c r="GQ60" s="124"/>
      <c r="GR60" s="124"/>
      <c r="GS60" s="124"/>
      <c r="GT60" s="124"/>
      <c r="GU60" s="125"/>
      <c r="GV60" s="301"/>
      <c r="GW60" s="151"/>
      <c r="GX60" s="131">
        <f>SUM(FV60:GW60)</f>
      </c>
      <c r="GY60" s="150">
        <f>AF60+BI60+CL60+DO60+ER60+FU60+GX60</f>
      </c>
      <c r="GZ60" s="302">
        <f>(COUNTIF(D60:GX60,"H")+COUNTIF(D60:GX60,"S")+COUNTIF(D60:GX60,"L")+COUNTIF(D60:GX60,"E")+COUNTIF(D60:GX60,"C"))/2</f>
      </c>
      <c r="HA60" s="131">
        <f>GY60+GZ60</f>
      </c>
      <c r="HB60" s="374"/>
      <c r="HC60" s="375"/>
      <c r="HD60" s="15"/>
      <c r="HE60" s="19"/>
      <c r="HF60" s="19"/>
      <c r="HG60" s="19"/>
      <c r="HH60" s="19"/>
      <c r="HI60" s="19"/>
      <c r="HJ60" s="143">
        <v>0.5</v>
      </c>
      <c r="HK60" s="154">
        <v>0.5</v>
      </c>
      <c r="HL60" s="404">
        <v>0.5</v>
      </c>
      <c r="HM60" s="143">
        <v>0.5</v>
      </c>
      <c r="HN60" s="19"/>
      <c r="HO60" s="323"/>
      <c r="HP60" s="405">
        <v>0.5</v>
      </c>
      <c r="HQ60" s="17">
        <v>0.5</v>
      </c>
      <c r="HR60" s="17">
        <v>0.5</v>
      </c>
      <c r="HS60" s="17">
        <v>0.5</v>
      </c>
      <c r="HT60" s="17">
        <v>0.5</v>
      </c>
      <c r="HU60" s="17">
        <v>0.5</v>
      </c>
      <c r="HV60" s="17">
        <v>0.5</v>
      </c>
      <c r="HW60" s="17">
        <v>0.5</v>
      </c>
      <c r="HX60" s="17">
        <v>0.5</v>
      </c>
      <c r="HY60" s="17">
        <v>0.5</v>
      </c>
      <c r="HZ60" s="17">
        <v>0.5</v>
      </c>
      <c r="IA60" s="406">
        <v>0.5</v>
      </c>
      <c r="IB60" s="407"/>
      <c r="IC60" s="408"/>
      <c r="ID60" s="131">
        <f>SUM(HB60:IC60)</f>
      </c>
      <c r="IE60" s="374"/>
      <c r="IF60" s="375"/>
      <c r="IG60" s="15"/>
      <c r="IH60" s="19"/>
      <c r="II60" s="19"/>
      <c r="IJ60" s="19"/>
      <c r="IK60" s="19"/>
      <c r="IL60" s="19"/>
      <c r="IM60" s="143">
        <v>0.5</v>
      </c>
      <c r="IN60" s="154">
        <v>0.5</v>
      </c>
      <c r="IO60" s="404">
        <v>0.5</v>
      </c>
      <c r="IP60" s="143">
        <v>0.5</v>
      </c>
      <c r="IQ60" s="19"/>
      <c r="IR60" s="323"/>
      <c r="IS60" s="405">
        <v>0.5</v>
      </c>
      <c r="IT60" s="17">
        <v>0.5</v>
      </c>
      <c r="IU60" s="17">
        <v>0.5</v>
      </c>
      <c r="IV60" s="17">
        <v>0.5</v>
      </c>
      <c r="IW60" s="17">
        <v>0.5</v>
      </c>
      <c r="IX60" s="17">
        <v>0.5</v>
      </c>
      <c r="IY60" s="17">
        <v>0.5</v>
      </c>
      <c r="IZ60" s="17">
        <v>0.5</v>
      </c>
      <c r="JA60" s="17">
        <v>0.5</v>
      </c>
      <c r="JB60" s="17">
        <v>0.5</v>
      </c>
      <c r="JC60" s="17">
        <v>0.5</v>
      </c>
      <c r="JD60" s="406">
        <v>0.5</v>
      </c>
      <c r="JE60" s="407"/>
      <c r="JF60" s="408"/>
      <c r="JG60" s="131">
        <f>SUM(IE60:JF60)</f>
      </c>
      <c r="JH60" s="374"/>
      <c r="JI60" s="375"/>
      <c r="JJ60" s="15"/>
      <c r="JK60" s="19"/>
      <c r="JL60" s="19"/>
      <c r="JM60" s="19"/>
      <c r="JN60" s="19"/>
      <c r="JO60" s="19"/>
      <c r="JP60" s="26" t="s">
        <v>9</v>
      </c>
      <c r="JQ60" s="409" t="s">
        <v>9</v>
      </c>
      <c r="JR60" s="410" t="s">
        <v>9</v>
      </c>
      <c r="JS60" s="26" t="s">
        <v>9</v>
      </c>
      <c r="JT60" s="19"/>
      <c r="JU60" s="323"/>
      <c r="JV60" s="411" t="s">
        <v>9</v>
      </c>
      <c r="JW60" s="26" t="s">
        <v>9</v>
      </c>
      <c r="JX60" s="26" t="s">
        <v>9</v>
      </c>
      <c r="JY60" s="26" t="s">
        <v>9</v>
      </c>
      <c r="JZ60" s="26" t="s">
        <v>9</v>
      </c>
      <c r="KA60" s="26" t="s">
        <v>9</v>
      </c>
      <c r="KB60" s="26" t="s">
        <v>9</v>
      </c>
      <c r="KC60" s="26" t="s">
        <v>9</v>
      </c>
      <c r="KD60" s="26" t="s">
        <v>9</v>
      </c>
      <c r="KE60" s="26" t="s">
        <v>9</v>
      </c>
      <c r="KF60" s="26" t="s">
        <v>9</v>
      </c>
      <c r="KG60" s="409" t="s">
        <v>9</v>
      </c>
      <c r="KH60" s="407"/>
      <c r="KI60" s="408"/>
      <c r="KJ60" s="131">
        <f>SUM(JH60:KI60)</f>
      </c>
      <c r="KK60" s="374"/>
      <c r="KL60" s="375"/>
      <c r="KM60" s="15"/>
      <c r="KN60" s="26" t="s">
        <v>9</v>
      </c>
      <c r="KO60" s="26" t="s">
        <v>9</v>
      </c>
      <c r="KP60" s="26" t="s">
        <v>9</v>
      </c>
      <c r="KQ60" s="26" t="s">
        <v>9</v>
      </c>
      <c r="KR60" s="26" t="s">
        <v>9</v>
      </c>
      <c r="KS60" s="26" t="s">
        <v>9</v>
      </c>
      <c r="KT60" s="409" t="s">
        <v>9</v>
      </c>
      <c r="KU60" s="412"/>
      <c r="KV60" s="19"/>
      <c r="KW60" s="26" t="s">
        <v>9</v>
      </c>
      <c r="KX60" s="413" t="s">
        <v>9</v>
      </c>
      <c r="KY60" s="411" t="s">
        <v>9</v>
      </c>
      <c r="KZ60" s="26" t="s">
        <v>9</v>
      </c>
      <c r="LA60" s="26" t="s">
        <v>9</v>
      </c>
      <c r="LB60" s="26" t="s">
        <v>9</v>
      </c>
      <c r="LC60" s="26" t="s">
        <v>9</v>
      </c>
      <c r="LD60" s="26" t="s">
        <v>9</v>
      </c>
      <c r="LE60" s="26" t="s">
        <v>9</v>
      </c>
      <c r="LF60" s="19"/>
      <c r="LG60" s="19"/>
      <c r="LH60" s="19"/>
      <c r="LI60" s="19"/>
      <c r="LJ60" s="414"/>
      <c r="LK60" s="407"/>
      <c r="LL60" s="408"/>
      <c r="LM60" s="131">
        <f>SUM(KK60:LL60)</f>
      </c>
      <c r="LN60" s="374"/>
      <c r="LO60" s="375"/>
      <c r="LP60" s="15"/>
      <c r="LQ60" s="26" t="s">
        <v>9</v>
      </c>
      <c r="LR60" s="26" t="s">
        <v>9</v>
      </c>
      <c r="LS60" s="26" t="s">
        <v>9</v>
      </c>
      <c r="LT60" s="26" t="s">
        <v>9</v>
      </c>
      <c r="LU60" s="26" t="s">
        <v>9</v>
      </c>
      <c r="LV60" s="26" t="s">
        <v>9</v>
      </c>
      <c r="LW60" s="409" t="s">
        <v>9</v>
      </c>
      <c r="LX60" s="412"/>
      <c r="LY60" s="19"/>
      <c r="LZ60" s="26" t="s">
        <v>9</v>
      </c>
      <c r="MA60" s="413" t="s">
        <v>9</v>
      </c>
      <c r="MB60" s="411" t="s">
        <v>9</v>
      </c>
      <c r="MC60" s="26" t="s">
        <v>9</v>
      </c>
      <c r="MD60" s="26" t="s">
        <v>9</v>
      </c>
      <c r="ME60" s="26" t="s">
        <v>9</v>
      </c>
      <c r="MF60" s="26" t="s">
        <v>9</v>
      </c>
      <c r="MG60" s="26" t="s">
        <v>9</v>
      </c>
      <c r="MH60" s="26" t="s">
        <v>9</v>
      </c>
      <c r="MI60" s="19"/>
      <c r="MJ60" s="19"/>
      <c r="MK60" s="19"/>
      <c r="ML60" s="19"/>
      <c r="MM60" s="414"/>
      <c r="MN60" s="407"/>
      <c r="MO60" s="408"/>
      <c r="MP60" s="131">
        <f>SUM(LN60:MO60)</f>
      </c>
      <c r="MQ60" s="121"/>
      <c r="MR60" s="122"/>
      <c r="MS60" s="123"/>
      <c r="MT60" s="124"/>
      <c r="MU60" s="124"/>
      <c r="MV60" s="124"/>
      <c r="MW60" s="124"/>
      <c r="MX60" s="124"/>
      <c r="MY60" s="124"/>
      <c r="MZ60" s="125"/>
      <c r="NA60" s="126"/>
      <c r="NB60" s="124"/>
      <c r="NC60" s="124"/>
      <c r="ND60" s="127"/>
      <c r="NE60" s="123"/>
      <c r="NF60" s="124"/>
      <c r="NG60" s="124"/>
      <c r="NH60" s="124"/>
      <c r="NI60" s="124"/>
      <c r="NJ60" s="124"/>
      <c r="NK60" s="124"/>
      <c r="NL60" s="124"/>
      <c r="NM60" s="124"/>
      <c r="NN60" s="124"/>
      <c r="NO60" s="124"/>
      <c r="NP60" s="125"/>
      <c r="NQ60" s="301"/>
      <c r="NR60" s="151"/>
      <c r="NS60" s="131">
        <f>SUM(MQ60:NR60)</f>
      </c>
      <c r="NT60" s="121"/>
      <c r="NU60" s="122"/>
      <c r="NV60" s="123"/>
      <c r="NW60" s="124"/>
      <c r="NX60" s="124"/>
      <c r="NY60" s="124"/>
      <c r="NZ60" s="124"/>
      <c r="OA60" s="124"/>
      <c r="OB60" s="124"/>
      <c r="OC60" s="125"/>
      <c r="OD60" s="126"/>
      <c r="OE60" s="124"/>
      <c r="OF60" s="124"/>
      <c r="OG60" s="127"/>
      <c r="OH60" s="123"/>
      <c r="OI60" s="124"/>
      <c r="OJ60" s="124"/>
      <c r="OK60" s="124"/>
      <c r="OL60" s="124"/>
      <c r="OM60" s="124"/>
      <c r="ON60" s="124"/>
      <c r="OO60" s="124"/>
      <c r="OP60" s="124"/>
      <c r="OQ60" s="124"/>
      <c r="OR60" s="124"/>
      <c r="OS60" s="125"/>
      <c r="OT60" s="301"/>
      <c r="OU60" s="151"/>
      <c r="OV60" s="131">
        <f>SUM(NT60:OU60)</f>
      </c>
      <c r="OW60" s="150">
        <f>ID60+JG60+KJ60+LM60+MP60+NS60+OV60</f>
      </c>
      <c r="OX60" s="302">
        <f>(COUNTIF(HB60:OV60,"H")+COUNTIF(HB60:OV60,"S")+COUNTIF(HB60:OV60,"L")+COUNTIF(HB60:OV60,"E")+COUNTIF(HB60:OV60,"C"))/2</f>
      </c>
      <c r="OY60" s="131">
        <f>OW60+OX60</f>
      </c>
      <c r="OZ60" s="374"/>
      <c r="PA60" s="375"/>
      <c r="PB60" s="15"/>
      <c r="PC60" s="19"/>
      <c r="PD60" s="19"/>
      <c r="PE60" s="19"/>
      <c r="PF60" s="19"/>
      <c r="PG60" s="19"/>
      <c r="PH60" s="17">
        <v>0.5</v>
      </c>
      <c r="PI60" s="406">
        <v>0.5</v>
      </c>
      <c r="PJ60" s="412"/>
      <c r="PK60" s="19"/>
      <c r="PL60" s="17">
        <v>0.5</v>
      </c>
      <c r="PM60" s="415">
        <v>0.5</v>
      </c>
      <c r="PN60" s="405">
        <v>0.5</v>
      </c>
      <c r="PO60" s="17">
        <v>0.5</v>
      </c>
      <c r="PP60" s="17">
        <v>0.5</v>
      </c>
      <c r="PQ60" s="17">
        <v>0.5</v>
      </c>
      <c r="PR60" s="17">
        <v>0.5</v>
      </c>
      <c r="PS60" s="17">
        <v>0.5</v>
      </c>
      <c r="PT60" s="17">
        <v>0.5</v>
      </c>
      <c r="PU60" s="17">
        <v>0.5</v>
      </c>
      <c r="PV60" s="17">
        <v>0.5</v>
      </c>
      <c r="PW60" s="17">
        <v>0.5</v>
      </c>
      <c r="PX60" s="17">
        <v>0.5</v>
      </c>
      <c r="PY60" s="406">
        <v>0.5</v>
      </c>
      <c r="PZ60" s="407"/>
      <c r="QA60" s="408"/>
      <c r="QB60" s="131">
        <f>SUM(OZ60:QA60)</f>
      </c>
      <c r="QC60" s="374"/>
      <c r="QD60" s="375"/>
      <c r="QE60" s="15"/>
      <c r="QF60" s="19"/>
      <c r="QG60" s="19"/>
      <c r="QH60" s="19"/>
      <c r="QI60" s="19"/>
      <c r="QJ60" s="19"/>
      <c r="QK60" s="26" t="s">
        <v>9</v>
      </c>
      <c r="QL60" s="409" t="s">
        <v>9</v>
      </c>
      <c r="QM60" s="410" t="s">
        <v>9</v>
      </c>
      <c r="QN60" s="26" t="s">
        <v>9</v>
      </c>
      <c r="QO60" s="19"/>
      <c r="QP60" s="323"/>
      <c r="QQ60" s="405">
        <v>0.5</v>
      </c>
      <c r="QR60" s="17">
        <v>0.5</v>
      </c>
      <c r="QS60" s="17">
        <v>0.5</v>
      </c>
      <c r="QT60" s="17">
        <v>0.5</v>
      </c>
      <c r="QU60" s="17">
        <v>0.5</v>
      </c>
      <c r="QV60" s="17">
        <v>0.5</v>
      </c>
      <c r="QW60" s="17">
        <v>0.5</v>
      </c>
      <c r="QX60" s="17">
        <v>0.5</v>
      </c>
      <c r="QY60" s="17">
        <v>0.5</v>
      </c>
      <c r="QZ60" s="17">
        <v>0.5</v>
      </c>
      <c r="RA60" s="17">
        <v>0.5</v>
      </c>
      <c r="RB60" s="406">
        <v>0.5</v>
      </c>
      <c r="RC60" s="407"/>
      <c r="RD60" s="408"/>
      <c r="RE60" s="131">
        <f>SUM(QC60:RD60)</f>
      </c>
      <c r="RF60" s="374"/>
      <c r="RG60" s="375"/>
      <c r="RH60" s="15"/>
      <c r="RI60" s="19"/>
      <c r="RJ60" s="19"/>
      <c r="RK60" s="19"/>
      <c r="RL60" s="19"/>
      <c r="RM60" s="19"/>
      <c r="RN60" s="143">
        <v>0.5</v>
      </c>
      <c r="RO60" s="154">
        <v>0.5</v>
      </c>
      <c r="RP60" s="404">
        <v>0.5</v>
      </c>
      <c r="RQ60" s="143">
        <v>0.5</v>
      </c>
      <c r="RR60" s="19"/>
      <c r="RS60" s="323"/>
      <c r="RT60" s="405">
        <v>0.5</v>
      </c>
      <c r="RU60" s="17">
        <v>0.5</v>
      </c>
      <c r="RV60" s="17">
        <v>0.5</v>
      </c>
      <c r="RW60" s="17">
        <v>0.5</v>
      </c>
      <c r="RX60" s="17">
        <v>0.5</v>
      </c>
      <c r="RY60" s="17">
        <v>0.5</v>
      </c>
      <c r="RZ60" s="17">
        <v>0.5</v>
      </c>
      <c r="SA60" s="17">
        <v>0.5</v>
      </c>
      <c r="SB60" s="17">
        <v>0.5</v>
      </c>
      <c r="SC60" s="17">
        <v>0.5</v>
      </c>
      <c r="SD60" s="17">
        <v>0.5</v>
      </c>
      <c r="SE60" s="406">
        <v>0.5</v>
      </c>
      <c r="SF60" s="407"/>
      <c r="SG60" s="408"/>
      <c r="SH60" s="131">
        <f>SUM(RF60:SG60)</f>
      </c>
      <c r="SI60" s="374"/>
      <c r="SJ60" s="375"/>
      <c r="SK60" s="15"/>
      <c r="SL60" s="19"/>
      <c r="SM60" s="19"/>
      <c r="SN60" s="19"/>
      <c r="SO60" s="19"/>
      <c r="SP60" s="19"/>
      <c r="SQ60" s="143">
        <v>0.5</v>
      </c>
      <c r="SR60" s="154">
        <v>0.5</v>
      </c>
      <c r="SS60" s="404">
        <v>0.5</v>
      </c>
      <c r="ST60" s="143">
        <v>0.5</v>
      </c>
      <c r="SU60" s="19"/>
      <c r="SV60" s="323"/>
      <c r="SW60" s="405">
        <v>0.5</v>
      </c>
      <c r="SX60" s="17">
        <v>0.5</v>
      </c>
      <c r="SY60" s="17">
        <v>0.5</v>
      </c>
      <c r="SZ60" s="17">
        <v>0.5</v>
      </c>
      <c r="TA60" s="17">
        <v>0.5</v>
      </c>
      <c r="TB60" s="17">
        <v>0.5</v>
      </c>
      <c r="TC60" s="17">
        <v>0.5</v>
      </c>
      <c r="TD60" s="17">
        <v>0.5</v>
      </c>
      <c r="TE60" s="17">
        <v>0.5</v>
      </c>
      <c r="TF60" s="17">
        <v>0.5</v>
      </c>
      <c r="TG60" s="17">
        <v>0.5</v>
      </c>
      <c r="TH60" s="406">
        <v>0.5</v>
      </c>
      <c r="TI60" s="407"/>
      <c r="TJ60" s="408"/>
      <c r="TK60" s="131">
        <f>SUM(SI60:TJ60)</f>
      </c>
      <c r="TL60" s="374"/>
      <c r="TM60" s="375"/>
      <c r="TN60" s="15"/>
      <c r="TO60" s="19"/>
      <c r="TP60" s="19"/>
      <c r="TQ60" s="19"/>
      <c r="TR60" s="19"/>
      <c r="TS60" s="19"/>
      <c r="TT60" s="143">
        <v>0.5</v>
      </c>
      <c r="TU60" s="154">
        <v>0.5</v>
      </c>
      <c r="TV60" s="404">
        <v>0.5</v>
      </c>
      <c r="TW60" s="143">
        <v>0.5</v>
      </c>
      <c r="TX60" s="19"/>
      <c r="TY60" s="323"/>
      <c r="TZ60" s="405">
        <v>0.5</v>
      </c>
      <c r="UA60" s="17">
        <v>0.5</v>
      </c>
      <c r="UB60" s="17">
        <v>0.5</v>
      </c>
      <c r="UC60" s="17">
        <v>0.5</v>
      </c>
      <c r="UD60" s="17">
        <v>0.5</v>
      </c>
      <c r="UE60" s="17">
        <v>0.5</v>
      </c>
      <c r="UF60" s="17">
        <v>0.5</v>
      </c>
      <c r="UG60" s="17">
        <v>0.5</v>
      </c>
      <c r="UH60" s="17">
        <v>0.5</v>
      </c>
      <c r="UI60" s="17">
        <v>0.5</v>
      </c>
      <c r="UJ60" s="17">
        <v>0.5</v>
      </c>
      <c r="UK60" s="406">
        <v>0.5</v>
      </c>
      <c r="UL60" s="407"/>
      <c r="UM60" s="408"/>
      <c r="UN60" s="131">
        <f>SUM(TL60:UM60)</f>
      </c>
      <c r="UO60" s="121"/>
      <c r="UP60" s="122"/>
      <c r="UQ60" s="123"/>
      <c r="UR60" s="124"/>
      <c r="US60" s="124"/>
      <c r="UT60" s="124"/>
      <c r="UU60" s="124"/>
      <c r="UV60" s="124"/>
      <c r="UW60" s="124"/>
      <c r="UX60" s="125"/>
      <c r="UY60" s="126"/>
      <c r="UZ60" s="124"/>
      <c r="VA60" s="124"/>
      <c r="VB60" s="127"/>
      <c r="VC60" s="123"/>
      <c r="VD60" s="124"/>
      <c r="VE60" s="124"/>
      <c r="VF60" s="124"/>
      <c r="VG60" s="124"/>
      <c r="VH60" s="124"/>
      <c r="VI60" s="124"/>
      <c r="VJ60" s="124"/>
      <c r="VK60" s="124"/>
      <c r="VL60" s="124"/>
      <c r="VM60" s="124"/>
      <c r="VN60" s="125"/>
      <c r="VO60" s="301"/>
      <c r="VP60" s="151"/>
      <c r="VQ60" s="131">
        <f>SUM(UO60:VP60)</f>
      </c>
      <c r="VR60" s="121"/>
      <c r="VS60" s="122"/>
      <c r="VT60" s="123"/>
      <c r="VU60" s="124"/>
      <c r="VV60" s="124"/>
      <c r="VW60" s="124"/>
      <c r="VX60" s="124"/>
      <c r="VY60" s="124"/>
      <c r="VZ60" s="124"/>
      <c r="WA60" s="125"/>
      <c r="WB60" s="126"/>
      <c r="WC60" s="124"/>
      <c r="WD60" s="124"/>
      <c r="WE60" s="127"/>
      <c r="WF60" s="123"/>
      <c r="WG60" s="124"/>
      <c r="WH60" s="124"/>
      <c r="WI60" s="124"/>
      <c r="WJ60" s="124"/>
      <c r="WK60" s="124"/>
      <c r="WL60" s="124"/>
      <c r="WM60" s="124"/>
      <c r="WN60" s="124"/>
      <c r="WO60" s="124"/>
      <c r="WP60" s="124"/>
      <c r="WQ60" s="125"/>
      <c r="WR60" s="301"/>
      <c r="WS60" s="151"/>
      <c r="WT60" s="131">
        <f>SUM(VR60:WS60)</f>
      </c>
      <c r="WU60" s="150">
        <f>QB60+RE60+SH60+TK60+UN60+VQ60+WT60</f>
      </c>
      <c r="WV60" s="302">
        <f>(COUNTIF(OZ60:WT60,"H")+COUNTIF(OZ60:WT60,"S")+COUNTIF(OZ60:WT60,"L")+COUNTIF(OZ60:WT60,"E")+COUNTIF(OZ60:WT60,"C"))/2</f>
      </c>
      <c r="WW60" s="131">
        <f>WU60+WV60</f>
      </c>
      <c r="WX60" s="374"/>
      <c r="WY60" s="375"/>
      <c r="WZ60" s="15"/>
      <c r="XA60" s="307">
        <v>0.5</v>
      </c>
      <c r="XB60" s="307">
        <v>0.5</v>
      </c>
      <c r="XC60" s="307">
        <v>0.5</v>
      </c>
      <c r="XD60" s="307">
        <v>0.5</v>
      </c>
      <c r="XE60" s="307">
        <v>0.5</v>
      </c>
      <c r="XF60" s="307">
        <v>0.5</v>
      </c>
      <c r="XG60" s="314">
        <v>0.5</v>
      </c>
      <c r="XH60" s="319">
        <v>0.5</v>
      </c>
      <c r="XI60" s="307">
        <v>0.5</v>
      </c>
      <c r="XJ60" s="307">
        <v>0.5</v>
      </c>
      <c r="XK60" s="416">
        <v>0.5</v>
      </c>
      <c r="XL60" s="313">
        <v>0.5</v>
      </c>
      <c r="XM60" s="308">
        <v>0.5</v>
      </c>
      <c r="XN60" s="308">
        <v>0.5</v>
      </c>
      <c r="XO60" s="308">
        <v>0.5</v>
      </c>
      <c r="XP60" s="308">
        <v>0.5</v>
      </c>
      <c r="XQ60" s="308">
        <v>0.5</v>
      </c>
      <c r="XR60" s="308">
        <v>0.5</v>
      </c>
      <c r="XS60" s="308">
        <v>0.5</v>
      </c>
      <c r="XT60" s="308">
        <v>0.5</v>
      </c>
      <c r="XU60" s="308">
        <v>0.5</v>
      </c>
      <c r="XV60" s="308">
        <v>0.5</v>
      </c>
      <c r="XW60" s="309">
        <v>0.5</v>
      </c>
      <c r="XX60" s="407"/>
      <c r="XY60" s="408"/>
      <c r="XZ60" s="131">
        <f>SUM(WX60:XY60)</f>
      </c>
      <c r="YA60" s="374"/>
      <c r="YB60" s="375"/>
      <c r="YC60" s="15"/>
      <c r="YD60" s="308">
        <v>0.5</v>
      </c>
      <c r="YE60" s="308">
        <v>0.5</v>
      </c>
      <c r="YF60" s="308">
        <v>0.5</v>
      </c>
      <c r="YG60" s="308">
        <v>0.5</v>
      </c>
      <c r="YH60" s="308">
        <v>0.5</v>
      </c>
      <c r="YI60" s="308">
        <v>0.5</v>
      </c>
      <c r="YJ60" s="309">
        <v>0.5</v>
      </c>
      <c r="YK60" s="412"/>
      <c r="YL60" s="19"/>
      <c r="YM60" s="308">
        <v>0.5</v>
      </c>
      <c r="YN60" s="312">
        <v>0.5</v>
      </c>
      <c r="YO60" s="313">
        <v>0.5</v>
      </c>
      <c r="YP60" s="308">
        <v>0.5</v>
      </c>
      <c r="YQ60" s="308">
        <v>0.5</v>
      </c>
      <c r="YR60" s="308">
        <v>0.5</v>
      </c>
      <c r="YS60" s="308">
        <v>0.5</v>
      </c>
      <c r="YT60" s="308">
        <v>0.5</v>
      </c>
      <c r="YU60" s="308">
        <v>0.5</v>
      </c>
      <c r="YV60" s="308">
        <v>0.5</v>
      </c>
      <c r="YW60" s="308">
        <v>0.5</v>
      </c>
      <c r="YX60" s="19"/>
      <c r="YY60" s="19"/>
      <c r="YZ60" s="414"/>
      <c r="ZA60" s="407"/>
      <c r="ZB60" s="408"/>
      <c r="ZC60" s="131">
        <f>SUM(YA60:ZB60)</f>
      </c>
      <c r="ZD60" s="374"/>
      <c r="ZE60" s="375"/>
      <c r="ZF60" s="15"/>
      <c r="ZG60" s="308">
        <v>0.5</v>
      </c>
      <c r="ZH60" s="308">
        <v>0.5</v>
      </c>
      <c r="ZI60" s="308">
        <v>0.5</v>
      </c>
      <c r="ZJ60" s="308">
        <v>0.5</v>
      </c>
      <c r="ZK60" s="308">
        <v>0.5</v>
      </c>
      <c r="ZL60" s="308">
        <v>0.5</v>
      </c>
      <c r="ZM60" s="309">
        <v>0.5</v>
      </c>
      <c r="ZN60" s="412"/>
      <c r="ZO60" s="19"/>
      <c r="ZP60" s="308">
        <v>0.5</v>
      </c>
      <c r="ZQ60" s="312">
        <v>0.5</v>
      </c>
      <c r="ZR60" s="313">
        <v>0.5</v>
      </c>
      <c r="ZS60" s="308">
        <v>0.5</v>
      </c>
      <c r="ZT60" s="308">
        <v>0.5</v>
      </c>
      <c r="ZU60" s="308">
        <v>0.5</v>
      </c>
      <c r="ZV60" s="308">
        <v>0.5</v>
      </c>
      <c r="ZW60" s="308">
        <v>0.5</v>
      </c>
      <c r="ZX60" s="308">
        <v>0.5</v>
      </c>
      <c r="ZY60" s="308">
        <v>0.5</v>
      </c>
      <c r="ZZ60" s="308">
        <v>0.5</v>
      </c>
      <c r="AAA60" s="19"/>
      <c r="AAB60" s="19"/>
      <c r="AAC60" s="414"/>
      <c r="AAD60" s="407"/>
      <c r="AAE60" s="408"/>
      <c r="AAF60" s="131">
        <f>SUM(ZD60:AAE60)</f>
      </c>
      <c r="AAG60" s="374"/>
      <c r="AAH60" s="375"/>
      <c r="AAI60" s="15"/>
      <c r="AAJ60" s="308">
        <v>0.5</v>
      </c>
      <c r="AAK60" s="308">
        <v>0.5</v>
      </c>
      <c r="AAL60" s="308">
        <v>0.5</v>
      </c>
      <c r="AAM60" s="308">
        <v>0.5</v>
      </c>
      <c r="AAN60" s="308">
        <v>0.5</v>
      </c>
      <c r="AAO60" s="308">
        <v>0.5</v>
      </c>
      <c r="AAP60" s="309">
        <v>0.5</v>
      </c>
      <c r="AAQ60" s="320">
        <v>0.5</v>
      </c>
      <c r="AAR60" s="308">
        <v>0.5</v>
      </c>
      <c r="AAS60" s="307">
        <v>0.5</v>
      </c>
      <c r="AAT60" s="416">
        <v>0.5</v>
      </c>
      <c r="AAU60" s="306">
        <v>0.5</v>
      </c>
      <c r="AAV60" s="307">
        <v>0.5</v>
      </c>
      <c r="AAW60" s="307">
        <v>0.5</v>
      </c>
      <c r="AAX60" s="307">
        <v>0.5</v>
      </c>
      <c r="AAY60" s="307">
        <v>0.5</v>
      </c>
      <c r="AAZ60" s="307">
        <v>0.5</v>
      </c>
      <c r="ABA60" s="307">
        <v>0.5</v>
      </c>
      <c r="ABB60" s="307">
        <v>0.5</v>
      </c>
      <c r="ABC60" s="307">
        <v>0.5</v>
      </c>
      <c r="ABD60" s="307">
        <v>0.5</v>
      </c>
      <c r="ABE60" s="19"/>
      <c r="ABF60" s="414"/>
      <c r="ABG60" s="407"/>
      <c r="ABH60" s="408"/>
      <c r="ABI60" s="131">
        <f>SUM(AAG60:ABH60)</f>
      </c>
      <c r="ABJ60" s="374"/>
      <c r="ABK60" s="375"/>
      <c r="ABL60" s="15"/>
      <c r="ABM60" s="19"/>
      <c r="ABN60" s="19"/>
      <c r="ABO60" s="19"/>
      <c r="ABP60" s="19"/>
      <c r="ABQ60" s="19"/>
      <c r="ABR60" s="19"/>
      <c r="ABS60" s="414"/>
      <c r="ABT60" s="412"/>
      <c r="ABU60" s="19"/>
      <c r="ABV60" s="19"/>
      <c r="ABW60" s="323"/>
      <c r="ABX60" s="15"/>
      <c r="ABY60" s="19"/>
      <c r="ABZ60" s="19"/>
      <c r="ACA60" s="19"/>
      <c r="ACB60" s="19"/>
      <c r="ACC60" s="19"/>
      <c r="ACD60" s="19"/>
      <c r="ACE60" s="19"/>
      <c r="ACF60" s="19"/>
      <c r="ACG60" s="19"/>
      <c r="ACH60" s="19"/>
      <c r="ACI60" s="414"/>
      <c r="ACJ60" s="407"/>
      <c r="ACK60" s="408"/>
      <c r="ACL60" s="131">
        <f>SUM(ABJ60:ACK60)</f>
      </c>
      <c r="ACM60" s="121"/>
      <c r="ACN60" s="122"/>
      <c r="ACO60" s="123"/>
      <c r="ACP60" s="124"/>
      <c r="ACQ60" s="124"/>
      <c r="ACR60" s="124"/>
      <c r="ACS60" s="124"/>
      <c r="ACT60" s="124"/>
      <c r="ACU60" s="124"/>
      <c r="ACV60" s="125"/>
      <c r="ACW60" s="126"/>
      <c r="ACX60" s="124"/>
      <c r="ACY60" s="124"/>
      <c r="ACZ60" s="127"/>
      <c r="ADA60" s="123"/>
      <c r="ADB60" s="124"/>
      <c r="ADC60" s="124"/>
      <c r="ADD60" s="124"/>
      <c r="ADE60" s="124"/>
      <c r="ADF60" s="124"/>
      <c r="ADG60" s="124"/>
      <c r="ADH60" s="124"/>
      <c r="ADI60" s="124"/>
      <c r="ADJ60" s="124"/>
      <c r="ADK60" s="124"/>
      <c r="ADL60" s="125"/>
      <c r="ADM60" s="301"/>
      <c r="ADN60" s="151"/>
      <c r="ADO60" s="131">
        <f>SUM(ACM60:ADN60)</f>
      </c>
      <c r="ADP60" s="121"/>
      <c r="ADQ60" s="122"/>
      <c r="ADR60" s="123"/>
      <c r="ADS60" s="124"/>
      <c r="ADT60" s="124"/>
      <c r="ADU60" s="124"/>
      <c r="ADV60" s="124"/>
      <c r="ADW60" s="124"/>
      <c r="ADX60" s="124"/>
      <c r="ADY60" s="125"/>
      <c r="ADZ60" s="126"/>
      <c r="AEA60" s="124"/>
      <c r="AEB60" s="124"/>
      <c r="AEC60" s="127"/>
      <c r="AED60" s="123"/>
      <c r="AEE60" s="124"/>
      <c r="AEF60" s="124"/>
      <c r="AEG60" s="124"/>
      <c r="AEH60" s="124"/>
      <c r="AEI60" s="124"/>
      <c r="AEJ60" s="124"/>
      <c r="AEK60" s="124"/>
      <c r="AEL60" s="124"/>
      <c r="AEM60" s="124"/>
      <c r="AEN60" s="124"/>
      <c r="AEO60" s="125"/>
      <c r="AEP60" s="301"/>
      <c r="AEQ60" s="151"/>
      <c r="AER60" s="131">
        <f>SUM(ADP60:AEQ60)</f>
      </c>
      <c r="AES60" s="150">
        <f>XZ60+ZC60+AAF60+ABI60+ACL60+ADO60+AER60</f>
      </c>
      <c r="AET60" s="302">
        <f>(COUNTIF(WX60:AER60,"H")+COUNTIF(WX60:AER60,"S")+COUNTIF(WX60:AER60,"L")+COUNTIF(WX60:AER60,"E")+COUNTIF(WX60:AER60,"C"))/2</f>
      </c>
      <c r="AEU60" s="131">
        <f>AES60+AET60</f>
      </c>
      <c r="AEV60" s="374"/>
      <c r="AEW60" s="375"/>
      <c r="AEX60" s="15"/>
      <c r="AEY60" s="19"/>
      <c r="AEZ60" s="19"/>
      <c r="AFA60" s="19"/>
      <c r="AFB60" s="19"/>
      <c r="AFC60" s="19"/>
      <c r="AFD60" s="143">
        <v>0.5</v>
      </c>
      <c r="AFE60" s="154">
        <v>0.5</v>
      </c>
      <c r="AFF60" s="404">
        <v>0.5</v>
      </c>
      <c r="AFG60" s="143">
        <v>0.5</v>
      </c>
      <c r="AFH60" s="19"/>
      <c r="AFI60" s="323"/>
      <c r="AFJ60" s="405">
        <v>0.5</v>
      </c>
      <c r="AFK60" s="17">
        <v>0.5</v>
      </c>
      <c r="AFL60" s="17">
        <v>0.5</v>
      </c>
      <c r="AFM60" s="17">
        <v>0.5</v>
      </c>
      <c r="AFN60" s="17">
        <v>0.5</v>
      </c>
      <c r="AFO60" s="17">
        <v>0.5</v>
      </c>
      <c r="AFP60" s="17">
        <v>0.5</v>
      </c>
      <c r="AFQ60" s="17">
        <v>0.5</v>
      </c>
      <c r="AFR60" s="17">
        <v>0.5</v>
      </c>
      <c r="AFS60" s="17">
        <v>0.5</v>
      </c>
      <c r="AFT60" s="17">
        <v>0.5</v>
      </c>
      <c r="AFU60" s="406">
        <v>0.5</v>
      </c>
      <c r="AFV60" s="407"/>
      <c r="AFW60" s="408"/>
      <c r="AFX60" s="131">
        <f>SUM(AEV60:AFW60)</f>
      </c>
      <c r="AFY60" s="374"/>
      <c r="AFZ60" s="375"/>
      <c r="AGA60" s="15"/>
      <c r="AGB60" s="19"/>
      <c r="AGC60" s="19"/>
      <c r="AGD60" s="19"/>
      <c r="AGE60" s="19"/>
      <c r="AGF60" s="19"/>
      <c r="AGG60" s="143">
        <v>0.5</v>
      </c>
      <c r="AGH60" s="154">
        <v>0.5</v>
      </c>
      <c r="AGI60" s="404">
        <v>0.5</v>
      </c>
      <c r="AGJ60" s="143">
        <v>0.5</v>
      </c>
      <c r="AGK60" s="19"/>
      <c r="AGL60" s="323"/>
      <c r="AGM60" s="405">
        <v>0.5</v>
      </c>
      <c r="AGN60" s="17">
        <v>0.5</v>
      </c>
      <c r="AGO60" s="17">
        <v>0.5</v>
      </c>
      <c r="AGP60" s="17">
        <v>0.5</v>
      </c>
      <c r="AGQ60" s="17">
        <v>0.5</v>
      </c>
      <c r="AGR60" s="17">
        <v>0.5</v>
      </c>
      <c r="AGS60" s="17">
        <v>0.5</v>
      </c>
      <c r="AGT60" s="17">
        <v>0.5</v>
      </c>
      <c r="AGU60" s="17">
        <v>0.5</v>
      </c>
      <c r="AGV60" s="17">
        <v>0.5</v>
      </c>
      <c r="AGW60" s="17">
        <v>0.5</v>
      </c>
      <c r="AGX60" s="406">
        <v>0.5</v>
      </c>
      <c r="AGY60" s="407"/>
      <c r="AGZ60" s="408"/>
      <c r="AHA60" s="131">
        <f>SUM(AFY60:AGZ60)</f>
      </c>
      <c r="AHB60" s="374"/>
      <c r="AHC60" s="375"/>
      <c r="AHD60" s="15"/>
      <c r="AHE60" s="19"/>
      <c r="AHF60" s="19"/>
      <c r="AHG60" s="19"/>
      <c r="AHH60" s="19"/>
      <c r="AHI60" s="19"/>
      <c r="AHJ60" s="143">
        <v>0.5</v>
      </c>
      <c r="AHK60" s="154">
        <v>0.5</v>
      </c>
      <c r="AHL60" s="404">
        <v>0.5</v>
      </c>
      <c r="AHM60" s="143">
        <v>0.5</v>
      </c>
      <c r="AHN60" s="19"/>
      <c r="AHO60" s="323"/>
      <c r="AHP60" s="405">
        <v>0.5</v>
      </c>
      <c r="AHQ60" s="17">
        <v>0.5</v>
      </c>
      <c r="AHR60" s="17">
        <v>0.5</v>
      </c>
      <c r="AHS60" s="17">
        <v>0.5</v>
      </c>
      <c r="AHT60" s="17">
        <v>0.5</v>
      </c>
      <c r="AHU60" s="17">
        <v>0.5</v>
      </c>
      <c r="AHV60" s="17">
        <v>0.5</v>
      </c>
      <c r="AHW60" s="17">
        <v>0.5</v>
      </c>
      <c r="AHX60" s="17">
        <v>0.5</v>
      </c>
      <c r="AHY60" s="17">
        <v>0.5</v>
      </c>
      <c r="AHZ60" s="17">
        <v>0.5</v>
      </c>
      <c r="AIA60" s="406">
        <v>0.5</v>
      </c>
      <c r="AIB60" s="407"/>
      <c r="AIC60" s="408"/>
      <c r="AID60" s="131">
        <f>SUM(AHB60:AIC60)</f>
      </c>
      <c r="AIE60" s="374"/>
      <c r="AIF60" s="375"/>
      <c r="AIG60" s="15"/>
      <c r="AIH60" s="19"/>
      <c r="AII60" s="19"/>
      <c r="AIJ60" s="19"/>
      <c r="AIK60" s="19"/>
      <c r="AIL60" s="19"/>
      <c r="AIM60" s="143">
        <v>0.5</v>
      </c>
      <c r="AIN60" s="154">
        <v>0.5</v>
      </c>
      <c r="AIO60" s="404">
        <v>0.5</v>
      </c>
      <c r="AIP60" s="143">
        <v>0.5</v>
      </c>
      <c r="AIQ60" s="19"/>
      <c r="AIR60" s="323"/>
      <c r="AIS60" s="405">
        <v>0.5</v>
      </c>
      <c r="AIT60" s="17">
        <v>0.5</v>
      </c>
      <c r="AIU60" s="17">
        <v>0.5</v>
      </c>
      <c r="AIV60" s="17">
        <v>0.5</v>
      </c>
      <c r="AIW60" s="17">
        <v>0.5</v>
      </c>
      <c r="AIX60" s="17">
        <v>0.5</v>
      </c>
      <c r="AIY60" s="17">
        <v>0.5</v>
      </c>
      <c r="AIZ60" s="17">
        <v>0.5</v>
      </c>
      <c r="AJA60" s="17">
        <v>0.5</v>
      </c>
      <c r="AJB60" s="17">
        <v>0.5</v>
      </c>
      <c r="AJC60" s="17">
        <v>0.5</v>
      </c>
      <c r="AJD60" s="406">
        <v>0.5</v>
      </c>
      <c r="AJE60" s="407"/>
      <c r="AJF60" s="408"/>
      <c r="AJG60" s="131">
        <f>SUM(AIE60:AJF60)</f>
      </c>
      <c r="AJH60" s="374"/>
      <c r="AJI60" s="375"/>
      <c r="AJJ60" s="15"/>
      <c r="AJK60" s="19"/>
      <c r="AJL60" s="19"/>
      <c r="AJM60" s="19"/>
      <c r="AJN60" s="19"/>
      <c r="AJO60" s="19"/>
      <c r="AJP60" s="143">
        <v>0.5</v>
      </c>
      <c r="AJQ60" s="154">
        <v>0.5</v>
      </c>
      <c r="AJR60" s="404">
        <v>0.5</v>
      </c>
      <c r="AJS60" s="143">
        <v>0.5</v>
      </c>
      <c r="AJT60" s="19"/>
      <c r="AJU60" s="323"/>
      <c r="AJV60" s="405">
        <v>0.5</v>
      </c>
      <c r="AJW60" s="17">
        <v>0.5</v>
      </c>
      <c r="AJX60" s="17">
        <v>0.5</v>
      </c>
      <c r="AJY60" s="17">
        <v>0.5</v>
      </c>
      <c r="AJZ60" s="17">
        <v>0.5</v>
      </c>
      <c r="AKA60" s="17">
        <v>0.5</v>
      </c>
      <c r="AKB60" s="17">
        <v>0.5</v>
      </c>
      <c r="AKC60" s="17">
        <v>0.5</v>
      </c>
      <c r="AKD60" s="17">
        <v>0.5</v>
      </c>
      <c r="AKE60" s="17">
        <v>0.5</v>
      </c>
      <c r="AKF60" s="17">
        <v>0.5</v>
      </c>
      <c r="AKG60" s="406">
        <v>0.5</v>
      </c>
      <c r="AKH60" s="407"/>
      <c r="AKI60" s="408"/>
      <c r="AKJ60" s="131">
        <f>SUM(AJH60:AKI60)</f>
      </c>
      <c r="AKK60" s="121"/>
      <c r="AKL60" s="122"/>
      <c r="AKM60" s="123"/>
      <c r="AKN60" s="124"/>
      <c r="AKO60" s="124"/>
      <c r="AKP60" s="124"/>
      <c r="AKQ60" s="124"/>
      <c r="AKR60" s="124"/>
      <c r="AKS60" s="124"/>
      <c r="AKT60" s="125"/>
      <c r="AKU60" s="126"/>
      <c r="AKV60" s="124"/>
      <c r="AKW60" s="124"/>
      <c r="AKX60" s="127"/>
      <c r="AKY60" s="123"/>
      <c r="AKZ60" s="124"/>
      <c r="ALA60" s="124"/>
      <c r="ALB60" s="124"/>
      <c r="ALC60" s="124"/>
      <c r="ALD60" s="124"/>
      <c r="ALE60" s="124"/>
      <c r="ALF60" s="124"/>
      <c r="ALG60" s="124"/>
      <c r="ALH60" s="124"/>
      <c r="ALI60" s="124"/>
      <c r="ALJ60" s="125"/>
      <c r="ALK60" s="301"/>
      <c r="ALL60" s="151"/>
      <c r="ALM60" s="131">
        <f>SUM(AKK60:ALL60)</f>
      </c>
      <c r="ALN60" s="121"/>
      <c r="ALO60" s="122"/>
      <c r="ALP60" s="123"/>
      <c r="ALQ60" s="124"/>
      <c r="ALR60" s="124"/>
      <c r="ALS60" s="124"/>
      <c r="ALT60" s="124"/>
      <c r="ALU60" s="124"/>
      <c r="ALV60" s="124"/>
      <c r="ALW60" s="125"/>
      <c r="ALX60" s="126"/>
      <c r="ALY60" s="124"/>
      <c r="ALZ60" s="124"/>
      <c r="AMA60" s="127"/>
      <c r="AMB60" s="123"/>
      <c r="AMC60" s="124"/>
      <c r="AMD60" s="124"/>
      <c r="AME60" s="124"/>
      <c r="AMF60" s="124"/>
      <c r="AMG60" s="124"/>
      <c r="AMH60" s="124"/>
      <c r="AMI60" s="124"/>
      <c r="AMJ60" s="124"/>
      <c r="AMK60" s="124"/>
      <c r="AML60" s="124"/>
      <c r="AMM60" s="125"/>
      <c r="AMN60" s="301"/>
      <c r="AMO60" s="151"/>
      <c r="AMP60" s="131">
        <f>SUM(ALN60:AMO60)</f>
      </c>
      <c r="AMQ60" s="150">
        <f>AFX60+AHA60+AID60+AJG60+AKJ60+ALM60+AMP60</f>
      </c>
      <c r="AMR60" s="302">
        <f>(COUNTIF(AEV60:AMP60,"H")+COUNTIF(AEV60:AMP60,"S")+COUNTIF(AEV60:AMP60,"L")+COUNTIF(AEV60:AMP60,"E")+COUNTIF(AEV60:AMP60,"C"))/2</f>
      </c>
      <c r="AMS60" s="131">
        <f>AMQ60+AMR60</f>
      </c>
      <c r="AMT60" s="4"/>
      <c r="AMU60" s="4"/>
      <c r="AMV60" s="4"/>
      <c r="AMW60" s="4"/>
      <c r="AMX60" s="4"/>
      <c r="AMY60" s="4"/>
      <c r="AMZ60" s="4"/>
      <c r="ANA60" s="4"/>
      <c r="ANB60" s="4"/>
      <c r="ANC60" s="4"/>
      <c r="AND60" s="4"/>
      <c r="ANE60" s="4"/>
      <c r="ANF60" s="4"/>
      <c r="ANG60" s="4"/>
      <c r="ANH60" s="4"/>
      <c r="ANI60" s="4"/>
      <c r="ANJ60" s="13"/>
      <c r="ANK60" s="13"/>
      <c r="ANL60" s="4"/>
      <c r="ANM60" s="4"/>
      <c r="ANN60" s="4"/>
      <c r="ANO60" s="4"/>
      <c r="ANP60" s="4"/>
      <c r="ANQ60" s="4"/>
      <c r="ANR60" s="4"/>
      <c r="ANS60" s="4"/>
      <c r="ANT60" s="4"/>
      <c r="ANU60" s="4"/>
      <c r="ANV60" s="4"/>
      <c r="ANW60" s="4"/>
      <c r="ANX60" s="4"/>
      <c r="ANY60" s="4"/>
      <c r="ANZ60" s="4"/>
      <c r="AOA60" s="4"/>
      <c r="AOB60" s="4"/>
      <c r="AOC60" s="4"/>
      <c r="AOD60" s="4"/>
      <c r="AOE60" s="4"/>
      <c r="AOF60" s="4"/>
      <c r="AOG60" s="4"/>
      <c r="AOH60" s="4"/>
      <c r="AOI60" s="4"/>
      <c r="AOJ60" s="4"/>
      <c r="AOK60" s="4"/>
      <c r="AOL60" s="4"/>
      <c r="AOM60" s="4"/>
      <c r="AON60" s="4"/>
      <c r="AOO60" s="4"/>
      <c r="AOP60" s="4"/>
      <c r="AOQ60" s="4"/>
      <c r="AOR60" s="4"/>
      <c r="AOS60" s="4"/>
      <c r="AOT60" s="4"/>
      <c r="AOU60" s="4"/>
      <c r="AOV60" s="4"/>
      <c r="AOW60" s="4"/>
      <c r="AOX60" s="4"/>
      <c r="AOY60" s="4"/>
      <c r="AOZ60" s="4"/>
      <c r="APA60" s="4"/>
      <c r="APB60" s="4"/>
      <c r="APC60" s="4"/>
      <c r="APD60" s="4"/>
      <c r="APE60" s="4"/>
      <c r="APF60" s="4"/>
      <c r="APG60" s="4"/>
      <c r="APH60" s="4"/>
      <c r="API60" s="4"/>
      <c r="APJ60" s="4"/>
      <c r="APK60" s="4"/>
      <c r="APL60" s="4"/>
      <c r="APM60" s="4"/>
      <c r="APN60" s="4"/>
      <c r="APO60" s="4"/>
      <c r="APP60" s="4"/>
      <c r="APQ60" s="4"/>
      <c r="APR60" s="4"/>
      <c r="APS60" s="4"/>
      <c r="APT60" s="4"/>
      <c r="APU60" s="4"/>
      <c r="APV60" s="4"/>
      <c r="APW60" s="4"/>
      <c r="APX60" s="4"/>
      <c r="APY60" s="4"/>
      <c r="APZ60" s="4"/>
      <c r="AQA60" s="4"/>
      <c r="AQB60" s="4"/>
      <c r="AQC60" s="4"/>
      <c r="AQD60" s="4"/>
      <c r="AQE60" s="4"/>
      <c r="AQF60" s="4"/>
      <c r="AQG60" s="4"/>
      <c r="AQH60" s="4"/>
      <c r="AQI60" s="4"/>
      <c r="AQJ60" s="4"/>
      <c r="AQK60" s="4"/>
      <c r="AQL60" s="4"/>
      <c r="AQM60" s="4"/>
      <c r="AQN60" s="4"/>
      <c r="AQO60" s="4"/>
      <c r="AQP60" s="4"/>
      <c r="AQQ60" s="4"/>
      <c r="AQR60" s="4"/>
      <c r="AQS60" s="4"/>
      <c r="AQT60" s="4"/>
      <c r="AQU60" s="4"/>
      <c r="AQV60" s="4"/>
      <c r="AQW60" s="4"/>
      <c r="AQX60" s="4"/>
      <c r="AQY60" s="4"/>
      <c r="AQZ60" s="4"/>
      <c r="ARA60" s="4"/>
      <c r="ARB60" s="4"/>
      <c r="ARC60" s="4"/>
      <c r="ARD60" s="4"/>
      <c r="ARE60" s="4"/>
      <c r="ARF60" s="4"/>
      <c r="ARG60" s="4"/>
      <c r="ARH60" s="4"/>
      <c r="ARI60" s="4"/>
      <c r="ARJ60" s="4"/>
      <c r="ARK60" s="4"/>
      <c r="ARL60" s="4"/>
      <c r="ARM60" s="4"/>
      <c r="ARN60" s="4"/>
      <c r="ARO60" s="4"/>
      <c r="ARP60" s="4"/>
      <c r="ARQ60" s="4"/>
      <c r="ARR60" s="4"/>
      <c r="ARS60" s="4"/>
      <c r="ART60" s="4"/>
      <c r="ARU60" s="4"/>
      <c r="ARV60" s="4"/>
      <c r="ARW60" s="4"/>
      <c r="ARX60" s="4"/>
      <c r="ARY60" s="4"/>
      <c r="ARZ60" s="4"/>
      <c r="ASA60" s="4"/>
      <c r="ASB60" s="4"/>
      <c r="ASC60" s="4"/>
      <c r="ASD60" s="4"/>
      <c r="ASE60" s="4"/>
      <c r="ASF60" s="4"/>
      <c r="ASG60" s="4"/>
      <c r="ASH60" s="4"/>
      <c r="ASI60" s="4"/>
      <c r="ASJ60" s="4"/>
      <c r="ASK60" s="4"/>
      <c r="ASL60" s="4"/>
      <c r="ASM60" s="4"/>
      <c r="ASN60" s="4"/>
      <c r="ASO60" s="4"/>
      <c r="ASP60" s="4"/>
      <c r="ASQ60" s="4"/>
      <c r="ASR60" s="4"/>
      <c r="ASS60" s="4"/>
      <c r="AST60" s="4"/>
      <c r="ASU60" s="4"/>
    </row>
    <row r="61" ht="15" customHeight="1" spans="1:1191" x14ac:dyDescent="0.25">
      <c r="A61" s="118"/>
      <c r="B61" s="403" t="s">
        <v>98</v>
      </c>
      <c r="C61" s="289" t="s">
        <v>55</v>
      </c>
      <c r="D61" s="121"/>
      <c r="E61" s="122"/>
      <c r="F61" s="123"/>
      <c r="G61" s="124"/>
      <c r="H61" s="124"/>
      <c r="I61" s="124"/>
      <c r="J61" s="124"/>
      <c r="K61" s="124"/>
      <c r="L61" s="124"/>
      <c r="M61" s="125"/>
      <c r="N61" s="126"/>
      <c r="O61" s="124"/>
      <c r="P61" s="124"/>
      <c r="Q61" s="127"/>
      <c r="R61" s="123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5"/>
      <c r="AD61" s="301"/>
      <c r="AE61" s="151"/>
      <c r="AF61" s="130">
        <f>SUM(D61:AE61)</f>
      </c>
      <c r="AG61" s="121"/>
      <c r="AH61" s="122"/>
      <c r="AI61" s="123"/>
      <c r="AJ61" s="124"/>
      <c r="AK61" s="124"/>
      <c r="AL61" s="124"/>
      <c r="AM61" s="124"/>
      <c r="AN61" s="124"/>
      <c r="AO61" s="124"/>
      <c r="AP61" s="125"/>
      <c r="AQ61" s="126"/>
      <c r="AR61" s="124"/>
      <c r="AS61" s="124"/>
      <c r="AT61" s="127"/>
      <c r="AU61" s="123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5"/>
      <c r="BG61" s="301"/>
      <c r="BH61" s="151"/>
      <c r="BI61" s="130">
        <f>SUM(AG61:BH61)</f>
      </c>
      <c r="BJ61" s="121"/>
      <c r="BK61" s="122"/>
      <c r="BL61" s="123"/>
      <c r="BM61" s="124"/>
      <c r="BN61" s="124"/>
      <c r="BO61" s="124"/>
      <c r="BP61" s="124"/>
      <c r="BQ61" s="124"/>
      <c r="BR61" s="124"/>
      <c r="BS61" s="125"/>
      <c r="BT61" s="126"/>
      <c r="BU61" s="124"/>
      <c r="BV61" s="124"/>
      <c r="BW61" s="127"/>
      <c r="BX61" s="123"/>
      <c r="BY61" s="124"/>
      <c r="BZ61" s="124"/>
      <c r="CA61" s="124"/>
      <c r="CB61" s="124"/>
      <c r="CC61" s="124"/>
      <c r="CD61" s="124"/>
      <c r="CE61" s="124"/>
      <c r="CF61" s="124"/>
      <c r="CG61" s="124"/>
      <c r="CH61" s="124"/>
      <c r="CI61" s="125"/>
      <c r="CJ61" s="301"/>
      <c r="CK61" s="151"/>
      <c r="CL61" s="130">
        <f>SUM(BJ61:CK61)</f>
      </c>
      <c r="CM61" s="121"/>
      <c r="CN61" s="122"/>
      <c r="CO61" s="123"/>
      <c r="CP61" s="124"/>
      <c r="CQ61" s="124"/>
      <c r="CR61" s="124"/>
      <c r="CS61" s="124"/>
      <c r="CT61" s="124"/>
      <c r="CU61" s="124"/>
      <c r="CV61" s="125"/>
      <c r="CW61" s="126"/>
      <c r="CX61" s="124"/>
      <c r="CY61" s="124"/>
      <c r="CZ61" s="127"/>
      <c r="DA61" s="123"/>
      <c r="DB61" s="124"/>
      <c r="DC61" s="124"/>
      <c r="DD61" s="124"/>
      <c r="DE61" s="124"/>
      <c r="DF61" s="124"/>
      <c r="DG61" s="124"/>
      <c r="DH61" s="124"/>
      <c r="DI61" s="124"/>
      <c r="DJ61" s="124"/>
      <c r="DK61" s="124"/>
      <c r="DL61" s="125"/>
      <c r="DM61" s="301"/>
      <c r="DN61" s="151"/>
      <c r="DO61" s="130">
        <f>SUM(CM61:DN61)</f>
      </c>
      <c r="DP61" s="121"/>
      <c r="DQ61" s="122"/>
      <c r="DR61" s="123"/>
      <c r="DS61" s="124"/>
      <c r="DT61" s="124"/>
      <c r="DU61" s="124"/>
      <c r="DV61" s="124"/>
      <c r="DW61" s="124"/>
      <c r="DX61" s="124"/>
      <c r="DY61" s="125"/>
      <c r="DZ61" s="126"/>
      <c r="EA61" s="124"/>
      <c r="EB61" s="124"/>
      <c r="EC61" s="127"/>
      <c r="ED61" s="123"/>
      <c r="EE61" s="124"/>
      <c r="EF61" s="124"/>
      <c r="EG61" s="124"/>
      <c r="EH61" s="124"/>
      <c r="EI61" s="124"/>
      <c r="EJ61" s="124"/>
      <c r="EK61" s="124"/>
      <c r="EL61" s="124"/>
      <c r="EM61" s="124"/>
      <c r="EN61" s="124"/>
      <c r="EO61" s="125"/>
      <c r="EP61" s="301"/>
      <c r="EQ61" s="151"/>
      <c r="ER61" s="130">
        <f>SUM(DP61:EQ61)</f>
      </c>
      <c r="ES61" s="121"/>
      <c r="ET61" s="122"/>
      <c r="EU61" s="123"/>
      <c r="EV61" s="124"/>
      <c r="EW61" s="124"/>
      <c r="EX61" s="124"/>
      <c r="EY61" s="124"/>
      <c r="EZ61" s="124"/>
      <c r="FA61" s="124"/>
      <c r="FB61" s="125"/>
      <c r="FC61" s="126"/>
      <c r="FD61" s="124"/>
      <c r="FE61" s="124"/>
      <c r="FF61" s="127"/>
      <c r="FG61" s="123"/>
      <c r="FH61" s="124"/>
      <c r="FI61" s="124"/>
      <c r="FJ61" s="124"/>
      <c r="FK61" s="124"/>
      <c r="FL61" s="124"/>
      <c r="FM61" s="124"/>
      <c r="FN61" s="124"/>
      <c r="FO61" s="124"/>
      <c r="FP61" s="124"/>
      <c r="FQ61" s="124"/>
      <c r="FR61" s="125"/>
      <c r="FS61" s="301"/>
      <c r="FT61" s="151"/>
      <c r="FU61" s="130">
        <f>SUM(ES61:FT61)</f>
      </c>
      <c r="FV61" s="121"/>
      <c r="FW61" s="122"/>
      <c r="FX61" s="123"/>
      <c r="FY61" s="124"/>
      <c r="FZ61" s="124"/>
      <c r="GA61" s="124"/>
      <c r="GB61" s="124"/>
      <c r="GC61" s="124"/>
      <c r="GD61" s="124"/>
      <c r="GE61" s="125"/>
      <c r="GF61" s="126"/>
      <c r="GG61" s="124"/>
      <c r="GH61" s="124"/>
      <c r="GI61" s="127"/>
      <c r="GJ61" s="123"/>
      <c r="GK61" s="124"/>
      <c r="GL61" s="124"/>
      <c r="GM61" s="124"/>
      <c r="GN61" s="124"/>
      <c r="GO61" s="124"/>
      <c r="GP61" s="124"/>
      <c r="GQ61" s="124"/>
      <c r="GR61" s="124"/>
      <c r="GS61" s="124"/>
      <c r="GT61" s="124"/>
      <c r="GU61" s="125"/>
      <c r="GV61" s="301"/>
      <c r="GW61" s="151"/>
      <c r="GX61" s="130">
        <f>SUM(FV61:GW61)</f>
      </c>
      <c r="GY61" s="150">
        <f>AF61+BI61+CL61+DO61+ER61+FU61+GX61</f>
      </c>
      <c r="GZ61" s="302">
        <f>(COUNTIF(D61:GX61,"H")+COUNTIF(D61:GX61,"S")+COUNTIF(D61:GX61,"L")+COUNTIF(D61:GX61,"E")+COUNTIF(D61:GX61,"C"))/2</f>
      </c>
      <c r="HA61" s="131">
        <f>GY61+GZ61</f>
      </c>
      <c r="HB61" s="374"/>
      <c r="HC61" s="375"/>
      <c r="HD61" s="15"/>
      <c r="HE61" s="143">
        <v>0.5</v>
      </c>
      <c r="HF61" s="143">
        <v>0.5</v>
      </c>
      <c r="HG61" s="143">
        <v>0.5</v>
      </c>
      <c r="HH61" s="143">
        <v>0.5</v>
      </c>
      <c r="HI61" s="143">
        <v>0.5</v>
      </c>
      <c r="HJ61" s="143">
        <v>0.5</v>
      </c>
      <c r="HK61" s="154">
        <v>0.5</v>
      </c>
      <c r="HL61" s="412"/>
      <c r="HM61" s="19"/>
      <c r="HN61" s="143">
        <v>0.5</v>
      </c>
      <c r="HO61" s="340">
        <v>0.5</v>
      </c>
      <c r="HP61" s="339">
        <v>0.5</v>
      </c>
      <c r="HQ61" s="143">
        <v>0.5</v>
      </c>
      <c r="HR61" s="143">
        <v>0.5</v>
      </c>
      <c r="HS61" s="143">
        <v>0.5</v>
      </c>
      <c r="HT61" s="143">
        <v>0.5</v>
      </c>
      <c r="HU61" s="143">
        <v>0.5</v>
      </c>
      <c r="HV61" s="143">
        <v>0.5</v>
      </c>
      <c r="HW61" s="19"/>
      <c r="HX61" s="19"/>
      <c r="HY61" s="19"/>
      <c r="HZ61" s="19"/>
      <c r="IA61" s="414"/>
      <c r="IB61" s="407"/>
      <c r="IC61" s="408"/>
      <c r="ID61" s="130">
        <f>SUM(HB61:IC61)</f>
      </c>
      <c r="IE61" s="374"/>
      <c r="IF61" s="375"/>
      <c r="IG61" s="15"/>
      <c r="IH61" s="143">
        <v>0.5</v>
      </c>
      <c r="II61" s="143">
        <v>0.5</v>
      </c>
      <c r="IJ61" s="143">
        <v>0.5</v>
      </c>
      <c r="IK61" s="143">
        <v>0.5</v>
      </c>
      <c r="IL61" s="26" t="s">
        <v>9</v>
      </c>
      <c r="IM61" s="26" t="s">
        <v>9</v>
      </c>
      <c r="IN61" s="409" t="s">
        <v>9</v>
      </c>
      <c r="IO61" s="412"/>
      <c r="IP61" s="19"/>
      <c r="IQ61" s="143">
        <v>0.5</v>
      </c>
      <c r="IR61" s="340">
        <v>0.5</v>
      </c>
      <c r="IS61" s="339">
        <v>0.5</v>
      </c>
      <c r="IT61" s="143">
        <v>0.5</v>
      </c>
      <c r="IU61" s="143">
        <v>0.5</v>
      </c>
      <c r="IV61" s="143">
        <v>0.5</v>
      </c>
      <c r="IW61" s="143">
        <v>0.5</v>
      </c>
      <c r="IX61" s="143">
        <v>0.5</v>
      </c>
      <c r="IY61" s="143">
        <v>0.5</v>
      </c>
      <c r="IZ61" s="19"/>
      <c r="JA61" s="19"/>
      <c r="JB61" s="19"/>
      <c r="JC61" s="19"/>
      <c r="JD61" s="414"/>
      <c r="JE61" s="407"/>
      <c r="JF61" s="408"/>
      <c r="JG61" s="130">
        <f>SUM(IE61:JF61)</f>
      </c>
      <c r="JH61" s="374"/>
      <c r="JI61" s="375"/>
      <c r="JJ61" s="15"/>
      <c r="JK61" s="143">
        <v>0.5</v>
      </c>
      <c r="JL61" s="143">
        <v>0.5</v>
      </c>
      <c r="JM61" s="143">
        <v>0.5</v>
      </c>
      <c r="JN61" s="143">
        <v>0.5</v>
      </c>
      <c r="JO61" s="143">
        <v>0.5</v>
      </c>
      <c r="JP61" s="143">
        <v>0.5</v>
      </c>
      <c r="JQ61" s="154">
        <v>0.5</v>
      </c>
      <c r="JR61" s="412"/>
      <c r="JS61" s="19"/>
      <c r="JT61" s="143">
        <v>0.5</v>
      </c>
      <c r="JU61" s="340">
        <v>0.5</v>
      </c>
      <c r="JV61" s="339">
        <v>0.5</v>
      </c>
      <c r="JW61" s="143">
        <v>0.5</v>
      </c>
      <c r="JX61" s="143">
        <v>0.5</v>
      </c>
      <c r="JY61" s="143">
        <v>0.5</v>
      </c>
      <c r="JZ61" s="143">
        <v>0.5</v>
      </c>
      <c r="KA61" s="143">
        <v>0.5</v>
      </c>
      <c r="KB61" s="143">
        <v>0.5</v>
      </c>
      <c r="KC61" s="19"/>
      <c r="KD61" s="19"/>
      <c r="KE61" s="19"/>
      <c r="KF61" s="19"/>
      <c r="KG61" s="414"/>
      <c r="KH61" s="407"/>
      <c r="KI61" s="408"/>
      <c r="KJ61" s="130">
        <f>SUM(JH61:KI61)</f>
      </c>
      <c r="KK61" s="374"/>
      <c r="KL61" s="375"/>
      <c r="KM61" s="15"/>
      <c r="KN61" s="143">
        <v>0.5</v>
      </c>
      <c r="KO61" s="143">
        <v>0.5</v>
      </c>
      <c r="KP61" s="143">
        <v>0.5</v>
      </c>
      <c r="KQ61" s="143">
        <v>0.5</v>
      </c>
      <c r="KR61" s="143">
        <v>0.5</v>
      </c>
      <c r="KS61" s="143">
        <v>0.5</v>
      </c>
      <c r="KT61" s="154">
        <v>0.5</v>
      </c>
      <c r="KU61" s="412"/>
      <c r="KV61" s="19"/>
      <c r="KW61" s="143">
        <v>0.5</v>
      </c>
      <c r="KX61" s="340">
        <v>0.5</v>
      </c>
      <c r="KY61" s="339">
        <v>0.5</v>
      </c>
      <c r="KZ61" s="143">
        <v>0.5</v>
      </c>
      <c r="LA61" s="143">
        <v>0.5</v>
      </c>
      <c r="LB61" s="143">
        <v>0.5</v>
      </c>
      <c r="LC61" s="143">
        <v>0.5</v>
      </c>
      <c r="LD61" s="143">
        <v>0.5</v>
      </c>
      <c r="LE61" s="143">
        <v>0.5</v>
      </c>
      <c r="LF61" s="19"/>
      <c r="LG61" s="19"/>
      <c r="LH61" s="19"/>
      <c r="LI61" s="19"/>
      <c r="LJ61" s="414"/>
      <c r="LK61" s="407"/>
      <c r="LL61" s="408"/>
      <c r="LM61" s="130">
        <f>SUM(KK61:LL61)</f>
      </c>
      <c r="LN61" s="374"/>
      <c r="LO61" s="375"/>
      <c r="LP61" s="15"/>
      <c r="LQ61" s="143">
        <v>0.5</v>
      </c>
      <c r="LR61" s="143">
        <v>0.5</v>
      </c>
      <c r="LS61" s="143">
        <v>0.5</v>
      </c>
      <c r="LT61" s="143">
        <v>0.5</v>
      </c>
      <c r="LU61" s="143">
        <v>0.5</v>
      </c>
      <c r="LV61" s="143">
        <v>0.5</v>
      </c>
      <c r="LW61" s="154">
        <v>0.5</v>
      </c>
      <c r="LX61" s="412"/>
      <c r="LY61" s="19"/>
      <c r="LZ61" s="143">
        <v>0.5</v>
      </c>
      <c r="MA61" s="340">
        <v>0.5</v>
      </c>
      <c r="MB61" s="339">
        <v>0.5</v>
      </c>
      <c r="MC61" s="143">
        <v>0.5</v>
      </c>
      <c r="MD61" s="143">
        <v>0.5</v>
      </c>
      <c r="ME61" s="143">
        <v>0.5</v>
      </c>
      <c r="MF61" s="143">
        <v>0.5</v>
      </c>
      <c r="MG61" s="143">
        <v>0.5</v>
      </c>
      <c r="MH61" s="143">
        <v>0.5</v>
      </c>
      <c r="MI61" s="19"/>
      <c r="MJ61" s="19"/>
      <c r="MK61" s="19"/>
      <c r="ML61" s="19"/>
      <c r="MM61" s="414"/>
      <c r="MN61" s="407"/>
      <c r="MO61" s="408"/>
      <c r="MP61" s="130">
        <f>SUM(LN61:MO61)</f>
      </c>
      <c r="MQ61" s="121"/>
      <c r="MR61" s="122"/>
      <c r="MS61" s="123"/>
      <c r="MT61" s="124"/>
      <c r="MU61" s="124"/>
      <c r="MV61" s="124"/>
      <c r="MW61" s="124"/>
      <c r="MX61" s="124"/>
      <c r="MY61" s="124"/>
      <c r="MZ61" s="125"/>
      <c r="NA61" s="126"/>
      <c r="NB61" s="124"/>
      <c r="NC61" s="124"/>
      <c r="ND61" s="127"/>
      <c r="NE61" s="123"/>
      <c r="NF61" s="124"/>
      <c r="NG61" s="124"/>
      <c r="NH61" s="124"/>
      <c r="NI61" s="124"/>
      <c r="NJ61" s="124"/>
      <c r="NK61" s="124"/>
      <c r="NL61" s="124"/>
      <c r="NM61" s="124"/>
      <c r="NN61" s="124"/>
      <c r="NO61" s="124"/>
      <c r="NP61" s="125"/>
      <c r="NQ61" s="301"/>
      <c r="NR61" s="151"/>
      <c r="NS61" s="130">
        <f>SUM(MQ61:NR61)</f>
      </c>
      <c r="NT61" s="121"/>
      <c r="NU61" s="122"/>
      <c r="NV61" s="123"/>
      <c r="NW61" s="124"/>
      <c r="NX61" s="124"/>
      <c r="NY61" s="124"/>
      <c r="NZ61" s="124"/>
      <c r="OA61" s="124"/>
      <c r="OB61" s="124"/>
      <c r="OC61" s="125"/>
      <c r="OD61" s="126"/>
      <c r="OE61" s="124"/>
      <c r="OF61" s="124"/>
      <c r="OG61" s="127"/>
      <c r="OH61" s="123"/>
      <c r="OI61" s="124"/>
      <c r="OJ61" s="124"/>
      <c r="OK61" s="124"/>
      <c r="OL61" s="124"/>
      <c r="OM61" s="124"/>
      <c r="ON61" s="124"/>
      <c r="OO61" s="124"/>
      <c r="OP61" s="124"/>
      <c r="OQ61" s="124"/>
      <c r="OR61" s="124"/>
      <c r="OS61" s="125"/>
      <c r="OT61" s="301"/>
      <c r="OU61" s="151"/>
      <c r="OV61" s="130">
        <f>SUM(NT61:OU61)</f>
      </c>
      <c r="OW61" s="150">
        <f>ID61+JG61+KJ61+LM61+MP61+NS61+OV61</f>
      </c>
      <c r="OX61" s="302">
        <f>(COUNTIF(HB61:OV61,"H")+COUNTIF(HB61:OV61,"S")+COUNTIF(HB61:OV61,"L")+COUNTIF(HB61:OV61,"E")+COUNTIF(HB61:OV61,"C"))/2</f>
      </c>
      <c r="OY61" s="131">
        <f>OW61+OX61</f>
      </c>
      <c r="OZ61" s="374"/>
      <c r="PA61" s="375"/>
      <c r="PB61" s="15"/>
      <c r="PC61" s="143">
        <v>0.5</v>
      </c>
      <c r="PD61" s="143">
        <v>0.5</v>
      </c>
      <c r="PE61" s="143">
        <v>0.5</v>
      </c>
      <c r="PF61" s="143">
        <v>0.5</v>
      </c>
      <c r="PG61" s="143">
        <v>0.5</v>
      </c>
      <c r="PH61" s="143">
        <v>0.5</v>
      </c>
      <c r="PI61" s="154">
        <v>0.5</v>
      </c>
      <c r="PJ61" s="412"/>
      <c r="PK61" s="19"/>
      <c r="PL61" s="143">
        <v>0.5</v>
      </c>
      <c r="PM61" s="340">
        <v>0.5</v>
      </c>
      <c r="PN61" s="339">
        <v>0.5</v>
      </c>
      <c r="PO61" s="143">
        <v>0.5</v>
      </c>
      <c r="PP61" s="143">
        <v>0.5</v>
      </c>
      <c r="PQ61" s="143">
        <v>0.5</v>
      </c>
      <c r="PR61" s="143">
        <v>0.5</v>
      </c>
      <c r="PS61" s="143">
        <v>0.5</v>
      </c>
      <c r="PT61" s="143">
        <v>0.5</v>
      </c>
      <c r="PU61" s="19"/>
      <c r="PV61" s="19"/>
      <c r="PW61" s="19"/>
      <c r="PX61" s="19"/>
      <c r="PY61" s="414"/>
      <c r="PZ61" s="407"/>
      <c r="QA61" s="408"/>
      <c r="QB61" s="130">
        <f>SUM(OZ61:QA61)</f>
      </c>
      <c r="QC61" s="374"/>
      <c r="QD61" s="375"/>
      <c r="QE61" s="15"/>
      <c r="QF61" s="143">
        <v>0.5</v>
      </c>
      <c r="QG61" s="143">
        <v>0.5</v>
      </c>
      <c r="QH61" s="143">
        <v>0.5</v>
      </c>
      <c r="QI61" s="143">
        <v>0.5</v>
      </c>
      <c r="QJ61" s="26" t="s">
        <v>9</v>
      </c>
      <c r="QK61" s="26" t="s">
        <v>9</v>
      </c>
      <c r="QL61" s="409" t="s">
        <v>9</v>
      </c>
      <c r="QM61" s="412"/>
      <c r="QN61" s="19"/>
      <c r="QO61" s="143">
        <v>0.5</v>
      </c>
      <c r="QP61" s="340">
        <v>0.5</v>
      </c>
      <c r="QQ61" s="339">
        <v>0.5</v>
      </c>
      <c r="QR61" s="143">
        <v>0.5</v>
      </c>
      <c r="QS61" s="143">
        <v>0.5</v>
      </c>
      <c r="QT61" s="143">
        <v>0.5</v>
      </c>
      <c r="QU61" s="143">
        <v>0.5</v>
      </c>
      <c r="QV61" s="143">
        <v>0.5</v>
      </c>
      <c r="QW61" s="143">
        <v>0.5</v>
      </c>
      <c r="QX61" s="19"/>
      <c r="QY61" s="19"/>
      <c r="QZ61" s="19"/>
      <c r="RA61" s="19"/>
      <c r="RB61" s="414"/>
      <c r="RC61" s="407"/>
      <c r="RD61" s="408"/>
      <c r="RE61" s="130">
        <f>SUM(QC61:RD61)</f>
      </c>
      <c r="RF61" s="374"/>
      <c r="RG61" s="375"/>
      <c r="RH61" s="15"/>
      <c r="RI61" s="143">
        <v>0.5</v>
      </c>
      <c r="RJ61" s="143">
        <v>0.5</v>
      </c>
      <c r="RK61" s="143">
        <v>0.5</v>
      </c>
      <c r="RL61" s="143">
        <v>0.5</v>
      </c>
      <c r="RM61" s="143">
        <v>0.5</v>
      </c>
      <c r="RN61" s="143">
        <v>0.5</v>
      </c>
      <c r="RO61" s="154">
        <v>0.5</v>
      </c>
      <c r="RP61" s="412"/>
      <c r="RQ61" s="19"/>
      <c r="RR61" s="143">
        <v>0.5</v>
      </c>
      <c r="RS61" s="340">
        <v>0.5</v>
      </c>
      <c r="RT61" s="339">
        <v>0.5</v>
      </c>
      <c r="RU61" s="143">
        <v>0.5</v>
      </c>
      <c r="RV61" s="143">
        <v>0.5</v>
      </c>
      <c r="RW61" s="143">
        <v>0.5</v>
      </c>
      <c r="RX61" s="143">
        <v>0.5</v>
      </c>
      <c r="RY61" s="143">
        <v>0.5</v>
      </c>
      <c r="RZ61" s="143">
        <v>0.5</v>
      </c>
      <c r="SA61" s="19"/>
      <c r="SB61" s="19"/>
      <c r="SC61" s="19"/>
      <c r="SD61" s="19"/>
      <c r="SE61" s="414"/>
      <c r="SF61" s="407"/>
      <c r="SG61" s="408"/>
      <c r="SH61" s="130">
        <f>SUM(RF61:SG61)</f>
      </c>
      <c r="SI61" s="374"/>
      <c r="SJ61" s="375"/>
      <c r="SK61" s="15"/>
      <c r="SL61" s="143">
        <v>0.5</v>
      </c>
      <c r="SM61" s="143">
        <v>0.5</v>
      </c>
      <c r="SN61" s="143">
        <v>0.5</v>
      </c>
      <c r="SO61" s="143">
        <v>0.5</v>
      </c>
      <c r="SP61" s="143">
        <v>0.5</v>
      </c>
      <c r="SQ61" s="143">
        <v>0.5</v>
      </c>
      <c r="SR61" s="154">
        <v>0.5</v>
      </c>
      <c r="SS61" s="412"/>
      <c r="ST61" s="19"/>
      <c r="SU61" s="143">
        <v>0.5</v>
      </c>
      <c r="SV61" s="340">
        <v>0.5</v>
      </c>
      <c r="SW61" s="339">
        <v>0.5</v>
      </c>
      <c r="SX61" s="143">
        <v>0.5</v>
      </c>
      <c r="SY61" s="143">
        <v>0.5</v>
      </c>
      <c r="SZ61" s="143">
        <v>0.5</v>
      </c>
      <c r="TA61" s="143">
        <v>0.5</v>
      </c>
      <c r="TB61" s="143">
        <v>0.5</v>
      </c>
      <c r="TC61" s="143">
        <v>0.5</v>
      </c>
      <c r="TD61" s="19"/>
      <c r="TE61" s="19"/>
      <c r="TF61" s="19"/>
      <c r="TG61" s="19"/>
      <c r="TH61" s="414"/>
      <c r="TI61" s="407"/>
      <c r="TJ61" s="408"/>
      <c r="TK61" s="130">
        <f>SUM(SI61:TJ61)</f>
      </c>
      <c r="TL61" s="374"/>
      <c r="TM61" s="375"/>
      <c r="TN61" s="15"/>
      <c r="TO61" s="143">
        <v>0.5</v>
      </c>
      <c r="TP61" s="143">
        <v>0.5</v>
      </c>
      <c r="TQ61" s="143">
        <v>0.5</v>
      </c>
      <c r="TR61" s="143">
        <v>0.5</v>
      </c>
      <c r="TS61" s="143">
        <v>0.5</v>
      </c>
      <c r="TT61" s="143">
        <v>0.5</v>
      </c>
      <c r="TU61" s="154">
        <v>0.5</v>
      </c>
      <c r="TV61" s="412"/>
      <c r="TW61" s="19"/>
      <c r="TX61" s="143">
        <v>0.5</v>
      </c>
      <c r="TY61" s="340">
        <v>0.5</v>
      </c>
      <c r="TZ61" s="339">
        <v>0.5</v>
      </c>
      <c r="UA61" s="143">
        <v>0.5</v>
      </c>
      <c r="UB61" s="143">
        <v>0.5</v>
      </c>
      <c r="UC61" s="143">
        <v>0.5</v>
      </c>
      <c r="UD61" s="143">
        <v>0.5</v>
      </c>
      <c r="UE61" s="143">
        <v>0.5</v>
      </c>
      <c r="UF61" s="143">
        <v>0.5</v>
      </c>
      <c r="UG61" s="19"/>
      <c r="UH61" s="19"/>
      <c r="UI61" s="19"/>
      <c r="UJ61" s="19"/>
      <c r="UK61" s="414"/>
      <c r="UL61" s="407"/>
      <c r="UM61" s="408"/>
      <c r="UN61" s="130">
        <f>SUM(TL61:UM61)</f>
      </c>
      <c r="UO61" s="121"/>
      <c r="UP61" s="122"/>
      <c r="UQ61" s="123"/>
      <c r="UR61" s="124"/>
      <c r="US61" s="124"/>
      <c r="UT61" s="124"/>
      <c r="UU61" s="124"/>
      <c r="UV61" s="124"/>
      <c r="UW61" s="124"/>
      <c r="UX61" s="125"/>
      <c r="UY61" s="126"/>
      <c r="UZ61" s="124"/>
      <c r="VA61" s="124"/>
      <c r="VB61" s="127"/>
      <c r="VC61" s="123"/>
      <c r="VD61" s="124"/>
      <c r="VE61" s="124"/>
      <c r="VF61" s="124"/>
      <c r="VG61" s="124"/>
      <c r="VH61" s="124"/>
      <c r="VI61" s="124"/>
      <c r="VJ61" s="124"/>
      <c r="VK61" s="124"/>
      <c r="VL61" s="124"/>
      <c r="VM61" s="124"/>
      <c r="VN61" s="125"/>
      <c r="VO61" s="301"/>
      <c r="VP61" s="151"/>
      <c r="VQ61" s="130">
        <f>SUM(UO61:VP61)</f>
      </c>
      <c r="VR61" s="121"/>
      <c r="VS61" s="122"/>
      <c r="VT61" s="123"/>
      <c r="VU61" s="124"/>
      <c r="VV61" s="124"/>
      <c r="VW61" s="124"/>
      <c r="VX61" s="124"/>
      <c r="VY61" s="124"/>
      <c r="VZ61" s="124"/>
      <c r="WA61" s="125"/>
      <c r="WB61" s="126"/>
      <c r="WC61" s="124"/>
      <c r="WD61" s="124"/>
      <c r="WE61" s="127"/>
      <c r="WF61" s="123"/>
      <c r="WG61" s="124"/>
      <c r="WH61" s="124"/>
      <c r="WI61" s="124"/>
      <c r="WJ61" s="124"/>
      <c r="WK61" s="124"/>
      <c r="WL61" s="124"/>
      <c r="WM61" s="124"/>
      <c r="WN61" s="124"/>
      <c r="WO61" s="124"/>
      <c r="WP61" s="124"/>
      <c r="WQ61" s="125"/>
      <c r="WR61" s="301"/>
      <c r="WS61" s="151"/>
      <c r="WT61" s="130">
        <f>SUM(VR61:WS61)</f>
      </c>
      <c r="WU61" s="150">
        <f>QB61+RE61+SH61+TK61+UN61+VQ61+WT61</f>
      </c>
      <c r="WV61" s="302">
        <f>(COUNTIF(OZ61:WT61,"H")+COUNTIF(OZ61:WT61,"S")+COUNTIF(OZ61:WT61,"L")+COUNTIF(OZ61:WT61,"E")+COUNTIF(OZ61:WT61,"C"))/2</f>
      </c>
      <c r="WW61" s="131">
        <f>WU61+WV61</f>
      </c>
      <c r="WX61" s="374"/>
      <c r="WY61" s="375"/>
      <c r="WZ61" s="15"/>
      <c r="XA61" s="17">
        <v>0.5</v>
      </c>
      <c r="XB61" s="17">
        <v>0.5</v>
      </c>
      <c r="XC61" s="17">
        <v>0.5</v>
      </c>
      <c r="XD61" s="17">
        <v>0.5</v>
      </c>
      <c r="XE61" s="17">
        <v>0.5</v>
      </c>
      <c r="XF61" s="17">
        <v>0.5</v>
      </c>
      <c r="XG61" s="406">
        <v>0.5</v>
      </c>
      <c r="XH61" s="412"/>
      <c r="XI61" s="19"/>
      <c r="XJ61" s="143">
        <v>0.5</v>
      </c>
      <c r="XK61" s="340">
        <v>0.5</v>
      </c>
      <c r="XL61" s="339">
        <v>0.5</v>
      </c>
      <c r="XM61" s="143">
        <v>0.5</v>
      </c>
      <c r="XN61" s="143">
        <v>0.5</v>
      </c>
      <c r="XO61" s="143">
        <v>0.5</v>
      </c>
      <c r="XP61" s="143">
        <v>0.5</v>
      </c>
      <c r="XQ61" s="143">
        <v>0.5</v>
      </c>
      <c r="XR61" s="143">
        <v>0.5</v>
      </c>
      <c r="XS61" s="19"/>
      <c r="XT61" s="19"/>
      <c r="XU61" s="19"/>
      <c r="XV61" s="19"/>
      <c r="XW61" s="414"/>
      <c r="XX61" s="407"/>
      <c r="XY61" s="408"/>
      <c r="XZ61" s="130">
        <f>SUM(WX61:XY61)</f>
      </c>
      <c r="YA61" s="374"/>
      <c r="YB61" s="375"/>
      <c r="YC61" s="15"/>
      <c r="YD61" s="17">
        <v>0.5</v>
      </c>
      <c r="YE61" s="17">
        <v>0.5</v>
      </c>
      <c r="YF61" s="17">
        <v>0.5</v>
      </c>
      <c r="YG61" s="17">
        <v>0.5</v>
      </c>
      <c r="YH61" s="17">
        <v>0.5</v>
      </c>
      <c r="YI61" s="17">
        <v>0.5</v>
      </c>
      <c r="YJ61" s="406">
        <v>0.5</v>
      </c>
      <c r="YK61" s="412"/>
      <c r="YL61" s="19"/>
      <c r="YM61" s="143">
        <v>0.5</v>
      </c>
      <c r="YN61" s="340">
        <v>0.5</v>
      </c>
      <c r="YO61" s="339">
        <v>0.5</v>
      </c>
      <c r="YP61" s="143">
        <v>0.5</v>
      </c>
      <c r="YQ61" s="143">
        <v>0.5</v>
      </c>
      <c r="YR61" s="143">
        <v>0.5</v>
      </c>
      <c r="YS61" s="143">
        <v>0.5</v>
      </c>
      <c r="YT61" s="143">
        <v>0.5</v>
      </c>
      <c r="YU61" s="143">
        <v>0.5</v>
      </c>
      <c r="YV61" s="19"/>
      <c r="YW61" s="19"/>
      <c r="YX61" s="19"/>
      <c r="YY61" s="19"/>
      <c r="YZ61" s="414"/>
      <c r="ZA61" s="407"/>
      <c r="ZB61" s="408"/>
      <c r="ZC61" s="130">
        <f>SUM(YA61:ZB61)</f>
      </c>
      <c r="ZD61" s="374"/>
      <c r="ZE61" s="375"/>
      <c r="ZF61" s="15"/>
      <c r="ZG61" s="17">
        <v>0.5</v>
      </c>
      <c r="ZH61" s="17">
        <v>0.5</v>
      </c>
      <c r="ZI61" s="17">
        <v>0.5</v>
      </c>
      <c r="ZJ61" s="17">
        <v>0.5</v>
      </c>
      <c r="ZK61" s="17">
        <v>0.5</v>
      </c>
      <c r="ZL61" s="17">
        <v>0.5</v>
      </c>
      <c r="ZM61" s="406">
        <v>0.5</v>
      </c>
      <c r="ZN61" s="412"/>
      <c r="ZO61" s="19"/>
      <c r="ZP61" s="143">
        <v>0.5</v>
      </c>
      <c r="ZQ61" s="340">
        <v>0.5</v>
      </c>
      <c r="ZR61" s="339">
        <v>0.5</v>
      </c>
      <c r="ZS61" s="143">
        <v>0.5</v>
      </c>
      <c r="ZT61" s="143">
        <v>0.5</v>
      </c>
      <c r="ZU61" s="143">
        <v>0.5</v>
      </c>
      <c r="ZV61" s="143">
        <v>0.5</v>
      </c>
      <c r="ZW61" s="143">
        <v>0.5</v>
      </c>
      <c r="ZX61" s="143">
        <v>0.5</v>
      </c>
      <c r="ZY61" s="19"/>
      <c r="ZZ61" s="19"/>
      <c r="AAA61" s="19"/>
      <c r="AAB61" s="19"/>
      <c r="AAC61" s="414"/>
      <c r="AAD61" s="407"/>
      <c r="AAE61" s="408"/>
      <c r="AAF61" s="130">
        <f>SUM(ZD61:AAE61)</f>
      </c>
      <c r="AAG61" s="374"/>
      <c r="AAH61" s="375"/>
      <c r="AAI61" s="15"/>
      <c r="AAJ61" s="17">
        <v>0.5</v>
      </c>
      <c r="AAK61" s="17">
        <v>0.5</v>
      </c>
      <c r="AAL61" s="17">
        <v>0.5</v>
      </c>
      <c r="AAM61" s="17">
        <v>0.5</v>
      </c>
      <c r="AAN61" s="17">
        <v>0.5</v>
      </c>
      <c r="AAO61" s="17">
        <v>0.5</v>
      </c>
      <c r="AAP61" s="406">
        <v>0.5</v>
      </c>
      <c r="AAQ61" s="412"/>
      <c r="AAR61" s="19"/>
      <c r="AAS61" s="143">
        <v>0.5</v>
      </c>
      <c r="AAT61" s="340">
        <v>0.5</v>
      </c>
      <c r="AAU61" s="339">
        <v>0.5</v>
      </c>
      <c r="AAV61" s="143">
        <v>0.5</v>
      </c>
      <c r="AAW61" s="143">
        <v>0.5</v>
      </c>
      <c r="AAX61" s="143">
        <v>0.5</v>
      </c>
      <c r="AAY61" s="143">
        <v>0.5</v>
      </c>
      <c r="AAZ61" s="143">
        <v>0.5</v>
      </c>
      <c r="ABA61" s="143">
        <v>0.5</v>
      </c>
      <c r="ABB61" s="19"/>
      <c r="ABC61" s="19"/>
      <c r="ABD61" s="19"/>
      <c r="ABE61" s="19"/>
      <c r="ABF61" s="414"/>
      <c r="ABG61" s="407"/>
      <c r="ABH61" s="408"/>
      <c r="ABI61" s="130">
        <f>SUM(AAG61:ABH61)</f>
      </c>
      <c r="ABJ61" s="374"/>
      <c r="ABK61" s="375"/>
      <c r="ABL61" s="15"/>
      <c r="ABM61" s="17">
        <v>0.5</v>
      </c>
      <c r="ABN61" s="17">
        <v>0.5</v>
      </c>
      <c r="ABO61" s="17">
        <v>0.5</v>
      </c>
      <c r="ABP61" s="17">
        <v>0.5</v>
      </c>
      <c r="ABQ61" s="17">
        <v>0.5</v>
      </c>
      <c r="ABR61" s="17">
        <v>0.5</v>
      </c>
      <c r="ABS61" s="406">
        <v>0.5</v>
      </c>
      <c r="ABT61" s="412"/>
      <c r="ABU61" s="19"/>
      <c r="ABV61" s="143">
        <v>0.5</v>
      </c>
      <c r="ABW61" s="340">
        <v>0.5</v>
      </c>
      <c r="ABX61" s="339">
        <v>0.5</v>
      </c>
      <c r="ABY61" s="143">
        <v>0.5</v>
      </c>
      <c r="ABZ61" s="143">
        <v>0.5</v>
      </c>
      <c r="ACA61" s="143">
        <v>0.5</v>
      </c>
      <c r="ACB61" s="143">
        <v>0.5</v>
      </c>
      <c r="ACC61" s="143">
        <v>0.5</v>
      </c>
      <c r="ACD61" s="143">
        <v>0.5</v>
      </c>
      <c r="ACE61" s="19"/>
      <c r="ACF61" s="19"/>
      <c r="ACG61" s="19"/>
      <c r="ACH61" s="19"/>
      <c r="ACI61" s="414"/>
      <c r="ACJ61" s="407"/>
      <c r="ACK61" s="408"/>
      <c r="ACL61" s="130">
        <f>SUM(ABJ61:ACK61)</f>
      </c>
      <c r="ACM61" s="121"/>
      <c r="ACN61" s="122"/>
      <c r="ACO61" s="123"/>
      <c r="ACP61" s="124"/>
      <c r="ACQ61" s="124"/>
      <c r="ACR61" s="124"/>
      <c r="ACS61" s="124"/>
      <c r="ACT61" s="124"/>
      <c r="ACU61" s="124"/>
      <c r="ACV61" s="125"/>
      <c r="ACW61" s="126"/>
      <c r="ACX61" s="124"/>
      <c r="ACY61" s="124"/>
      <c r="ACZ61" s="127"/>
      <c r="ADA61" s="123"/>
      <c r="ADB61" s="124"/>
      <c r="ADC61" s="124"/>
      <c r="ADD61" s="124"/>
      <c r="ADE61" s="124"/>
      <c r="ADF61" s="124"/>
      <c r="ADG61" s="124"/>
      <c r="ADH61" s="124"/>
      <c r="ADI61" s="124"/>
      <c r="ADJ61" s="124"/>
      <c r="ADK61" s="124"/>
      <c r="ADL61" s="125"/>
      <c r="ADM61" s="301"/>
      <c r="ADN61" s="151"/>
      <c r="ADO61" s="130">
        <f>SUM(ACM61:ADN61)</f>
      </c>
      <c r="ADP61" s="121"/>
      <c r="ADQ61" s="122"/>
      <c r="ADR61" s="123"/>
      <c r="ADS61" s="124"/>
      <c r="ADT61" s="124"/>
      <c r="ADU61" s="124"/>
      <c r="ADV61" s="124"/>
      <c r="ADW61" s="124"/>
      <c r="ADX61" s="124"/>
      <c r="ADY61" s="125"/>
      <c r="ADZ61" s="126"/>
      <c r="AEA61" s="124"/>
      <c r="AEB61" s="124"/>
      <c r="AEC61" s="127"/>
      <c r="AED61" s="123"/>
      <c r="AEE61" s="124"/>
      <c r="AEF61" s="124"/>
      <c r="AEG61" s="124"/>
      <c r="AEH61" s="124"/>
      <c r="AEI61" s="124"/>
      <c r="AEJ61" s="124"/>
      <c r="AEK61" s="124"/>
      <c r="AEL61" s="124"/>
      <c r="AEM61" s="124"/>
      <c r="AEN61" s="124"/>
      <c r="AEO61" s="125"/>
      <c r="AEP61" s="301"/>
      <c r="AEQ61" s="151"/>
      <c r="AER61" s="130">
        <f>SUM(ADP61:AEQ61)</f>
      </c>
      <c r="AES61" s="150">
        <f>XZ61+ZC61+AAF61+ABI61+ACL61+ADO61+AER61</f>
      </c>
      <c r="AET61" s="302">
        <f>(COUNTIF(WX61:AER61,"H")+COUNTIF(WX61:AER61,"S")+COUNTIF(WX61:AER61,"L")+COUNTIF(WX61:AER61,"E")+COUNTIF(WX61:AER61,"C"))/2</f>
      </c>
      <c r="AEU61" s="131">
        <f>AES61+AET61</f>
      </c>
      <c r="AEV61" s="374"/>
      <c r="AEW61" s="375"/>
      <c r="AEX61" s="15"/>
      <c r="AEY61" s="143">
        <v>0.5</v>
      </c>
      <c r="AEZ61" s="143">
        <v>0.5</v>
      </c>
      <c r="AFA61" s="143">
        <v>0.5</v>
      </c>
      <c r="AFB61" s="143">
        <v>0.5</v>
      </c>
      <c r="AFC61" s="143">
        <v>0.5</v>
      </c>
      <c r="AFD61" s="143">
        <v>0.5</v>
      </c>
      <c r="AFE61" s="154">
        <v>0.5</v>
      </c>
      <c r="AFF61" s="412"/>
      <c r="AFG61" s="19"/>
      <c r="AFH61" s="143">
        <v>0.5</v>
      </c>
      <c r="AFI61" s="340">
        <v>0.5</v>
      </c>
      <c r="AFJ61" s="339">
        <v>0.5</v>
      </c>
      <c r="AFK61" s="143">
        <v>0.5</v>
      </c>
      <c r="AFL61" s="143">
        <v>0.5</v>
      </c>
      <c r="AFM61" s="143">
        <v>0.5</v>
      </c>
      <c r="AFN61" s="143">
        <v>0.5</v>
      </c>
      <c r="AFO61" s="143">
        <v>0.5</v>
      </c>
      <c r="AFP61" s="143">
        <v>0.5</v>
      </c>
      <c r="AFQ61" s="19"/>
      <c r="AFR61" s="19"/>
      <c r="AFS61" s="19"/>
      <c r="AFT61" s="19"/>
      <c r="AFU61" s="414"/>
      <c r="AFV61" s="407"/>
      <c r="AFW61" s="408"/>
      <c r="AFX61" s="130">
        <f>SUM(AEV61:AFW61)</f>
      </c>
      <c r="AFY61" s="374"/>
      <c r="AFZ61" s="375"/>
      <c r="AGA61" s="15"/>
      <c r="AGB61" s="143">
        <v>0.5</v>
      </c>
      <c r="AGC61" s="143">
        <v>0.5</v>
      </c>
      <c r="AGD61" s="143">
        <v>0.5</v>
      </c>
      <c r="AGE61" s="143">
        <v>0.5</v>
      </c>
      <c r="AGF61" s="143">
        <v>0.5</v>
      </c>
      <c r="AGG61" s="143">
        <v>0.5</v>
      </c>
      <c r="AGH61" s="154">
        <v>0.5</v>
      </c>
      <c r="AGI61" s="412"/>
      <c r="AGJ61" s="19"/>
      <c r="AGK61" s="143">
        <v>0.5</v>
      </c>
      <c r="AGL61" s="340">
        <v>0.5</v>
      </c>
      <c r="AGM61" s="339">
        <v>0.5</v>
      </c>
      <c r="AGN61" s="143">
        <v>0.5</v>
      </c>
      <c r="AGO61" s="143">
        <v>0.5</v>
      </c>
      <c r="AGP61" s="143">
        <v>0.5</v>
      </c>
      <c r="AGQ61" s="143">
        <v>0.5</v>
      </c>
      <c r="AGR61" s="143">
        <v>0.5</v>
      </c>
      <c r="AGS61" s="143">
        <v>0.5</v>
      </c>
      <c r="AGT61" s="19"/>
      <c r="AGU61" s="19"/>
      <c r="AGV61" s="19"/>
      <c r="AGW61" s="19"/>
      <c r="AGX61" s="414"/>
      <c r="AGY61" s="407"/>
      <c r="AGZ61" s="408"/>
      <c r="AHA61" s="130">
        <f>SUM(AFY61:AGZ61)</f>
      </c>
      <c r="AHB61" s="374"/>
      <c r="AHC61" s="375"/>
      <c r="AHD61" s="15"/>
      <c r="AHE61" s="143">
        <v>0.5</v>
      </c>
      <c r="AHF61" s="143">
        <v>0.5</v>
      </c>
      <c r="AHG61" s="143">
        <v>0.5</v>
      </c>
      <c r="AHH61" s="143">
        <v>0.5</v>
      </c>
      <c r="AHI61" s="143">
        <v>0.5</v>
      </c>
      <c r="AHJ61" s="143">
        <v>0.5</v>
      </c>
      <c r="AHK61" s="154">
        <v>0.5</v>
      </c>
      <c r="AHL61" s="412"/>
      <c r="AHM61" s="19"/>
      <c r="AHN61" s="143">
        <v>0.5</v>
      </c>
      <c r="AHO61" s="340">
        <v>0.5</v>
      </c>
      <c r="AHP61" s="339">
        <v>0.5</v>
      </c>
      <c r="AHQ61" s="143">
        <v>0.5</v>
      </c>
      <c r="AHR61" s="143">
        <v>0.5</v>
      </c>
      <c r="AHS61" s="143">
        <v>0.5</v>
      </c>
      <c r="AHT61" s="143">
        <v>0.5</v>
      </c>
      <c r="AHU61" s="143">
        <v>0.5</v>
      </c>
      <c r="AHV61" s="143">
        <v>0.5</v>
      </c>
      <c r="AHW61" s="19"/>
      <c r="AHX61" s="19"/>
      <c r="AHY61" s="19"/>
      <c r="AHZ61" s="19"/>
      <c r="AIA61" s="414"/>
      <c r="AIB61" s="407"/>
      <c r="AIC61" s="408"/>
      <c r="AID61" s="130">
        <f>SUM(AHB61:AIC61)</f>
      </c>
      <c r="AIE61" s="374"/>
      <c r="AIF61" s="375"/>
      <c r="AIG61" s="15"/>
      <c r="AIH61" s="143">
        <v>0.5</v>
      </c>
      <c r="AII61" s="143">
        <v>0.5</v>
      </c>
      <c r="AIJ61" s="143">
        <v>0.5</v>
      </c>
      <c r="AIK61" s="143">
        <v>0.5</v>
      </c>
      <c r="AIL61" s="143">
        <v>0.5</v>
      </c>
      <c r="AIM61" s="143">
        <v>0.5</v>
      </c>
      <c r="AIN61" s="154">
        <v>0.5</v>
      </c>
      <c r="AIO61" s="412"/>
      <c r="AIP61" s="19"/>
      <c r="AIQ61" s="143">
        <v>0.5</v>
      </c>
      <c r="AIR61" s="340">
        <v>0.5</v>
      </c>
      <c r="AIS61" s="339">
        <v>0.5</v>
      </c>
      <c r="AIT61" s="143">
        <v>0.5</v>
      </c>
      <c r="AIU61" s="143">
        <v>0.5</v>
      </c>
      <c r="AIV61" s="143">
        <v>0.5</v>
      </c>
      <c r="AIW61" s="143">
        <v>0.5</v>
      </c>
      <c r="AIX61" s="143">
        <v>0.5</v>
      </c>
      <c r="AIY61" s="143">
        <v>0.5</v>
      </c>
      <c r="AIZ61" s="19"/>
      <c r="AJA61" s="19"/>
      <c r="AJB61" s="19"/>
      <c r="AJC61" s="19"/>
      <c r="AJD61" s="414"/>
      <c r="AJE61" s="407"/>
      <c r="AJF61" s="408"/>
      <c r="AJG61" s="130">
        <f>SUM(AIE61:AJF61)</f>
      </c>
      <c r="AJH61" s="374"/>
      <c r="AJI61" s="375"/>
      <c r="AJJ61" s="15"/>
      <c r="AJK61" s="143">
        <v>0.5</v>
      </c>
      <c r="AJL61" s="143">
        <v>0.5</v>
      </c>
      <c r="AJM61" s="143">
        <v>0.5</v>
      </c>
      <c r="AJN61" s="143">
        <v>0.5</v>
      </c>
      <c r="AJO61" s="143">
        <v>0.5</v>
      </c>
      <c r="AJP61" s="143">
        <v>0.5</v>
      </c>
      <c r="AJQ61" s="154">
        <v>0.5</v>
      </c>
      <c r="AJR61" s="412"/>
      <c r="AJS61" s="19"/>
      <c r="AJT61" s="143">
        <v>0.5</v>
      </c>
      <c r="AJU61" s="340">
        <v>0.5</v>
      </c>
      <c r="AJV61" s="339">
        <v>0.5</v>
      </c>
      <c r="AJW61" s="143">
        <v>0.5</v>
      </c>
      <c r="AJX61" s="143">
        <v>0.5</v>
      </c>
      <c r="AJY61" s="143">
        <v>0.5</v>
      </c>
      <c r="AJZ61" s="143">
        <v>0.5</v>
      </c>
      <c r="AKA61" s="143">
        <v>0.5</v>
      </c>
      <c r="AKB61" s="143">
        <v>0.5</v>
      </c>
      <c r="AKC61" s="19"/>
      <c r="AKD61" s="19"/>
      <c r="AKE61" s="19"/>
      <c r="AKF61" s="19"/>
      <c r="AKG61" s="414"/>
      <c r="AKH61" s="407"/>
      <c r="AKI61" s="408"/>
      <c r="AKJ61" s="130">
        <f>SUM(AJH61:AKI61)</f>
      </c>
      <c r="AKK61" s="121"/>
      <c r="AKL61" s="122"/>
      <c r="AKM61" s="123"/>
      <c r="AKN61" s="124"/>
      <c r="AKO61" s="124"/>
      <c r="AKP61" s="124"/>
      <c r="AKQ61" s="124"/>
      <c r="AKR61" s="124"/>
      <c r="AKS61" s="124"/>
      <c r="AKT61" s="125"/>
      <c r="AKU61" s="126"/>
      <c r="AKV61" s="124"/>
      <c r="AKW61" s="124"/>
      <c r="AKX61" s="127"/>
      <c r="AKY61" s="123"/>
      <c r="AKZ61" s="124"/>
      <c r="ALA61" s="124"/>
      <c r="ALB61" s="124"/>
      <c r="ALC61" s="124"/>
      <c r="ALD61" s="124"/>
      <c r="ALE61" s="124"/>
      <c r="ALF61" s="124"/>
      <c r="ALG61" s="124"/>
      <c r="ALH61" s="124"/>
      <c r="ALI61" s="124"/>
      <c r="ALJ61" s="125"/>
      <c r="ALK61" s="301"/>
      <c r="ALL61" s="151"/>
      <c r="ALM61" s="130">
        <f>SUM(AKK61:ALL61)</f>
      </c>
      <c r="ALN61" s="121"/>
      <c r="ALO61" s="122"/>
      <c r="ALP61" s="123"/>
      <c r="ALQ61" s="124"/>
      <c r="ALR61" s="124"/>
      <c r="ALS61" s="124"/>
      <c r="ALT61" s="124"/>
      <c r="ALU61" s="124"/>
      <c r="ALV61" s="124"/>
      <c r="ALW61" s="125"/>
      <c r="ALX61" s="126"/>
      <c r="ALY61" s="124"/>
      <c r="ALZ61" s="124"/>
      <c r="AMA61" s="127"/>
      <c r="AMB61" s="123"/>
      <c r="AMC61" s="124"/>
      <c r="AMD61" s="124"/>
      <c r="AME61" s="124"/>
      <c r="AMF61" s="124"/>
      <c r="AMG61" s="124"/>
      <c r="AMH61" s="124"/>
      <c r="AMI61" s="124"/>
      <c r="AMJ61" s="124"/>
      <c r="AMK61" s="124"/>
      <c r="AML61" s="124"/>
      <c r="AMM61" s="125"/>
      <c r="AMN61" s="301"/>
      <c r="AMO61" s="151"/>
      <c r="AMP61" s="130">
        <f>SUM(ALN61:AMO61)</f>
      </c>
      <c r="AMQ61" s="150">
        <f>AFX61+AHA61+AID61+AJG61+AKJ61+ALM61+AMP61</f>
      </c>
      <c r="AMR61" s="302">
        <f>(COUNTIF(AEV61:AMP61,"H")+COUNTIF(AEV61:AMP61,"S")+COUNTIF(AEV61:AMP61,"L")+COUNTIF(AEV61:AMP61,"E")+COUNTIF(AEV61:AMP61,"C"))/2</f>
      </c>
      <c r="AMS61" s="131">
        <f>AMQ61+AMR61</f>
      </c>
      <c r="AMT61" s="4"/>
      <c r="AMU61" s="4"/>
      <c r="AMV61" s="4"/>
      <c r="AMW61" s="4"/>
      <c r="AMX61" s="4"/>
      <c r="AMY61" s="4"/>
      <c r="AMZ61" s="4"/>
      <c r="ANA61" s="4"/>
      <c r="ANB61" s="4"/>
      <c r="ANC61" s="4"/>
      <c r="AND61" s="4"/>
      <c r="ANE61" s="4"/>
      <c r="ANF61" s="4"/>
      <c r="ANG61" s="4"/>
      <c r="ANH61" s="4"/>
      <c r="ANI61" s="4"/>
      <c r="ANJ61" s="13"/>
      <c r="ANK61" s="13"/>
      <c r="ANL61" s="4"/>
      <c r="ANM61" s="4"/>
      <c r="ANN61" s="4"/>
      <c r="ANO61" s="4"/>
      <c r="ANP61" s="4"/>
      <c r="ANQ61" s="4"/>
      <c r="ANR61" s="4"/>
      <c r="ANS61" s="4"/>
      <c r="ANT61" s="4"/>
      <c r="ANU61" s="4"/>
      <c r="ANV61" s="4"/>
      <c r="ANW61" s="4"/>
      <c r="ANX61" s="4"/>
      <c r="ANY61" s="4"/>
      <c r="ANZ61" s="4"/>
      <c r="AOA61" s="4"/>
      <c r="AOB61" s="4"/>
      <c r="AOC61" s="4"/>
      <c r="AOD61" s="4"/>
      <c r="AOE61" s="4"/>
      <c r="AOF61" s="4"/>
      <c r="AOG61" s="4"/>
      <c r="AOH61" s="4"/>
      <c r="AOI61" s="4"/>
      <c r="AOJ61" s="4"/>
      <c r="AOK61" s="4"/>
      <c r="AOL61" s="4"/>
      <c r="AOM61" s="4"/>
      <c r="AON61" s="4"/>
      <c r="AOO61" s="4"/>
      <c r="AOP61" s="4"/>
      <c r="AOQ61" s="4"/>
      <c r="AOR61" s="4"/>
      <c r="AOS61" s="4"/>
      <c r="AOT61" s="4"/>
      <c r="AOU61" s="4"/>
      <c r="AOV61" s="4"/>
      <c r="AOW61" s="4"/>
      <c r="AOX61" s="4"/>
      <c r="AOY61" s="4"/>
      <c r="AOZ61" s="4"/>
      <c r="APA61" s="4"/>
      <c r="APB61" s="4"/>
      <c r="APC61" s="4"/>
      <c r="APD61" s="4"/>
      <c r="APE61" s="4"/>
      <c r="APF61" s="4"/>
      <c r="APG61" s="4"/>
      <c r="APH61" s="4"/>
      <c r="API61" s="4"/>
      <c r="APJ61" s="4"/>
      <c r="APK61" s="4"/>
      <c r="APL61" s="4"/>
      <c r="APM61" s="4"/>
      <c r="APN61" s="4"/>
      <c r="APO61" s="4"/>
      <c r="APP61" s="4"/>
      <c r="APQ61" s="4"/>
      <c r="APR61" s="4"/>
      <c r="APS61" s="4"/>
      <c r="APT61" s="4"/>
      <c r="APU61" s="4"/>
      <c r="APV61" s="4"/>
      <c r="APW61" s="4"/>
      <c r="APX61" s="4"/>
      <c r="APY61" s="4"/>
      <c r="APZ61" s="4"/>
      <c r="AQA61" s="4"/>
      <c r="AQB61" s="4"/>
      <c r="AQC61" s="4"/>
      <c r="AQD61" s="4"/>
      <c r="AQE61" s="4"/>
      <c r="AQF61" s="4"/>
      <c r="AQG61" s="4"/>
      <c r="AQH61" s="4"/>
      <c r="AQI61" s="4"/>
      <c r="AQJ61" s="4"/>
      <c r="AQK61" s="4"/>
      <c r="AQL61" s="4"/>
      <c r="AQM61" s="4"/>
      <c r="AQN61" s="4"/>
      <c r="AQO61" s="4"/>
      <c r="AQP61" s="4"/>
      <c r="AQQ61" s="4"/>
      <c r="AQR61" s="4"/>
      <c r="AQS61" s="4"/>
      <c r="AQT61" s="4"/>
      <c r="AQU61" s="4"/>
      <c r="AQV61" s="4"/>
      <c r="AQW61" s="4"/>
      <c r="AQX61" s="4"/>
      <c r="AQY61" s="4"/>
      <c r="AQZ61" s="4"/>
      <c r="ARA61" s="4"/>
      <c r="ARB61" s="4"/>
      <c r="ARC61" s="4"/>
      <c r="ARD61" s="4"/>
      <c r="ARE61" s="4"/>
      <c r="ARF61" s="4"/>
      <c r="ARG61" s="4"/>
      <c r="ARH61" s="4"/>
      <c r="ARI61" s="4"/>
      <c r="ARJ61" s="4"/>
      <c r="ARK61" s="4"/>
      <c r="ARL61" s="4"/>
      <c r="ARM61" s="4"/>
      <c r="ARN61" s="4"/>
      <c r="ARO61" s="4"/>
      <c r="ARP61" s="4"/>
      <c r="ARQ61" s="4"/>
      <c r="ARR61" s="4"/>
      <c r="ARS61" s="4"/>
      <c r="ART61" s="4"/>
      <c r="ARU61" s="4"/>
      <c r="ARV61" s="4"/>
      <c r="ARW61" s="4"/>
      <c r="ARX61" s="4"/>
      <c r="ARY61" s="4"/>
      <c r="ARZ61" s="4"/>
      <c r="ASA61" s="4"/>
      <c r="ASB61" s="4"/>
      <c r="ASC61" s="4"/>
      <c r="ASD61" s="4"/>
      <c r="ASE61" s="4"/>
      <c r="ASF61" s="4"/>
      <c r="ASG61" s="4"/>
      <c r="ASH61" s="4"/>
      <c r="ASI61" s="4"/>
      <c r="ASJ61" s="4"/>
      <c r="ASK61" s="4"/>
      <c r="ASL61" s="4"/>
      <c r="ASM61" s="4"/>
      <c r="ASN61" s="4"/>
      <c r="ASO61" s="4"/>
      <c r="ASP61" s="4"/>
      <c r="ASQ61" s="4"/>
      <c r="ASR61" s="4"/>
      <c r="ASS61" s="4"/>
      <c r="AST61" s="4"/>
      <c r="ASU61" s="4"/>
    </row>
    <row r="62" ht="15" customHeight="1" spans="1:1191" x14ac:dyDescent="0.25">
      <c r="A62" s="118"/>
      <c r="B62" s="417" t="s">
        <v>99</v>
      </c>
      <c r="C62" s="321" t="s">
        <v>81</v>
      </c>
      <c r="D62" s="121"/>
      <c r="E62" s="122"/>
      <c r="F62" s="123"/>
      <c r="G62" s="124"/>
      <c r="H62" s="124"/>
      <c r="I62" s="124"/>
      <c r="J62" s="124"/>
      <c r="K62" s="124"/>
      <c r="L62" s="124"/>
      <c r="M62" s="125"/>
      <c r="N62" s="126"/>
      <c r="O62" s="124"/>
      <c r="P62" s="124"/>
      <c r="Q62" s="127"/>
      <c r="R62" s="123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5"/>
      <c r="AD62" s="301"/>
      <c r="AE62" s="151"/>
      <c r="AF62" s="131">
        <f>SUM(D62:AE62)</f>
      </c>
      <c r="AG62" s="121"/>
      <c r="AH62" s="122"/>
      <c r="AI62" s="123"/>
      <c r="AJ62" s="124"/>
      <c r="AK62" s="124"/>
      <c r="AL62" s="124"/>
      <c r="AM62" s="124"/>
      <c r="AN62" s="124"/>
      <c r="AO62" s="124"/>
      <c r="AP62" s="125"/>
      <c r="AQ62" s="126"/>
      <c r="AR62" s="124"/>
      <c r="AS62" s="124"/>
      <c r="AT62" s="127"/>
      <c r="AU62" s="123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5"/>
      <c r="BG62" s="301"/>
      <c r="BH62" s="151"/>
      <c r="BI62" s="131">
        <f>SUM(AG62:BH62)</f>
      </c>
      <c r="BJ62" s="121"/>
      <c r="BK62" s="122"/>
      <c r="BL62" s="123"/>
      <c r="BM62" s="124"/>
      <c r="BN62" s="124"/>
      <c r="BO62" s="124"/>
      <c r="BP62" s="124"/>
      <c r="BQ62" s="124"/>
      <c r="BR62" s="124"/>
      <c r="BS62" s="125"/>
      <c r="BT62" s="126"/>
      <c r="BU62" s="124"/>
      <c r="BV62" s="124"/>
      <c r="BW62" s="127"/>
      <c r="BX62" s="123"/>
      <c r="BY62" s="124"/>
      <c r="BZ62" s="124"/>
      <c r="CA62" s="124"/>
      <c r="CB62" s="124"/>
      <c r="CC62" s="124"/>
      <c r="CD62" s="124"/>
      <c r="CE62" s="124"/>
      <c r="CF62" s="124"/>
      <c r="CG62" s="124"/>
      <c r="CH62" s="124"/>
      <c r="CI62" s="125"/>
      <c r="CJ62" s="301"/>
      <c r="CK62" s="151"/>
      <c r="CL62" s="131">
        <f>SUM(BJ62:CK62)</f>
      </c>
      <c r="CM62" s="121"/>
      <c r="CN62" s="122"/>
      <c r="CO62" s="123"/>
      <c r="CP62" s="124"/>
      <c r="CQ62" s="124"/>
      <c r="CR62" s="124"/>
      <c r="CS62" s="124"/>
      <c r="CT62" s="124"/>
      <c r="CU62" s="124"/>
      <c r="CV62" s="125"/>
      <c r="CW62" s="126"/>
      <c r="CX62" s="124"/>
      <c r="CY62" s="124"/>
      <c r="CZ62" s="127"/>
      <c r="DA62" s="123"/>
      <c r="DB62" s="124"/>
      <c r="DC62" s="124"/>
      <c r="DD62" s="124"/>
      <c r="DE62" s="124"/>
      <c r="DF62" s="124"/>
      <c r="DG62" s="124"/>
      <c r="DH62" s="124"/>
      <c r="DI62" s="124"/>
      <c r="DJ62" s="124"/>
      <c r="DK62" s="124"/>
      <c r="DL62" s="125"/>
      <c r="DM62" s="301"/>
      <c r="DN62" s="151"/>
      <c r="DO62" s="131">
        <f>SUM(CM62:DN62)</f>
      </c>
      <c r="DP62" s="121"/>
      <c r="DQ62" s="122"/>
      <c r="DR62" s="123"/>
      <c r="DS62" s="124"/>
      <c r="DT62" s="124"/>
      <c r="DU62" s="124"/>
      <c r="DV62" s="124"/>
      <c r="DW62" s="124"/>
      <c r="DX62" s="124"/>
      <c r="DY62" s="125"/>
      <c r="DZ62" s="126"/>
      <c r="EA62" s="124"/>
      <c r="EB62" s="124"/>
      <c r="EC62" s="127"/>
      <c r="ED62" s="123"/>
      <c r="EE62" s="124"/>
      <c r="EF62" s="124"/>
      <c r="EG62" s="124"/>
      <c r="EH62" s="124"/>
      <c r="EI62" s="124"/>
      <c r="EJ62" s="124"/>
      <c r="EK62" s="124"/>
      <c r="EL62" s="124"/>
      <c r="EM62" s="124"/>
      <c r="EN62" s="124"/>
      <c r="EO62" s="125"/>
      <c r="EP62" s="301"/>
      <c r="EQ62" s="151"/>
      <c r="ER62" s="131">
        <f>SUM(DP62:EQ62)</f>
      </c>
      <c r="ES62" s="121"/>
      <c r="ET62" s="122"/>
      <c r="EU62" s="123"/>
      <c r="EV62" s="124"/>
      <c r="EW62" s="124"/>
      <c r="EX62" s="124"/>
      <c r="EY62" s="124"/>
      <c r="EZ62" s="124"/>
      <c r="FA62" s="124"/>
      <c r="FB62" s="125"/>
      <c r="FC62" s="126"/>
      <c r="FD62" s="124"/>
      <c r="FE62" s="124"/>
      <c r="FF62" s="127"/>
      <c r="FG62" s="123"/>
      <c r="FH62" s="124"/>
      <c r="FI62" s="124"/>
      <c r="FJ62" s="124"/>
      <c r="FK62" s="124"/>
      <c r="FL62" s="124"/>
      <c r="FM62" s="124"/>
      <c r="FN62" s="124"/>
      <c r="FO62" s="124"/>
      <c r="FP62" s="124"/>
      <c r="FQ62" s="124"/>
      <c r="FR62" s="125"/>
      <c r="FS62" s="301"/>
      <c r="FT62" s="151"/>
      <c r="FU62" s="131">
        <f>SUM(ES62:FT62)</f>
      </c>
      <c r="FV62" s="121"/>
      <c r="FW62" s="122"/>
      <c r="FX62" s="123"/>
      <c r="FY62" s="124"/>
      <c r="FZ62" s="124"/>
      <c r="GA62" s="124"/>
      <c r="GB62" s="124"/>
      <c r="GC62" s="124"/>
      <c r="GD62" s="124"/>
      <c r="GE62" s="125"/>
      <c r="GF62" s="126"/>
      <c r="GG62" s="124"/>
      <c r="GH62" s="124"/>
      <c r="GI62" s="127"/>
      <c r="GJ62" s="123"/>
      <c r="GK62" s="124"/>
      <c r="GL62" s="124"/>
      <c r="GM62" s="124"/>
      <c r="GN62" s="124"/>
      <c r="GO62" s="124"/>
      <c r="GP62" s="124"/>
      <c r="GQ62" s="124"/>
      <c r="GR62" s="124"/>
      <c r="GS62" s="124"/>
      <c r="GT62" s="124"/>
      <c r="GU62" s="125"/>
      <c r="GV62" s="301"/>
      <c r="GW62" s="151"/>
      <c r="GX62" s="131">
        <f>SUM(FV62:GW62)</f>
      </c>
      <c r="GY62" s="150">
        <f>AF62+BI62+CL62+DO62+ER62+FU62+GX62</f>
      </c>
      <c r="GZ62" s="302">
        <f>(COUNTIF(D62:GX62,"H")+COUNTIF(D62:GX62,"S")+COUNTIF(D62:GX62,"L")+COUNTIF(D62:GX62,"E")+COUNTIF(D62:GX62,"C"))/2</f>
      </c>
      <c r="HA62" s="131">
        <f>GY62+GZ62</f>
      </c>
      <c r="HB62" s="374"/>
      <c r="HC62" s="375"/>
      <c r="HD62" s="15"/>
      <c r="HE62" s="18" t="s">
        <v>4</v>
      </c>
      <c r="HF62" s="18" t="s">
        <v>4</v>
      </c>
      <c r="HG62" s="18" t="s">
        <v>4</v>
      </c>
      <c r="HH62" s="18" t="s">
        <v>4</v>
      </c>
      <c r="HI62" s="18" t="s">
        <v>4</v>
      </c>
      <c r="HJ62" s="18" t="s">
        <v>4</v>
      </c>
      <c r="HK62" s="222" t="s">
        <v>4</v>
      </c>
      <c r="HL62" s="412"/>
      <c r="HM62" s="19"/>
      <c r="HN62" s="18" t="s">
        <v>4</v>
      </c>
      <c r="HO62" s="224" t="s">
        <v>4</v>
      </c>
      <c r="HP62" s="225" t="s">
        <v>4</v>
      </c>
      <c r="HQ62" s="18" t="s">
        <v>4</v>
      </c>
      <c r="HR62" s="18" t="s">
        <v>4</v>
      </c>
      <c r="HS62" s="18" t="s">
        <v>4</v>
      </c>
      <c r="HT62" s="18" t="s">
        <v>4</v>
      </c>
      <c r="HU62" s="18" t="s">
        <v>4</v>
      </c>
      <c r="HV62" s="18" t="s">
        <v>4</v>
      </c>
      <c r="HW62" s="19"/>
      <c r="HX62" s="19"/>
      <c r="HY62" s="19"/>
      <c r="HZ62" s="19"/>
      <c r="IA62" s="414"/>
      <c r="IB62" s="407"/>
      <c r="IC62" s="408"/>
      <c r="ID62" s="131">
        <f>SUM(HB62:IC62)</f>
      </c>
      <c r="IE62" s="374"/>
      <c r="IF62" s="375"/>
      <c r="IG62" s="15"/>
      <c r="IH62" s="18" t="s">
        <v>4</v>
      </c>
      <c r="II62" s="18" t="s">
        <v>4</v>
      </c>
      <c r="IJ62" s="18" t="s">
        <v>4</v>
      </c>
      <c r="IK62" s="18" t="s">
        <v>4</v>
      </c>
      <c r="IL62" s="18" t="s">
        <v>4</v>
      </c>
      <c r="IM62" s="18" t="s">
        <v>4</v>
      </c>
      <c r="IN62" s="222" t="s">
        <v>4</v>
      </c>
      <c r="IO62" s="412"/>
      <c r="IP62" s="19"/>
      <c r="IQ62" s="18" t="s">
        <v>4</v>
      </c>
      <c r="IR62" s="224" t="s">
        <v>4</v>
      </c>
      <c r="IS62" s="225" t="s">
        <v>4</v>
      </c>
      <c r="IT62" s="18" t="s">
        <v>4</v>
      </c>
      <c r="IU62" s="18" t="s">
        <v>4</v>
      </c>
      <c r="IV62" s="18" t="s">
        <v>4</v>
      </c>
      <c r="IW62" s="18" t="s">
        <v>4</v>
      </c>
      <c r="IX62" s="18" t="s">
        <v>4</v>
      </c>
      <c r="IY62" s="18" t="s">
        <v>4</v>
      </c>
      <c r="IZ62" s="19"/>
      <c r="JA62" s="19"/>
      <c r="JB62" s="19"/>
      <c r="JC62" s="19"/>
      <c r="JD62" s="414"/>
      <c r="JE62" s="407"/>
      <c r="JF62" s="408"/>
      <c r="JG62" s="131">
        <f>SUM(IE62:JF62)</f>
      </c>
      <c r="JH62" s="374"/>
      <c r="JI62" s="375"/>
      <c r="JJ62" s="15"/>
      <c r="JK62" s="18" t="s">
        <v>4</v>
      </c>
      <c r="JL62" s="18" t="s">
        <v>4</v>
      </c>
      <c r="JM62" s="18" t="s">
        <v>4</v>
      </c>
      <c r="JN62" s="18" t="s">
        <v>4</v>
      </c>
      <c r="JO62" s="18" t="s">
        <v>4</v>
      </c>
      <c r="JP62" s="18" t="s">
        <v>4</v>
      </c>
      <c r="JQ62" s="222" t="s">
        <v>4</v>
      </c>
      <c r="JR62" s="412"/>
      <c r="JS62" s="19"/>
      <c r="JT62" s="18" t="s">
        <v>4</v>
      </c>
      <c r="JU62" s="224" t="s">
        <v>4</v>
      </c>
      <c r="JV62" s="225" t="s">
        <v>4</v>
      </c>
      <c r="JW62" s="18" t="s">
        <v>4</v>
      </c>
      <c r="JX62" s="18" t="s">
        <v>4</v>
      </c>
      <c r="JY62" s="18" t="s">
        <v>4</v>
      </c>
      <c r="JZ62" s="18" t="s">
        <v>4</v>
      </c>
      <c r="KA62" s="18" t="s">
        <v>4</v>
      </c>
      <c r="KB62" s="18" t="s">
        <v>4</v>
      </c>
      <c r="KC62" s="19"/>
      <c r="KD62" s="19"/>
      <c r="KE62" s="19"/>
      <c r="KF62" s="19"/>
      <c r="KG62" s="414"/>
      <c r="KH62" s="407"/>
      <c r="KI62" s="408"/>
      <c r="KJ62" s="131">
        <f>SUM(JH62:KI62)</f>
      </c>
      <c r="KK62" s="374"/>
      <c r="KL62" s="375"/>
      <c r="KM62" s="15"/>
      <c r="KN62" s="18" t="s">
        <v>4</v>
      </c>
      <c r="KO62" s="18" t="s">
        <v>4</v>
      </c>
      <c r="KP62" s="18" t="s">
        <v>4</v>
      </c>
      <c r="KQ62" s="18" t="s">
        <v>4</v>
      </c>
      <c r="KR62" s="18" t="s">
        <v>4</v>
      </c>
      <c r="KS62" s="18" t="s">
        <v>4</v>
      </c>
      <c r="KT62" s="222" t="s">
        <v>4</v>
      </c>
      <c r="KU62" s="412"/>
      <c r="KV62" s="19"/>
      <c r="KW62" s="18" t="s">
        <v>4</v>
      </c>
      <c r="KX62" s="224" t="s">
        <v>4</v>
      </c>
      <c r="KY62" s="225" t="s">
        <v>4</v>
      </c>
      <c r="KZ62" s="18" t="s">
        <v>4</v>
      </c>
      <c r="LA62" s="18" t="s">
        <v>4</v>
      </c>
      <c r="LB62" s="18" t="s">
        <v>4</v>
      </c>
      <c r="LC62" s="18" t="s">
        <v>4</v>
      </c>
      <c r="LD62" s="18" t="s">
        <v>4</v>
      </c>
      <c r="LE62" s="18" t="s">
        <v>4</v>
      </c>
      <c r="LF62" s="19"/>
      <c r="LG62" s="19"/>
      <c r="LH62" s="19"/>
      <c r="LI62" s="19"/>
      <c r="LJ62" s="414"/>
      <c r="LK62" s="407"/>
      <c r="LL62" s="408"/>
      <c r="LM62" s="131">
        <f>SUM(KK62:LL62)</f>
      </c>
      <c r="LN62" s="374"/>
      <c r="LO62" s="375"/>
      <c r="LP62" s="15"/>
      <c r="LQ62" s="18" t="s">
        <v>4</v>
      </c>
      <c r="LR62" s="18" t="s">
        <v>4</v>
      </c>
      <c r="LS62" s="18" t="s">
        <v>4</v>
      </c>
      <c r="LT62" s="18" t="s">
        <v>4</v>
      </c>
      <c r="LU62" s="18" t="s">
        <v>4</v>
      </c>
      <c r="LV62" s="18" t="s">
        <v>4</v>
      </c>
      <c r="LW62" s="222" t="s">
        <v>4</v>
      </c>
      <c r="LX62" s="412"/>
      <c r="LY62" s="19"/>
      <c r="LZ62" s="18" t="s">
        <v>4</v>
      </c>
      <c r="MA62" s="224" t="s">
        <v>4</v>
      </c>
      <c r="MB62" s="225" t="s">
        <v>4</v>
      </c>
      <c r="MC62" s="18" t="s">
        <v>4</v>
      </c>
      <c r="MD62" s="18" t="s">
        <v>4</v>
      </c>
      <c r="ME62" s="18" t="s">
        <v>4</v>
      </c>
      <c r="MF62" s="18" t="s">
        <v>4</v>
      </c>
      <c r="MG62" s="18" t="s">
        <v>4</v>
      </c>
      <c r="MH62" s="18" t="s">
        <v>4</v>
      </c>
      <c r="MI62" s="19"/>
      <c r="MJ62" s="19"/>
      <c r="MK62" s="19"/>
      <c r="ML62" s="19"/>
      <c r="MM62" s="414"/>
      <c r="MN62" s="407"/>
      <c r="MO62" s="408"/>
      <c r="MP62" s="131">
        <f>SUM(LN62:MO62)</f>
      </c>
      <c r="MQ62" s="121"/>
      <c r="MR62" s="122"/>
      <c r="MS62" s="123"/>
      <c r="MT62" s="124"/>
      <c r="MU62" s="124"/>
      <c r="MV62" s="124"/>
      <c r="MW62" s="124"/>
      <c r="MX62" s="124"/>
      <c r="MY62" s="124"/>
      <c r="MZ62" s="125"/>
      <c r="NA62" s="126"/>
      <c r="NB62" s="124"/>
      <c r="NC62" s="124"/>
      <c r="ND62" s="127"/>
      <c r="NE62" s="123"/>
      <c r="NF62" s="124"/>
      <c r="NG62" s="124"/>
      <c r="NH62" s="124"/>
      <c r="NI62" s="124"/>
      <c r="NJ62" s="124"/>
      <c r="NK62" s="124"/>
      <c r="NL62" s="124"/>
      <c r="NM62" s="124"/>
      <c r="NN62" s="124"/>
      <c r="NO62" s="124"/>
      <c r="NP62" s="125"/>
      <c r="NQ62" s="301"/>
      <c r="NR62" s="151"/>
      <c r="NS62" s="131">
        <f>SUM(MQ62:NR62)</f>
      </c>
      <c r="NT62" s="121"/>
      <c r="NU62" s="122"/>
      <c r="NV62" s="123"/>
      <c r="NW62" s="124"/>
      <c r="NX62" s="124"/>
      <c r="NY62" s="124"/>
      <c r="NZ62" s="124"/>
      <c r="OA62" s="124"/>
      <c r="OB62" s="124"/>
      <c r="OC62" s="125"/>
      <c r="OD62" s="126"/>
      <c r="OE62" s="124"/>
      <c r="OF62" s="124"/>
      <c r="OG62" s="127"/>
      <c r="OH62" s="123"/>
      <c r="OI62" s="124"/>
      <c r="OJ62" s="124"/>
      <c r="OK62" s="124"/>
      <c r="OL62" s="124"/>
      <c r="OM62" s="124"/>
      <c r="ON62" s="124"/>
      <c r="OO62" s="124"/>
      <c r="OP62" s="124"/>
      <c r="OQ62" s="124"/>
      <c r="OR62" s="124"/>
      <c r="OS62" s="125"/>
      <c r="OT62" s="301"/>
      <c r="OU62" s="151"/>
      <c r="OV62" s="131">
        <f>SUM(NT62:OU62)</f>
      </c>
      <c r="OW62" s="150">
        <f>ID62+JG62+KJ62+LM62+MP62+NS62+OV62</f>
      </c>
      <c r="OX62" s="302">
        <f>(COUNTIF(HB62:OV62,"H")+COUNTIF(HB62:OV62,"S")+COUNTIF(HB62:OV62,"L")+COUNTIF(HB62:OV62,"E")+COUNTIF(HB62:OV62,"C"))/2</f>
      </c>
      <c r="OY62" s="131">
        <f>OW62+OX62</f>
      </c>
      <c r="OZ62" s="374"/>
      <c r="PA62" s="375"/>
      <c r="PB62" s="15">
        <v>0.5</v>
      </c>
      <c r="PC62" s="143"/>
      <c r="PD62" s="143"/>
      <c r="PE62" s="143"/>
      <c r="PF62" s="143"/>
      <c r="PG62" s="143"/>
      <c r="PH62" s="143"/>
      <c r="PI62" s="154"/>
      <c r="PJ62" s="412"/>
      <c r="PK62" s="19"/>
      <c r="PL62" s="143"/>
      <c r="PM62" s="340"/>
      <c r="PN62" s="339"/>
      <c r="PO62" s="143"/>
      <c r="PP62" s="143"/>
      <c r="PQ62" s="143"/>
      <c r="PR62" s="143"/>
      <c r="PS62" s="19"/>
      <c r="PT62" s="19"/>
      <c r="PU62" s="19"/>
      <c r="PV62" s="19"/>
      <c r="PW62" s="19"/>
      <c r="PX62" s="19"/>
      <c r="PY62" s="414"/>
      <c r="PZ62" s="407"/>
      <c r="QA62" s="408"/>
      <c r="QB62" s="131">
        <f>SUM(OZ62:QA62)</f>
      </c>
      <c r="QC62" s="374"/>
      <c r="QD62" s="375"/>
      <c r="QE62" s="15"/>
      <c r="QF62" s="143">
        <v>0.5</v>
      </c>
      <c r="QG62" s="143">
        <v>0.5</v>
      </c>
      <c r="QH62" s="143">
        <v>0.5</v>
      </c>
      <c r="QI62" s="143">
        <v>0.5</v>
      </c>
      <c r="QJ62" s="143">
        <v>0.5</v>
      </c>
      <c r="QK62" s="143">
        <v>0.5</v>
      </c>
      <c r="QL62" s="154">
        <v>0.5</v>
      </c>
      <c r="QM62" s="412"/>
      <c r="QN62" s="19"/>
      <c r="QO62" s="143">
        <v>0.5</v>
      </c>
      <c r="QP62" s="340">
        <v>0.5</v>
      </c>
      <c r="QQ62" s="339">
        <v>0.5</v>
      </c>
      <c r="QR62" s="143">
        <v>0.5</v>
      </c>
      <c r="QS62" s="143">
        <v>0.5</v>
      </c>
      <c r="QT62" s="19"/>
      <c r="QU62" s="19"/>
      <c r="QV62" s="19"/>
      <c r="QW62" s="19"/>
      <c r="QX62" s="19"/>
      <c r="QY62" s="19"/>
      <c r="QZ62" s="19"/>
      <c r="RA62" s="19"/>
      <c r="RB62" s="414"/>
      <c r="RC62" s="407"/>
      <c r="RD62" s="408"/>
      <c r="RE62" s="131">
        <f>SUM(QC62:RD62)</f>
      </c>
      <c r="RF62" s="374"/>
      <c r="RG62" s="375"/>
      <c r="RH62" s="15"/>
      <c r="RI62" s="143">
        <v>0.5</v>
      </c>
      <c r="RJ62" s="143">
        <v>0.5</v>
      </c>
      <c r="RK62" s="143">
        <v>0.5</v>
      </c>
      <c r="RL62" s="143">
        <v>0.5</v>
      </c>
      <c r="RM62" s="143">
        <v>0.5</v>
      </c>
      <c r="RN62" s="143">
        <v>0.5</v>
      </c>
      <c r="RO62" s="154">
        <v>0.5</v>
      </c>
      <c r="RP62" s="404">
        <v>0.5</v>
      </c>
      <c r="RQ62" s="143">
        <v>0.5</v>
      </c>
      <c r="RR62" s="143">
        <v>0.5</v>
      </c>
      <c r="RS62" s="323"/>
      <c r="RT62" s="15"/>
      <c r="RU62" s="19"/>
      <c r="RV62" s="19"/>
      <c r="RW62" s="19"/>
      <c r="RX62" s="19"/>
      <c r="RY62" s="19"/>
      <c r="RZ62" s="19"/>
      <c r="SA62" s="19"/>
      <c r="SB62" s="19"/>
      <c r="SC62" s="19"/>
      <c r="SD62" s="19"/>
      <c r="SE62" s="414"/>
      <c r="SF62" s="407"/>
      <c r="SG62" s="408"/>
      <c r="SH62" s="131">
        <f>SUM(RF62:SG62)</f>
      </c>
      <c r="SI62" s="374"/>
      <c r="SJ62" s="375"/>
      <c r="SK62" s="15"/>
      <c r="SL62" s="143">
        <v>0.5</v>
      </c>
      <c r="SM62" s="143">
        <v>0.5</v>
      </c>
      <c r="SN62" s="143">
        <v>0.5</v>
      </c>
      <c r="SO62" s="143">
        <v>0.5</v>
      </c>
      <c r="SP62" s="143">
        <v>0.5</v>
      </c>
      <c r="SQ62" s="143">
        <v>0.5</v>
      </c>
      <c r="SR62" s="154">
        <v>0.5</v>
      </c>
      <c r="SS62" s="412"/>
      <c r="ST62" s="19"/>
      <c r="SU62" s="143">
        <v>0.5</v>
      </c>
      <c r="SV62" s="340">
        <v>0.5</v>
      </c>
      <c r="SW62" s="339">
        <v>0.5</v>
      </c>
      <c r="SX62" s="143">
        <v>0.5</v>
      </c>
      <c r="SY62" s="143">
        <v>0.5</v>
      </c>
      <c r="SZ62" s="19"/>
      <c r="TA62" s="19"/>
      <c r="TB62" s="19"/>
      <c r="TC62" s="19"/>
      <c r="TD62" s="19"/>
      <c r="TE62" s="19"/>
      <c r="TF62" s="19"/>
      <c r="TG62" s="19"/>
      <c r="TH62" s="414"/>
      <c r="TI62" s="407"/>
      <c r="TJ62" s="408"/>
      <c r="TK62" s="131">
        <f>SUM(SI62:TJ62)</f>
      </c>
      <c r="TL62" s="374"/>
      <c r="TM62" s="375"/>
      <c r="TN62" s="15"/>
      <c r="TO62" s="18" t="s">
        <v>4</v>
      </c>
      <c r="TP62" s="18" t="s">
        <v>4</v>
      </c>
      <c r="TQ62" s="18" t="s">
        <v>4</v>
      </c>
      <c r="TR62" s="18" t="s">
        <v>4</v>
      </c>
      <c r="TS62" s="18" t="s">
        <v>4</v>
      </c>
      <c r="TT62" s="18" t="s">
        <v>4</v>
      </c>
      <c r="TU62" s="222" t="s">
        <v>4</v>
      </c>
      <c r="TV62" s="412"/>
      <c r="TW62" s="19"/>
      <c r="TX62" s="18" t="s">
        <v>4</v>
      </c>
      <c r="TY62" s="224" t="s">
        <v>4</v>
      </c>
      <c r="TZ62" s="225" t="s">
        <v>4</v>
      </c>
      <c r="UA62" s="18" t="s">
        <v>4</v>
      </c>
      <c r="UB62" s="18" t="s">
        <v>4</v>
      </c>
      <c r="UC62" s="18" t="s">
        <v>4</v>
      </c>
      <c r="UD62" s="18" t="s">
        <v>4</v>
      </c>
      <c r="UE62" s="18" t="s">
        <v>4</v>
      </c>
      <c r="UF62" s="18" t="s">
        <v>4</v>
      </c>
      <c r="UG62" s="19"/>
      <c r="UH62" s="19"/>
      <c r="UI62" s="19"/>
      <c r="UJ62" s="19"/>
      <c r="UK62" s="414"/>
      <c r="UL62" s="407"/>
      <c r="UM62" s="408"/>
      <c r="UN62" s="131">
        <f>SUM(TL62:UM62)</f>
      </c>
      <c r="UO62" s="121"/>
      <c r="UP62" s="122"/>
      <c r="UQ62" s="123"/>
      <c r="UR62" s="124"/>
      <c r="US62" s="124"/>
      <c r="UT62" s="124"/>
      <c r="UU62" s="124"/>
      <c r="UV62" s="124"/>
      <c r="UW62" s="124"/>
      <c r="UX62" s="125"/>
      <c r="UY62" s="126"/>
      <c r="UZ62" s="124"/>
      <c r="VA62" s="124"/>
      <c r="VB62" s="127"/>
      <c r="VC62" s="123"/>
      <c r="VD62" s="124"/>
      <c r="VE62" s="124"/>
      <c r="VF62" s="124"/>
      <c r="VG62" s="124"/>
      <c r="VH62" s="124"/>
      <c r="VI62" s="124"/>
      <c r="VJ62" s="124"/>
      <c r="VK62" s="124"/>
      <c r="VL62" s="124"/>
      <c r="VM62" s="124"/>
      <c r="VN62" s="125"/>
      <c r="VO62" s="301"/>
      <c r="VP62" s="151"/>
      <c r="VQ62" s="131">
        <f>SUM(UO62:VP62)</f>
      </c>
      <c r="VR62" s="121"/>
      <c r="VS62" s="122"/>
      <c r="VT62" s="123"/>
      <c r="VU62" s="124"/>
      <c r="VV62" s="124"/>
      <c r="VW62" s="124"/>
      <c r="VX62" s="124"/>
      <c r="VY62" s="124"/>
      <c r="VZ62" s="124"/>
      <c r="WA62" s="125"/>
      <c r="WB62" s="126"/>
      <c r="WC62" s="124"/>
      <c r="WD62" s="124"/>
      <c r="WE62" s="127"/>
      <c r="WF62" s="123"/>
      <c r="WG62" s="124"/>
      <c r="WH62" s="124"/>
      <c r="WI62" s="124"/>
      <c r="WJ62" s="124"/>
      <c r="WK62" s="124"/>
      <c r="WL62" s="124"/>
      <c r="WM62" s="124"/>
      <c r="WN62" s="124"/>
      <c r="WO62" s="124"/>
      <c r="WP62" s="124"/>
      <c r="WQ62" s="125"/>
      <c r="WR62" s="301"/>
      <c r="WS62" s="151"/>
      <c r="WT62" s="131">
        <f>SUM(VR62:WS62)</f>
      </c>
      <c r="WU62" s="150">
        <f>QB62+RE62+SH62+TK62+UN62+VQ62+WT62</f>
      </c>
      <c r="WV62" s="302">
        <f>(COUNTIF(OZ62:WT62,"H")+COUNTIF(OZ62:WT62,"S")+COUNTIF(OZ62:WT62,"L")+COUNTIF(OZ62:WT62,"E")+COUNTIF(OZ62:WT62,"C"))/2</f>
      </c>
      <c r="WW62" s="131">
        <f>WU62+WV62</f>
      </c>
      <c r="WX62" s="374"/>
      <c r="WY62" s="375"/>
      <c r="WZ62" s="15"/>
      <c r="XA62" s="18" t="s">
        <v>4</v>
      </c>
      <c r="XB62" s="18" t="s">
        <v>4</v>
      </c>
      <c r="XC62" s="18" t="s">
        <v>4</v>
      </c>
      <c r="XD62" s="18" t="s">
        <v>4</v>
      </c>
      <c r="XE62" s="18" t="s">
        <v>4</v>
      </c>
      <c r="XF62" s="18" t="s">
        <v>4</v>
      </c>
      <c r="XG62" s="222" t="s">
        <v>4</v>
      </c>
      <c r="XH62" s="412"/>
      <c r="XI62" s="19"/>
      <c r="XJ62" s="18" t="s">
        <v>4</v>
      </c>
      <c r="XK62" s="224" t="s">
        <v>4</v>
      </c>
      <c r="XL62" s="225" t="s">
        <v>4</v>
      </c>
      <c r="XM62" s="18" t="s">
        <v>4</v>
      </c>
      <c r="XN62" s="18" t="s">
        <v>4</v>
      </c>
      <c r="XO62" s="18" t="s">
        <v>4</v>
      </c>
      <c r="XP62" s="18" t="s">
        <v>4</v>
      </c>
      <c r="XQ62" s="18" t="s">
        <v>4</v>
      </c>
      <c r="XR62" s="18" t="s">
        <v>4</v>
      </c>
      <c r="XS62" s="19"/>
      <c r="XT62" s="19"/>
      <c r="XU62" s="19"/>
      <c r="XV62" s="19"/>
      <c r="XW62" s="414"/>
      <c r="XX62" s="407"/>
      <c r="XY62" s="408"/>
      <c r="XZ62" s="131">
        <f>SUM(WX62:XY62)</f>
      </c>
      <c r="YA62" s="374"/>
      <c r="YB62" s="375"/>
      <c r="YC62" s="15"/>
      <c r="YD62" s="143">
        <v>0.5</v>
      </c>
      <c r="YE62" s="143">
        <v>0.5</v>
      </c>
      <c r="YF62" s="143">
        <v>0.5</v>
      </c>
      <c r="YG62" s="143">
        <v>0.5</v>
      </c>
      <c r="YH62" s="143">
        <v>0.5</v>
      </c>
      <c r="YI62" s="143">
        <v>0.5</v>
      </c>
      <c r="YJ62" s="154">
        <v>0.5</v>
      </c>
      <c r="YK62" s="404">
        <v>0.5</v>
      </c>
      <c r="YL62" s="19"/>
      <c r="YM62" s="19"/>
      <c r="YN62" s="323"/>
      <c r="YO62" s="15"/>
      <c r="YP62" s="19"/>
      <c r="YQ62" s="19"/>
      <c r="YR62" s="19"/>
      <c r="YS62" s="19"/>
      <c r="YT62" s="19"/>
      <c r="YU62" s="19"/>
      <c r="YV62" s="19"/>
      <c r="YW62" s="19"/>
      <c r="YX62" s="19"/>
      <c r="YY62" s="19"/>
      <c r="YZ62" s="414"/>
      <c r="ZA62" s="407"/>
      <c r="ZB62" s="408"/>
      <c r="ZC62" s="131">
        <f>SUM(YA62:ZB62)</f>
      </c>
      <c r="ZD62" s="374"/>
      <c r="ZE62" s="375"/>
      <c r="ZF62" s="15"/>
      <c r="ZG62" s="143">
        <v>0.5</v>
      </c>
      <c r="ZH62" s="143">
        <v>0.5</v>
      </c>
      <c r="ZI62" s="143">
        <v>0.5</v>
      </c>
      <c r="ZJ62" s="143">
        <v>0.5</v>
      </c>
      <c r="ZK62" s="143">
        <v>0.5</v>
      </c>
      <c r="ZL62" s="143">
        <v>0.5</v>
      </c>
      <c r="ZM62" s="154">
        <v>0.5</v>
      </c>
      <c r="ZN62" s="412"/>
      <c r="ZO62" s="19"/>
      <c r="ZP62" s="143">
        <v>0.5</v>
      </c>
      <c r="ZQ62" s="340">
        <v>0.5</v>
      </c>
      <c r="ZR62" s="339">
        <v>0.5</v>
      </c>
      <c r="ZS62" s="143">
        <v>0.5</v>
      </c>
      <c r="ZT62" s="143">
        <v>0.5</v>
      </c>
      <c r="ZU62" s="143">
        <v>0.5</v>
      </c>
      <c r="ZV62" s="143">
        <v>0.5</v>
      </c>
      <c r="ZW62" s="143">
        <v>0.5</v>
      </c>
      <c r="ZX62" s="143">
        <v>0.5</v>
      </c>
      <c r="ZY62" s="19"/>
      <c r="ZZ62" s="19"/>
      <c r="AAA62" s="19"/>
      <c r="AAB62" s="19"/>
      <c r="AAC62" s="414"/>
      <c r="AAD62" s="407"/>
      <c r="AAE62" s="408"/>
      <c r="AAF62" s="131">
        <f>SUM(ZD62:AAE62)</f>
      </c>
      <c r="AAG62" s="374"/>
      <c r="AAH62" s="375"/>
      <c r="AAI62" s="15"/>
      <c r="AAJ62" s="143">
        <v>0.5</v>
      </c>
      <c r="AAK62" s="143">
        <v>0.5</v>
      </c>
      <c r="AAL62" s="143">
        <v>0.5</v>
      </c>
      <c r="AAM62" s="143">
        <v>0.5</v>
      </c>
      <c r="AAN62" s="143">
        <v>0.5</v>
      </c>
      <c r="AAO62" s="143">
        <v>0.5</v>
      </c>
      <c r="AAP62" s="154">
        <v>0.5</v>
      </c>
      <c r="AAQ62" s="412"/>
      <c r="AAR62" s="19"/>
      <c r="AAS62" s="143">
        <v>0.5</v>
      </c>
      <c r="AAT62" s="340">
        <v>0.5</v>
      </c>
      <c r="AAU62" s="339">
        <v>0.5</v>
      </c>
      <c r="AAV62" s="143">
        <v>0.5</v>
      </c>
      <c r="AAW62" s="143">
        <v>0.5</v>
      </c>
      <c r="AAX62" s="143">
        <v>0.5</v>
      </c>
      <c r="AAY62" s="143">
        <v>0.5</v>
      </c>
      <c r="AAZ62" s="143">
        <v>0.5</v>
      </c>
      <c r="ABA62" s="143">
        <v>0.5</v>
      </c>
      <c r="ABB62" s="19"/>
      <c r="ABC62" s="19"/>
      <c r="ABD62" s="19"/>
      <c r="ABE62" s="19"/>
      <c r="ABF62" s="414"/>
      <c r="ABG62" s="407"/>
      <c r="ABH62" s="408"/>
      <c r="ABI62" s="131">
        <f>SUM(AAG62:ABH62)</f>
      </c>
      <c r="ABJ62" s="374"/>
      <c r="ABK62" s="375"/>
      <c r="ABL62" s="15"/>
      <c r="ABM62" s="143">
        <v>0.5</v>
      </c>
      <c r="ABN62" s="143">
        <v>0.5</v>
      </c>
      <c r="ABO62" s="143">
        <v>0.5</v>
      </c>
      <c r="ABP62" s="143">
        <v>0.5</v>
      </c>
      <c r="ABQ62" s="143">
        <v>0.5</v>
      </c>
      <c r="ABR62" s="143">
        <v>0.5</v>
      </c>
      <c r="ABS62" s="154">
        <v>0.5</v>
      </c>
      <c r="ABT62" s="404">
        <v>0.5</v>
      </c>
      <c r="ABU62" s="19"/>
      <c r="ABV62" s="19"/>
      <c r="ABW62" s="323"/>
      <c r="ABX62" s="15"/>
      <c r="ABY62" s="19"/>
      <c r="ABZ62" s="19"/>
      <c r="ACA62" s="19"/>
      <c r="ACB62" s="19"/>
      <c r="ACC62" s="19"/>
      <c r="ACD62" s="19"/>
      <c r="ACE62" s="19"/>
      <c r="ACF62" s="19"/>
      <c r="ACG62" s="19"/>
      <c r="ACH62" s="19"/>
      <c r="ACI62" s="414"/>
      <c r="ACJ62" s="407"/>
      <c r="ACK62" s="408"/>
      <c r="ACL62" s="131">
        <f>SUM(ABJ62:ACK62)</f>
      </c>
      <c r="ACM62" s="121"/>
      <c r="ACN62" s="122"/>
      <c r="ACO62" s="123"/>
      <c r="ACP62" s="124"/>
      <c r="ACQ62" s="124"/>
      <c r="ACR62" s="124"/>
      <c r="ACS62" s="124"/>
      <c r="ACT62" s="124"/>
      <c r="ACU62" s="124"/>
      <c r="ACV62" s="125"/>
      <c r="ACW62" s="126"/>
      <c r="ACX62" s="124"/>
      <c r="ACY62" s="124"/>
      <c r="ACZ62" s="127"/>
      <c r="ADA62" s="123"/>
      <c r="ADB62" s="124"/>
      <c r="ADC62" s="124"/>
      <c r="ADD62" s="124"/>
      <c r="ADE62" s="124"/>
      <c r="ADF62" s="124"/>
      <c r="ADG62" s="124"/>
      <c r="ADH62" s="124"/>
      <c r="ADI62" s="124"/>
      <c r="ADJ62" s="124"/>
      <c r="ADK62" s="124"/>
      <c r="ADL62" s="125"/>
      <c r="ADM62" s="301"/>
      <c r="ADN62" s="151"/>
      <c r="ADO62" s="131">
        <f>SUM(ACM62:ADN62)</f>
      </c>
      <c r="ADP62" s="121"/>
      <c r="ADQ62" s="122"/>
      <c r="ADR62" s="123"/>
      <c r="ADS62" s="124"/>
      <c r="ADT62" s="124"/>
      <c r="ADU62" s="124"/>
      <c r="ADV62" s="124"/>
      <c r="ADW62" s="124"/>
      <c r="ADX62" s="124"/>
      <c r="ADY62" s="125"/>
      <c r="ADZ62" s="126"/>
      <c r="AEA62" s="124"/>
      <c r="AEB62" s="124"/>
      <c r="AEC62" s="127"/>
      <c r="AED62" s="123"/>
      <c r="AEE62" s="124"/>
      <c r="AEF62" s="124"/>
      <c r="AEG62" s="124"/>
      <c r="AEH62" s="124"/>
      <c r="AEI62" s="124"/>
      <c r="AEJ62" s="124"/>
      <c r="AEK62" s="124"/>
      <c r="AEL62" s="124"/>
      <c r="AEM62" s="124"/>
      <c r="AEN62" s="124"/>
      <c r="AEO62" s="125"/>
      <c r="AEP62" s="301"/>
      <c r="AEQ62" s="151"/>
      <c r="AER62" s="131">
        <f>SUM(ADP62:AEQ62)</f>
      </c>
      <c r="AES62" s="150">
        <f>XZ62+ZC62+AAF62+ABI62+ACL62+ADO62+AER62</f>
      </c>
      <c r="AET62" s="302">
        <f>(COUNTIF(WX62:AER62,"H")+COUNTIF(WX62:AER62,"S")+COUNTIF(WX62:AER62,"L")+COUNTIF(WX62:AER62,"E")+COUNTIF(WX62:AER62,"C"))/2</f>
      </c>
      <c r="AEU62" s="131">
        <f>AES62+AET62</f>
      </c>
      <c r="AEV62" s="374"/>
      <c r="AEW62" s="375"/>
      <c r="AEX62" s="15"/>
      <c r="AEY62" s="25">
        <v>0.5</v>
      </c>
      <c r="AEZ62" s="25">
        <v>0.5</v>
      </c>
      <c r="AFA62" s="25">
        <v>0.5</v>
      </c>
      <c r="AFB62" s="25">
        <v>0.5</v>
      </c>
      <c r="AFC62" s="25">
        <v>0.5</v>
      </c>
      <c r="AFD62" s="25">
        <v>0.5</v>
      </c>
      <c r="AFE62" s="418">
        <v>0.5</v>
      </c>
      <c r="AFF62" s="412"/>
      <c r="AFG62" s="19"/>
      <c r="AFH62" s="25">
        <v>0.5</v>
      </c>
      <c r="AFI62" s="419">
        <v>0.5</v>
      </c>
      <c r="AFJ62" s="420">
        <v>0.5</v>
      </c>
      <c r="AFK62" s="25">
        <v>0.5</v>
      </c>
      <c r="AFL62" s="25">
        <v>0.5</v>
      </c>
      <c r="AFM62" s="25">
        <v>0.5</v>
      </c>
      <c r="AFN62" s="25">
        <v>0.5</v>
      </c>
      <c r="AFO62" s="25">
        <v>0.5</v>
      </c>
      <c r="AFP62" s="25">
        <v>0.5</v>
      </c>
      <c r="AFQ62" s="19"/>
      <c r="AFR62" s="19"/>
      <c r="AFS62" s="19"/>
      <c r="AFT62" s="19"/>
      <c r="AFU62" s="414"/>
      <c r="AFV62" s="407"/>
      <c r="AFW62" s="408"/>
      <c r="AFX62" s="131">
        <f>SUM(AEV62:AFW62)</f>
      </c>
      <c r="AFY62" s="374"/>
      <c r="AFZ62" s="375"/>
      <c r="AGA62" s="15"/>
      <c r="AGB62" s="25">
        <v>0.5</v>
      </c>
      <c r="AGC62" s="25">
        <v>0.5</v>
      </c>
      <c r="AGD62" s="25">
        <v>0.5</v>
      </c>
      <c r="AGE62" s="25">
        <v>0.5</v>
      </c>
      <c r="AGF62" s="25">
        <v>0.5</v>
      </c>
      <c r="AGG62" s="25">
        <v>0.5</v>
      </c>
      <c r="AGH62" s="418">
        <v>0.5</v>
      </c>
      <c r="AGI62" s="412"/>
      <c r="AGJ62" s="19"/>
      <c r="AGK62" s="25">
        <v>0.5</v>
      </c>
      <c r="AGL62" s="419">
        <v>0.5</v>
      </c>
      <c r="AGM62" s="420">
        <v>0.5</v>
      </c>
      <c r="AGN62" s="25">
        <v>0.5</v>
      </c>
      <c r="AGO62" s="25">
        <v>0.5</v>
      </c>
      <c r="AGP62" s="25">
        <v>0.5</v>
      </c>
      <c r="AGQ62" s="25">
        <v>0.5</v>
      </c>
      <c r="AGR62" s="25">
        <v>0.5</v>
      </c>
      <c r="AGS62" s="25">
        <v>0.5</v>
      </c>
      <c r="AGT62" s="25">
        <v>0.5</v>
      </c>
      <c r="AGU62" s="25">
        <v>0.5</v>
      </c>
      <c r="AGV62" s="19"/>
      <c r="AGW62" s="19"/>
      <c r="AGX62" s="414"/>
      <c r="AGY62" s="407"/>
      <c r="AGZ62" s="408"/>
      <c r="AHA62" s="131">
        <f>SUM(AFY62:AGZ62)</f>
      </c>
      <c r="AHB62" s="374"/>
      <c r="AHC62" s="375"/>
      <c r="AHD62" s="15"/>
      <c r="AHE62" s="25">
        <v>0.5</v>
      </c>
      <c r="AHF62" s="25">
        <v>0.5</v>
      </c>
      <c r="AHG62" s="25">
        <v>0.5</v>
      </c>
      <c r="AHH62" s="25">
        <v>0.5</v>
      </c>
      <c r="AHI62" s="25">
        <v>0.5</v>
      </c>
      <c r="AHJ62" s="25">
        <v>0.5</v>
      </c>
      <c r="AHK62" s="418">
        <v>0.5</v>
      </c>
      <c r="AHL62" s="412"/>
      <c r="AHM62" s="19"/>
      <c r="AHN62" s="25">
        <v>0.5</v>
      </c>
      <c r="AHO62" s="419">
        <v>0.5</v>
      </c>
      <c r="AHP62" s="420">
        <v>0.5</v>
      </c>
      <c r="AHQ62" s="25">
        <v>0.5</v>
      </c>
      <c r="AHR62" s="25">
        <v>0.5</v>
      </c>
      <c r="AHS62" s="25">
        <v>0.5</v>
      </c>
      <c r="AHT62" s="25">
        <v>0.5</v>
      </c>
      <c r="AHU62" s="25">
        <v>0.5</v>
      </c>
      <c r="AHV62" s="25">
        <v>0.5</v>
      </c>
      <c r="AHW62" s="19"/>
      <c r="AHX62" s="19"/>
      <c r="AHY62" s="19"/>
      <c r="AHZ62" s="19"/>
      <c r="AIA62" s="414"/>
      <c r="AIB62" s="407"/>
      <c r="AIC62" s="408"/>
      <c r="AID62" s="131">
        <f>SUM(AHB62:AIC62)</f>
      </c>
      <c r="AIE62" s="374"/>
      <c r="AIF62" s="375"/>
      <c r="AIG62" s="15"/>
      <c r="AIH62" s="25">
        <v>0.5</v>
      </c>
      <c r="AII62" s="25">
        <v>0.5</v>
      </c>
      <c r="AIJ62" s="25">
        <v>0.5</v>
      </c>
      <c r="AIK62" s="25">
        <v>0.5</v>
      </c>
      <c r="AIL62" s="25">
        <v>0.5</v>
      </c>
      <c r="AIM62" s="25">
        <v>0.5</v>
      </c>
      <c r="AIN62" s="418">
        <v>0.5</v>
      </c>
      <c r="AIO62" s="412"/>
      <c r="AIP62" s="19"/>
      <c r="AIQ62" s="25">
        <v>0.5</v>
      </c>
      <c r="AIR62" s="419">
        <v>0.5</v>
      </c>
      <c r="AIS62" s="420">
        <v>0.5</v>
      </c>
      <c r="AIT62" s="25">
        <v>0.5</v>
      </c>
      <c r="AIU62" s="25">
        <v>0.5</v>
      </c>
      <c r="AIV62" s="25">
        <v>0.5</v>
      </c>
      <c r="AIW62" s="25">
        <v>0.5</v>
      </c>
      <c r="AIX62" s="25">
        <v>0.5</v>
      </c>
      <c r="AIY62" s="25">
        <v>0.5</v>
      </c>
      <c r="AIZ62" s="25">
        <v>0.5</v>
      </c>
      <c r="AJA62" s="25">
        <v>0.5</v>
      </c>
      <c r="AJB62" s="19"/>
      <c r="AJC62" s="19"/>
      <c r="AJD62" s="414"/>
      <c r="AJE62" s="407"/>
      <c r="AJF62" s="408"/>
      <c r="AJG62" s="131">
        <f>SUM(AIE62:AJF62)</f>
      </c>
      <c r="AJH62" s="374"/>
      <c r="AJI62" s="375"/>
      <c r="AJJ62" s="15"/>
      <c r="AJK62" s="25">
        <v>0.5</v>
      </c>
      <c r="AJL62" s="25">
        <v>0.5</v>
      </c>
      <c r="AJM62" s="25">
        <v>0.5</v>
      </c>
      <c r="AJN62" s="25">
        <v>0.5</v>
      </c>
      <c r="AJO62" s="25">
        <v>0.5</v>
      </c>
      <c r="AJP62" s="25">
        <v>0.5</v>
      </c>
      <c r="AJQ62" s="418">
        <v>0.5</v>
      </c>
      <c r="AJR62" s="421">
        <v>0.5</v>
      </c>
      <c r="AJS62" s="25">
        <v>0.5</v>
      </c>
      <c r="AJT62" s="25">
        <v>0.5</v>
      </c>
      <c r="AJU62" s="419">
        <v>0.5</v>
      </c>
      <c r="AJV62" s="420">
        <v>0.5</v>
      </c>
      <c r="AJW62" s="19"/>
      <c r="AJX62" s="19"/>
      <c r="AJY62" s="19"/>
      <c r="AJZ62" s="19"/>
      <c r="AKA62" s="19"/>
      <c r="AKB62" s="19"/>
      <c r="AKC62" s="19"/>
      <c r="AKD62" s="19"/>
      <c r="AKE62" s="19"/>
      <c r="AKF62" s="19"/>
      <c r="AKG62" s="414"/>
      <c r="AKH62" s="407"/>
      <c r="AKI62" s="408"/>
      <c r="AKJ62" s="131">
        <f>SUM(AJH62:AKI62)</f>
      </c>
      <c r="AKK62" s="121"/>
      <c r="AKL62" s="122"/>
      <c r="AKM62" s="123"/>
      <c r="AKN62" s="124"/>
      <c r="AKO62" s="124"/>
      <c r="AKP62" s="124"/>
      <c r="AKQ62" s="124"/>
      <c r="AKR62" s="124"/>
      <c r="AKS62" s="124"/>
      <c r="AKT62" s="125"/>
      <c r="AKU62" s="126"/>
      <c r="AKV62" s="124"/>
      <c r="AKW62" s="124"/>
      <c r="AKX62" s="127"/>
      <c r="AKY62" s="123"/>
      <c r="AKZ62" s="124"/>
      <c r="ALA62" s="124"/>
      <c r="ALB62" s="124"/>
      <c r="ALC62" s="124"/>
      <c r="ALD62" s="124"/>
      <c r="ALE62" s="124"/>
      <c r="ALF62" s="124"/>
      <c r="ALG62" s="124"/>
      <c r="ALH62" s="124"/>
      <c r="ALI62" s="124"/>
      <c r="ALJ62" s="125"/>
      <c r="ALK62" s="301"/>
      <c r="ALL62" s="151"/>
      <c r="ALM62" s="131">
        <f>SUM(AKK62:ALL62)</f>
      </c>
      <c r="ALN62" s="121"/>
      <c r="ALO62" s="122"/>
      <c r="ALP62" s="123"/>
      <c r="ALQ62" s="124"/>
      <c r="ALR62" s="124"/>
      <c r="ALS62" s="124"/>
      <c r="ALT62" s="124"/>
      <c r="ALU62" s="124"/>
      <c r="ALV62" s="124"/>
      <c r="ALW62" s="125"/>
      <c r="ALX62" s="126"/>
      <c r="ALY62" s="124"/>
      <c r="ALZ62" s="124"/>
      <c r="AMA62" s="127"/>
      <c r="AMB62" s="123"/>
      <c r="AMC62" s="124"/>
      <c r="AMD62" s="124"/>
      <c r="AME62" s="124"/>
      <c r="AMF62" s="124"/>
      <c r="AMG62" s="124"/>
      <c r="AMH62" s="124"/>
      <c r="AMI62" s="124"/>
      <c r="AMJ62" s="124"/>
      <c r="AMK62" s="124"/>
      <c r="AML62" s="124"/>
      <c r="AMM62" s="125"/>
      <c r="AMN62" s="301"/>
      <c r="AMO62" s="151"/>
      <c r="AMP62" s="131">
        <f>SUM(ALN62:AMO62)</f>
      </c>
      <c r="AMQ62" s="150">
        <f>AFX62+AHA62+AID62+AJG62+AKJ62+ALM62+AMP62</f>
      </c>
      <c r="AMR62" s="302">
        <f>(COUNTIF(AEV62:AMP62,"H")+COUNTIF(AEV62:AMP62,"S")+COUNTIF(AEV62:AMP62,"L")+COUNTIF(AEV62:AMP62,"E")+COUNTIF(AEV62:AMP62,"C"))/2</f>
      </c>
      <c r="AMS62" s="131">
        <f>AMQ62+AMR62</f>
      </c>
      <c r="AMT62" s="4"/>
      <c r="AMU62" s="4"/>
      <c r="AMV62" s="4"/>
      <c r="AMW62" s="4"/>
      <c r="AMX62" s="4"/>
      <c r="AMY62" s="4"/>
      <c r="AMZ62" s="4"/>
      <c r="ANA62" s="4"/>
      <c r="ANB62" s="4"/>
      <c r="ANC62" s="4"/>
      <c r="AND62" s="4"/>
      <c r="ANE62" s="4"/>
      <c r="ANF62" s="4"/>
      <c r="ANG62" s="4"/>
      <c r="ANH62" s="4"/>
      <c r="ANI62" s="4"/>
      <c r="ANJ62" s="13"/>
      <c r="ANK62" s="13"/>
      <c r="ANL62" s="4"/>
      <c r="ANM62" s="4"/>
      <c r="ANN62" s="4"/>
      <c r="ANO62" s="4"/>
      <c r="ANP62" s="4"/>
      <c r="ANQ62" s="4"/>
      <c r="ANR62" s="4"/>
      <c r="ANS62" s="4"/>
      <c r="ANT62" s="4"/>
      <c r="ANU62" s="4"/>
      <c r="ANV62" s="4"/>
      <c r="ANW62" s="4"/>
      <c r="ANX62" s="4"/>
      <c r="ANY62" s="4"/>
      <c r="ANZ62" s="4"/>
      <c r="AOA62" s="4"/>
      <c r="AOB62" s="4"/>
      <c r="AOC62" s="4"/>
      <c r="AOD62" s="4"/>
      <c r="AOE62" s="4"/>
      <c r="AOF62" s="4"/>
      <c r="AOG62" s="4"/>
      <c r="AOH62" s="4"/>
      <c r="AOI62" s="4"/>
      <c r="AOJ62" s="4"/>
      <c r="AOK62" s="4"/>
      <c r="AOL62" s="4"/>
      <c r="AOM62" s="4"/>
      <c r="AON62" s="4"/>
      <c r="AOO62" s="4"/>
      <c r="AOP62" s="4"/>
      <c r="AOQ62" s="4"/>
      <c r="AOR62" s="4"/>
      <c r="AOS62" s="4"/>
      <c r="AOT62" s="4"/>
      <c r="AOU62" s="4"/>
      <c r="AOV62" s="4"/>
      <c r="AOW62" s="4"/>
      <c r="AOX62" s="4"/>
      <c r="AOY62" s="4"/>
      <c r="AOZ62" s="4"/>
      <c r="APA62" s="4"/>
      <c r="APB62" s="4"/>
      <c r="APC62" s="4"/>
      <c r="APD62" s="4"/>
      <c r="APE62" s="4"/>
      <c r="APF62" s="4"/>
      <c r="APG62" s="4"/>
      <c r="APH62" s="4"/>
      <c r="API62" s="4"/>
      <c r="APJ62" s="4"/>
      <c r="APK62" s="4"/>
      <c r="APL62" s="4"/>
      <c r="APM62" s="4"/>
      <c r="APN62" s="4"/>
      <c r="APO62" s="4"/>
      <c r="APP62" s="4"/>
      <c r="APQ62" s="4"/>
      <c r="APR62" s="4"/>
      <c r="APS62" s="4"/>
      <c r="APT62" s="4"/>
      <c r="APU62" s="4"/>
      <c r="APV62" s="4"/>
      <c r="APW62" s="4"/>
      <c r="APX62" s="4"/>
      <c r="APY62" s="4"/>
      <c r="APZ62" s="4"/>
      <c r="AQA62" s="4"/>
      <c r="AQB62" s="4"/>
      <c r="AQC62" s="4"/>
      <c r="AQD62" s="4"/>
      <c r="AQE62" s="4"/>
      <c r="AQF62" s="4"/>
      <c r="AQG62" s="4"/>
      <c r="AQH62" s="4"/>
      <c r="AQI62" s="4"/>
      <c r="AQJ62" s="4"/>
      <c r="AQK62" s="4"/>
      <c r="AQL62" s="4"/>
      <c r="AQM62" s="4"/>
      <c r="AQN62" s="4"/>
      <c r="AQO62" s="4"/>
      <c r="AQP62" s="4"/>
      <c r="AQQ62" s="4"/>
      <c r="AQR62" s="4"/>
      <c r="AQS62" s="4"/>
      <c r="AQT62" s="4"/>
      <c r="AQU62" s="4"/>
      <c r="AQV62" s="4"/>
      <c r="AQW62" s="4"/>
      <c r="AQX62" s="4"/>
      <c r="AQY62" s="4"/>
      <c r="AQZ62" s="4"/>
      <c r="ARA62" s="4"/>
      <c r="ARB62" s="4"/>
      <c r="ARC62" s="4"/>
      <c r="ARD62" s="4"/>
      <c r="ARE62" s="4"/>
      <c r="ARF62" s="4"/>
      <c r="ARG62" s="4"/>
      <c r="ARH62" s="4"/>
      <c r="ARI62" s="4"/>
      <c r="ARJ62" s="4"/>
      <c r="ARK62" s="4"/>
      <c r="ARL62" s="4"/>
      <c r="ARM62" s="4"/>
      <c r="ARN62" s="4"/>
      <c r="ARO62" s="4"/>
      <c r="ARP62" s="4"/>
      <c r="ARQ62" s="4"/>
      <c r="ARR62" s="4"/>
      <c r="ARS62" s="4"/>
      <c r="ART62" s="4"/>
      <c r="ARU62" s="4"/>
      <c r="ARV62" s="4"/>
      <c r="ARW62" s="4"/>
      <c r="ARX62" s="4"/>
      <c r="ARY62" s="4"/>
      <c r="ARZ62" s="4"/>
      <c r="ASA62" s="4"/>
      <c r="ASB62" s="4"/>
      <c r="ASC62" s="4"/>
      <c r="ASD62" s="4"/>
      <c r="ASE62" s="4"/>
      <c r="ASF62" s="4"/>
      <c r="ASG62" s="4"/>
      <c r="ASH62" s="4"/>
      <c r="ASI62" s="4"/>
      <c r="ASJ62" s="4"/>
      <c r="ASK62" s="4"/>
      <c r="ASL62" s="4"/>
      <c r="ASM62" s="4"/>
      <c r="ASN62" s="4"/>
      <c r="ASO62" s="4"/>
      <c r="ASP62" s="4"/>
      <c r="ASQ62" s="4"/>
      <c r="ASR62" s="4"/>
      <c r="ASS62" s="4"/>
      <c r="AST62" s="4"/>
      <c r="ASU62" s="4"/>
    </row>
    <row r="63" ht="15" customHeight="1" spans="1:1191" x14ac:dyDescent="0.25">
      <c r="A63" s="118"/>
      <c r="B63" s="403" t="s">
        <v>100</v>
      </c>
      <c r="C63" s="289" t="s">
        <v>101</v>
      </c>
      <c r="D63" s="121"/>
      <c r="E63" s="122"/>
      <c r="F63" s="123"/>
      <c r="G63" s="124"/>
      <c r="H63" s="124"/>
      <c r="I63" s="124"/>
      <c r="J63" s="124"/>
      <c r="K63" s="124"/>
      <c r="L63" s="124"/>
      <c r="M63" s="125"/>
      <c r="N63" s="126"/>
      <c r="O63" s="124"/>
      <c r="P63" s="124"/>
      <c r="Q63" s="127"/>
      <c r="R63" s="123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5"/>
      <c r="AD63" s="301"/>
      <c r="AE63" s="151"/>
      <c r="AF63" s="131">
        <f>SUM(D63:AE63)</f>
      </c>
      <c r="AG63" s="121"/>
      <c r="AH63" s="122"/>
      <c r="AI63" s="123"/>
      <c r="AJ63" s="124"/>
      <c r="AK63" s="124"/>
      <c r="AL63" s="124"/>
      <c r="AM63" s="124"/>
      <c r="AN63" s="124"/>
      <c r="AO63" s="124"/>
      <c r="AP63" s="125"/>
      <c r="AQ63" s="126"/>
      <c r="AR63" s="124"/>
      <c r="AS63" s="124"/>
      <c r="AT63" s="127"/>
      <c r="AU63" s="123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5"/>
      <c r="BG63" s="301"/>
      <c r="BH63" s="151"/>
      <c r="BI63" s="131">
        <f>SUM(AG63:BH63)</f>
      </c>
      <c r="BJ63" s="121"/>
      <c r="BK63" s="122"/>
      <c r="BL63" s="123"/>
      <c r="BM63" s="124"/>
      <c r="BN63" s="124"/>
      <c r="BO63" s="124"/>
      <c r="BP63" s="124"/>
      <c r="BQ63" s="124"/>
      <c r="BR63" s="124"/>
      <c r="BS63" s="125"/>
      <c r="BT63" s="126"/>
      <c r="BU63" s="124"/>
      <c r="BV63" s="124"/>
      <c r="BW63" s="127"/>
      <c r="BX63" s="123"/>
      <c r="BY63" s="124"/>
      <c r="BZ63" s="124"/>
      <c r="CA63" s="124"/>
      <c r="CB63" s="124"/>
      <c r="CC63" s="124"/>
      <c r="CD63" s="124"/>
      <c r="CE63" s="124"/>
      <c r="CF63" s="124"/>
      <c r="CG63" s="124"/>
      <c r="CH63" s="124"/>
      <c r="CI63" s="125"/>
      <c r="CJ63" s="301"/>
      <c r="CK63" s="151"/>
      <c r="CL63" s="131">
        <f>SUM(BJ63:CK63)</f>
      </c>
      <c r="CM63" s="121"/>
      <c r="CN63" s="122"/>
      <c r="CO63" s="123"/>
      <c r="CP63" s="124"/>
      <c r="CQ63" s="124"/>
      <c r="CR63" s="124"/>
      <c r="CS63" s="124"/>
      <c r="CT63" s="124"/>
      <c r="CU63" s="124"/>
      <c r="CV63" s="125"/>
      <c r="CW63" s="126"/>
      <c r="CX63" s="124"/>
      <c r="CY63" s="124"/>
      <c r="CZ63" s="127"/>
      <c r="DA63" s="123"/>
      <c r="DB63" s="124"/>
      <c r="DC63" s="124"/>
      <c r="DD63" s="124"/>
      <c r="DE63" s="124"/>
      <c r="DF63" s="124"/>
      <c r="DG63" s="124"/>
      <c r="DH63" s="124"/>
      <c r="DI63" s="124"/>
      <c r="DJ63" s="124"/>
      <c r="DK63" s="124"/>
      <c r="DL63" s="125"/>
      <c r="DM63" s="301"/>
      <c r="DN63" s="151"/>
      <c r="DO63" s="131">
        <f>SUM(CM63:DN63)</f>
      </c>
      <c r="DP63" s="121"/>
      <c r="DQ63" s="122"/>
      <c r="DR63" s="123"/>
      <c r="DS63" s="124"/>
      <c r="DT63" s="124"/>
      <c r="DU63" s="124"/>
      <c r="DV63" s="124"/>
      <c r="DW63" s="124"/>
      <c r="DX63" s="124"/>
      <c r="DY63" s="125"/>
      <c r="DZ63" s="126"/>
      <c r="EA63" s="124"/>
      <c r="EB63" s="124"/>
      <c r="EC63" s="127"/>
      <c r="ED63" s="123"/>
      <c r="EE63" s="124"/>
      <c r="EF63" s="124"/>
      <c r="EG63" s="124"/>
      <c r="EH63" s="124"/>
      <c r="EI63" s="124"/>
      <c r="EJ63" s="124"/>
      <c r="EK63" s="124"/>
      <c r="EL63" s="124"/>
      <c r="EM63" s="124"/>
      <c r="EN63" s="124"/>
      <c r="EO63" s="125"/>
      <c r="EP63" s="301"/>
      <c r="EQ63" s="151"/>
      <c r="ER63" s="131">
        <f>SUM(DP63:EQ63)</f>
      </c>
      <c r="ES63" s="121"/>
      <c r="ET63" s="122"/>
      <c r="EU63" s="123"/>
      <c r="EV63" s="124"/>
      <c r="EW63" s="124"/>
      <c r="EX63" s="124"/>
      <c r="EY63" s="124"/>
      <c r="EZ63" s="124"/>
      <c r="FA63" s="124"/>
      <c r="FB63" s="125"/>
      <c r="FC63" s="126"/>
      <c r="FD63" s="124"/>
      <c r="FE63" s="124"/>
      <c r="FF63" s="127"/>
      <c r="FG63" s="123"/>
      <c r="FH63" s="124"/>
      <c r="FI63" s="124"/>
      <c r="FJ63" s="124"/>
      <c r="FK63" s="124"/>
      <c r="FL63" s="124"/>
      <c r="FM63" s="124"/>
      <c r="FN63" s="124"/>
      <c r="FO63" s="124"/>
      <c r="FP63" s="124"/>
      <c r="FQ63" s="124"/>
      <c r="FR63" s="125"/>
      <c r="FS63" s="301"/>
      <c r="FT63" s="151"/>
      <c r="FU63" s="131">
        <f>SUM(ES63:FT63)</f>
      </c>
      <c r="FV63" s="121"/>
      <c r="FW63" s="122"/>
      <c r="FX63" s="123"/>
      <c r="FY63" s="124"/>
      <c r="FZ63" s="124"/>
      <c r="GA63" s="124"/>
      <c r="GB63" s="124"/>
      <c r="GC63" s="124"/>
      <c r="GD63" s="124"/>
      <c r="GE63" s="125"/>
      <c r="GF63" s="126"/>
      <c r="GG63" s="124"/>
      <c r="GH63" s="124"/>
      <c r="GI63" s="127"/>
      <c r="GJ63" s="123"/>
      <c r="GK63" s="124"/>
      <c r="GL63" s="124"/>
      <c r="GM63" s="124"/>
      <c r="GN63" s="124"/>
      <c r="GO63" s="124"/>
      <c r="GP63" s="124"/>
      <c r="GQ63" s="124"/>
      <c r="GR63" s="124"/>
      <c r="GS63" s="124"/>
      <c r="GT63" s="124"/>
      <c r="GU63" s="125"/>
      <c r="GV63" s="301"/>
      <c r="GW63" s="151"/>
      <c r="GX63" s="131">
        <f>SUM(FV63:GW63)</f>
      </c>
      <c r="GY63" s="150">
        <f>AF63+BI63+CL63+DO63+ER63+FU63+GX63</f>
      </c>
      <c r="GZ63" s="302">
        <f>(COUNTIF(D63:GX63,"H")+COUNTIF(D63:GX63,"S")+COUNTIF(D63:GX63,"L")+COUNTIF(D63:GX63,"E")+COUNTIF(D63:GX63,"C"))/2</f>
      </c>
      <c r="HA63" s="131">
        <f>GY63+GZ63</f>
      </c>
      <c r="HB63" s="374"/>
      <c r="HC63" s="375"/>
      <c r="HD63" s="15"/>
      <c r="HE63" s="143">
        <v>0.5</v>
      </c>
      <c r="HF63" s="143">
        <v>0.5</v>
      </c>
      <c r="HG63" s="143">
        <v>0.5</v>
      </c>
      <c r="HH63" s="143">
        <v>0.5</v>
      </c>
      <c r="HI63" s="143">
        <v>0.5</v>
      </c>
      <c r="HJ63" s="143">
        <v>0.5</v>
      </c>
      <c r="HK63" s="154">
        <v>0.5</v>
      </c>
      <c r="HL63" s="412"/>
      <c r="HM63" s="19"/>
      <c r="HN63" s="143">
        <v>0.5</v>
      </c>
      <c r="HO63" s="340">
        <v>0.5</v>
      </c>
      <c r="HP63" s="339">
        <v>0.5</v>
      </c>
      <c r="HQ63" s="143">
        <v>0.5</v>
      </c>
      <c r="HR63" s="143">
        <v>0.5</v>
      </c>
      <c r="HS63" s="143">
        <v>0.5</v>
      </c>
      <c r="HT63" s="143">
        <v>0.5</v>
      </c>
      <c r="HU63" s="143">
        <v>0.5</v>
      </c>
      <c r="HV63" s="143">
        <v>0.5</v>
      </c>
      <c r="HW63" s="19"/>
      <c r="HX63" s="19"/>
      <c r="HY63" s="19"/>
      <c r="HZ63" s="19"/>
      <c r="IA63" s="414"/>
      <c r="IB63" s="407"/>
      <c r="IC63" s="408"/>
      <c r="ID63" s="131">
        <f>SUM(HB63:IC63)</f>
      </c>
      <c r="IE63" s="374"/>
      <c r="IF63" s="375"/>
      <c r="IG63" s="15"/>
      <c r="IH63" s="143">
        <v>0.5</v>
      </c>
      <c r="II63" s="143">
        <v>0.5</v>
      </c>
      <c r="IJ63" s="143">
        <v>0.5</v>
      </c>
      <c r="IK63" s="143">
        <v>0.5</v>
      </c>
      <c r="IL63" s="143">
        <v>0.5</v>
      </c>
      <c r="IM63" s="143">
        <v>0.5</v>
      </c>
      <c r="IN63" s="154">
        <v>0.5</v>
      </c>
      <c r="IO63" s="412"/>
      <c r="IP63" s="19"/>
      <c r="IQ63" s="143">
        <v>0.5</v>
      </c>
      <c r="IR63" s="340">
        <v>0.5</v>
      </c>
      <c r="IS63" s="339">
        <v>0.5</v>
      </c>
      <c r="IT63" s="143">
        <v>0.5</v>
      </c>
      <c r="IU63" s="143">
        <v>0.5</v>
      </c>
      <c r="IV63" s="143">
        <v>0.5</v>
      </c>
      <c r="IW63" s="143">
        <v>0.5</v>
      </c>
      <c r="IX63" s="143">
        <v>0.5</v>
      </c>
      <c r="IY63" s="143">
        <v>0.5</v>
      </c>
      <c r="IZ63" s="19"/>
      <c r="JA63" s="19"/>
      <c r="JB63" s="19"/>
      <c r="JC63" s="19"/>
      <c r="JD63" s="414"/>
      <c r="JE63" s="407"/>
      <c r="JF63" s="408"/>
      <c r="JG63" s="131">
        <f>SUM(IE63:JF63)</f>
      </c>
      <c r="JH63" s="374"/>
      <c r="JI63" s="375"/>
      <c r="JJ63" s="15"/>
      <c r="JK63" s="143">
        <v>0.5</v>
      </c>
      <c r="JL63" s="143">
        <v>0.5</v>
      </c>
      <c r="JM63" s="143">
        <v>0.5</v>
      </c>
      <c r="JN63" s="143">
        <v>0.5</v>
      </c>
      <c r="JO63" s="143">
        <v>0.5</v>
      </c>
      <c r="JP63" s="143">
        <v>0.5</v>
      </c>
      <c r="JQ63" s="154">
        <v>0.5</v>
      </c>
      <c r="JR63" s="412"/>
      <c r="JS63" s="19"/>
      <c r="JT63" s="143">
        <v>0.5</v>
      </c>
      <c r="JU63" s="340">
        <v>0.5</v>
      </c>
      <c r="JV63" s="339">
        <v>0.5</v>
      </c>
      <c r="JW63" s="143">
        <v>0.5</v>
      </c>
      <c r="JX63" s="143">
        <v>0.5</v>
      </c>
      <c r="JY63" s="143">
        <v>0.5</v>
      </c>
      <c r="JZ63" s="143">
        <v>0.5</v>
      </c>
      <c r="KA63" s="143">
        <v>0.5</v>
      </c>
      <c r="KB63" s="143">
        <v>0.5</v>
      </c>
      <c r="KC63" s="19"/>
      <c r="KD63" s="19"/>
      <c r="KE63" s="19"/>
      <c r="KF63" s="19"/>
      <c r="KG63" s="414"/>
      <c r="KH63" s="407"/>
      <c r="KI63" s="408"/>
      <c r="KJ63" s="131">
        <f>SUM(JH63:KI63)</f>
      </c>
      <c r="KK63" s="374"/>
      <c r="KL63" s="375"/>
      <c r="KM63" s="15"/>
      <c r="KN63" s="143">
        <v>0.5</v>
      </c>
      <c r="KO63" s="143">
        <v>0.5</v>
      </c>
      <c r="KP63" s="143">
        <v>0.5</v>
      </c>
      <c r="KQ63" s="143">
        <v>0.5</v>
      </c>
      <c r="KR63" s="143">
        <v>0.5</v>
      </c>
      <c r="KS63" s="143">
        <v>0.5</v>
      </c>
      <c r="KT63" s="154">
        <v>0.5</v>
      </c>
      <c r="KU63" s="412"/>
      <c r="KV63" s="19"/>
      <c r="KW63" s="143">
        <v>0.5</v>
      </c>
      <c r="KX63" s="340">
        <v>0.5</v>
      </c>
      <c r="KY63" s="339">
        <v>0.5</v>
      </c>
      <c r="KZ63" s="143">
        <v>0.5</v>
      </c>
      <c r="LA63" s="143">
        <v>0.5</v>
      </c>
      <c r="LB63" s="143">
        <v>0.5</v>
      </c>
      <c r="LC63" s="143">
        <v>0.5</v>
      </c>
      <c r="LD63" s="143">
        <v>0.5</v>
      </c>
      <c r="LE63" s="143">
        <v>0.5</v>
      </c>
      <c r="LF63" s="19"/>
      <c r="LG63" s="19"/>
      <c r="LH63" s="19"/>
      <c r="LI63" s="19"/>
      <c r="LJ63" s="414"/>
      <c r="LK63" s="407"/>
      <c r="LL63" s="408"/>
      <c r="LM63" s="131">
        <f>SUM(KK63:LL63)</f>
      </c>
      <c r="LN63" s="374"/>
      <c r="LO63" s="375"/>
      <c r="LP63" s="15"/>
      <c r="LQ63" s="143">
        <v>0.5</v>
      </c>
      <c r="LR63" s="143">
        <v>0.5</v>
      </c>
      <c r="LS63" s="143">
        <v>0.5</v>
      </c>
      <c r="LT63" s="143">
        <v>0.5</v>
      </c>
      <c r="LU63" s="143">
        <v>0.5</v>
      </c>
      <c r="LV63" s="143">
        <v>0.5</v>
      </c>
      <c r="LW63" s="154">
        <v>0.5</v>
      </c>
      <c r="LX63" s="412"/>
      <c r="LY63" s="19"/>
      <c r="LZ63" s="143">
        <v>0.5</v>
      </c>
      <c r="MA63" s="340">
        <v>0.5</v>
      </c>
      <c r="MB63" s="339">
        <v>0.5</v>
      </c>
      <c r="MC63" s="143">
        <v>0.5</v>
      </c>
      <c r="MD63" s="143">
        <v>0.5</v>
      </c>
      <c r="ME63" s="143">
        <v>0.5</v>
      </c>
      <c r="MF63" s="143">
        <v>0.5</v>
      </c>
      <c r="MG63" s="143">
        <v>0.5</v>
      </c>
      <c r="MH63" s="143">
        <v>0.5</v>
      </c>
      <c r="MI63" s="19"/>
      <c r="MJ63" s="19"/>
      <c r="MK63" s="19"/>
      <c r="ML63" s="19"/>
      <c r="MM63" s="414"/>
      <c r="MN63" s="407"/>
      <c r="MO63" s="408"/>
      <c r="MP63" s="131">
        <f>SUM(LN63:MO63)</f>
      </c>
      <c r="MQ63" s="121"/>
      <c r="MR63" s="122"/>
      <c r="MS63" s="123"/>
      <c r="MT63" s="124"/>
      <c r="MU63" s="124"/>
      <c r="MV63" s="124"/>
      <c r="MW63" s="124"/>
      <c r="MX63" s="124"/>
      <c r="MY63" s="124"/>
      <c r="MZ63" s="125"/>
      <c r="NA63" s="126"/>
      <c r="NB63" s="124"/>
      <c r="NC63" s="124"/>
      <c r="ND63" s="127"/>
      <c r="NE63" s="123"/>
      <c r="NF63" s="124"/>
      <c r="NG63" s="124"/>
      <c r="NH63" s="124"/>
      <c r="NI63" s="124"/>
      <c r="NJ63" s="124"/>
      <c r="NK63" s="124"/>
      <c r="NL63" s="124"/>
      <c r="NM63" s="124"/>
      <c r="NN63" s="124"/>
      <c r="NO63" s="124"/>
      <c r="NP63" s="125"/>
      <c r="NQ63" s="301"/>
      <c r="NR63" s="151"/>
      <c r="NS63" s="131">
        <f>SUM(MQ63:NR63)</f>
      </c>
      <c r="NT63" s="121"/>
      <c r="NU63" s="122"/>
      <c r="NV63" s="123"/>
      <c r="NW63" s="124"/>
      <c r="NX63" s="124"/>
      <c r="NY63" s="124"/>
      <c r="NZ63" s="124"/>
      <c r="OA63" s="124"/>
      <c r="OB63" s="124"/>
      <c r="OC63" s="125"/>
      <c r="OD63" s="126"/>
      <c r="OE63" s="124"/>
      <c r="OF63" s="124"/>
      <c r="OG63" s="127"/>
      <c r="OH63" s="123"/>
      <c r="OI63" s="124"/>
      <c r="OJ63" s="124"/>
      <c r="OK63" s="124"/>
      <c r="OL63" s="124"/>
      <c r="OM63" s="124"/>
      <c r="ON63" s="124"/>
      <c r="OO63" s="124"/>
      <c r="OP63" s="124"/>
      <c r="OQ63" s="124"/>
      <c r="OR63" s="124"/>
      <c r="OS63" s="125"/>
      <c r="OT63" s="301"/>
      <c r="OU63" s="151"/>
      <c r="OV63" s="131">
        <f>SUM(NT63:OU63)</f>
      </c>
      <c r="OW63" s="150">
        <f>ID63+JG63+KJ63+LM63+MP63+NS63+OV63</f>
      </c>
      <c r="OX63" s="302">
        <f>(COUNTIF(HB63:OV63,"H")+COUNTIF(HB63:OV63,"S")+COUNTIF(HB63:OV63,"L")+COUNTIF(HB63:OV63,"E")+COUNTIF(HB63:OV63,"C"))/2</f>
      </c>
      <c r="OY63" s="131">
        <f>OW63+OX63</f>
      </c>
      <c r="OZ63" s="374"/>
      <c r="PA63" s="375"/>
      <c r="PB63" s="405">
        <v>0.5</v>
      </c>
      <c r="PC63" s="17">
        <v>0.5</v>
      </c>
      <c r="PD63" s="17">
        <v>0.5</v>
      </c>
      <c r="PE63" s="17">
        <v>0.5</v>
      </c>
      <c r="PF63" s="17">
        <v>0.5</v>
      </c>
      <c r="PG63" s="17">
        <v>0.5</v>
      </c>
      <c r="PH63" s="17">
        <v>0.5</v>
      </c>
      <c r="PI63" s="406">
        <v>0.5</v>
      </c>
      <c r="PJ63" s="412"/>
      <c r="PK63" s="19"/>
      <c r="PL63" s="17">
        <v>0.5</v>
      </c>
      <c r="PM63" s="415">
        <v>0.5</v>
      </c>
      <c r="PN63" s="405">
        <v>0.5</v>
      </c>
      <c r="PO63" s="17">
        <v>0.5</v>
      </c>
      <c r="PP63" s="17">
        <v>0.5</v>
      </c>
      <c r="PQ63" s="17">
        <v>0.5</v>
      </c>
      <c r="PR63" s="17">
        <v>0.5</v>
      </c>
      <c r="PS63" s="17">
        <v>0.5</v>
      </c>
      <c r="PT63" s="19"/>
      <c r="PU63" s="19"/>
      <c r="PV63" s="19"/>
      <c r="PW63" s="19"/>
      <c r="PX63" s="19"/>
      <c r="PY63" s="414"/>
      <c r="PZ63" s="407"/>
      <c r="QA63" s="408"/>
      <c r="QB63" s="131">
        <f>SUM(OZ63:QA63)</f>
      </c>
      <c r="QC63" s="374"/>
      <c r="QD63" s="375"/>
      <c r="QE63" s="405">
        <v>0.5</v>
      </c>
      <c r="QF63" s="17">
        <v>0.5</v>
      </c>
      <c r="QG63" s="17">
        <v>0.5</v>
      </c>
      <c r="QH63" s="17">
        <v>0.5</v>
      </c>
      <c r="QI63" s="17">
        <v>0.5</v>
      </c>
      <c r="QJ63" s="17">
        <v>0.5</v>
      </c>
      <c r="QK63" s="17">
        <v>0.5</v>
      </c>
      <c r="QL63" s="406">
        <v>0.5</v>
      </c>
      <c r="QM63" s="412"/>
      <c r="QN63" s="19"/>
      <c r="QO63" s="17">
        <v>0.5</v>
      </c>
      <c r="QP63" s="415">
        <v>0.5</v>
      </c>
      <c r="QQ63" s="405">
        <v>0.5</v>
      </c>
      <c r="QR63" s="17">
        <v>0.5</v>
      </c>
      <c r="QS63" s="17">
        <v>0.5</v>
      </c>
      <c r="QT63" s="17">
        <v>0.5</v>
      </c>
      <c r="QU63" s="17">
        <v>0.5</v>
      </c>
      <c r="QV63" s="17">
        <v>0.5</v>
      </c>
      <c r="QW63" s="19"/>
      <c r="QX63" s="19"/>
      <c r="QY63" s="19"/>
      <c r="QZ63" s="19"/>
      <c r="RA63" s="19"/>
      <c r="RB63" s="414"/>
      <c r="RC63" s="407"/>
      <c r="RD63" s="408"/>
      <c r="RE63" s="131">
        <f>SUM(QC63:RD63)</f>
      </c>
      <c r="RF63" s="374"/>
      <c r="RG63" s="375"/>
      <c r="RH63" s="405">
        <v>0.5</v>
      </c>
      <c r="RI63" s="17">
        <v>0.5</v>
      </c>
      <c r="RJ63" s="17">
        <v>0.5</v>
      </c>
      <c r="RK63" s="17">
        <v>0.5</v>
      </c>
      <c r="RL63" s="17">
        <v>0.5</v>
      </c>
      <c r="RM63" s="17">
        <v>0.5</v>
      </c>
      <c r="RN63" s="17">
        <v>0.5</v>
      </c>
      <c r="RO63" s="406">
        <v>0.5</v>
      </c>
      <c r="RP63" s="412"/>
      <c r="RQ63" s="19"/>
      <c r="RR63" s="17">
        <v>0.5</v>
      </c>
      <c r="RS63" s="415">
        <v>0.5</v>
      </c>
      <c r="RT63" s="405">
        <v>0.5</v>
      </c>
      <c r="RU63" s="17">
        <v>0.5</v>
      </c>
      <c r="RV63" s="17">
        <v>0.5</v>
      </c>
      <c r="RW63" s="17">
        <v>0.5</v>
      </c>
      <c r="RX63" s="17">
        <v>0.5</v>
      </c>
      <c r="RY63" s="17">
        <v>0.5</v>
      </c>
      <c r="RZ63" s="19"/>
      <c r="SA63" s="19"/>
      <c r="SB63" s="19"/>
      <c r="SC63" s="19"/>
      <c r="SD63" s="19"/>
      <c r="SE63" s="414"/>
      <c r="SF63" s="407"/>
      <c r="SG63" s="408"/>
      <c r="SH63" s="131">
        <f>SUM(RF63:SG63)</f>
      </c>
      <c r="SI63" s="374"/>
      <c r="SJ63" s="375"/>
      <c r="SK63" s="405">
        <v>0.5</v>
      </c>
      <c r="SL63" s="17">
        <v>0.5</v>
      </c>
      <c r="SM63" s="17">
        <v>0.5</v>
      </c>
      <c r="SN63" s="17">
        <v>0.5</v>
      </c>
      <c r="SO63" s="17">
        <v>0.5</v>
      </c>
      <c r="SP63" s="17">
        <v>0.5</v>
      </c>
      <c r="SQ63" s="17">
        <v>0.5</v>
      </c>
      <c r="SR63" s="406">
        <v>0.5</v>
      </c>
      <c r="SS63" s="412"/>
      <c r="ST63" s="19"/>
      <c r="SU63" s="17">
        <v>0.5</v>
      </c>
      <c r="SV63" s="415">
        <v>0.5</v>
      </c>
      <c r="SW63" s="405">
        <v>0.5</v>
      </c>
      <c r="SX63" s="17">
        <v>0.5</v>
      </c>
      <c r="SY63" s="17">
        <v>0.5</v>
      </c>
      <c r="SZ63" s="17">
        <v>0.5</v>
      </c>
      <c r="TA63" s="17">
        <v>0.5</v>
      </c>
      <c r="TB63" s="17">
        <v>0.5</v>
      </c>
      <c r="TC63" s="19"/>
      <c r="TD63" s="19"/>
      <c r="TE63" s="19"/>
      <c r="TF63" s="19"/>
      <c r="TG63" s="19"/>
      <c r="TH63" s="414"/>
      <c r="TI63" s="407"/>
      <c r="TJ63" s="408"/>
      <c r="TK63" s="131">
        <f>SUM(SI63:TJ63)</f>
      </c>
      <c r="TL63" s="374"/>
      <c r="TM63" s="375"/>
      <c r="TN63" s="405">
        <v>0.5</v>
      </c>
      <c r="TO63" s="17">
        <v>0.5</v>
      </c>
      <c r="TP63" s="17">
        <v>0.5</v>
      </c>
      <c r="TQ63" s="17">
        <v>0.5</v>
      </c>
      <c r="TR63" s="17">
        <v>0.5</v>
      </c>
      <c r="TS63" s="17">
        <v>0.5</v>
      </c>
      <c r="TT63" s="17">
        <v>0.5</v>
      </c>
      <c r="TU63" s="406">
        <v>0.5</v>
      </c>
      <c r="TV63" s="412"/>
      <c r="TW63" s="19"/>
      <c r="TX63" s="17">
        <v>0.5</v>
      </c>
      <c r="TY63" s="415">
        <v>0.5</v>
      </c>
      <c r="TZ63" s="405">
        <v>0.5</v>
      </c>
      <c r="UA63" s="17">
        <v>0.5</v>
      </c>
      <c r="UB63" s="17">
        <v>0.5</v>
      </c>
      <c r="UC63" s="17">
        <v>0.5</v>
      </c>
      <c r="UD63" s="17">
        <v>0.5</v>
      </c>
      <c r="UE63" s="17">
        <v>0.5</v>
      </c>
      <c r="UF63" s="19"/>
      <c r="UG63" s="19"/>
      <c r="UH63" s="19"/>
      <c r="UI63" s="19"/>
      <c r="UJ63" s="19"/>
      <c r="UK63" s="414"/>
      <c r="UL63" s="407"/>
      <c r="UM63" s="408"/>
      <c r="UN63" s="131">
        <f>SUM(TL63:UM63)</f>
      </c>
      <c r="UO63" s="121"/>
      <c r="UP63" s="122"/>
      <c r="UQ63" s="123"/>
      <c r="UR63" s="124"/>
      <c r="US63" s="124"/>
      <c r="UT63" s="124"/>
      <c r="UU63" s="124"/>
      <c r="UV63" s="124"/>
      <c r="UW63" s="124"/>
      <c r="UX63" s="125"/>
      <c r="UY63" s="126"/>
      <c r="UZ63" s="124"/>
      <c r="VA63" s="124"/>
      <c r="VB63" s="127"/>
      <c r="VC63" s="123"/>
      <c r="VD63" s="124"/>
      <c r="VE63" s="124"/>
      <c r="VF63" s="124"/>
      <c r="VG63" s="124"/>
      <c r="VH63" s="124"/>
      <c r="VI63" s="124"/>
      <c r="VJ63" s="124"/>
      <c r="VK63" s="124"/>
      <c r="VL63" s="124"/>
      <c r="VM63" s="124"/>
      <c r="VN63" s="125"/>
      <c r="VO63" s="301"/>
      <c r="VP63" s="151"/>
      <c r="VQ63" s="131">
        <f>SUM(UO63:VP63)</f>
      </c>
      <c r="VR63" s="121"/>
      <c r="VS63" s="122"/>
      <c r="VT63" s="123"/>
      <c r="VU63" s="124"/>
      <c r="VV63" s="124"/>
      <c r="VW63" s="124"/>
      <c r="VX63" s="124"/>
      <c r="VY63" s="124"/>
      <c r="VZ63" s="124"/>
      <c r="WA63" s="125"/>
      <c r="WB63" s="126"/>
      <c r="WC63" s="124"/>
      <c r="WD63" s="124"/>
      <c r="WE63" s="127"/>
      <c r="WF63" s="123"/>
      <c r="WG63" s="124"/>
      <c r="WH63" s="124"/>
      <c r="WI63" s="124"/>
      <c r="WJ63" s="124"/>
      <c r="WK63" s="124"/>
      <c r="WL63" s="124"/>
      <c r="WM63" s="124"/>
      <c r="WN63" s="124"/>
      <c r="WO63" s="124"/>
      <c r="WP63" s="124"/>
      <c r="WQ63" s="125"/>
      <c r="WR63" s="301"/>
      <c r="WS63" s="151"/>
      <c r="WT63" s="131">
        <f>SUM(VR63:WS63)</f>
      </c>
      <c r="WU63" s="150">
        <f>QB63+RE63+SH63+TK63+UN63+VQ63+WT63</f>
      </c>
      <c r="WV63" s="302">
        <f>(COUNTIF(OZ63:WT63,"H")+COUNTIF(OZ63:WT63,"S")+COUNTIF(OZ63:WT63,"L")+COUNTIF(OZ63:WT63,"E")+COUNTIF(OZ63:WT63,"C"))/2</f>
      </c>
      <c r="WW63" s="131">
        <f>WU63+WV63</f>
      </c>
      <c r="WX63" s="374"/>
      <c r="WY63" s="375"/>
      <c r="WZ63" s="339">
        <v>0.5</v>
      </c>
      <c r="XA63" s="143">
        <v>0.5</v>
      </c>
      <c r="XB63" s="143">
        <v>0.5</v>
      </c>
      <c r="XC63" s="143">
        <v>0.5</v>
      </c>
      <c r="XD63" s="143">
        <v>0.5</v>
      </c>
      <c r="XE63" s="143">
        <v>0.5</v>
      </c>
      <c r="XF63" s="143">
        <v>0.5</v>
      </c>
      <c r="XG63" s="154">
        <v>0.5</v>
      </c>
      <c r="XH63" s="412"/>
      <c r="XI63" s="19"/>
      <c r="XJ63" s="143">
        <v>0.5</v>
      </c>
      <c r="XK63" s="340">
        <v>0.5</v>
      </c>
      <c r="XL63" s="339">
        <v>0.5</v>
      </c>
      <c r="XM63" s="143">
        <v>0.5</v>
      </c>
      <c r="XN63" s="143">
        <v>0.5</v>
      </c>
      <c r="XO63" s="143">
        <v>0.5</v>
      </c>
      <c r="XP63" s="143">
        <v>0.5</v>
      </c>
      <c r="XQ63" s="143">
        <v>0.5</v>
      </c>
      <c r="XR63" s="19"/>
      <c r="XS63" s="19"/>
      <c r="XT63" s="19"/>
      <c r="XU63" s="19"/>
      <c r="XV63" s="19"/>
      <c r="XW63" s="414"/>
      <c r="XX63" s="407"/>
      <c r="XY63" s="408"/>
      <c r="XZ63" s="131">
        <f>SUM(WX63:XY63)</f>
      </c>
      <c r="YA63" s="374"/>
      <c r="YB63" s="375"/>
      <c r="YC63" s="339">
        <v>0.5</v>
      </c>
      <c r="YD63" s="143">
        <v>0.5</v>
      </c>
      <c r="YE63" s="143">
        <v>0.5</v>
      </c>
      <c r="YF63" s="143">
        <v>0.5</v>
      </c>
      <c r="YG63" s="143">
        <v>0.5</v>
      </c>
      <c r="YH63" s="143">
        <v>0.5</v>
      </c>
      <c r="YI63" s="143">
        <v>0.5</v>
      </c>
      <c r="YJ63" s="154">
        <v>0.5</v>
      </c>
      <c r="YK63" s="412"/>
      <c r="YL63" s="19"/>
      <c r="YM63" s="143">
        <v>0.5</v>
      </c>
      <c r="YN63" s="340">
        <v>0.5</v>
      </c>
      <c r="YO63" s="339">
        <v>0.5</v>
      </c>
      <c r="YP63" s="143">
        <v>0.5</v>
      </c>
      <c r="YQ63" s="143">
        <v>0.5</v>
      </c>
      <c r="YR63" s="143">
        <v>0.5</v>
      </c>
      <c r="YS63" s="143">
        <v>0.5</v>
      </c>
      <c r="YT63" s="143">
        <v>0.5</v>
      </c>
      <c r="YU63" s="19"/>
      <c r="YV63" s="19"/>
      <c r="YW63" s="19"/>
      <c r="YX63" s="19"/>
      <c r="YY63" s="19"/>
      <c r="YZ63" s="414"/>
      <c r="ZA63" s="407"/>
      <c r="ZB63" s="408"/>
      <c r="ZC63" s="131">
        <f>SUM(YA63:ZB63)</f>
      </c>
      <c r="ZD63" s="374"/>
      <c r="ZE63" s="375"/>
      <c r="ZF63" s="339">
        <v>0.5</v>
      </c>
      <c r="ZG63" s="143">
        <v>0.5</v>
      </c>
      <c r="ZH63" s="143">
        <v>0.5</v>
      </c>
      <c r="ZI63" s="143">
        <v>0.5</v>
      </c>
      <c r="ZJ63" s="143">
        <v>0.5</v>
      </c>
      <c r="ZK63" s="143">
        <v>0.5</v>
      </c>
      <c r="ZL63" s="143">
        <v>0.5</v>
      </c>
      <c r="ZM63" s="154">
        <v>0.5</v>
      </c>
      <c r="ZN63" s="412"/>
      <c r="ZO63" s="19"/>
      <c r="ZP63" s="143">
        <v>0.5</v>
      </c>
      <c r="ZQ63" s="340">
        <v>0.5</v>
      </c>
      <c r="ZR63" s="339">
        <v>0.5</v>
      </c>
      <c r="ZS63" s="143">
        <v>0.5</v>
      </c>
      <c r="ZT63" s="143">
        <v>0.5</v>
      </c>
      <c r="ZU63" s="143">
        <v>0.5</v>
      </c>
      <c r="ZV63" s="143">
        <v>0.5</v>
      </c>
      <c r="ZW63" s="143">
        <v>0.5</v>
      </c>
      <c r="ZX63" s="19"/>
      <c r="ZY63" s="19"/>
      <c r="ZZ63" s="19"/>
      <c r="AAA63" s="19"/>
      <c r="AAB63" s="19"/>
      <c r="AAC63" s="414"/>
      <c r="AAD63" s="407"/>
      <c r="AAE63" s="408"/>
      <c r="AAF63" s="131">
        <f>SUM(ZD63:AAE63)</f>
      </c>
      <c r="AAG63" s="374"/>
      <c r="AAH63" s="375"/>
      <c r="AAI63" s="339">
        <v>0.5</v>
      </c>
      <c r="AAJ63" s="143">
        <v>0.5</v>
      </c>
      <c r="AAK63" s="143">
        <v>0.5</v>
      </c>
      <c r="AAL63" s="143">
        <v>0.5</v>
      </c>
      <c r="AAM63" s="143">
        <v>0.5</v>
      </c>
      <c r="AAN63" s="143">
        <v>0.5</v>
      </c>
      <c r="AAO63" s="143">
        <v>0.5</v>
      </c>
      <c r="AAP63" s="154">
        <v>0.5</v>
      </c>
      <c r="AAQ63" s="412"/>
      <c r="AAR63" s="19"/>
      <c r="AAS63" s="143">
        <v>0.5</v>
      </c>
      <c r="AAT63" s="340">
        <v>0.5</v>
      </c>
      <c r="AAU63" s="339">
        <v>0.5</v>
      </c>
      <c r="AAV63" s="143">
        <v>0.5</v>
      </c>
      <c r="AAW63" s="143">
        <v>0.5</v>
      </c>
      <c r="AAX63" s="143">
        <v>0.5</v>
      </c>
      <c r="AAY63" s="143">
        <v>0.5</v>
      </c>
      <c r="AAZ63" s="143">
        <v>0.5</v>
      </c>
      <c r="ABA63" s="19"/>
      <c r="ABB63" s="19"/>
      <c r="ABC63" s="19"/>
      <c r="ABD63" s="19"/>
      <c r="ABE63" s="19"/>
      <c r="ABF63" s="414"/>
      <c r="ABG63" s="407"/>
      <c r="ABH63" s="408"/>
      <c r="ABI63" s="131">
        <f>SUM(AAG63:ABH63)</f>
      </c>
      <c r="ABJ63" s="374"/>
      <c r="ABK63" s="375"/>
      <c r="ABL63" s="339">
        <v>0.5</v>
      </c>
      <c r="ABM63" s="143">
        <v>0.5</v>
      </c>
      <c r="ABN63" s="143">
        <v>0.5</v>
      </c>
      <c r="ABO63" s="143">
        <v>0.5</v>
      </c>
      <c r="ABP63" s="143">
        <v>0.5</v>
      </c>
      <c r="ABQ63" s="143">
        <v>0.5</v>
      </c>
      <c r="ABR63" s="143">
        <v>0.5</v>
      </c>
      <c r="ABS63" s="154">
        <v>0.5</v>
      </c>
      <c r="ABT63" s="412"/>
      <c r="ABU63" s="19"/>
      <c r="ABV63" s="143">
        <v>0.5</v>
      </c>
      <c r="ABW63" s="340">
        <v>0.5</v>
      </c>
      <c r="ABX63" s="339">
        <v>0.5</v>
      </c>
      <c r="ABY63" s="143">
        <v>0.5</v>
      </c>
      <c r="ABZ63" s="143">
        <v>0.5</v>
      </c>
      <c r="ACA63" s="143">
        <v>0.5</v>
      </c>
      <c r="ACB63" s="143">
        <v>0.5</v>
      </c>
      <c r="ACC63" s="143">
        <v>0.5</v>
      </c>
      <c r="ACD63" s="19"/>
      <c r="ACE63" s="19"/>
      <c r="ACF63" s="19"/>
      <c r="ACG63" s="19"/>
      <c r="ACH63" s="19"/>
      <c r="ACI63" s="414"/>
      <c r="ACJ63" s="407"/>
      <c r="ACK63" s="408"/>
      <c r="ACL63" s="131">
        <f>SUM(ABJ63:ACK63)</f>
      </c>
      <c r="ACM63" s="121"/>
      <c r="ACN63" s="122"/>
      <c r="ACO63" s="123"/>
      <c r="ACP63" s="124"/>
      <c r="ACQ63" s="124"/>
      <c r="ACR63" s="124"/>
      <c r="ACS63" s="124"/>
      <c r="ACT63" s="124"/>
      <c r="ACU63" s="124"/>
      <c r="ACV63" s="125"/>
      <c r="ACW63" s="126"/>
      <c r="ACX63" s="124"/>
      <c r="ACY63" s="124"/>
      <c r="ACZ63" s="127"/>
      <c r="ADA63" s="123"/>
      <c r="ADB63" s="124"/>
      <c r="ADC63" s="124"/>
      <c r="ADD63" s="124"/>
      <c r="ADE63" s="124"/>
      <c r="ADF63" s="124"/>
      <c r="ADG63" s="124"/>
      <c r="ADH63" s="124"/>
      <c r="ADI63" s="124"/>
      <c r="ADJ63" s="124"/>
      <c r="ADK63" s="124"/>
      <c r="ADL63" s="125"/>
      <c r="ADM63" s="301"/>
      <c r="ADN63" s="151"/>
      <c r="ADO63" s="131">
        <f>SUM(ACM63:ADN63)</f>
      </c>
      <c r="ADP63" s="121"/>
      <c r="ADQ63" s="122"/>
      <c r="ADR63" s="123"/>
      <c r="ADS63" s="124"/>
      <c r="ADT63" s="124"/>
      <c r="ADU63" s="124"/>
      <c r="ADV63" s="124"/>
      <c r="ADW63" s="124"/>
      <c r="ADX63" s="124"/>
      <c r="ADY63" s="125"/>
      <c r="ADZ63" s="126"/>
      <c r="AEA63" s="124"/>
      <c r="AEB63" s="124"/>
      <c r="AEC63" s="127"/>
      <c r="AED63" s="123"/>
      <c r="AEE63" s="124"/>
      <c r="AEF63" s="124"/>
      <c r="AEG63" s="124"/>
      <c r="AEH63" s="124"/>
      <c r="AEI63" s="124"/>
      <c r="AEJ63" s="124"/>
      <c r="AEK63" s="124"/>
      <c r="AEL63" s="124"/>
      <c r="AEM63" s="124"/>
      <c r="AEN63" s="124"/>
      <c r="AEO63" s="125"/>
      <c r="AEP63" s="301"/>
      <c r="AEQ63" s="151"/>
      <c r="AER63" s="131">
        <f>SUM(ADP63:AEQ63)</f>
      </c>
      <c r="AES63" s="150">
        <f>XZ63+ZC63+AAF63+ABI63+ACL63+ADO63+AER63</f>
      </c>
      <c r="AET63" s="302">
        <f>(COUNTIF(WX63:AER63,"H")+COUNTIF(WX63:AER63,"S")+COUNTIF(WX63:AER63,"L")+COUNTIF(WX63:AER63,"E")+COUNTIF(WX63:AER63,"C"))/2</f>
      </c>
      <c r="AEU63" s="131">
        <f>AES63+AET63</f>
      </c>
      <c r="AEV63" s="374"/>
      <c r="AEW63" s="375"/>
      <c r="AEX63" s="339">
        <v>0.5</v>
      </c>
      <c r="AEY63" s="143">
        <v>0.5</v>
      </c>
      <c r="AEZ63" s="143">
        <v>0.5</v>
      </c>
      <c r="AFA63" s="143">
        <v>0.5</v>
      </c>
      <c r="AFB63" s="143">
        <v>0.5</v>
      </c>
      <c r="AFC63" s="143">
        <v>0.5</v>
      </c>
      <c r="AFD63" s="143">
        <v>0.5</v>
      </c>
      <c r="AFE63" s="154">
        <v>0.5</v>
      </c>
      <c r="AFF63" s="412"/>
      <c r="AFG63" s="19"/>
      <c r="AFH63" s="143">
        <v>0.5</v>
      </c>
      <c r="AFI63" s="340">
        <v>0.5</v>
      </c>
      <c r="AFJ63" s="339">
        <v>0.5</v>
      </c>
      <c r="AFK63" s="143">
        <v>0.5</v>
      </c>
      <c r="AFL63" s="143">
        <v>0.5</v>
      </c>
      <c r="AFM63" s="143">
        <v>0.5</v>
      </c>
      <c r="AFN63" s="143">
        <v>0.5</v>
      </c>
      <c r="AFO63" s="143">
        <v>0.5</v>
      </c>
      <c r="AFP63" s="19"/>
      <c r="AFQ63" s="19"/>
      <c r="AFR63" s="19"/>
      <c r="AFS63" s="19"/>
      <c r="AFT63" s="19"/>
      <c r="AFU63" s="414"/>
      <c r="AFV63" s="407"/>
      <c r="AFW63" s="408"/>
      <c r="AFX63" s="131">
        <f>SUM(AEV63:AFW63)</f>
      </c>
      <c r="AFY63" s="374"/>
      <c r="AFZ63" s="375"/>
      <c r="AGA63" s="339">
        <v>0.5</v>
      </c>
      <c r="AGB63" s="143">
        <v>0.5</v>
      </c>
      <c r="AGC63" s="143">
        <v>0.5</v>
      </c>
      <c r="AGD63" s="143">
        <v>0.5</v>
      </c>
      <c r="AGE63" s="143">
        <v>0.5</v>
      </c>
      <c r="AGF63" s="143">
        <v>0.5</v>
      </c>
      <c r="AGG63" s="143">
        <v>0.5</v>
      </c>
      <c r="AGH63" s="154">
        <v>0.5</v>
      </c>
      <c r="AGI63" s="412"/>
      <c r="AGJ63" s="19"/>
      <c r="AGK63" s="143">
        <v>0.5</v>
      </c>
      <c r="AGL63" s="340">
        <v>0.5</v>
      </c>
      <c r="AGM63" s="339">
        <v>0.5</v>
      </c>
      <c r="AGN63" s="143">
        <v>0.5</v>
      </c>
      <c r="AGO63" s="143">
        <v>0.5</v>
      </c>
      <c r="AGP63" s="143">
        <v>0.5</v>
      </c>
      <c r="AGQ63" s="143">
        <v>0.5</v>
      </c>
      <c r="AGR63" s="143">
        <v>0.5</v>
      </c>
      <c r="AGS63" s="19"/>
      <c r="AGT63" s="19"/>
      <c r="AGU63" s="19"/>
      <c r="AGV63" s="19"/>
      <c r="AGW63" s="19"/>
      <c r="AGX63" s="414"/>
      <c r="AGY63" s="407"/>
      <c r="AGZ63" s="408"/>
      <c r="AHA63" s="131">
        <f>SUM(AFY63:AGZ63)</f>
      </c>
      <c r="AHB63" s="374"/>
      <c r="AHC63" s="375"/>
      <c r="AHD63" s="339">
        <v>0.5</v>
      </c>
      <c r="AHE63" s="143">
        <v>0.5</v>
      </c>
      <c r="AHF63" s="143">
        <v>0.5</v>
      </c>
      <c r="AHG63" s="143">
        <v>0.5</v>
      </c>
      <c r="AHH63" s="143">
        <v>0.5</v>
      </c>
      <c r="AHI63" s="143">
        <v>0.5</v>
      </c>
      <c r="AHJ63" s="143">
        <v>0.5</v>
      </c>
      <c r="AHK63" s="154">
        <v>0.5</v>
      </c>
      <c r="AHL63" s="412"/>
      <c r="AHM63" s="19"/>
      <c r="AHN63" s="143">
        <v>0.5</v>
      </c>
      <c r="AHO63" s="340">
        <v>0.5</v>
      </c>
      <c r="AHP63" s="339">
        <v>0.5</v>
      </c>
      <c r="AHQ63" s="143">
        <v>0.5</v>
      </c>
      <c r="AHR63" s="143">
        <v>0.5</v>
      </c>
      <c r="AHS63" s="143">
        <v>0.5</v>
      </c>
      <c r="AHT63" s="143">
        <v>0.5</v>
      </c>
      <c r="AHU63" s="143">
        <v>0.5</v>
      </c>
      <c r="AHV63" s="19"/>
      <c r="AHW63" s="19"/>
      <c r="AHX63" s="19"/>
      <c r="AHY63" s="19"/>
      <c r="AHZ63" s="19"/>
      <c r="AIA63" s="414"/>
      <c r="AIB63" s="407"/>
      <c r="AIC63" s="408"/>
      <c r="AID63" s="131">
        <f>SUM(AHB63:AIC63)</f>
      </c>
      <c r="AIE63" s="374"/>
      <c r="AIF63" s="375"/>
      <c r="AIG63" s="339">
        <v>0.5</v>
      </c>
      <c r="AIH63" s="143">
        <v>0.5</v>
      </c>
      <c r="AII63" s="143">
        <v>0.5</v>
      </c>
      <c r="AIJ63" s="143">
        <v>0.5</v>
      </c>
      <c r="AIK63" s="143">
        <v>0.5</v>
      </c>
      <c r="AIL63" s="143">
        <v>0.5</v>
      </c>
      <c r="AIM63" s="143">
        <v>0.5</v>
      </c>
      <c r="AIN63" s="154">
        <v>0.5</v>
      </c>
      <c r="AIO63" s="412"/>
      <c r="AIP63" s="19"/>
      <c r="AIQ63" s="143">
        <v>0.5</v>
      </c>
      <c r="AIR63" s="340">
        <v>0.5</v>
      </c>
      <c r="AIS63" s="339">
        <v>0.5</v>
      </c>
      <c r="AIT63" s="143">
        <v>0.5</v>
      </c>
      <c r="AIU63" s="143">
        <v>0.5</v>
      </c>
      <c r="AIV63" s="143">
        <v>0.5</v>
      </c>
      <c r="AIW63" s="143">
        <v>0.5</v>
      </c>
      <c r="AIX63" s="143">
        <v>0.5</v>
      </c>
      <c r="AIY63" s="19"/>
      <c r="AIZ63" s="19"/>
      <c r="AJA63" s="19"/>
      <c r="AJB63" s="19"/>
      <c r="AJC63" s="19"/>
      <c r="AJD63" s="414"/>
      <c r="AJE63" s="407"/>
      <c r="AJF63" s="408"/>
      <c r="AJG63" s="131">
        <f>SUM(AIE63:AJF63)</f>
      </c>
      <c r="AJH63" s="374"/>
      <c r="AJI63" s="375"/>
      <c r="AJJ63" s="339">
        <v>0.5</v>
      </c>
      <c r="AJK63" s="143">
        <v>0.5</v>
      </c>
      <c r="AJL63" s="143">
        <v>0.5</v>
      </c>
      <c r="AJM63" s="143">
        <v>0.5</v>
      </c>
      <c r="AJN63" s="143">
        <v>0.5</v>
      </c>
      <c r="AJO63" s="143">
        <v>0.5</v>
      </c>
      <c r="AJP63" s="143">
        <v>0.5</v>
      </c>
      <c r="AJQ63" s="154">
        <v>0.5</v>
      </c>
      <c r="AJR63" s="412"/>
      <c r="AJS63" s="19"/>
      <c r="AJT63" s="143">
        <v>0.5</v>
      </c>
      <c r="AJU63" s="340">
        <v>0.5</v>
      </c>
      <c r="AJV63" s="339">
        <v>0.5</v>
      </c>
      <c r="AJW63" s="143">
        <v>0.5</v>
      </c>
      <c r="AJX63" s="143">
        <v>0.5</v>
      </c>
      <c r="AJY63" s="143">
        <v>0.5</v>
      </c>
      <c r="AJZ63" s="143">
        <v>0.5</v>
      </c>
      <c r="AKA63" s="143">
        <v>0.5</v>
      </c>
      <c r="AKB63" s="19"/>
      <c r="AKC63" s="19"/>
      <c r="AKD63" s="19"/>
      <c r="AKE63" s="19"/>
      <c r="AKF63" s="19"/>
      <c r="AKG63" s="414"/>
      <c r="AKH63" s="407"/>
      <c r="AKI63" s="408"/>
      <c r="AKJ63" s="131">
        <f>SUM(AJH63:AKI63)</f>
      </c>
      <c r="AKK63" s="121"/>
      <c r="AKL63" s="122"/>
      <c r="AKM63" s="123"/>
      <c r="AKN63" s="124"/>
      <c r="AKO63" s="124"/>
      <c r="AKP63" s="124"/>
      <c r="AKQ63" s="124"/>
      <c r="AKR63" s="124"/>
      <c r="AKS63" s="124"/>
      <c r="AKT63" s="125"/>
      <c r="AKU63" s="126"/>
      <c r="AKV63" s="124"/>
      <c r="AKW63" s="124"/>
      <c r="AKX63" s="127"/>
      <c r="AKY63" s="123"/>
      <c r="AKZ63" s="124"/>
      <c r="ALA63" s="124"/>
      <c r="ALB63" s="124"/>
      <c r="ALC63" s="124"/>
      <c r="ALD63" s="124"/>
      <c r="ALE63" s="124"/>
      <c r="ALF63" s="124"/>
      <c r="ALG63" s="124"/>
      <c r="ALH63" s="124"/>
      <c r="ALI63" s="124"/>
      <c r="ALJ63" s="125"/>
      <c r="ALK63" s="301"/>
      <c r="ALL63" s="151"/>
      <c r="ALM63" s="131">
        <f>SUM(AKK63:ALL63)</f>
      </c>
      <c r="ALN63" s="121"/>
      <c r="ALO63" s="122"/>
      <c r="ALP63" s="123"/>
      <c r="ALQ63" s="124"/>
      <c r="ALR63" s="124"/>
      <c r="ALS63" s="124"/>
      <c r="ALT63" s="124"/>
      <c r="ALU63" s="124"/>
      <c r="ALV63" s="124"/>
      <c r="ALW63" s="125"/>
      <c r="ALX63" s="126"/>
      <c r="ALY63" s="124"/>
      <c r="ALZ63" s="124"/>
      <c r="AMA63" s="127"/>
      <c r="AMB63" s="123"/>
      <c r="AMC63" s="124"/>
      <c r="AMD63" s="124"/>
      <c r="AME63" s="124"/>
      <c r="AMF63" s="124"/>
      <c r="AMG63" s="124"/>
      <c r="AMH63" s="124"/>
      <c r="AMI63" s="124"/>
      <c r="AMJ63" s="124"/>
      <c r="AMK63" s="124"/>
      <c r="AML63" s="124"/>
      <c r="AMM63" s="125"/>
      <c r="AMN63" s="301"/>
      <c r="AMO63" s="151"/>
      <c r="AMP63" s="131">
        <f>SUM(ALN63:AMO63)</f>
      </c>
      <c r="AMQ63" s="150">
        <f>AFX63+AHA63+AID63+AJG63+AKJ63+ALM63+AMP63</f>
      </c>
      <c r="AMR63" s="302">
        <f>(COUNTIF(AEV63:AMP63,"H")+COUNTIF(AEV63:AMP63,"S")+COUNTIF(AEV63:AMP63,"L")+COUNTIF(AEV63:AMP63,"E")+COUNTIF(AEV63:AMP63,"C"))/2</f>
      </c>
      <c r="AMS63" s="131">
        <f>AMQ63+AMR63</f>
      </c>
      <c r="AMT63" s="4"/>
      <c r="AMU63" s="4"/>
      <c r="AMV63" s="4"/>
      <c r="AMW63" s="4"/>
      <c r="AMX63" s="4"/>
      <c r="AMY63" s="4"/>
      <c r="AMZ63" s="4"/>
      <c r="ANA63" s="4"/>
      <c r="ANB63" s="4"/>
      <c r="ANC63" s="4"/>
      <c r="AND63" s="4"/>
      <c r="ANE63" s="4"/>
      <c r="ANF63" s="4"/>
      <c r="ANG63" s="4"/>
      <c r="ANH63" s="4"/>
      <c r="ANI63" s="4"/>
      <c r="ANJ63" s="13"/>
      <c r="ANK63" s="13"/>
      <c r="ANL63" s="4"/>
      <c r="ANM63" s="4"/>
      <c r="ANN63" s="4"/>
      <c r="ANO63" s="4"/>
      <c r="ANP63" s="4"/>
      <c r="ANQ63" s="4"/>
      <c r="ANR63" s="4"/>
      <c r="ANS63" s="4"/>
      <c r="ANT63" s="4"/>
      <c r="ANU63" s="4"/>
      <c r="ANV63" s="4"/>
      <c r="ANW63" s="4"/>
      <c r="ANX63" s="4"/>
      <c r="ANY63" s="4"/>
      <c r="ANZ63" s="4"/>
      <c r="AOA63" s="4"/>
      <c r="AOB63" s="4"/>
      <c r="AOC63" s="4"/>
      <c r="AOD63" s="4"/>
      <c r="AOE63" s="4"/>
      <c r="AOF63" s="4"/>
      <c r="AOG63" s="4"/>
      <c r="AOH63" s="4"/>
      <c r="AOI63" s="4"/>
      <c r="AOJ63" s="4"/>
      <c r="AOK63" s="4"/>
      <c r="AOL63" s="4"/>
      <c r="AOM63" s="4"/>
      <c r="AON63" s="4"/>
      <c r="AOO63" s="4"/>
      <c r="AOP63" s="4"/>
      <c r="AOQ63" s="4"/>
      <c r="AOR63" s="4"/>
      <c r="AOS63" s="4"/>
      <c r="AOT63" s="4"/>
      <c r="AOU63" s="4"/>
      <c r="AOV63" s="4"/>
      <c r="AOW63" s="4"/>
      <c r="AOX63" s="4"/>
      <c r="AOY63" s="4"/>
      <c r="AOZ63" s="4"/>
      <c r="APA63" s="4"/>
      <c r="APB63" s="4"/>
      <c r="APC63" s="4"/>
      <c r="APD63" s="4"/>
      <c r="APE63" s="4"/>
      <c r="APF63" s="4"/>
      <c r="APG63" s="4"/>
      <c r="APH63" s="4"/>
      <c r="API63" s="4"/>
      <c r="APJ63" s="4"/>
      <c r="APK63" s="4"/>
      <c r="APL63" s="4"/>
      <c r="APM63" s="4"/>
      <c r="APN63" s="4"/>
      <c r="APO63" s="4"/>
      <c r="APP63" s="4"/>
      <c r="APQ63" s="4"/>
      <c r="APR63" s="4"/>
      <c r="APS63" s="4"/>
      <c r="APT63" s="4"/>
      <c r="APU63" s="4"/>
      <c r="APV63" s="4"/>
      <c r="APW63" s="4"/>
      <c r="APX63" s="4"/>
      <c r="APY63" s="4"/>
      <c r="APZ63" s="4"/>
      <c r="AQA63" s="4"/>
      <c r="AQB63" s="4"/>
      <c r="AQC63" s="4"/>
      <c r="AQD63" s="4"/>
      <c r="AQE63" s="4"/>
      <c r="AQF63" s="4"/>
      <c r="AQG63" s="4"/>
      <c r="AQH63" s="4"/>
      <c r="AQI63" s="4"/>
      <c r="AQJ63" s="4"/>
      <c r="AQK63" s="4"/>
      <c r="AQL63" s="4"/>
      <c r="AQM63" s="4"/>
      <c r="AQN63" s="4"/>
      <c r="AQO63" s="4"/>
      <c r="AQP63" s="4"/>
      <c r="AQQ63" s="4"/>
      <c r="AQR63" s="4"/>
      <c r="AQS63" s="4"/>
      <c r="AQT63" s="4"/>
      <c r="AQU63" s="4"/>
      <c r="AQV63" s="4"/>
      <c r="AQW63" s="4"/>
      <c r="AQX63" s="4"/>
      <c r="AQY63" s="4"/>
      <c r="AQZ63" s="4"/>
      <c r="ARA63" s="4"/>
      <c r="ARB63" s="4"/>
      <c r="ARC63" s="4"/>
      <c r="ARD63" s="4"/>
      <c r="ARE63" s="4"/>
      <c r="ARF63" s="4"/>
      <c r="ARG63" s="4"/>
      <c r="ARH63" s="4"/>
      <c r="ARI63" s="4"/>
      <c r="ARJ63" s="4"/>
      <c r="ARK63" s="4"/>
      <c r="ARL63" s="4"/>
      <c r="ARM63" s="4"/>
      <c r="ARN63" s="4"/>
      <c r="ARO63" s="4"/>
      <c r="ARP63" s="4"/>
      <c r="ARQ63" s="4"/>
      <c r="ARR63" s="4"/>
      <c r="ARS63" s="4"/>
      <c r="ART63" s="4"/>
      <c r="ARU63" s="4"/>
      <c r="ARV63" s="4"/>
      <c r="ARW63" s="4"/>
      <c r="ARX63" s="4"/>
      <c r="ARY63" s="4"/>
      <c r="ARZ63" s="4"/>
      <c r="ASA63" s="4"/>
      <c r="ASB63" s="4"/>
      <c r="ASC63" s="4"/>
      <c r="ASD63" s="4"/>
      <c r="ASE63" s="4"/>
      <c r="ASF63" s="4"/>
      <c r="ASG63" s="4"/>
      <c r="ASH63" s="4"/>
      <c r="ASI63" s="4"/>
      <c r="ASJ63" s="4"/>
      <c r="ASK63" s="4"/>
      <c r="ASL63" s="4"/>
      <c r="ASM63" s="4"/>
      <c r="ASN63" s="4"/>
      <c r="ASO63" s="4"/>
      <c r="ASP63" s="4"/>
      <c r="ASQ63" s="4"/>
      <c r="ASR63" s="4"/>
      <c r="ASS63" s="4"/>
      <c r="AST63" s="4"/>
      <c r="ASU63" s="4"/>
    </row>
    <row r="64" ht="15" customHeight="1" spans="1:1191" x14ac:dyDescent="0.25">
      <c r="A64" s="118"/>
      <c r="B64" s="4" t="s">
        <v>102</v>
      </c>
      <c r="C64" s="422" t="s">
        <v>81</v>
      </c>
      <c r="D64" s="121"/>
      <c r="E64" s="122"/>
      <c r="F64" s="123"/>
      <c r="G64" s="124"/>
      <c r="H64" s="124"/>
      <c r="I64" s="124"/>
      <c r="J64" s="124"/>
      <c r="K64" s="124"/>
      <c r="L64" s="124"/>
      <c r="M64" s="125"/>
      <c r="N64" s="126"/>
      <c r="O64" s="124"/>
      <c r="P64" s="124"/>
      <c r="Q64" s="127"/>
      <c r="R64" s="123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5"/>
      <c r="AD64" s="301"/>
      <c r="AE64" s="151"/>
      <c r="AF64" s="131">
        <f>SUM(D64:AE64)</f>
      </c>
      <c r="AG64" s="121"/>
      <c r="AH64" s="122"/>
      <c r="AI64" s="123"/>
      <c r="AJ64" s="124"/>
      <c r="AK64" s="124"/>
      <c r="AL64" s="124"/>
      <c r="AM64" s="124"/>
      <c r="AN64" s="124"/>
      <c r="AO64" s="124"/>
      <c r="AP64" s="125"/>
      <c r="AQ64" s="126"/>
      <c r="AR64" s="124"/>
      <c r="AS64" s="124"/>
      <c r="AT64" s="127"/>
      <c r="AU64" s="123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5"/>
      <c r="BG64" s="301"/>
      <c r="BH64" s="151"/>
      <c r="BI64" s="131">
        <f>SUM(AG64:BH64)</f>
      </c>
      <c r="BJ64" s="121"/>
      <c r="BK64" s="122"/>
      <c r="BL64" s="123"/>
      <c r="BM64" s="124"/>
      <c r="BN64" s="124"/>
      <c r="BO64" s="124"/>
      <c r="BP64" s="124"/>
      <c r="BQ64" s="124"/>
      <c r="BR64" s="124"/>
      <c r="BS64" s="125"/>
      <c r="BT64" s="126"/>
      <c r="BU64" s="124"/>
      <c r="BV64" s="124"/>
      <c r="BW64" s="127"/>
      <c r="BX64" s="123"/>
      <c r="BY64" s="124"/>
      <c r="BZ64" s="124"/>
      <c r="CA64" s="124"/>
      <c r="CB64" s="124"/>
      <c r="CC64" s="124"/>
      <c r="CD64" s="124"/>
      <c r="CE64" s="124"/>
      <c r="CF64" s="124"/>
      <c r="CG64" s="124"/>
      <c r="CH64" s="124"/>
      <c r="CI64" s="125"/>
      <c r="CJ64" s="301"/>
      <c r="CK64" s="151"/>
      <c r="CL64" s="131">
        <f>SUM(BJ64:CK64)</f>
      </c>
      <c r="CM64" s="121"/>
      <c r="CN64" s="122"/>
      <c r="CO64" s="123"/>
      <c r="CP64" s="124"/>
      <c r="CQ64" s="124"/>
      <c r="CR64" s="124"/>
      <c r="CS64" s="124"/>
      <c r="CT64" s="124"/>
      <c r="CU64" s="124"/>
      <c r="CV64" s="125"/>
      <c r="CW64" s="126"/>
      <c r="CX64" s="124"/>
      <c r="CY64" s="124"/>
      <c r="CZ64" s="127"/>
      <c r="DA64" s="123"/>
      <c r="DB64" s="124"/>
      <c r="DC64" s="124"/>
      <c r="DD64" s="124"/>
      <c r="DE64" s="124"/>
      <c r="DF64" s="124"/>
      <c r="DG64" s="124"/>
      <c r="DH64" s="124"/>
      <c r="DI64" s="124"/>
      <c r="DJ64" s="124"/>
      <c r="DK64" s="124"/>
      <c r="DL64" s="125"/>
      <c r="DM64" s="301"/>
      <c r="DN64" s="151"/>
      <c r="DO64" s="131">
        <f>SUM(CM64:DN64)</f>
      </c>
      <c r="DP64" s="121"/>
      <c r="DQ64" s="122"/>
      <c r="DR64" s="123"/>
      <c r="DS64" s="124"/>
      <c r="DT64" s="124"/>
      <c r="DU64" s="124"/>
      <c r="DV64" s="124"/>
      <c r="DW64" s="124"/>
      <c r="DX64" s="124"/>
      <c r="DY64" s="125"/>
      <c r="DZ64" s="126"/>
      <c r="EA64" s="124"/>
      <c r="EB64" s="124"/>
      <c r="EC64" s="127"/>
      <c r="ED64" s="123"/>
      <c r="EE64" s="124"/>
      <c r="EF64" s="124"/>
      <c r="EG64" s="124"/>
      <c r="EH64" s="124"/>
      <c r="EI64" s="124"/>
      <c r="EJ64" s="124"/>
      <c r="EK64" s="124"/>
      <c r="EL64" s="124"/>
      <c r="EM64" s="124"/>
      <c r="EN64" s="124"/>
      <c r="EO64" s="125"/>
      <c r="EP64" s="301"/>
      <c r="EQ64" s="151"/>
      <c r="ER64" s="131">
        <f>SUM(DP64:EQ64)</f>
      </c>
      <c r="ES64" s="121"/>
      <c r="ET64" s="122"/>
      <c r="EU64" s="123"/>
      <c r="EV64" s="124"/>
      <c r="EW64" s="124"/>
      <c r="EX64" s="124"/>
      <c r="EY64" s="124"/>
      <c r="EZ64" s="124"/>
      <c r="FA64" s="124"/>
      <c r="FB64" s="125"/>
      <c r="FC64" s="126"/>
      <c r="FD64" s="124"/>
      <c r="FE64" s="124"/>
      <c r="FF64" s="127"/>
      <c r="FG64" s="123"/>
      <c r="FH64" s="124"/>
      <c r="FI64" s="124"/>
      <c r="FJ64" s="124"/>
      <c r="FK64" s="124"/>
      <c r="FL64" s="124"/>
      <c r="FM64" s="124"/>
      <c r="FN64" s="124"/>
      <c r="FO64" s="124"/>
      <c r="FP64" s="124"/>
      <c r="FQ64" s="124"/>
      <c r="FR64" s="125"/>
      <c r="FS64" s="301"/>
      <c r="FT64" s="151"/>
      <c r="FU64" s="131">
        <f>SUM(ES64:FT64)</f>
      </c>
      <c r="FV64" s="121"/>
      <c r="FW64" s="122"/>
      <c r="FX64" s="123"/>
      <c r="FY64" s="124"/>
      <c r="FZ64" s="124"/>
      <c r="GA64" s="124"/>
      <c r="GB64" s="124"/>
      <c r="GC64" s="124"/>
      <c r="GD64" s="124"/>
      <c r="GE64" s="125"/>
      <c r="GF64" s="126"/>
      <c r="GG64" s="124"/>
      <c r="GH64" s="124"/>
      <c r="GI64" s="127"/>
      <c r="GJ64" s="123"/>
      <c r="GK64" s="124"/>
      <c r="GL64" s="124"/>
      <c r="GM64" s="124"/>
      <c r="GN64" s="124"/>
      <c r="GO64" s="124"/>
      <c r="GP64" s="124"/>
      <c r="GQ64" s="124"/>
      <c r="GR64" s="124"/>
      <c r="GS64" s="124"/>
      <c r="GT64" s="124"/>
      <c r="GU64" s="125"/>
      <c r="GV64" s="301"/>
      <c r="GW64" s="151"/>
      <c r="GX64" s="131">
        <f>SUM(FV64:GW64)</f>
      </c>
      <c r="GY64" s="150">
        <f>AF64+BI64+CL64+DO64+ER64+FU64+GX64</f>
      </c>
      <c r="GZ64" s="302">
        <f>(COUNTIF(D64:GX64,"H")+COUNTIF(D64:GX64,"S")+COUNTIF(D64:GX64,"L")+COUNTIF(D64:GX64,"E")+COUNTIF(D64:GX64,"C"))/2</f>
      </c>
      <c r="HA64" s="131">
        <f>GY64+GZ64</f>
      </c>
      <c r="HB64" s="374"/>
      <c r="HC64" s="375"/>
      <c r="HD64" s="15"/>
      <c r="HE64" s="143">
        <v>0.5</v>
      </c>
      <c r="HF64" s="143">
        <v>0.5</v>
      </c>
      <c r="HG64" s="143">
        <v>0.5</v>
      </c>
      <c r="HH64" s="143">
        <v>0.5</v>
      </c>
      <c r="HI64" s="143">
        <v>0.5</v>
      </c>
      <c r="HJ64" s="143">
        <v>0.5</v>
      </c>
      <c r="HK64" s="154">
        <v>0.5</v>
      </c>
      <c r="HL64" s="412"/>
      <c r="HM64" s="19"/>
      <c r="HN64" s="143">
        <v>0.5</v>
      </c>
      <c r="HO64" s="340">
        <v>0.5</v>
      </c>
      <c r="HP64" s="339">
        <v>0.5</v>
      </c>
      <c r="HQ64" s="143">
        <v>0.5</v>
      </c>
      <c r="HR64" s="143">
        <v>0.5</v>
      </c>
      <c r="HS64" s="143">
        <v>0.5</v>
      </c>
      <c r="HT64" s="143">
        <v>0.5</v>
      </c>
      <c r="HU64" s="143">
        <v>0.5</v>
      </c>
      <c r="HV64" s="143">
        <v>0.5</v>
      </c>
      <c r="HW64" s="19"/>
      <c r="HX64" s="19"/>
      <c r="HY64" s="19"/>
      <c r="HZ64" s="19"/>
      <c r="IA64" s="414"/>
      <c r="IB64" s="407"/>
      <c r="IC64" s="408"/>
      <c r="ID64" s="131">
        <f>SUM(HB64:IC64)</f>
      </c>
      <c r="IE64" s="374"/>
      <c r="IF64" s="375"/>
      <c r="IG64" s="15"/>
      <c r="IH64" s="143">
        <v>0.5</v>
      </c>
      <c r="II64" s="143">
        <v>0.5</v>
      </c>
      <c r="IJ64" s="143">
        <v>0.5</v>
      </c>
      <c r="IK64" s="143">
        <v>0.5</v>
      </c>
      <c r="IL64" s="143">
        <v>0.5</v>
      </c>
      <c r="IM64" s="143">
        <v>0.5</v>
      </c>
      <c r="IN64" s="154">
        <v>0.5</v>
      </c>
      <c r="IO64" s="412"/>
      <c r="IP64" s="19"/>
      <c r="IQ64" s="143">
        <v>0.5</v>
      </c>
      <c r="IR64" s="340">
        <v>0.5</v>
      </c>
      <c r="IS64" s="339">
        <v>0.5</v>
      </c>
      <c r="IT64" s="143">
        <v>0.5</v>
      </c>
      <c r="IU64" s="143">
        <v>0.5</v>
      </c>
      <c r="IV64" s="143">
        <v>0.5</v>
      </c>
      <c r="IW64" s="143">
        <v>0.5</v>
      </c>
      <c r="IX64" s="143">
        <v>0.5</v>
      </c>
      <c r="IY64" s="143">
        <v>0.5</v>
      </c>
      <c r="IZ64" s="19"/>
      <c r="JA64" s="19"/>
      <c r="JB64" s="19"/>
      <c r="JC64" s="19"/>
      <c r="JD64" s="414"/>
      <c r="JE64" s="407"/>
      <c r="JF64" s="408"/>
      <c r="JG64" s="131">
        <f>SUM(IE64:JF64)</f>
      </c>
      <c r="JH64" s="374"/>
      <c r="JI64" s="375"/>
      <c r="JJ64" s="15"/>
      <c r="JK64" s="19"/>
      <c r="JL64" s="19"/>
      <c r="JM64" s="143">
        <v>0.5</v>
      </c>
      <c r="JN64" s="143">
        <v>0.5</v>
      </c>
      <c r="JO64" s="143">
        <v>0.5</v>
      </c>
      <c r="JP64" s="143">
        <v>0.5</v>
      </c>
      <c r="JQ64" s="154">
        <v>0.5</v>
      </c>
      <c r="JR64" s="412"/>
      <c r="JS64" s="19"/>
      <c r="JT64" s="143">
        <v>0.5</v>
      </c>
      <c r="JU64" s="340">
        <v>0.5</v>
      </c>
      <c r="JV64" s="339">
        <v>0.5</v>
      </c>
      <c r="JW64" s="143">
        <v>0.5</v>
      </c>
      <c r="JX64" s="143">
        <v>0.5</v>
      </c>
      <c r="JY64" s="143">
        <v>0.5</v>
      </c>
      <c r="JZ64" s="143">
        <v>0.5</v>
      </c>
      <c r="KA64" s="143">
        <v>0.5</v>
      </c>
      <c r="KB64" s="143">
        <v>0.5</v>
      </c>
      <c r="KC64" s="17">
        <v>0.5</v>
      </c>
      <c r="KD64" s="17">
        <v>0.5</v>
      </c>
      <c r="KE64" s="19"/>
      <c r="KF64" s="19"/>
      <c r="KG64" s="414"/>
      <c r="KH64" s="407"/>
      <c r="KI64" s="408"/>
      <c r="KJ64" s="131">
        <f>SUM(JH64:KI64)</f>
      </c>
      <c r="KK64" s="374"/>
      <c r="KL64" s="375"/>
      <c r="KM64" s="15"/>
      <c r="KN64" s="19"/>
      <c r="KO64" s="19"/>
      <c r="KP64" s="143">
        <v>0.5</v>
      </c>
      <c r="KQ64" s="143">
        <v>0.5</v>
      </c>
      <c r="KR64" s="143">
        <v>0.5</v>
      </c>
      <c r="KS64" s="143">
        <v>0.5</v>
      </c>
      <c r="KT64" s="154">
        <v>0.5</v>
      </c>
      <c r="KU64" s="412"/>
      <c r="KV64" s="19"/>
      <c r="KW64" s="143">
        <v>0.5</v>
      </c>
      <c r="KX64" s="340">
        <v>0.5</v>
      </c>
      <c r="KY64" s="339">
        <v>0.5</v>
      </c>
      <c r="KZ64" s="143">
        <v>0.5</v>
      </c>
      <c r="LA64" s="143">
        <v>0.5</v>
      </c>
      <c r="LB64" s="143">
        <v>0.5</v>
      </c>
      <c r="LC64" s="143">
        <v>0.5</v>
      </c>
      <c r="LD64" s="143">
        <v>0.5</v>
      </c>
      <c r="LE64" s="143">
        <v>0.5</v>
      </c>
      <c r="LF64" s="17">
        <v>0.5</v>
      </c>
      <c r="LG64" s="17">
        <v>0.5</v>
      </c>
      <c r="LH64" s="19"/>
      <c r="LI64" s="19"/>
      <c r="LJ64" s="414"/>
      <c r="LK64" s="407"/>
      <c r="LL64" s="408"/>
      <c r="LM64" s="131">
        <f>SUM(KK64:LL64)</f>
      </c>
      <c r="LN64" s="374"/>
      <c r="LO64" s="375"/>
      <c r="LP64" s="15"/>
      <c r="LQ64" s="19"/>
      <c r="LR64" s="19"/>
      <c r="LS64" s="143">
        <v>0.5</v>
      </c>
      <c r="LT64" s="143">
        <v>0.5</v>
      </c>
      <c r="LU64" s="143">
        <v>0.5</v>
      </c>
      <c r="LV64" s="143">
        <v>0.5</v>
      </c>
      <c r="LW64" s="154">
        <v>0.5</v>
      </c>
      <c r="LX64" s="412"/>
      <c r="LY64" s="19"/>
      <c r="LZ64" s="143">
        <v>0.5</v>
      </c>
      <c r="MA64" s="340">
        <v>0.5</v>
      </c>
      <c r="MB64" s="339">
        <v>0.5</v>
      </c>
      <c r="MC64" s="143">
        <v>0.5</v>
      </c>
      <c r="MD64" s="143">
        <v>0.5</v>
      </c>
      <c r="ME64" s="143">
        <v>0.5</v>
      </c>
      <c r="MF64" s="143">
        <v>0.5</v>
      </c>
      <c r="MG64" s="143">
        <v>0.5</v>
      </c>
      <c r="MH64" s="143">
        <v>0.5</v>
      </c>
      <c r="MI64" s="17">
        <v>0.5</v>
      </c>
      <c r="MJ64" s="17">
        <v>0.5</v>
      </c>
      <c r="MK64" s="19"/>
      <c r="ML64" s="19"/>
      <c r="MM64" s="414"/>
      <c r="MN64" s="407"/>
      <c r="MO64" s="408"/>
      <c r="MP64" s="131">
        <f>SUM(LN64:MO64)</f>
      </c>
      <c r="MQ64" s="121"/>
      <c r="MR64" s="122"/>
      <c r="MS64" s="123"/>
      <c r="MT64" s="124"/>
      <c r="MU64" s="124"/>
      <c r="MV64" s="124"/>
      <c r="MW64" s="124"/>
      <c r="MX64" s="124"/>
      <c r="MY64" s="124"/>
      <c r="MZ64" s="125"/>
      <c r="NA64" s="126"/>
      <c r="NB64" s="124"/>
      <c r="NC64" s="124"/>
      <c r="ND64" s="127"/>
      <c r="NE64" s="123"/>
      <c r="NF64" s="124"/>
      <c r="NG64" s="124"/>
      <c r="NH64" s="124"/>
      <c r="NI64" s="124"/>
      <c r="NJ64" s="124"/>
      <c r="NK64" s="124"/>
      <c r="NL64" s="124"/>
      <c r="NM64" s="124"/>
      <c r="NN64" s="124"/>
      <c r="NO64" s="124"/>
      <c r="NP64" s="125"/>
      <c r="NQ64" s="301"/>
      <c r="NR64" s="151"/>
      <c r="NS64" s="131">
        <f>SUM(MQ64:NR64)</f>
      </c>
      <c r="NT64" s="121"/>
      <c r="NU64" s="122"/>
      <c r="NV64" s="123"/>
      <c r="NW64" s="124"/>
      <c r="NX64" s="124"/>
      <c r="NY64" s="124"/>
      <c r="NZ64" s="124"/>
      <c r="OA64" s="124"/>
      <c r="OB64" s="124"/>
      <c r="OC64" s="125"/>
      <c r="OD64" s="126"/>
      <c r="OE64" s="124"/>
      <c r="OF64" s="124"/>
      <c r="OG64" s="127"/>
      <c r="OH64" s="123"/>
      <c r="OI64" s="124"/>
      <c r="OJ64" s="124"/>
      <c r="OK64" s="124"/>
      <c r="OL64" s="124"/>
      <c r="OM64" s="124"/>
      <c r="ON64" s="124"/>
      <c r="OO64" s="124"/>
      <c r="OP64" s="124"/>
      <c r="OQ64" s="124"/>
      <c r="OR64" s="124"/>
      <c r="OS64" s="125"/>
      <c r="OT64" s="301"/>
      <c r="OU64" s="151"/>
      <c r="OV64" s="131">
        <f>SUM(NT64:OU64)</f>
      </c>
      <c r="OW64" s="150">
        <f>ID64+JG64+KJ64+LM64+MP64+NS64+OV64</f>
      </c>
      <c r="OX64" s="302">
        <f>(COUNTIF(HB64:OV64,"H")+COUNTIF(HB64:OV64,"S")+COUNTIF(HB64:OV64,"L")+COUNTIF(HB64:OV64,"E")+COUNTIF(HB64:OV64,"C"))/2</f>
      </c>
      <c r="OY64" s="131">
        <f>OW64+OX64</f>
      </c>
      <c r="OZ64" s="374"/>
      <c r="PA64" s="375"/>
      <c r="PB64" s="15"/>
      <c r="PC64" s="19"/>
      <c r="PD64" s="19"/>
      <c r="PE64" s="17">
        <v>0.5</v>
      </c>
      <c r="PF64" s="17">
        <v>0.5</v>
      </c>
      <c r="PG64" s="17">
        <v>0.5</v>
      </c>
      <c r="PH64" s="17">
        <v>0.5</v>
      </c>
      <c r="PI64" s="406">
        <v>0.5</v>
      </c>
      <c r="PJ64" s="412"/>
      <c r="PK64" s="19"/>
      <c r="PL64" s="17">
        <v>0.5</v>
      </c>
      <c r="PM64" s="415">
        <v>0.5</v>
      </c>
      <c r="PN64" s="405">
        <v>0.5</v>
      </c>
      <c r="PO64" s="17">
        <v>0.5</v>
      </c>
      <c r="PP64" s="17">
        <v>0.5</v>
      </c>
      <c r="PQ64" s="17">
        <v>0.5</v>
      </c>
      <c r="PR64" s="17">
        <v>0.5</v>
      </c>
      <c r="PS64" s="17">
        <v>0.5</v>
      </c>
      <c r="PT64" s="17">
        <v>0.5</v>
      </c>
      <c r="PU64" s="17">
        <v>0.5</v>
      </c>
      <c r="PV64" s="17">
        <v>0.5</v>
      </c>
      <c r="PW64" s="19"/>
      <c r="PX64" s="19"/>
      <c r="PY64" s="414"/>
      <c r="PZ64" s="407"/>
      <c r="QA64" s="408"/>
      <c r="QB64" s="131">
        <f>SUM(OZ64:QA64)</f>
      </c>
      <c r="QC64" s="374"/>
      <c r="QD64" s="375"/>
      <c r="QE64" s="15"/>
      <c r="QF64" s="19"/>
      <c r="QG64" s="19"/>
      <c r="QH64" s="143">
        <v>0.5</v>
      </c>
      <c r="QI64" s="143">
        <v>0.5</v>
      </c>
      <c r="QJ64" s="143">
        <v>0.5</v>
      </c>
      <c r="QK64" s="143">
        <v>0.5</v>
      </c>
      <c r="QL64" s="154">
        <v>0.5</v>
      </c>
      <c r="QM64" s="412"/>
      <c r="QN64" s="19"/>
      <c r="QO64" s="143">
        <v>0.5</v>
      </c>
      <c r="QP64" s="340">
        <v>0.5</v>
      </c>
      <c r="QQ64" s="339">
        <v>0.5</v>
      </c>
      <c r="QR64" s="143">
        <v>0.5</v>
      </c>
      <c r="QS64" s="143">
        <v>0.5</v>
      </c>
      <c r="QT64" s="143">
        <v>0.5</v>
      </c>
      <c r="QU64" s="143">
        <v>0.5</v>
      </c>
      <c r="QV64" s="143">
        <v>0.5</v>
      </c>
      <c r="QW64" s="143">
        <v>0.5</v>
      </c>
      <c r="QX64" s="143">
        <v>0.5</v>
      </c>
      <c r="QY64" s="143">
        <v>0.5</v>
      </c>
      <c r="QZ64" s="19"/>
      <c r="RA64" s="19"/>
      <c r="RB64" s="414"/>
      <c r="RC64" s="407"/>
      <c r="RD64" s="408"/>
      <c r="RE64" s="131">
        <f>SUM(QC64:RD64)</f>
      </c>
      <c r="RF64" s="374"/>
      <c r="RG64" s="375"/>
      <c r="RH64" s="15"/>
      <c r="RI64" s="19"/>
      <c r="RJ64" s="19"/>
      <c r="RK64" s="143">
        <v>0.5</v>
      </c>
      <c r="RL64" s="143">
        <v>0.5</v>
      </c>
      <c r="RM64" s="143">
        <v>0.5</v>
      </c>
      <c r="RN64" s="143">
        <v>0.5</v>
      </c>
      <c r="RO64" s="154">
        <v>0.5</v>
      </c>
      <c r="RP64" s="412"/>
      <c r="RQ64" s="19"/>
      <c r="RR64" s="143">
        <v>0.5</v>
      </c>
      <c r="RS64" s="340">
        <v>0.5</v>
      </c>
      <c r="RT64" s="339">
        <v>0.5</v>
      </c>
      <c r="RU64" s="143">
        <v>0.5</v>
      </c>
      <c r="RV64" s="143">
        <v>0.5</v>
      </c>
      <c r="RW64" s="143">
        <v>0.5</v>
      </c>
      <c r="RX64" s="143">
        <v>0.5</v>
      </c>
      <c r="RY64" s="143">
        <v>0.5</v>
      </c>
      <c r="RZ64" s="143">
        <v>0.5</v>
      </c>
      <c r="SA64" s="143">
        <v>0.5</v>
      </c>
      <c r="SB64" s="143">
        <v>0.5</v>
      </c>
      <c r="SC64" s="19"/>
      <c r="SD64" s="19"/>
      <c r="SE64" s="414"/>
      <c r="SF64" s="407"/>
      <c r="SG64" s="408"/>
      <c r="SH64" s="131">
        <f>SUM(RF64:SG64)</f>
      </c>
      <c r="SI64" s="374"/>
      <c r="SJ64" s="375"/>
      <c r="SK64" s="15"/>
      <c r="SL64" s="19"/>
      <c r="SM64" s="19"/>
      <c r="SN64" s="143">
        <v>0.5</v>
      </c>
      <c r="SO64" s="143">
        <v>0.5</v>
      </c>
      <c r="SP64" s="143">
        <v>0.5</v>
      </c>
      <c r="SQ64" s="143">
        <v>0.5</v>
      </c>
      <c r="SR64" s="154">
        <v>0.5</v>
      </c>
      <c r="SS64" s="412"/>
      <c r="ST64" s="19"/>
      <c r="SU64" s="143">
        <v>0.5</v>
      </c>
      <c r="SV64" s="340">
        <v>0.5</v>
      </c>
      <c r="SW64" s="339">
        <v>0.5</v>
      </c>
      <c r="SX64" s="143">
        <v>0.5</v>
      </c>
      <c r="SY64" s="143">
        <v>0.5</v>
      </c>
      <c r="SZ64" s="143">
        <v>0.5</v>
      </c>
      <c r="TA64" s="143">
        <v>0.5</v>
      </c>
      <c r="TB64" s="143">
        <v>0.5</v>
      </c>
      <c r="TC64" s="143">
        <v>0.5</v>
      </c>
      <c r="TD64" s="143">
        <v>0.5</v>
      </c>
      <c r="TE64" s="143">
        <v>0.5</v>
      </c>
      <c r="TF64" s="19"/>
      <c r="TG64" s="19"/>
      <c r="TH64" s="414"/>
      <c r="TI64" s="407"/>
      <c r="TJ64" s="408"/>
      <c r="TK64" s="131">
        <f>SUM(SI64:TJ64)</f>
      </c>
      <c r="TL64" s="374"/>
      <c r="TM64" s="375"/>
      <c r="TN64" s="15"/>
      <c r="TO64" s="19"/>
      <c r="TP64" s="19"/>
      <c r="TQ64" s="143">
        <v>0.5</v>
      </c>
      <c r="TR64" s="143">
        <v>0.5</v>
      </c>
      <c r="TS64" s="143">
        <v>0.5</v>
      </c>
      <c r="TT64" s="143">
        <v>0.5</v>
      </c>
      <c r="TU64" s="154">
        <v>0.5</v>
      </c>
      <c r="TV64" s="412"/>
      <c r="TW64" s="19"/>
      <c r="TX64" s="143">
        <v>0.5</v>
      </c>
      <c r="TY64" s="340">
        <v>0.5</v>
      </c>
      <c r="TZ64" s="339">
        <v>0.5</v>
      </c>
      <c r="UA64" s="143">
        <v>0.5</v>
      </c>
      <c r="UB64" s="143">
        <v>0.5</v>
      </c>
      <c r="UC64" s="143">
        <v>0.5</v>
      </c>
      <c r="UD64" s="143">
        <v>0.5</v>
      </c>
      <c r="UE64" s="143">
        <v>0.5</v>
      </c>
      <c r="UF64" s="143">
        <v>0.5</v>
      </c>
      <c r="UG64" s="143">
        <v>0.5</v>
      </c>
      <c r="UH64" s="143">
        <v>0.5</v>
      </c>
      <c r="UI64" s="19"/>
      <c r="UJ64" s="19"/>
      <c r="UK64" s="414"/>
      <c r="UL64" s="407"/>
      <c r="UM64" s="408"/>
      <c r="UN64" s="131">
        <f>SUM(TL64:UM64)</f>
      </c>
      <c r="UO64" s="121"/>
      <c r="UP64" s="122"/>
      <c r="UQ64" s="123"/>
      <c r="UR64" s="124"/>
      <c r="US64" s="124"/>
      <c r="UT64" s="124"/>
      <c r="UU64" s="124"/>
      <c r="UV64" s="124"/>
      <c r="UW64" s="124"/>
      <c r="UX64" s="125"/>
      <c r="UY64" s="126"/>
      <c r="UZ64" s="124"/>
      <c r="VA64" s="124"/>
      <c r="VB64" s="127"/>
      <c r="VC64" s="123"/>
      <c r="VD64" s="124"/>
      <c r="VE64" s="124"/>
      <c r="VF64" s="124"/>
      <c r="VG64" s="124"/>
      <c r="VH64" s="124"/>
      <c r="VI64" s="124"/>
      <c r="VJ64" s="124"/>
      <c r="VK64" s="124"/>
      <c r="VL64" s="124"/>
      <c r="VM64" s="124"/>
      <c r="VN64" s="125"/>
      <c r="VO64" s="301"/>
      <c r="VP64" s="151"/>
      <c r="VQ64" s="131">
        <f>SUM(UO64:VP64)</f>
      </c>
      <c r="VR64" s="121"/>
      <c r="VS64" s="122"/>
      <c r="VT64" s="123"/>
      <c r="VU64" s="124"/>
      <c r="VV64" s="124"/>
      <c r="VW64" s="124"/>
      <c r="VX64" s="124"/>
      <c r="VY64" s="124"/>
      <c r="VZ64" s="124"/>
      <c r="WA64" s="125"/>
      <c r="WB64" s="126"/>
      <c r="WC64" s="124"/>
      <c r="WD64" s="124"/>
      <c r="WE64" s="127"/>
      <c r="WF64" s="123"/>
      <c r="WG64" s="124"/>
      <c r="WH64" s="124"/>
      <c r="WI64" s="124"/>
      <c r="WJ64" s="124"/>
      <c r="WK64" s="124"/>
      <c r="WL64" s="124"/>
      <c r="WM64" s="124"/>
      <c r="WN64" s="124"/>
      <c r="WO64" s="124"/>
      <c r="WP64" s="124"/>
      <c r="WQ64" s="125"/>
      <c r="WR64" s="301"/>
      <c r="WS64" s="151"/>
      <c r="WT64" s="131">
        <f>SUM(VR64:WS64)</f>
      </c>
      <c r="WU64" s="150">
        <f>QB64+RE64+SH64+TK64+UN64+VQ64+WT64</f>
      </c>
      <c r="WV64" s="302">
        <f>(COUNTIF(OZ64:WT64,"H")+COUNTIF(OZ64:WT64,"S")+COUNTIF(OZ64:WT64,"L")+COUNTIF(OZ64:WT64,"E")+COUNTIF(OZ64:WT64,"C"))/2</f>
      </c>
      <c r="WW64" s="131">
        <f>WU64+WV64</f>
      </c>
      <c r="WX64" s="374"/>
      <c r="WY64" s="375"/>
      <c r="WZ64" s="15"/>
      <c r="XA64" s="19"/>
      <c r="XB64" s="19"/>
      <c r="XC64" s="17">
        <v>0.5</v>
      </c>
      <c r="XD64" s="17">
        <v>0.5</v>
      </c>
      <c r="XE64" s="17">
        <v>0.5</v>
      </c>
      <c r="XF64" s="17">
        <v>0.5</v>
      </c>
      <c r="XG64" s="406">
        <v>0.5</v>
      </c>
      <c r="XH64" s="412"/>
      <c r="XI64" s="19"/>
      <c r="XJ64" s="17">
        <v>0.5</v>
      </c>
      <c r="XK64" s="415">
        <v>0.5</v>
      </c>
      <c r="XL64" s="405">
        <v>0.5</v>
      </c>
      <c r="XM64" s="17">
        <v>0.5</v>
      </c>
      <c r="XN64" s="17">
        <v>0.5</v>
      </c>
      <c r="XO64" s="17">
        <v>0.5</v>
      </c>
      <c r="XP64" s="17">
        <v>0.5</v>
      </c>
      <c r="XQ64" s="17">
        <v>0.5</v>
      </c>
      <c r="XR64" s="17">
        <v>0.5</v>
      </c>
      <c r="XS64" s="17">
        <v>0.5</v>
      </c>
      <c r="XT64" s="17">
        <v>0.5</v>
      </c>
      <c r="XU64" s="19"/>
      <c r="XV64" s="19"/>
      <c r="XW64" s="414"/>
      <c r="XX64" s="407"/>
      <c r="XY64" s="408"/>
      <c r="XZ64" s="131">
        <f>SUM(WX64:XY64)</f>
      </c>
      <c r="YA64" s="374"/>
      <c r="YB64" s="375"/>
      <c r="YC64" s="15"/>
      <c r="YD64" s="19"/>
      <c r="YE64" s="19"/>
      <c r="YF64" s="17">
        <v>0.5</v>
      </c>
      <c r="YG64" s="17">
        <v>0.5</v>
      </c>
      <c r="YH64" s="17">
        <v>0.5</v>
      </c>
      <c r="YI64" s="17">
        <v>0.5</v>
      </c>
      <c r="YJ64" s="406">
        <v>0.5</v>
      </c>
      <c r="YK64" s="412"/>
      <c r="YL64" s="19"/>
      <c r="YM64" s="17">
        <v>0.5</v>
      </c>
      <c r="YN64" s="415">
        <v>0.5</v>
      </c>
      <c r="YO64" s="405">
        <v>0.5</v>
      </c>
      <c r="YP64" s="17">
        <v>0.5</v>
      </c>
      <c r="YQ64" s="17">
        <v>0.5</v>
      </c>
      <c r="YR64" s="17">
        <v>0.5</v>
      </c>
      <c r="YS64" s="17">
        <v>0.5</v>
      </c>
      <c r="YT64" s="17">
        <v>0.5</v>
      </c>
      <c r="YU64" s="17">
        <v>0.5</v>
      </c>
      <c r="YV64" s="17">
        <v>0.5</v>
      </c>
      <c r="YW64" s="17">
        <v>0.5</v>
      </c>
      <c r="YX64" s="19"/>
      <c r="YY64" s="19"/>
      <c r="YZ64" s="414"/>
      <c r="ZA64" s="407"/>
      <c r="ZB64" s="408"/>
      <c r="ZC64" s="131">
        <f>SUM(YA64:ZB64)</f>
      </c>
      <c r="ZD64" s="374"/>
      <c r="ZE64" s="375"/>
      <c r="ZF64" s="15"/>
      <c r="ZG64" s="19"/>
      <c r="ZH64" s="19"/>
      <c r="ZI64" s="17">
        <v>0.5</v>
      </c>
      <c r="ZJ64" s="17">
        <v>0.5</v>
      </c>
      <c r="ZK64" s="17">
        <v>0.5</v>
      </c>
      <c r="ZL64" s="17">
        <v>0.5</v>
      </c>
      <c r="ZM64" s="406">
        <v>0.5</v>
      </c>
      <c r="ZN64" s="412"/>
      <c r="ZO64" s="19"/>
      <c r="ZP64" s="17">
        <v>0.5</v>
      </c>
      <c r="ZQ64" s="415">
        <v>0.5</v>
      </c>
      <c r="ZR64" s="405">
        <v>0.5</v>
      </c>
      <c r="ZS64" s="17">
        <v>0.5</v>
      </c>
      <c r="ZT64" s="17">
        <v>0.5</v>
      </c>
      <c r="ZU64" s="17">
        <v>0.5</v>
      </c>
      <c r="ZV64" s="17">
        <v>0.5</v>
      </c>
      <c r="ZW64" s="17">
        <v>0.5</v>
      </c>
      <c r="ZX64" s="17">
        <v>0.5</v>
      </c>
      <c r="ZY64" s="17">
        <v>0.5</v>
      </c>
      <c r="ZZ64" s="17">
        <v>0.5</v>
      </c>
      <c r="AAA64" s="19"/>
      <c r="AAB64" s="19"/>
      <c r="AAC64" s="414"/>
      <c r="AAD64" s="407"/>
      <c r="AAE64" s="408"/>
      <c r="AAF64" s="131">
        <f>SUM(ZD64:AAE64)</f>
      </c>
      <c r="AAG64" s="374"/>
      <c r="AAH64" s="375"/>
      <c r="AAI64" s="15"/>
      <c r="AAJ64" s="19"/>
      <c r="AAK64" s="19"/>
      <c r="AAL64" s="17">
        <v>0.5</v>
      </c>
      <c r="AAM64" s="17">
        <v>0.5</v>
      </c>
      <c r="AAN64" s="17">
        <v>0.5</v>
      </c>
      <c r="AAO64" s="17">
        <v>0.5</v>
      </c>
      <c r="AAP64" s="406">
        <v>0.5</v>
      </c>
      <c r="AAQ64" s="412"/>
      <c r="AAR64" s="19"/>
      <c r="AAS64" s="17">
        <v>0.5</v>
      </c>
      <c r="AAT64" s="415">
        <v>0.5</v>
      </c>
      <c r="AAU64" s="405">
        <v>0.5</v>
      </c>
      <c r="AAV64" s="17">
        <v>0.5</v>
      </c>
      <c r="AAW64" s="17">
        <v>0.5</v>
      </c>
      <c r="AAX64" s="17">
        <v>0.5</v>
      </c>
      <c r="AAY64" s="17">
        <v>0.5</v>
      </c>
      <c r="AAZ64" s="17">
        <v>0.5</v>
      </c>
      <c r="ABA64" s="17">
        <v>0.5</v>
      </c>
      <c r="ABB64" s="17">
        <v>0.5</v>
      </c>
      <c r="ABC64" s="17">
        <v>0.5</v>
      </c>
      <c r="ABD64" s="19"/>
      <c r="ABE64" s="19"/>
      <c r="ABF64" s="414"/>
      <c r="ABG64" s="407"/>
      <c r="ABH64" s="408"/>
      <c r="ABI64" s="131">
        <f>SUM(AAG64:ABH64)</f>
      </c>
      <c r="ABJ64" s="374"/>
      <c r="ABK64" s="375"/>
      <c r="ABL64" s="15"/>
      <c r="ABM64" s="19"/>
      <c r="ABN64" s="19"/>
      <c r="ABO64" s="17">
        <v>0.5</v>
      </c>
      <c r="ABP64" s="17">
        <v>0.5</v>
      </c>
      <c r="ABQ64" s="17">
        <v>0.5</v>
      </c>
      <c r="ABR64" s="17">
        <v>0.5</v>
      </c>
      <c r="ABS64" s="406">
        <v>0.5</v>
      </c>
      <c r="ABT64" s="412"/>
      <c r="ABU64" s="19"/>
      <c r="ABV64" s="17">
        <v>0.5</v>
      </c>
      <c r="ABW64" s="415">
        <v>0.5</v>
      </c>
      <c r="ABX64" s="405">
        <v>0.5</v>
      </c>
      <c r="ABY64" s="17">
        <v>0.5</v>
      </c>
      <c r="ABZ64" s="17">
        <v>0.5</v>
      </c>
      <c r="ACA64" s="17">
        <v>0.5</v>
      </c>
      <c r="ACB64" s="17">
        <v>0.5</v>
      </c>
      <c r="ACC64" s="17">
        <v>0.5</v>
      </c>
      <c r="ACD64" s="17">
        <v>0.5</v>
      </c>
      <c r="ACE64" s="17">
        <v>0.5</v>
      </c>
      <c r="ACF64" s="17">
        <v>0.5</v>
      </c>
      <c r="ACG64" s="19"/>
      <c r="ACH64" s="19"/>
      <c r="ACI64" s="414"/>
      <c r="ACJ64" s="407"/>
      <c r="ACK64" s="408"/>
      <c r="ACL64" s="131">
        <f>SUM(ABJ64:ACK64)</f>
      </c>
      <c r="ACM64" s="121"/>
      <c r="ACN64" s="122"/>
      <c r="ACO64" s="123"/>
      <c r="ACP64" s="124"/>
      <c r="ACQ64" s="124"/>
      <c r="ACR64" s="124"/>
      <c r="ACS64" s="124"/>
      <c r="ACT64" s="124"/>
      <c r="ACU64" s="124"/>
      <c r="ACV64" s="125"/>
      <c r="ACW64" s="126"/>
      <c r="ACX64" s="124"/>
      <c r="ACY64" s="124"/>
      <c r="ACZ64" s="127"/>
      <c r="ADA64" s="123"/>
      <c r="ADB64" s="124"/>
      <c r="ADC64" s="124"/>
      <c r="ADD64" s="124"/>
      <c r="ADE64" s="124"/>
      <c r="ADF64" s="124"/>
      <c r="ADG64" s="124"/>
      <c r="ADH64" s="124"/>
      <c r="ADI64" s="124"/>
      <c r="ADJ64" s="124"/>
      <c r="ADK64" s="124"/>
      <c r="ADL64" s="125"/>
      <c r="ADM64" s="301"/>
      <c r="ADN64" s="151"/>
      <c r="ADO64" s="131">
        <f>SUM(ACM64:ADN64)</f>
      </c>
      <c r="ADP64" s="121"/>
      <c r="ADQ64" s="122"/>
      <c r="ADR64" s="123"/>
      <c r="ADS64" s="124"/>
      <c r="ADT64" s="124"/>
      <c r="ADU64" s="124"/>
      <c r="ADV64" s="124"/>
      <c r="ADW64" s="124"/>
      <c r="ADX64" s="124"/>
      <c r="ADY64" s="125"/>
      <c r="ADZ64" s="126"/>
      <c r="AEA64" s="124"/>
      <c r="AEB64" s="124"/>
      <c r="AEC64" s="127"/>
      <c r="AED64" s="123"/>
      <c r="AEE64" s="124"/>
      <c r="AEF64" s="124"/>
      <c r="AEG64" s="124"/>
      <c r="AEH64" s="124"/>
      <c r="AEI64" s="124"/>
      <c r="AEJ64" s="124"/>
      <c r="AEK64" s="124"/>
      <c r="AEL64" s="124"/>
      <c r="AEM64" s="124"/>
      <c r="AEN64" s="124"/>
      <c r="AEO64" s="125"/>
      <c r="AEP64" s="301"/>
      <c r="AEQ64" s="151"/>
      <c r="AER64" s="131">
        <f>SUM(ADP64:AEQ64)</f>
      </c>
      <c r="AES64" s="150">
        <f>XZ64+ZC64+AAF64+ABI64+ACL64+ADO64+AER64</f>
      </c>
      <c r="AET64" s="302">
        <f>(COUNTIF(WX64:AER64,"H")+COUNTIF(WX64:AER64,"S")+COUNTIF(WX64:AER64,"L")+COUNTIF(WX64:AER64,"E")+COUNTIF(WX64:AER64,"C"))/2</f>
      </c>
      <c r="AEU64" s="131">
        <f>AES64+AET64</f>
      </c>
      <c r="AEV64" s="374"/>
      <c r="AEW64" s="375"/>
      <c r="AEX64" s="15"/>
      <c r="AEY64" s="19"/>
      <c r="AEZ64" s="19"/>
      <c r="AFA64" s="25">
        <v>0.5</v>
      </c>
      <c r="AFB64" s="25">
        <v>0.5</v>
      </c>
      <c r="AFC64" s="25">
        <v>0.5</v>
      </c>
      <c r="AFD64" s="25">
        <v>0.5</v>
      </c>
      <c r="AFE64" s="418">
        <v>0.5</v>
      </c>
      <c r="AFF64" s="421">
        <v>0.5</v>
      </c>
      <c r="AFG64" s="25">
        <v>0.5</v>
      </c>
      <c r="AFH64" s="19"/>
      <c r="AFI64" s="323"/>
      <c r="AFJ64" s="420">
        <v>0.5</v>
      </c>
      <c r="AFK64" s="25">
        <v>0.5</v>
      </c>
      <c r="AFL64" s="25">
        <v>0.5</v>
      </c>
      <c r="AFM64" s="25">
        <v>0.5</v>
      </c>
      <c r="AFN64" s="25">
        <v>0.5</v>
      </c>
      <c r="AFO64" s="25">
        <v>0.5</v>
      </c>
      <c r="AFP64" s="25">
        <v>0.5</v>
      </c>
      <c r="AFQ64" s="25">
        <v>0.5</v>
      </c>
      <c r="AFR64" s="25">
        <v>0.5</v>
      </c>
      <c r="AFS64" s="19"/>
      <c r="AFT64" s="19"/>
      <c r="AFU64" s="414"/>
      <c r="AFV64" s="407"/>
      <c r="AFW64" s="408"/>
      <c r="AFX64" s="131">
        <f>SUM(AEV64:AFW64)</f>
      </c>
      <c r="AFY64" s="374"/>
      <c r="AFZ64" s="375"/>
      <c r="AGA64" s="15"/>
      <c r="AGB64" s="19"/>
      <c r="AGC64" s="19"/>
      <c r="AGD64" s="143">
        <v>0.5</v>
      </c>
      <c r="AGE64" s="143">
        <v>0.5</v>
      </c>
      <c r="AGF64" s="143">
        <v>0.5</v>
      </c>
      <c r="AGG64" s="143">
        <v>0.5</v>
      </c>
      <c r="AGH64" s="154">
        <v>0.5</v>
      </c>
      <c r="AGI64" s="404">
        <v>0.5</v>
      </c>
      <c r="AGJ64" s="143">
        <v>0.5</v>
      </c>
      <c r="AGK64" s="19"/>
      <c r="AGL64" s="323"/>
      <c r="AGM64" s="339">
        <v>0.5</v>
      </c>
      <c r="AGN64" s="143">
        <v>0.5</v>
      </c>
      <c r="AGO64" s="143">
        <v>0.5</v>
      </c>
      <c r="AGP64" s="143">
        <v>0.5</v>
      </c>
      <c r="AGQ64" s="143">
        <v>0.5</v>
      </c>
      <c r="AGR64" s="143">
        <v>0.5</v>
      </c>
      <c r="AGS64" s="143">
        <v>0.5</v>
      </c>
      <c r="AGT64" s="143">
        <v>0.5</v>
      </c>
      <c r="AGU64" s="143">
        <v>0.5</v>
      </c>
      <c r="AGV64" s="19"/>
      <c r="AGW64" s="19"/>
      <c r="AGX64" s="414"/>
      <c r="AGY64" s="407"/>
      <c r="AGZ64" s="408"/>
      <c r="AHA64" s="131">
        <f>SUM(AFY64:AGZ64)</f>
      </c>
      <c r="AHB64" s="374"/>
      <c r="AHC64" s="375"/>
      <c r="AHD64" s="15"/>
      <c r="AHE64" s="19"/>
      <c r="AHF64" s="19"/>
      <c r="AHG64" s="143">
        <v>0.5</v>
      </c>
      <c r="AHH64" s="143">
        <v>0.5</v>
      </c>
      <c r="AHI64" s="143">
        <v>0.5</v>
      </c>
      <c r="AHJ64" s="143">
        <v>0.5</v>
      </c>
      <c r="AHK64" s="154">
        <v>0.5</v>
      </c>
      <c r="AHL64" s="404">
        <v>0.5</v>
      </c>
      <c r="AHM64" s="143">
        <v>0.5</v>
      </c>
      <c r="AHN64" s="19"/>
      <c r="AHO64" s="323"/>
      <c r="AHP64" s="339">
        <v>0.5</v>
      </c>
      <c r="AHQ64" s="143">
        <v>0.5</v>
      </c>
      <c r="AHR64" s="143">
        <v>0.5</v>
      </c>
      <c r="AHS64" s="143">
        <v>0.5</v>
      </c>
      <c r="AHT64" s="143">
        <v>0.5</v>
      </c>
      <c r="AHU64" s="143">
        <v>0.5</v>
      </c>
      <c r="AHV64" s="143">
        <v>0.5</v>
      </c>
      <c r="AHW64" s="143">
        <v>0.5</v>
      </c>
      <c r="AHX64" s="143">
        <v>0.5</v>
      </c>
      <c r="AHY64" s="19"/>
      <c r="AHZ64" s="19"/>
      <c r="AIA64" s="414"/>
      <c r="AIB64" s="407"/>
      <c r="AIC64" s="408"/>
      <c r="AID64" s="131">
        <f>SUM(AHB64:AIC64)</f>
      </c>
      <c r="AIE64" s="374"/>
      <c r="AIF64" s="375"/>
      <c r="AIG64" s="15"/>
      <c r="AIH64" s="19"/>
      <c r="AII64" s="19"/>
      <c r="AIJ64" s="143">
        <v>0.5</v>
      </c>
      <c r="AIK64" s="143">
        <v>0.5</v>
      </c>
      <c r="AIL64" s="143">
        <v>0.5</v>
      </c>
      <c r="AIM64" s="143">
        <v>0.5</v>
      </c>
      <c r="AIN64" s="154">
        <v>0.5</v>
      </c>
      <c r="AIO64" s="404">
        <v>0.5</v>
      </c>
      <c r="AIP64" s="143">
        <v>0.5</v>
      </c>
      <c r="AIQ64" s="19"/>
      <c r="AIR64" s="323"/>
      <c r="AIS64" s="339">
        <v>0.5</v>
      </c>
      <c r="AIT64" s="143">
        <v>0.5</v>
      </c>
      <c r="AIU64" s="143">
        <v>0.5</v>
      </c>
      <c r="AIV64" s="143">
        <v>0.5</v>
      </c>
      <c r="AIW64" s="143">
        <v>0.5</v>
      </c>
      <c r="AIX64" s="143">
        <v>0.5</v>
      </c>
      <c r="AIY64" s="143">
        <v>0.5</v>
      </c>
      <c r="AIZ64" s="143">
        <v>0.5</v>
      </c>
      <c r="AJA64" s="143">
        <v>0.5</v>
      </c>
      <c r="AJB64" s="19"/>
      <c r="AJC64" s="19"/>
      <c r="AJD64" s="414"/>
      <c r="AJE64" s="407"/>
      <c r="AJF64" s="408"/>
      <c r="AJG64" s="131">
        <f>SUM(AIE64:AJF64)</f>
      </c>
      <c r="AJH64" s="374"/>
      <c r="AJI64" s="375"/>
      <c r="AJJ64" s="15"/>
      <c r="AJK64" s="19"/>
      <c r="AJL64" s="19"/>
      <c r="AJM64" s="143">
        <v>0.5</v>
      </c>
      <c r="AJN64" s="143">
        <v>0.5</v>
      </c>
      <c r="AJO64" s="143">
        <v>0.5</v>
      </c>
      <c r="AJP64" s="143">
        <v>0.5</v>
      </c>
      <c r="AJQ64" s="154">
        <v>0.5</v>
      </c>
      <c r="AJR64" s="404">
        <v>0.5</v>
      </c>
      <c r="AJS64" s="143">
        <v>0.5</v>
      </c>
      <c r="AJT64" s="19"/>
      <c r="AJU64" s="323"/>
      <c r="AJV64" s="339">
        <v>0.5</v>
      </c>
      <c r="AJW64" s="143">
        <v>0.5</v>
      </c>
      <c r="AJX64" s="143">
        <v>0.5</v>
      </c>
      <c r="AJY64" s="143">
        <v>0.5</v>
      </c>
      <c r="AJZ64" s="143">
        <v>0.5</v>
      </c>
      <c r="AKA64" s="143">
        <v>0.5</v>
      </c>
      <c r="AKB64" s="143">
        <v>0.5</v>
      </c>
      <c r="AKC64" s="143">
        <v>0.5</v>
      </c>
      <c r="AKD64" s="143">
        <v>0.5</v>
      </c>
      <c r="AKE64" s="19"/>
      <c r="AKF64" s="19"/>
      <c r="AKG64" s="414"/>
      <c r="AKH64" s="407"/>
      <c r="AKI64" s="408"/>
      <c r="AKJ64" s="131">
        <f>SUM(AJH64:AKI64)</f>
      </c>
      <c r="AKK64" s="121"/>
      <c r="AKL64" s="122"/>
      <c r="AKM64" s="123"/>
      <c r="AKN64" s="124"/>
      <c r="AKO64" s="124"/>
      <c r="AKP64" s="124"/>
      <c r="AKQ64" s="124"/>
      <c r="AKR64" s="124"/>
      <c r="AKS64" s="124"/>
      <c r="AKT64" s="125"/>
      <c r="AKU64" s="126"/>
      <c r="AKV64" s="124"/>
      <c r="AKW64" s="124"/>
      <c r="AKX64" s="127"/>
      <c r="AKY64" s="123"/>
      <c r="AKZ64" s="124"/>
      <c r="ALA64" s="124"/>
      <c r="ALB64" s="124"/>
      <c r="ALC64" s="124"/>
      <c r="ALD64" s="124"/>
      <c r="ALE64" s="124"/>
      <c r="ALF64" s="124"/>
      <c r="ALG64" s="124"/>
      <c r="ALH64" s="124"/>
      <c r="ALI64" s="124"/>
      <c r="ALJ64" s="125"/>
      <c r="ALK64" s="301"/>
      <c r="ALL64" s="151"/>
      <c r="ALM64" s="131">
        <f>SUM(AKK64:ALL64)</f>
      </c>
      <c r="ALN64" s="121"/>
      <c r="ALO64" s="122"/>
      <c r="ALP64" s="123"/>
      <c r="ALQ64" s="124"/>
      <c r="ALR64" s="124"/>
      <c r="ALS64" s="124"/>
      <c r="ALT64" s="124"/>
      <c r="ALU64" s="124"/>
      <c r="ALV64" s="124"/>
      <c r="ALW64" s="125"/>
      <c r="ALX64" s="126"/>
      <c r="ALY64" s="124"/>
      <c r="ALZ64" s="124"/>
      <c r="AMA64" s="127"/>
      <c r="AMB64" s="123"/>
      <c r="AMC64" s="124"/>
      <c r="AMD64" s="124"/>
      <c r="AME64" s="124"/>
      <c r="AMF64" s="124"/>
      <c r="AMG64" s="124"/>
      <c r="AMH64" s="124"/>
      <c r="AMI64" s="124"/>
      <c r="AMJ64" s="124"/>
      <c r="AMK64" s="124"/>
      <c r="AML64" s="124"/>
      <c r="AMM64" s="125"/>
      <c r="AMN64" s="301"/>
      <c r="AMO64" s="151"/>
      <c r="AMP64" s="131">
        <f>SUM(ALN64:AMO64)</f>
      </c>
      <c r="AMQ64" s="150">
        <f>AFX64+AHA64+AID64+AJG64+AKJ64+ALM64+AMP64</f>
      </c>
      <c r="AMR64" s="302">
        <f>(COUNTIF(AEV64:AMP64,"H")+COUNTIF(AEV64:AMP64,"S")+COUNTIF(AEV64:AMP64,"L")+COUNTIF(AEV64:AMP64,"E")+COUNTIF(AEV64:AMP64,"C"))/2</f>
      </c>
      <c r="AMS64" s="131">
        <f>AMQ64+AMR64</f>
      </c>
      <c r="AMT64" s="4"/>
      <c r="AMU64" s="4"/>
      <c r="AMV64" s="4"/>
      <c r="AMW64" s="4"/>
      <c r="AMX64" s="4"/>
      <c r="AMY64" s="4"/>
      <c r="AMZ64" s="4"/>
      <c r="ANA64" s="4"/>
      <c r="ANB64" s="4"/>
      <c r="ANC64" s="4"/>
      <c r="AND64" s="4"/>
      <c r="ANE64" s="4"/>
      <c r="ANF64" s="4"/>
      <c r="ANG64" s="4"/>
      <c r="ANH64" s="4"/>
      <c r="ANI64" s="4"/>
      <c r="ANJ64" s="13"/>
      <c r="ANK64" s="13"/>
      <c r="ANL64" s="4"/>
      <c r="ANM64" s="4"/>
      <c r="ANN64" s="4"/>
      <c r="ANO64" s="4"/>
      <c r="ANP64" s="4"/>
      <c r="ANQ64" s="4"/>
      <c r="ANR64" s="4"/>
      <c r="ANS64" s="4"/>
      <c r="ANT64" s="4"/>
      <c r="ANU64" s="4"/>
      <c r="ANV64" s="4"/>
      <c r="ANW64" s="4"/>
      <c r="ANX64" s="4"/>
      <c r="ANY64" s="4"/>
      <c r="ANZ64" s="4"/>
      <c r="AOA64" s="4"/>
      <c r="AOB64" s="4"/>
      <c r="AOC64" s="4"/>
      <c r="AOD64" s="4"/>
      <c r="AOE64" s="4"/>
      <c r="AOF64" s="4"/>
      <c r="AOG64" s="4"/>
      <c r="AOH64" s="4"/>
      <c r="AOI64" s="4"/>
      <c r="AOJ64" s="4"/>
      <c r="AOK64" s="4"/>
      <c r="AOL64" s="4"/>
      <c r="AOM64" s="4"/>
      <c r="AON64" s="4"/>
      <c r="AOO64" s="4"/>
      <c r="AOP64" s="4"/>
      <c r="AOQ64" s="4"/>
      <c r="AOR64" s="4"/>
      <c r="AOS64" s="4"/>
      <c r="AOT64" s="4"/>
      <c r="AOU64" s="4"/>
      <c r="AOV64" s="4"/>
      <c r="AOW64" s="4"/>
      <c r="AOX64" s="4"/>
      <c r="AOY64" s="4"/>
      <c r="AOZ64" s="4"/>
      <c r="APA64" s="4"/>
      <c r="APB64" s="4"/>
      <c r="APC64" s="4"/>
      <c r="APD64" s="4"/>
      <c r="APE64" s="4"/>
      <c r="APF64" s="4"/>
      <c r="APG64" s="4"/>
      <c r="APH64" s="4"/>
      <c r="API64" s="4"/>
      <c r="APJ64" s="4"/>
      <c r="APK64" s="4"/>
      <c r="APL64" s="4"/>
      <c r="APM64" s="4"/>
      <c r="APN64" s="4"/>
      <c r="APO64" s="4"/>
      <c r="APP64" s="4"/>
      <c r="APQ64" s="4"/>
      <c r="APR64" s="4"/>
      <c r="APS64" s="4"/>
      <c r="APT64" s="4"/>
      <c r="APU64" s="4"/>
      <c r="APV64" s="4"/>
      <c r="APW64" s="4"/>
      <c r="APX64" s="4"/>
      <c r="APY64" s="4"/>
      <c r="APZ64" s="4"/>
      <c r="AQA64" s="4"/>
      <c r="AQB64" s="4"/>
      <c r="AQC64" s="4"/>
      <c r="AQD64" s="4"/>
      <c r="AQE64" s="4"/>
      <c r="AQF64" s="4"/>
      <c r="AQG64" s="4"/>
      <c r="AQH64" s="4"/>
      <c r="AQI64" s="4"/>
      <c r="AQJ64" s="4"/>
      <c r="AQK64" s="4"/>
      <c r="AQL64" s="4"/>
      <c r="AQM64" s="4"/>
      <c r="AQN64" s="4"/>
      <c r="AQO64" s="4"/>
      <c r="AQP64" s="4"/>
      <c r="AQQ64" s="4"/>
      <c r="AQR64" s="4"/>
      <c r="AQS64" s="4"/>
      <c r="AQT64" s="4"/>
      <c r="AQU64" s="4"/>
      <c r="AQV64" s="4"/>
      <c r="AQW64" s="4"/>
      <c r="AQX64" s="4"/>
      <c r="AQY64" s="4"/>
      <c r="AQZ64" s="4"/>
      <c r="ARA64" s="4"/>
      <c r="ARB64" s="4"/>
      <c r="ARC64" s="4"/>
      <c r="ARD64" s="4"/>
      <c r="ARE64" s="4"/>
      <c r="ARF64" s="4"/>
      <c r="ARG64" s="4"/>
      <c r="ARH64" s="4"/>
      <c r="ARI64" s="4"/>
      <c r="ARJ64" s="4"/>
      <c r="ARK64" s="4"/>
      <c r="ARL64" s="4"/>
      <c r="ARM64" s="4"/>
      <c r="ARN64" s="4"/>
      <c r="ARO64" s="4"/>
      <c r="ARP64" s="4"/>
      <c r="ARQ64" s="4"/>
      <c r="ARR64" s="4"/>
      <c r="ARS64" s="4"/>
      <c r="ART64" s="4"/>
      <c r="ARU64" s="4"/>
      <c r="ARV64" s="4"/>
      <c r="ARW64" s="4"/>
      <c r="ARX64" s="4"/>
      <c r="ARY64" s="4"/>
      <c r="ARZ64" s="4"/>
      <c r="ASA64" s="4"/>
      <c r="ASB64" s="4"/>
      <c r="ASC64" s="4"/>
      <c r="ASD64" s="4"/>
      <c r="ASE64" s="4"/>
      <c r="ASF64" s="4"/>
      <c r="ASG64" s="4"/>
      <c r="ASH64" s="4"/>
      <c r="ASI64" s="4"/>
      <c r="ASJ64" s="4"/>
      <c r="ASK64" s="4"/>
      <c r="ASL64" s="4"/>
      <c r="ASM64" s="4"/>
      <c r="ASN64" s="4"/>
      <c r="ASO64" s="4"/>
      <c r="ASP64" s="4"/>
      <c r="ASQ64" s="4"/>
      <c r="ASR64" s="4"/>
      <c r="ASS64" s="4"/>
      <c r="AST64" s="4"/>
      <c r="ASU64" s="4"/>
    </row>
    <row r="65" ht="15" customHeight="1" spans="1:1191" x14ac:dyDescent="0.25">
      <c r="A65" s="118"/>
      <c r="B65" s="423" t="s">
        <v>103</v>
      </c>
      <c r="C65" s="289" t="s">
        <v>101</v>
      </c>
      <c r="D65" s="121"/>
      <c r="E65" s="122"/>
      <c r="F65" s="123"/>
      <c r="G65" s="124"/>
      <c r="H65" s="124"/>
      <c r="I65" s="124"/>
      <c r="J65" s="124"/>
      <c r="K65" s="124"/>
      <c r="L65" s="124"/>
      <c r="M65" s="125"/>
      <c r="N65" s="126"/>
      <c r="O65" s="124"/>
      <c r="P65" s="124"/>
      <c r="Q65" s="127"/>
      <c r="R65" s="123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5"/>
      <c r="AD65" s="301"/>
      <c r="AE65" s="151"/>
      <c r="AF65" s="130">
        <f>SUM(D65:AE65)</f>
      </c>
      <c r="AG65" s="121"/>
      <c r="AH65" s="122"/>
      <c r="AI65" s="123"/>
      <c r="AJ65" s="124"/>
      <c r="AK65" s="124"/>
      <c r="AL65" s="124"/>
      <c r="AM65" s="124"/>
      <c r="AN65" s="124"/>
      <c r="AO65" s="124"/>
      <c r="AP65" s="125"/>
      <c r="AQ65" s="126"/>
      <c r="AR65" s="124"/>
      <c r="AS65" s="124"/>
      <c r="AT65" s="127"/>
      <c r="AU65" s="123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5"/>
      <c r="BG65" s="301"/>
      <c r="BH65" s="151"/>
      <c r="BI65" s="130">
        <f>SUM(AG65:BH65)</f>
      </c>
      <c r="BJ65" s="121"/>
      <c r="BK65" s="122"/>
      <c r="BL65" s="123"/>
      <c r="BM65" s="124"/>
      <c r="BN65" s="124"/>
      <c r="BO65" s="124"/>
      <c r="BP65" s="124"/>
      <c r="BQ65" s="124"/>
      <c r="BR65" s="124"/>
      <c r="BS65" s="125"/>
      <c r="BT65" s="126"/>
      <c r="BU65" s="124"/>
      <c r="BV65" s="124"/>
      <c r="BW65" s="127"/>
      <c r="BX65" s="123"/>
      <c r="BY65" s="124"/>
      <c r="BZ65" s="124"/>
      <c r="CA65" s="124"/>
      <c r="CB65" s="124"/>
      <c r="CC65" s="124"/>
      <c r="CD65" s="124"/>
      <c r="CE65" s="124"/>
      <c r="CF65" s="124"/>
      <c r="CG65" s="124"/>
      <c r="CH65" s="124"/>
      <c r="CI65" s="125"/>
      <c r="CJ65" s="301"/>
      <c r="CK65" s="151"/>
      <c r="CL65" s="130">
        <f>SUM(BJ65:CK65)</f>
      </c>
      <c r="CM65" s="121"/>
      <c r="CN65" s="122"/>
      <c r="CO65" s="123"/>
      <c r="CP65" s="124"/>
      <c r="CQ65" s="124"/>
      <c r="CR65" s="124"/>
      <c r="CS65" s="124"/>
      <c r="CT65" s="124"/>
      <c r="CU65" s="124"/>
      <c r="CV65" s="125"/>
      <c r="CW65" s="126"/>
      <c r="CX65" s="124"/>
      <c r="CY65" s="124"/>
      <c r="CZ65" s="127"/>
      <c r="DA65" s="123"/>
      <c r="DB65" s="124"/>
      <c r="DC65" s="124"/>
      <c r="DD65" s="124"/>
      <c r="DE65" s="124"/>
      <c r="DF65" s="124"/>
      <c r="DG65" s="124"/>
      <c r="DH65" s="124"/>
      <c r="DI65" s="124"/>
      <c r="DJ65" s="124"/>
      <c r="DK65" s="124"/>
      <c r="DL65" s="125"/>
      <c r="DM65" s="301"/>
      <c r="DN65" s="151"/>
      <c r="DO65" s="130">
        <f>SUM(CM65:DN65)</f>
      </c>
      <c r="DP65" s="121"/>
      <c r="DQ65" s="122"/>
      <c r="DR65" s="123"/>
      <c r="DS65" s="124"/>
      <c r="DT65" s="124"/>
      <c r="DU65" s="124"/>
      <c r="DV65" s="124"/>
      <c r="DW65" s="124"/>
      <c r="DX65" s="124"/>
      <c r="DY65" s="125"/>
      <c r="DZ65" s="126"/>
      <c r="EA65" s="124"/>
      <c r="EB65" s="124"/>
      <c r="EC65" s="127"/>
      <c r="ED65" s="123"/>
      <c r="EE65" s="124"/>
      <c r="EF65" s="124"/>
      <c r="EG65" s="124"/>
      <c r="EH65" s="124"/>
      <c r="EI65" s="124"/>
      <c r="EJ65" s="124"/>
      <c r="EK65" s="124"/>
      <c r="EL65" s="124"/>
      <c r="EM65" s="124"/>
      <c r="EN65" s="124"/>
      <c r="EO65" s="125"/>
      <c r="EP65" s="301"/>
      <c r="EQ65" s="151"/>
      <c r="ER65" s="130">
        <f>SUM(DP65:EQ65)</f>
      </c>
      <c r="ES65" s="121"/>
      <c r="ET65" s="122"/>
      <c r="EU65" s="123"/>
      <c r="EV65" s="124"/>
      <c r="EW65" s="124"/>
      <c r="EX65" s="124"/>
      <c r="EY65" s="124"/>
      <c r="EZ65" s="124"/>
      <c r="FA65" s="124"/>
      <c r="FB65" s="125"/>
      <c r="FC65" s="126"/>
      <c r="FD65" s="124"/>
      <c r="FE65" s="124"/>
      <c r="FF65" s="127"/>
      <c r="FG65" s="123"/>
      <c r="FH65" s="124"/>
      <c r="FI65" s="124"/>
      <c r="FJ65" s="124"/>
      <c r="FK65" s="124"/>
      <c r="FL65" s="124"/>
      <c r="FM65" s="124"/>
      <c r="FN65" s="124"/>
      <c r="FO65" s="124"/>
      <c r="FP65" s="124"/>
      <c r="FQ65" s="124"/>
      <c r="FR65" s="125"/>
      <c r="FS65" s="301"/>
      <c r="FT65" s="151"/>
      <c r="FU65" s="130">
        <f>SUM(ES65:FT65)</f>
      </c>
      <c r="FV65" s="121"/>
      <c r="FW65" s="122"/>
      <c r="FX65" s="123"/>
      <c r="FY65" s="124"/>
      <c r="FZ65" s="124"/>
      <c r="GA65" s="124"/>
      <c r="GB65" s="124"/>
      <c r="GC65" s="124"/>
      <c r="GD65" s="124"/>
      <c r="GE65" s="125"/>
      <c r="GF65" s="126"/>
      <c r="GG65" s="124"/>
      <c r="GH65" s="124"/>
      <c r="GI65" s="127"/>
      <c r="GJ65" s="123"/>
      <c r="GK65" s="124"/>
      <c r="GL65" s="124"/>
      <c r="GM65" s="124"/>
      <c r="GN65" s="124"/>
      <c r="GO65" s="124"/>
      <c r="GP65" s="124"/>
      <c r="GQ65" s="124"/>
      <c r="GR65" s="124"/>
      <c r="GS65" s="124"/>
      <c r="GT65" s="124"/>
      <c r="GU65" s="125"/>
      <c r="GV65" s="301"/>
      <c r="GW65" s="151"/>
      <c r="GX65" s="130">
        <f>SUM(FV65:GW65)</f>
      </c>
      <c r="GY65" s="150">
        <f>AF65+BI65+CL65+DO65+ER65+FU65+GX65</f>
      </c>
      <c r="GZ65" s="302">
        <f>(COUNTIF(D65:GX65,"H")+COUNTIF(D65:GX65,"S")+COUNTIF(D65:GX65,"L")+COUNTIF(D65:GX65,"E")+COUNTIF(D65:GX65,"C"))/2</f>
      </c>
      <c r="HA65" s="131">
        <f>GY65+GZ65</f>
      </c>
      <c r="HB65" s="374"/>
      <c r="HC65" s="375"/>
      <c r="HD65" s="15"/>
      <c r="HE65" s="19"/>
      <c r="HF65" s="143">
        <v>0.5</v>
      </c>
      <c r="HG65" s="143">
        <v>0.5</v>
      </c>
      <c r="HH65" s="143">
        <v>0.5</v>
      </c>
      <c r="HI65" s="143">
        <v>0.5</v>
      </c>
      <c r="HJ65" s="143">
        <v>0.5</v>
      </c>
      <c r="HK65" s="154">
        <v>0.5</v>
      </c>
      <c r="HL65" s="404">
        <v>0.5</v>
      </c>
      <c r="HM65" s="143">
        <v>0.5</v>
      </c>
      <c r="HN65" s="19"/>
      <c r="HO65" s="323"/>
      <c r="HP65" s="339">
        <v>0.5</v>
      </c>
      <c r="HQ65" s="143">
        <v>0.5</v>
      </c>
      <c r="HR65" s="143">
        <v>0.5</v>
      </c>
      <c r="HS65" s="143">
        <v>0.5</v>
      </c>
      <c r="HT65" s="143">
        <v>0.5</v>
      </c>
      <c r="HU65" s="143">
        <v>0.5</v>
      </c>
      <c r="HV65" s="143">
        <v>0.5</v>
      </c>
      <c r="HW65" s="143">
        <v>0.5</v>
      </c>
      <c r="HX65" s="143">
        <v>0.5</v>
      </c>
      <c r="HY65" s="19"/>
      <c r="HZ65" s="19"/>
      <c r="IA65" s="414"/>
      <c r="IB65" s="407"/>
      <c r="IC65" s="408"/>
      <c r="ID65" s="130">
        <f>SUM(HB65:IC65)</f>
      </c>
      <c r="IE65" s="374"/>
      <c r="IF65" s="375"/>
      <c r="IG65" s="15"/>
      <c r="IH65" s="19"/>
      <c r="II65" s="143">
        <v>0.5</v>
      </c>
      <c r="IJ65" s="143">
        <v>0.5</v>
      </c>
      <c r="IK65" s="143">
        <v>0.5</v>
      </c>
      <c r="IL65" s="143">
        <v>0.5</v>
      </c>
      <c r="IM65" s="143">
        <v>0.5</v>
      </c>
      <c r="IN65" s="154">
        <v>0.5</v>
      </c>
      <c r="IO65" s="404">
        <v>0.5</v>
      </c>
      <c r="IP65" s="143">
        <v>0.5</v>
      </c>
      <c r="IQ65" s="19"/>
      <c r="IR65" s="323"/>
      <c r="IS65" s="339">
        <v>0.5</v>
      </c>
      <c r="IT65" s="143">
        <v>0.5</v>
      </c>
      <c r="IU65" s="143">
        <v>0.5</v>
      </c>
      <c r="IV65" s="143">
        <v>0.5</v>
      </c>
      <c r="IW65" s="143">
        <v>0.5</v>
      </c>
      <c r="IX65" s="143">
        <v>0.5</v>
      </c>
      <c r="IY65" s="143">
        <v>0.5</v>
      </c>
      <c r="IZ65" s="143">
        <v>0.5</v>
      </c>
      <c r="JA65" s="143">
        <v>0.5</v>
      </c>
      <c r="JB65" s="19"/>
      <c r="JC65" s="19"/>
      <c r="JD65" s="414"/>
      <c r="JE65" s="407"/>
      <c r="JF65" s="408"/>
      <c r="JG65" s="130">
        <f>SUM(IE65:JF65)</f>
      </c>
      <c r="JH65" s="374"/>
      <c r="JI65" s="375"/>
      <c r="JJ65" s="15"/>
      <c r="JK65" s="18" t="s">
        <v>4</v>
      </c>
      <c r="JL65" s="18" t="s">
        <v>4</v>
      </c>
      <c r="JM65" s="18" t="s">
        <v>4</v>
      </c>
      <c r="JN65" s="18" t="s">
        <v>4</v>
      </c>
      <c r="JO65" s="18" t="s">
        <v>4</v>
      </c>
      <c r="JP65" s="18" t="s">
        <v>4</v>
      </c>
      <c r="JQ65" s="222" t="s">
        <v>4</v>
      </c>
      <c r="JR65" s="412"/>
      <c r="JS65" s="19"/>
      <c r="JT65" s="18" t="s">
        <v>4</v>
      </c>
      <c r="JU65" s="224" t="s">
        <v>4</v>
      </c>
      <c r="JV65" s="225" t="s">
        <v>4</v>
      </c>
      <c r="JW65" s="18" t="s">
        <v>4</v>
      </c>
      <c r="JX65" s="18" t="s">
        <v>4</v>
      </c>
      <c r="JY65" s="18" t="s">
        <v>4</v>
      </c>
      <c r="JZ65" s="18" t="s">
        <v>4</v>
      </c>
      <c r="KA65" s="18" t="s">
        <v>4</v>
      </c>
      <c r="KB65" s="18" t="s">
        <v>4</v>
      </c>
      <c r="KC65" s="19"/>
      <c r="KD65" s="19"/>
      <c r="KE65" s="19"/>
      <c r="KF65" s="19"/>
      <c r="KG65" s="414"/>
      <c r="KH65" s="407"/>
      <c r="KI65" s="408"/>
      <c r="KJ65" s="130">
        <f>SUM(JH65:KI65)</f>
      </c>
      <c r="KK65" s="374"/>
      <c r="KL65" s="375"/>
      <c r="KM65" s="15"/>
      <c r="KN65" s="19"/>
      <c r="KO65" s="143">
        <v>0.5</v>
      </c>
      <c r="KP65" s="143">
        <v>0.5</v>
      </c>
      <c r="KQ65" s="143">
        <v>0.5</v>
      </c>
      <c r="KR65" s="143">
        <v>0.5</v>
      </c>
      <c r="KS65" s="143">
        <v>0.5</v>
      </c>
      <c r="KT65" s="154">
        <v>0.5</v>
      </c>
      <c r="KU65" s="404">
        <v>0.5</v>
      </c>
      <c r="KV65" s="143">
        <v>0.5</v>
      </c>
      <c r="KW65" s="19"/>
      <c r="KX65" s="323"/>
      <c r="KY65" s="339">
        <v>0.5</v>
      </c>
      <c r="KZ65" s="143">
        <v>0.5</v>
      </c>
      <c r="LA65" s="26" t="s">
        <v>9</v>
      </c>
      <c r="LB65" s="26" t="s">
        <v>9</v>
      </c>
      <c r="LC65" s="26" t="s">
        <v>9</v>
      </c>
      <c r="LD65" s="143">
        <v>0.5</v>
      </c>
      <c r="LE65" s="143">
        <v>0.5</v>
      </c>
      <c r="LF65" s="143">
        <v>0.5</v>
      </c>
      <c r="LG65" s="143">
        <v>0.5</v>
      </c>
      <c r="LH65" s="19"/>
      <c r="LI65" s="19"/>
      <c r="LJ65" s="414"/>
      <c r="LK65" s="407"/>
      <c r="LL65" s="408"/>
      <c r="LM65" s="130">
        <f>SUM(KK65:LL65)</f>
      </c>
      <c r="LN65" s="374"/>
      <c r="LO65" s="375"/>
      <c r="LP65" s="339">
        <v>0.5</v>
      </c>
      <c r="LQ65" s="143">
        <v>0.5</v>
      </c>
      <c r="LR65" s="143">
        <v>0.5</v>
      </c>
      <c r="LS65" s="143">
        <v>0.5</v>
      </c>
      <c r="LT65" s="143">
        <v>0.5</v>
      </c>
      <c r="LU65" s="143">
        <v>0.5</v>
      </c>
      <c r="LV65" s="143">
        <v>0.5</v>
      </c>
      <c r="LW65" s="154">
        <v>0.5</v>
      </c>
      <c r="LX65" s="404">
        <v>0.5</v>
      </c>
      <c r="LY65" s="143">
        <v>0.5</v>
      </c>
      <c r="LZ65" s="19"/>
      <c r="MA65" s="323"/>
      <c r="MB65" s="15"/>
      <c r="MC65" s="19"/>
      <c r="MD65" s="19"/>
      <c r="ME65" s="19"/>
      <c r="MF65" s="19"/>
      <c r="MG65" s="19"/>
      <c r="MH65" s="19"/>
      <c r="MI65" s="19"/>
      <c r="MJ65" s="19"/>
      <c r="MK65" s="19"/>
      <c r="ML65" s="19"/>
      <c r="MM65" s="414"/>
      <c r="MN65" s="407"/>
      <c r="MO65" s="408"/>
      <c r="MP65" s="130">
        <f>SUM(LN65:MO65)</f>
      </c>
      <c r="MQ65" s="121"/>
      <c r="MR65" s="122"/>
      <c r="MS65" s="123"/>
      <c r="MT65" s="124"/>
      <c r="MU65" s="124"/>
      <c r="MV65" s="124"/>
      <c r="MW65" s="124"/>
      <c r="MX65" s="124"/>
      <c r="MY65" s="124"/>
      <c r="MZ65" s="125"/>
      <c r="NA65" s="126"/>
      <c r="NB65" s="124"/>
      <c r="NC65" s="124"/>
      <c r="ND65" s="127"/>
      <c r="NE65" s="123"/>
      <c r="NF65" s="124"/>
      <c r="NG65" s="124"/>
      <c r="NH65" s="124"/>
      <c r="NI65" s="124"/>
      <c r="NJ65" s="124"/>
      <c r="NK65" s="124"/>
      <c r="NL65" s="124"/>
      <c r="NM65" s="124"/>
      <c r="NN65" s="124"/>
      <c r="NO65" s="124"/>
      <c r="NP65" s="125"/>
      <c r="NQ65" s="301"/>
      <c r="NR65" s="151"/>
      <c r="NS65" s="130">
        <f>SUM(MQ65:NR65)</f>
      </c>
      <c r="NT65" s="121"/>
      <c r="NU65" s="122"/>
      <c r="NV65" s="123"/>
      <c r="NW65" s="124"/>
      <c r="NX65" s="124"/>
      <c r="NY65" s="124"/>
      <c r="NZ65" s="124"/>
      <c r="OA65" s="124"/>
      <c r="OB65" s="124"/>
      <c r="OC65" s="125"/>
      <c r="OD65" s="126"/>
      <c r="OE65" s="124"/>
      <c r="OF65" s="124"/>
      <c r="OG65" s="127"/>
      <c r="OH65" s="123"/>
      <c r="OI65" s="124"/>
      <c r="OJ65" s="124"/>
      <c r="OK65" s="124"/>
      <c r="OL65" s="124"/>
      <c r="OM65" s="124"/>
      <c r="ON65" s="124"/>
      <c r="OO65" s="124"/>
      <c r="OP65" s="124"/>
      <c r="OQ65" s="124"/>
      <c r="OR65" s="124"/>
      <c r="OS65" s="125"/>
      <c r="OT65" s="301"/>
      <c r="OU65" s="151"/>
      <c r="OV65" s="130">
        <f>SUM(NT65:OU65)</f>
      </c>
      <c r="OW65" s="150">
        <f>ID65+JG65+KJ65+LM65+MP65+NS65+OV65</f>
      </c>
      <c r="OX65" s="302">
        <f>(COUNTIF(HB65:OV65,"H")+COUNTIF(HB65:OV65,"S")+COUNTIF(HB65:OV65,"L")+COUNTIF(HB65:OV65,"E")+COUNTIF(HB65:OV65,"C"))/2</f>
      </c>
      <c r="OY65" s="131">
        <f>OW65+OX65</f>
      </c>
      <c r="OZ65" s="374"/>
      <c r="PA65" s="375"/>
      <c r="PB65" s="15"/>
      <c r="PC65" s="19"/>
      <c r="PD65" s="143">
        <v>0.5</v>
      </c>
      <c r="PE65" s="143">
        <v>0.5</v>
      </c>
      <c r="PF65" s="143">
        <v>0.5</v>
      </c>
      <c r="PG65" s="143">
        <v>0.5</v>
      </c>
      <c r="PH65" s="143">
        <v>0.5</v>
      </c>
      <c r="PI65" s="154">
        <v>0.5</v>
      </c>
      <c r="PJ65" s="404">
        <v>0.5</v>
      </c>
      <c r="PK65" s="143">
        <v>0.5</v>
      </c>
      <c r="PL65" s="19"/>
      <c r="PM65" s="323"/>
      <c r="PN65" s="339">
        <v>0.5</v>
      </c>
      <c r="PO65" s="143">
        <v>0.5</v>
      </c>
      <c r="PP65" s="143">
        <v>0.5</v>
      </c>
      <c r="PQ65" s="143">
        <v>0.5</v>
      </c>
      <c r="PR65" s="143">
        <v>0.5</v>
      </c>
      <c r="PS65" s="143">
        <v>0.5</v>
      </c>
      <c r="PT65" s="143">
        <v>0.5</v>
      </c>
      <c r="PU65" s="143">
        <v>0.5</v>
      </c>
      <c r="PV65" s="143">
        <v>0.5</v>
      </c>
      <c r="PW65" s="19"/>
      <c r="PX65" s="19"/>
      <c r="PY65" s="414"/>
      <c r="PZ65" s="407"/>
      <c r="QA65" s="408"/>
      <c r="QB65" s="130">
        <f>SUM(OZ65:QA65)</f>
      </c>
      <c r="QC65" s="374"/>
      <c r="QD65" s="375"/>
      <c r="QE65" s="15"/>
      <c r="QF65" s="19"/>
      <c r="QG65" s="26" t="s">
        <v>9</v>
      </c>
      <c r="QH65" s="26" t="s">
        <v>9</v>
      </c>
      <c r="QI65" s="26" t="s">
        <v>9</v>
      </c>
      <c r="QJ65" s="143">
        <v>0.5</v>
      </c>
      <c r="QK65" s="143">
        <v>0.5</v>
      </c>
      <c r="QL65" s="154">
        <v>0.5</v>
      </c>
      <c r="QM65" s="404">
        <v>0.5</v>
      </c>
      <c r="QN65" s="143">
        <v>0.5</v>
      </c>
      <c r="QO65" s="19"/>
      <c r="QP65" s="323"/>
      <c r="QQ65" s="339">
        <v>0.5</v>
      </c>
      <c r="QR65" s="143">
        <v>0.5</v>
      </c>
      <c r="QS65" s="143">
        <v>0.5</v>
      </c>
      <c r="QT65" s="143">
        <v>0.5</v>
      </c>
      <c r="QU65" s="143">
        <v>0.5</v>
      </c>
      <c r="QV65" s="143">
        <v>0.5</v>
      </c>
      <c r="QW65" s="143">
        <v>0.5</v>
      </c>
      <c r="QX65" s="143">
        <v>0.5</v>
      </c>
      <c r="QY65" s="143">
        <v>0.5</v>
      </c>
      <c r="QZ65" s="19"/>
      <c r="RA65" s="19"/>
      <c r="RB65" s="414"/>
      <c r="RC65" s="407"/>
      <c r="RD65" s="408"/>
      <c r="RE65" s="130">
        <f>SUM(QC65:RD65)</f>
      </c>
      <c r="RF65" s="374"/>
      <c r="RG65" s="375"/>
      <c r="RH65" s="15"/>
      <c r="RI65" s="19"/>
      <c r="RJ65" s="143">
        <v>0.5</v>
      </c>
      <c r="RK65" s="143">
        <v>0.5</v>
      </c>
      <c r="RL65" s="143">
        <v>0.5</v>
      </c>
      <c r="RM65" s="143">
        <v>0.5</v>
      </c>
      <c r="RN65" s="143">
        <v>0.5</v>
      </c>
      <c r="RO65" s="154">
        <v>0.5</v>
      </c>
      <c r="RP65" s="404">
        <v>0.5</v>
      </c>
      <c r="RQ65" s="143">
        <v>0.5</v>
      </c>
      <c r="RR65" s="19"/>
      <c r="RS65" s="323"/>
      <c r="RT65" s="339">
        <v>0.5</v>
      </c>
      <c r="RU65" s="143">
        <v>0.5</v>
      </c>
      <c r="RV65" s="143">
        <v>0.5</v>
      </c>
      <c r="RW65" s="143">
        <v>0.5</v>
      </c>
      <c r="RX65" s="143">
        <v>0.5</v>
      </c>
      <c r="RY65" s="143">
        <v>0.5</v>
      </c>
      <c r="RZ65" s="143">
        <v>0.5</v>
      </c>
      <c r="SA65" s="143">
        <v>0.5</v>
      </c>
      <c r="SB65" s="143">
        <v>0.5</v>
      </c>
      <c r="SC65" s="19"/>
      <c r="SD65" s="19"/>
      <c r="SE65" s="414"/>
      <c r="SF65" s="407"/>
      <c r="SG65" s="408"/>
      <c r="SH65" s="130">
        <f>SUM(RF65:SG65)</f>
      </c>
      <c r="SI65" s="374"/>
      <c r="SJ65" s="375"/>
      <c r="SK65" s="15"/>
      <c r="SL65" s="19"/>
      <c r="SM65" s="143">
        <v>0.5</v>
      </c>
      <c r="SN65" s="143">
        <v>0.5</v>
      </c>
      <c r="SO65" s="143">
        <v>0.5</v>
      </c>
      <c r="SP65" s="143">
        <v>0.5</v>
      </c>
      <c r="SQ65" s="143">
        <v>0.5</v>
      </c>
      <c r="SR65" s="154">
        <v>0.5</v>
      </c>
      <c r="SS65" s="404">
        <v>0.5</v>
      </c>
      <c r="ST65" s="143">
        <v>0.5</v>
      </c>
      <c r="SU65" s="19"/>
      <c r="SV65" s="323"/>
      <c r="SW65" s="339">
        <v>0.5</v>
      </c>
      <c r="SX65" s="143">
        <v>0.5</v>
      </c>
      <c r="SY65" s="143">
        <v>0.5</v>
      </c>
      <c r="SZ65" s="143">
        <v>0.5</v>
      </c>
      <c r="TA65" s="143">
        <v>0.5</v>
      </c>
      <c r="TB65" s="143">
        <v>0.5</v>
      </c>
      <c r="TC65" s="143">
        <v>0.5</v>
      </c>
      <c r="TD65" s="143">
        <v>0.5</v>
      </c>
      <c r="TE65" s="143">
        <v>0.5</v>
      </c>
      <c r="TF65" s="19"/>
      <c r="TG65" s="19"/>
      <c r="TH65" s="414"/>
      <c r="TI65" s="407"/>
      <c r="TJ65" s="408"/>
      <c r="TK65" s="130">
        <f>SUM(SI65:TJ65)</f>
      </c>
      <c r="TL65" s="374"/>
      <c r="TM65" s="375"/>
      <c r="TN65" s="15"/>
      <c r="TO65" s="19"/>
      <c r="TP65" s="143">
        <v>0.5</v>
      </c>
      <c r="TQ65" s="143">
        <v>0.5</v>
      </c>
      <c r="TR65" s="143">
        <v>0.5</v>
      </c>
      <c r="TS65" s="143">
        <v>0.5</v>
      </c>
      <c r="TT65" s="143">
        <v>0.5</v>
      </c>
      <c r="TU65" s="154">
        <v>0.5</v>
      </c>
      <c r="TV65" s="404">
        <v>0.5</v>
      </c>
      <c r="TW65" s="143">
        <v>0.5</v>
      </c>
      <c r="TX65" s="143">
        <v>0.5</v>
      </c>
      <c r="TY65" s="340">
        <v>0.5</v>
      </c>
      <c r="TZ65" s="15"/>
      <c r="UA65" s="19"/>
      <c r="UB65" s="19"/>
      <c r="UC65" s="19"/>
      <c r="UD65" s="19"/>
      <c r="UE65" s="19"/>
      <c r="UF65" s="19"/>
      <c r="UG65" s="19"/>
      <c r="UH65" s="19"/>
      <c r="UI65" s="19"/>
      <c r="UJ65" s="19"/>
      <c r="UK65" s="414"/>
      <c r="UL65" s="407"/>
      <c r="UM65" s="408"/>
      <c r="UN65" s="130">
        <f>SUM(TL65:UM65)</f>
      </c>
      <c r="UO65" s="121"/>
      <c r="UP65" s="122"/>
      <c r="UQ65" s="123"/>
      <c r="UR65" s="124"/>
      <c r="US65" s="124"/>
      <c r="UT65" s="124"/>
      <c r="UU65" s="124"/>
      <c r="UV65" s="124"/>
      <c r="UW65" s="124"/>
      <c r="UX65" s="125"/>
      <c r="UY65" s="126"/>
      <c r="UZ65" s="124"/>
      <c r="VA65" s="124"/>
      <c r="VB65" s="127"/>
      <c r="VC65" s="123"/>
      <c r="VD65" s="124"/>
      <c r="VE65" s="124"/>
      <c r="VF65" s="124"/>
      <c r="VG65" s="124"/>
      <c r="VH65" s="124"/>
      <c r="VI65" s="124"/>
      <c r="VJ65" s="124"/>
      <c r="VK65" s="124"/>
      <c r="VL65" s="124"/>
      <c r="VM65" s="124"/>
      <c r="VN65" s="125"/>
      <c r="VO65" s="301"/>
      <c r="VP65" s="151"/>
      <c r="VQ65" s="130">
        <f>SUM(UO65:VP65)</f>
      </c>
      <c r="VR65" s="121"/>
      <c r="VS65" s="122"/>
      <c r="VT65" s="123"/>
      <c r="VU65" s="124"/>
      <c r="VV65" s="124"/>
      <c r="VW65" s="124"/>
      <c r="VX65" s="124"/>
      <c r="VY65" s="124"/>
      <c r="VZ65" s="124"/>
      <c r="WA65" s="125"/>
      <c r="WB65" s="126"/>
      <c r="WC65" s="124"/>
      <c r="WD65" s="124"/>
      <c r="WE65" s="127"/>
      <c r="WF65" s="123"/>
      <c r="WG65" s="124"/>
      <c r="WH65" s="124"/>
      <c r="WI65" s="124"/>
      <c r="WJ65" s="124"/>
      <c r="WK65" s="124"/>
      <c r="WL65" s="124"/>
      <c r="WM65" s="124"/>
      <c r="WN65" s="124"/>
      <c r="WO65" s="124"/>
      <c r="WP65" s="124"/>
      <c r="WQ65" s="125"/>
      <c r="WR65" s="301"/>
      <c r="WS65" s="151"/>
      <c r="WT65" s="130">
        <f>SUM(VR65:WS65)</f>
      </c>
      <c r="WU65" s="150">
        <f>QB65+RE65+SH65+TK65+UN65+VQ65+WT65</f>
      </c>
      <c r="WV65" s="302">
        <f>(COUNTIF(OZ65:WT65,"H")+COUNTIF(OZ65:WT65,"S")+COUNTIF(OZ65:WT65,"L")+COUNTIF(OZ65:WT65,"E")+COUNTIF(OZ65:WT65,"C"))/2</f>
      </c>
      <c r="WW65" s="131">
        <f>WU65+WV65</f>
      </c>
      <c r="WX65" s="374"/>
      <c r="WY65" s="375"/>
      <c r="WZ65" s="376"/>
      <c r="XA65" s="15"/>
      <c r="XB65" s="15">
        <v>0.5</v>
      </c>
      <c r="XC65" s="15">
        <v>0.5</v>
      </c>
      <c r="XD65" s="15">
        <v>0.5</v>
      </c>
      <c r="XE65" s="15">
        <v>0.5</v>
      </c>
      <c r="XF65" s="15">
        <v>0.5</v>
      </c>
      <c r="XG65" s="211">
        <v>0.5</v>
      </c>
      <c r="XH65" s="424">
        <v>0.5</v>
      </c>
      <c r="XI65" s="15">
        <v>0.5</v>
      </c>
      <c r="XJ65" s="15"/>
      <c r="XK65" s="392"/>
      <c r="XL65" s="377">
        <v>0.5</v>
      </c>
      <c r="XM65" s="15">
        <v>0.5</v>
      </c>
      <c r="XN65" s="15">
        <v>0.5</v>
      </c>
      <c r="XO65" s="15">
        <v>0.5</v>
      </c>
      <c r="XP65" s="15">
        <v>0.5</v>
      </c>
      <c r="XQ65" s="15">
        <v>0.5</v>
      </c>
      <c r="XR65" s="15">
        <v>0.5</v>
      </c>
      <c r="XS65" s="15">
        <v>0.5</v>
      </c>
      <c r="XT65" s="15">
        <v>0.5</v>
      </c>
      <c r="XU65" s="15"/>
      <c r="XV65" s="15"/>
      <c r="XW65" s="379"/>
      <c r="XX65" s="407"/>
      <c r="XY65" s="408"/>
      <c r="XZ65" s="130">
        <f>SUM(WX65:XY65)</f>
      </c>
      <c r="YA65" s="374"/>
      <c r="YB65" s="375"/>
      <c r="YC65" s="376"/>
      <c r="YD65" s="15"/>
      <c r="YE65" s="15">
        <v>0.5</v>
      </c>
      <c r="YF65" s="15">
        <v>0.5</v>
      </c>
      <c r="YG65" s="15">
        <v>0.5</v>
      </c>
      <c r="YH65" s="15">
        <v>0.5</v>
      </c>
      <c r="YI65" s="15">
        <v>0.5</v>
      </c>
      <c r="YJ65" s="211">
        <v>0.5</v>
      </c>
      <c r="YK65" s="424">
        <v>0.5</v>
      </c>
      <c r="YL65" s="15">
        <v>0.5</v>
      </c>
      <c r="YM65" s="15"/>
      <c r="YN65" s="392"/>
      <c r="YO65" s="377">
        <v>0.5</v>
      </c>
      <c r="YP65" s="15">
        <v>0.5</v>
      </c>
      <c r="YQ65" s="15">
        <v>0.5</v>
      </c>
      <c r="YR65" s="15">
        <v>0.5</v>
      </c>
      <c r="YS65" s="15">
        <v>0.5</v>
      </c>
      <c r="YT65" s="15">
        <v>0.5</v>
      </c>
      <c r="YU65" s="15">
        <v>0.5</v>
      </c>
      <c r="YV65" s="15">
        <v>0.5</v>
      </c>
      <c r="YW65" s="15">
        <v>0.5</v>
      </c>
      <c r="YX65" s="15"/>
      <c r="YY65" s="15"/>
      <c r="YZ65" s="379"/>
      <c r="ZA65" s="407"/>
      <c r="ZB65" s="408"/>
      <c r="ZC65" s="130">
        <f>SUM(YA65:ZB65)</f>
      </c>
      <c r="ZD65" s="374"/>
      <c r="ZE65" s="375"/>
      <c r="ZF65" s="376"/>
      <c r="ZG65" s="15"/>
      <c r="ZH65" s="24">
        <v>0.5</v>
      </c>
      <c r="ZI65" s="24">
        <v>0.5</v>
      </c>
      <c r="ZJ65" s="24">
        <v>0.5</v>
      </c>
      <c r="ZK65" s="24">
        <v>0.5</v>
      </c>
      <c r="ZL65" s="24">
        <v>0.5</v>
      </c>
      <c r="ZM65" s="203">
        <v>0.5</v>
      </c>
      <c r="ZN65" s="425">
        <v>0.5</v>
      </c>
      <c r="ZO65" s="24">
        <v>0.5</v>
      </c>
      <c r="ZP65" s="15"/>
      <c r="ZQ65" s="392"/>
      <c r="ZR65" s="426">
        <v>0.5</v>
      </c>
      <c r="ZS65" s="24">
        <v>0.5</v>
      </c>
      <c r="ZT65" s="24">
        <v>0.5</v>
      </c>
      <c r="ZU65" s="24">
        <v>0.5</v>
      </c>
      <c r="ZV65" s="24">
        <v>0.5</v>
      </c>
      <c r="ZW65" s="24">
        <v>0.5</v>
      </c>
      <c r="ZX65" s="24">
        <v>0.5</v>
      </c>
      <c r="ZY65" s="24">
        <v>0.5</v>
      </c>
      <c r="ZZ65" s="24">
        <v>0.5</v>
      </c>
      <c r="AAA65" s="15"/>
      <c r="AAB65" s="15"/>
      <c r="AAC65" s="379"/>
      <c r="AAD65" s="407"/>
      <c r="AAE65" s="408"/>
      <c r="AAF65" s="130">
        <f>SUM(ZD65:AAE65)</f>
      </c>
      <c r="AAG65" s="374"/>
      <c r="AAH65" s="375"/>
      <c r="AAI65" s="15"/>
      <c r="AAJ65" s="19"/>
      <c r="AAK65" s="220">
        <v>0.5</v>
      </c>
      <c r="AAL65" s="220">
        <v>0.5</v>
      </c>
      <c r="AAM65" s="220">
        <v>0.5</v>
      </c>
      <c r="AAN65" s="220">
        <v>0.5</v>
      </c>
      <c r="AAO65" s="220">
        <v>0.5</v>
      </c>
      <c r="AAP65" s="227">
        <v>0.5</v>
      </c>
      <c r="AAQ65" s="427">
        <v>0.5</v>
      </c>
      <c r="AAR65" s="220">
        <v>0.5</v>
      </c>
      <c r="AAS65" s="19"/>
      <c r="AAT65" s="323"/>
      <c r="AAU65" s="428">
        <v>0.5</v>
      </c>
      <c r="AAV65" s="220">
        <v>0.5</v>
      </c>
      <c r="AAW65" s="220">
        <v>0.5</v>
      </c>
      <c r="AAX65" s="220">
        <v>0.5</v>
      </c>
      <c r="AAY65" s="220">
        <v>0.5</v>
      </c>
      <c r="AAZ65" s="220">
        <v>0.5</v>
      </c>
      <c r="ABA65" s="220">
        <v>0.5</v>
      </c>
      <c r="ABB65" s="220">
        <v>0.5</v>
      </c>
      <c r="ABC65" s="220">
        <v>0.5</v>
      </c>
      <c r="ABD65" s="19"/>
      <c r="ABE65" s="19"/>
      <c r="ABF65" s="414"/>
      <c r="ABG65" s="407"/>
      <c r="ABH65" s="408"/>
      <c r="ABI65" s="130">
        <f>SUM(AAG65:ABH65)</f>
      </c>
      <c r="ABJ65" s="374"/>
      <c r="ABK65" s="375"/>
      <c r="ABL65" s="15"/>
      <c r="ABM65" s="220">
        <v>0.5</v>
      </c>
      <c r="ABN65" s="220">
        <v>0.5</v>
      </c>
      <c r="ABO65" s="220">
        <v>0.5</v>
      </c>
      <c r="ABP65" s="220">
        <v>0.5</v>
      </c>
      <c r="ABQ65" s="220">
        <v>0.5</v>
      </c>
      <c r="ABR65" s="220">
        <v>0.5</v>
      </c>
      <c r="ABS65" s="227">
        <v>0.5</v>
      </c>
      <c r="ABT65" s="412"/>
      <c r="ABU65" s="19"/>
      <c r="ABV65" s="220">
        <v>0.5</v>
      </c>
      <c r="ABW65" s="429">
        <v>0.5</v>
      </c>
      <c r="ABX65" s="428">
        <v>0.5</v>
      </c>
      <c r="ABY65" s="220">
        <v>0.5</v>
      </c>
      <c r="ABZ65" s="220">
        <v>0.5</v>
      </c>
      <c r="ACA65" s="220">
        <v>0.5</v>
      </c>
      <c r="ACB65" s="220">
        <v>0.5</v>
      </c>
      <c r="ACC65" s="220">
        <v>0.5</v>
      </c>
      <c r="ACD65" s="220">
        <v>0.5</v>
      </c>
      <c r="ACE65" s="220">
        <v>0.5</v>
      </c>
      <c r="ACF65" s="220">
        <v>0.5</v>
      </c>
      <c r="ACG65" s="19"/>
      <c r="ACH65" s="19"/>
      <c r="ACI65" s="414"/>
      <c r="ACJ65" s="407"/>
      <c r="ACK65" s="408"/>
      <c r="ACL65" s="130">
        <f>SUM(ABJ65:ACK65)</f>
      </c>
      <c r="ACM65" s="121"/>
      <c r="ACN65" s="122"/>
      <c r="ACO65" s="123"/>
      <c r="ACP65" s="124"/>
      <c r="ACQ65" s="124"/>
      <c r="ACR65" s="124"/>
      <c r="ACS65" s="124"/>
      <c r="ACT65" s="124"/>
      <c r="ACU65" s="124"/>
      <c r="ACV65" s="125"/>
      <c r="ACW65" s="126"/>
      <c r="ACX65" s="124"/>
      <c r="ACY65" s="124"/>
      <c r="ACZ65" s="127"/>
      <c r="ADA65" s="123"/>
      <c r="ADB65" s="124"/>
      <c r="ADC65" s="124"/>
      <c r="ADD65" s="124"/>
      <c r="ADE65" s="124"/>
      <c r="ADF65" s="124"/>
      <c r="ADG65" s="124"/>
      <c r="ADH65" s="124"/>
      <c r="ADI65" s="124"/>
      <c r="ADJ65" s="124"/>
      <c r="ADK65" s="124"/>
      <c r="ADL65" s="125"/>
      <c r="ADM65" s="301"/>
      <c r="ADN65" s="151"/>
      <c r="ADO65" s="130">
        <f>SUM(ACM65:ADN65)</f>
      </c>
      <c r="ADP65" s="121"/>
      <c r="ADQ65" s="122"/>
      <c r="ADR65" s="123"/>
      <c r="ADS65" s="124"/>
      <c r="ADT65" s="124"/>
      <c r="ADU65" s="124"/>
      <c r="ADV65" s="124"/>
      <c r="ADW65" s="124"/>
      <c r="ADX65" s="124"/>
      <c r="ADY65" s="125"/>
      <c r="ADZ65" s="126"/>
      <c r="AEA65" s="124"/>
      <c r="AEB65" s="124"/>
      <c r="AEC65" s="127"/>
      <c r="AED65" s="123"/>
      <c r="AEE65" s="124"/>
      <c r="AEF65" s="124"/>
      <c r="AEG65" s="124"/>
      <c r="AEH65" s="124"/>
      <c r="AEI65" s="124"/>
      <c r="AEJ65" s="124"/>
      <c r="AEK65" s="124"/>
      <c r="AEL65" s="124"/>
      <c r="AEM65" s="124"/>
      <c r="AEN65" s="124"/>
      <c r="AEO65" s="125"/>
      <c r="AEP65" s="301"/>
      <c r="AEQ65" s="151"/>
      <c r="AER65" s="130">
        <f>SUM(ADP65:AEQ65)</f>
      </c>
      <c r="AES65" s="150">
        <f>XZ65+ZC65+AAF65+ABI65+ACL65+ADO65+AER65</f>
      </c>
      <c r="AET65" s="302">
        <f>(COUNTIF(WX65:AER65,"H")+COUNTIF(WX65:AER65,"S")+COUNTIF(WX65:AER65,"L")+COUNTIF(WX65:AER65,"E")+COUNTIF(WX65:AER65,"C"))/2</f>
      </c>
      <c r="AEU65" s="131">
        <f>AES65+AET65</f>
      </c>
      <c r="AEV65" s="374"/>
      <c r="AEW65" s="375"/>
      <c r="AEX65" s="15"/>
      <c r="AEY65" s="19"/>
      <c r="AEZ65" s="220">
        <v>0.5</v>
      </c>
      <c r="AFA65" s="220">
        <v>0.5</v>
      </c>
      <c r="AFB65" s="220">
        <v>0.5</v>
      </c>
      <c r="AFC65" s="220">
        <v>0.5</v>
      </c>
      <c r="AFD65" s="220">
        <v>0.5</v>
      </c>
      <c r="AFE65" s="227">
        <v>0.5</v>
      </c>
      <c r="AFF65" s="427">
        <v>0.5</v>
      </c>
      <c r="AFG65" s="220">
        <v>0.5</v>
      </c>
      <c r="AFH65" s="19"/>
      <c r="AFI65" s="323"/>
      <c r="AFJ65" s="428">
        <v>0.5</v>
      </c>
      <c r="AFK65" s="220">
        <v>0.5</v>
      </c>
      <c r="AFL65" s="220">
        <v>0.5</v>
      </c>
      <c r="AFM65" s="220">
        <v>0.5</v>
      </c>
      <c r="AFN65" s="220">
        <v>0.5</v>
      </c>
      <c r="AFO65" s="220">
        <v>0.5</v>
      </c>
      <c r="AFP65" s="220">
        <v>0.5</v>
      </c>
      <c r="AFQ65" s="220">
        <v>0.5</v>
      </c>
      <c r="AFR65" s="220">
        <v>0.5</v>
      </c>
      <c r="AFS65" s="19"/>
      <c r="AFT65" s="19"/>
      <c r="AFU65" s="414"/>
      <c r="AFV65" s="407"/>
      <c r="AFW65" s="408"/>
      <c r="AFX65" s="130">
        <f>SUM(AEV65:AFW65)</f>
      </c>
      <c r="AFY65" s="374"/>
      <c r="AFZ65" s="375"/>
      <c r="AGA65" s="15"/>
      <c r="AGB65" s="19"/>
      <c r="AGC65" s="220">
        <v>0.5</v>
      </c>
      <c r="AGD65" s="220">
        <v>0.5</v>
      </c>
      <c r="AGE65" s="220">
        <v>0.5</v>
      </c>
      <c r="AGF65" s="220">
        <v>0.5</v>
      </c>
      <c r="AGG65" s="220">
        <v>0.5</v>
      </c>
      <c r="AGH65" s="227">
        <v>0.5</v>
      </c>
      <c r="AGI65" s="427">
        <v>0.5</v>
      </c>
      <c r="AGJ65" s="220">
        <v>0.5</v>
      </c>
      <c r="AGK65" s="19"/>
      <c r="AGL65" s="323"/>
      <c r="AGM65" s="428">
        <v>0.5</v>
      </c>
      <c r="AGN65" s="220">
        <v>0.5</v>
      </c>
      <c r="AGO65" s="220">
        <v>0.5</v>
      </c>
      <c r="AGP65" s="220">
        <v>0.5</v>
      </c>
      <c r="AGQ65" s="220">
        <v>0.5</v>
      </c>
      <c r="AGR65" s="220">
        <v>0.5</v>
      </c>
      <c r="AGS65" s="220">
        <v>0.5</v>
      </c>
      <c r="AGT65" s="220">
        <v>0.5</v>
      </c>
      <c r="AGU65" s="220">
        <v>0.5</v>
      </c>
      <c r="AGV65" s="19"/>
      <c r="AGW65" s="19"/>
      <c r="AGX65" s="414"/>
      <c r="AGY65" s="407"/>
      <c r="AGZ65" s="408"/>
      <c r="AHA65" s="130">
        <f>SUM(AFY65:AGZ65)</f>
      </c>
      <c r="AHB65" s="374"/>
      <c r="AHC65" s="375"/>
      <c r="AHD65" s="15"/>
      <c r="AHE65" s="19"/>
      <c r="AHF65" s="220">
        <v>0.5</v>
      </c>
      <c r="AHG65" s="220">
        <v>0.5</v>
      </c>
      <c r="AHH65" s="220">
        <v>0.5</v>
      </c>
      <c r="AHI65" s="220">
        <v>0.5</v>
      </c>
      <c r="AHJ65" s="220">
        <v>0.5</v>
      </c>
      <c r="AHK65" s="227">
        <v>0.5</v>
      </c>
      <c r="AHL65" s="427">
        <v>0.5</v>
      </c>
      <c r="AHM65" s="220">
        <v>0.5</v>
      </c>
      <c r="AHN65" s="19"/>
      <c r="AHO65" s="323"/>
      <c r="AHP65" s="428">
        <v>0.5</v>
      </c>
      <c r="AHQ65" s="220">
        <v>0.5</v>
      </c>
      <c r="AHR65" s="220">
        <v>0.5</v>
      </c>
      <c r="AHS65" s="220">
        <v>0.5</v>
      </c>
      <c r="AHT65" s="220">
        <v>0.5</v>
      </c>
      <c r="AHU65" s="220">
        <v>0.5</v>
      </c>
      <c r="AHV65" s="220">
        <v>0.5</v>
      </c>
      <c r="AHW65" s="220">
        <v>0.5</v>
      </c>
      <c r="AHX65" s="220">
        <v>0.5</v>
      </c>
      <c r="AHY65" s="19"/>
      <c r="AHZ65" s="19"/>
      <c r="AIA65" s="414"/>
      <c r="AIB65" s="407"/>
      <c r="AIC65" s="408"/>
      <c r="AID65" s="130">
        <f>SUM(AHB65:AIC65)</f>
      </c>
      <c r="AIE65" s="374"/>
      <c r="AIF65" s="375"/>
      <c r="AIG65" s="15"/>
      <c r="AIH65" s="19"/>
      <c r="AII65" s="220">
        <v>0.5</v>
      </c>
      <c r="AIJ65" s="220">
        <v>0.5</v>
      </c>
      <c r="AIK65" s="220">
        <v>0.5</v>
      </c>
      <c r="AIL65" s="220">
        <v>0.5</v>
      </c>
      <c r="AIM65" s="220">
        <v>0.5</v>
      </c>
      <c r="AIN65" s="227">
        <v>0.5</v>
      </c>
      <c r="AIO65" s="427">
        <v>0.5</v>
      </c>
      <c r="AIP65" s="220">
        <v>0.5</v>
      </c>
      <c r="AIQ65" s="19"/>
      <c r="AIR65" s="323"/>
      <c r="AIS65" s="428">
        <v>0.5</v>
      </c>
      <c r="AIT65" s="220">
        <v>0.5</v>
      </c>
      <c r="AIU65" s="220">
        <v>0.5</v>
      </c>
      <c r="AIV65" s="220">
        <v>0.5</v>
      </c>
      <c r="AIW65" s="220">
        <v>0.5</v>
      </c>
      <c r="AIX65" s="220">
        <v>0.5</v>
      </c>
      <c r="AIY65" s="220">
        <v>0.5</v>
      </c>
      <c r="AIZ65" s="220">
        <v>0.5</v>
      </c>
      <c r="AJA65" s="220">
        <v>0.5</v>
      </c>
      <c r="AJB65" s="19"/>
      <c r="AJC65" s="19"/>
      <c r="AJD65" s="414"/>
      <c r="AJE65" s="407"/>
      <c r="AJF65" s="408"/>
      <c r="AJG65" s="130">
        <f>SUM(AIE65:AJF65)</f>
      </c>
      <c r="AJH65" s="374"/>
      <c r="AJI65" s="375"/>
      <c r="AJJ65" s="15"/>
      <c r="AJK65" s="19"/>
      <c r="AJL65" s="220">
        <v>0.5</v>
      </c>
      <c r="AJM65" s="220">
        <v>0.5</v>
      </c>
      <c r="AJN65" s="220">
        <v>0.5</v>
      </c>
      <c r="AJO65" s="220">
        <v>0.5</v>
      </c>
      <c r="AJP65" s="220">
        <v>0.5</v>
      </c>
      <c r="AJQ65" s="227">
        <v>0.5</v>
      </c>
      <c r="AJR65" s="427">
        <v>0.5</v>
      </c>
      <c r="AJS65" s="220">
        <v>0.5</v>
      </c>
      <c r="AJT65" s="220">
        <v>0.5</v>
      </c>
      <c r="AJU65" s="429">
        <v>0.5</v>
      </c>
      <c r="AJV65" s="15"/>
      <c r="AJW65" s="19"/>
      <c r="AJX65" s="19"/>
      <c r="AJY65" s="19"/>
      <c r="AJZ65" s="19"/>
      <c r="AKA65" s="19"/>
      <c r="AKB65" s="19"/>
      <c r="AKC65" s="19"/>
      <c r="AKD65" s="19"/>
      <c r="AKE65" s="19"/>
      <c r="AKF65" s="19"/>
      <c r="AKG65" s="414"/>
      <c r="AKH65" s="407"/>
      <c r="AKI65" s="408"/>
      <c r="AKJ65" s="130">
        <f>SUM(AJH65:AKI65)</f>
      </c>
      <c r="AKK65" s="121"/>
      <c r="AKL65" s="122"/>
      <c r="AKM65" s="123"/>
      <c r="AKN65" s="124"/>
      <c r="AKO65" s="124"/>
      <c r="AKP65" s="124"/>
      <c r="AKQ65" s="124"/>
      <c r="AKR65" s="124"/>
      <c r="AKS65" s="124"/>
      <c r="AKT65" s="125"/>
      <c r="AKU65" s="126"/>
      <c r="AKV65" s="124"/>
      <c r="AKW65" s="124"/>
      <c r="AKX65" s="127"/>
      <c r="AKY65" s="123"/>
      <c r="AKZ65" s="124"/>
      <c r="ALA65" s="124"/>
      <c r="ALB65" s="124"/>
      <c r="ALC65" s="124"/>
      <c r="ALD65" s="124"/>
      <c r="ALE65" s="124"/>
      <c r="ALF65" s="124"/>
      <c r="ALG65" s="124"/>
      <c r="ALH65" s="124"/>
      <c r="ALI65" s="124"/>
      <c r="ALJ65" s="125"/>
      <c r="ALK65" s="301"/>
      <c r="ALL65" s="151"/>
      <c r="ALM65" s="130">
        <f>SUM(AKK65:ALL65)</f>
      </c>
      <c r="ALN65" s="121"/>
      <c r="ALO65" s="122"/>
      <c r="ALP65" s="123"/>
      <c r="ALQ65" s="124"/>
      <c r="ALR65" s="124"/>
      <c r="ALS65" s="124"/>
      <c r="ALT65" s="124"/>
      <c r="ALU65" s="124"/>
      <c r="ALV65" s="124"/>
      <c r="ALW65" s="125"/>
      <c r="ALX65" s="126"/>
      <c r="ALY65" s="124"/>
      <c r="ALZ65" s="124"/>
      <c r="AMA65" s="127"/>
      <c r="AMB65" s="123"/>
      <c r="AMC65" s="124"/>
      <c r="AMD65" s="124"/>
      <c r="AME65" s="124"/>
      <c r="AMF65" s="124"/>
      <c r="AMG65" s="124"/>
      <c r="AMH65" s="124"/>
      <c r="AMI65" s="124"/>
      <c r="AMJ65" s="124"/>
      <c r="AMK65" s="124"/>
      <c r="AML65" s="124"/>
      <c r="AMM65" s="125"/>
      <c r="AMN65" s="301"/>
      <c r="AMO65" s="151"/>
      <c r="AMP65" s="130">
        <f>SUM(ALN65:AMO65)</f>
      </c>
      <c r="AMQ65" s="150">
        <f>AFX65+AHA65+AID65+AJG65+AKJ65+ALM65+AMP65</f>
      </c>
      <c r="AMR65" s="302">
        <f>(COUNTIF(AEV65:AMP65,"H")+COUNTIF(AEV65:AMP65,"S")+COUNTIF(AEV65:AMP65,"L")+COUNTIF(AEV65:AMP65,"E")+COUNTIF(AEV65:AMP65,"C"))/2</f>
      </c>
      <c r="AMS65" s="131">
        <f>AMQ65+AMR65</f>
      </c>
      <c r="AMT65" s="4"/>
      <c r="AMU65" s="4"/>
      <c r="AMV65" s="4"/>
      <c r="AMW65" s="4"/>
      <c r="AMX65" s="4"/>
      <c r="AMY65" s="4"/>
      <c r="AMZ65" s="4"/>
      <c r="ANA65" s="4"/>
      <c r="ANB65" s="4"/>
      <c r="ANC65" s="4"/>
      <c r="AND65" s="4"/>
      <c r="ANE65" s="4"/>
      <c r="ANF65" s="4"/>
      <c r="ANG65" s="4"/>
      <c r="ANH65" s="4"/>
      <c r="ANI65" s="4"/>
      <c r="ANJ65" s="13"/>
      <c r="ANK65" s="13"/>
      <c r="ANL65" s="4"/>
      <c r="ANM65" s="4"/>
      <c r="ANN65" s="4"/>
      <c r="ANO65" s="4"/>
      <c r="ANP65" s="4"/>
      <c r="ANQ65" s="4"/>
      <c r="ANR65" s="4"/>
      <c r="ANS65" s="4"/>
      <c r="ANT65" s="4"/>
      <c r="ANU65" s="4"/>
      <c r="ANV65" s="4"/>
      <c r="ANW65" s="4"/>
      <c r="ANX65" s="4"/>
      <c r="ANY65" s="4"/>
      <c r="ANZ65" s="4"/>
      <c r="AOA65" s="4"/>
      <c r="AOB65" s="4"/>
      <c r="AOC65" s="4"/>
      <c r="AOD65" s="4"/>
      <c r="AOE65" s="4"/>
      <c r="AOF65" s="4"/>
      <c r="AOG65" s="4"/>
      <c r="AOH65" s="4"/>
      <c r="AOI65" s="4"/>
      <c r="AOJ65" s="4"/>
      <c r="AOK65" s="4"/>
      <c r="AOL65" s="4"/>
      <c r="AOM65" s="4"/>
      <c r="AON65" s="4"/>
      <c r="AOO65" s="4"/>
      <c r="AOP65" s="4"/>
      <c r="AOQ65" s="4"/>
      <c r="AOR65" s="4"/>
      <c r="AOS65" s="4"/>
      <c r="AOT65" s="4"/>
      <c r="AOU65" s="4"/>
      <c r="AOV65" s="4"/>
      <c r="AOW65" s="4"/>
      <c r="AOX65" s="4"/>
      <c r="AOY65" s="4"/>
      <c r="AOZ65" s="4"/>
      <c r="APA65" s="4"/>
      <c r="APB65" s="4"/>
      <c r="APC65" s="4"/>
      <c r="APD65" s="4"/>
      <c r="APE65" s="4"/>
      <c r="APF65" s="4"/>
      <c r="APG65" s="4"/>
      <c r="APH65" s="4"/>
      <c r="API65" s="4"/>
      <c r="APJ65" s="4"/>
      <c r="APK65" s="4"/>
      <c r="APL65" s="4"/>
      <c r="APM65" s="4"/>
      <c r="APN65" s="4"/>
      <c r="APO65" s="4"/>
      <c r="APP65" s="4"/>
      <c r="APQ65" s="4"/>
      <c r="APR65" s="4"/>
      <c r="APS65" s="4"/>
      <c r="APT65" s="4"/>
      <c r="APU65" s="4"/>
      <c r="APV65" s="4"/>
      <c r="APW65" s="4"/>
      <c r="APX65" s="4"/>
      <c r="APY65" s="4"/>
      <c r="APZ65" s="4"/>
      <c r="AQA65" s="4"/>
      <c r="AQB65" s="4"/>
      <c r="AQC65" s="4"/>
      <c r="AQD65" s="4"/>
      <c r="AQE65" s="4"/>
      <c r="AQF65" s="4"/>
      <c r="AQG65" s="4"/>
      <c r="AQH65" s="4"/>
      <c r="AQI65" s="4"/>
      <c r="AQJ65" s="4"/>
      <c r="AQK65" s="4"/>
      <c r="AQL65" s="4"/>
      <c r="AQM65" s="4"/>
      <c r="AQN65" s="4"/>
      <c r="AQO65" s="4"/>
      <c r="AQP65" s="4"/>
      <c r="AQQ65" s="4"/>
      <c r="AQR65" s="4"/>
      <c r="AQS65" s="4"/>
      <c r="AQT65" s="4"/>
      <c r="AQU65" s="4"/>
      <c r="AQV65" s="4"/>
      <c r="AQW65" s="4"/>
      <c r="AQX65" s="4"/>
      <c r="AQY65" s="4"/>
      <c r="AQZ65" s="4"/>
      <c r="ARA65" s="4"/>
      <c r="ARB65" s="4"/>
      <c r="ARC65" s="4"/>
      <c r="ARD65" s="4"/>
      <c r="ARE65" s="4"/>
      <c r="ARF65" s="4"/>
      <c r="ARG65" s="4"/>
      <c r="ARH65" s="4"/>
      <c r="ARI65" s="4"/>
      <c r="ARJ65" s="4"/>
      <c r="ARK65" s="4"/>
      <c r="ARL65" s="4"/>
      <c r="ARM65" s="4"/>
      <c r="ARN65" s="4"/>
      <c r="ARO65" s="4"/>
      <c r="ARP65" s="4"/>
      <c r="ARQ65" s="4"/>
      <c r="ARR65" s="4"/>
      <c r="ARS65" s="4"/>
      <c r="ART65" s="4"/>
      <c r="ARU65" s="4"/>
      <c r="ARV65" s="4"/>
      <c r="ARW65" s="4"/>
      <c r="ARX65" s="4"/>
      <c r="ARY65" s="4"/>
      <c r="ARZ65" s="4"/>
      <c r="ASA65" s="4"/>
      <c r="ASB65" s="4"/>
      <c r="ASC65" s="4"/>
      <c r="ASD65" s="4"/>
      <c r="ASE65" s="4"/>
      <c r="ASF65" s="4"/>
      <c r="ASG65" s="4"/>
      <c r="ASH65" s="4"/>
      <c r="ASI65" s="4"/>
      <c r="ASJ65" s="4"/>
      <c r="ASK65" s="4"/>
      <c r="ASL65" s="4"/>
      <c r="ASM65" s="4"/>
      <c r="ASN65" s="4"/>
      <c r="ASO65" s="4"/>
      <c r="ASP65" s="4"/>
      <c r="ASQ65" s="4"/>
      <c r="ASR65" s="4"/>
      <c r="ASS65" s="4"/>
      <c r="AST65" s="4"/>
      <c r="ASU65" s="4"/>
    </row>
    <row r="66" ht="15" customHeight="1" spans="1:1191" x14ac:dyDescent="0.25">
      <c r="A66" s="118"/>
      <c r="B66" s="403" t="s">
        <v>104</v>
      </c>
      <c r="C66" s="289" t="s">
        <v>55</v>
      </c>
      <c r="D66" s="121"/>
      <c r="E66" s="122"/>
      <c r="F66" s="292"/>
      <c r="G66" s="196"/>
      <c r="H66" s="196"/>
      <c r="I66" s="196"/>
      <c r="J66" s="196"/>
      <c r="K66" s="196"/>
      <c r="L66" s="196"/>
      <c r="M66" s="195"/>
      <c r="N66" s="197"/>
      <c r="O66" s="196"/>
      <c r="P66" s="196"/>
      <c r="Q66" s="198"/>
      <c r="R66" s="292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5"/>
      <c r="AD66" s="122"/>
      <c r="AE66" s="194"/>
      <c r="AF66" s="130">
        <f>SUM(D66:AE66)</f>
      </c>
      <c r="AG66" s="121"/>
      <c r="AH66" s="122"/>
      <c r="AI66" s="292"/>
      <c r="AJ66" s="196"/>
      <c r="AK66" s="196"/>
      <c r="AL66" s="196"/>
      <c r="AM66" s="196"/>
      <c r="AN66" s="196"/>
      <c r="AO66" s="196"/>
      <c r="AP66" s="195"/>
      <c r="AQ66" s="197"/>
      <c r="AR66" s="196"/>
      <c r="AS66" s="196"/>
      <c r="AT66" s="198"/>
      <c r="AU66" s="292"/>
      <c r="AV66" s="196"/>
      <c r="AW66" s="196"/>
      <c r="AX66" s="196"/>
      <c r="AY66" s="196"/>
      <c r="AZ66" s="196"/>
      <c r="BA66" s="196"/>
      <c r="BB66" s="196"/>
      <c r="BC66" s="196"/>
      <c r="BD66" s="196"/>
      <c r="BE66" s="196"/>
      <c r="BF66" s="195"/>
      <c r="BG66" s="122"/>
      <c r="BH66" s="194"/>
      <c r="BI66" s="130">
        <f>SUM(AG66:BH66)</f>
      </c>
      <c r="BJ66" s="121"/>
      <c r="BK66" s="122"/>
      <c r="BL66" s="292"/>
      <c r="BM66" s="196"/>
      <c r="BN66" s="196"/>
      <c r="BO66" s="196"/>
      <c r="BP66" s="196"/>
      <c r="BQ66" s="196"/>
      <c r="BR66" s="196"/>
      <c r="BS66" s="195"/>
      <c r="BT66" s="197"/>
      <c r="BU66" s="196"/>
      <c r="BV66" s="196"/>
      <c r="BW66" s="198"/>
      <c r="BX66" s="292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5"/>
      <c r="CJ66" s="122"/>
      <c r="CK66" s="194"/>
      <c r="CL66" s="130">
        <f>SUM(BJ66:CK66)</f>
      </c>
      <c r="CM66" s="121"/>
      <c r="CN66" s="122"/>
      <c r="CO66" s="292"/>
      <c r="CP66" s="196"/>
      <c r="CQ66" s="196"/>
      <c r="CR66" s="196"/>
      <c r="CS66" s="196"/>
      <c r="CT66" s="196"/>
      <c r="CU66" s="196"/>
      <c r="CV66" s="195"/>
      <c r="CW66" s="197"/>
      <c r="CX66" s="196"/>
      <c r="CY66" s="196"/>
      <c r="CZ66" s="198"/>
      <c r="DA66" s="292"/>
      <c r="DB66" s="196"/>
      <c r="DC66" s="196"/>
      <c r="DD66" s="196"/>
      <c r="DE66" s="196"/>
      <c r="DF66" s="196"/>
      <c r="DG66" s="196"/>
      <c r="DH66" s="196"/>
      <c r="DI66" s="196"/>
      <c r="DJ66" s="196"/>
      <c r="DK66" s="196"/>
      <c r="DL66" s="195"/>
      <c r="DM66" s="122"/>
      <c r="DN66" s="194"/>
      <c r="DO66" s="130">
        <f>SUM(CM66:DN66)</f>
      </c>
      <c r="DP66" s="121"/>
      <c r="DQ66" s="122"/>
      <c r="DR66" s="292"/>
      <c r="DS66" s="196"/>
      <c r="DT66" s="196"/>
      <c r="DU66" s="196"/>
      <c r="DV66" s="196"/>
      <c r="DW66" s="196"/>
      <c r="DX66" s="196"/>
      <c r="DY66" s="195"/>
      <c r="DZ66" s="197"/>
      <c r="EA66" s="196"/>
      <c r="EB66" s="196"/>
      <c r="EC66" s="198"/>
      <c r="ED66" s="292"/>
      <c r="EE66" s="196"/>
      <c r="EF66" s="196"/>
      <c r="EG66" s="196"/>
      <c r="EH66" s="196"/>
      <c r="EI66" s="196"/>
      <c r="EJ66" s="196"/>
      <c r="EK66" s="196"/>
      <c r="EL66" s="196"/>
      <c r="EM66" s="196"/>
      <c r="EN66" s="196"/>
      <c r="EO66" s="195"/>
      <c r="EP66" s="122"/>
      <c r="EQ66" s="194"/>
      <c r="ER66" s="130">
        <f>SUM(DP66:EQ66)</f>
      </c>
      <c r="ES66" s="121"/>
      <c r="ET66" s="122"/>
      <c r="EU66" s="292"/>
      <c r="EV66" s="196"/>
      <c r="EW66" s="196"/>
      <c r="EX66" s="196"/>
      <c r="EY66" s="196"/>
      <c r="EZ66" s="196"/>
      <c r="FA66" s="196"/>
      <c r="FB66" s="195"/>
      <c r="FC66" s="197"/>
      <c r="FD66" s="196"/>
      <c r="FE66" s="196"/>
      <c r="FF66" s="198"/>
      <c r="FG66" s="292"/>
      <c r="FH66" s="196"/>
      <c r="FI66" s="196"/>
      <c r="FJ66" s="196"/>
      <c r="FK66" s="196"/>
      <c r="FL66" s="196"/>
      <c r="FM66" s="196"/>
      <c r="FN66" s="196"/>
      <c r="FO66" s="196"/>
      <c r="FP66" s="196"/>
      <c r="FQ66" s="196"/>
      <c r="FR66" s="195"/>
      <c r="FS66" s="122"/>
      <c r="FT66" s="194"/>
      <c r="FU66" s="130">
        <f>SUM(ES66:FT66)</f>
      </c>
      <c r="FV66" s="121"/>
      <c r="FW66" s="122"/>
      <c r="FX66" s="292"/>
      <c r="FY66" s="196"/>
      <c r="FZ66" s="196"/>
      <c r="GA66" s="196"/>
      <c r="GB66" s="196"/>
      <c r="GC66" s="196"/>
      <c r="GD66" s="196"/>
      <c r="GE66" s="195"/>
      <c r="GF66" s="197"/>
      <c r="GG66" s="196"/>
      <c r="GH66" s="196"/>
      <c r="GI66" s="198"/>
      <c r="GJ66" s="292"/>
      <c r="GK66" s="196"/>
      <c r="GL66" s="196"/>
      <c r="GM66" s="196"/>
      <c r="GN66" s="196"/>
      <c r="GO66" s="196"/>
      <c r="GP66" s="196"/>
      <c r="GQ66" s="196"/>
      <c r="GR66" s="196"/>
      <c r="GS66" s="196"/>
      <c r="GT66" s="196"/>
      <c r="GU66" s="195"/>
      <c r="GV66" s="122"/>
      <c r="GW66" s="194"/>
      <c r="GX66" s="130">
        <f>SUM(FV66:GW66)</f>
      </c>
      <c r="GY66" s="132">
        <f>AF66+BI66+CL66+DO66+ER66+FU66+GX66</f>
      </c>
      <c r="GZ66" s="133">
        <f>(COUNTIF(D66:GX66,"H")+COUNTIF(D66:GX66,"S")+COUNTIF(D66:GX66,"L")+COUNTIF(D66:GX66,"E")+COUNTIF(D66:GX66,"C"))/2</f>
      </c>
      <c r="HA66" s="130">
        <f>GY66+GZ66</f>
      </c>
      <c r="HB66" s="374"/>
      <c r="HC66" s="375"/>
      <c r="HD66" s="376"/>
      <c r="HE66" s="377" t="s">
        <v>4</v>
      </c>
      <c r="HF66" s="377" t="s">
        <v>4</v>
      </c>
      <c r="HG66" s="377" t="s">
        <v>4</v>
      </c>
      <c r="HH66" s="377" t="s">
        <v>4</v>
      </c>
      <c r="HI66" s="377" t="s">
        <v>4</v>
      </c>
      <c r="HJ66" s="377" t="s">
        <v>4</v>
      </c>
      <c r="HK66" s="377" t="s">
        <v>4</v>
      </c>
      <c r="HL66" s="377"/>
      <c r="HM66" s="15"/>
      <c r="HN66" s="377" t="s">
        <v>4</v>
      </c>
      <c r="HO66" s="382" t="s">
        <v>4</v>
      </c>
      <c r="HP66" s="383" t="s">
        <v>4</v>
      </c>
      <c r="HQ66" s="377" t="s">
        <v>4</v>
      </c>
      <c r="HR66" s="377" t="s">
        <v>4</v>
      </c>
      <c r="HS66" s="377" t="s">
        <v>4</v>
      </c>
      <c r="HT66" s="377" t="s">
        <v>4</v>
      </c>
      <c r="HU66" s="377" t="s">
        <v>4</v>
      </c>
      <c r="HV66" s="377" t="s">
        <v>4</v>
      </c>
      <c r="HW66" s="15"/>
      <c r="HX66" s="15"/>
      <c r="HY66" s="15"/>
      <c r="HZ66" s="15"/>
      <c r="IA66" s="379"/>
      <c r="IB66" s="375"/>
      <c r="IC66" s="380"/>
      <c r="ID66" s="130">
        <f>SUM(HB66:IC66)</f>
      </c>
      <c r="IE66" s="374"/>
      <c r="IF66" s="375"/>
      <c r="IG66" s="376"/>
      <c r="IH66" s="15"/>
      <c r="II66" s="15">
        <v>0.5</v>
      </c>
      <c r="IJ66" s="430">
        <v>0.5</v>
      </c>
      <c r="IK66" s="430">
        <v>0.5</v>
      </c>
      <c r="IL66" s="430">
        <v>0.5</v>
      </c>
      <c r="IM66" s="430">
        <v>0.5</v>
      </c>
      <c r="IN66" s="431">
        <v>0.5</v>
      </c>
      <c r="IO66" s="377"/>
      <c r="IP66" s="15"/>
      <c r="IQ66" s="15">
        <v>0.5</v>
      </c>
      <c r="IR66" s="378">
        <v>0.5</v>
      </c>
      <c r="IS66" s="377">
        <v>0.5</v>
      </c>
      <c r="IT66" s="15">
        <v>0.5</v>
      </c>
      <c r="IU66" s="15">
        <v>0.5</v>
      </c>
      <c r="IV66" s="15">
        <v>0.5</v>
      </c>
      <c r="IW66" s="15">
        <v>0.5</v>
      </c>
      <c r="IX66" s="15">
        <v>0.5</v>
      </c>
      <c r="IY66" s="15">
        <v>0.5</v>
      </c>
      <c r="IZ66" s="15">
        <v>0.5</v>
      </c>
      <c r="JA66" s="15"/>
      <c r="JB66" s="15"/>
      <c r="JC66" s="15"/>
      <c r="JD66" s="379"/>
      <c r="JE66" s="375"/>
      <c r="JF66" s="380"/>
      <c r="JG66" s="130">
        <f>SUM(IE66:JF66)</f>
      </c>
      <c r="JH66" s="374"/>
      <c r="JI66" s="375"/>
      <c r="JJ66" s="376"/>
      <c r="JK66" s="15"/>
      <c r="JL66" s="15">
        <v>0.5</v>
      </c>
      <c r="JM66" s="430">
        <v>0.5</v>
      </c>
      <c r="JN66" s="430">
        <v>0.5</v>
      </c>
      <c r="JO66" s="430">
        <v>0.5</v>
      </c>
      <c r="JP66" s="430">
        <v>0.5</v>
      </c>
      <c r="JQ66" s="431">
        <v>0.5</v>
      </c>
      <c r="JR66" s="377"/>
      <c r="JS66" s="15"/>
      <c r="JT66" s="15">
        <v>0.5</v>
      </c>
      <c r="JU66" s="378">
        <v>0.5</v>
      </c>
      <c r="JV66" s="377">
        <v>0.5</v>
      </c>
      <c r="JW66" s="15">
        <v>0.5</v>
      </c>
      <c r="JX66" s="15">
        <v>0.5</v>
      </c>
      <c r="JY66" s="15">
        <v>0.5</v>
      </c>
      <c r="JZ66" s="15">
        <v>0.5</v>
      </c>
      <c r="KA66" s="15">
        <v>0.5</v>
      </c>
      <c r="KB66" s="15">
        <v>0.5</v>
      </c>
      <c r="KC66" s="15">
        <v>0.5</v>
      </c>
      <c r="KD66" s="15"/>
      <c r="KE66" s="15"/>
      <c r="KF66" s="15"/>
      <c r="KG66" s="379"/>
      <c r="KH66" s="375"/>
      <c r="KI66" s="380"/>
      <c r="KJ66" s="130">
        <f>SUM(JH66:KI66)</f>
      </c>
      <c r="KK66" s="374"/>
      <c r="KL66" s="375"/>
      <c r="KM66" s="376"/>
      <c r="KN66" s="15"/>
      <c r="KO66" s="15">
        <v>0.5</v>
      </c>
      <c r="KP66" s="430">
        <v>0.5</v>
      </c>
      <c r="KQ66" s="430">
        <v>0.5</v>
      </c>
      <c r="KR66" s="430">
        <v>0.5</v>
      </c>
      <c r="KS66" s="430">
        <v>0.5</v>
      </c>
      <c r="KT66" s="431">
        <v>0.5</v>
      </c>
      <c r="KU66" s="377"/>
      <c r="KV66" s="15"/>
      <c r="KW66" s="15">
        <v>0.5</v>
      </c>
      <c r="KX66" s="378">
        <v>0.5</v>
      </c>
      <c r="KY66" s="377">
        <v>0.5</v>
      </c>
      <c r="KZ66" s="15">
        <v>0.5</v>
      </c>
      <c r="LA66" s="15">
        <v>0.5</v>
      </c>
      <c r="LB66" s="15">
        <v>0.5</v>
      </c>
      <c r="LC66" s="15">
        <v>0.5</v>
      </c>
      <c r="LD66" s="15">
        <v>0.5</v>
      </c>
      <c r="LE66" s="15">
        <v>0.5</v>
      </c>
      <c r="LF66" s="15">
        <v>0.5</v>
      </c>
      <c r="LG66" s="15"/>
      <c r="LH66" s="15"/>
      <c r="LI66" s="15"/>
      <c r="LJ66" s="379"/>
      <c r="LK66" s="375"/>
      <c r="LL66" s="380"/>
      <c r="LM66" s="130">
        <f>SUM(KK66:LL66)</f>
      </c>
      <c r="LN66" s="374"/>
      <c r="LO66" s="375"/>
      <c r="LP66" s="376"/>
      <c r="LQ66" s="15"/>
      <c r="LR66" s="15">
        <v>0.5</v>
      </c>
      <c r="LS66" s="430">
        <v>0.5</v>
      </c>
      <c r="LT66" s="430">
        <v>0.5</v>
      </c>
      <c r="LU66" s="430">
        <v>0.5</v>
      </c>
      <c r="LV66" s="430">
        <v>0.5</v>
      </c>
      <c r="LW66" s="431">
        <v>0.5</v>
      </c>
      <c r="LX66" s="377"/>
      <c r="LY66" s="15"/>
      <c r="LZ66" s="15">
        <v>0.5</v>
      </c>
      <c r="MA66" s="378">
        <v>0.5</v>
      </c>
      <c r="MB66" s="377">
        <v>0.5</v>
      </c>
      <c r="MC66" s="15">
        <v>0.5</v>
      </c>
      <c r="MD66" s="15">
        <v>0.5</v>
      </c>
      <c r="ME66" s="15">
        <v>0.5</v>
      </c>
      <c r="MF66" s="15">
        <v>0.5</v>
      </c>
      <c r="MG66" s="15">
        <v>0.5</v>
      </c>
      <c r="MH66" s="15">
        <v>0.5</v>
      </c>
      <c r="MI66" s="15">
        <v>0.5</v>
      </c>
      <c r="MJ66" s="15"/>
      <c r="MK66" s="15"/>
      <c r="ML66" s="15"/>
      <c r="MM66" s="379"/>
      <c r="MN66" s="375"/>
      <c r="MO66" s="380"/>
      <c r="MP66" s="130">
        <f>SUM(LN66:MO66)</f>
      </c>
      <c r="MQ66" s="121"/>
      <c r="MR66" s="122"/>
      <c r="MS66" s="292"/>
      <c r="MT66" s="196"/>
      <c r="MU66" s="196"/>
      <c r="MV66" s="196"/>
      <c r="MW66" s="196"/>
      <c r="MX66" s="196"/>
      <c r="MY66" s="196"/>
      <c r="MZ66" s="195"/>
      <c r="NA66" s="197"/>
      <c r="NB66" s="196"/>
      <c r="NC66" s="196"/>
      <c r="ND66" s="198"/>
      <c r="NE66" s="292"/>
      <c r="NF66" s="196"/>
      <c r="NG66" s="196"/>
      <c r="NH66" s="196"/>
      <c r="NI66" s="196"/>
      <c r="NJ66" s="196"/>
      <c r="NK66" s="196"/>
      <c r="NL66" s="196"/>
      <c r="NM66" s="196"/>
      <c r="NN66" s="196"/>
      <c r="NO66" s="196"/>
      <c r="NP66" s="195"/>
      <c r="NQ66" s="122"/>
      <c r="NR66" s="194"/>
      <c r="NS66" s="130">
        <f>SUM(MQ66:NR66)</f>
      </c>
      <c r="NT66" s="121"/>
      <c r="NU66" s="122"/>
      <c r="NV66" s="292"/>
      <c r="NW66" s="196"/>
      <c r="NX66" s="196"/>
      <c r="NY66" s="196"/>
      <c r="NZ66" s="196"/>
      <c r="OA66" s="196"/>
      <c r="OB66" s="196"/>
      <c r="OC66" s="195"/>
      <c r="OD66" s="197"/>
      <c r="OE66" s="196"/>
      <c r="OF66" s="196"/>
      <c r="OG66" s="198"/>
      <c r="OH66" s="292"/>
      <c r="OI66" s="196"/>
      <c r="OJ66" s="196"/>
      <c r="OK66" s="196"/>
      <c r="OL66" s="196"/>
      <c r="OM66" s="196"/>
      <c r="ON66" s="196"/>
      <c r="OO66" s="196"/>
      <c r="OP66" s="196"/>
      <c r="OQ66" s="196"/>
      <c r="OR66" s="196"/>
      <c r="OS66" s="195"/>
      <c r="OT66" s="122"/>
      <c r="OU66" s="194"/>
      <c r="OV66" s="130">
        <f>SUM(NT66:OU66)</f>
      </c>
      <c r="OW66" s="132">
        <f>ID66+JG66+KJ66+LM66+MP66+NS66+OV66</f>
      </c>
      <c r="OX66" s="133">
        <f>(COUNTIF(HB66:OV66,"H")+COUNTIF(HB66:OV66,"S")+COUNTIF(HB66:OV66,"L")+COUNTIF(HB66:OV66,"E")+COUNTIF(HB66:OV66,"C"))/2</f>
      </c>
      <c r="OY66" s="130">
        <f>OW66+OX66</f>
      </c>
      <c r="OZ66" s="374"/>
      <c r="PA66" s="375"/>
      <c r="PB66" s="376"/>
      <c r="PC66" s="430">
        <v>0.5</v>
      </c>
      <c r="PD66" s="430">
        <v>0.5</v>
      </c>
      <c r="PE66" s="430">
        <v>0.5</v>
      </c>
      <c r="PF66" s="430">
        <v>0.5</v>
      </c>
      <c r="PG66" s="430">
        <v>0.5</v>
      </c>
      <c r="PH66" s="430">
        <v>0.5</v>
      </c>
      <c r="PI66" s="431">
        <v>0.5</v>
      </c>
      <c r="PJ66" s="377"/>
      <c r="PK66" s="15"/>
      <c r="PL66" s="15">
        <v>0.5</v>
      </c>
      <c r="PM66" s="378">
        <v>0.5</v>
      </c>
      <c r="PN66" s="377">
        <v>0.5</v>
      </c>
      <c r="PO66" s="15">
        <v>0.5</v>
      </c>
      <c r="PP66" s="15">
        <v>0.5</v>
      </c>
      <c r="PQ66" s="15">
        <v>0.5</v>
      </c>
      <c r="PR66" s="15">
        <v>0.5</v>
      </c>
      <c r="PS66" s="15">
        <v>0.5</v>
      </c>
      <c r="PT66" s="15">
        <v>0.5</v>
      </c>
      <c r="PU66" s="15"/>
      <c r="PV66" s="15"/>
      <c r="PW66" s="15"/>
      <c r="PX66" s="15"/>
      <c r="PY66" s="379"/>
      <c r="PZ66" s="375"/>
      <c r="QA66" s="380"/>
      <c r="QB66" s="130">
        <f>SUM(OZ66:QA66)</f>
      </c>
      <c r="QC66" s="374"/>
      <c r="QD66" s="375"/>
      <c r="QE66" s="376"/>
      <c r="QF66" s="430">
        <v>0.5</v>
      </c>
      <c r="QG66" s="430">
        <v>0.5</v>
      </c>
      <c r="QH66" s="430">
        <v>0.5</v>
      </c>
      <c r="QI66" s="430">
        <v>0.5</v>
      </c>
      <c r="QJ66" s="430">
        <v>0.5</v>
      </c>
      <c r="QK66" s="430">
        <v>0.5</v>
      </c>
      <c r="QL66" s="431">
        <v>0.5</v>
      </c>
      <c r="QM66" s="377"/>
      <c r="QN66" s="15"/>
      <c r="QO66" s="15">
        <v>0.5</v>
      </c>
      <c r="QP66" s="378">
        <v>0.5</v>
      </c>
      <c r="QQ66" s="377">
        <v>0.5</v>
      </c>
      <c r="QR66" s="15">
        <v>0.5</v>
      </c>
      <c r="QS66" s="15">
        <v>0.5</v>
      </c>
      <c r="QT66" s="15">
        <v>0.5</v>
      </c>
      <c r="QU66" s="15">
        <v>0.5</v>
      </c>
      <c r="QV66" s="15">
        <v>0.5</v>
      </c>
      <c r="QW66" s="15">
        <v>0.5</v>
      </c>
      <c r="QX66" s="15"/>
      <c r="QY66" s="15"/>
      <c r="QZ66" s="15"/>
      <c r="RA66" s="15"/>
      <c r="RB66" s="379"/>
      <c r="RC66" s="375"/>
      <c r="RD66" s="380"/>
      <c r="RE66" s="130">
        <f>SUM(QC66:RD66)</f>
      </c>
      <c r="RF66" s="374"/>
      <c r="RG66" s="375"/>
      <c r="RH66" s="376"/>
      <c r="RI66" s="430">
        <v>0.5</v>
      </c>
      <c r="RJ66" s="430">
        <v>0.5</v>
      </c>
      <c r="RK66" s="430">
        <v>0.5</v>
      </c>
      <c r="RL66" s="430">
        <v>0.5</v>
      </c>
      <c r="RM66" s="430">
        <v>0.5</v>
      </c>
      <c r="RN66" s="430">
        <v>0.5</v>
      </c>
      <c r="RO66" s="431">
        <v>0.5</v>
      </c>
      <c r="RP66" s="377"/>
      <c r="RQ66" s="15"/>
      <c r="RR66" s="15">
        <v>0.5</v>
      </c>
      <c r="RS66" s="378">
        <v>0.5</v>
      </c>
      <c r="RT66" s="377">
        <v>0.5</v>
      </c>
      <c r="RU66" s="15">
        <v>0.5</v>
      </c>
      <c r="RV66" s="15">
        <v>0.5</v>
      </c>
      <c r="RW66" s="15">
        <v>0.5</v>
      </c>
      <c r="RX66" s="15">
        <v>0.5</v>
      </c>
      <c r="RY66" s="15">
        <v>0.5</v>
      </c>
      <c r="RZ66" s="15">
        <v>0.5</v>
      </c>
      <c r="SA66" s="15"/>
      <c r="SB66" s="15"/>
      <c r="SC66" s="15"/>
      <c r="SD66" s="15"/>
      <c r="SE66" s="379"/>
      <c r="SF66" s="375"/>
      <c r="SG66" s="380"/>
      <c r="SH66" s="130">
        <f>SUM(RF66:SG66)</f>
      </c>
      <c r="SI66" s="374"/>
      <c r="SJ66" s="375"/>
      <c r="SK66" s="376"/>
      <c r="SL66" s="430">
        <v>0.5</v>
      </c>
      <c r="SM66" s="430">
        <v>0.5</v>
      </c>
      <c r="SN66" s="430">
        <v>0.5</v>
      </c>
      <c r="SO66" s="430">
        <v>0.5</v>
      </c>
      <c r="SP66" s="430">
        <v>0.5</v>
      </c>
      <c r="SQ66" s="430">
        <v>0.5</v>
      </c>
      <c r="SR66" s="431">
        <v>0.5</v>
      </c>
      <c r="SS66" s="377"/>
      <c r="ST66" s="15"/>
      <c r="SU66" s="15">
        <v>0.5</v>
      </c>
      <c r="SV66" s="378">
        <v>0.5</v>
      </c>
      <c r="SW66" s="377">
        <v>0.5</v>
      </c>
      <c r="SX66" s="15">
        <v>0.5</v>
      </c>
      <c r="SY66" s="15">
        <v>0.5</v>
      </c>
      <c r="SZ66" s="15">
        <v>0.5</v>
      </c>
      <c r="TA66" s="15">
        <v>0.5</v>
      </c>
      <c r="TB66" s="15">
        <v>0.5</v>
      </c>
      <c r="TC66" s="15">
        <v>0.5</v>
      </c>
      <c r="TD66" s="15"/>
      <c r="TE66" s="15"/>
      <c r="TF66" s="15"/>
      <c r="TG66" s="15"/>
      <c r="TH66" s="379"/>
      <c r="TI66" s="375"/>
      <c r="TJ66" s="380"/>
      <c r="TK66" s="130">
        <f>SUM(SI66:TJ66)</f>
      </c>
      <c r="TL66" s="374"/>
      <c r="TM66" s="375"/>
      <c r="TN66" s="376"/>
      <c r="TO66" s="430">
        <v>0.5</v>
      </c>
      <c r="TP66" s="430">
        <v>0.5</v>
      </c>
      <c r="TQ66" s="430">
        <v>0.5</v>
      </c>
      <c r="TR66" s="430">
        <v>0.5</v>
      </c>
      <c r="TS66" s="430">
        <v>0.5</v>
      </c>
      <c r="TT66" s="430">
        <v>0.5</v>
      </c>
      <c r="TU66" s="431">
        <v>0.5</v>
      </c>
      <c r="TV66" s="377"/>
      <c r="TW66" s="15"/>
      <c r="TX66" s="15">
        <v>0.5</v>
      </c>
      <c r="TY66" s="378">
        <v>0.5</v>
      </c>
      <c r="TZ66" s="377">
        <v>0.5</v>
      </c>
      <c r="UA66" s="15">
        <v>0.5</v>
      </c>
      <c r="UB66" s="15">
        <v>0.5</v>
      </c>
      <c r="UC66" s="15">
        <v>0.5</v>
      </c>
      <c r="UD66" s="15">
        <v>0.5</v>
      </c>
      <c r="UE66" s="15">
        <v>0.5</v>
      </c>
      <c r="UF66" s="15">
        <v>0.5</v>
      </c>
      <c r="UG66" s="15"/>
      <c r="UH66" s="15"/>
      <c r="UI66" s="15"/>
      <c r="UJ66" s="15"/>
      <c r="UK66" s="379"/>
      <c r="UL66" s="375"/>
      <c r="UM66" s="380"/>
      <c r="UN66" s="130">
        <f>SUM(TL66:UM66)</f>
      </c>
      <c r="UO66" s="121"/>
      <c r="UP66" s="122"/>
      <c r="UQ66" s="292"/>
      <c r="UR66" s="196"/>
      <c r="US66" s="196"/>
      <c r="UT66" s="196"/>
      <c r="UU66" s="196"/>
      <c r="UV66" s="196"/>
      <c r="UW66" s="196"/>
      <c r="UX66" s="195"/>
      <c r="UY66" s="197"/>
      <c r="UZ66" s="196"/>
      <c r="VA66" s="196"/>
      <c r="VB66" s="198"/>
      <c r="VC66" s="292"/>
      <c r="VD66" s="196"/>
      <c r="VE66" s="196"/>
      <c r="VF66" s="196"/>
      <c r="VG66" s="196"/>
      <c r="VH66" s="196"/>
      <c r="VI66" s="196"/>
      <c r="VJ66" s="196"/>
      <c r="VK66" s="196"/>
      <c r="VL66" s="196"/>
      <c r="VM66" s="196"/>
      <c r="VN66" s="195"/>
      <c r="VO66" s="122"/>
      <c r="VP66" s="194"/>
      <c r="VQ66" s="130">
        <f>SUM(UO66:VP66)</f>
      </c>
      <c r="VR66" s="121"/>
      <c r="VS66" s="122"/>
      <c r="VT66" s="292"/>
      <c r="VU66" s="196"/>
      <c r="VV66" s="196"/>
      <c r="VW66" s="196"/>
      <c r="VX66" s="196"/>
      <c r="VY66" s="196"/>
      <c r="VZ66" s="196"/>
      <c r="WA66" s="195"/>
      <c r="WB66" s="197"/>
      <c r="WC66" s="196"/>
      <c r="WD66" s="196"/>
      <c r="WE66" s="198"/>
      <c r="WF66" s="292"/>
      <c r="WG66" s="196"/>
      <c r="WH66" s="196"/>
      <c r="WI66" s="196"/>
      <c r="WJ66" s="196"/>
      <c r="WK66" s="196"/>
      <c r="WL66" s="196"/>
      <c r="WM66" s="196"/>
      <c r="WN66" s="196"/>
      <c r="WO66" s="196"/>
      <c r="WP66" s="196"/>
      <c r="WQ66" s="195"/>
      <c r="WR66" s="122"/>
      <c r="WS66" s="194"/>
      <c r="WT66" s="130">
        <f>SUM(VR66:WS66)</f>
      </c>
      <c r="WU66" s="132">
        <f>QB66+RE66+SH66+TK66+UN66+VQ66+WT66</f>
      </c>
      <c r="WV66" s="133">
        <f>(COUNTIF(OZ66:WT66,"H")+COUNTIF(OZ66:WT66,"S")+COUNTIF(OZ66:WT66,"L")+COUNTIF(OZ66:WT66,"E")+COUNTIF(OZ66:WT66,"C"))/2</f>
      </c>
      <c r="WW66" s="130">
        <f>WU66+WV66</f>
      </c>
      <c r="WX66" s="374"/>
      <c r="WY66" s="375"/>
      <c r="WZ66" s="377">
        <v>0.5</v>
      </c>
      <c r="XA66" s="15">
        <v>0.5</v>
      </c>
      <c r="XB66" s="15">
        <v>0.5</v>
      </c>
      <c r="XC66" s="15">
        <v>0.5</v>
      </c>
      <c r="XD66" s="15">
        <v>0.5</v>
      </c>
      <c r="XE66" s="15">
        <v>0.5</v>
      </c>
      <c r="XF66" s="15">
        <v>0.5</v>
      </c>
      <c r="XG66" s="211">
        <v>0.5</v>
      </c>
      <c r="XH66" s="377"/>
      <c r="XI66" s="15"/>
      <c r="XJ66" s="15">
        <v>0.5</v>
      </c>
      <c r="XK66" s="378">
        <v>0.5</v>
      </c>
      <c r="XL66" s="377">
        <v>0.5</v>
      </c>
      <c r="XM66" s="15">
        <v>0.5</v>
      </c>
      <c r="XN66" s="15">
        <v>0.5</v>
      </c>
      <c r="XO66" s="15">
        <v>0.5</v>
      </c>
      <c r="XP66" s="15">
        <v>0.5</v>
      </c>
      <c r="XQ66" s="15">
        <v>0.5</v>
      </c>
      <c r="XR66" s="15"/>
      <c r="XS66" s="15"/>
      <c r="XT66" s="15"/>
      <c r="XU66" s="15"/>
      <c r="XV66" s="15"/>
      <c r="XW66" s="379"/>
      <c r="XX66" s="375"/>
      <c r="XY66" s="380"/>
      <c r="XZ66" s="130">
        <f>SUM(WX66:XY66)</f>
      </c>
      <c r="YA66" s="374"/>
      <c r="YB66" s="375"/>
      <c r="YC66" s="377">
        <v>0.5</v>
      </c>
      <c r="YD66" s="15">
        <v>0.5</v>
      </c>
      <c r="YE66" s="15">
        <v>0.5</v>
      </c>
      <c r="YF66" s="15">
        <v>0.5</v>
      </c>
      <c r="YG66" s="15">
        <v>0.5</v>
      </c>
      <c r="YH66" s="15">
        <v>0.5</v>
      </c>
      <c r="YI66" s="15">
        <v>0.5</v>
      </c>
      <c r="YJ66" s="211">
        <v>0.5</v>
      </c>
      <c r="YK66" s="377"/>
      <c r="YL66" s="15"/>
      <c r="YM66" s="15">
        <v>0.5</v>
      </c>
      <c r="YN66" s="378">
        <v>0.5</v>
      </c>
      <c r="YO66" s="377">
        <v>0.5</v>
      </c>
      <c r="YP66" s="15">
        <v>0.5</v>
      </c>
      <c r="YQ66" s="15">
        <v>0.5</v>
      </c>
      <c r="YR66" s="15">
        <v>0.5</v>
      </c>
      <c r="YS66" s="15">
        <v>0.5</v>
      </c>
      <c r="YT66" s="15">
        <v>0.5</v>
      </c>
      <c r="YU66" s="15"/>
      <c r="YV66" s="15"/>
      <c r="YW66" s="15"/>
      <c r="YX66" s="15"/>
      <c r="YY66" s="15"/>
      <c r="YZ66" s="379"/>
      <c r="ZA66" s="375"/>
      <c r="ZB66" s="380"/>
      <c r="ZC66" s="130">
        <f>SUM(YA66:ZB66)</f>
      </c>
      <c r="ZD66" s="374"/>
      <c r="ZE66" s="375"/>
      <c r="ZF66" s="377">
        <v>0.5</v>
      </c>
      <c r="ZG66" s="15">
        <v>0.5</v>
      </c>
      <c r="ZH66" s="15">
        <v>0.5</v>
      </c>
      <c r="ZI66" s="15">
        <v>0.5</v>
      </c>
      <c r="ZJ66" s="15">
        <v>0.5</v>
      </c>
      <c r="ZK66" s="15">
        <v>0.5</v>
      </c>
      <c r="ZL66" s="15">
        <v>0.5</v>
      </c>
      <c r="ZM66" s="211">
        <v>0.5</v>
      </c>
      <c r="ZN66" s="377"/>
      <c r="ZO66" s="15"/>
      <c r="ZP66" s="15">
        <v>0.5</v>
      </c>
      <c r="ZQ66" s="378">
        <v>0.5</v>
      </c>
      <c r="ZR66" s="377">
        <v>0.5</v>
      </c>
      <c r="ZS66" s="15">
        <v>0.5</v>
      </c>
      <c r="ZT66" s="15">
        <v>0.5</v>
      </c>
      <c r="ZU66" s="15">
        <v>0.5</v>
      </c>
      <c r="ZV66" s="15">
        <v>0.5</v>
      </c>
      <c r="ZW66" s="15">
        <v>0.5</v>
      </c>
      <c r="ZX66" s="15"/>
      <c r="ZY66" s="15"/>
      <c r="ZZ66" s="15"/>
      <c r="AAA66" s="15"/>
      <c r="AAB66" s="15"/>
      <c r="AAC66" s="379"/>
      <c r="AAD66" s="375"/>
      <c r="AAE66" s="380"/>
      <c r="AAF66" s="130">
        <f>SUM(ZD66:AAE66)</f>
      </c>
      <c r="AAG66" s="374"/>
      <c r="AAH66" s="375"/>
      <c r="AAI66" s="377">
        <v>0.5</v>
      </c>
      <c r="AAJ66" s="15">
        <v>0.5</v>
      </c>
      <c r="AAK66" s="15">
        <v>0.5</v>
      </c>
      <c r="AAL66" s="15">
        <v>0.5</v>
      </c>
      <c r="AAM66" s="15">
        <v>0.5</v>
      </c>
      <c r="AAN66" s="15">
        <v>0.5</v>
      </c>
      <c r="AAO66" s="15">
        <v>0.5</v>
      </c>
      <c r="AAP66" s="211">
        <v>0.5</v>
      </c>
      <c r="AAQ66" s="377"/>
      <c r="AAR66" s="15"/>
      <c r="AAS66" s="15">
        <v>0.5</v>
      </c>
      <c r="AAT66" s="378">
        <v>0.5</v>
      </c>
      <c r="AAU66" s="377">
        <v>0.5</v>
      </c>
      <c r="AAV66" s="15">
        <v>0.5</v>
      </c>
      <c r="AAW66" s="15">
        <v>0.5</v>
      </c>
      <c r="AAX66" s="15">
        <v>0.5</v>
      </c>
      <c r="AAY66" s="15">
        <v>0.5</v>
      </c>
      <c r="AAZ66" s="15">
        <v>0.5</v>
      </c>
      <c r="ABA66" s="15"/>
      <c r="ABB66" s="15"/>
      <c r="ABC66" s="15"/>
      <c r="ABD66" s="15"/>
      <c r="ABE66" s="15"/>
      <c r="ABF66" s="379"/>
      <c r="ABG66" s="375"/>
      <c r="ABH66" s="380"/>
      <c r="ABI66" s="130">
        <f>SUM(AAG66:ABH66)</f>
      </c>
      <c r="ABJ66" s="374"/>
      <c r="ABK66" s="375"/>
      <c r="ABL66" s="377">
        <v>0.5</v>
      </c>
      <c r="ABM66" s="15">
        <v>0.5</v>
      </c>
      <c r="ABN66" s="15">
        <v>0.5</v>
      </c>
      <c r="ABO66" s="15">
        <v>0.5</v>
      </c>
      <c r="ABP66" s="15">
        <v>0.5</v>
      </c>
      <c r="ABQ66" s="15">
        <v>0.5</v>
      </c>
      <c r="ABR66" s="15">
        <v>0.5</v>
      </c>
      <c r="ABS66" s="211">
        <v>0.5</v>
      </c>
      <c r="ABT66" s="377"/>
      <c r="ABU66" s="15"/>
      <c r="ABV66" s="15">
        <v>0.5</v>
      </c>
      <c r="ABW66" s="378">
        <v>0.5</v>
      </c>
      <c r="ABX66" s="377">
        <v>0.5</v>
      </c>
      <c r="ABY66" s="15">
        <v>0.5</v>
      </c>
      <c r="ABZ66" s="15">
        <v>0.5</v>
      </c>
      <c r="ACA66" s="15">
        <v>0.5</v>
      </c>
      <c r="ACB66" s="15">
        <v>0.5</v>
      </c>
      <c r="ACC66" s="15">
        <v>0.5</v>
      </c>
      <c r="ACD66" s="15"/>
      <c r="ACE66" s="15"/>
      <c r="ACF66" s="15"/>
      <c r="ACG66" s="15"/>
      <c r="ACH66" s="15"/>
      <c r="ACI66" s="379"/>
      <c r="ACJ66" s="375"/>
      <c r="ACK66" s="380"/>
      <c r="ACL66" s="130">
        <f>SUM(ABJ66:ACK66)</f>
      </c>
      <c r="ACM66" s="121"/>
      <c r="ACN66" s="122"/>
      <c r="ACO66" s="292"/>
      <c r="ACP66" s="196"/>
      <c r="ACQ66" s="196"/>
      <c r="ACR66" s="196"/>
      <c r="ACS66" s="196"/>
      <c r="ACT66" s="196"/>
      <c r="ACU66" s="196"/>
      <c r="ACV66" s="195"/>
      <c r="ACW66" s="197"/>
      <c r="ACX66" s="196"/>
      <c r="ACY66" s="196"/>
      <c r="ACZ66" s="198"/>
      <c r="ADA66" s="292"/>
      <c r="ADB66" s="196"/>
      <c r="ADC66" s="196"/>
      <c r="ADD66" s="196"/>
      <c r="ADE66" s="196"/>
      <c r="ADF66" s="196"/>
      <c r="ADG66" s="196"/>
      <c r="ADH66" s="196"/>
      <c r="ADI66" s="196"/>
      <c r="ADJ66" s="196"/>
      <c r="ADK66" s="196"/>
      <c r="ADL66" s="195"/>
      <c r="ADM66" s="122"/>
      <c r="ADN66" s="194"/>
      <c r="ADO66" s="130">
        <f>SUM(ACM66:ADN66)</f>
      </c>
      <c r="ADP66" s="121"/>
      <c r="ADQ66" s="122"/>
      <c r="ADR66" s="292"/>
      <c r="ADS66" s="196"/>
      <c r="ADT66" s="196"/>
      <c r="ADU66" s="196"/>
      <c r="ADV66" s="196"/>
      <c r="ADW66" s="196"/>
      <c r="ADX66" s="196"/>
      <c r="ADY66" s="195"/>
      <c r="ADZ66" s="197"/>
      <c r="AEA66" s="196"/>
      <c r="AEB66" s="196"/>
      <c r="AEC66" s="198"/>
      <c r="AED66" s="292"/>
      <c r="AEE66" s="196"/>
      <c r="AEF66" s="196"/>
      <c r="AEG66" s="196"/>
      <c r="AEH66" s="196"/>
      <c r="AEI66" s="196"/>
      <c r="AEJ66" s="196"/>
      <c r="AEK66" s="196"/>
      <c r="AEL66" s="196"/>
      <c r="AEM66" s="196"/>
      <c r="AEN66" s="196"/>
      <c r="AEO66" s="195"/>
      <c r="AEP66" s="122"/>
      <c r="AEQ66" s="194"/>
      <c r="AER66" s="130">
        <f>SUM(ADP66:AEQ66)</f>
      </c>
      <c r="AES66" s="132">
        <f>XZ66+ZC66+AAF66+ABI66+ACL66+ADO66+AER66</f>
      </c>
      <c r="AET66" s="133">
        <f>(COUNTIF(WX66:AER66,"H")+COUNTIF(WX66:AER66,"S")+COUNTIF(WX66:AER66,"L")+COUNTIF(WX66:AER66,"E")+COUNTIF(WX66:AER66,"C"))/2</f>
      </c>
      <c r="AEU66" s="130">
        <f>AES66+AET66</f>
      </c>
      <c r="AEV66" s="374"/>
      <c r="AEW66" s="375"/>
      <c r="AEX66" s="376"/>
      <c r="AEY66" s="15"/>
      <c r="AEZ66" s="15">
        <v>0.5</v>
      </c>
      <c r="AFA66" s="430">
        <v>0.5</v>
      </c>
      <c r="AFB66" s="430">
        <v>0.5</v>
      </c>
      <c r="AFC66" s="430">
        <v>0.5</v>
      </c>
      <c r="AFD66" s="430">
        <v>0.5</v>
      </c>
      <c r="AFE66" s="431">
        <v>0.5</v>
      </c>
      <c r="AFF66" s="377"/>
      <c r="AFG66" s="15"/>
      <c r="AFH66" s="15">
        <v>0.5</v>
      </c>
      <c r="AFI66" s="378">
        <v>0.5</v>
      </c>
      <c r="AFJ66" s="377">
        <v>0.5</v>
      </c>
      <c r="AFK66" s="15">
        <v>0.5</v>
      </c>
      <c r="AFL66" s="15">
        <v>0.5</v>
      </c>
      <c r="AFM66" s="15">
        <v>0.5</v>
      </c>
      <c r="AFN66" s="15">
        <v>0.5</v>
      </c>
      <c r="AFO66" s="15">
        <v>0.5</v>
      </c>
      <c r="AFP66" s="15">
        <v>0.5</v>
      </c>
      <c r="AFQ66" s="15">
        <v>0.5</v>
      </c>
      <c r="AFR66" s="15"/>
      <c r="AFS66" s="15"/>
      <c r="AFT66" s="15"/>
      <c r="AFU66" s="379"/>
      <c r="AFV66" s="375"/>
      <c r="AFW66" s="380"/>
      <c r="AFX66" s="130">
        <f>SUM(AEV66:AFW66)</f>
      </c>
      <c r="AFY66" s="374"/>
      <c r="AFZ66" s="375"/>
      <c r="AGA66" s="376"/>
      <c r="AGB66" s="15"/>
      <c r="AGC66" s="15">
        <v>0.5</v>
      </c>
      <c r="AGD66" s="430">
        <v>0.5</v>
      </c>
      <c r="AGE66" s="430">
        <v>0.5</v>
      </c>
      <c r="AGF66" s="430">
        <v>0.5</v>
      </c>
      <c r="AGG66" s="430">
        <v>0.5</v>
      </c>
      <c r="AGH66" s="431">
        <v>0.5</v>
      </c>
      <c r="AGI66" s="377"/>
      <c r="AGJ66" s="15"/>
      <c r="AGK66" s="15">
        <v>0.5</v>
      </c>
      <c r="AGL66" s="378">
        <v>0.5</v>
      </c>
      <c r="AGM66" s="377">
        <v>0.5</v>
      </c>
      <c r="AGN66" s="15">
        <v>0.5</v>
      </c>
      <c r="AGO66" s="15">
        <v>0.5</v>
      </c>
      <c r="AGP66" s="15">
        <v>0.5</v>
      </c>
      <c r="AGQ66" s="15">
        <v>0.5</v>
      </c>
      <c r="AGR66" s="15">
        <v>0.5</v>
      </c>
      <c r="AGS66" s="15">
        <v>0.5</v>
      </c>
      <c r="AGT66" s="15">
        <v>0.5</v>
      </c>
      <c r="AGU66" s="15"/>
      <c r="AGV66" s="15"/>
      <c r="AGW66" s="15"/>
      <c r="AGX66" s="379"/>
      <c r="AGY66" s="375"/>
      <c r="AGZ66" s="380"/>
      <c r="AHA66" s="130">
        <f>SUM(AFY66:AGZ66)</f>
      </c>
      <c r="AHB66" s="374"/>
      <c r="AHC66" s="375"/>
      <c r="AHD66" s="376"/>
      <c r="AHE66" s="15"/>
      <c r="AHF66" s="15">
        <v>0.5</v>
      </c>
      <c r="AHG66" s="430">
        <v>0.5</v>
      </c>
      <c r="AHH66" s="430">
        <v>0.5</v>
      </c>
      <c r="AHI66" s="430">
        <v>0.5</v>
      </c>
      <c r="AHJ66" s="430">
        <v>0.5</v>
      </c>
      <c r="AHK66" s="431">
        <v>0.5</v>
      </c>
      <c r="AHL66" s="377"/>
      <c r="AHM66" s="15"/>
      <c r="AHN66" s="15">
        <v>0.5</v>
      </c>
      <c r="AHO66" s="378">
        <v>0.5</v>
      </c>
      <c r="AHP66" s="377">
        <v>0.5</v>
      </c>
      <c r="AHQ66" s="15">
        <v>0.5</v>
      </c>
      <c r="AHR66" s="15">
        <v>0.5</v>
      </c>
      <c r="AHS66" s="15">
        <v>0.5</v>
      </c>
      <c r="AHT66" s="15">
        <v>0.5</v>
      </c>
      <c r="AHU66" s="15">
        <v>0.5</v>
      </c>
      <c r="AHV66" s="15">
        <v>0.5</v>
      </c>
      <c r="AHW66" s="15">
        <v>0.5</v>
      </c>
      <c r="AHX66" s="15"/>
      <c r="AHY66" s="15"/>
      <c r="AHZ66" s="15"/>
      <c r="AIA66" s="379"/>
      <c r="AIB66" s="375"/>
      <c r="AIC66" s="380"/>
      <c r="AID66" s="130">
        <f>SUM(AHB66:AIC66)</f>
      </c>
      <c r="AIE66" s="374"/>
      <c r="AIF66" s="375"/>
      <c r="AIG66" s="376"/>
      <c r="AIH66" s="15"/>
      <c r="AII66" s="15">
        <v>0.5</v>
      </c>
      <c r="AIJ66" s="430">
        <v>0.5</v>
      </c>
      <c r="AIK66" s="430">
        <v>0.5</v>
      </c>
      <c r="AIL66" s="430">
        <v>0.5</v>
      </c>
      <c r="AIM66" s="430">
        <v>0.5</v>
      </c>
      <c r="AIN66" s="431">
        <v>0.5</v>
      </c>
      <c r="AIO66" s="377"/>
      <c r="AIP66" s="15"/>
      <c r="AIQ66" s="15">
        <v>0.5</v>
      </c>
      <c r="AIR66" s="378">
        <v>0.5</v>
      </c>
      <c r="AIS66" s="377">
        <v>0.5</v>
      </c>
      <c r="AIT66" s="15">
        <v>0.5</v>
      </c>
      <c r="AIU66" s="15">
        <v>0.5</v>
      </c>
      <c r="AIV66" s="15">
        <v>0.5</v>
      </c>
      <c r="AIW66" s="15">
        <v>0.5</v>
      </c>
      <c r="AIX66" s="15">
        <v>0.5</v>
      </c>
      <c r="AIY66" s="15">
        <v>0.5</v>
      </c>
      <c r="AIZ66" s="15">
        <v>0.5</v>
      </c>
      <c r="AJA66" s="15"/>
      <c r="AJB66" s="15"/>
      <c r="AJC66" s="15"/>
      <c r="AJD66" s="379"/>
      <c r="AJE66" s="375"/>
      <c r="AJF66" s="380"/>
      <c r="AJG66" s="130">
        <f>SUM(AIE66:AJF66)</f>
      </c>
      <c r="AJH66" s="374"/>
      <c r="AJI66" s="375"/>
      <c r="AJJ66" s="376"/>
      <c r="AJK66" s="15"/>
      <c r="AJL66" s="15">
        <v>0.5</v>
      </c>
      <c r="AJM66" s="430">
        <v>0.5</v>
      </c>
      <c r="AJN66" s="430">
        <v>0.5</v>
      </c>
      <c r="AJO66" s="430">
        <v>0.5</v>
      </c>
      <c r="AJP66" s="430">
        <v>0.5</v>
      </c>
      <c r="AJQ66" s="431">
        <v>0.5</v>
      </c>
      <c r="AJR66" s="377"/>
      <c r="AJS66" s="15"/>
      <c r="AJT66" s="15">
        <v>0.5</v>
      </c>
      <c r="AJU66" s="378">
        <v>0.5</v>
      </c>
      <c r="AJV66" s="377">
        <v>0.5</v>
      </c>
      <c r="AJW66" s="15">
        <v>0.5</v>
      </c>
      <c r="AJX66" s="15">
        <v>0.5</v>
      </c>
      <c r="AJY66" s="15">
        <v>0.5</v>
      </c>
      <c r="AJZ66" s="15">
        <v>0.5</v>
      </c>
      <c r="AKA66" s="15">
        <v>0.5</v>
      </c>
      <c r="AKB66" s="15">
        <v>0.5</v>
      </c>
      <c r="AKC66" s="15">
        <v>0.5</v>
      </c>
      <c r="AKD66" s="15"/>
      <c r="AKE66" s="15"/>
      <c r="AKF66" s="15"/>
      <c r="AKG66" s="379"/>
      <c r="AKH66" s="375"/>
      <c r="AKI66" s="380"/>
      <c r="AKJ66" s="130">
        <f>SUM(AJH66:AKI66)</f>
      </c>
      <c r="AKK66" s="121"/>
      <c r="AKL66" s="122"/>
      <c r="AKM66" s="292"/>
      <c r="AKN66" s="196"/>
      <c r="AKO66" s="196"/>
      <c r="AKP66" s="196"/>
      <c r="AKQ66" s="196"/>
      <c r="AKR66" s="196"/>
      <c r="AKS66" s="196"/>
      <c r="AKT66" s="195"/>
      <c r="AKU66" s="197"/>
      <c r="AKV66" s="196"/>
      <c r="AKW66" s="196"/>
      <c r="AKX66" s="198"/>
      <c r="AKY66" s="292"/>
      <c r="AKZ66" s="196"/>
      <c r="ALA66" s="196"/>
      <c r="ALB66" s="196"/>
      <c r="ALC66" s="196"/>
      <c r="ALD66" s="196"/>
      <c r="ALE66" s="196"/>
      <c r="ALF66" s="196"/>
      <c r="ALG66" s="196"/>
      <c r="ALH66" s="196"/>
      <c r="ALI66" s="196"/>
      <c r="ALJ66" s="195"/>
      <c r="ALK66" s="122"/>
      <c r="ALL66" s="194"/>
      <c r="ALM66" s="130">
        <f>SUM(AKK66:ALL66)</f>
      </c>
      <c r="ALN66" s="121"/>
      <c r="ALO66" s="122"/>
      <c r="ALP66" s="292"/>
      <c r="ALQ66" s="196"/>
      <c r="ALR66" s="196"/>
      <c r="ALS66" s="196"/>
      <c r="ALT66" s="196"/>
      <c r="ALU66" s="196"/>
      <c r="ALV66" s="196"/>
      <c r="ALW66" s="195"/>
      <c r="ALX66" s="197"/>
      <c r="ALY66" s="196"/>
      <c r="ALZ66" s="196"/>
      <c r="AMA66" s="198"/>
      <c r="AMB66" s="292"/>
      <c r="AMC66" s="196"/>
      <c r="AMD66" s="196"/>
      <c r="AME66" s="196"/>
      <c r="AMF66" s="196"/>
      <c r="AMG66" s="196"/>
      <c r="AMH66" s="196"/>
      <c r="AMI66" s="196"/>
      <c r="AMJ66" s="196"/>
      <c r="AMK66" s="196"/>
      <c r="AML66" s="196"/>
      <c r="AMM66" s="195"/>
      <c r="AMN66" s="122"/>
      <c r="AMO66" s="194"/>
      <c r="AMP66" s="130">
        <f>SUM(ALN66:AMO66)</f>
      </c>
      <c r="AMQ66" s="132">
        <f>AFX66+AHA66+AID66+AJG66+AKJ66+ALM66+AMP66</f>
      </c>
      <c r="AMR66" s="133">
        <f>(COUNTIF(AEV66:AMP66,"H")+COUNTIF(AEV66:AMP66,"S")+COUNTIF(AEV66:AMP66,"L")+COUNTIF(AEV66:AMP66,"E")+COUNTIF(AEV66:AMP66,"C"))/2</f>
      </c>
      <c r="AMS66" s="130">
        <f>AMQ66+AMR66</f>
      </c>
      <c r="AMT66" s="4"/>
      <c r="AMU66" s="4"/>
      <c r="AMV66" s="4"/>
      <c r="AMW66" s="4"/>
      <c r="AMX66" s="4"/>
      <c r="AMY66" s="4"/>
      <c r="AMZ66" s="4"/>
      <c r="ANA66" s="4"/>
      <c r="ANB66" s="4"/>
      <c r="ANC66" s="4"/>
      <c r="AND66" s="4"/>
      <c r="ANE66" s="4"/>
      <c r="ANF66" s="4"/>
      <c r="ANG66" s="4"/>
      <c r="ANH66" s="4"/>
      <c r="ANI66" s="4"/>
      <c r="ANJ66" s="13"/>
      <c r="ANK66" s="13"/>
      <c r="ANL66" s="4"/>
      <c r="ANM66" s="4"/>
      <c r="ANN66" s="4"/>
      <c r="ANO66" s="4"/>
      <c r="ANP66" s="4"/>
      <c r="ANQ66" s="4"/>
      <c r="ANR66" s="4"/>
      <c r="ANS66" s="4"/>
      <c r="ANT66" s="4"/>
      <c r="ANU66" s="4"/>
      <c r="ANV66" s="4"/>
      <c r="ANW66" s="4"/>
      <c r="ANX66" s="4"/>
      <c r="ANY66" s="4"/>
      <c r="ANZ66" s="4"/>
      <c r="AOA66" s="4"/>
      <c r="AOB66" s="4"/>
      <c r="AOC66" s="4"/>
      <c r="AOD66" s="4"/>
      <c r="AOE66" s="4"/>
      <c r="AOF66" s="4"/>
      <c r="AOG66" s="4"/>
      <c r="AOH66" s="4"/>
      <c r="AOI66" s="4"/>
      <c r="AOJ66" s="4"/>
      <c r="AOK66" s="4"/>
      <c r="AOL66" s="4"/>
      <c r="AOM66" s="4"/>
      <c r="AON66" s="4"/>
      <c r="AOO66" s="4"/>
      <c r="AOP66" s="4"/>
      <c r="AOQ66" s="4"/>
      <c r="AOR66" s="4"/>
      <c r="AOS66" s="4"/>
      <c r="AOT66" s="4"/>
      <c r="AOU66" s="4"/>
      <c r="AOV66" s="4"/>
      <c r="AOW66" s="4"/>
      <c r="AOX66" s="4"/>
      <c r="AOY66" s="4"/>
      <c r="AOZ66" s="4"/>
      <c r="APA66" s="4"/>
      <c r="APB66" s="4"/>
      <c r="APC66" s="4"/>
      <c r="APD66" s="4"/>
      <c r="APE66" s="4"/>
      <c r="APF66" s="4"/>
      <c r="APG66" s="4"/>
      <c r="APH66" s="4"/>
      <c r="API66" s="4"/>
      <c r="APJ66" s="4"/>
      <c r="APK66" s="4"/>
      <c r="APL66" s="4"/>
      <c r="APM66" s="4"/>
      <c r="APN66" s="4"/>
      <c r="APO66" s="4"/>
      <c r="APP66" s="4"/>
      <c r="APQ66" s="4"/>
      <c r="APR66" s="4"/>
      <c r="APS66" s="4"/>
      <c r="APT66" s="4"/>
      <c r="APU66" s="4"/>
      <c r="APV66" s="4"/>
      <c r="APW66" s="4"/>
      <c r="APX66" s="4"/>
      <c r="APY66" s="4"/>
      <c r="APZ66" s="4"/>
      <c r="AQA66" s="4"/>
      <c r="AQB66" s="4"/>
      <c r="AQC66" s="4"/>
      <c r="AQD66" s="4"/>
      <c r="AQE66" s="4"/>
      <c r="AQF66" s="4"/>
      <c r="AQG66" s="4"/>
      <c r="AQH66" s="4"/>
      <c r="AQI66" s="4"/>
      <c r="AQJ66" s="4"/>
      <c r="AQK66" s="4"/>
      <c r="AQL66" s="4"/>
      <c r="AQM66" s="4"/>
      <c r="AQN66" s="4"/>
      <c r="AQO66" s="4"/>
      <c r="AQP66" s="4"/>
      <c r="AQQ66" s="4"/>
      <c r="AQR66" s="4"/>
      <c r="AQS66" s="4"/>
      <c r="AQT66" s="4"/>
      <c r="AQU66" s="4"/>
      <c r="AQV66" s="4"/>
      <c r="AQW66" s="4"/>
      <c r="AQX66" s="4"/>
      <c r="AQY66" s="4"/>
      <c r="AQZ66" s="4"/>
      <c r="ARA66" s="4"/>
      <c r="ARB66" s="4"/>
      <c r="ARC66" s="4"/>
      <c r="ARD66" s="4"/>
      <c r="ARE66" s="4"/>
      <c r="ARF66" s="4"/>
      <c r="ARG66" s="4"/>
      <c r="ARH66" s="4"/>
      <c r="ARI66" s="4"/>
      <c r="ARJ66" s="4"/>
      <c r="ARK66" s="4"/>
      <c r="ARL66" s="4"/>
      <c r="ARM66" s="4"/>
      <c r="ARN66" s="4"/>
      <c r="ARO66" s="4"/>
      <c r="ARP66" s="4"/>
      <c r="ARQ66" s="4"/>
      <c r="ARR66" s="4"/>
      <c r="ARS66" s="4"/>
      <c r="ART66" s="4"/>
      <c r="ARU66" s="4"/>
      <c r="ARV66" s="4"/>
      <c r="ARW66" s="4"/>
      <c r="ARX66" s="4"/>
      <c r="ARY66" s="4"/>
      <c r="ARZ66" s="4"/>
      <c r="ASA66" s="4"/>
      <c r="ASB66" s="4"/>
      <c r="ASC66" s="4"/>
      <c r="ASD66" s="4"/>
      <c r="ASE66" s="4"/>
      <c r="ASF66" s="4"/>
      <c r="ASG66" s="4"/>
      <c r="ASH66" s="4"/>
      <c r="ASI66" s="4"/>
      <c r="ASJ66" s="4"/>
      <c r="ASK66" s="4"/>
      <c r="ASL66" s="4"/>
      <c r="ASM66" s="4"/>
      <c r="ASN66" s="4"/>
      <c r="ASO66" s="4"/>
      <c r="ASP66" s="4"/>
      <c r="ASQ66" s="4"/>
      <c r="ASR66" s="4"/>
      <c r="ASS66" s="4"/>
      <c r="AST66" s="4"/>
      <c r="ASU66" s="4"/>
    </row>
    <row r="67" ht="15" customHeight="1" spans="1:1191" x14ac:dyDescent="0.25">
      <c r="A67" s="118"/>
      <c r="B67" s="423" t="s">
        <v>105</v>
      </c>
      <c r="C67" s="289" t="s">
        <v>55</v>
      </c>
      <c r="D67" s="121"/>
      <c r="E67" s="122"/>
      <c r="F67" s="123"/>
      <c r="G67" s="124"/>
      <c r="H67" s="124"/>
      <c r="I67" s="124"/>
      <c r="J67" s="124"/>
      <c r="K67" s="124"/>
      <c r="L67" s="124"/>
      <c r="M67" s="125"/>
      <c r="N67" s="126"/>
      <c r="O67" s="124"/>
      <c r="P67" s="124"/>
      <c r="Q67" s="127"/>
      <c r="R67" s="123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5"/>
      <c r="AD67" s="301"/>
      <c r="AE67" s="151"/>
      <c r="AF67" s="130">
        <f>SUM(D67:AE67)</f>
      </c>
      <c r="AG67" s="121"/>
      <c r="AH67" s="122"/>
      <c r="AI67" s="123"/>
      <c r="AJ67" s="124"/>
      <c r="AK67" s="124"/>
      <c r="AL67" s="124"/>
      <c r="AM67" s="124"/>
      <c r="AN67" s="124"/>
      <c r="AO67" s="124"/>
      <c r="AP67" s="125"/>
      <c r="AQ67" s="126"/>
      <c r="AR67" s="124"/>
      <c r="AS67" s="124"/>
      <c r="AT67" s="127"/>
      <c r="AU67" s="123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5"/>
      <c r="BG67" s="301"/>
      <c r="BH67" s="151"/>
      <c r="BI67" s="130">
        <f>SUM(AG67:BH67)</f>
      </c>
      <c r="BJ67" s="121"/>
      <c r="BK67" s="122"/>
      <c r="BL67" s="123"/>
      <c r="BM67" s="124"/>
      <c r="BN67" s="124"/>
      <c r="BO67" s="124"/>
      <c r="BP67" s="124"/>
      <c r="BQ67" s="124"/>
      <c r="BR67" s="124"/>
      <c r="BS67" s="125"/>
      <c r="BT67" s="126"/>
      <c r="BU67" s="124"/>
      <c r="BV67" s="124"/>
      <c r="BW67" s="127"/>
      <c r="BX67" s="123"/>
      <c r="BY67" s="124"/>
      <c r="BZ67" s="124"/>
      <c r="CA67" s="124"/>
      <c r="CB67" s="124"/>
      <c r="CC67" s="124"/>
      <c r="CD67" s="124"/>
      <c r="CE67" s="124"/>
      <c r="CF67" s="124"/>
      <c r="CG67" s="124"/>
      <c r="CH67" s="124"/>
      <c r="CI67" s="125"/>
      <c r="CJ67" s="301"/>
      <c r="CK67" s="151"/>
      <c r="CL67" s="130">
        <f>SUM(BJ67:CK67)</f>
      </c>
      <c r="CM67" s="121"/>
      <c r="CN67" s="122"/>
      <c r="CO67" s="123"/>
      <c r="CP67" s="124"/>
      <c r="CQ67" s="124"/>
      <c r="CR67" s="124"/>
      <c r="CS67" s="124"/>
      <c r="CT67" s="124"/>
      <c r="CU67" s="124"/>
      <c r="CV67" s="125"/>
      <c r="CW67" s="126"/>
      <c r="CX67" s="124"/>
      <c r="CY67" s="124"/>
      <c r="CZ67" s="127"/>
      <c r="DA67" s="123"/>
      <c r="DB67" s="124"/>
      <c r="DC67" s="124"/>
      <c r="DD67" s="124"/>
      <c r="DE67" s="124"/>
      <c r="DF67" s="124"/>
      <c r="DG67" s="124"/>
      <c r="DH67" s="124"/>
      <c r="DI67" s="124"/>
      <c r="DJ67" s="124"/>
      <c r="DK67" s="124"/>
      <c r="DL67" s="125"/>
      <c r="DM67" s="301"/>
      <c r="DN67" s="151"/>
      <c r="DO67" s="130">
        <f>SUM(CM67:DN67)</f>
      </c>
      <c r="DP67" s="121"/>
      <c r="DQ67" s="122"/>
      <c r="DR67" s="123"/>
      <c r="DS67" s="124"/>
      <c r="DT67" s="124"/>
      <c r="DU67" s="124"/>
      <c r="DV67" s="124"/>
      <c r="DW67" s="124"/>
      <c r="DX67" s="124"/>
      <c r="DY67" s="125"/>
      <c r="DZ67" s="126"/>
      <c r="EA67" s="124"/>
      <c r="EB67" s="124"/>
      <c r="EC67" s="127"/>
      <c r="ED67" s="123"/>
      <c r="EE67" s="124"/>
      <c r="EF67" s="124"/>
      <c r="EG67" s="124"/>
      <c r="EH67" s="124"/>
      <c r="EI67" s="124"/>
      <c r="EJ67" s="124"/>
      <c r="EK67" s="124"/>
      <c r="EL67" s="124"/>
      <c r="EM67" s="124"/>
      <c r="EN67" s="124"/>
      <c r="EO67" s="125"/>
      <c r="EP67" s="301"/>
      <c r="EQ67" s="151"/>
      <c r="ER67" s="130">
        <f>SUM(DP67:EQ67)</f>
      </c>
      <c r="ES67" s="121"/>
      <c r="ET67" s="122"/>
      <c r="EU67" s="123"/>
      <c r="EV67" s="124"/>
      <c r="EW67" s="124"/>
      <c r="EX67" s="124"/>
      <c r="EY67" s="124"/>
      <c r="EZ67" s="124"/>
      <c r="FA67" s="124"/>
      <c r="FB67" s="125"/>
      <c r="FC67" s="126"/>
      <c r="FD67" s="124"/>
      <c r="FE67" s="124"/>
      <c r="FF67" s="127"/>
      <c r="FG67" s="123"/>
      <c r="FH67" s="124"/>
      <c r="FI67" s="124"/>
      <c r="FJ67" s="124"/>
      <c r="FK67" s="124"/>
      <c r="FL67" s="124"/>
      <c r="FM67" s="124"/>
      <c r="FN67" s="124"/>
      <c r="FO67" s="124"/>
      <c r="FP67" s="124"/>
      <c r="FQ67" s="124"/>
      <c r="FR67" s="125"/>
      <c r="FS67" s="301"/>
      <c r="FT67" s="151"/>
      <c r="FU67" s="130">
        <f>SUM(ES67:FT67)</f>
      </c>
      <c r="FV67" s="121"/>
      <c r="FW67" s="122"/>
      <c r="FX67" s="123"/>
      <c r="FY67" s="124"/>
      <c r="FZ67" s="124"/>
      <c r="GA67" s="124"/>
      <c r="GB67" s="124"/>
      <c r="GC67" s="124"/>
      <c r="GD67" s="124"/>
      <c r="GE67" s="125"/>
      <c r="GF67" s="126"/>
      <c r="GG67" s="124"/>
      <c r="GH67" s="124"/>
      <c r="GI67" s="127"/>
      <c r="GJ67" s="123"/>
      <c r="GK67" s="124"/>
      <c r="GL67" s="124"/>
      <c r="GM67" s="124"/>
      <c r="GN67" s="124"/>
      <c r="GO67" s="124"/>
      <c r="GP67" s="124"/>
      <c r="GQ67" s="124"/>
      <c r="GR67" s="124"/>
      <c r="GS67" s="124"/>
      <c r="GT67" s="124"/>
      <c r="GU67" s="125"/>
      <c r="GV67" s="301"/>
      <c r="GW67" s="151"/>
      <c r="GX67" s="130">
        <f>SUM(FV67:GW67)</f>
      </c>
      <c r="GY67" s="150">
        <f>AF67+BI67+CL67+DO67+ER67+FU67+GX67</f>
      </c>
      <c r="GZ67" s="302">
        <f>(COUNTIF(D67:GX67,"H")+COUNTIF(D67:GX67,"S")+COUNTIF(D67:GX67,"L")+COUNTIF(D67:GX67,"E")+COUNTIF(D67:GX67,"C"))/2</f>
      </c>
      <c r="HA67" s="131">
        <f>GY67+GZ67</f>
      </c>
      <c r="HB67" s="134"/>
      <c r="HC67" s="135"/>
      <c r="HD67" s="136"/>
      <c r="HE67" s="18" t="s">
        <v>4</v>
      </c>
      <c r="HF67" s="18" t="s">
        <v>4</v>
      </c>
      <c r="HG67" s="18" t="s">
        <v>4</v>
      </c>
      <c r="HH67" s="18" t="s">
        <v>4</v>
      </c>
      <c r="HI67" s="18" t="s">
        <v>4</v>
      </c>
      <c r="HJ67" s="18" t="s">
        <v>4</v>
      </c>
      <c r="HK67" s="222" t="s">
        <v>4</v>
      </c>
      <c r="HL67" s="223" t="s">
        <v>4</v>
      </c>
      <c r="HM67" s="137"/>
      <c r="HN67" s="137"/>
      <c r="HO67" s="224" t="s">
        <v>4</v>
      </c>
      <c r="HP67" s="225" t="s">
        <v>4</v>
      </c>
      <c r="HQ67" s="18" t="s">
        <v>4</v>
      </c>
      <c r="HR67" s="18" t="s">
        <v>4</v>
      </c>
      <c r="HS67" s="18" t="s">
        <v>4</v>
      </c>
      <c r="HT67" s="18" t="s">
        <v>4</v>
      </c>
      <c r="HU67" s="18" t="s">
        <v>4</v>
      </c>
      <c r="HV67" s="18" t="s">
        <v>4</v>
      </c>
      <c r="HW67" s="137"/>
      <c r="HX67" s="137"/>
      <c r="HY67" s="137"/>
      <c r="HZ67" s="137"/>
      <c r="IA67" s="153"/>
      <c r="IB67" s="304"/>
      <c r="IC67" s="152"/>
      <c r="ID67" s="130">
        <f>SUM(HB67:IC67)</f>
      </c>
      <c r="IE67" s="374"/>
      <c r="IF67" s="375"/>
      <c r="IG67" s="15"/>
      <c r="IH67" s="19"/>
      <c r="II67" s="19"/>
      <c r="IJ67" s="17">
        <v>0.5</v>
      </c>
      <c r="IK67" s="17">
        <v>0.5</v>
      </c>
      <c r="IL67" s="17">
        <v>0.5</v>
      </c>
      <c r="IM67" s="17">
        <v>0.5</v>
      </c>
      <c r="IN67" s="406">
        <v>0.5</v>
      </c>
      <c r="IO67" s="432">
        <v>0.5</v>
      </c>
      <c r="IP67" s="17">
        <v>0.5</v>
      </c>
      <c r="IQ67" s="19"/>
      <c r="IR67" s="323"/>
      <c r="IS67" s="405">
        <v>0.5</v>
      </c>
      <c r="IT67" s="17">
        <v>0.5</v>
      </c>
      <c r="IU67" s="17">
        <v>0.5</v>
      </c>
      <c r="IV67" s="17">
        <v>0.5</v>
      </c>
      <c r="IW67" s="17">
        <v>0.5</v>
      </c>
      <c r="IX67" s="17">
        <v>0.5</v>
      </c>
      <c r="IY67" s="17">
        <v>0.5</v>
      </c>
      <c r="IZ67" s="17">
        <v>0.5</v>
      </c>
      <c r="JA67" s="17">
        <v>0.5</v>
      </c>
      <c r="JB67" s="19"/>
      <c r="JC67" s="19"/>
      <c r="JD67" s="414"/>
      <c r="JE67" s="407"/>
      <c r="JF67" s="408"/>
      <c r="JG67" s="130">
        <f>SUM(IE67:JF67)</f>
      </c>
      <c r="JH67" s="374"/>
      <c r="JI67" s="375"/>
      <c r="JJ67" s="15"/>
      <c r="JK67" s="19"/>
      <c r="JL67" s="19"/>
      <c r="JM67" s="17">
        <v>0.5</v>
      </c>
      <c r="JN67" s="17">
        <v>0.5</v>
      </c>
      <c r="JO67" s="17">
        <v>0.5</v>
      </c>
      <c r="JP67" s="17">
        <v>0.5</v>
      </c>
      <c r="JQ67" s="406">
        <v>0.5</v>
      </c>
      <c r="JR67" s="432">
        <v>0.5</v>
      </c>
      <c r="JS67" s="17">
        <v>0.5</v>
      </c>
      <c r="JT67" s="19"/>
      <c r="JU67" s="323"/>
      <c r="JV67" s="405">
        <v>0.5</v>
      </c>
      <c r="JW67" s="17">
        <v>0.5</v>
      </c>
      <c r="JX67" s="17">
        <v>0.5</v>
      </c>
      <c r="JY67" s="17">
        <v>0.5</v>
      </c>
      <c r="JZ67" s="17">
        <v>0.5</v>
      </c>
      <c r="KA67" s="17">
        <v>0.5</v>
      </c>
      <c r="KB67" s="17">
        <v>0.5</v>
      </c>
      <c r="KC67" s="17">
        <v>0.5</v>
      </c>
      <c r="KD67" s="17">
        <v>0.5</v>
      </c>
      <c r="KE67" s="19"/>
      <c r="KF67" s="19"/>
      <c r="KG67" s="414"/>
      <c r="KH67" s="407"/>
      <c r="KI67" s="408"/>
      <c r="KJ67" s="130">
        <f>SUM(JH67:KI67)</f>
      </c>
      <c r="KK67" s="374"/>
      <c r="KL67" s="375"/>
      <c r="KM67" s="15"/>
      <c r="KN67" s="19"/>
      <c r="KO67" s="19"/>
      <c r="KP67" s="17">
        <v>0.5</v>
      </c>
      <c r="KQ67" s="17">
        <v>0.5</v>
      </c>
      <c r="KR67" s="17">
        <v>0.5</v>
      </c>
      <c r="KS67" s="17">
        <v>0.5</v>
      </c>
      <c r="KT67" s="406">
        <v>0.5</v>
      </c>
      <c r="KU67" s="432">
        <v>0.5</v>
      </c>
      <c r="KV67" s="17">
        <v>0.5</v>
      </c>
      <c r="KW67" s="19"/>
      <c r="KX67" s="323"/>
      <c r="KY67" s="405">
        <v>0.5</v>
      </c>
      <c r="KZ67" s="17">
        <v>0.5</v>
      </c>
      <c r="LA67" s="17">
        <v>0.5</v>
      </c>
      <c r="LB67" s="17">
        <v>0.5</v>
      </c>
      <c r="LC67" s="17">
        <v>0.5</v>
      </c>
      <c r="LD67" s="17">
        <v>0.5</v>
      </c>
      <c r="LE67" s="17">
        <v>0.5</v>
      </c>
      <c r="LF67" s="17">
        <v>0.5</v>
      </c>
      <c r="LG67" s="17">
        <v>0.5</v>
      </c>
      <c r="LH67" s="19"/>
      <c r="LI67" s="19"/>
      <c r="LJ67" s="414"/>
      <c r="LK67" s="407"/>
      <c r="LL67" s="408"/>
      <c r="LM67" s="130">
        <f>SUM(KK67:LL67)</f>
      </c>
      <c r="LN67" s="374"/>
      <c r="LO67" s="375"/>
      <c r="LP67" s="15"/>
      <c r="LQ67" s="19"/>
      <c r="LR67" s="19"/>
      <c r="LS67" s="17">
        <v>0.5</v>
      </c>
      <c r="LT67" s="17">
        <v>0.5</v>
      </c>
      <c r="LU67" s="17">
        <v>0.5</v>
      </c>
      <c r="LV67" s="17">
        <v>0.5</v>
      </c>
      <c r="LW67" s="406">
        <v>0.5</v>
      </c>
      <c r="LX67" s="432">
        <v>0.5</v>
      </c>
      <c r="LY67" s="17">
        <v>0.5</v>
      </c>
      <c r="LZ67" s="19"/>
      <c r="MA67" s="323"/>
      <c r="MB67" s="405">
        <v>0.5</v>
      </c>
      <c r="MC67" s="17">
        <v>0.5</v>
      </c>
      <c r="MD67" s="17">
        <v>0.5</v>
      </c>
      <c r="ME67" s="17">
        <v>0.5</v>
      </c>
      <c r="MF67" s="17">
        <v>0.5</v>
      </c>
      <c r="MG67" s="17">
        <v>0.5</v>
      </c>
      <c r="MH67" s="17">
        <v>0.5</v>
      </c>
      <c r="MI67" s="17">
        <v>0.5</v>
      </c>
      <c r="MJ67" s="17">
        <v>0.5</v>
      </c>
      <c r="MK67" s="19"/>
      <c r="ML67" s="19"/>
      <c r="MM67" s="414"/>
      <c r="MN67" s="407"/>
      <c r="MO67" s="408"/>
      <c r="MP67" s="130">
        <f>SUM(LN67:MO67)</f>
      </c>
      <c r="MQ67" s="121"/>
      <c r="MR67" s="122"/>
      <c r="MS67" s="123"/>
      <c r="MT67" s="124"/>
      <c r="MU67" s="124"/>
      <c r="MV67" s="124"/>
      <c r="MW67" s="124"/>
      <c r="MX67" s="124"/>
      <c r="MY67" s="124"/>
      <c r="MZ67" s="125"/>
      <c r="NA67" s="126"/>
      <c r="NB67" s="124"/>
      <c r="NC67" s="124"/>
      <c r="ND67" s="127"/>
      <c r="NE67" s="123"/>
      <c r="NF67" s="124"/>
      <c r="NG67" s="124"/>
      <c r="NH67" s="124"/>
      <c r="NI67" s="124"/>
      <c r="NJ67" s="124"/>
      <c r="NK67" s="124"/>
      <c r="NL67" s="124"/>
      <c r="NM67" s="124"/>
      <c r="NN67" s="124"/>
      <c r="NO67" s="124"/>
      <c r="NP67" s="125"/>
      <c r="NQ67" s="301"/>
      <c r="NR67" s="151"/>
      <c r="NS67" s="130">
        <f>SUM(MQ67:NR67)</f>
      </c>
      <c r="NT67" s="121"/>
      <c r="NU67" s="122"/>
      <c r="NV67" s="123"/>
      <c r="NW67" s="124"/>
      <c r="NX67" s="124"/>
      <c r="NY67" s="124"/>
      <c r="NZ67" s="124"/>
      <c r="OA67" s="124"/>
      <c r="OB67" s="124"/>
      <c r="OC67" s="125"/>
      <c r="OD67" s="126"/>
      <c r="OE67" s="124"/>
      <c r="OF67" s="124"/>
      <c r="OG67" s="127"/>
      <c r="OH67" s="123"/>
      <c r="OI67" s="124"/>
      <c r="OJ67" s="124"/>
      <c r="OK67" s="124"/>
      <c r="OL67" s="124"/>
      <c r="OM67" s="124"/>
      <c r="ON67" s="124"/>
      <c r="OO67" s="124"/>
      <c r="OP67" s="124"/>
      <c r="OQ67" s="124"/>
      <c r="OR67" s="124"/>
      <c r="OS67" s="125"/>
      <c r="OT67" s="301"/>
      <c r="OU67" s="151"/>
      <c r="OV67" s="130">
        <f>SUM(NT67:OU67)</f>
      </c>
      <c r="OW67" s="150">
        <f>ID67+JG67+KJ67+LM67+MP67+NS67+OV67</f>
      </c>
      <c r="OX67" s="302">
        <f>(COUNTIF(HB67:OV67,"H")+COUNTIF(HB67:OV67,"S")+COUNTIF(HB67:OV67,"L")+COUNTIF(HB67:OV67,"E")+COUNTIF(HB67:OV67,"C"))/2</f>
      </c>
      <c r="OY67" s="131">
        <f>OW67+OX67</f>
      </c>
      <c r="OZ67" s="374"/>
      <c r="PA67" s="375"/>
      <c r="PB67" s="15"/>
      <c r="PC67" s="19"/>
      <c r="PD67" s="19"/>
      <c r="PE67" s="17">
        <v>0.5</v>
      </c>
      <c r="PF67" s="17">
        <v>0.5</v>
      </c>
      <c r="PG67" s="17">
        <v>0.5</v>
      </c>
      <c r="PH67" s="17">
        <v>0.5</v>
      </c>
      <c r="PI67" s="406">
        <v>0.5</v>
      </c>
      <c r="PJ67" s="432">
        <v>0.5</v>
      </c>
      <c r="PK67" s="17">
        <v>0.5</v>
      </c>
      <c r="PL67" s="19"/>
      <c r="PM67" s="323"/>
      <c r="PN67" s="405">
        <v>0.5</v>
      </c>
      <c r="PO67" s="17">
        <v>0.5</v>
      </c>
      <c r="PP67" s="17">
        <v>0.5</v>
      </c>
      <c r="PQ67" s="17">
        <v>0.5</v>
      </c>
      <c r="PR67" s="17">
        <v>0.5</v>
      </c>
      <c r="PS67" s="17">
        <v>0.5</v>
      </c>
      <c r="PT67" s="17">
        <v>0.5</v>
      </c>
      <c r="PU67" s="17">
        <v>0.5</v>
      </c>
      <c r="PV67" s="17">
        <v>0.5</v>
      </c>
      <c r="PW67" s="19"/>
      <c r="PX67" s="19"/>
      <c r="PY67" s="414"/>
      <c r="PZ67" s="407"/>
      <c r="QA67" s="408"/>
      <c r="QB67" s="130">
        <f>SUM(OZ67:QA67)</f>
      </c>
      <c r="QC67" s="374"/>
      <c r="QD67" s="375"/>
      <c r="QE67" s="15"/>
      <c r="QF67" s="19"/>
      <c r="QG67" s="19"/>
      <c r="QH67" s="17">
        <v>0.5</v>
      </c>
      <c r="QI67" s="17">
        <v>0.5</v>
      </c>
      <c r="QJ67" s="17">
        <v>0.5</v>
      </c>
      <c r="QK67" s="17">
        <v>0.5</v>
      </c>
      <c r="QL67" s="406">
        <v>0.5</v>
      </c>
      <c r="QM67" s="432">
        <v>0.5</v>
      </c>
      <c r="QN67" s="17">
        <v>0.5</v>
      </c>
      <c r="QO67" s="19"/>
      <c r="QP67" s="323"/>
      <c r="QQ67" s="405">
        <v>0.5</v>
      </c>
      <c r="QR67" s="17">
        <v>0.5</v>
      </c>
      <c r="QS67" s="17">
        <v>0.5</v>
      </c>
      <c r="QT67" s="17">
        <v>0.5</v>
      </c>
      <c r="QU67" s="17">
        <v>0.5</v>
      </c>
      <c r="QV67" s="17">
        <v>0.5</v>
      </c>
      <c r="QW67" s="17">
        <v>0.5</v>
      </c>
      <c r="QX67" s="17">
        <v>0.5</v>
      </c>
      <c r="QY67" s="17">
        <v>0.5</v>
      </c>
      <c r="QZ67" s="19"/>
      <c r="RA67" s="19"/>
      <c r="RB67" s="414"/>
      <c r="RC67" s="407"/>
      <c r="RD67" s="408"/>
      <c r="RE67" s="130">
        <f>SUM(QC67:RD67)</f>
      </c>
      <c r="RF67" s="374"/>
      <c r="RG67" s="375"/>
      <c r="RH67" s="15"/>
      <c r="RI67" s="18" t="s">
        <v>4</v>
      </c>
      <c r="RJ67" s="18" t="s">
        <v>4</v>
      </c>
      <c r="RK67" s="18" t="s">
        <v>4</v>
      </c>
      <c r="RL67" s="18" t="s">
        <v>4</v>
      </c>
      <c r="RM67" s="18" t="s">
        <v>4</v>
      </c>
      <c r="RN67" s="18" t="s">
        <v>4</v>
      </c>
      <c r="RO67" s="222" t="s">
        <v>4</v>
      </c>
      <c r="RP67" s="412"/>
      <c r="RQ67" s="19"/>
      <c r="RR67" s="18" t="s">
        <v>4</v>
      </c>
      <c r="RS67" s="224" t="s">
        <v>4</v>
      </c>
      <c r="RT67" s="225" t="s">
        <v>4</v>
      </c>
      <c r="RU67" s="18" t="s">
        <v>4</v>
      </c>
      <c r="RV67" s="18" t="s">
        <v>4</v>
      </c>
      <c r="RW67" s="18" t="s">
        <v>4</v>
      </c>
      <c r="RX67" s="18" t="s">
        <v>4</v>
      </c>
      <c r="RY67" s="18" t="s">
        <v>4</v>
      </c>
      <c r="RZ67" s="18" t="s">
        <v>4</v>
      </c>
      <c r="SA67" s="19"/>
      <c r="SB67" s="19"/>
      <c r="SC67" s="19"/>
      <c r="SD67" s="19"/>
      <c r="SE67" s="414"/>
      <c r="SF67" s="407"/>
      <c r="SG67" s="408"/>
      <c r="SH67" s="130">
        <f>SUM(RF67:SG67)</f>
      </c>
      <c r="SI67" s="374"/>
      <c r="SJ67" s="375"/>
      <c r="SK67" s="15"/>
      <c r="SL67" s="19"/>
      <c r="SM67" s="19"/>
      <c r="SN67" s="17">
        <v>0.5</v>
      </c>
      <c r="SO67" s="17">
        <v>0.5</v>
      </c>
      <c r="SP67" s="17">
        <v>0.5</v>
      </c>
      <c r="SQ67" s="17">
        <v>0.5</v>
      </c>
      <c r="SR67" s="406">
        <v>0.5</v>
      </c>
      <c r="SS67" s="432">
        <v>0.5</v>
      </c>
      <c r="ST67" s="17">
        <v>0.5</v>
      </c>
      <c r="SU67" s="19"/>
      <c r="SV67" s="323"/>
      <c r="SW67" s="405">
        <v>0.5</v>
      </c>
      <c r="SX67" s="17">
        <v>0.5</v>
      </c>
      <c r="SY67" s="17">
        <v>0.5</v>
      </c>
      <c r="SZ67" s="17">
        <v>0.5</v>
      </c>
      <c r="TA67" s="17">
        <v>0.5</v>
      </c>
      <c r="TB67" s="17">
        <v>0.5</v>
      </c>
      <c r="TC67" s="17">
        <v>0.5</v>
      </c>
      <c r="TD67" s="17">
        <v>0.5</v>
      </c>
      <c r="TE67" s="17">
        <v>0.5</v>
      </c>
      <c r="TF67" s="19"/>
      <c r="TG67" s="19"/>
      <c r="TH67" s="414"/>
      <c r="TI67" s="407"/>
      <c r="TJ67" s="408"/>
      <c r="TK67" s="130">
        <f>SUM(SI67:TJ67)</f>
      </c>
      <c r="TL67" s="374"/>
      <c r="TM67" s="375"/>
      <c r="TN67" s="15"/>
      <c r="TO67" s="19"/>
      <c r="TP67" s="19"/>
      <c r="TQ67" s="17">
        <v>0.5</v>
      </c>
      <c r="TR67" s="17">
        <v>0.5</v>
      </c>
      <c r="TS67" s="17">
        <v>0.5</v>
      </c>
      <c r="TT67" s="17">
        <v>0.5</v>
      </c>
      <c r="TU67" s="406">
        <v>0.5</v>
      </c>
      <c r="TV67" s="432">
        <v>0.5</v>
      </c>
      <c r="TW67" s="17">
        <v>0.5</v>
      </c>
      <c r="TX67" s="19"/>
      <c r="TY67" s="323"/>
      <c r="TZ67" s="405">
        <v>0.5</v>
      </c>
      <c r="UA67" s="17">
        <v>0.5</v>
      </c>
      <c r="UB67" s="17">
        <v>0.5</v>
      </c>
      <c r="UC67" s="17">
        <v>0.5</v>
      </c>
      <c r="UD67" s="17">
        <v>0.5</v>
      </c>
      <c r="UE67" s="17">
        <v>0.5</v>
      </c>
      <c r="UF67" s="17">
        <v>0.5</v>
      </c>
      <c r="UG67" s="17">
        <v>0.5</v>
      </c>
      <c r="UH67" s="17">
        <v>0.5</v>
      </c>
      <c r="UI67" s="19"/>
      <c r="UJ67" s="19"/>
      <c r="UK67" s="414"/>
      <c r="UL67" s="407"/>
      <c r="UM67" s="408"/>
      <c r="UN67" s="130">
        <f>SUM(TL67:UM67)</f>
      </c>
      <c r="UO67" s="121"/>
      <c r="UP67" s="122"/>
      <c r="UQ67" s="123"/>
      <c r="UR67" s="124"/>
      <c r="US67" s="124"/>
      <c r="UT67" s="124"/>
      <c r="UU67" s="124"/>
      <c r="UV67" s="124"/>
      <c r="UW67" s="124"/>
      <c r="UX67" s="125"/>
      <c r="UY67" s="126"/>
      <c r="UZ67" s="124"/>
      <c r="VA67" s="124"/>
      <c r="VB67" s="127"/>
      <c r="VC67" s="123"/>
      <c r="VD67" s="124"/>
      <c r="VE67" s="124"/>
      <c r="VF67" s="124"/>
      <c r="VG67" s="124"/>
      <c r="VH67" s="124"/>
      <c r="VI67" s="124"/>
      <c r="VJ67" s="124"/>
      <c r="VK67" s="124"/>
      <c r="VL67" s="124"/>
      <c r="VM67" s="124"/>
      <c r="VN67" s="125"/>
      <c r="VO67" s="301"/>
      <c r="VP67" s="151"/>
      <c r="VQ67" s="130">
        <f>SUM(UO67:VP67)</f>
      </c>
      <c r="VR67" s="121"/>
      <c r="VS67" s="122"/>
      <c r="VT67" s="123"/>
      <c r="VU67" s="124"/>
      <c r="VV67" s="124"/>
      <c r="VW67" s="124"/>
      <c r="VX67" s="124"/>
      <c r="VY67" s="124"/>
      <c r="VZ67" s="124"/>
      <c r="WA67" s="125"/>
      <c r="WB67" s="126"/>
      <c r="WC67" s="124"/>
      <c r="WD67" s="124"/>
      <c r="WE67" s="127"/>
      <c r="WF67" s="123"/>
      <c r="WG67" s="124"/>
      <c r="WH67" s="124"/>
      <c r="WI67" s="124"/>
      <c r="WJ67" s="124"/>
      <c r="WK67" s="124"/>
      <c r="WL67" s="124"/>
      <c r="WM67" s="124"/>
      <c r="WN67" s="124"/>
      <c r="WO67" s="124"/>
      <c r="WP67" s="124"/>
      <c r="WQ67" s="125"/>
      <c r="WR67" s="301"/>
      <c r="WS67" s="151"/>
      <c r="WT67" s="130">
        <f>SUM(VR67:WS67)</f>
      </c>
      <c r="WU67" s="150">
        <f>QB67+RE67+SH67+TK67+UN67+VQ67+WT67</f>
      </c>
      <c r="WV67" s="302">
        <f>(COUNTIF(OZ67:WT67,"H")+COUNTIF(OZ67:WT67,"S")+COUNTIF(OZ67:WT67,"L")+COUNTIF(OZ67:WT67,"E")+COUNTIF(OZ67:WT67,"C"))/2</f>
      </c>
      <c r="WW67" s="131">
        <f>WU67+WV67</f>
      </c>
      <c r="WX67" s="374"/>
      <c r="WY67" s="375"/>
      <c r="WZ67" s="376"/>
      <c r="XA67" s="15"/>
      <c r="XB67" s="15"/>
      <c r="XC67" s="393">
        <v>0.5</v>
      </c>
      <c r="XD67" s="393">
        <v>0.5</v>
      </c>
      <c r="XE67" s="393">
        <v>0.5</v>
      </c>
      <c r="XF67" s="393">
        <v>0.5</v>
      </c>
      <c r="XG67" s="394">
        <v>0.5</v>
      </c>
      <c r="XH67" s="395">
        <v>0.5</v>
      </c>
      <c r="XI67" s="393">
        <v>0.5</v>
      </c>
      <c r="XJ67" s="15"/>
      <c r="XK67" s="392"/>
      <c r="XL67" s="396">
        <v>0.5</v>
      </c>
      <c r="XM67" s="393">
        <v>0.5</v>
      </c>
      <c r="XN67" s="393">
        <v>0.5</v>
      </c>
      <c r="XO67" s="393">
        <v>0.5</v>
      </c>
      <c r="XP67" s="393">
        <v>0.5</v>
      </c>
      <c r="XQ67" s="393">
        <v>0.5</v>
      </c>
      <c r="XR67" s="393">
        <v>0.5</v>
      </c>
      <c r="XS67" s="393">
        <v>0.5</v>
      </c>
      <c r="XT67" s="393">
        <v>0.5</v>
      </c>
      <c r="XU67" s="15"/>
      <c r="XV67" s="15"/>
      <c r="XW67" s="379"/>
      <c r="XX67" s="407"/>
      <c r="XY67" s="408"/>
      <c r="XZ67" s="130">
        <f>SUM(WX67:XY67)</f>
      </c>
      <c r="YA67" s="374"/>
      <c r="YB67" s="375"/>
      <c r="YC67" s="376"/>
      <c r="YD67" s="15"/>
      <c r="YE67" s="15"/>
      <c r="YF67" s="393">
        <v>0.5</v>
      </c>
      <c r="YG67" s="393">
        <v>0.5</v>
      </c>
      <c r="YH67" s="393">
        <v>0.5</v>
      </c>
      <c r="YI67" s="393">
        <v>0.5</v>
      </c>
      <c r="YJ67" s="394">
        <v>0.5</v>
      </c>
      <c r="YK67" s="395">
        <v>0.5</v>
      </c>
      <c r="YL67" s="393">
        <v>0.5</v>
      </c>
      <c r="YM67" s="15"/>
      <c r="YN67" s="392"/>
      <c r="YO67" s="396">
        <v>0.5</v>
      </c>
      <c r="YP67" s="393">
        <v>0.5</v>
      </c>
      <c r="YQ67" s="393">
        <v>0.5</v>
      </c>
      <c r="YR67" s="393">
        <v>0.5</v>
      </c>
      <c r="YS67" s="393">
        <v>0.5</v>
      </c>
      <c r="YT67" s="393">
        <v>0.5</v>
      </c>
      <c r="YU67" s="393">
        <v>0.5</v>
      </c>
      <c r="YV67" s="393">
        <v>0.5</v>
      </c>
      <c r="YW67" s="393">
        <v>0.5</v>
      </c>
      <c r="YX67" s="15"/>
      <c r="YY67" s="15"/>
      <c r="YZ67" s="379"/>
      <c r="ZA67" s="407"/>
      <c r="ZB67" s="408"/>
      <c r="ZC67" s="130">
        <f>SUM(YA67:ZB67)</f>
      </c>
      <c r="ZD67" s="374"/>
      <c r="ZE67" s="375"/>
      <c r="ZF67" s="376"/>
      <c r="ZG67" s="15"/>
      <c r="ZH67" s="15"/>
      <c r="ZI67" s="393">
        <v>0.5</v>
      </c>
      <c r="ZJ67" s="393">
        <v>0.5</v>
      </c>
      <c r="ZK67" s="393">
        <v>0.5</v>
      </c>
      <c r="ZL67" s="393">
        <v>0.5</v>
      </c>
      <c r="ZM67" s="394">
        <v>0.5</v>
      </c>
      <c r="ZN67" s="395">
        <v>0.5</v>
      </c>
      <c r="ZO67" s="393">
        <v>0.5</v>
      </c>
      <c r="ZP67" s="15"/>
      <c r="ZQ67" s="392"/>
      <c r="ZR67" s="396">
        <v>0.5</v>
      </c>
      <c r="ZS67" s="393">
        <v>0.5</v>
      </c>
      <c r="ZT67" s="393">
        <v>0.5</v>
      </c>
      <c r="ZU67" s="393">
        <v>0.5</v>
      </c>
      <c r="ZV67" s="393">
        <v>0.5</v>
      </c>
      <c r="ZW67" s="393">
        <v>0.5</v>
      </c>
      <c r="ZX67" s="393">
        <v>0.5</v>
      </c>
      <c r="ZY67" s="393">
        <v>0.5</v>
      </c>
      <c r="ZZ67" s="393">
        <v>0.5</v>
      </c>
      <c r="AAA67" s="15"/>
      <c r="AAB67" s="15"/>
      <c r="AAC67" s="379"/>
      <c r="AAD67" s="407"/>
      <c r="AAE67" s="408"/>
      <c r="AAF67" s="130">
        <f>SUM(ZD67:AAE67)</f>
      </c>
      <c r="AAG67" s="374"/>
      <c r="AAH67" s="375"/>
      <c r="AAI67" s="15"/>
      <c r="AAJ67" s="19"/>
      <c r="AAK67" s="19"/>
      <c r="AAL67" s="25">
        <v>0.5</v>
      </c>
      <c r="AAM67" s="25">
        <v>0.5</v>
      </c>
      <c r="AAN67" s="25">
        <v>0.5</v>
      </c>
      <c r="AAO67" s="25">
        <v>0.5</v>
      </c>
      <c r="AAP67" s="418">
        <v>0.5</v>
      </c>
      <c r="AAQ67" s="421">
        <v>0.5</v>
      </c>
      <c r="AAR67" s="25">
        <v>0.5</v>
      </c>
      <c r="AAS67" s="19"/>
      <c r="AAT67" s="323"/>
      <c r="AAU67" s="420">
        <v>0.5</v>
      </c>
      <c r="AAV67" s="25">
        <v>0.5</v>
      </c>
      <c r="AAW67" s="25">
        <v>0.5</v>
      </c>
      <c r="AAX67" s="25">
        <v>0.5</v>
      </c>
      <c r="AAY67" s="25">
        <v>0.5</v>
      </c>
      <c r="AAZ67" s="25">
        <v>0.5</v>
      </c>
      <c r="ABA67" s="25">
        <v>0.5</v>
      </c>
      <c r="ABB67" s="25">
        <v>0.5</v>
      </c>
      <c r="ABC67" s="25">
        <v>0.5</v>
      </c>
      <c r="ABD67" s="19"/>
      <c r="ABE67" s="19"/>
      <c r="ABF67" s="414"/>
      <c r="ABG67" s="407"/>
      <c r="ABH67" s="408"/>
      <c r="ABI67" s="130">
        <f>SUM(AAG67:ABH67)</f>
      </c>
      <c r="ABJ67" s="374"/>
      <c r="ABK67" s="375"/>
      <c r="ABL67" s="15"/>
      <c r="ABM67" s="19"/>
      <c r="ABN67" s="19"/>
      <c r="ABO67" s="25">
        <v>0.5</v>
      </c>
      <c r="ABP67" s="25">
        <v>0.5</v>
      </c>
      <c r="ABQ67" s="25">
        <v>0.5</v>
      </c>
      <c r="ABR67" s="25">
        <v>0.5</v>
      </c>
      <c r="ABS67" s="418">
        <v>0.5</v>
      </c>
      <c r="ABT67" s="421">
        <v>0.5</v>
      </c>
      <c r="ABU67" s="25">
        <v>0.5</v>
      </c>
      <c r="ABV67" s="19"/>
      <c r="ABW67" s="323"/>
      <c r="ABX67" s="420">
        <v>0.5</v>
      </c>
      <c r="ABY67" s="25">
        <v>0.5</v>
      </c>
      <c r="ABZ67" s="25">
        <v>0.5</v>
      </c>
      <c r="ACA67" s="25">
        <v>0.5</v>
      </c>
      <c r="ACB67" s="25">
        <v>0.5</v>
      </c>
      <c r="ACC67" s="25">
        <v>0.5</v>
      </c>
      <c r="ACD67" s="25">
        <v>0.5</v>
      </c>
      <c r="ACE67" s="25">
        <v>0.5</v>
      </c>
      <c r="ACF67" s="25">
        <v>0.5</v>
      </c>
      <c r="ACG67" s="19"/>
      <c r="ACH67" s="19"/>
      <c r="ACI67" s="414"/>
      <c r="ACJ67" s="407"/>
      <c r="ACK67" s="408"/>
      <c r="ACL67" s="130">
        <f>SUM(ABJ67:ACK67)</f>
      </c>
      <c r="ACM67" s="121"/>
      <c r="ACN67" s="122"/>
      <c r="ACO67" s="123"/>
      <c r="ACP67" s="124"/>
      <c r="ACQ67" s="124"/>
      <c r="ACR67" s="124"/>
      <c r="ACS67" s="124"/>
      <c r="ACT67" s="124"/>
      <c r="ACU67" s="124"/>
      <c r="ACV67" s="125"/>
      <c r="ACW67" s="126"/>
      <c r="ACX67" s="124"/>
      <c r="ACY67" s="124"/>
      <c r="ACZ67" s="127"/>
      <c r="ADA67" s="123"/>
      <c r="ADB67" s="124"/>
      <c r="ADC67" s="124"/>
      <c r="ADD67" s="124"/>
      <c r="ADE67" s="124"/>
      <c r="ADF67" s="124"/>
      <c r="ADG67" s="124"/>
      <c r="ADH67" s="124"/>
      <c r="ADI67" s="124"/>
      <c r="ADJ67" s="124"/>
      <c r="ADK67" s="124"/>
      <c r="ADL67" s="125"/>
      <c r="ADM67" s="301"/>
      <c r="ADN67" s="151"/>
      <c r="ADO67" s="130">
        <f>SUM(ACM67:ADN67)</f>
      </c>
      <c r="ADP67" s="121"/>
      <c r="ADQ67" s="122"/>
      <c r="ADR67" s="123"/>
      <c r="ADS67" s="124"/>
      <c r="ADT67" s="124"/>
      <c r="ADU67" s="124"/>
      <c r="ADV67" s="124"/>
      <c r="ADW67" s="124"/>
      <c r="ADX67" s="124"/>
      <c r="ADY67" s="125"/>
      <c r="ADZ67" s="126"/>
      <c r="AEA67" s="124"/>
      <c r="AEB67" s="124"/>
      <c r="AEC67" s="127"/>
      <c r="AED67" s="123"/>
      <c r="AEE67" s="124"/>
      <c r="AEF67" s="124"/>
      <c r="AEG67" s="124"/>
      <c r="AEH67" s="124"/>
      <c r="AEI67" s="124"/>
      <c r="AEJ67" s="124"/>
      <c r="AEK67" s="124"/>
      <c r="AEL67" s="124"/>
      <c r="AEM67" s="124"/>
      <c r="AEN67" s="124"/>
      <c r="AEO67" s="125"/>
      <c r="AEP67" s="301"/>
      <c r="AEQ67" s="151"/>
      <c r="AER67" s="130">
        <f>SUM(ADP67:AEQ67)</f>
      </c>
      <c r="AES67" s="150">
        <f>XZ67+ZC67+AAF67+ABI67+ACL67+ADO67+AER67</f>
      </c>
      <c r="AET67" s="302">
        <f>(COUNTIF(WX67:AER67,"H")+COUNTIF(WX67:AER67,"S")+COUNTIF(WX67:AER67,"L")+COUNTIF(WX67:AER67,"E")+COUNTIF(WX67:AER67,"C"))/2</f>
      </c>
      <c r="AEU67" s="131">
        <f>AES67+AET67</f>
      </c>
      <c r="AEV67" s="374"/>
      <c r="AEW67" s="375"/>
      <c r="AEX67" s="15"/>
      <c r="AEY67" s="19"/>
      <c r="AEZ67" s="19"/>
      <c r="AFA67" s="17">
        <v>0.5</v>
      </c>
      <c r="AFB67" s="17">
        <v>0.5</v>
      </c>
      <c r="AFC67" s="17">
        <v>0.5</v>
      </c>
      <c r="AFD67" s="17">
        <v>0.5</v>
      </c>
      <c r="AFE67" s="406">
        <v>0.5</v>
      </c>
      <c r="AFF67" s="432">
        <v>0.5</v>
      </c>
      <c r="AFG67" s="17">
        <v>0.5</v>
      </c>
      <c r="AFH67" s="19"/>
      <c r="AFI67" s="323"/>
      <c r="AFJ67" s="405">
        <v>0.5</v>
      </c>
      <c r="AFK67" s="17">
        <v>0.5</v>
      </c>
      <c r="AFL67" s="17">
        <v>0.5</v>
      </c>
      <c r="AFM67" s="17">
        <v>0.5</v>
      </c>
      <c r="AFN67" s="17">
        <v>0.5</v>
      </c>
      <c r="AFO67" s="17">
        <v>0.5</v>
      </c>
      <c r="AFP67" s="17">
        <v>0.5</v>
      </c>
      <c r="AFQ67" s="17">
        <v>0.5</v>
      </c>
      <c r="AFR67" s="17">
        <v>0.5</v>
      </c>
      <c r="AFS67" s="19"/>
      <c r="AFT67" s="19"/>
      <c r="AFU67" s="414"/>
      <c r="AFV67" s="407"/>
      <c r="AFW67" s="408"/>
      <c r="AFX67" s="130">
        <f>SUM(AEV67:AFW67)</f>
      </c>
      <c r="AFY67" s="374"/>
      <c r="AFZ67" s="375"/>
      <c r="AGA67" s="15"/>
      <c r="AGB67" s="19"/>
      <c r="AGC67" s="19"/>
      <c r="AGD67" s="17">
        <v>0.5</v>
      </c>
      <c r="AGE67" s="17">
        <v>0.5</v>
      </c>
      <c r="AGF67" s="17">
        <v>0.5</v>
      </c>
      <c r="AGG67" s="17">
        <v>0.5</v>
      </c>
      <c r="AGH67" s="406">
        <v>0.5</v>
      </c>
      <c r="AGI67" s="432">
        <v>0.5</v>
      </c>
      <c r="AGJ67" s="17">
        <v>0.5</v>
      </c>
      <c r="AGK67" s="19"/>
      <c r="AGL67" s="323"/>
      <c r="AGM67" s="405">
        <v>0.5</v>
      </c>
      <c r="AGN67" s="17">
        <v>0.5</v>
      </c>
      <c r="AGO67" s="17">
        <v>0.5</v>
      </c>
      <c r="AGP67" s="17">
        <v>0.5</v>
      </c>
      <c r="AGQ67" s="17">
        <v>0.5</v>
      </c>
      <c r="AGR67" s="17">
        <v>0.5</v>
      </c>
      <c r="AGS67" s="17">
        <v>0.5</v>
      </c>
      <c r="AGT67" s="17">
        <v>0.5</v>
      </c>
      <c r="AGU67" s="17">
        <v>0.5</v>
      </c>
      <c r="AGV67" s="19"/>
      <c r="AGW67" s="19"/>
      <c r="AGX67" s="414"/>
      <c r="AGY67" s="407"/>
      <c r="AGZ67" s="408"/>
      <c r="AHA67" s="130">
        <f>SUM(AFY67:AGZ67)</f>
      </c>
      <c r="AHB67" s="374"/>
      <c r="AHC67" s="375"/>
      <c r="AHD67" s="15"/>
      <c r="AHE67" s="19"/>
      <c r="AHF67" s="19"/>
      <c r="AHG67" s="17">
        <v>0.5</v>
      </c>
      <c r="AHH67" s="17">
        <v>0.5</v>
      </c>
      <c r="AHI67" s="17">
        <v>0.5</v>
      </c>
      <c r="AHJ67" s="17">
        <v>0.5</v>
      </c>
      <c r="AHK67" s="406">
        <v>0.5</v>
      </c>
      <c r="AHL67" s="432">
        <v>0.5</v>
      </c>
      <c r="AHM67" s="17">
        <v>0.5</v>
      </c>
      <c r="AHN67" s="19"/>
      <c r="AHO67" s="323"/>
      <c r="AHP67" s="405">
        <v>0.5</v>
      </c>
      <c r="AHQ67" s="17">
        <v>0.5</v>
      </c>
      <c r="AHR67" s="17">
        <v>0.5</v>
      </c>
      <c r="AHS67" s="17">
        <v>0.5</v>
      </c>
      <c r="AHT67" s="17">
        <v>0.5</v>
      </c>
      <c r="AHU67" s="17">
        <v>0.5</v>
      </c>
      <c r="AHV67" s="17">
        <v>0.5</v>
      </c>
      <c r="AHW67" s="17">
        <v>0.5</v>
      </c>
      <c r="AHX67" s="17">
        <v>0.5</v>
      </c>
      <c r="AHY67" s="19"/>
      <c r="AHZ67" s="19"/>
      <c r="AIA67" s="414"/>
      <c r="AIB67" s="407"/>
      <c r="AIC67" s="408"/>
      <c r="AID67" s="130">
        <f>SUM(AHB67:AIC67)</f>
      </c>
      <c r="AIE67" s="374"/>
      <c r="AIF67" s="375"/>
      <c r="AIG67" s="15"/>
      <c r="AIH67" s="19"/>
      <c r="AII67" s="19"/>
      <c r="AIJ67" s="17">
        <v>0.5</v>
      </c>
      <c r="AIK67" s="17">
        <v>0.5</v>
      </c>
      <c r="AIL67" s="17">
        <v>0.5</v>
      </c>
      <c r="AIM67" s="17">
        <v>0.5</v>
      </c>
      <c r="AIN67" s="406">
        <v>0.5</v>
      </c>
      <c r="AIO67" s="432">
        <v>0.5</v>
      </c>
      <c r="AIP67" s="17">
        <v>0.5</v>
      </c>
      <c r="AIQ67" s="19"/>
      <c r="AIR67" s="323"/>
      <c r="AIS67" s="405">
        <v>0.5</v>
      </c>
      <c r="AIT67" s="17">
        <v>0.5</v>
      </c>
      <c r="AIU67" s="17">
        <v>0.5</v>
      </c>
      <c r="AIV67" s="17">
        <v>0.5</v>
      </c>
      <c r="AIW67" s="17">
        <v>0.5</v>
      </c>
      <c r="AIX67" s="17">
        <v>0.5</v>
      </c>
      <c r="AIY67" s="17">
        <v>0.5</v>
      </c>
      <c r="AIZ67" s="17">
        <v>0.5</v>
      </c>
      <c r="AJA67" s="17">
        <v>0.5</v>
      </c>
      <c r="AJB67" s="19"/>
      <c r="AJC67" s="19"/>
      <c r="AJD67" s="414"/>
      <c r="AJE67" s="407"/>
      <c r="AJF67" s="408"/>
      <c r="AJG67" s="130">
        <f>SUM(AIE67:AJF67)</f>
      </c>
      <c r="AJH67" s="374"/>
      <c r="AJI67" s="375"/>
      <c r="AJJ67" s="15"/>
      <c r="AJK67" s="19"/>
      <c r="AJL67" s="19"/>
      <c r="AJM67" s="17">
        <v>0.5</v>
      </c>
      <c r="AJN67" s="17">
        <v>0.5</v>
      </c>
      <c r="AJO67" s="17">
        <v>0.5</v>
      </c>
      <c r="AJP67" s="17">
        <v>0.5</v>
      </c>
      <c r="AJQ67" s="406">
        <v>0.5</v>
      </c>
      <c r="AJR67" s="432">
        <v>0.5</v>
      </c>
      <c r="AJS67" s="17">
        <v>0.5</v>
      </c>
      <c r="AJT67" s="19"/>
      <c r="AJU67" s="323"/>
      <c r="AJV67" s="405">
        <v>0.5</v>
      </c>
      <c r="AJW67" s="17">
        <v>0.5</v>
      </c>
      <c r="AJX67" s="17">
        <v>0.5</v>
      </c>
      <c r="AJY67" s="17">
        <v>0.5</v>
      </c>
      <c r="AJZ67" s="17">
        <v>0.5</v>
      </c>
      <c r="AKA67" s="17">
        <v>0.5</v>
      </c>
      <c r="AKB67" s="17">
        <v>0.5</v>
      </c>
      <c r="AKC67" s="17">
        <v>0.5</v>
      </c>
      <c r="AKD67" s="17">
        <v>0.5</v>
      </c>
      <c r="AKE67" s="19"/>
      <c r="AKF67" s="19"/>
      <c r="AKG67" s="414"/>
      <c r="AKH67" s="407"/>
      <c r="AKI67" s="408"/>
      <c r="AKJ67" s="130">
        <f>SUM(AJH67:AKI67)</f>
      </c>
      <c r="AKK67" s="121"/>
      <c r="AKL67" s="122"/>
      <c r="AKM67" s="123"/>
      <c r="AKN67" s="124"/>
      <c r="AKO67" s="124"/>
      <c r="AKP67" s="124"/>
      <c r="AKQ67" s="124"/>
      <c r="AKR67" s="124"/>
      <c r="AKS67" s="124"/>
      <c r="AKT67" s="125"/>
      <c r="AKU67" s="126"/>
      <c r="AKV67" s="124"/>
      <c r="AKW67" s="124"/>
      <c r="AKX67" s="127"/>
      <c r="AKY67" s="123"/>
      <c r="AKZ67" s="124"/>
      <c r="ALA67" s="124"/>
      <c r="ALB67" s="124"/>
      <c r="ALC67" s="124"/>
      <c r="ALD67" s="124"/>
      <c r="ALE67" s="124"/>
      <c r="ALF67" s="124"/>
      <c r="ALG67" s="124"/>
      <c r="ALH67" s="124"/>
      <c r="ALI67" s="124"/>
      <c r="ALJ67" s="125"/>
      <c r="ALK67" s="301"/>
      <c r="ALL67" s="151"/>
      <c r="ALM67" s="130">
        <f>SUM(AKK67:ALL67)</f>
      </c>
      <c r="ALN67" s="121"/>
      <c r="ALO67" s="122"/>
      <c r="ALP67" s="123"/>
      <c r="ALQ67" s="124"/>
      <c r="ALR67" s="124"/>
      <c r="ALS67" s="124"/>
      <c r="ALT67" s="124"/>
      <c r="ALU67" s="124"/>
      <c r="ALV67" s="124"/>
      <c r="ALW67" s="125"/>
      <c r="ALX67" s="126"/>
      <c r="ALY67" s="124"/>
      <c r="ALZ67" s="124"/>
      <c r="AMA67" s="127"/>
      <c r="AMB67" s="123"/>
      <c r="AMC67" s="124"/>
      <c r="AMD67" s="124"/>
      <c r="AME67" s="124"/>
      <c r="AMF67" s="124"/>
      <c r="AMG67" s="124"/>
      <c r="AMH67" s="124"/>
      <c r="AMI67" s="124"/>
      <c r="AMJ67" s="124"/>
      <c r="AMK67" s="124"/>
      <c r="AML67" s="124"/>
      <c r="AMM67" s="125"/>
      <c r="AMN67" s="301"/>
      <c r="AMO67" s="151"/>
      <c r="AMP67" s="130">
        <f>SUM(ALN67:AMO67)</f>
      </c>
      <c r="AMQ67" s="150">
        <f>AFX67+AHA67+AID67+AJG67+AKJ67+ALM67+AMP67</f>
      </c>
      <c r="AMR67" s="302">
        <f>(COUNTIF(AEV67:AMP67,"H")+COUNTIF(AEV67:AMP67,"S")+COUNTIF(AEV67:AMP67,"L")+COUNTIF(AEV67:AMP67,"E")+COUNTIF(AEV67:AMP67,"C"))/2</f>
      </c>
      <c r="AMS67" s="131">
        <f>AMQ67+AMR67</f>
      </c>
      <c r="AMT67" s="4"/>
      <c r="AMU67" s="4"/>
      <c r="AMV67" s="4"/>
      <c r="AMW67" s="4"/>
      <c r="AMX67" s="4"/>
      <c r="AMY67" s="4"/>
      <c r="AMZ67" s="4"/>
      <c r="ANA67" s="4"/>
      <c r="ANB67" s="4"/>
      <c r="ANC67" s="4"/>
      <c r="AND67" s="4"/>
      <c r="ANE67" s="4"/>
      <c r="ANF67" s="4"/>
      <c r="ANG67" s="4"/>
      <c r="ANH67" s="4"/>
      <c r="ANI67" s="4"/>
      <c r="ANJ67" s="13"/>
      <c r="ANK67" s="13"/>
      <c r="ANL67" s="4"/>
      <c r="ANM67" s="4"/>
      <c r="ANN67" s="4"/>
      <c r="ANO67" s="4"/>
      <c r="ANP67" s="4"/>
      <c r="ANQ67" s="4"/>
      <c r="ANR67" s="4"/>
      <c r="ANS67" s="4"/>
      <c r="ANT67" s="4"/>
      <c r="ANU67" s="4"/>
      <c r="ANV67" s="4"/>
      <c r="ANW67" s="4"/>
      <c r="ANX67" s="4"/>
      <c r="ANY67" s="4"/>
      <c r="ANZ67" s="4"/>
      <c r="AOA67" s="4"/>
      <c r="AOB67" s="4"/>
      <c r="AOC67" s="4"/>
      <c r="AOD67" s="4"/>
      <c r="AOE67" s="4"/>
      <c r="AOF67" s="4"/>
      <c r="AOG67" s="4"/>
      <c r="AOH67" s="4"/>
      <c r="AOI67" s="4"/>
      <c r="AOJ67" s="4"/>
      <c r="AOK67" s="4"/>
      <c r="AOL67" s="4"/>
      <c r="AOM67" s="4"/>
      <c r="AON67" s="4"/>
      <c r="AOO67" s="4"/>
      <c r="AOP67" s="4"/>
      <c r="AOQ67" s="4"/>
      <c r="AOR67" s="4"/>
      <c r="AOS67" s="4"/>
      <c r="AOT67" s="4"/>
      <c r="AOU67" s="4"/>
      <c r="AOV67" s="4"/>
      <c r="AOW67" s="4"/>
      <c r="AOX67" s="4"/>
      <c r="AOY67" s="4"/>
      <c r="AOZ67" s="4"/>
      <c r="APA67" s="4"/>
      <c r="APB67" s="4"/>
      <c r="APC67" s="4"/>
      <c r="APD67" s="4"/>
      <c r="APE67" s="4"/>
      <c r="APF67" s="4"/>
      <c r="APG67" s="4"/>
      <c r="APH67" s="4"/>
      <c r="API67" s="4"/>
      <c r="APJ67" s="4"/>
      <c r="APK67" s="4"/>
      <c r="APL67" s="4"/>
      <c r="APM67" s="4"/>
      <c r="APN67" s="4"/>
      <c r="APO67" s="4"/>
      <c r="APP67" s="4"/>
      <c r="APQ67" s="4"/>
      <c r="APR67" s="4"/>
      <c r="APS67" s="4"/>
      <c r="APT67" s="4"/>
      <c r="APU67" s="4"/>
      <c r="APV67" s="4"/>
      <c r="APW67" s="4"/>
      <c r="APX67" s="4"/>
      <c r="APY67" s="4"/>
      <c r="APZ67" s="4"/>
      <c r="AQA67" s="4"/>
      <c r="AQB67" s="4"/>
      <c r="AQC67" s="4"/>
      <c r="AQD67" s="4"/>
      <c r="AQE67" s="4"/>
      <c r="AQF67" s="4"/>
      <c r="AQG67" s="4"/>
      <c r="AQH67" s="4"/>
      <c r="AQI67" s="4"/>
      <c r="AQJ67" s="4"/>
      <c r="AQK67" s="4"/>
      <c r="AQL67" s="4"/>
      <c r="AQM67" s="4"/>
      <c r="AQN67" s="4"/>
      <c r="AQO67" s="4"/>
      <c r="AQP67" s="4"/>
      <c r="AQQ67" s="4"/>
      <c r="AQR67" s="4"/>
      <c r="AQS67" s="4"/>
      <c r="AQT67" s="4"/>
      <c r="AQU67" s="4"/>
      <c r="AQV67" s="4"/>
      <c r="AQW67" s="4"/>
      <c r="AQX67" s="4"/>
      <c r="AQY67" s="4"/>
      <c r="AQZ67" s="4"/>
      <c r="ARA67" s="4"/>
      <c r="ARB67" s="4"/>
      <c r="ARC67" s="4"/>
      <c r="ARD67" s="4"/>
      <c r="ARE67" s="4"/>
      <c r="ARF67" s="4"/>
      <c r="ARG67" s="4"/>
      <c r="ARH67" s="4"/>
      <c r="ARI67" s="4"/>
      <c r="ARJ67" s="4"/>
      <c r="ARK67" s="4"/>
      <c r="ARL67" s="4"/>
      <c r="ARM67" s="4"/>
      <c r="ARN67" s="4"/>
      <c r="ARO67" s="4"/>
      <c r="ARP67" s="4"/>
      <c r="ARQ67" s="4"/>
      <c r="ARR67" s="4"/>
      <c r="ARS67" s="4"/>
      <c r="ART67" s="4"/>
      <c r="ARU67" s="4"/>
      <c r="ARV67" s="4"/>
      <c r="ARW67" s="4"/>
      <c r="ARX67" s="4"/>
      <c r="ARY67" s="4"/>
      <c r="ARZ67" s="4"/>
      <c r="ASA67" s="4"/>
      <c r="ASB67" s="4"/>
      <c r="ASC67" s="4"/>
      <c r="ASD67" s="4"/>
      <c r="ASE67" s="4"/>
      <c r="ASF67" s="4"/>
      <c r="ASG67" s="4"/>
      <c r="ASH67" s="4"/>
      <c r="ASI67" s="4"/>
      <c r="ASJ67" s="4"/>
      <c r="ASK67" s="4"/>
      <c r="ASL67" s="4"/>
      <c r="ASM67" s="4"/>
      <c r="ASN67" s="4"/>
      <c r="ASO67" s="4"/>
      <c r="ASP67" s="4"/>
      <c r="ASQ67" s="4"/>
      <c r="ASR67" s="4"/>
      <c r="ASS67" s="4"/>
      <c r="AST67" s="4"/>
      <c r="ASU67" s="4"/>
    </row>
    <row r="68" ht="15" customHeight="1" spans="1:1191" x14ac:dyDescent="0.25">
      <c r="A68" s="118"/>
      <c r="B68" s="403" t="s">
        <v>106</v>
      </c>
      <c r="C68" s="289" t="s">
        <v>55</v>
      </c>
      <c r="D68" s="121"/>
      <c r="E68" s="122"/>
      <c r="F68" s="123"/>
      <c r="G68" s="124"/>
      <c r="H68" s="124"/>
      <c r="I68" s="124"/>
      <c r="J68" s="124"/>
      <c r="K68" s="124"/>
      <c r="L68" s="124"/>
      <c r="M68" s="125"/>
      <c r="N68" s="126"/>
      <c r="O68" s="124"/>
      <c r="P68" s="124"/>
      <c r="Q68" s="127"/>
      <c r="R68" s="123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5"/>
      <c r="AD68" s="301"/>
      <c r="AE68" s="151"/>
      <c r="AF68" s="131">
        <f>SUM(D68:AE68)</f>
      </c>
      <c r="AG68" s="121"/>
      <c r="AH68" s="122"/>
      <c r="AI68" s="123"/>
      <c r="AJ68" s="124"/>
      <c r="AK68" s="124"/>
      <c r="AL68" s="124"/>
      <c r="AM68" s="124"/>
      <c r="AN68" s="124"/>
      <c r="AO68" s="124"/>
      <c r="AP68" s="125"/>
      <c r="AQ68" s="126"/>
      <c r="AR68" s="124"/>
      <c r="AS68" s="124"/>
      <c r="AT68" s="127"/>
      <c r="AU68" s="123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5"/>
      <c r="BG68" s="301"/>
      <c r="BH68" s="151"/>
      <c r="BI68" s="131">
        <f>SUM(AG68:BH68)</f>
      </c>
      <c r="BJ68" s="121"/>
      <c r="BK68" s="122"/>
      <c r="BL68" s="123"/>
      <c r="BM68" s="124"/>
      <c r="BN68" s="124"/>
      <c r="BO68" s="124"/>
      <c r="BP68" s="124"/>
      <c r="BQ68" s="124"/>
      <c r="BR68" s="124"/>
      <c r="BS68" s="125"/>
      <c r="BT68" s="126"/>
      <c r="BU68" s="124"/>
      <c r="BV68" s="124"/>
      <c r="BW68" s="127"/>
      <c r="BX68" s="123"/>
      <c r="BY68" s="124"/>
      <c r="BZ68" s="124"/>
      <c r="CA68" s="124"/>
      <c r="CB68" s="124"/>
      <c r="CC68" s="124"/>
      <c r="CD68" s="124"/>
      <c r="CE68" s="124"/>
      <c r="CF68" s="124"/>
      <c r="CG68" s="124"/>
      <c r="CH68" s="124"/>
      <c r="CI68" s="125"/>
      <c r="CJ68" s="301"/>
      <c r="CK68" s="151"/>
      <c r="CL68" s="131">
        <f>SUM(BJ68:CK68)</f>
      </c>
      <c r="CM68" s="121"/>
      <c r="CN68" s="122"/>
      <c r="CO68" s="123"/>
      <c r="CP68" s="124"/>
      <c r="CQ68" s="124"/>
      <c r="CR68" s="124"/>
      <c r="CS68" s="124"/>
      <c r="CT68" s="124"/>
      <c r="CU68" s="124"/>
      <c r="CV68" s="125"/>
      <c r="CW68" s="126"/>
      <c r="CX68" s="124"/>
      <c r="CY68" s="124"/>
      <c r="CZ68" s="127"/>
      <c r="DA68" s="123"/>
      <c r="DB68" s="124"/>
      <c r="DC68" s="124"/>
      <c r="DD68" s="124"/>
      <c r="DE68" s="124"/>
      <c r="DF68" s="124"/>
      <c r="DG68" s="124"/>
      <c r="DH68" s="124"/>
      <c r="DI68" s="124"/>
      <c r="DJ68" s="124"/>
      <c r="DK68" s="124"/>
      <c r="DL68" s="125"/>
      <c r="DM68" s="301"/>
      <c r="DN68" s="151"/>
      <c r="DO68" s="131">
        <f>SUM(CM68:DN68)</f>
      </c>
      <c r="DP68" s="121"/>
      <c r="DQ68" s="122"/>
      <c r="DR68" s="123"/>
      <c r="DS68" s="124"/>
      <c r="DT68" s="124"/>
      <c r="DU68" s="124"/>
      <c r="DV68" s="124"/>
      <c r="DW68" s="124"/>
      <c r="DX68" s="124"/>
      <c r="DY68" s="125"/>
      <c r="DZ68" s="126"/>
      <c r="EA68" s="124"/>
      <c r="EB68" s="124"/>
      <c r="EC68" s="127"/>
      <c r="ED68" s="123"/>
      <c r="EE68" s="124"/>
      <c r="EF68" s="124"/>
      <c r="EG68" s="124"/>
      <c r="EH68" s="124"/>
      <c r="EI68" s="124"/>
      <c r="EJ68" s="124"/>
      <c r="EK68" s="124"/>
      <c r="EL68" s="124"/>
      <c r="EM68" s="124"/>
      <c r="EN68" s="124"/>
      <c r="EO68" s="125"/>
      <c r="EP68" s="301"/>
      <c r="EQ68" s="151"/>
      <c r="ER68" s="131">
        <f>SUM(DP68:EQ68)</f>
      </c>
      <c r="ES68" s="121"/>
      <c r="ET68" s="122"/>
      <c r="EU68" s="123"/>
      <c r="EV68" s="124"/>
      <c r="EW68" s="124"/>
      <c r="EX68" s="124"/>
      <c r="EY68" s="124"/>
      <c r="EZ68" s="124"/>
      <c r="FA68" s="124"/>
      <c r="FB68" s="125"/>
      <c r="FC68" s="126"/>
      <c r="FD68" s="124"/>
      <c r="FE68" s="124"/>
      <c r="FF68" s="127"/>
      <c r="FG68" s="123"/>
      <c r="FH68" s="124"/>
      <c r="FI68" s="124"/>
      <c r="FJ68" s="124"/>
      <c r="FK68" s="124"/>
      <c r="FL68" s="124"/>
      <c r="FM68" s="124"/>
      <c r="FN68" s="124"/>
      <c r="FO68" s="124"/>
      <c r="FP68" s="124"/>
      <c r="FQ68" s="124"/>
      <c r="FR68" s="125"/>
      <c r="FS68" s="301"/>
      <c r="FT68" s="151"/>
      <c r="FU68" s="131">
        <f>SUM(ES68:FT68)</f>
      </c>
      <c r="FV68" s="121"/>
      <c r="FW68" s="122"/>
      <c r="FX68" s="123"/>
      <c r="FY68" s="124"/>
      <c r="FZ68" s="124"/>
      <c r="GA68" s="124"/>
      <c r="GB68" s="124"/>
      <c r="GC68" s="124"/>
      <c r="GD68" s="124"/>
      <c r="GE68" s="125"/>
      <c r="GF68" s="126"/>
      <c r="GG68" s="124"/>
      <c r="GH68" s="124"/>
      <c r="GI68" s="127"/>
      <c r="GJ68" s="123"/>
      <c r="GK68" s="124"/>
      <c r="GL68" s="124"/>
      <c r="GM68" s="124"/>
      <c r="GN68" s="124"/>
      <c r="GO68" s="124"/>
      <c r="GP68" s="124"/>
      <c r="GQ68" s="124"/>
      <c r="GR68" s="124"/>
      <c r="GS68" s="124"/>
      <c r="GT68" s="124"/>
      <c r="GU68" s="125"/>
      <c r="GV68" s="301"/>
      <c r="GW68" s="151"/>
      <c r="GX68" s="131">
        <f>SUM(FV68:GW68)</f>
      </c>
      <c r="GY68" s="150">
        <f>AF68+BI68+CL68+DO68+ER68+FU68+GX68</f>
      </c>
      <c r="GZ68" s="302">
        <f>(COUNTIF(D68:GX68,"H")+COUNTIF(D68:GX68,"S")+COUNTIF(D68:GX68,"L")+COUNTIF(D68:GX68,"E")+COUNTIF(D68:GX68,"C"))/2</f>
      </c>
      <c r="HA68" s="131">
        <f>GY68+GZ68</f>
      </c>
      <c r="HB68" s="374"/>
      <c r="HC68" s="375"/>
      <c r="HD68" s="15"/>
      <c r="HE68" s="17">
        <v>0.5</v>
      </c>
      <c r="HF68" s="17">
        <v>0.5</v>
      </c>
      <c r="HG68" s="17">
        <v>0.5</v>
      </c>
      <c r="HH68" s="17">
        <v>0.5</v>
      </c>
      <c r="HI68" s="17">
        <v>0.5</v>
      </c>
      <c r="HJ68" s="17">
        <v>0.5</v>
      </c>
      <c r="HK68" s="406">
        <v>0.5</v>
      </c>
      <c r="HL68" s="412"/>
      <c r="HM68" s="19"/>
      <c r="HN68" s="143">
        <v>0.5</v>
      </c>
      <c r="HO68" s="340">
        <v>0.5</v>
      </c>
      <c r="HP68" s="339">
        <v>0.5</v>
      </c>
      <c r="HQ68" s="143">
        <v>0.5</v>
      </c>
      <c r="HR68" s="143">
        <v>0.5</v>
      </c>
      <c r="HS68" s="143">
        <v>0.5</v>
      </c>
      <c r="HT68" s="143">
        <v>0.5</v>
      </c>
      <c r="HU68" s="143">
        <v>0.5</v>
      </c>
      <c r="HV68" s="143">
        <v>0.5</v>
      </c>
      <c r="HW68" s="19"/>
      <c r="HX68" s="19"/>
      <c r="HY68" s="19"/>
      <c r="HZ68" s="19"/>
      <c r="IA68" s="414"/>
      <c r="IB68" s="407"/>
      <c r="IC68" s="408"/>
      <c r="ID68" s="131">
        <f>SUM(HB68:IC68)</f>
      </c>
      <c r="IE68" s="374"/>
      <c r="IF68" s="375"/>
      <c r="IG68" s="15"/>
      <c r="IH68" s="17">
        <v>0.5</v>
      </c>
      <c r="II68" s="17">
        <v>0.5</v>
      </c>
      <c r="IJ68" s="17">
        <v>0.5</v>
      </c>
      <c r="IK68" s="17">
        <v>0.5</v>
      </c>
      <c r="IL68" s="17">
        <v>0.5</v>
      </c>
      <c r="IM68" s="17">
        <v>0.5</v>
      </c>
      <c r="IN68" s="406">
        <v>0.5</v>
      </c>
      <c r="IO68" s="412"/>
      <c r="IP68" s="19"/>
      <c r="IQ68" s="143">
        <v>0.5</v>
      </c>
      <c r="IR68" s="340">
        <v>0.5</v>
      </c>
      <c r="IS68" s="339">
        <v>0.5</v>
      </c>
      <c r="IT68" s="143">
        <v>0.5</v>
      </c>
      <c r="IU68" s="143">
        <v>0.5</v>
      </c>
      <c r="IV68" s="143">
        <v>0.5</v>
      </c>
      <c r="IW68" s="143">
        <v>0.5</v>
      </c>
      <c r="IX68" s="143">
        <v>0.5</v>
      </c>
      <c r="IY68" s="143">
        <v>0.5</v>
      </c>
      <c r="IZ68" s="19"/>
      <c r="JA68" s="19"/>
      <c r="JB68" s="19"/>
      <c r="JC68" s="19"/>
      <c r="JD68" s="414"/>
      <c r="JE68" s="407"/>
      <c r="JF68" s="408"/>
      <c r="JG68" s="131">
        <f>SUM(IE68:JF68)</f>
      </c>
      <c r="JH68" s="374"/>
      <c r="JI68" s="375"/>
      <c r="JJ68" s="15"/>
      <c r="JK68" s="17">
        <v>0.5</v>
      </c>
      <c r="JL68" s="17">
        <v>0.5</v>
      </c>
      <c r="JM68" s="17">
        <v>0.5</v>
      </c>
      <c r="JN68" s="17">
        <v>0.5</v>
      </c>
      <c r="JO68" s="17">
        <v>0.5</v>
      </c>
      <c r="JP68" s="17">
        <v>0.5</v>
      </c>
      <c r="JQ68" s="406">
        <v>0.5</v>
      </c>
      <c r="JR68" s="412"/>
      <c r="JS68" s="19"/>
      <c r="JT68" s="143">
        <v>0.5</v>
      </c>
      <c r="JU68" s="340">
        <v>0.5</v>
      </c>
      <c r="JV68" s="339">
        <v>0.5</v>
      </c>
      <c r="JW68" s="143">
        <v>0.5</v>
      </c>
      <c r="JX68" s="143">
        <v>0.5</v>
      </c>
      <c r="JY68" s="143">
        <v>0.5</v>
      </c>
      <c r="JZ68" s="143">
        <v>0.5</v>
      </c>
      <c r="KA68" s="143">
        <v>0.5</v>
      </c>
      <c r="KB68" s="143">
        <v>0.5</v>
      </c>
      <c r="KC68" s="19"/>
      <c r="KD68" s="19"/>
      <c r="KE68" s="19"/>
      <c r="KF68" s="19"/>
      <c r="KG68" s="414"/>
      <c r="KH68" s="407"/>
      <c r="KI68" s="408"/>
      <c r="KJ68" s="131">
        <f>SUM(JH68:KI68)</f>
      </c>
      <c r="KK68" s="374"/>
      <c r="KL68" s="375"/>
      <c r="KM68" s="15"/>
      <c r="KN68" s="17">
        <v>0.5</v>
      </c>
      <c r="KO68" s="17">
        <v>0.5</v>
      </c>
      <c r="KP68" s="17">
        <v>0.5</v>
      </c>
      <c r="KQ68" s="17">
        <v>0.5</v>
      </c>
      <c r="KR68" s="17">
        <v>0.5</v>
      </c>
      <c r="KS68" s="17">
        <v>0.5</v>
      </c>
      <c r="KT68" s="406">
        <v>0.5</v>
      </c>
      <c r="KU68" s="412"/>
      <c r="KV68" s="19"/>
      <c r="KW68" s="143">
        <v>0.5</v>
      </c>
      <c r="KX68" s="340">
        <v>0.5</v>
      </c>
      <c r="KY68" s="339">
        <v>0.5</v>
      </c>
      <c r="KZ68" s="143">
        <v>0.5</v>
      </c>
      <c r="LA68" s="143">
        <v>0.5</v>
      </c>
      <c r="LB68" s="143">
        <v>0.5</v>
      </c>
      <c r="LC68" s="143">
        <v>0.5</v>
      </c>
      <c r="LD68" s="143">
        <v>0.5</v>
      </c>
      <c r="LE68" s="143">
        <v>0.5</v>
      </c>
      <c r="LF68" s="19"/>
      <c r="LG68" s="19"/>
      <c r="LH68" s="19"/>
      <c r="LI68" s="19"/>
      <c r="LJ68" s="414"/>
      <c r="LK68" s="407"/>
      <c r="LL68" s="408"/>
      <c r="LM68" s="131">
        <f>SUM(KK68:LL68)</f>
      </c>
      <c r="LN68" s="374"/>
      <c r="LO68" s="375"/>
      <c r="LP68" s="15"/>
      <c r="LQ68" s="17">
        <v>0.5</v>
      </c>
      <c r="LR68" s="17">
        <v>0.5</v>
      </c>
      <c r="LS68" s="17">
        <v>0.5</v>
      </c>
      <c r="LT68" s="17">
        <v>0.5</v>
      </c>
      <c r="LU68" s="17">
        <v>0.5</v>
      </c>
      <c r="LV68" s="17">
        <v>0.5</v>
      </c>
      <c r="LW68" s="406">
        <v>0.5</v>
      </c>
      <c r="LX68" s="412"/>
      <c r="LY68" s="19"/>
      <c r="LZ68" s="143">
        <v>0.5</v>
      </c>
      <c r="MA68" s="340">
        <v>0.5</v>
      </c>
      <c r="MB68" s="339">
        <v>0.5</v>
      </c>
      <c r="MC68" s="143">
        <v>0.5</v>
      </c>
      <c r="MD68" s="143">
        <v>0.5</v>
      </c>
      <c r="ME68" s="143">
        <v>0.5</v>
      </c>
      <c r="MF68" s="143">
        <v>0.5</v>
      </c>
      <c r="MG68" s="143">
        <v>0.5</v>
      </c>
      <c r="MH68" s="143">
        <v>0.5</v>
      </c>
      <c r="MI68" s="19"/>
      <c r="MJ68" s="19"/>
      <c r="MK68" s="19"/>
      <c r="ML68" s="19"/>
      <c r="MM68" s="414"/>
      <c r="MN68" s="407"/>
      <c r="MO68" s="408"/>
      <c r="MP68" s="131">
        <f>SUM(LN68:MO68)</f>
      </c>
      <c r="MQ68" s="121"/>
      <c r="MR68" s="122"/>
      <c r="MS68" s="123"/>
      <c r="MT68" s="124"/>
      <c r="MU68" s="124"/>
      <c r="MV68" s="124"/>
      <c r="MW68" s="124"/>
      <c r="MX68" s="124"/>
      <c r="MY68" s="124"/>
      <c r="MZ68" s="125"/>
      <c r="NA68" s="126"/>
      <c r="NB68" s="124"/>
      <c r="NC68" s="124"/>
      <c r="ND68" s="127"/>
      <c r="NE68" s="123"/>
      <c r="NF68" s="124"/>
      <c r="NG68" s="124"/>
      <c r="NH68" s="124"/>
      <c r="NI68" s="124"/>
      <c r="NJ68" s="124"/>
      <c r="NK68" s="124"/>
      <c r="NL68" s="124"/>
      <c r="NM68" s="124"/>
      <c r="NN68" s="124"/>
      <c r="NO68" s="124"/>
      <c r="NP68" s="125"/>
      <c r="NQ68" s="301"/>
      <c r="NR68" s="151"/>
      <c r="NS68" s="131">
        <f>SUM(MQ68:NR68)</f>
      </c>
      <c r="NT68" s="121"/>
      <c r="NU68" s="122"/>
      <c r="NV68" s="123"/>
      <c r="NW68" s="124"/>
      <c r="NX68" s="124"/>
      <c r="NY68" s="124"/>
      <c r="NZ68" s="124"/>
      <c r="OA68" s="124"/>
      <c r="OB68" s="124"/>
      <c r="OC68" s="125"/>
      <c r="OD68" s="126"/>
      <c r="OE68" s="124"/>
      <c r="OF68" s="124"/>
      <c r="OG68" s="127"/>
      <c r="OH68" s="123"/>
      <c r="OI68" s="124"/>
      <c r="OJ68" s="124"/>
      <c r="OK68" s="124"/>
      <c r="OL68" s="124"/>
      <c r="OM68" s="124"/>
      <c r="ON68" s="124"/>
      <c r="OO68" s="124"/>
      <c r="OP68" s="124"/>
      <c r="OQ68" s="124"/>
      <c r="OR68" s="124"/>
      <c r="OS68" s="125"/>
      <c r="OT68" s="301"/>
      <c r="OU68" s="151"/>
      <c r="OV68" s="131">
        <f>SUM(NT68:OU68)</f>
      </c>
      <c r="OW68" s="150">
        <f>ID68+JG68+KJ68+LM68+MP68+NS68+OV68</f>
      </c>
      <c r="OX68" s="302">
        <f>(COUNTIF(HB68:OV68,"H")+COUNTIF(HB68:OV68,"S")+COUNTIF(HB68:OV68,"L")+COUNTIF(HB68:OV68,"E")+COUNTIF(HB68:OV68,"C"))/2</f>
      </c>
      <c r="OY68" s="131">
        <f>OW68+OX68</f>
      </c>
      <c r="OZ68" s="374"/>
      <c r="PA68" s="375"/>
      <c r="PB68" s="15"/>
      <c r="PC68" s="143">
        <v>0.5</v>
      </c>
      <c r="PD68" s="143">
        <v>0.5</v>
      </c>
      <c r="PE68" s="143">
        <v>0.5</v>
      </c>
      <c r="PF68" s="143">
        <v>0.5</v>
      </c>
      <c r="PG68" s="143">
        <v>0.5</v>
      </c>
      <c r="PH68" s="143">
        <v>0.5</v>
      </c>
      <c r="PI68" s="154">
        <v>0.5</v>
      </c>
      <c r="PJ68" s="404">
        <v>0.5</v>
      </c>
      <c r="PK68" s="143">
        <v>0.5</v>
      </c>
      <c r="PL68" s="19"/>
      <c r="PM68" s="323"/>
      <c r="PN68" s="339">
        <v>0.5</v>
      </c>
      <c r="PO68" s="143">
        <v>0.5</v>
      </c>
      <c r="PP68" s="143">
        <v>0.5</v>
      </c>
      <c r="PQ68" s="143">
        <v>0.5</v>
      </c>
      <c r="PR68" s="143">
        <v>0.5</v>
      </c>
      <c r="PS68" s="143">
        <v>0.5</v>
      </c>
      <c r="PT68" s="143">
        <v>0.5</v>
      </c>
      <c r="PU68" s="19"/>
      <c r="PV68" s="19"/>
      <c r="PW68" s="19"/>
      <c r="PX68" s="19"/>
      <c r="PY68" s="414"/>
      <c r="PZ68" s="407"/>
      <c r="QA68" s="408"/>
      <c r="QB68" s="131">
        <f>SUM(OZ68:QA68)</f>
      </c>
      <c r="QC68" s="374"/>
      <c r="QD68" s="375"/>
      <c r="QE68" s="15"/>
      <c r="QF68" s="143">
        <v>0.5</v>
      </c>
      <c r="QG68" s="143">
        <v>0.5</v>
      </c>
      <c r="QH68" s="143">
        <v>0.5</v>
      </c>
      <c r="QI68" s="143">
        <v>0.5</v>
      </c>
      <c r="QJ68" s="143">
        <v>0.5</v>
      </c>
      <c r="QK68" s="143">
        <v>0.5</v>
      </c>
      <c r="QL68" s="154">
        <v>0.5</v>
      </c>
      <c r="QM68" s="404">
        <v>0.5</v>
      </c>
      <c r="QN68" s="143">
        <v>0.5</v>
      </c>
      <c r="QO68" s="19"/>
      <c r="QP68" s="323"/>
      <c r="QQ68" s="433">
        <v>0.5</v>
      </c>
      <c r="QR68" s="30">
        <v>0.5</v>
      </c>
      <c r="QS68" s="30">
        <v>0.5</v>
      </c>
      <c r="QT68" s="30">
        <v>0.5</v>
      </c>
      <c r="QU68" s="30">
        <v>0.5</v>
      </c>
      <c r="QV68" s="30">
        <v>0.5</v>
      </c>
      <c r="QW68" s="143">
        <v>0.5</v>
      </c>
      <c r="QX68" s="19"/>
      <c r="QY68" s="19"/>
      <c r="QZ68" s="19"/>
      <c r="RA68" s="19"/>
      <c r="RB68" s="414"/>
      <c r="RC68" s="407"/>
      <c r="RD68" s="408"/>
      <c r="RE68" s="131">
        <f>SUM(QC68:RD68)</f>
      </c>
      <c r="RF68" s="374"/>
      <c r="RG68" s="375"/>
      <c r="RH68" s="15"/>
      <c r="RI68" s="143">
        <v>0.5</v>
      </c>
      <c r="RJ68" s="143">
        <v>0.5</v>
      </c>
      <c r="RK68" s="143">
        <v>0.5</v>
      </c>
      <c r="RL68" s="143">
        <v>0.5</v>
      </c>
      <c r="RM68" s="143">
        <v>0.5</v>
      </c>
      <c r="RN68" s="143">
        <v>0.5</v>
      </c>
      <c r="RO68" s="154">
        <v>0.5</v>
      </c>
      <c r="RP68" s="404">
        <v>0.5</v>
      </c>
      <c r="RQ68" s="143">
        <v>0.5</v>
      </c>
      <c r="RR68" s="19"/>
      <c r="RS68" s="323"/>
      <c r="RT68" s="339">
        <v>0.5</v>
      </c>
      <c r="RU68" s="143">
        <v>0.5</v>
      </c>
      <c r="RV68" s="143">
        <v>0.5</v>
      </c>
      <c r="RW68" s="143">
        <v>0.5</v>
      </c>
      <c r="RX68" s="143">
        <v>0.5</v>
      </c>
      <c r="RY68" s="143">
        <v>0.5</v>
      </c>
      <c r="RZ68" s="143">
        <v>0.5</v>
      </c>
      <c r="SA68" s="19"/>
      <c r="SB68" s="19"/>
      <c r="SC68" s="19"/>
      <c r="SD68" s="19"/>
      <c r="SE68" s="414"/>
      <c r="SF68" s="407"/>
      <c r="SG68" s="408"/>
      <c r="SH68" s="131">
        <f>SUM(RF68:SG68)</f>
      </c>
      <c r="SI68" s="374"/>
      <c r="SJ68" s="375"/>
      <c r="SK68" s="15"/>
      <c r="SL68" s="143">
        <v>0.5</v>
      </c>
      <c r="SM68" s="143">
        <v>0.5</v>
      </c>
      <c r="SN68" s="143">
        <v>0.5</v>
      </c>
      <c r="SO68" s="143">
        <v>0.5</v>
      </c>
      <c r="SP68" s="143">
        <v>0.5</v>
      </c>
      <c r="SQ68" s="143">
        <v>0.5</v>
      </c>
      <c r="SR68" s="154">
        <v>0.5</v>
      </c>
      <c r="SS68" s="404">
        <v>0.5</v>
      </c>
      <c r="ST68" s="143">
        <v>0.5</v>
      </c>
      <c r="SU68" s="19"/>
      <c r="SV68" s="323"/>
      <c r="SW68" s="433">
        <v>0.5</v>
      </c>
      <c r="SX68" s="30">
        <v>0.5</v>
      </c>
      <c r="SY68" s="30">
        <v>0.5</v>
      </c>
      <c r="SZ68" s="30">
        <v>0.5</v>
      </c>
      <c r="TA68" s="30">
        <v>0.5</v>
      </c>
      <c r="TB68" s="30">
        <v>0.5</v>
      </c>
      <c r="TC68" s="143">
        <v>0.5</v>
      </c>
      <c r="TD68" s="19"/>
      <c r="TE68" s="19"/>
      <c r="TF68" s="19"/>
      <c r="TG68" s="19"/>
      <c r="TH68" s="414"/>
      <c r="TI68" s="407"/>
      <c r="TJ68" s="408"/>
      <c r="TK68" s="131">
        <f>SUM(SI68:TJ68)</f>
      </c>
      <c r="TL68" s="374"/>
      <c r="TM68" s="375"/>
      <c r="TN68" s="15"/>
      <c r="TO68" s="143">
        <v>0.5</v>
      </c>
      <c r="TP68" s="143">
        <v>0.5</v>
      </c>
      <c r="TQ68" s="143">
        <v>0.5</v>
      </c>
      <c r="TR68" s="143">
        <v>0.5</v>
      </c>
      <c r="TS68" s="143">
        <v>0.5</v>
      </c>
      <c r="TT68" s="143">
        <v>0.5</v>
      </c>
      <c r="TU68" s="154">
        <v>0.5</v>
      </c>
      <c r="TV68" s="404">
        <v>0.5</v>
      </c>
      <c r="TW68" s="143">
        <v>0.5</v>
      </c>
      <c r="TX68" s="19"/>
      <c r="TY68" s="323"/>
      <c r="TZ68" s="339">
        <v>0.5</v>
      </c>
      <c r="UA68" s="143">
        <v>0.5</v>
      </c>
      <c r="UB68" s="143">
        <v>0.5</v>
      </c>
      <c r="UC68" s="143">
        <v>0.5</v>
      </c>
      <c r="UD68" s="143">
        <v>0.5</v>
      </c>
      <c r="UE68" s="143">
        <v>0.5</v>
      </c>
      <c r="UF68" s="143">
        <v>0.5</v>
      </c>
      <c r="UG68" s="19"/>
      <c r="UH68" s="19"/>
      <c r="UI68" s="19"/>
      <c r="UJ68" s="19"/>
      <c r="UK68" s="414"/>
      <c r="UL68" s="407"/>
      <c r="UM68" s="408"/>
      <c r="UN68" s="131">
        <f>SUM(TL68:UM68)</f>
      </c>
      <c r="UO68" s="121"/>
      <c r="UP68" s="122"/>
      <c r="UQ68" s="123"/>
      <c r="UR68" s="124"/>
      <c r="US68" s="124"/>
      <c r="UT68" s="124"/>
      <c r="UU68" s="124"/>
      <c r="UV68" s="124"/>
      <c r="UW68" s="124"/>
      <c r="UX68" s="125"/>
      <c r="UY68" s="126"/>
      <c r="UZ68" s="124"/>
      <c r="VA68" s="124"/>
      <c r="VB68" s="127"/>
      <c r="VC68" s="123"/>
      <c r="VD68" s="124"/>
      <c r="VE68" s="124"/>
      <c r="VF68" s="124"/>
      <c r="VG68" s="124"/>
      <c r="VH68" s="124"/>
      <c r="VI68" s="124"/>
      <c r="VJ68" s="124"/>
      <c r="VK68" s="124"/>
      <c r="VL68" s="124"/>
      <c r="VM68" s="124"/>
      <c r="VN68" s="125"/>
      <c r="VO68" s="301"/>
      <c r="VP68" s="151"/>
      <c r="VQ68" s="131">
        <f>SUM(UO68:VP68)</f>
      </c>
      <c r="VR68" s="121"/>
      <c r="VS68" s="122"/>
      <c r="VT68" s="123"/>
      <c r="VU68" s="124"/>
      <c r="VV68" s="124"/>
      <c r="VW68" s="124"/>
      <c r="VX68" s="124"/>
      <c r="VY68" s="124"/>
      <c r="VZ68" s="124"/>
      <c r="WA68" s="125"/>
      <c r="WB68" s="126"/>
      <c r="WC68" s="124"/>
      <c r="WD68" s="124"/>
      <c r="WE68" s="127"/>
      <c r="WF68" s="123"/>
      <c r="WG68" s="124"/>
      <c r="WH68" s="124"/>
      <c r="WI68" s="124"/>
      <c r="WJ68" s="124"/>
      <c r="WK68" s="124"/>
      <c r="WL68" s="124"/>
      <c r="WM68" s="124"/>
      <c r="WN68" s="124"/>
      <c r="WO68" s="124"/>
      <c r="WP68" s="124"/>
      <c r="WQ68" s="125"/>
      <c r="WR68" s="301"/>
      <c r="WS68" s="151"/>
      <c r="WT68" s="131">
        <f>SUM(VR68:WS68)</f>
      </c>
      <c r="WU68" s="150">
        <f>QB68+RE68+SH68+TK68+UN68+VQ68+WT68</f>
      </c>
      <c r="WV68" s="302">
        <f>(COUNTIF(OZ68:WT68,"H")+COUNTIF(OZ68:WT68,"S")+COUNTIF(OZ68:WT68,"L")+COUNTIF(OZ68:WT68,"E")+COUNTIF(OZ68:WT68,"C"))/2</f>
      </c>
      <c r="WW68" s="131">
        <f>WU68+WV68</f>
      </c>
      <c r="WX68" s="374"/>
      <c r="WY68" s="375"/>
      <c r="WZ68" s="15"/>
      <c r="XA68" s="25">
        <v>0.5</v>
      </c>
      <c r="XB68" s="25">
        <v>0.5</v>
      </c>
      <c r="XC68" s="25">
        <v>0.5</v>
      </c>
      <c r="XD68" s="25">
        <v>0.5</v>
      </c>
      <c r="XE68" s="25">
        <v>0.5</v>
      </c>
      <c r="XF68" s="25">
        <v>0.5</v>
      </c>
      <c r="XG68" s="418">
        <v>0.5</v>
      </c>
      <c r="XH68" s="412"/>
      <c r="XI68" s="19"/>
      <c r="XJ68" s="25">
        <v>0.5</v>
      </c>
      <c r="XK68" s="419">
        <v>0.5</v>
      </c>
      <c r="XL68" s="420">
        <v>0.5</v>
      </c>
      <c r="XM68" s="25">
        <v>0.5</v>
      </c>
      <c r="XN68" s="25">
        <v>0.5</v>
      </c>
      <c r="XO68" s="25">
        <v>0.5</v>
      </c>
      <c r="XP68" s="25">
        <v>0.5</v>
      </c>
      <c r="XQ68" s="25">
        <v>0.5</v>
      </c>
      <c r="XR68" s="25">
        <v>0.5</v>
      </c>
      <c r="XS68" s="19"/>
      <c r="XT68" s="19"/>
      <c r="XU68" s="19"/>
      <c r="XV68" s="19"/>
      <c r="XW68" s="414"/>
      <c r="XX68" s="407"/>
      <c r="XY68" s="408"/>
      <c r="XZ68" s="131">
        <f>SUM(WX68:XY68)</f>
      </c>
      <c r="YA68" s="374"/>
      <c r="YB68" s="375"/>
      <c r="YC68" s="15"/>
      <c r="YD68" s="25">
        <v>0.5</v>
      </c>
      <c r="YE68" s="25">
        <v>0.5</v>
      </c>
      <c r="YF68" s="25">
        <v>0.5</v>
      </c>
      <c r="YG68" s="25">
        <v>0.5</v>
      </c>
      <c r="YH68" s="25">
        <v>0.5</v>
      </c>
      <c r="YI68" s="25">
        <v>0.5</v>
      </c>
      <c r="YJ68" s="418">
        <v>0.5</v>
      </c>
      <c r="YK68" s="421">
        <v>0.5</v>
      </c>
      <c r="YL68" s="25">
        <v>0.5</v>
      </c>
      <c r="YM68" s="19"/>
      <c r="YN68" s="323"/>
      <c r="YO68" s="433">
        <v>0.5</v>
      </c>
      <c r="YP68" s="30">
        <v>0.5</v>
      </c>
      <c r="YQ68" s="30">
        <v>0.5</v>
      </c>
      <c r="YR68" s="30">
        <v>0.5</v>
      </c>
      <c r="YS68" s="30">
        <v>0.5</v>
      </c>
      <c r="YT68" s="30">
        <v>0.5</v>
      </c>
      <c r="YU68" s="25">
        <v>0.5</v>
      </c>
      <c r="YV68" s="19"/>
      <c r="YW68" s="19"/>
      <c r="YX68" s="19"/>
      <c r="YY68" s="19"/>
      <c r="YZ68" s="414"/>
      <c r="ZA68" s="407"/>
      <c r="ZB68" s="408"/>
      <c r="ZC68" s="131">
        <f>SUM(YA68:ZB68)</f>
      </c>
      <c r="ZD68" s="374"/>
      <c r="ZE68" s="375"/>
      <c r="ZF68" s="15"/>
      <c r="ZG68" s="25">
        <v>0.5</v>
      </c>
      <c r="ZH68" s="25">
        <v>0.5</v>
      </c>
      <c r="ZI68" s="25">
        <v>0.5</v>
      </c>
      <c r="ZJ68" s="25">
        <v>0.5</v>
      </c>
      <c r="ZK68" s="25">
        <v>0.5</v>
      </c>
      <c r="ZL68" s="25">
        <v>0.5</v>
      </c>
      <c r="ZM68" s="418">
        <v>0.5</v>
      </c>
      <c r="ZN68" s="421">
        <v>0.5</v>
      </c>
      <c r="ZO68" s="25">
        <v>0.5</v>
      </c>
      <c r="ZP68" s="19"/>
      <c r="ZQ68" s="323"/>
      <c r="ZR68" s="433">
        <v>0.5</v>
      </c>
      <c r="ZS68" s="30">
        <v>0.5</v>
      </c>
      <c r="ZT68" s="30">
        <v>0.5</v>
      </c>
      <c r="ZU68" s="30">
        <v>0.5</v>
      </c>
      <c r="ZV68" s="30">
        <v>0.5</v>
      </c>
      <c r="ZW68" s="30">
        <v>0.5</v>
      </c>
      <c r="ZX68" s="25">
        <v>0.5</v>
      </c>
      <c r="ZY68" s="19"/>
      <c r="ZZ68" s="19"/>
      <c r="AAA68" s="19"/>
      <c r="AAB68" s="19"/>
      <c r="AAC68" s="414"/>
      <c r="AAD68" s="407"/>
      <c r="AAE68" s="408"/>
      <c r="AAF68" s="131">
        <f>SUM(ZD68:AAE68)</f>
      </c>
      <c r="AAG68" s="374"/>
      <c r="AAH68" s="375"/>
      <c r="AAI68" s="15"/>
      <c r="AAJ68" s="25">
        <v>0.5</v>
      </c>
      <c r="AAK68" s="25">
        <v>0.5</v>
      </c>
      <c r="AAL68" s="25">
        <v>0.5</v>
      </c>
      <c r="AAM68" s="25">
        <v>0.5</v>
      </c>
      <c r="AAN68" s="25">
        <v>0.5</v>
      </c>
      <c r="AAO68" s="25">
        <v>0.5</v>
      </c>
      <c r="AAP68" s="418">
        <v>0.5</v>
      </c>
      <c r="AAQ68" s="421">
        <v>0.5</v>
      </c>
      <c r="AAR68" s="25">
        <v>0.5</v>
      </c>
      <c r="AAS68" s="19"/>
      <c r="AAT68" s="323"/>
      <c r="AAU68" s="433">
        <v>0.5</v>
      </c>
      <c r="AAV68" s="30">
        <v>0.5</v>
      </c>
      <c r="AAW68" s="30">
        <v>0.5</v>
      </c>
      <c r="AAX68" s="30">
        <v>0.5</v>
      </c>
      <c r="AAY68" s="30">
        <v>0.5</v>
      </c>
      <c r="AAZ68" s="30">
        <v>0.5</v>
      </c>
      <c r="ABA68" s="25">
        <v>0.5</v>
      </c>
      <c r="ABB68" s="19"/>
      <c r="ABC68" s="19"/>
      <c r="ABD68" s="19"/>
      <c r="ABE68" s="19"/>
      <c r="ABF68" s="414"/>
      <c r="ABG68" s="407"/>
      <c r="ABH68" s="408"/>
      <c r="ABI68" s="131">
        <f>SUM(AAG68:ABH68)</f>
      </c>
      <c r="ABJ68" s="374"/>
      <c r="ABK68" s="375"/>
      <c r="ABL68" s="15"/>
      <c r="ABM68" s="25">
        <v>0.5</v>
      </c>
      <c r="ABN68" s="25">
        <v>0.5</v>
      </c>
      <c r="ABO68" s="25">
        <v>0.5</v>
      </c>
      <c r="ABP68" s="25">
        <v>0.5</v>
      </c>
      <c r="ABQ68" s="25">
        <v>0.5</v>
      </c>
      <c r="ABR68" s="25">
        <v>0.5</v>
      </c>
      <c r="ABS68" s="418">
        <v>0.5</v>
      </c>
      <c r="ABT68" s="421">
        <v>0.5</v>
      </c>
      <c r="ABU68" s="25">
        <v>0.5</v>
      </c>
      <c r="ABV68" s="19"/>
      <c r="ABW68" s="323"/>
      <c r="ABX68" s="420">
        <v>0.5</v>
      </c>
      <c r="ABY68" s="25">
        <v>0.5</v>
      </c>
      <c r="ABZ68" s="25">
        <v>0.5</v>
      </c>
      <c r="ACA68" s="25">
        <v>0.5</v>
      </c>
      <c r="ACB68" s="25">
        <v>0.5</v>
      </c>
      <c r="ACC68" s="25">
        <v>0.5</v>
      </c>
      <c r="ACD68" s="25">
        <v>0.5</v>
      </c>
      <c r="ACE68" s="19"/>
      <c r="ACF68" s="19"/>
      <c r="ACG68" s="19"/>
      <c r="ACH68" s="19"/>
      <c r="ACI68" s="414"/>
      <c r="ACJ68" s="407"/>
      <c r="ACK68" s="408"/>
      <c r="ACL68" s="131">
        <f>SUM(ABJ68:ACK68)</f>
      </c>
      <c r="ACM68" s="121"/>
      <c r="ACN68" s="122"/>
      <c r="ACO68" s="123"/>
      <c r="ACP68" s="124"/>
      <c r="ACQ68" s="124"/>
      <c r="ACR68" s="124"/>
      <c r="ACS68" s="124"/>
      <c r="ACT68" s="124"/>
      <c r="ACU68" s="124"/>
      <c r="ACV68" s="125"/>
      <c r="ACW68" s="126"/>
      <c r="ACX68" s="124"/>
      <c r="ACY68" s="124"/>
      <c r="ACZ68" s="127"/>
      <c r="ADA68" s="123"/>
      <c r="ADB68" s="124"/>
      <c r="ADC68" s="124"/>
      <c r="ADD68" s="124"/>
      <c r="ADE68" s="124"/>
      <c r="ADF68" s="124"/>
      <c r="ADG68" s="124"/>
      <c r="ADH68" s="124"/>
      <c r="ADI68" s="124"/>
      <c r="ADJ68" s="124"/>
      <c r="ADK68" s="124"/>
      <c r="ADL68" s="125"/>
      <c r="ADM68" s="301"/>
      <c r="ADN68" s="151"/>
      <c r="ADO68" s="131">
        <f>SUM(ACM68:ADN68)</f>
      </c>
      <c r="ADP68" s="121"/>
      <c r="ADQ68" s="122"/>
      <c r="ADR68" s="123"/>
      <c r="ADS68" s="124"/>
      <c r="ADT68" s="124"/>
      <c r="ADU68" s="124"/>
      <c r="ADV68" s="124"/>
      <c r="ADW68" s="124"/>
      <c r="ADX68" s="124"/>
      <c r="ADY68" s="125"/>
      <c r="ADZ68" s="126"/>
      <c r="AEA68" s="124"/>
      <c r="AEB68" s="124"/>
      <c r="AEC68" s="127"/>
      <c r="AED68" s="123"/>
      <c r="AEE68" s="124"/>
      <c r="AEF68" s="124"/>
      <c r="AEG68" s="124"/>
      <c r="AEH68" s="124"/>
      <c r="AEI68" s="124"/>
      <c r="AEJ68" s="124"/>
      <c r="AEK68" s="124"/>
      <c r="AEL68" s="124"/>
      <c r="AEM68" s="124"/>
      <c r="AEN68" s="124"/>
      <c r="AEO68" s="125"/>
      <c r="AEP68" s="301"/>
      <c r="AEQ68" s="151"/>
      <c r="AER68" s="131">
        <f>SUM(ADP68:AEQ68)</f>
      </c>
      <c r="AES68" s="150">
        <f>XZ68+ZC68+AAF68+ABI68+ACL68+ADO68+AER68</f>
      </c>
      <c r="AET68" s="302">
        <f>(COUNTIF(WX68:AER68,"H")+COUNTIF(WX68:AER68,"S")+COUNTIF(WX68:AER68,"L")+COUNTIF(WX68:AER68,"E")+COUNTIF(WX68:AER68,"C"))/2</f>
      </c>
      <c r="AEU68" s="131">
        <f>AES68+AET68</f>
      </c>
      <c r="AEV68" s="374"/>
      <c r="AEW68" s="375"/>
      <c r="AEX68" s="15"/>
      <c r="AEY68" s="17">
        <v>0.5</v>
      </c>
      <c r="AEZ68" s="17">
        <v>0.5</v>
      </c>
      <c r="AFA68" s="17">
        <v>0.5</v>
      </c>
      <c r="AFB68" s="17">
        <v>0.5</v>
      </c>
      <c r="AFC68" s="17">
        <v>0.5</v>
      </c>
      <c r="AFD68" s="17">
        <v>0.5</v>
      </c>
      <c r="AFE68" s="406">
        <v>0.5</v>
      </c>
      <c r="AFF68" s="412"/>
      <c r="AFG68" s="19"/>
      <c r="AFH68" s="143">
        <v>0.5</v>
      </c>
      <c r="AFI68" s="340">
        <v>0.5</v>
      </c>
      <c r="AFJ68" s="339">
        <v>0.5</v>
      </c>
      <c r="AFK68" s="143">
        <v>0.5</v>
      </c>
      <c r="AFL68" s="143">
        <v>0.5</v>
      </c>
      <c r="AFM68" s="143">
        <v>0.5</v>
      </c>
      <c r="AFN68" s="143">
        <v>0.5</v>
      </c>
      <c r="AFO68" s="143">
        <v>0.5</v>
      </c>
      <c r="AFP68" s="143">
        <v>0.5</v>
      </c>
      <c r="AFQ68" s="19"/>
      <c r="AFR68" s="19"/>
      <c r="AFS68" s="19"/>
      <c r="AFT68" s="19"/>
      <c r="AFU68" s="414"/>
      <c r="AFV68" s="407"/>
      <c r="AFW68" s="408"/>
      <c r="AFX68" s="131">
        <f>SUM(AEV68:AFW68)</f>
      </c>
      <c r="AFY68" s="374"/>
      <c r="AFZ68" s="375"/>
      <c r="AGA68" s="15"/>
      <c r="AGB68" s="17">
        <v>0.5</v>
      </c>
      <c r="AGC68" s="17">
        <v>0.5</v>
      </c>
      <c r="AGD68" s="17">
        <v>0.5</v>
      </c>
      <c r="AGE68" s="17">
        <v>0.5</v>
      </c>
      <c r="AGF68" s="17">
        <v>0.5</v>
      </c>
      <c r="AGG68" s="17">
        <v>0.5</v>
      </c>
      <c r="AGH68" s="406">
        <v>0.5</v>
      </c>
      <c r="AGI68" s="412"/>
      <c r="AGJ68" s="19"/>
      <c r="AGK68" s="143">
        <v>0.5</v>
      </c>
      <c r="AGL68" s="340">
        <v>0.5</v>
      </c>
      <c r="AGM68" s="339">
        <v>0.5</v>
      </c>
      <c r="AGN68" s="143">
        <v>0.5</v>
      </c>
      <c r="AGO68" s="143">
        <v>0.5</v>
      </c>
      <c r="AGP68" s="143">
        <v>0.5</v>
      </c>
      <c r="AGQ68" s="143">
        <v>0.5</v>
      </c>
      <c r="AGR68" s="143">
        <v>0.5</v>
      </c>
      <c r="AGS68" s="143">
        <v>0.5</v>
      </c>
      <c r="AGT68" s="19"/>
      <c r="AGU68" s="19"/>
      <c r="AGV68" s="19"/>
      <c r="AGW68" s="19"/>
      <c r="AGX68" s="414"/>
      <c r="AGY68" s="407"/>
      <c r="AGZ68" s="408"/>
      <c r="AHA68" s="131">
        <f>SUM(AFY68:AGZ68)</f>
      </c>
      <c r="AHB68" s="374"/>
      <c r="AHC68" s="375"/>
      <c r="AHD68" s="15"/>
      <c r="AHE68" s="17">
        <v>0.5</v>
      </c>
      <c r="AHF68" s="17">
        <v>0.5</v>
      </c>
      <c r="AHG68" s="17">
        <v>0.5</v>
      </c>
      <c r="AHH68" s="17">
        <v>0.5</v>
      </c>
      <c r="AHI68" s="17">
        <v>0.5</v>
      </c>
      <c r="AHJ68" s="17">
        <v>0.5</v>
      </c>
      <c r="AHK68" s="406">
        <v>0.5</v>
      </c>
      <c r="AHL68" s="412"/>
      <c r="AHM68" s="19"/>
      <c r="AHN68" s="143">
        <v>0.5</v>
      </c>
      <c r="AHO68" s="340">
        <v>0.5</v>
      </c>
      <c r="AHP68" s="339">
        <v>0.5</v>
      </c>
      <c r="AHQ68" s="143">
        <v>0.5</v>
      </c>
      <c r="AHR68" s="143">
        <v>0.5</v>
      </c>
      <c r="AHS68" s="143">
        <v>0.5</v>
      </c>
      <c r="AHT68" s="143">
        <v>0.5</v>
      </c>
      <c r="AHU68" s="143">
        <v>0.5</v>
      </c>
      <c r="AHV68" s="143">
        <v>0.5</v>
      </c>
      <c r="AHW68" s="19"/>
      <c r="AHX68" s="19"/>
      <c r="AHY68" s="19"/>
      <c r="AHZ68" s="19"/>
      <c r="AIA68" s="414"/>
      <c r="AIB68" s="407"/>
      <c r="AIC68" s="408"/>
      <c r="AID68" s="131">
        <f>SUM(AHB68:AIC68)</f>
      </c>
      <c r="AIE68" s="374"/>
      <c r="AIF68" s="375"/>
      <c r="AIG68" s="15"/>
      <c r="AIH68" s="17">
        <v>0.5</v>
      </c>
      <c r="AII68" s="17">
        <v>0.5</v>
      </c>
      <c r="AIJ68" s="17">
        <v>0.5</v>
      </c>
      <c r="AIK68" s="17">
        <v>0.5</v>
      </c>
      <c r="AIL68" s="17">
        <v>0.5</v>
      </c>
      <c r="AIM68" s="17">
        <v>0.5</v>
      </c>
      <c r="AIN68" s="406">
        <v>0.5</v>
      </c>
      <c r="AIO68" s="412"/>
      <c r="AIP68" s="19"/>
      <c r="AIQ68" s="143">
        <v>0.5</v>
      </c>
      <c r="AIR68" s="340">
        <v>0.5</v>
      </c>
      <c r="AIS68" s="339">
        <v>0.5</v>
      </c>
      <c r="AIT68" s="143">
        <v>0.5</v>
      </c>
      <c r="AIU68" s="143">
        <v>0.5</v>
      </c>
      <c r="AIV68" s="143">
        <v>0.5</v>
      </c>
      <c r="AIW68" s="143">
        <v>0.5</v>
      </c>
      <c r="AIX68" s="143">
        <v>0.5</v>
      </c>
      <c r="AIY68" s="143">
        <v>0.5</v>
      </c>
      <c r="AIZ68" s="19"/>
      <c r="AJA68" s="19"/>
      <c r="AJB68" s="19"/>
      <c r="AJC68" s="19"/>
      <c r="AJD68" s="414"/>
      <c r="AJE68" s="407"/>
      <c r="AJF68" s="408"/>
      <c r="AJG68" s="131">
        <f>SUM(AIE68:AJF68)</f>
      </c>
      <c r="AJH68" s="374"/>
      <c r="AJI68" s="375"/>
      <c r="AJJ68" s="15"/>
      <c r="AJK68" s="17">
        <v>0.5</v>
      </c>
      <c r="AJL68" s="17">
        <v>0.5</v>
      </c>
      <c r="AJM68" s="17">
        <v>0.5</v>
      </c>
      <c r="AJN68" s="17">
        <v>0.5</v>
      </c>
      <c r="AJO68" s="17">
        <v>0.5</v>
      </c>
      <c r="AJP68" s="17">
        <v>0.5</v>
      </c>
      <c r="AJQ68" s="406">
        <v>0.5</v>
      </c>
      <c r="AJR68" s="412"/>
      <c r="AJS68" s="19"/>
      <c r="AJT68" s="143">
        <v>0.5</v>
      </c>
      <c r="AJU68" s="340">
        <v>0.5</v>
      </c>
      <c r="AJV68" s="339">
        <v>0.5</v>
      </c>
      <c r="AJW68" s="143">
        <v>0.5</v>
      </c>
      <c r="AJX68" s="143">
        <v>0.5</v>
      </c>
      <c r="AJY68" s="143">
        <v>0.5</v>
      </c>
      <c r="AJZ68" s="143">
        <v>0.5</v>
      </c>
      <c r="AKA68" s="143">
        <v>0.5</v>
      </c>
      <c r="AKB68" s="143">
        <v>0.5</v>
      </c>
      <c r="AKC68" s="19"/>
      <c r="AKD68" s="19"/>
      <c r="AKE68" s="19"/>
      <c r="AKF68" s="19"/>
      <c r="AKG68" s="414"/>
      <c r="AKH68" s="407"/>
      <c r="AKI68" s="408"/>
      <c r="AKJ68" s="131">
        <f>SUM(AJH68:AKI68)</f>
      </c>
      <c r="AKK68" s="121"/>
      <c r="AKL68" s="122"/>
      <c r="AKM68" s="123"/>
      <c r="AKN68" s="124"/>
      <c r="AKO68" s="124"/>
      <c r="AKP68" s="124"/>
      <c r="AKQ68" s="124"/>
      <c r="AKR68" s="124"/>
      <c r="AKS68" s="124"/>
      <c r="AKT68" s="125"/>
      <c r="AKU68" s="126"/>
      <c r="AKV68" s="124"/>
      <c r="AKW68" s="124"/>
      <c r="AKX68" s="127"/>
      <c r="AKY68" s="123"/>
      <c r="AKZ68" s="124"/>
      <c r="ALA68" s="124"/>
      <c r="ALB68" s="124"/>
      <c r="ALC68" s="124"/>
      <c r="ALD68" s="124"/>
      <c r="ALE68" s="124"/>
      <c r="ALF68" s="124"/>
      <c r="ALG68" s="124"/>
      <c r="ALH68" s="124"/>
      <c r="ALI68" s="124"/>
      <c r="ALJ68" s="125"/>
      <c r="ALK68" s="301"/>
      <c r="ALL68" s="151"/>
      <c r="ALM68" s="131">
        <f>SUM(AKK68:ALL68)</f>
      </c>
      <c r="ALN68" s="121"/>
      <c r="ALO68" s="122"/>
      <c r="ALP68" s="123"/>
      <c r="ALQ68" s="124"/>
      <c r="ALR68" s="124"/>
      <c r="ALS68" s="124"/>
      <c r="ALT68" s="124"/>
      <c r="ALU68" s="124"/>
      <c r="ALV68" s="124"/>
      <c r="ALW68" s="125"/>
      <c r="ALX68" s="126"/>
      <c r="ALY68" s="124"/>
      <c r="ALZ68" s="124"/>
      <c r="AMA68" s="127"/>
      <c r="AMB68" s="123"/>
      <c r="AMC68" s="124"/>
      <c r="AMD68" s="124"/>
      <c r="AME68" s="124"/>
      <c r="AMF68" s="124"/>
      <c r="AMG68" s="124"/>
      <c r="AMH68" s="124"/>
      <c r="AMI68" s="124"/>
      <c r="AMJ68" s="124"/>
      <c r="AMK68" s="124"/>
      <c r="AML68" s="124"/>
      <c r="AMM68" s="125"/>
      <c r="AMN68" s="301"/>
      <c r="AMO68" s="151"/>
      <c r="AMP68" s="131">
        <f>SUM(ALN68:AMO68)</f>
      </c>
      <c r="AMQ68" s="150">
        <f>AFX68+AHA68+AID68+AJG68+AKJ68+ALM68+AMP68</f>
      </c>
      <c r="AMR68" s="302">
        <f>(COUNTIF(AEV68:AMP68,"H")+COUNTIF(AEV68:AMP68,"S")+COUNTIF(AEV68:AMP68,"L")+COUNTIF(AEV68:AMP68,"E")+COUNTIF(AEV68:AMP68,"C"))/2</f>
      </c>
      <c r="AMS68" s="131">
        <f>AMQ68+AMR68</f>
      </c>
      <c r="AMT68" s="4"/>
      <c r="AMU68" s="4"/>
      <c r="AMV68" s="4"/>
      <c r="AMW68" s="4"/>
      <c r="AMX68" s="4"/>
      <c r="AMY68" s="4"/>
      <c r="AMZ68" s="4"/>
      <c r="ANA68" s="4"/>
      <c r="ANB68" s="4"/>
      <c r="ANC68" s="4"/>
      <c r="AND68" s="4"/>
      <c r="ANE68" s="4"/>
      <c r="ANF68" s="4"/>
      <c r="ANG68" s="4"/>
      <c r="ANH68" s="4"/>
      <c r="ANI68" s="4"/>
      <c r="ANJ68" s="13"/>
      <c r="ANK68" s="13"/>
      <c r="ANL68" s="4"/>
      <c r="ANM68" s="4"/>
      <c r="ANN68" s="4"/>
      <c r="ANO68" s="4"/>
      <c r="ANP68" s="4"/>
      <c r="ANQ68" s="4"/>
      <c r="ANR68" s="4"/>
      <c r="ANS68" s="4"/>
      <c r="ANT68" s="4"/>
      <c r="ANU68" s="4"/>
      <c r="ANV68" s="4"/>
      <c r="ANW68" s="4"/>
      <c r="ANX68" s="4"/>
      <c r="ANY68" s="4"/>
      <c r="ANZ68" s="4"/>
      <c r="AOA68" s="4"/>
      <c r="AOB68" s="4"/>
      <c r="AOC68" s="4"/>
      <c r="AOD68" s="4"/>
      <c r="AOE68" s="4"/>
      <c r="AOF68" s="4"/>
      <c r="AOG68" s="4"/>
      <c r="AOH68" s="4"/>
      <c r="AOI68" s="4"/>
      <c r="AOJ68" s="4"/>
      <c r="AOK68" s="4"/>
      <c r="AOL68" s="4"/>
      <c r="AOM68" s="4"/>
      <c r="AON68" s="4"/>
      <c r="AOO68" s="4"/>
      <c r="AOP68" s="4"/>
      <c r="AOQ68" s="4"/>
      <c r="AOR68" s="4"/>
      <c r="AOS68" s="4"/>
      <c r="AOT68" s="4"/>
      <c r="AOU68" s="4"/>
      <c r="AOV68" s="4"/>
      <c r="AOW68" s="4"/>
      <c r="AOX68" s="4"/>
      <c r="AOY68" s="4"/>
      <c r="AOZ68" s="4"/>
      <c r="APA68" s="4"/>
      <c r="APB68" s="4"/>
      <c r="APC68" s="4"/>
      <c r="APD68" s="4"/>
      <c r="APE68" s="4"/>
      <c r="APF68" s="4"/>
      <c r="APG68" s="4"/>
      <c r="APH68" s="4"/>
      <c r="API68" s="4"/>
      <c r="APJ68" s="4"/>
      <c r="APK68" s="4"/>
      <c r="APL68" s="4"/>
      <c r="APM68" s="4"/>
      <c r="APN68" s="4"/>
      <c r="APO68" s="4"/>
      <c r="APP68" s="4"/>
      <c r="APQ68" s="4"/>
      <c r="APR68" s="4"/>
      <c r="APS68" s="4"/>
      <c r="APT68" s="4"/>
      <c r="APU68" s="4"/>
      <c r="APV68" s="4"/>
      <c r="APW68" s="4"/>
      <c r="APX68" s="4"/>
      <c r="APY68" s="4"/>
      <c r="APZ68" s="4"/>
      <c r="AQA68" s="4"/>
      <c r="AQB68" s="4"/>
      <c r="AQC68" s="4"/>
      <c r="AQD68" s="4"/>
      <c r="AQE68" s="4"/>
      <c r="AQF68" s="4"/>
      <c r="AQG68" s="4"/>
      <c r="AQH68" s="4"/>
      <c r="AQI68" s="4"/>
      <c r="AQJ68" s="4"/>
      <c r="AQK68" s="4"/>
      <c r="AQL68" s="4"/>
      <c r="AQM68" s="4"/>
      <c r="AQN68" s="4"/>
      <c r="AQO68" s="4"/>
      <c r="AQP68" s="4"/>
      <c r="AQQ68" s="4"/>
      <c r="AQR68" s="4"/>
      <c r="AQS68" s="4"/>
      <c r="AQT68" s="4"/>
      <c r="AQU68" s="4"/>
      <c r="AQV68" s="4"/>
      <c r="AQW68" s="4"/>
      <c r="AQX68" s="4"/>
      <c r="AQY68" s="4"/>
      <c r="AQZ68" s="4"/>
      <c r="ARA68" s="4"/>
      <c r="ARB68" s="4"/>
      <c r="ARC68" s="4"/>
      <c r="ARD68" s="4"/>
      <c r="ARE68" s="4"/>
      <c r="ARF68" s="4"/>
      <c r="ARG68" s="4"/>
      <c r="ARH68" s="4"/>
      <c r="ARI68" s="4"/>
      <c r="ARJ68" s="4"/>
      <c r="ARK68" s="4"/>
      <c r="ARL68" s="4"/>
      <c r="ARM68" s="4"/>
      <c r="ARN68" s="4"/>
      <c r="ARO68" s="4"/>
      <c r="ARP68" s="4"/>
      <c r="ARQ68" s="4"/>
      <c r="ARR68" s="4"/>
      <c r="ARS68" s="4"/>
      <c r="ART68" s="4"/>
      <c r="ARU68" s="4"/>
      <c r="ARV68" s="4"/>
      <c r="ARW68" s="4"/>
      <c r="ARX68" s="4"/>
      <c r="ARY68" s="4"/>
      <c r="ARZ68" s="4"/>
      <c r="ASA68" s="4"/>
      <c r="ASB68" s="4"/>
      <c r="ASC68" s="4"/>
      <c r="ASD68" s="4"/>
      <c r="ASE68" s="4"/>
      <c r="ASF68" s="4"/>
      <c r="ASG68" s="4"/>
      <c r="ASH68" s="4"/>
      <c r="ASI68" s="4"/>
      <c r="ASJ68" s="4"/>
      <c r="ASK68" s="4"/>
      <c r="ASL68" s="4"/>
      <c r="ASM68" s="4"/>
      <c r="ASN68" s="4"/>
      <c r="ASO68" s="4"/>
      <c r="ASP68" s="4"/>
      <c r="ASQ68" s="4"/>
      <c r="ASR68" s="4"/>
      <c r="ASS68" s="4"/>
      <c r="AST68" s="4"/>
      <c r="ASU68" s="4"/>
    </row>
    <row r="69" ht="15" customHeight="1" spans="1:1191" x14ac:dyDescent="0.25">
      <c r="A69" s="118"/>
      <c r="B69" s="403" t="s">
        <v>107</v>
      </c>
      <c r="C69" s="289" t="s">
        <v>55</v>
      </c>
      <c r="D69" s="121"/>
      <c r="E69" s="122"/>
      <c r="F69" s="123"/>
      <c r="G69" s="124"/>
      <c r="H69" s="124"/>
      <c r="I69" s="124"/>
      <c r="J69" s="124"/>
      <c r="K69" s="124"/>
      <c r="L69" s="124"/>
      <c r="M69" s="125"/>
      <c r="N69" s="126"/>
      <c r="O69" s="124"/>
      <c r="P69" s="124"/>
      <c r="Q69" s="127"/>
      <c r="R69" s="123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5"/>
      <c r="AD69" s="301"/>
      <c r="AE69" s="151"/>
      <c r="AF69" s="131">
        <f>SUM(D69:AE69)</f>
      </c>
      <c r="AG69" s="121"/>
      <c r="AH69" s="122"/>
      <c r="AI69" s="123"/>
      <c r="AJ69" s="124"/>
      <c r="AK69" s="124"/>
      <c r="AL69" s="124"/>
      <c r="AM69" s="124"/>
      <c r="AN69" s="124"/>
      <c r="AO69" s="124"/>
      <c r="AP69" s="125"/>
      <c r="AQ69" s="126"/>
      <c r="AR69" s="124"/>
      <c r="AS69" s="124"/>
      <c r="AT69" s="127"/>
      <c r="AU69" s="123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5"/>
      <c r="BG69" s="301"/>
      <c r="BH69" s="151"/>
      <c r="BI69" s="131">
        <f>SUM(AG69:BH69)</f>
      </c>
      <c r="BJ69" s="121"/>
      <c r="BK69" s="122"/>
      <c r="BL69" s="123"/>
      <c r="BM69" s="124"/>
      <c r="BN69" s="124"/>
      <c r="BO69" s="124"/>
      <c r="BP69" s="124"/>
      <c r="BQ69" s="124"/>
      <c r="BR69" s="124"/>
      <c r="BS69" s="125"/>
      <c r="BT69" s="126"/>
      <c r="BU69" s="124"/>
      <c r="BV69" s="124"/>
      <c r="BW69" s="127"/>
      <c r="BX69" s="123"/>
      <c r="BY69" s="124"/>
      <c r="BZ69" s="124"/>
      <c r="CA69" s="124"/>
      <c r="CB69" s="124"/>
      <c r="CC69" s="124"/>
      <c r="CD69" s="124"/>
      <c r="CE69" s="124"/>
      <c r="CF69" s="124"/>
      <c r="CG69" s="124"/>
      <c r="CH69" s="124"/>
      <c r="CI69" s="125"/>
      <c r="CJ69" s="301"/>
      <c r="CK69" s="151"/>
      <c r="CL69" s="131">
        <f>SUM(BJ69:CK69)</f>
      </c>
      <c r="CM69" s="121"/>
      <c r="CN69" s="122"/>
      <c r="CO69" s="123"/>
      <c r="CP69" s="124"/>
      <c r="CQ69" s="124"/>
      <c r="CR69" s="124"/>
      <c r="CS69" s="124"/>
      <c r="CT69" s="124"/>
      <c r="CU69" s="124"/>
      <c r="CV69" s="125"/>
      <c r="CW69" s="126"/>
      <c r="CX69" s="124"/>
      <c r="CY69" s="124"/>
      <c r="CZ69" s="127"/>
      <c r="DA69" s="123"/>
      <c r="DB69" s="124"/>
      <c r="DC69" s="124"/>
      <c r="DD69" s="124"/>
      <c r="DE69" s="124"/>
      <c r="DF69" s="124"/>
      <c r="DG69" s="124"/>
      <c r="DH69" s="124"/>
      <c r="DI69" s="124"/>
      <c r="DJ69" s="124"/>
      <c r="DK69" s="124"/>
      <c r="DL69" s="125"/>
      <c r="DM69" s="301"/>
      <c r="DN69" s="151"/>
      <c r="DO69" s="131">
        <f>SUM(CM69:DN69)</f>
      </c>
      <c r="DP69" s="121"/>
      <c r="DQ69" s="122"/>
      <c r="DR69" s="123"/>
      <c r="DS69" s="124"/>
      <c r="DT69" s="124"/>
      <c r="DU69" s="124"/>
      <c r="DV69" s="124"/>
      <c r="DW69" s="124"/>
      <c r="DX69" s="124"/>
      <c r="DY69" s="125"/>
      <c r="DZ69" s="126"/>
      <c r="EA69" s="124"/>
      <c r="EB69" s="124"/>
      <c r="EC69" s="127"/>
      <c r="ED69" s="123"/>
      <c r="EE69" s="124"/>
      <c r="EF69" s="124"/>
      <c r="EG69" s="124"/>
      <c r="EH69" s="124"/>
      <c r="EI69" s="124"/>
      <c r="EJ69" s="124"/>
      <c r="EK69" s="124"/>
      <c r="EL69" s="124"/>
      <c r="EM69" s="124"/>
      <c r="EN69" s="124"/>
      <c r="EO69" s="125"/>
      <c r="EP69" s="301"/>
      <c r="EQ69" s="151"/>
      <c r="ER69" s="131">
        <f>SUM(DP69:EQ69)</f>
      </c>
      <c r="ES69" s="121"/>
      <c r="ET69" s="122"/>
      <c r="EU69" s="123"/>
      <c r="EV69" s="124"/>
      <c r="EW69" s="124"/>
      <c r="EX69" s="124"/>
      <c r="EY69" s="124"/>
      <c r="EZ69" s="124"/>
      <c r="FA69" s="124"/>
      <c r="FB69" s="125"/>
      <c r="FC69" s="126"/>
      <c r="FD69" s="124"/>
      <c r="FE69" s="124"/>
      <c r="FF69" s="127"/>
      <c r="FG69" s="123"/>
      <c r="FH69" s="124"/>
      <c r="FI69" s="124"/>
      <c r="FJ69" s="124"/>
      <c r="FK69" s="124"/>
      <c r="FL69" s="124"/>
      <c r="FM69" s="124"/>
      <c r="FN69" s="124"/>
      <c r="FO69" s="124"/>
      <c r="FP69" s="124"/>
      <c r="FQ69" s="124"/>
      <c r="FR69" s="125"/>
      <c r="FS69" s="301"/>
      <c r="FT69" s="151"/>
      <c r="FU69" s="131">
        <f>SUM(ES69:FT69)</f>
      </c>
      <c r="FV69" s="121"/>
      <c r="FW69" s="122"/>
      <c r="FX69" s="123"/>
      <c r="FY69" s="124"/>
      <c r="FZ69" s="124"/>
      <c r="GA69" s="124"/>
      <c r="GB69" s="124"/>
      <c r="GC69" s="124"/>
      <c r="GD69" s="124"/>
      <c r="GE69" s="125"/>
      <c r="GF69" s="126"/>
      <c r="GG69" s="124"/>
      <c r="GH69" s="124"/>
      <c r="GI69" s="127"/>
      <c r="GJ69" s="123"/>
      <c r="GK69" s="124"/>
      <c r="GL69" s="124"/>
      <c r="GM69" s="124"/>
      <c r="GN69" s="124"/>
      <c r="GO69" s="124"/>
      <c r="GP69" s="124"/>
      <c r="GQ69" s="124"/>
      <c r="GR69" s="124"/>
      <c r="GS69" s="124"/>
      <c r="GT69" s="124"/>
      <c r="GU69" s="125"/>
      <c r="GV69" s="301"/>
      <c r="GW69" s="151"/>
      <c r="GX69" s="131">
        <f>SUM(FV69:GW69)</f>
      </c>
      <c r="GY69" s="150">
        <f>AF69+BI69+CL69+DO69+ER69+FU69+GX69</f>
      </c>
      <c r="GZ69" s="302">
        <f>(COUNTIF(D69:GX69,"H")+COUNTIF(D69:GX69,"S")+COUNTIF(D69:GX69,"L")+COUNTIF(D69:GX69,"E")+COUNTIF(D69:GX69,"C"))/2</f>
      </c>
      <c r="HA69" s="131">
        <f>GY69+GZ69</f>
      </c>
      <c r="HB69" s="374"/>
      <c r="HC69" s="375"/>
      <c r="HD69" s="15"/>
      <c r="HE69" s="143">
        <v>0.5</v>
      </c>
      <c r="HF69" s="143">
        <v>0.5</v>
      </c>
      <c r="HG69" s="143">
        <v>0.5</v>
      </c>
      <c r="HH69" s="143">
        <v>0.5</v>
      </c>
      <c r="HI69" s="143">
        <v>0.5</v>
      </c>
      <c r="HJ69" s="143">
        <v>0.5</v>
      </c>
      <c r="HK69" s="154">
        <v>0.5</v>
      </c>
      <c r="HL69" s="404">
        <v>0.5</v>
      </c>
      <c r="HM69" s="143">
        <v>0.5</v>
      </c>
      <c r="HN69" s="19"/>
      <c r="HO69" s="323"/>
      <c r="HP69" s="405">
        <v>0.5</v>
      </c>
      <c r="HQ69" s="17">
        <v>0.5</v>
      </c>
      <c r="HR69" s="17">
        <v>0.5</v>
      </c>
      <c r="HS69" s="17">
        <v>0.5</v>
      </c>
      <c r="HT69" s="17">
        <v>0.5</v>
      </c>
      <c r="HU69" s="17">
        <v>0.5</v>
      </c>
      <c r="HV69" s="17">
        <v>0.5</v>
      </c>
      <c r="HW69" s="19"/>
      <c r="HX69" s="19"/>
      <c r="HY69" s="19"/>
      <c r="HZ69" s="19"/>
      <c r="IA69" s="414"/>
      <c r="IB69" s="407"/>
      <c r="IC69" s="408"/>
      <c r="ID69" s="131">
        <f>SUM(HB69:IC69)</f>
      </c>
      <c r="IE69" s="374"/>
      <c r="IF69" s="375"/>
      <c r="IG69" s="15"/>
      <c r="IH69" s="143">
        <v>0.5</v>
      </c>
      <c r="II69" s="143">
        <v>0.5</v>
      </c>
      <c r="IJ69" s="143">
        <v>0.5</v>
      </c>
      <c r="IK69" s="143">
        <v>0.5</v>
      </c>
      <c r="IL69" s="143">
        <v>0.5</v>
      </c>
      <c r="IM69" s="143">
        <v>0.5</v>
      </c>
      <c r="IN69" s="154">
        <v>0.5</v>
      </c>
      <c r="IO69" s="412"/>
      <c r="IP69" s="19"/>
      <c r="IQ69" s="17">
        <v>0.5</v>
      </c>
      <c r="IR69" s="415">
        <v>0.5</v>
      </c>
      <c r="IS69" s="405">
        <v>0.5</v>
      </c>
      <c r="IT69" s="17">
        <v>0.5</v>
      </c>
      <c r="IU69" s="17">
        <v>0.5</v>
      </c>
      <c r="IV69" s="17">
        <v>0.5</v>
      </c>
      <c r="IW69" s="17">
        <v>0.5</v>
      </c>
      <c r="IX69" s="17">
        <v>0.5</v>
      </c>
      <c r="IY69" s="17">
        <v>0.5</v>
      </c>
      <c r="IZ69" s="19"/>
      <c r="JA69" s="19"/>
      <c r="JB69" s="19"/>
      <c r="JC69" s="19"/>
      <c r="JD69" s="414"/>
      <c r="JE69" s="407"/>
      <c r="JF69" s="408"/>
      <c r="JG69" s="131">
        <f>SUM(IE69:JF69)</f>
      </c>
      <c r="JH69" s="374"/>
      <c r="JI69" s="375"/>
      <c r="JJ69" s="15"/>
      <c r="JK69" s="143">
        <v>0.5</v>
      </c>
      <c r="JL69" s="143">
        <v>0.5</v>
      </c>
      <c r="JM69" s="143">
        <v>0.5</v>
      </c>
      <c r="JN69" s="143">
        <v>0.5</v>
      </c>
      <c r="JO69" s="143">
        <v>0.5</v>
      </c>
      <c r="JP69" s="143">
        <v>0.5</v>
      </c>
      <c r="JQ69" s="154">
        <v>0.5</v>
      </c>
      <c r="JR69" s="412"/>
      <c r="JS69" s="19"/>
      <c r="JT69" s="17">
        <v>0.5</v>
      </c>
      <c r="JU69" s="415">
        <v>0.5</v>
      </c>
      <c r="JV69" s="405">
        <v>0.5</v>
      </c>
      <c r="JW69" s="17">
        <v>0.5</v>
      </c>
      <c r="JX69" s="17">
        <v>0.5</v>
      </c>
      <c r="JY69" s="17">
        <v>0.5</v>
      </c>
      <c r="JZ69" s="17">
        <v>0.5</v>
      </c>
      <c r="KA69" s="17">
        <v>0.5</v>
      </c>
      <c r="KB69" s="17">
        <v>0.5</v>
      </c>
      <c r="KC69" s="19"/>
      <c r="KD69" s="19"/>
      <c r="KE69" s="19"/>
      <c r="KF69" s="19"/>
      <c r="KG69" s="414"/>
      <c r="KH69" s="407"/>
      <c r="KI69" s="408"/>
      <c r="KJ69" s="131">
        <f>SUM(JH69:KI69)</f>
      </c>
      <c r="KK69" s="374"/>
      <c r="KL69" s="375"/>
      <c r="KM69" s="15"/>
      <c r="KN69" s="143">
        <v>0.5</v>
      </c>
      <c r="KO69" s="143">
        <v>0.5</v>
      </c>
      <c r="KP69" s="143">
        <v>0.5</v>
      </c>
      <c r="KQ69" s="143">
        <v>0.5</v>
      </c>
      <c r="KR69" s="143">
        <v>0.5</v>
      </c>
      <c r="KS69" s="143">
        <v>0.5</v>
      </c>
      <c r="KT69" s="154">
        <v>0.5</v>
      </c>
      <c r="KU69" s="412"/>
      <c r="KV69" s="19"/>
      <c r="KW69" s="143">
        <v>0.5</v>
      </c>
      <c r="KX69" s="340">
        <v>0.5</v>
      </c>
      <c r="KY69" s="339">
        <v>0.5</v>
      </c>
      <c r="KZ69" s="143">
        <v>0.5</v>
      </c>
      <c r="LA69" s="143">
        <v>0.5</v>
      </c>
      <c r="LB69" s="143">
        <v>0.5</v>
      </c>
      <c r="LC69" s="143">
        <v>0.5</v>
      </c>
      <c r="LD69" s="143">
        <v>0.5</v>
      </c>
      <c r="LE69" s="143">
        <v>0.5</v>
      </c>
      <c r="LF69" s="19"/>
      <c r="LG69" s="19"/>
      <c r="LH69" s="19"/>
      <c r="LI69" s="19"/>
      <c r="LJ69" s="414"/>
      <c r="LK69" s="407"/>
      <c r="LL69" s="408"/>
      <c r="LM69" s="131">
        <f>SUM(KK69:LL69)</f>
      </c>
      <c r="LN69" s="374"/>
      <c r="LO69" s="375"/>
      <c r="LP69" s="15"/>
      <c r="LQ69" s="143">
        <v>0.5</v>
      </c>
      <c r="LR69" s="143">
        <v>0.5</v>
      </c>
      <c r="LS69" s="143">
        <v>0.5</v>
      </c>
      <c r="LT69" s="143">
        <v>0.5</v>
      </c>
      <c r="LU69" s="143">
        <v>0.5</v>
      </c>
      <c r="LV69" s="143">
        <v>0.5</v>
      </c>
      <c r="LW69" s="154">
        <v>0.5</v>
      </c>
      <c r="LX69" s="412"/>
      <c r="LY69" s="19"/>
      <c r="LZ69" s="143">
        <v>0.5</v>
      </c>
      <c r="MA69" s="340">
        <v>0.5</v>
      </c>
      <c r="MB69" s="339">
        <v>0.5</v>
      </c>
      <c r="MC69" s="143">
        <v>0.5</v>
      </c>
      <c r="MD69" s="143">
        <v>0.5</v>
      </c>
      <c r="ME69" s="143">
        <v>0.5</v>
      </c>
      <c r="MF69" s="143">
        <v>0.5</v>
      </c>
      <c r="MG69" s="143">
        <v>0.5</v>
      </c>
      <c r="MH69" s="143">
        <v>0.5</v>
      </c>
      <c r="MI69" s="19"/>
      <c r="MJ69" s="19"/>
      <c r="MK69" s="19"/>
      <c r="ML69" s="19"/>
      <c r="MM69" s="414"/>
      <c r="MN69" s="407"/>
      <c r="MO69" s="408"/>
      <c r="MP69" s="131">
        <f>SUM(LN69:MO69)</f>
      </c>
      <c r="MQ69" s="121"/>
      <c r="MR69" s="122"/>
      <c r="MS69" s="123"/>
      <c r="MT69" s="124"/>
      <c r="MU69" s="124"/>
      <c r="MV69" s="124"/>
      <c r="MW69" s="124"/>
      <c r="MX69" s="124"/>
      <c r="MY69" s="124"/>
      <c r="MZ69" s="125"/>
      <c r="NA69" s="126"/>
      <c r="NB69" s="124"/>
      <c r="NC69" s="124"/>
      <c r="ND69" s="127"/>
      <c r="NE69" s="123"/>
      <c r="NF69" s="124"/>
      <c r="NG69" s="124"/>
      <c r="NH69" s="124"/>
      <c r="NI69" s="124"/>
      <c r="NJ69" s="124"/>
      <c r="NK69" s="124"/>
      <c r="NL69" s="124"/>
      <c r="NM69" s="124"/>
      <c r="NN69" s="124"/>
      <c r="NO69" s="124"/>
      <c r="NP69" s="125"/>
      <c r="NQ69" s="301"/>
      <c r="NR69" s="151"/>
      <c r="NS69" s="131">
        <f>SUM(MQ69:NR69)</f>
      </c>
      <c r="NT69" s="121"/>
      <c r="NU69" s="122"/>
      <c r="NV69" s="123"/>
      <c r="NW69" s="124"/>
      <c r="NX69" s="124"/>
      <c r="NY69" s="124"/>
      <c r="NZ69" s="124"/>
      <c r="OA69" s="124"/>
      <c r="OB69" s="124"/>
      <c r="OC69" s="125"/>
      <c r="OD69" s="126"/>
      <c r="OE69" s="124"/>
      <c r="OF69" s="124"/>
      <c r="OG69" s="127"/>
      <c r="OH69" s="123"/>
      <c r="OI69" s="124"/>
      <c r="OJ69" s="124"/>
      <c r="OK69" s="124"/>
      <c r="OL69" s="124"/>
      <c r="OM69" s="124"/>
      <c r="ON69" s="124"/>
      <c r="OO69" s="124"/>
      <c r="OP69" s="124"/>
      <c r="OQ69" s="124"/>
      <c r="OR69" s="124"/>
      <c r="OS69" s="125"/>
      <c r="OT69" s="301"/>
      <c r="OU69" s="151"/>
      <c r="OV69" s="131">
        <f>SUM(NT69:OU69)</f>
      </c>
      <c r="OW69" s="150">
        <f>ID69+JG69+KJ69+LM69+MP69+NS69+OV69</f>
      </c>
      <c r="OX69" s="302">
        <f>(COUNTIF(HB69:OV69,"H")+COUNTIF(HB69:OV69,"S")+COUNTIF(HB69:OV69,"L")+COUNTIF(HB69:OV69,"E")+COUNTIF(HB69:OV69,"C"))/2</f>
      </c>
      <c r="OY69" s="131">
        <f>OW69+OX69</f>
      </c>
      <c r="OZ69" s="374"/>
      <c r="PA69" s="375"/>
      <c r="PB69" s="15"/>
      <c r="PC69" s="143">
        <v>0.5</v>
      </c>
      <c r="PD69" s="143">
        <v>0.5</v>
      </c>
      <c r="PE69" s="143">
        <v>0.5</v>
      </c>
      <c r="PF69" s="143">
        <v>0.5</v>
      </c>
      <c r="PG69" s="143">
        <v>0.5</v>
      </c>
      <c r="PH69" s="143">
        <v>0.5</v>
      </c>
      <c r="PI69" s="154">
        <v>0.5</v>
      </c>
      <c r="PJ69" s="412"/>
      <c r="PK69" s="19"/>
      <c r="PL69" s="143">
        <v>0.5</v>
      </c>
      <c r="PM69" s="340">
        <v>0.5</v>
      </c>
      <c r="PN69" s="339">
        <v>0.5</v>
      </c>
      <c r="PO69" s="143">
        <v>0.5</v>
      </c>
      <c r="PP69" s="143">
        <v>0.5</v>
      </c>
      <c r="PQ69" s="143">
        <v>0.5</v>
      </c>
      <c r="PR69" s="143">
        <v>0.5</v>
      </c>
      <c r="PS69" s="143">
        <v>0.5</v>
      </c>
      <c r="PT69" s="143">
        <v>0.5</v>
      </c>
      <c r="PU69" s="19"/>
      <c r="PV69" s="19"/>
      <c r="PW69" s="19"/>
      <c r="PX69" s="19"/>
      <c r="PY69" s="414"/>
      <c r="PZ69" s="407"/>
      <c r="QA69" s="408"/>
      <c r="QB69" s="131">
        <f>SUM(OZ69:QA69)</f>
      </c>
      <c r="QC69" s="374"/>
      <c r="QD69" s="375"/>
      <c r="QE69" s="15"/>
      <c r="QF69" s="143">
        <v>0.5</v>
      </c>
      <c r="QG69" s="143">
        <v>0.5</v>
      </c>
      <c r="QH69" s="143">
        <v>0.5</v>
      </c>
      <c r="QI69" s="143">
        <v>0.5</v>
      </c>
      <c r="QJ69" s="143">
        <v>0.5</v>
      </c>
      <c r="QK69" s="143">
        <v>0.5</v>
      </c>
      <c r="QL69" s="154">
        <v>0.5</v>
      </c>
      <c r="QM69" s="412"/>
      <c r="QN69" s="19"/>
      <c r="QO69" s="143">
        <v>0.5</v>
      </c>
      <c r="QP69" s="340">
        <v>0.5</v>
      </c>
      <c r="QQ69" s="339">
        <v>0.5</v>
      </c>
      <c r="QR69" s="143">
        <v>0.5</v>
      </c>
      <c r="QS69" s="143">
        <v>0.5</v>
      </c>
      <c r="QT69" s="143">
        <v>0.5</v>
      </c>
      <c r="QU69" s="143">
        <v>0.5</v>
      </c>
      <c r="QV69" s="143">
        <v>0.5</v>
      </c>
      <c r="QW69" s="143">
        <v>0.5</v>
      </c>
      <c r="QX69" s="19"/>
      <c r="QY69" s="19"/>
      <c r="QZ69" s="19"/>
      <c r="RA69" s="19"/>
      <c r="RB69" s="414"/>
      <c r="RC69" s="407"/>
      <c r="RD69" s="408"/>
      <c r="RE69" s="131">
        <f>SUM(QC69:RD69)</f>
      </c>
      <c r="RF69" s="374"/>
      <c r="RG69" s="375"/>
      <c r="RH69" s="15"/>
      <c r="RI69" s="143">
        <v>0.5</v>
      </c>
      <c r="RJ69" s="143">
        <v>0.5</v>
      </c>
      <c r="RK69" s="143">
        <v>0.5</v>
      </c>
      <c r="RL69" s="143">
        <v>0.5</v>
      </c>
      <c r="RM69" s="143">
        <v>0.5</v>
      </c>
      <c r="RN69" s="143">
        <v>0.5</v>
      </c>
      <c r="RO69" s="154">
        <v>0.5</v>
      </c>
      <c r="RP69" s="412"/>
      <c r="RQ69" s="19"/>
      <c r="RR69" s="143">
        <v>0.5</v>
      </c>
      <c r="RS69" s="340">
        <v>0.5</v>
      </c>
      <c r="RT69" s="339">
        <v>0.5</v>
      </c>
      <c r="RU69" s="143">
        <v>0.5</v>
      </c>
      <c r="RV69" s="143">
        <v>0.5</v>
      </c>
      <c r="RW69" s="143">
        <v>0.5</v>
      </c>
      <c r="RX69" s="143">
        <v>0.5</v>
      </c>
      <c r="RY69" s="143">
        <v>0.5</v>
      </c>
      <c r="RZ69" s="143">
        <v>0.5</v>
      </c>
      <c r="SA69" s="19"/>
      <c r="SB69" s="19"/>
      <c r="SC69" s="19"/>
      <c r="SD69" s="19"/>
      <c r="SE69" s="414"/>
      <c r="SF69" s="407"/>
      <c r="SG69" s="408"/>
      <c r="SH69" s="131">
        <f>SUM(RF69:SG69)</f>
      </c>
      <c r="SI69" s="374"/>
      <c r="SJ69" s="375"/>
      <c r="SK69" s="15"/>
      <c r="SL69" s="143">
        <v>0.5</v>
      </c>
      <c r="SM69" s="143">
        <v>0.5</v>
      </c>
      <c r="SN69" s="143">
        <v>0.5</v>
      </c>
      <c r="SO69" s="143">
        <v>0.5</v>
      </c>
      <c r="SP69" s="143">
        <v>0.5</v>
      </c>
      <c r="SQ69" s="143">
        <v>0.5</v>
      </c>
      <c r="SR69" s="154">
        <v>0.5</v>
      </c>
      <c r="SS69" s="412"/>
      <c r="ST69" s="19"/>
      <c r="SU69" s="143">
        <v>0.5</v>
      </c>
      <c r="SV69" s="340">
        <v>0.5</v>
      </c>
      <c r="SW69" s="339">
        <v>0.5</v>
      </c>
      <c r="SX69" s="143">
        <v>0.5</v>
      </c>
      <c r="SY69" s="143">
        <v>0.5</v>
      </c>
      <c r="SZ69" s="143">
        <v>0.5</v>
      </c>
      <c r="TA69" s="143">
        <v>0.5</v>
      </c>
      <c r="TB69" s="143">
        <v>0.5</v>
      </c>
      <c r="TC69" s="143">
        <v>0.5</v>
      </c>
      <c r="TD69" s="19"/>
      <c r="TE69" s="19"/>
      <c r="TF69" s="19"/>
      <c r="TG69" s="19"/>
      <c r="TH69" s="414"/>
      <c r="TI69" s="407"/>
      <c r="TJ69" s="408"/>
      <c r="TK69" s="131">
        <f>SUM(SI69:TJ69)</f>
      </c>
      <c r="TL69" s="374"/>
      <c r="TM69" s="375"/>
      <c r="TN69" s="15"/>
      <c r="TO69" s="143">
        <v>0.5</v>
      </c>
      <c r="TP69" s="143">
        <v>0.5</v>
      </c>
      <c r="TQ69" s="143">
        <v>0.5</v>
      </c>
      <c r="TR69" s="143">
        <v>0.5</v>
      </c>
      <c r="TS69" s="143">
        <v>0.5</v>
      </c>
      <c r="TT69" s="143">
        <v>0.5</v>
      </c>
      <c r="TU69" s="154">
        <v>0.5</v>
      </c>
      <c r="TV69" s="412"/>
      <c r="TW69" s="19"/>
      <c r="TX69" s="143">
        <v>0.5</v>
      </c>
      <c r="TY69" s="340">
        <v>0.5</v>
      </c>
      <c r="TZ69" s="339">
        <v>0.5</v>
      </c>
      <c r="UA69" s="143">
        <v>0.5</v>
      </c>
      <c r="UB69" s="143">
        <v>0.5</v>
      </c>
      <c r="UC69" s="143">
        <v>0.5</v>
      </c>
      <c r="UD69" s="143">
        <v>0.5</v>
      </c>
      <c r="UE69" s="143">
        <v>0.5</v>
      </c>
      <c r="UF69" s="143">
        <v>0.5</v>
      </c>
      <c r="UG69" s="19"/>
      <c r="UH69" s="19"/>
      <c r="UI69" s="19"/>
      <c r="UJ69" s="19"/>
      <c r="UK69" s="414"/>
      <c r="UL69" s="407"/>
      <c r="UM69" s="408"/>
      <c r="UN69" s="131">
        <f>SUM(TL69:UM69)</f>
      </c>
      <c r="UO69" s="121"/>
      <c r="UP69" s="122"/>
      <c r="UQ69" s="123"/>
      <c r="UR69" s="124"/>
      <c r="US69" s="124"/>
      <c r="UT69" s="124"/>
      <c r="UU69" s="124"/>
      <c r="UV69" s="124"/>
      <c r="UW69" s="124"/>
      <c r="UX69" s="125"/>
      <c r="UY69" s="126"/>
      <c r="UZ69" s="124"/>
      <c r="VA69" s="124"/>
      <c r="VB69" s="127"/>
      <c r="VC69" s="123"/>
      <c r="VD69" s="124"/>
      <c r="VE69" s="124"/>
      <c r="VF69" s="124"/>
      <c r="VG69" s="124"/>
      <c r="VH69" s="124"/>
      <c r="VI69" s="124"/>
      <c r="VJ69" s="124"/>
      <c r="VK69" s="124"/>
      <c r="VL69" s="124"/>
      <c r="VM69" s="124"/>
      <c r="VN69" s="125"/>
      <c r="VO69" s="301"/>
      <c r="VP69" s="151"/>
      <c r="VQ69" s="131">
        <f>SUM(UO69:VP69)</f>
      </c>
      <c r="VR69" s="121"/>
      <c r="VS69" s="122"/>
      <c r="VT69" s="123"/>
      <c r="VU69" s="124"/>
      <c r="VV69" s="124"/>
      <c r="VW69" s="124"/>
      <c r="VX69" s="124"/>
      <c r="VY69" s="124"/>
      <c r="VZ69" s="124"/>
      <c r="WA69" s="125"/>
      <c r="WB69" s="126"/>
      <c r="WC69" s="124"/>
      <c r="WD69" s="124"/>
      <c r="WE69" s="127"/>
      <c r="WF69" s="123"/>
      <c r="WG69" s="124"/>
      <c r="WH69" s="124"/>
      <c r="WI69" s="124"/>
      <c r="WJ69" s="124"/>
      <c r="WK69" s="124"/>
      <c r="WL69" s="124"/>
      <c r="WM69" s="124"/>
      <c r="WN69" s="124"/>
      <c r="WO69" s="124"/>
      <c r="WP69" s="124"/>
      <c r="WQ69" s="125"/>
      <c r="WR69" s="301"/>
      <c r="WS69" s="151"/>
      <c r="WT69" s="131">
        <f>SUM(VR69:WS69)</f>
      </c>
      <c r="WU69" s="150">
        <f>QB69+RE69+SH69+TK69+UN69+VQ69+WT69</f>
      </c>
      <c r="WV69" s="302">
        <f>(COUNTIF(OZ69:WT69,"H")+COUNTIF(OZ69:WT69,"S")+COUNTIF(OZ69:WT69,"L")+COUNTIF(OZ69:WT69,"E")+COUNTIF(OZ69:WT69,"C"))/2</f>
      </c>
      <c r="WW69" s="131">
        <f>WU69+WV69</f>
      </c>
      <c r="WX69" s="374"/>
      <c r="WY69" s="375"/>
      <c r="WZ69" s="15"/>
      <c r="XA69" s="143">
        <v>0.5</v>
      </c>
      <c r="XB69" s="143">
        <v>0.5</v>
      </c>
      <c r="XC69" s="143">
        <v>0.5</v>
      </c>
      <c r="XD69" s="143">
        <v>0.5</v>
      </c>
      <c r="XE69" s="143">
        <v>0.5</v>
      </c>
      <c r="XF69" s="143">
        <v>0.5</v>
      </c>
      <c r="XG69" s="154">
        <v>0.5</v>
      </c>
      <c r="XH69" s="412"/>
      <c r="XI69" s="19"/>
      <c r="XJ69" s="143">
        <v>0.5</v>
      </c>
      <c r="XK69" s="340">
        <v>0.5</v>
      </c>
      <c r="XL69" s="339">
        <v>0.5</v>
      </c>
      <c r="XM69" s="143">
        <v>0.5</v>
      </c>
      <c r="XN69" s="143">
        <v>0.5</v>
      </c>
      <c r="XO69" s="143">
        <v>0.5</v>
      </c>
      <c r="XP69" s="143">
        <v>0.5</v>
      </c>
      <c r="XQ69" s="143">
        <v>0.5</v>
      </c>
      <c r="XR69" s="143">
        <v>0.5</v>
      </c>
      <c r="XS69" s="19"/>
      <c r="XT69" s="19"/>
      <c r="XU69" s="19"/>
      <c r="XV69" s="19"/>
      <c r="XW69" s="414"/>
      <c r="XX69" s="407"/>
      <c r="XY69" s="408"/>
      <c r="XZ69" s="131">
        <f>SUM(WX69:XY69)</f>
      </c>
      <c r="YA69" s="374"/>
      <c r="YB69" s="375"/>
      <c r="YC69" s="15"/>
      <c r="YD69" s="143">
        <v>0.5</v>
      </c>
      <c r="YE69" s="143">
        <v>0.5</v>
      </c>
      <c r="YF69" s="143">
        <v>0.5</v>
      </c>
      <c r="YG69" s="143">
        <v>0.5</v>
      </c>
      <c r="YH69" s="143">
        <v>0.5</v>
      </c>
      <c r="YI69" s="143">
        <v>0.5</v>
      </c>
      <c r="YJ69" s="154">
        <v>0.5</v>
      </c>
      <c r="YK69" s="412"/>
      <c r="YL69" s="19"/>
      <c r="YM69" s="143">
        <v>0.5</v>
      </c>
      <c r="YN69" s="340">
        <v>0.5</v>
      </c>
      <c r="YO69" s="339">
        <v>0.5</v>
      </c>
      <c r="YP69" s="143">
        <v>0.5</v>
      </c>
      <c r="YQ69" s="143">
        <v>0.5</v>
      </c>
      <c r="YR69" s="143">
        <v>0.5</v>
      </c>
      <c r="YS69" s="143">
        <v>0.5</v>
      </c>
      <c r="YT69" s="143">
        <v>0.5</v>
      </c>
      <c r="YU69" s="143">
        <v>0.5</v>
      </c>
      <c r="YV69" s="19"/>
      <c r="YW69" s="19"/>
      <c r="YX69" s="19"/>
      <c r="YY69" s="19"/>
      <c r="YZ69" s="414"/>
      <c r="ZA69" s="407"/>
      <c r="ZB69" s="408"/>
      <c r="ZC69" s="131">
        <f>SUM(YA69:ZB69)</f>
      </c>
      <c r="ZD69" s="374"/>
      <c r="ZE69" s="375"/>
      <c r="ZF69" s="15"/>
      <c r="ZG69" s="143">
        <v>0.5</v>
      </c>
      <c r="ZH69" s="143">
        <v>0.5</v>
      </c>
      <c r="ZI69" s="143">
        <v>0.5</v>
      </c>
      <c r="ZJ69" s="143">
        <v>0.5</v>
      </c>
      <c r="ZK69" s="143">
        <v>0.5</v>
      </c>
      <c r="ZL69" s="143">
        <v>0.5</v>
      </c>
      <c r="ZM69" s="154">
        <v>0.5</v>
      </c>
      <c r="ZN69" s="412"/>
      <c r="ZO69" s="19"/>
      <c r="ZP69" s="143">
        <v>0.5</v>
      </c>
      <c r="ZQ69" s="340">
        <v>0.5</v>
      </c>
      <c r="ZR69" s="339">
        <v>0.5</v>
      </c>
      <c r="ZS69" s="143">
        <v>0.5</v>
      </c>
      <c r="ZT69" s="143">
        <v>0.5</v>
      </c>
      <c r="ZU69" s="143">
        <v>0.5</v>
      </c>
      <c r="ZV69" s="143">
        <v>0.5</v>
      </c>
      <c r="ZW69" s="143">
        <v>0.5</v>
      </c>
      <c r="ZX69" s="143">
        <v>0.5</v>
      </c>
      <c r="ZY69" s="19"/>
      <c r="ZZ69" s="19"/>
      <c r="AAA69" s="19"/>
      <c r="AAB69" s="19"/>
      <c r="AAC69" s="414"/>
      <c r="AAD69" s="407"/>
      <c r="AAE69" s="408"/>
      <c r="AAF69" s="131">
        <f>SUM(ZD69:AAE69)</f>
      </c>
      <c r="AAG69" s="374"/>
      <c r="AAH69" s="375"/>
      <c r="AAI69" s="15"/>
      <c r="AAJ69" s="143">
        <v>0.5</v>
      </c>
      <c r="AAK69" s="143">
        <v>0.5</v>
      </c>
      <c r="AAL69" s="143">
        <v>0.5</v>
      </c>
      <c r="AAM69" s="143">
        <v>0.5</v>
      </c>
      <c r="AAN69" s="143">
        <v>0.5</v>
      </c>
      <c r="AAO69" s="143">
        <v>0.5</v>
      </c>
      <c r="AAP69" s="154">
        <v>0.5</v>
      </c>
      <c r="AAQ69" s="412"/>
      <c r="AAR69" s="19"/>
      <c r="AAS69" s="143">
        <v>0.5</v>
      </c>
      <c r="AAT69" s="340">
        <v>0.5</v>
      </c>
      <c r="AAU69" s="339">
        <v>0.5</v>
      </c>
      <c r="AAV69" s="143">
        <v>0.5</v>
      </c>
      <c r="AAW69" s="143">
        <v>0.5</v>
      </c>
      <c r="AAX69" s="143">
        <v>0.5</v>
      </c>
      <c r="AAY69" s="143">
        <v>0.5</v>
      </c>
      <c r="AAZ69" s="143">
        <v>0.5</v>
      </c>
      <c r="ABA69" s="143">
        <v>0.5</v>
      </c>
      <c r="ABB69" s="19"/>
      <c r="ABC69" s="19"/>
      <c r="ABD69" s="19"/>
      <c r="ABE69" s="19"/>
      <c r="ABF69" s="414"/>
      <c r="ABG69" s="407"/>
      <c r="ABH69" s="408"/>
      <c r="ABI69" s="131">
        <f>SUM(AAG69:ABH69)</f>
      </c>
      <c r="ABJ69" s="374"/>
      <c r="ABK69" s="375"/>
      <c r="ABL69" s="15"/>
      <c r="ABM69" s="143">
        <v>0.5</v>
      </c>
      <c r="ABN69" s="143">
        <v>0.5</v>
      </c>
      <c r="ABO69" s="143">
        <v>0.5</v>
      </c>
      <c r="ABP69" s="143">
        <v>0.5</v>
      </c>
      <c r="ABQ69" s="143">
        <v>0.5</v>
      </c>
      <c r="ABR69" s="143">
        <v>0.5</v>
      </c>
      <c r="ABS69" s="154">
        <v>0.5</v>
      </c>
      <c r="ABT69" s="412"/>
      <c r="ABU69" s="19"/>
      <c r="ABV69" s="143">
        <v>0.5</v>
      </c>
      <c r="ABW69" s="340">
        <v>0.5</v>
      </c>
      <c r="ABX69" s="339">
        <v>0.5</v>
      </c>
      <c r="ABY69" s="143">
        <v>0.5</v>
      </c>
      <c r="ABZ69" s="143">
        <v>0.5</v>
      </c>
      <c r="ACA69" s="143">
        <v>0.5</v>
      </c>
      <c r="ACB69" s="143">
        <v>0.5</v>
      </c>
      <c r="ACC69" s="143">
        <v>0.5</v>
      </c>
      <c r="ACD69" s="143">
        <v>0.5</v>
      </c>
      <c r="ACE69" s="19"/>
      <c r="ACF69" s="19"/>
      <c r="ACG69" s="19"/>
      <c r="ACH69" s="19"/>
      <c r="ACI69" s="414"/>
      <c r="ACJ69" s="407"/>
      <c r="ACK69" s="408"/>
      <c r="ACL69" s="131">
        <f>SUM(ABJ69:ACK69)</f>
      </c>
      <c r="ACM69" s="121"/>
      <c r="ACN69" s="122"/>
      <c r="ACO69" s="123"/>
      <c r="ACP69" s="124"/>
      <c r="ACQ69" s="124"/>
      <c r="ACR69" s="124"/>
      <c r="ACS69" s="124"/>
      <c r="ACT69" s="124"/>
      <c r="ACU69" s="124"/>
      <c r="ACV69" s="125"/>
      <c r="ACW69" s="126"/>
      <c r="ACX69" s="124"/>
      <c r="ACY69" s="124"/>
      <c r="ACZ69" s="127"/>
      <c r="ADA69" s="123"/>
      <c r="ADB69" s="124"/>
      <c r="ADC69" s="124"/>
      <c r="ADD69" s="124"/>
      <c r="ADE69" s="124"/>
      <c r="ADF69" s="124"/>
      <c r="ADG69" s="124"/>
      <c r="ADH69" s="124"/>
      <c r="ADI69" s="124"/>
      <c r="ADJ69" s="124"/>
      <c r="ADK69" s="124"/>
      <c r="ADL69" s="125"/>
      <c r="ADM69" s="301"/>
      <c r="ADN69" s="151"/>
      <c r="ADO69" s="131">
        <f>SUM(ACM69:ADN69)</f>
      </c>
      <c r="ADP69" s="121"/>
      <c r="ADQ69" s="122"/>
      <c r="ADR69" s="123"/>
      <c r="ADS69" s="124"/>
      <c r="ADT69" s="124"/>
      <c r="ADU69" s="124"/>
      <c r="ADV69" s="124"/>
      <c r="ADW69" s="124"/>
      <c r="ADX69" s="124"/>
      <c r="ADY69" s="125"/>
      <c r="ADZ69" s="126"/>
      <c r="AEA69" s="124"/>
      <c r="AEB69" s="124"/>
      <c r="AEC69" s="127"/>
      <c r="AED69" s="123"/>
      <c r="AEE69" s="124"/>
      <c r="AEF69" s="124"/>
      <c r="AEG69" s="124"/>
      <c r="AEH69" s="124"/>
      <c r="AEI69" s="124"/>
      <c r="AEJ69" s="124"/>
      <c r="AEK69" s="124"/>
      <c r="AEL69" s="124"/>
      <c r="AEM69" s="124"/>
      <c r="AEN69" s="124"/>
      <c r="AEO69" s="125"/>
      <c r="AEP69" s="301"/>
      <c r="AEQ69" s="151"/>
      <c r="AER69" s="131">
        <f>SUM(ADP69:AEQ69)</f>
      </c>
      <c r="AES69" s="150">
        <f>XZ69+ZC69+AAF69+ABI69+ACL69+ADO69+AER69</f>
      </c>
      <c r="AET69" s="302">
        <f>(COUNTIF(WX69:AER69,"H")+COUNTIF(WX69:AER69,"S")+COUNTIF(WX69:AER69,"L")+COUNTIF(WX69:AER69,"E")+COUNTIF(WX69:AER69,"C"))/2</f>
      </c>
      <c r="AEU69" s="131">
        <f>AES69+AET69</f>
      </c>
      <c r="AEV69" s="374"/>
      <c r="AEW69" s="375"/>
      <c r="AEX69" s="15"/>
      <c r="AEY69" s="143">
        <v>0.5</v>
      </c>
      <c r="AEZ69" s="143">
        <v>0.5</v>
      </c>
      <c r="AFA69" s="143">
        <v>0.5</v>
      </c>
      <c r="AFB69" s="143">
        <v>0.5</v>
      </c>
      <c r="AFC69" s="143">
        <v>0.5</v>
      </c>
      <c r="AFD69" s="143">
        <v>0.5</v>
      </c>
      <c r="AFE69" s="154">
        <v>0.5</v>
      </c>
      <c r="AFF69" s="404">
        <v>0.5</v>
      </c>
      <c r="AFG69" s="143">
        <v>0.5</v>
      </c>
      <c r="AFH69" s="19"/>
      <c r="AFI69" s="323"/>
      <c r="AFJ69" s="405">
        <v>0.5</v>
      </c>
      <c r="AFK69" s="17">
        <v>0.5</v>
      </c>
      <c r="AFL69" s="17">
        <v>0.5</v>
      </c>
      <c r="AFM69" s="17">
        <v>0.5</v>
      </c>
      <c r="AFN69" s="17">
        <v>0.5</v>
      </c>
      <c r="AFO69" s="17">
        <v>0.5</v>
      </c>
      <c r="AFP69" s="17">
        <v>0.5</v>
      </c>
      <c r="AFQ69" s="19"/>
      <c r="AFR69" s="19"/>
      <c r="AFS69" s="19"/>
      <c r="AFT69" s="19"/>
      <c r="AFU69" s="414"/>
      <c r="AFV69" s="407"/>
      <c r="AFW69" s="408"/>
      <c r="AFX69" s="131">
        <f>SUM(AEV69:AFW69)</f>
      </c>
      <c r="AFY69" s="374"/>
      <c r="AFZ69" s="375"/>
      <c r="AGA69" s="15"/>
      <c r="AGB69" s="143">
        <v>0.5</v>
      </c>
      <c r="AGC69" s="143">
        <v>0.5</v>
      </c>
      <c r="AGD69" s="143">
        <v>0.5</v>
      </c>
      <c r="AGE69" s="143">
        <v>0.5</v>
      </c>
      <c r="AGF69" s="143">
        <v>0.5</v>
      </c>
      <c r="AGG69" s="143">
        <v>0.5</v>
      </c>
      <c r="AGH69" s="154">
        <v>0.5</v>
      </c>
      <c r="AGI69" s="404">
        <v>0.5</v>
      </c>
      <c r="AGJ69" s="143">
        <v>0.5</v>
      </c>
      <c r="AGK69" s="19"/>
      <c r="AGL69" s="323"/>
      <c r="AGM69" s="405">
        <v>0.5</v>
      </c>
      <c r="AGN69" s="17">
        <v>0.5</v>
      </c>
      <c r="AGO69" s="17">
        <v>0.5</v>
      </c>
      <c r="AGP69" s="17">
        <v>0.5</v>
      </c>
      <c r="AGQ69" s="17">
        <v>0.5</v>
      </c>
      <c r="AGR69" s="17">
        <v>0.5</v>
      </c>
      <c r="AGS69" s="17">
        <v>0.5</v>
      </c>
      <c r="AGT69" s="19"/>
      <c r="AGU69" s="19"/>
      <c r="AGV69" s="19"/>
      <c r="AGW69" s="19"/>
      <c r="AGX69" s="414"/>
      <c r="AGY69" s="407"/>
      <c r="AGZ69" s="408"/>
      <c r="AHA69" s="131">
        <f>SUM(AFY69:AGZ69)</f>
      </c>
      <c r="AHB69" s="374"/>
      <c r="AHC69" s="375"/>
      <c r="AHD69" s="15"/>
      <c r="AHE69" s="143">
        <v>0.5</v>
      </c>
      <c r="AHF69" s="143">
        <v>0.5</v>
      </c>
      <c r="AHG69" s="143">
        <v>0.5</v>
      </c>
      <c r="AHH69" s="143">
        <v>0.5</v>
      </c>
      <c r="AHI69" s="143">
        <v>0.5</v>
      </c>
      <c r="AHJ69" s="143">
        <v>0.5</v>
      </c>
      <c r="AHK69" s="154">
        <v>0.5</v>
      </c>
      <c r="AHL69" s="404">
        <v>0.5</v>
      </c>
      <c r="AHM69" s="143">
        <v>0.5</v>
      </c>
      <c r="AHN69" s="19"/>
      <c r="AHO69" s="323"/>
      <c r="AHP69" s="405">
        <v>0.5</v>
      </c>
      <c r="AHQ69" s="17">
        <v>0.5</v>
      </c>
      <c r="AHR69" s="17">
        <v>0.5</v>
      </c>
      <c r="AHS69" s="17">
        <v>0.5</v>
      </c>
      <c r="AHT69" s="17">
        <v>0.5</v>
      </c>
      <c r="AHU69" s="17">
        <v>0.5</v>
      </c>
      <c r="AHV69" s="17">
        <v>0.5</v>
      </c>
      <c r="AHW69" s="19"/>
      <c r="AHX69" s="19"/>
      <c r="AHY69" s="19"/>
      <c r="AHZ69" s="19"/>
      <c r="AIA69" s="414"/>
      <c r="AIB69" s="407"/>
      <c r="AIC69" s="408"/>
      <c r="AID69" s="131">
        <f>SUM(AHB69:AIC69)</f>
      </c>
      <c r="AIE69" s="374"/>
      <c r="AIF69" s="375"/>
      <c r="AIG69" s="15"/>
      <c r="AIH69" s="143">
        <v>0.5</v>
      </c>
      <c r="AII69" s="143">
        <v>0.5</v>
      </c>
      <c r="AIJ69" s="143">
        <v>0.5</v>
      </c>
      <c r="AIK69" s="143">
        <v>0.5</v>
      </c>
      <c r="AIL69" s="143">
        <v>0.5</v>
      </c>
      <c r="AIM69" s="143">
        <v>0.5</v>
      </c>
      <c r="AIN69" s="154">
        <v>0.5</v>
      </c>
      <c r="AIO69" s="404">
        <v>0.5</v>
      </c>
      <c r="AIP69" s="143">
        <v>0.5</v>
      </c>
      <c r="AIQ69" s="19"/>
      <c r="AIR69" s="323"/>
      <c r="AIS69" s="405">
        <v>0.5</v>
      </c>
      <c r="AIT69" s="17">
        <v>0.5</v>
      </c>
      <c r="AIU69" s="17">
        <v>0.5</v>
      </c>
      <c r="AIV69" s="17">
        <v>0.5</v>
      </c>
      <c r="AIW69" s="17">
        <v>0.5</v>
      </c>
      <c r="AIX69" s="17">
        <v>0.5</v>
      </c>
      <c r="AIY69" s="17">
        <v>0.5</v>
      </c>
      <c r="AIZ69" s="19"/>
      <c r="AJA69" s="19"/>
      <c r="AJB69" s="19"/>
      <c r="AJC69" s="19"/>
      <c r="AJD69" s="414"/>
      <c r="AJE69" s="407"/>
      <c r="AJF69" s="408"/>
      <c r="AJG69" s="131">
        <f>SUM(AIE69:AJF69)</f>
      </c>
      <c r="AJH69" s="374"/>
      <c r="AJI69" s="375"/>
      <c r="AJJ69" s="15"/>
      <c r="AJK69" s="143">
        <v>0.5</v>
      </c>
      <c r="AJL69" s="143">
        <v>0.5</v>
      </c>
      <c r="AJM69" s="143">
        <v>0.5</v>
      </c>
      <c r="AJN69" s="143">
        <v>0.5</v>
      </c>
      <c r="AJO69" s="143">
        <v>0.5</v>
      </c>
      <c r="AJP69" s="143">
        <v>0.5</v>
      </c>
      <c r="AJQ69" s="154">
        <v>0.5</v>
      </c>
      <c r="AJR69" s="404">
        <v>0.5</v>
      </c>
      <c r="AJS69" s="143">
        <v>0.5</v>
      </c>
      <c r="AJT69" s="19"/>
      <c r="AJU69" s="323"/>
      <c r="AJV69" s="405">
        <v>0.5</v>
      </c>
      <c r="AJW69" s="17">
        <v>0.5</v>
      </c>
      <c r="AJX69" s="17">
        <v>0.5</v>
      </c>
      <c r="AJY69" s="17">
        <v>0.5</v>
      </c>
      <c r="AJZ69" s="17">
        <v>0.5</v>
      </c>
      <c r="AKA69" s="17">
        <v>0.5</v>
      </c>
      <c r="AKB69" s="17">
        <v>0.5</v>
      </c>
      <c r="AKC69" s="19"/>
      <c r="AKD69" s="19"/>
      <c r="AKE69" s="19"/>
      <c r="AKF69" s="19"/>
      <c r="AKG69" s="414"/>
      <c r="AKH69" s="407"/>
      <c r="AKI69" s="408"/>
      <c r="AKJ69" s="131">
        <f>SUM(AJH69:AKI69)</f>
      </c>
      <c r="AKK69" s="121"/>
      <c r="AKL69" s="122"/>
      <c r="AKM69" s="123"/>
      <c r="AKN69" s="124"/>
      <c r="AKO69" s="124"/>
      <c r="AKP69" s="124"/>
      <c r="AKQ69" s="124"/>
      <c r="AKR69" s="124"/>
      <c r="AKS69" s="124"/>
      <c r="AKT69" s="125"/>
      <c r="AKU69" s="126"/>
      <c r="AKV69" s="124"/>
      <c r="AKW69" s="124"/>
      <c r="AKX69" s="127"/>
      <c r="AKY69" s="123"/>
      <c r="AKZ69" s="124"/>
      <c r="ALA69" s="124"/>
      <c r="ALB69" s="124"/>
      <c r="ALC69" s="124"/>
      <c r="ALD69" s="124"/>
      <c r="ALE69" s="124"/>
      <c r="ALF69" s="124"/>
      <c r="ALG69" s="124"/>
      <c r="ALH69" s="124"/>
      <c r="ALI69" s="124"/>
      <c r="ALJ69" s="125"/>
      <c r="ALK69" s="301"/>
      <c r="ALL69" s="151"/>
      <c r="ALM69" s="131">
        <f>SUM(AKK69:ALL69)</f>
      </c>
      <c r="ALN69" s="121"/>
      <c r="ALO69" s="122"/>
      <c r="ALP69" s="123"/>
      <c r="ALQ69" s="124"/>
      <c r="ALR69" s="124"/>
      <c r="ALS69" s="124"/>
      <c r="ALT69" s="124"/>
      <c r="ALU69" s="124"/>
      <c r="ALV69" s="124"/>
      <c r="ALW69" s="125"/>
      <c r="ALX69" s="126"/>
      <c r="ALY69" s="124"/>
      <c r="ALZ69" s="124"/>
      <c r="AMA69" s="127"/>
      <c r="AMB69" s="123"/>
      <c r="AMC69" s="124"/>
      <c r="AMD69" s="124"/>
      <c r="AME69" s="124"/>
      <c r="AMF69" s="124"/>
      <c r="AMG69" s="124"/>
      <c r="AMH69" s="124"/>
      <c r="AMI69" s="124"/>
      <c r="AMJ69" s="124"/>
      <c r="AMK69" s="124"/>
      <c r="AML69" s="124"/>
      <c r="AMM69" s="125"/>
      <c r="AMN69" s="301"/>
      <c r="AMO69" s="151"/>
      <c r="AMP69" s="131">
        <f>SUM(ALN69:AMO69)</f>
      </c>
      <c r="AMQ69" s="150">
        <f>AFX69+AHA69+AID69+AJG69+AKJ69+ALM69+AMP69</f>
      </c>
      <c r="AMR69" s="302">
        <f>(COUNTIF(AEV69:AMP69,"H")+COUNTIF(AEV69:AMP69,"S")+COUNTIF(AEV69:AMP69,"L")+COUNTIF(AEV69:AMP69,"E")+COUNTIF(AEV69:AMP69,"C"))/2</f>
      </c>
      <c r="AMS69" s="131">
        <f>AMQ69+AMR69</f>
      </c>
      <c r="AMT69" s="4"/>
      <c r="AMU69" s="4"/>
      <c r="AMV69" s="4"/>
      <c r="AMW69" s="4"/>
      <c r="AMX69" s="4"/>
      <c r="AMY69" s="4"/>
      <c r="AMZ69" s="4"/>
      <c r="ANA69" s="4"/>
      <c r="ANB69" s="4"/>
      <c r="ANC69" s="4"/>
      <c r="AND69" s="4"/>
      <c r="ANE69" s="4"/>
      <c r="ANF69" s="4"/>
      <c r="ANG69" s="4"/>
      <c r="ANH69" s="4"/>
      <c r="ANI69" s="4"/>
      <c r="ANJ69" s="13"/>
      <c r="ANK69" s="13"/>
      <c r="ANL69" s="4"/>
      <c r="ANM69" s="4"/>
      <c r="ANN69" s="4"/>
      <c r="ANO69" s="4"/>
      <c r="ANP69" s="4"/>
      <c r="ANQ69" s="4"/>
      <c r="ANR69" s="4"/>
      <c r="ANS69" s="4"/>
      <c r="ANT69" s="4"/>
      <c r="ANU69" s="4"/>
      <c r="ANV69" s="4"/>
      <c r="ANW69" s="4"/>
      <c r="ANX69" s="4"/>
      <c r="ANY69" s="4"/>
      <c r="ANZ69" s="4"/>
      <c r="AOA69" s="4"/>
      <c r="AOB69" s="4"/>
      <c r="AOC69" s="4"/>
      <c r="AOD69" s="4"/>
      <c r="AOE69" s="4"/>
      <c r="AOF69" s="4"/>
      <c r="AOG69" s="4"/>
      <c r="AOH69" s="4"/>
      <c r="AOI69" s="4"/>
      <c r="AOJ69" s="4"/>
      <c r="AOK69" s="4"/>
      <c r="AOL69" s="4"/>
      <c r="AOM69" s="4"/>
      <c r="AON69" s="4"/>
      <c r="AOO69" s="4"/>
      <c r="AOP69" s="4"/>
      <c r="AOQ69" s="4"/>
      <c r="AOR69" s="4"/>
      <c r="AOS69" s="4"/>
      <c r="AOT69" s="4"/>
      <c r="AOU69" s="4"/>
      <c r="AOV69" s="4"/>
      <c r="AOW69" s="4"/>
      <c r="AOX69" s="4"/>
      <c r="AOY69" s="4"/>
      <c r="AOZ69" s="4"/>
      <c r="APA69" s="4"/>
      <c r="APB69" s="4"/>
      <c r="APC69" s="4"/>
      <c r="APD69" s="4"/>
      <c r="APE69" s="4"/>
      <c r="APF69" s="4"/>
      <c r="APG69" s="4"/>
      <c r="APH69" s="4"/>
      <c r="API69" s="4"/>
      <c r="APJ69" s="4"/>
      <c r="APK69" s="4"/>
      <c r="APL69" s="4"/>
      <c r="APM69" s="4"/>
      <c r="APN69" s="4"/>
      <c r="APO69" s="4"/>
      <c r="APP69" s="4"/>
      <c r="APQ69" s="4"/>
      <c r="APR69" s="4"/>
      <c r="APS69" s="4"/>
      <c r="APT69" s="4"/>
      <c r="APU69" s="4"/>
      <c r="APV69" s="4"/>
      <c r="APW69" s="4"/>
      <c r="APX69" s="4"/>
      <c r="APY69" s="4"/>
      <c r="APZ69" s="4"/>
      <c r="AQA69" s="4"/>
      <c r="AQB69" s="4"/>
      <c r="AQC69" s="4"/>
      <c r="AQD69" s="4"/>
      <c r="AQE69" s="4"/>
      <c r="AQF69" s="4"/>
      <c r="AQG69" s="4"/>
      <c r="AQH69" s="4"/>
      <c r="AQI69" s="4"/>
      <c r="AQJ69" s="4"/>
      <c r="AQK69" s="4"/>
      <c r="AQL69" s="4"/>
      <c r="AQM69" s="4"/>
      <c r="AQN69" s="4"/>
      <c r="AQO69" s="4"/>
      <c r="AQP69" s="4"/>
      <c r="AQQ69" s="4"/>
      <c r="AQR69" s="4"/>
      <c r="AQS69" s="4"/>
      <c r="AQT69" s="4"/>
      <c r="AQU69" s="4"/>
      <c r="AQV69" s="4"/>
      <c r="AQW69" s="4"/>
      <c r="AQX69" s="4"/>
      <c r="AQY69" s="4"/>
      <c r="AQZ69" s="4"/>
      <c r="ARA69" s="4"/>
      <c r="ARB69" s="4"/>
      <c r="ARC69" s="4"/>
      <c r="ARD69" s="4"/>
      <c r="ARE69" s="4"/>
      <c r="ARF69" s="4"/>
      <c r="ARG69" s="4"/>
      <c r="ARH69" s="4"/>
      <c r="ARI69" s="4"/>
      <c r="ARJ69" s="4"/>
      <c r="ARK69" s="4"/>
      <c r="ARL69" s="4"/>
      <c r="ARM69" s="4"/>
      <c r="ARN69" s="4"/>
      <c r="ARO69" s="4"/>
      <c r="ARP69" s="4"/>
      <c r="ARQ69" s="4"/>
      <c r="ARR69" s="4"/>
      <c r="ARS69" s="4"/>
      <c r="ART69" s="4"/>
      <c r="ARU69" s="4"/>
      <c r="ARV69" s="4"/>
      <c r="ARW69" s="4"/>
      <c r="ARX69" s="4"/>
      <c r="ARY69" s="4"/>
      <c r="ARZ69" s="4"/>
      <c r="ASA69" s="4"/>
      <c r="ASB69" s="4"/>
      <c r="ASC69" s="4"/>
      <c r="ASD69" s="4"/>
      <c r="ASE69" s="4"/>
      <c r="ASF69" s="4"/>
      <c r="ASG69" s="4"/>
      <c r="ASH69" s="4"/>
      <c r="ASI69" s="4"/>
      <c r="ASJ69" s="4"/>
      <c r="ASK69" s="4"/>
      <c r="ASL69" s="4"/>
      <c r="ASM69" s="4"/>
      <c r="ASN69" s="4"/>
      <c r="ASO69" s="4"/>
      <c r="ASP69" s="4"/>
      <c r="ASQ69" s="4"/>
      <c r="ASR69" s="4"/>
      <c r="ASS69" s="4"/>
      <c r="AST69" s="4"/>
      <c r="ASU69" s="4"/>
    </row>
    <row r="70" ht="15" customHeight="1" spans="1:1191" x14ac:dyDescent="0.25">
      <c r="A70" s="118"/>
      <c r="B70" s="367" t="s">
        <v>108</v>
      </c>
      <c r="C70" s="289" t="s">
        <v>55</v>
      </c>
      <c r="D70" s="121"/>
      <c r="E70" s="122"/>
      <c r="F70" s="123"/>
      <c r="G70" s="124"/>
      <c r="H70" s="124"/>
      <c r="I70" s="124"/>
      <c r="J70" s="124"/>
      <c r="K70" s="124"/>
      <c r="L70" s="124"/>
      <c r="M70" s="125"/>
      <c r="N70" s="126"/>
      <c r="O70" s="124"/>
      <c r="P70" s="124"/>
      <c r="Q70" s="127"/>
      <c r="R70" s="123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5"/>
      <c r="AD70" s="301"/>
      <c r="AE70" s="151"/>
      <c r="AF70" s="131">
        <f>SUM(D70:AE70)</f>
      </c>
      <c r="AG70" s="121"/>
      <c r="AH70" s="122"/>
      <c r="AI70" s="123"/>
      <c r="AJ70" s="124"/>
      <c r="AK70" s="124"/>
      <c r="AL70" s="124"/>
      <c r="AM70" s="124"/>
      <c r="AN70" s="124"/>
      <c r="AO70" s="124"/>
      <c r="AP70" s="125"/>
      <c r="AQ70" s="126"/>
      <c r="AR70" s="124"/>
      <c r="AS70" s="124"/>
      <c r="AT70" s="127"/>
      <c r="AU70" s="123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5"/>
      <c r="BG70" s="301"/>
      <c r="BH70" s="151"/>
      <c r="BI70" s="131">
        <f>SUM(AG70:BH70)</f>
      </c>
      <c r="BJ70" s="121"/>
      <c r="BK70" s="122"/>
      <c r="BL70" s="123"/>
      <c r="BM70" s="124"/>
      <c r="BN70" s="124"/>
      <c r="BO70" s="124"/>
      <c r="BP70" s="124"/>
      <c r="BQ70" s="124"/>
      <c r="BR70" s="124"/>
      <c r="BS70" s="125"/>
      <c r="BT70" s="126"/>
      <c r="BU70" s="124"/>
      <c r="BV70" s="124"/>
      <c r="BW70" s="127"/>
      <c r="BX70" s="123"/>
      <c r="BY70" s="124"/>
      <c r="BZ70" s="124"/>
      <c r="CA70" s="124"/>
      <c r="CB70" s="124"/>
      <c r="CC70" s="124"/>
      <c r="CD70" s="124"/>
      <c r="CE70" s="124"/>
      <c r="CF70" s="124"/>
      <c r="CG70" s="124"/>
      <c r="CH70" s="124"/>
      <c r="CI70" s="125"/>
      <c r="CJ70" s="301"/>
      <c r="CK70" s="151"/>
      <c r="CL70" s="131">
        <f>SUM(BJ70:CK70)</f>
      </c>
      <c r="CM70" s="121"/>
      <c r="CN70" s="122"/>
      <c r="CO70" s="123"/>
      <c r="CP70" s="124"/>
      <c r="CQ70" s="124"/>
      <c r="CR70" s="124"/>
      <c r="CS70" s="124"/>
      <c r="CT70" s="124"/>
      <c r="CU70" s="124"/>
      <c r="CV70" s="125"/>
      <c r="CW70" s="126"/>
      <c r="CX70" s="124"/>
      <c r="CY70" s="124"/>
      <c r="CZ70" s="127"/>
      <c r="DA70" s="123"/>
      <c r="DB70" s="124"/>
      <c r="DC70" s="124"/>
      <c r="DD70" s="124"/>
      <c r="DE70" s="124"/>
      <c r="DF70" s="124"/>
      <c r="DG70" s="124"/>
      <c r="DH70" s="124"/>
      <c r="DI70" s="124"/>
      <c r="DJ70" s="124"/>
      <c r="DK70" s="124"/>
      <c r="DL70" s="125"/>
      <c r="DM70" s="301"/>
      <c r="DN70" s="151"/>
      <c r="DO70" s="131">
        <f>SUM(CM70:DN70)</f>
      </c>
      <c r="DP70" s="121"/>
      <c r="DQ70" s="122"/>
      <c r="DR70" s="123"/>
      <c r="DS70" s="124"/>
      <c r="DT70" s="124"/>
      <c r="DU70" s="124"/>
      <c r="DV70" s="124"/>
      <c r="DW70" s="124"/>
      <c r="DX70" s="124"/>
      <c r="DY70" s="125"/>
      <c r="DZ70" s="126"/>
      <c r="EA70" s="124"/>
      <c r="EB70" s="124"/>
      <c r="EC70" s="127"/>
      <c r="ED70" s="123"/>
      <c r="EE70" s="124"/>
      <c r="EF70" s="124"/>
      <c r="EG70" s="124"/>
      <c r="EH70" s="124"/>
      <c r="EI70" s="124"/>
      <c r="EJ70" s="124"/>
      <c r="EK70" s="124"/>
      <c r="EL70" s="124"/>
      <c r="EM70" s="124"/>
      <c r="EN70" s="124"/>
      <c r="EO70" s="125"/>
      <c r="EP70" s="301"/>
      <c r="EQ70" s="151"/>
      <c r="ER70" s="131">
        <f>SUM(DP70:EQ70)</f>
      </c>
      <c r="ES70" s="121"/>
      <c r="ET70" s="122"/>
      <c r="EU70" s="123"/>
      <c r="EV70" s="124"/>
      <c r="EW70" s="124"/>
      <c r="EX70" s="124"/>
      <c r="EY70" s="124"/>
      <c r="EZ70" s="124"/>
      <c r="FA70" s="124"/>
      <c r="FB70" s="125"/>
      <c r="FC70" s="126"/>
      <c r="FD70" s="124"/>
      <c r="FE70" s="124"/>
      <c r="FF70" s="127"/>
      <c r="FG70" s="123"/>
      <c r="FH70" s="124"/>
      <c r="FI70" s="124"/>
      <c r="FJ70" s="124"/>
      <c r="FK70" s="124"/>
      <c r="FL70" s="124"/>
      <c r="FM70" s="124"/>
      <c r="FN70" s="124"/>
      <c r="FO70" s="124"/>
      <c r="FP70" s="124"/>
      <c r="FQ70" s="124"/>
      <c r="FR70" s="125"/>
      <c r="FS70" s="301"/>
      <c r="FT70" s="151"/>
      <c r="FU70" s="131">
        <f>SUM(ES70:FT70)</f>
      </c>
      <c r="FV70" s="121"/>
      <c r="FW70" s="122"/>
      <c r="FX70" s="123"/>
      <c r="FY70" s="124"/>
      <c r="FZ70" s="124"/>
      <c r="GA70" s="124"/>
      <c r="GB70" s="124"/>
      <c r="GC70" s="124"/>
      <c r="GD70" s="124"/>
      <c r="GE70" s="125"/>
      <c r="GF70" s="126"/>
      <c r="GG70" s="124"/>
      <c r="GH70" s="124"/>
      <c r="GI70" s="127"/>
      <c r="GJ70" s="123"/>
      <c r="GK70" s="124"/>
      <c r="GL70" s="124"/>
      <c r="GM70" s="124"/>
      <c r="GN70" s="124"/>
      <c r="GO70" s="124"/>
      <c r="GP70" s="124"/>
      <c r="GQ70" s="124"/>
      <c r="GR70" s="124"/>
      <c r="GS70" s="124"/>
      <c r="GT70" s="124"/>
      <c r="GU70" s="125"/>
      <c r="GV70" s="301"/>
      <c r="GW70" s="151"/>
      <c r="GX70" s="131">
        <f>SUM(FV70:GW70)</f>
      </c>
      <c r="GY70" s="150">
        <f>AF70+BI70+CL70+DO70+ER70+FU70+GX70</f>
      </c>
      <c r="GZ70" s="302">
        <f>(COUNTIF(D70:GX70,"H")+COUNTIF(D70:GX70,"S")+COUNTIF(D70:GX70,"L")+COUNTIF(D70:GX70,"E")+COUNTIF(D70:GX70,"C"))/2</f>
      </c>
      <c r="HA70" s="131">
        <f>GY70+GZ70</f>
      </c>
      <c r="HB70" s="374"/>
      <c r="HC70" s="375"/>
      <c r="HD70" s="15"/>
      <c r="HE70" s="17">
        <v>0.5</v>
      </c>
      <c r="HF70" s="17">
        <v>0.5</v>
      </c>
      <c r="HG70" s="17">
        <v>0.5</v>
      </c>
      <c r="HH70" s="17">
        <v>0.5</v>
      </c>
      <c r="HI70" s="17">
        <v>0.5</v>
      </c>
      <c r="HJ70" s="17">
        <v>0.5</v>
      </c>
      <c r="HK70" s="406">
        <v>0.5</v>
      </c>
      <c r="HL70" s="412"/>
      <c r="HM70" s="19"/>
      <c r="HN70" s="17">
        <v>0.5</v>
      </c>
      <c r="HO70" s="415">
        <v>0.5</v>
      </c>
      <c r="HP70" s="405">
        <v>0.5</v>
      </c>
      <c r="HQ70" s="17">
        <v>0.5</v>
      </c>
      <c r="HR70" s="17">
        <v>0.5</v>
      </c>
      <c r="HS70" s="17">
        <v>0.5</v>
      </c>
      <c r="HT70" s="17">
        <v>0.5</v>
      </c>
      <c r="HU70" s="17">
        <v>0.5</v>
      </c>
      <c r="HV70" s="17">
        <v>0.5</v>
      </c>
      <c r="HW70" s="19"/>
      <c r="HX70" s="19"/>
      <c r="HY70" s="19"/>
      <c r="HZ70" s="19"/>
      <c r="IA70" s="414"/>
      <c r="IB70" s="407"/>
      <c r="IC70" s="408"/>
      <c r="ID70" s="131">
        <f>SUM(HB70:IC70)</f>
      </c>
      <c r="IE70" s="374"/>
      <c r="IF70" s="375"/>
      <c r="IG70" s="15"/>
      <c r="IH70" s="17">
        <v>0.5</v>
      </c>
      <c r="II70" s="17">
        <v>0.5</v>
      </c>
      <c r="IJ70" s="17">
        <v>0.5</v>
      </c>
      <c r="IK70" s="17">
        <v>0.5</v>
      </c>
      <c r="IL70" s="17">
        <v>0.5</v>
      </c>
      <c r="IM70" s="17">
        <v>0.5</v>
      </c>
      <c r="IN70" s="406">
        <v>0.5</v>
      </c>
      <c r="IO70" s="412"/>
      <c r="IP70" s="19"/>
      <c r="IQ70" s="17">
        <v>0.5</v>
      </c>
      <c r="IR70" s="415">
        <v>0.5</v>
      </c>
      <c r="IS70" s="405">
        <v>0.5</v>
      </c>
      <c r="IT70" s="17">
        <v>0.5</v>
      </c>
      <c r="IU70" s="17">
        <v>0.5</v>
      </c>
      <c r="IV70" s="17">
        <v>0.5</v>
      </c>
      <c r="IW70" s="17">
        <v>0.5</v>
      </c>
      <c r="IX70" s="17">
        <v>0.5</v>
      </c>
      <c r="IY70" s="17">
        <v>0.5</v>
      </c>
      <c r="IZ70" s="19"/>
      <c r="JA70" s="19"/>
      <c r="JB70" s="19"/>
      <c r="JC70" s="19"/>
      <c r="JD70" s="414"/>
      <c r="JE70" s="407"/>
      <c r="JF70" s="408"/>
      <c r="JG70" s="131">
        <f>SUM(IE70:JF70)</f>
      </c>
      <c r="JH70" s="374"/>
      <c r="JI70" s="375"/>
      <c r="JJ70" s="15"/>
      <c r="JK70" s="17">
        <v>0.5</v>
      </c>
      <c r="JL70" s="17">
        <v>0.5</v>
      </c>
      <c r="JM70" s="17">
        <v>0.5</v>
      </c>
      <c r="JN70" s="17">
        <v>0.5</v>
      </c>
      <c r="JO70" s="17">
        <v>0.5</v>
      </c>
      <c r="JP70" s="17">
        <v>0.5</v>
      </c>
      <c r="JQ70" s="406">
        <v>0.5</v>
      </c>
      <c r="JR70" s="412"/>
      <c r="JS70" s="19"/>
      <c r="JT70" s="17">
        <v>0.5</v>
      </c>
      <c r="JU70" s="415">
        <v>0.5</v>
      </c>
      <c r="JV70" s="405">
        <v>0.5</v>
      </c>
      <c r="JW70" s="17">
        <v>0.5</v>
      </c>
      <c r="JX70" s="17">
        <v>0.5</v>
      </c>
      <c r="JY70" s="17">
        <v>0.5</v>
      </c>
      <c r="JZ70" s="17">
        <v>0.5</v>
      </c>
      <c r="KA70" s="17">
        <v>0.5</v>
      </c>
      <c r="KB70" s="17">
        <v>0.5</v>
      </c>
      <c r="KC70" s="19"/>
      <c r="KD70" s="19"/>
      <c r="KE70" s="19"/>
      <c r="KF70" s="19"/>
      <c r="KG70" s="414"/>
      <c r="KH70" s="407"/>
      <c r="KI70" s="408"/>
      <c r="KJ70" s="131">
        <f>SUM(JH70:KI70)</f>
      </c>
      <c r="KK70" s="374"/>
      <c r="KL70" s="375"/>
      <c r="KM70" s="15"/>
      <c r="KN70" s="17">
        <v>0.5</v>
      </c>
      <c r="KO70" s="17">
        <v>0.5</v>
      </c>
      <c r="KP70" s="17">
        <v>0.5</v>
      </c>
      <c r="KQ70" s="17">
        <v>0.5</v>
      </c>
      <c r="KR70" s="17">
        <v>0.5</v>
      </c>
      <c r="KS70" s="17">
        <v>0.5</v>
      </c>
      <c r="KT70" s="406">
        <v>0.5</v>
      </c>
      <c r="KU70" s="412"/>
      <c r="KV70" s="19"/>
      <c r="KW70" s="17">
        <v>0.5</v>
      </c>
      <c r="KX70" s="415">
        <v>0.5</v>
      </c>
      <c r="KY70" s="405">
        <v>0.5</v>
      </c>
      <c r="KZ70" s="17">
        <v>0.5</v>
      </c>
      <c r="LA70" s="17">
        <v>0.5</v>
      </c>
      <c r="LB70" s="17">
        <v>0.5</v>
      </c>
      <c r="LC70" s="17">
        <v>0.5</v>
      </c>
      <c r="LD70" s="17">
        <v>0.5</v>
      </c>
      <c r="LE70" s="17">
        <v>0.5</v>
      </c>
      <c r="LF70" s="19"/>
      <c r="LG70" s="19"/>
      <c r="LH70" s="19"/>
      <c r="LI70" s="19"/>
      <c r="LJ70" s="414"/>
      <c r="LK70" s="407"/>
      <c r="LL70" s="408"/>
      <c r="LM70" s="131">
        <f>SUM(KK70:LL70)</f>
      </c>
      <c r="LN70" s="374"/>
      <c r="LO70" s="375"/>
      <c r="LP70" s="15"/>
      <c r="LQ70" s="17">
        <v>0.5</v>
      </c>
      <c r="LR70" s="17">
        <v>0.5</v>
      </c>
      <c r="LS70" s="17">
        <v>0.5</v>
      </c>
      <c r="LT70" s="17">
        <v>0.5</v>
      </c>
      <c r="LU70" s="17">
        <v>0.5</v>
      </c>
      <c r="LV70" s="17">
        <v>0.5</v>
      </c>
      <c r="LW70" s="406">
        <v>0.5</v>
      </c>
      <c r="LX70" s="412"/>
      <c r="LY70" s="19"/>
      <c r="LZ70" s="17">
        <v>0.5</v>
      </c>
      <c r="MA70" s="415">
        <v>0.5</v>
      </c>
      <c r="MB70" s="405">
        <v>0.5</v>
      </c>
      <c r="MC70" s="17">
        <v>0.5</v>
      </c>
      <c r="MD70" s="17">
        <v>0.5</v>
      </c>
      <c r="ME70" s="17">
        <v>0.5</v>
      </c>
      <c r="MF70" s="17">
        <v>0.5</v>
      </c>
      <c r="MG70" s="17">
        <v>0.5</v>
      </c>
      <c r="MH70" s="17">
        <v>0.5</v>
      </c>
      <c r="MI70" s="19"/>
      <c r="MJ70" s="19"/>
      <c r="MK70" s="19"/>
      <c r="ML70" s="19"/>
      <c r="MM70" s="414"/>
      <c r="MN70" s="407"/>
      <c r="MO70" s="408"/>
      <c r="MP70" s="131">
        <f>SUM(LN70:MO70)</f>
      </c>
      <c r="MQ70" s="121"/>
      <c r="MR70" s="122"/>
      <c r="MS70" s="123"/>
      <c r="MT70" s="124"/>
      <c r="MU70" s="124"/>
      <c r="MV70" s="124"/>
      <c r="MW70" s="124"/>
      <c r="MX70" s="124"/>
      <c r="MY70" s="124"/>
      <c r="MZ70" s="125"/>
      <c r="NA70" s="126"/>
      <c r="NB70" s="124"/>
      <c r="NC70" s="124"/>
      <c r="ND70" s="127"/>
      <c r="NE70" s="123"/>
      <c r="NF70" s="124"/>
      <c r="NG70" s="124"/>
      <c r="NH70" s="124"/>
      <c r="NI70" s="124"/>
      <c r="NJ70" s="124"/>
      <c r="NK70" s="124"/>
      <c r="NL70" s="124"/>
      <c r="NM70" s="124"/>
      <c r="NN70" s="124"/>
      <c r="NO70" s="124"/>
      <c r="NP70" s="125"/>
      <c r="NQ70" s="301"/>
      <c r="NR70" s="151"/>
      <c r="NS70" s="131">
        <f>SUM(MQ70:NR70)</f>
      </c>
      <c r="NT70" s="121"/>
      <c r="NU70" s="122"/>
      <c r="NV70" s="123"/>
      <c r="NW70" s="124"/>
      <c r="NX70" s="124"/>
      <c r="NY70" s="124"/>
      <c r="NZ70" s="124"/>
      <c r="OA70" s="124"/>
      <c r="OB70" s="124"/>
      <c r="OC70" s="125"/>
      <c r="OD70" s="126"/>
      <c r="OE70" s="124"/>
      <c r="OF70" s="124"/>
      <c r="OG70" s="127"/>
      <c r="OH70" s="123"/>
      <c r="OI70" s="124"/>
      <c r="OJ70" s="124"/>
      <c r="OK70" s="124"/>
      <c r="OL70" s="124"/>
      <c r="OM70" s="124"/>
      <c r="ON70" s="124"/>
      <c r="OO70" s="124"/>
      <c r="OP70" s="124"/>
      <c r="OQ70" s="124"/>
      <c r="OR70" s="124"/>
      <c r="OS70" s="125"/>
      <c r="OT70" s="301"/>
      <c r="OU70" s="151"/>
      <c r="OV70" s="131">
        <f>SUM(NT70:OU70)</f>
      </c>
      <c r="OW70" s="150">
        <f>ID70+JG70+KJ70+LM70+MP70+NS70+OV70</f>
      </c>
      <c r="OX70" s="302">
        <f>(COUNTIF(HB70:OV70,"H")+COUNTIF(HB70:OV70,"S")+COUNTIF(HB70:OV70,"L")+COUNTIF(HB70:OV70,"E")+COUNTIF(HB70:OV70,"C"))/2</f>
      </c>
      <c r="OY70" s="131">
        <f>OW70+OX70</f>
      </c>
      <c r="OZ70" s="374"/>
      <c r="PA70" s="375"/>
      <c r="PB70" s="15"/>
      <c r="PC70" s="17">
        <v>0.5</v>
      </c>
      <c r="PD70" s="17">
        <v>0.5</v>
      </c>
      <c r="PE70" s="17">
        <v>0.5</v>
      </c>
      <c r="PF70" s="17">
        <v>0.5</v>
      </c>
      <c r="PG70" s="17">
        <v>0.5</v>
      </c>
      <c r="PH70" s="17">
        <v>0.5</v>
      </c>
      <c r="PI70" s="406">
        <v>0.5</v>
      </c>
      <c r="PJ70" s="432">
        <v>0.5</v>
      </c>
      <c r="PK70" s="17">
        <v>0.5</v>
      </c>
      <c r="PL70" s="19"/>
      <c r="PM70" s="323"/>
      <c r="PN70" s="405">
        <v>0.5</v>
      </c>
      <c r="PO70" s="17">
        <v>0.5</v>
      </c>
      <c r="PP70" s="17">
        <v>0.5</v>
      </c>
      <c r="PQ70" s="17">
        <v>0.5</v>
      </c>
      <c r="PR70" s="17">
        <v>0.5</v>
      </c>
      <c r="PS70" s="17">
        <v>0.5</v>
      </c>
      <c r="PT70" s="17">
        <v>0.5</v>
      </c>
      <c r="PU70" s="19"/>
      <c r="PV70" s="19"/>
      <c r="PW70" s="19"/>
      <c r="PX70" s="19"/>
      <c r="PY70" s="414"/>
      <c r="PZ70" s="407"/>
      <c r="QA70" s="408"/>
      <c r="QB70" s="131">
        <f>SUM(OZ70:QA70)</f>
      </c>
      <c r="QC70" s="374"/>
      <c r="QD70" s="375"/>
      <c r="QE70" s="15"/>
      <c r="QF70" s="143">
        <v>0.5</v>
      </c>
      <c r="QG70" s="143">
        <v>0.5</v>
      </c>
      <c r="QH70" s="143">
        <v>0.5</v>
      </c>
      <c r="QI70" s="143">
        <v>0.5</v>
      </c>
      <c r="QJ70" s="143">
        <v>0.5</v>
      </c>
      <c r="QK70" s="143">
        <v>0.5</v>
      </c>
      <c r="QL70" s="154">
        <v>0.5</v>
      </c>
      <c r="QM70" s="404">
        <v>0.5</v>
      </c>
      <c r="QN70" s="143">
        <v>0.5</v>
      </c>
      <c r="QO70" s="19"/>
      <c r="QP70" s="323"/>
      <c r="QQ70" s="339">
        <v>0.5</v>
      </c>
      <c r="QR70" s="143">
        <v>0.5</v>
      </c>
      <c r="QS70" s="143">
        <v>0.5</v>
      </c>
      <c r="QT70" s="143">
        <v>0.5</v>
      </c>
      <c r="QU70" s="143">
        <v>0.5</v>
      </c>
      <c r="QV70" s="143">
        <v>0.5</v>
      </c>
      <c r="QW70" s="143">
        <v>0.5</v>
      </c>
      <c r="QX70" s="19"/>
      <c r="QY70" s="19"/>
      <c r="QZ70" s="19"/>
      <c r="RA70" s="19"/>
      <c r="RB70" s="414"/>
      <c r="RC70" s="407"/>
      <c r="RD70" s="408"/>
      <c r="RE70" s="131">
        <f>SUM(QC70:RD70)</f>
      </c>
      <c r="RF70" s="374"/>
      <c r="RG70" s="375"/>
      <c r="RH70" s="15"/>
      <c r="RI70" s="143">
        <v>0.5</v>
      </c>
      <c r="RJ70" s="143">
        <v>0.5</v>
      </c>
      <c r="RK70" s="143">
        <v>0.5</v>
      </c>
      <c r="RL70" s="143">
        <v>0.5</v>
      </c>
      <c r="RM70" s="143">
        <v>0.5</v>
      </c>
      <c r="RN70" s="143">
        <v>0.5</v>
      </c>
      <c r="RO70" s="154">
        <v>0.5</v>
      </c>
      <c r="RP70" s="404">
        <v>0.5</v>
      </c>
      <c r="RQ70" s="143">
        <v>0.5</v>
      </c>
      <c r="RR70" s="19"/>
      <c r="RS70" s="323"/>
      <c r="RT70" s="339">
        <v>0.5</v>
      </c>
      <c r="RU70" s="143">
        <v>0.5</v>
      </c>
      <c r="RV70" s="143">
        <v>0.5</v>
      </c>
      <c r="RW70" s="143">
        <v>0.5</v>
      </c>
      <c r="RX70" s="143">
        <v>0.5</v>
      </c>
      <c r="RY70" s="143">
        <v>0.5</v>
      </c>
      <c r="RZ70" s="143">
        <v>0.5</v>
      </c>
      <c r="SA70" s="19"/>
      <c r="SB70" s="19"/>
      <c r="SC70" s="19"/>
      <c r="SD70" s="19"/>
      <c r="SE70" s="414"/>
      <c r="SF70" s="407"/>
      <c r="SG70" s="408"/>
      <c r="SH70" s="131">
        <f>SUM(RF70:SG70)</f>
      </c>
      <c r="SI70" s="374"/>
      <c r="SJ70" s="375"/>
      <c r="SK70" s="15"/>
      <c r="SL70" s="143">
        <v>0.5</v>
      </c>
      <c r="SM70" s="143">
        <v>0.5</v>
      </c>
      <c r="SN70" s="143">
        <v>0.5</v>
      </c>
      <c r="SO70" s="143">
        <v>0.5</v>
      </c>
      <c r="SP70" s="143">
        <v>0.5</v>
      </c>
      <c r="SQ70" s="143">
        <v>0.5</v>
      </c>
      <c r="SR70" s="154">
        <v>0.5</v>
      </c>
      <c r="SS70" s="404">
        <v>0.5</v>
      </c>
      <c r="ST70" s="143">
        <v>0.5</v>
      </c>
      <c r="SU70" s="19"/>
      <c r="SV70" s="323"/>
      <c r="SW70" s="339">
        <v>0.5</v>
      </c>
      <c r="SX70" s="143">
        <v>0.5</v>
      </c>
      <c r="SY70" s="143">
        <v>0.5</v>
      </c>
      <c r="SZ70" s="143">
        <v>0.5</v>
      </c>
      <c r="TA70" s="143">
        <v>0.5</v>
      </c>
      <c r="TB70" s="143">
        <v>0.5</v>
      </c>
      <c r="TC70" s="143">
        <v>0.5</v>
      </c>
      <c r="TD70" s="19"/>
      <c r="TE70" s="19"/>
      <c r="TF70" s="19"/>
      <c r="TG70" s="19"/>
      <c r="TH70" s="414"/>
      <c r="TI70" s="407"/>
      <c r="TJ70" s="408"/>
      <c r="TK70" s="131">
        <f>SUM(SI70:TJ70)</f>
      </c>
      <c r="TL70" s="374"/>
      <c r="TM70" s="375"/>
      <c r="TN70" s="15"/>
      <c r="TO70" s="143">
        <v>0.5</v>
      </c>
      <c r="TP70" s="143">
        <v>0.5</v>
      </c>
      <c r="TQ70" s="143">
        <v>0.5</v>
      </c>
      <c r="TR70" s="143">
        <v>0.5</v>
      </c>
      <c r="TS70" s="143">
        <v>0.5</v>
      </c>
      <c r="TT70" s="143">
        <v>0.5</v>
      </c>
      <c r="TU70" s="154">
        <v>0.5</v>
      </c>
      <c r="TV70" s="404">
        <v>0.5</v>
      </c>
      <c r="TW70" s="143">
        <v>0.5</v>
      </c>
      <c r="TX70" s="19"/>
      <c r="TY70" s="323"/>
      <c r="TZ70" s="339">
        <v>0.5</v>
      </c>
      <c r="UA70" s="143">
        <v>0.5</v>
      </c>
      <c r="UB70" s="143">
        <v>0.5</v>
      </c>
      <c r="UC70" s="143">
        <v>0.5</v>
      </c>
      <c r="UD70" s="143">
        <v>0.5</v>
      </c>
      <c r="UE70" s="143">
        <v>0.5</v>
      </c>
      <c r="UF70" s="143">
        <v>0.5</v>
      </c>
      <c r="UG70" s="19"/>
      <c r="UH70" s="19"/>
      <c r="UI70" s="19"/>
      <c r="UJ70" s="19"/>
      <c r="UK70" s="414"/>
      <c r="UL70" s="407"/>
      <c r="UM70" s="408"/>
      <c r="UN70" s="131">
        <f>SUM(TL70:UM70)</f>
      </c>
      <c r="UO70" s="121"/>
      <c r="UP70" s="122"/>
      <c r="UQ70" s="123"/>
      <c r="UR70" s="124"/>
      <c r="US70" s="124"/>
      <c r="UT70" s="124"/>
      <c r="UU70" s="124"/>
      <c r="UV70" s="124"/>
      <c r="UW70" s="124"/>
      <c r="UX70" s="125"/>
      <c r="UY70" s="126"/>
      <c r="UZ70" s="124"/>
      <c r="VA70" s="124"/>
      <c r="VB70" s="127"/>
      <c r="VC70" s="123"/>
      <c r="VD70" s="124"/>
      <c r="VE70" s="124"/>
      <c r="VF70" s="124"/>
      <c r="VG70" s="124"/>
      <c r="VH70" s="124"/>
      <c r="VI70" s="124"/>
      <c r="VJ70" s="124"/>
      <c r="VK70" s="124"/>
      <c r="VL70" s="124"/>
      <c r="VM70" s="124"/>
      <c r="VN70" s="125"/>
      <c r="VO70" s="301"/>
      <c r="VP70" s="151"/>
      <c r="VQ70" s="131">
        <f>SUM(UO70:VP70)</f>
      </c>
      <c r="VR70" s="121"/>
      <c r="VS70" s="122"/>
      <c r="VT70" s="123"/>
      <c r="VU70" s="124"/>
      <c r="VV70" s="124"/>
      <c r="VW70" s="124"/>
      <c r="VX70" s="124"/>
      <c r="VY70" s="124"/>
      <c r="VZ70" s="124"/>
      <c r="WA70" s="125"/>
      <c r="WB70" s="126"/>
      <c r="WC70" s="124"/>
      <c r="WD70" s="124"/>
      <c r="WE70" s="127"/>
      <c r="WF70" s="123"/>
      <c r="WG70" s="124"/>
      <c r="WH70" s="124"/>
      <c r="WI70" s="124"/>
      <c r="WJ70" s="124"/>
      <c r="WK70" s="124"/>
      <c r="WL70" s="124"/>
      <c r="WM70" s="124"/>
      <c r="WN70" s="124"/>
      <c r="WO70" s="124"/>
      <c r="WP70" s="124"/>
      <c r="WQ70" s="125"/>
      <c r="WR70" s="301"/>
      <c r="WS70" s="151"/>
      <c r="WT70" s="131">
        <f>SUM(VR70:WS70)</f>
      </c>
      <c r="WU70" s="150">
        <f>QB70+RE70+SH70+TK70+UN70+VQ70+WT70</f>
      </c>
      <c r="WV70" s="302">
        <f>(COUNTIF(OZ70:WT70,"H")+COUNTIF(OZ70:WT70,"S")+COUNTIF(OZ70:WT70,"L")+COUNTIF(OZ70:WT70,"E")+COUNTIF(OZ70:WT70,"C"))/2</f>
      </c>
      <c r="WW70" s="131">
        <f>WU70+WV70</f>
      </c>
      <c r="WX70" s="374"/>
      <c r="WY70" s="375"/>
      <c r="WZ70" s="15"/>
      <c r="XA70" s="25">
        <v>0.5</v>
      </c>
      <c r="XB70" s="25">
        <v>0.5</v>
      </c>
      <c r="XC70" s="25">
        <v>0.5</v>
      </c>
      <c r="XD70" s="25">
        <v>0.5</v>
      </c>
      <c r="XE70" s="25">
        <v>0.5</v>
      </c>
      <c r="XF70" s="25">
        <v>0.5</v>
      </c>
      <c r="XG70" s="418">
        <v>0.5</v>
      </c>
      <c r="XH70" s="412"/>
      <c r="XI70" s="19"/>
      <c r="XJ70" s="25">
        <v>0.5</v>
      </c>
      <c r="XK70" s="419">
        <v>0.5</v>
      </c>
      <c r="XL70" s="420">
        <v>0.5</v>
      </c>
      <c r="XM70" s="25">
        <v>0.5</v>
      </c>
      <c r="XN70" s="25">
        <v>0.5</v>
      </c>
      <c r="XO70" s="25">
        <v>0.5</v>
      </c>
      <c r="XP70" s="25">
        <v>0.5</v>
      </c>
      <c r="XQ70" s="25">
        <v>0.5</v>
      </c>
      <c r="XR70" s="25">
        <v>0.5</v>
      </c>
      <c r="XS70" s="19"/>
      <c r="XT70" s="19"/>
      <c r="XU70" s="19"/>
      <c r="XV70" s="19"/>
      <c r="XW70" s="414"/>
      <c r="XX70" s="407"/>
      <c r="XY70" s="408"/>
      <c r="XZ70" s="131">
        <f>SUM(WX70:XY70)</f>
      </c>
      <c r="YA70" s="374"/>
      <c r="YB70" s="375"/>
      <c r="YC70" s="15"/>
      <c r="YD70" s="25">
        <v>0.5</v>
      </c>
      <c r="YE70" s="25">
        <v>0.5</v>
      </c>
      <c r="YF70" s="25">
        <v>0.5</v>
      </c>
      <c r="YG70" s="25">
        <v>0.5</v>
      </c>
      <c r="YH70" s="25">
        <v>0.5</v>
      </c>
      <c r="YI70" s="25">
        <v>0.5</v>
      </c>
      <c r="YJ70" s="418">
        <v>0.5</v>
      </c>
      <c r="YK70" s="412"/>
      <c r="YL70" s="19"/>
      <c r="YM70" s="25">
        <v>0.5</v>
      </c>
      <c r="YN70" s="419">
        <v>0.5</v>
      </c>
      <c r="YO70" s="420">
        <v>0.5</v>
      </c>
      <c r="YP70" s="25">
        <v>0.5</v>
      </c>
      <c r="YQ70" s="25">
        <v>0.5</v>
      </c>
      <c r="YR70" s="25">
        <v>0.5</v>
      </c>
      <c r="YS70" s="25">
        <v>0.5</v>
      </c>
      <c r="YT70" s="25">
        <v>0.5</v>
      </c>
      <c r="YU70" s="25">
        <v>0.5</v>
      </c>
      <c r="YV70" s="19"/>
      <c r="YW70" s="19"/>
      <c r="YX70" s="19"/>
      <c r="YY70" s="19"/>
      <c r="YZ70" s="414"/>
      <c r="ZA70" s="407"/>
      <c r="ZB70" s="408"/>
      <c r="ZC70" s="131">
        <f>SUM(YA70:ZB70)</f>
      </c>
      <c r="ZD70" s="374"/>
      <c r="ZE70" s="375"/>
      <c r="ZF70" s="15"/>
      <c r="ZG70" s="25">
        <v>0.5</v>
      </c>
      <c r="ZH70" s="25">
        <v>0.5</v>
      </c>
      <c r="ZI70" s="25">
        <v>0.5</v>
      </c>
      <c r="ZJ70" s="25">
        <v>0.5</v>
      </c>
      <c r="ZK70" s="25">
        <v>0.5</v>
      </c>
      <c r="ZL70" s="25">
        <v>0.5</v>
      </c>
      <c r="ZM70" s="418">
        <v>0.5</v>
      </c>
      <c r="ZN70" s="412"/>
      <c r="ZO70" s="19"/>
      <c r="ZP70" s="25">
        <v>0.5</v>
      </c>
      <c r="ZQ70" s="419">
        <v>0.5</v>
      </c>
      <c r="ZR70" s="420">
        <v>0.5</v>
      </c>
      <c r="ZS70" s="25">
        <v>0.5</v>
      </c>
      <c r="ZT70" s="25">
        <v>0.5</v>
      </c>
      <c r="ZU70" s="25">
        <v>0.5</v>
      </c>
      <c r="ZV70" s="25">
        <v>0.5</v>
      </c>
      <c r="ZW70" s="25">
        <v>0.5</v>
      </c>
      <c r="ZX70" s="25">
        <v>0.5</v>
      </c>
      <c r="ZY70" s="19"/>
      <c r="ZZ70" s="19"/>
      <c r="AAA70" s="19"/>
      <c r="AAB70" s="19"/>
      <c r="AAC70" s="414"/>
      <c r="AAD70" s="407"/>
      <c r="AAE70" s="408"/>
      <c r="AAF70" s="131">
        <f>SUM(ZD70:AAE70)</f>
      </c>
      <c r="AAG70" s="374"/>
      <c r="AAH70" s="375"/>
      <c r="AAI70" s="15"/>
      <c r="AAJ70" s="25">
        <v>0.5</v>
      </c>
      <c r="AAK70" s="25">
        <v>0.5</v>
      </c>
      <c r="AAL70" s="25">
        <v>0.5</v>
      </c>
      <c r="AAM70" s="25">
        <v>0.5</v>
      </c>
      <c r="AAN70" s="25">
        <v>0.5</v>
      </c>
      <c r="AAO70" s="25">
        <v>0.5</v>
      </c>
      <c r="AAP70" s="418">
        <v>0.5</v>
      </c>
      <c r="AAQ70" s="412"/>
      <c r="AAR70" s="19"/>
      <c r="AAS70" s="25">
        <v>0.5</v>
      </c>
      <c r="AAT70" s="419">
        <v>0.5</v>
      </c>
      <c r="AAU70" s="420">
        <v>0.5</v>
      </c>
      <c r="AAV70" s="25">
        <v>0.5</v>
      </c>
      <c r="AAW70" s="25">
        <v>0.5</v>
      </c>
      <c r="AAX70" s="25">
        <v>0.5</v>
      </c>
      <c r="AAY70" s="25">
        <v>0.5</v>
      </c>
      <c r="AAZ70" s="25">
        <v>0.5</v>
      </c>
      <c r="ABA70" s="25">
        <v>0.5</v>
      </c>
      <c r="ABB70" s="19"/>
      <c r="ABC70" s="19"/>
      <c r="ABD70" s="19"/>
      <c r="ABE70" s="19"/>
      <c r="ABF70" s="414"/>
      <c r="ABG70" s="407"/>
      <c r="ABH70" s="408"/>
      <c r="ABI70" s="131">
        <f>SUM(AAG70:ABH70)</f>
      </c>
      <c r="ABJ70" s="374"/>
      <c r="ABK70" s="375"/>
      <c r="ABL70" s="15"/>
      <c r="ABM70" s="25">
        <v>0.5</v>
      </c>
      <c r="ABN70" s="25">
        <v>0.5</v>
      </c>
      <c r="ABO70" s="25">
        <v>0.5</v>
      </c>
      <c r="ABP70" s="25">
        <v>0.5</v>
      </c>
      <c r="ABQ70" s="25">
        <v>0.5</v>
      </c>
      <c r="ABR70" s="25">
        <v>0.5</v>
      </c>
      <c r="ABS70" s="418">
        <v>0.5</v>
      </c>
      <c r="ABT70" s="412"/>
      <c r="ABU70" s="19"/>
      <c r="ABV70" s="25">
        <v>0.5</v>
      </c>
      <c r="ABW70" s="419">
        <v>0.5</v>
      </c>
      <c r="ABX70" s="420">
        <v>0.5</v>
      </c>
      <c r="ABY70" s="25">
        <v>0.5</v>
      </c>
      <c r="ABZ70" s="25">
        <v>0.5</v>
      </c>
      <c r="ACA70" s="25">
        <v>0.5</v>
      </c>
      <c r="ACB70" s="25">
        <v>0.5</v>
      </c>
      <c r="ACC70" s="25">
        <v>0.5</v>
      </c>
      <c r="ACD70" s="25">
        <v>0.5</v>
      </c>
      <c r="ACE70" s="19"/>
      <c r="ACF70" s="19"/>
      <c r="ACG70" s="19"/>
      <c r="ACH70" s="19"/>
      <c r="ACI70" s="414"/>
      <c r="ACJ70" s="407"/>
      <c r="ACK70" s="408"/>
      <c r="ACL70" s="131">
        <f>SUM(ABJ70:ACK70)</f>
      </c>
      <c r="ACM70" s="121"/>
      <c r="ACN70" s="122"/>
      <c r="ACO70" s="123"/>
      <c r="ACP70" s="124"/>
      <c r="ACQ70" s="124"/>
      <c r="ACR70" s="124"/>
      <c r="ACS70" s="124"/>
      <c r="ACT70" s="124"/>
      <c r="ACU70" s="124"/>
      <c r="ACV70" s="125"/>
      <c r="ACW70" s="126"/>
      <c r="ACX70" s="124"/>
      <c r="ACY70" s="124"/>
      <c r="ACZ70" s="127"/>
      <c r="ADA70" s="123"/>
      <c r="ADB70" s="124"/>
      <c r="ADC70" s="124"/>
      <c r="ADD70" s="124"/>
      <c r="ADE70" s="124"/>
      <c r="ADF70" s="124"/>
      <c r="ADG70" s="124"/>
      <c r="ADH70" s="124"/>
      <c r="ADI70" s="124"/>
      <c r="ADJ70" s="124"/>
      <c r="ADK70" s="124"/>
      <c r="ADL70" s="125"/>
      <c r="ADM70" s="301"/>
      <c r="ADN70" s="151"/>
      <c r="ADO70" s="131">
        <f>SUM(ACM70:ADN70)</f>
      </c>
      <c r="ADP70" s="121"/>
      <c r="ADQ70" s="122"/>
      <c r="ADR70" s="123"/>
      <c r="ADS70" s="124"/>
      <c r="ADT70" s="124"/>
      <c r="ADU70" s="124"/>
      <c r="ADV70" s="124"/>
      <c r="ADW70" s="124"/>
      <c r="ADX70" s="124"/>
      <c r="ADY70" s="125"/>
      <c r="ADZ70" s="126"/>
      <c r="AEA70" s="124"/>
      <c r="AEB70" s="124"/>
      <c r="AEC70" s="127"/>
      <c r="AED70" s="123"/>
      <c r="AEE70" s="124"/>
      <c r="AEF70" s="124"/>
      <c r="AEG70" s="124"/>
      <c r="AEH70" s="124"/>
      <c r="AEI70" s="124"/>
      <c r="AEJ70" s="124"/>
      <c r="AEK70" s="124"/>
      <c r="AEL70" s="124"/>
      <c r="AEM70" s="124"/>
      <c r="AEN70" s="124"/>
      <c r="AEO70" s="125"/>
      <c r="AEP70" s="301"/>
      <c r="AEQ70" s="151"/>
      <c r="AER70" s="131">
        <f>SUM(ADP70:AEQ70)</f>
      </c>
      <c r="AES70" s="150">
        <f>XZ70+ZC70+AAF70+ABI70+ACL70+ADO70+AER70</f>
      </c>
      <c r="AET70" s="302">
        <f>(COUNTIF(WX70:AER70,"H")+COUNTIF(WX70:AER70,"S")+COUNTIF(WX70:AER70,"L")+COUNTIF(WX70:AER70,"E")+COUNTIF(WX70:AER70,"C"))/2</f>
      </c>
      <c r="AEU70" s="131">
        <f>AES70+AET70</f>
      </c>
      <c r="AEV70" s="374"/>
      <c r="AEW70" s="375"/>
      <c r="AEX70" s="15"/>
      <c r="AEY70" s="17">
        <v>0.5</v>
      </c>
      <c r="AEZ70" s="17">
        <v>0.5</v>
      </c>
      <c r="AFA70" s="17">
        <v>0.5</v>
      </c>
      <c r="AFB70" s="17">
        <v>0.5</v>
      </c>
      <c r="AFC70" s="17">
        <v>0.5</v>
      </c>
      <c r="AFD70" s="17">
        <v>0.5</v>
      </c>
      <c r="AFE70" s="406">
        <v>0.5</v>
      </c>
      <c r="AFF70" s="412"/>
      <c r="AFG70" s="19"/>
      <c r="AFH70" s="17">
        <v>0.5</v>
      </c>
      <c r="AFI70" s="415">
        <v>0.5</v>
      </c>
      <c r="AFJ70" s="405">
        <v>0.5</v>
      </c>
      <c r="AFK70" s="17">
        <v>0.5</v>
      </c>
      <c r="AFL70" s="17">
        <v>0.5</v>
      </c>
      <c r="AFM70" s="17">
        <v>0.5</v>
      </c>
      <c r="AFN70" s="17">
        <v>0.5</v>
      </c>
      <c r="AFO70" s="17">
        <v>0.5</v>
      </c>
      <c r="AFP70" s="17">
        <v>0.5</v>
      </c>
      <c r="AFQ70" s="19"/>
      <c r="AFR70" s="19"/>
      <c r="AFS70" s="19"/>
      <c r="AFT70" s="19"/>
      <c r="AFU70" s="414"/>
      <c r="AFV70" s="407"/>
      <c r="AFW70" s="408"/>
      <c r="AFX70" s="131">
        <f>SUM(AEV70:AFW70)</f>
      </c>
      <c r="AFY70" s="374"/>
      <c r="AFZ70" s="375"/>
      <c r="AGA70" s="15"/>
      <c r="AGB70" s="17">
        <v>0.5</v>
      </c>
      <c r="AGC70" s="17">
        <v>0.5</v>
      </c>
      <c r="AGD70" s="17">
        <v>0.5</v>
      </c>
      <c r="AGE70" s="17">
        <v>0.5</v>
      </c>
      <c r="AGF70" s="17">
        <v>0.5</v>
      </c>
      <c r="AGG70" s="17">
        <v>0.5</v>
      </c>
      <c r="AGH70" s="406">
        <v>0.5</v>
      </c>
      <c r="AGI70" s="412"/>
      <c r="AGJ70" s="19"/>
      <c r="AGK70" s="17">
        <v>0.5</v>
      </c>
      <c r="AGL70" s="415">
        <v>0.5</v>
      </c>
      <c r="AGM70" s="405">
        <v>0.5</v>
      </c>
      <c r="AGN70" s="17">
        <v>0.5</v>
      </c>
      <c r="AGO70" s="17">
        <v>0.5</v>
      </c>
      <c r="AGP70" s="17">
        <v>0.5</v>
      </c>
      <c r="AGQ70" s="17">
        <v>0.5</v>
      </c>
      <c r="AGR70" s="17">
        <v>0.5</v>
      </c>
      <c r="AGS70" s="17">
        <v>0.5</v>
      </c>
      <c r="AGT70" s="19"/>
      <c r="AGU70" s="19"/>
      <c r="AGV70" s="19"/>
      <c r="AGW70" s="19"/>
      <c r="AGX70" s="414"/>
      <c r="AGY70" s="407"/>
      <c r="AGZ70" s="408"/>
      <c r="AHA70" s="131">
        <f>SUM(AFY70:AGZ70)</f>
      </c>
      <c r="AHB70" s="374"/>
      <c r="AHC70" s="375"/>
      <c r="AHD70" s="15"/>
      <c r="AHE70" s="17">
        <v>0.5</v>
      </c>
      <c r="AHF70" s="17">
        <v>0.5</v>
      </c>
      <c r="AHG70" s="17">
        <v>0.5</v>
      </c>
      <c r="AHH70" s="17">
        <v>0.5</v>
      </c>
      <c r="AHI70" s="17">
        <v>0.5</v>
      </c>
      <c r="AHJ70" s="17">
        <v>0.5</v>
      </c>
      <c r="AHK70" s="406">
        <v>0.5</v>
      </c>
      <c r="AHL70" s="412"/>
      <c r="AHM70" s="19"/>
      <c r="AHN70" s="17">
        <v>0.5</v>
      </c>
      <c r="AHO70" s="415">
        <v>0.5</v>
      </c>
      <c r="AHP70" s="405">
        <v>0.5</v>
      </c>
      <c r="AHQ70" s="17">
        <v>0.5</v>
      </c>
      <c r="AHR70" s="17">
        <v>0.5</v>
      </c>
      <c r="AHS70" s="17">
        <v>0.5</v>
      </c>
      <c r="AHT70" s="17">
        <v>0.5</v>
      </c>
      <c r="AHU70" s="17">
        <v>0.5</v>
      </c>
      <c r="AHV70" s="17">
        <v>0.5</v>
      </c>
      <c r="AHW70" s="19"/>
      <c r="AHX70" s="19"/>
      <c r="AHY70" s="19"/>
      <c r="AHZ70" s="19"/>
      <c r="AIA70" s="414"/>
      <c r="AIB70" s="407"/>
      <c r="AIC70" s="408"/>
      <c r="AID70" s="131">
        <f>SUM(AHB70:AIC70)</f>
      </c>
      <c r="AIE70" s="374"/>
      <c r="AIF70" s="375"/>
      <c r="AIG70" s="15"/>
      <c r="AIH70" s="17">
        <v>0.5</v>
      </c>
      <c r="AII70" s="17">
        <v>0.5</v>
      </c>
      <c r="AIJ70" s="17">
        <v>0.5</v>
      </c>
      <c r="AIK70" s="17">
        <v>0.5</v>
      </c>
      <c r="AIL70" s="17">
        <v>0.5</v>
      </c>
      <c r="AIM70" s="17">
        <v>0.5</v>
      </c>
      <c r="AIN70" s="406">
        <v>0.5</v>
      </c>
      <c r="AIO70" s="412"/>
      <c r="AIP70" s="19"/>
      <c r="AIQ70" s="17">
        <v>0.5</v>
      </c>
      <c r="AIR70" s="415">
        <v>0.5</v>
      </c>
      <c r="AIS70" s="405">
        <v>0.5</v>
      </c>
      <c r="AIT70" s="17">
        <v>0.5</v>
      </c>
      <c r="AIU70" s="17">
        <v>0.5</v>
      </c>
      <c r="AIV70" s="17">
        <v>0.5</v>
      </c>
      <c r="AIW70" s="17">
        <v>0.5</v>
      </c>
      <c r="AIX70" s="17">
        <v>0.5</v>
      </c>
      <c r="AIY70" s="17">
        <v>0.5</v>
      </c>
      <c r="AIZ70" s="19"/>
      <c r="AJA70" s="19"/>
      <c r="AJB70" s="19"/>
      <c r="AJC70" s="19"/>
      <c r="AJD70" s="414"/>
      <c r="AJE70" s="407"/>
      <c r="AJF70" s="408"/>
      <c r="AJG70" s="131">
        <f>SUM(AIE70:AJF70)</f>
      </c>
      <c r="AJH70" s="374"/>
      <c r="AJI70" s="375"/>
      <c r="AJJ70" s="15"/>
      <c r="AJK70" s="17">
        <v>0.5</v>
      </c>
      <c r="AJL70" s="17">
        <v>0.5</v>
      </c>
      <c r="AJM70" s="17">
        <v>0.5</v>
      </c>
      <c r="AJN70" s="17">
        <v>0.5</v>
      </c>
      <c r="AJO70" s="17">
        <v>0.5</v>
      </c>
      <c r="AJP70" s="17">
        <v>0.5</v>
      </c>
      <c r="AJQ70" s="406">
        <v>0.5</v>
      </c>
      <c r="AJR70" s="412"/>
      <c r="AJS70" s="19"/>
      <c r="AJT70" s="17">
        <v>0.5</v>
      </c>
      <c r="AJU70" s="415">
        <v>0.5</v>
      </c>
      <c r="AJV70" s="405">
        <v>0.5</v>
      </c>
      <c r="AJW70" s="17">
        <v>0.5</v>
      </c>
      <c r="AJX70" s="17">
        <v>0.5</v>
      </c>
      <c r="AJY70" s="17">
        <v>0.5</v>
      </c>
      <c r="AJZ70" s="17">
        <v>0.5</v>
      </c>
      <c r="AKA70" s="17">
        <v>0.5</v>
      </c>
      <c r="AKB70" s="17">
        <v>0.5</v>
      </c>
      <c r="AKC70" s="19"/>
      <c r="AKD70" s="19"/>
      <c r="AKE70" s="19"/>
      <c r="AKF70" s="19"/>
      <c r="AKG70" s="414"/>
      <c r="AKH70" s="407"/>
      <c r="AKI70" s="408"/>
      <c r="AKJ70" s="131">
        <f>SUM(AJH70:AKI70)</f>
      </c>
      <c r="AKK70" s="121"/>
      <c r="AKL70" s="122"/>
      <c r="AKM70" s="123"/>
      <c r="AKN70" s="124"/>
      <c r="AKO70" s="124"/>
      <c r="AKP70" s="124"/>
      <c r="AKQ70" s="124"/>
      <c r="AKR70" s="124"/>
      <c r="AKS70" s="124"/>
      <c r="AKT70" s="125"/>
      <c r="AKU70" s="126"/>
      <c r="AKV70" s="124"/>
      <c r="AKW70" s="124"/>
      <c r="AKX70" s="127"/>
      <c r="AKY70" s="123"/>
      <c r="AKZ70" s="124"/>
      <c r="ALA70" s="124"/>
      <c r="ALB70" s="124"/>
      <c r="ALC70" s="124"/>
      <c r="ALD70" s="124"/>
      <c r="ALE70" s="124"/>
      <c r="ALF70" s="124"/>
      <c r="ALG70" s="124"/>
      <c r="ALH70" s="124"/>
      <c r="ALI70" s="124"/>
      <c r="ALJ70" s="125"/>
      <c r="ALK70" s="301"/>
      <c r="ALL70" s="151"/>
      <c r="ALM70" s="131">
        <f>SUM(AKK70:ALL70)</f>
      </c>
      <c r="ALN70" s="121"/>
      <c r="ALO70" s="122"/>
      <c r="ALP70" s="123"/>
      <c r="ALQ70" s="124"/>
      <c r="ALR70" s="124"/>
      <c r="ALS70" s="124"/>
      <c r="ALT70" s="124"/>
      <c r="ALU70" s="124"/>
      <c r="ALV70" s="124"/>
      <c r="ALW70" s="125"/>
      <c r="ALX70" s="126"/>
      <c r="ALY70" s="124"/>
      <c r="ALZ70" s="124"/>
      <c r="AMA70" s="127"/>
      <c r="AMB70" s="123"/>
      <c r="AMC70" s="124"/>
      <c r="AMD70" s="124"/>
      <c r="AME70" s="124"/>
      <c r="AMF70" s="124"/>
      <c r="AMG70" s="124"/>
      <c r="AMH70" s="124"/>
      <c r="AMI70" s="124"/>
      <c r="AMJ70" s="124"/>
      <c r="AMK70" s="124"/>
      <c r="AML70" s="124"/>
      <c r="AMM70" s="125"/>
      <c r="AMN70" s="301"/>
      <c r="AMO70" s="151"/>
      <c r="AMP70" s="131">
        <f>SUM(ALN70:AMO70)</f>
      </c>
      <c r="AMQ70" s="150">
        <f>AFX70+AHA70+AID70+AJG70+AKJ70+ALM70+AMP70</f>
      </c>
      <c r="AMR70" s="302">
        <f>(COUNTIF(AEV70:AMP70,"H")+COUNTIF(AEV70:AMP70,"S")+COUNTIF(AEV70:AMP70,"L")+COUNTIF(AEV70:AMP70,"E")+COUNTIF(AEV70:AMP70,"C"))/2</f>
      </c>
      <c r="AMS70" s="131">
        <f>AMQ70+AMR70</f>
      </c>
      <c r="AMT70" s="4"/>
      <c r="AMU70" s="4"/>
      <c r="AMV70" s="4"/>
      <c r="AMW70" s="4"/>
      <c r="AMX70" s="4"/>
      <c r="AMY70" s="4"/>
      <c r="AMZ70" s="4"/>
      <c r="ANA70" s="4"/>
      <c r="ANB70" s="4"/>
      <c r="ANC70" s="4"/>
      <c r="AND70" s="4"/>
      <c r="ANE70" s="4"/>
      <c r="ANF70" s="4"/>
      <c r="ANG70" s="4"/>
      <c r="ANH70" s="4"/>
      <c r="ANI70" s="4"/>
      <c r="ANJ70" s="13"/>
      <c r="ANK70" s="13"/>
      <c r="ANL70" s="4"/>
      <c r="ANM70" s="4"/>
      <c r="ANN70" s="4"/>
      <c r="ANO70" s="4"/>
      <c r="ANP70" s="4"/>
      <c r="ANQ70" s="4"/>
      <c r="ANR70" s="4"/>
      <c r="ANS70" s="4"/>
      <c r="ANT70" s="4"/>
      <c r="ANU70" s="4"/>
      <c r="ANV70" s="4"/>
      <c r="ANW70" s="4"/>
      <c r="ANX70" s="4"/>
      <c r="ANY70" s="4"/>
      <c r="ANZ70" s="4"/>
      <c r="AOA70" s="4"/>
      <c r="AOB70" s="4"/>
      <c r="AOC70" s="4"/>
      <c r="AOD70" s="4"/>
      <c r="AOE70" s="4"/>
      <c r="AOF70" s="4"/>
      <c r="AOG70" s="4"/>
      <c r="AOH70" s="4"/>
      <c r="AOI70" s="4"/>
      <c r="AOJ70" s="4"/>
      <c r="AOK70" s="4"/>
      <c r="AOL70" s="4"/>
      <c r="AOM70" s="4"/>
      <c r="AON70" s="4"/>
      <c r="AOO70" s="4"/>
      <c r="AOP70" s="4"/>
      <c r="AOQ70" s="4"/>
      <c r="AOR70" s="4"/>
      <c r="AOS70" s="4"/>
      <c r="AOT70" s="4"/>
      <c r="AOU70" s="4"/>
      <c r="AOV70" s="4"/>
      <c r="AOW70" s="4"/>
      <c r="AOX70" s="4"/>
      <c r="AOY70" s="4"/>
      <c r="AOZ70" s="4"/>
      <c r="APA70" s="4"/>
      <c r="APB70" s="4"/>
      <c r="APC70" s="4"/>
      <c r="APD70" s="4"/>
      <c r="APE70" s="4"/>
      <c r="APF70" s="4"/>
      <c r="APG70" s="4"/>
      <c r="APH70" s="4"/>
      <c r="API70" s="4"/>
      <c r="APJ70" s="4"/>
      <c r="APK70" s="4"/>
      <c r="APL70" s="4"/>
      <c r="APM70" s="4"/>
      <c r="APN70" s="4"/>
      <c r="APO70" s="4"/>
      <c r="APP70" s="4"/>
      <c r="APQ70" s="4"/>
      <c r="APR70" s="4"/>
      <c r="APS70" s="4"/>
      <c r="APT70" s="4"/>
      <c r="APU70" s="4"/>
      <c r="APV70" s="4"/>
      <c r="APW70" s="4"/>
      <c r="APX70" s="4"/>
      <c r="APY70" s="4"/>
      <c r="APZ70" s="4"/>
      <c r="AQA70" s="4"/>
      <c r="AQB70" s="4"/>
      <c r="AQC70" s="4"/>
      <c r="AQD70" s="4"/>
      <c r="AQE70" s="4"/>
      <c r="AQF70" s="4"/>
      <c r="AQG70" s="4"/>
      <c r="AQH70" s="4"/>
      <c r="AQI70" s="4"/>
      <c r="AQJ70" s="4"/>
      <c r="AQK70" s="4"/>
      <c r="AQL70" s="4"/>
      <c r="AQM70" s="4"/>
      <c r="AQN70" s="4"/>
      <c r="AQO70" s="4"/>
      <c r="AQP70" s="4"/>
      <c r="AQQ70" s="4"/>
      <c r="AQR70" s="4"/>
      <c r="AQS70" s="4"/>
      <c r="AQT70" s="4"/>
      <c r="AQU70" s="4"/>
      <c r="AQV70" s="4"/>
      <c r="AQW70" s="4"/>
      <c r="AQX70" s="4"/>
      <c r="AQY70" s="4"/>
      <c r="AQZ70" s="4"/>
      <c r="ARA70" s="4"/>
      <c r="ARB70" s="4"/>
      <c r="ARC70" s="4"/>
      <c r="ARD70" s="4"/>
      <c r="ARE70" s="4"/>
      <c r="ARF70" s="4"/>
      <c r="ARG70" s="4"/>
      <c r="ARH70" s="4"/>
      <c r="ARI70" s="4"/>
      <c r="ARJ70" s="4"/>
      <c r="ARK70" s="4"/>
      <c r="ARL70" s="4"/>
      <c r="ARM70" s="4"/>
      <c r="ARN70" s="4"/>
      <c r="ARO70" s="4"/>
      <c r="ARP70" s="4"/>
      <c r="ARQ70" s="4"/>
      <c r="ARR70" s="4"/>
      <c r="ARS70" s="4"/>
      <c r="ART70" s="4"/>
      <c r="ARU70" s="4"/>
      <c r="ARV70" s="4"/>
      <c r="ARW70" s="4"/>
      <c r="ARX70" s="4"/>
      <c r="ARY70" s="4"/>
      <c r="ARZ70" s="4"/>
      <c r="ASA70" s="4"/>
      <c r="ASB70" s="4"/>
      <c r="ASC70" s="4"/>
      <c r="ASD70" s="4"/>
      <c r="ASE70" s="4"/>
      <c r="ASF70" s="4"/>
      <c r="ASG70" s="4"/>
      <c r="ASH70" s="4"/>
      <c r="ASI70" s="4"/>
      <c r="ASJ70" s="4"/>
      <c r="ASK70" s="4"/>
      <c r="ASL70" s="4"/>
      <c r="ASM70" s="4"/>
      <c r="ASN70" s="4"/>
      <c r="ASO70" s="4"/>
      <c r="ASP70" s="4"/>
      <c r="ASQ70" s="4"/>
      <c r="ASR70" s="4"/>
      <c r="ASS70" s="4"/>
      <c r="AST70" s="4"/>
      <c r="ASU70" s="4"/>
    </row>
    <row r="71" ht="15" customHeight="1" spans="1:1191" x14ac:dyDescent="0.25">
      <c r="A71" s="118"/>
      <c r="B71" s="367" t="s">
        <v>109</v>
      </c>
      <c r="C71" s="289" t="s">
        <v>55</v>
      </c>
      <c r="D71" s="121"/>
      <c r="E71" s="122"/>
      <c r="F71" s="123"/>
      <c r="G71" s="124"/>
      <c r="H71" s="124"/>
      <c r="I71" s="124"/>
      <c r="J71" s="124"/>
      <c r="K71" s="124"/>
      <c r="L71" s="124"/>
      <c r="M71" s="125"/>
      <c r="N71" s="126"/>
      <c r="O71" s="124"/>
      <c r="P71" s="124"/>
      <c r="Q71" s="127"/>
      <c r="R71" s="123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5"/>
      <c r="AD71" s="301"/>
      <c r="AE71" s="151"/>
      <c r="AF71" s="131">
        <f>SUM(D71:AE71)</f>
      </c>
      <c r="AG71" s="121"/>
      <c r="AH71" s="122"/>
      <c r="AI71" s="123"/>
      <c r="AJ71" s="124"/>
      <c r="AK71" s="124"/>
      <c r="AL71" s="124"/>
      <c r="AM71" s="124"/>
      <c r="AN71" s="124"/>
      <c r="AO71" s="124"/>
      <c r="AP71" s="125"/>
      <c r="AQ71" s="126"/>
      <c r="AR71" s="124"/>
      <c r="AS71" s="124"/>
      <c r="AT71" s="127"/>
      <c r="AU71" s="123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5"/>
      <c r="BG71" s="301"/>
      <c r="BH71" s="151"/>
      <c r="BI71" s="131">
        <f>SUM(AG71:BH71)</f>
      </c>
      <c r="BJ71" s="121"/>
      <c r="BK71" s="122"/>
      <c r="BL71" s="123"/>
      <c r="BM71" s="124"/>
      <c r="BN71" s="124"/>
      <c r="BO71" s="124"/>
      <c r="BP71" s="124"/>
      <c r="BQ71" s="124"/>
      <c r="BR71" s="124"/>
      <c r="BS71" s="125"/>
      <c r="BT71" s="126"/>
      <c r="BU71" s="124"/>
      <c r="BV71" s="124"/>
      <c r="BW71" s="127"/>
      <c r="BX71" s="123"/>
      <c r="BY71" s="124"/>
      <c r="BZ71" s="124"/>
      <c r="CA71" s="124"/>
      <c r="CB71" s="124"/>
      <c r="CC71" s="124"/>
      <c r="CD71" s="124"/>
      <c r="CE71" s="124"/>
      <c r="CF71" s="124"/>
      <c r="CG71" s="124"/>
      <c r="CH71" s="124"/>
      <c r="CI71" s="125"/>
      <c r="CJ71" s="301"/>
      <c r="CK71" s="151"/>
      <c r="CL71" s="131">
        <f>SUM(BJ71:CK71)</f>
      </c>
      <c r="CM71" s="121"/>
      <c r="CN71" s="122"/>
      <c r="CO71" s="123"/>
      <c r="CP71" s="124"/>
      <c r="CQ71" s="124"/>
      <c r="CR71" s="124"/>
      <c r="CS71" s="124"/>
      <c r="CT71" s="124"/>
      <c r="CU71" s="124"/>
      <c r="CV71" s="125"/>
      <c r="CW71" s="126"/>
      <c r="CX71" s="124"/>
      <c r="CY71" s="124"/>
      <c r="CZ71" s="127"/>
      <c r="DA71" s="123"/>
      <c r="DB71" s="124"/>
      <c r="DC71" s="124"/>
      <c r="DD71" s="124"/>
      <c r="DE71" s="124"/>
      <c r="DF71" s="124"/>
      <c r="DG71" s="124"/>
      <c r="DH71" s="124"/>
      <c r="DI71" s="124"/>
      <c r="DJ71" s="124"/>
      <c r="DK71" s="124"/>
      <c r="DL71" s="125"/>
      <c r="DM71" s="301"/>
      <c r="DN71" s="151"/>
      <c r="DO71" s="131">
        <f>SUM(CM71:DN71)</f>
      </c>
      <c r="DP71" s="121"/>
      <c r="DQ71" s="122"/>
      <c r="DR71" s="123"/>
      <c r="DS71" s="124"/>
      <c r="DT71" s="124"/>
      <c r="DU71" s="124"/>
      <c r="DV71" s="124"/>
      <c r="DW71" s="124"/>
      <c r="DX71" s="124"/>
      <c r="DY71" s="125"/>
      <c r="DZ71" s="126"/>
      <c r="EA71" s="124"/>
      <c r="EB71" s="124"/>
      <c r="EC71" s="127"/>
      <c r="ED71" s="123"/>
      <c r="EE71" s="124"/>
      <c r="EF71" s="124"/>
      <c r="EG71" s="124"/>
      <c r="EH71" s="124"/>
      <c r="EI71" s="124"/>
      <c r="EJ71" s="124"/>
      <c r="EK71" s="124"/>
      <c r="EL71" s="124"/>
      <c r="EM71" s="124"/>
      <c r="EN71" s="124"/>
      <c r="EO71" s="125"/>
      <c r="EP71" s="301"/>
      <c r="EQ71" s="151"/>
      <c r="ER71" s="131">
        <f>SUM(DP71:EQ71)</f>
      </c>
      <c r="ES71" s="121"/>
      <c r="ET71" s="122"/>
      <c r="EU71" s="123"/>
      <c r="EV71" s="124"/>
      <c r="EW71" s="124"/>
      <c r="EX71" s="124"/>
      <c r="EY71" s="124"/>
      <c r="EZ71" s="124"/>
      <c r="FA71" s="124"/>
      <c r="FB71" s="125"/>
      <c r="FC71" s="126"/>
      <c r="FD71" s="124"/>
      <c r="FE71" s="124"/>
      <c r="FF71" s="127"/>
      <c r="FG71" s="123"/>
      <c r="FH71" s="124"/>
      <c r="FI71" s="124"/>
      <c r="FJ71" s="124"/>
      <c r="FK71" s="124"/>
      <c r="FL71" s="124"/>
      <c r="FM71" s="124"/>
      <c r="FN71" s="124"/>
      <c r="FO71" s="124"/>
      <c r="FP71" s="124"/>
      <c r="FQ71" s="124"/>
      <c r="FR71" s="125"/>
      <c r="FS71" s="301"/>
      <c r="FT71" s="151"/>
      <c r="FU71" s="131">
        <f>SUM(ES71:FT71)</f>
      </c>
      <c r="FV71" s="121"/>
      <c r="FW71" s="122"/>
      <c r="FX71" s="123"/>
      <c r="FY71" s="124"/>
      <c r="FZ71" s="124"/>
      <c r="GA71" s="124"/>
      <c r="GB71" s="124"/>
      <c r="GC71" s="124"/>
      <c r="GD71" s="124"/>
      <c r="GE71" s="125"/>
      <c r="GF71" s="126"/>
      <c r="GG71" s="124"/>
      <c r="GH71" s="124"/>
      <c r="GI71" s="127"/>
      <c r="GJ71" s="123"/>
      <c r="GK71" s="124"/>
      <c r="GL71" s="124"/>
      <c r="GM71" s="124"/>
      <c r="GN71" s="124"/>
      <c r="GO71" s="124"/>
      <c r="GP71" s="124"/>
      <c r="GQ71" s="124"/>
      <c r="GR71" s="124"/>
      <c r="GS71" s="124"/>
      <c r="GT71" s="124"/>
      <c r="GU71" s="125"/>
      <c r="GV71" s="301"/>
      <c r="GW71" s="151"/>
      <c r="GX71" s="131">
        <f>SUM(FV71:GW71)</f>
      </c>
      <c r="GY71" s="150">
        <f>AF71+BI71+CL71+DO71+ER71+FU71+GX71</f>
      </c>
      <c r="GZ71" s="302">
        <f>(COUNTIF(D71:GX71,"H")+COUNTIF(D71:GX71,"S")+COUNTIF(D71:GX71,"L")+COUNTIF(D71:GX71,"E")+COUNTIF(D71:GX71,"C"))/2</f>
      </c>
      <c r="HA71" s="131">
        <f>GY71+GZ71</f>
      </c>
      <c r="HB71" s="374"/>
      <c r="HC71" s="375"/>
      <c r="HD71" s="15"/>
      <c r="HE71" s="18" t="s">
        <v>4</v>
      </c>
      <c r="HF71" s="18" t="s">
        <v>4</v>
      </c>
      <c r="HG71" s="18" t="s">
        <v>4</v>
      </c>
      <c r="HH71" s="18" t="s">
        <v>4</v>
      </c>
      <c r="HI71" s="18" t="s">
        <v>4</v>
      </c>
      <c r="HJ71" s="18" t="s">
        <v>4</v>
      </c>
      <c r="HK71" s="222" t="s">
        <v>4</v>
      </c>
      <c r="HL71" s="412"/>
      <c r="HM71" s="19"/>
      <c r="HN71" s="18" t="s">
        <v>4</v>
      </c>
      <c r="HO71" s="224" t="s">
        <v>4</v>
      </c>
      <c r="HP71" s="225" t="s">
        <v>4</v>
      </c>
      <c r="HQ71" s="18" t="s">
        <v>4</v>
      </c>
      <c r="HR71" s="18" t="s">
        <v>4</v>
      </c>
      <c r="HS71" s="18" t="s">
        <v>4</v>
      </c>
      <c r="HT71" s="18" t="s">
        <v>4</v>
      </c>
      <c r="HU71" s="18" t="s">
        <v>4</v>
      </c>
      <c r="HV71" s="18" t="s">
        <v>4</v>
      </c>
      <c r="HW71" s="19"/>
      <c r="HX71" s="19"/>
      <c r="HY71" s="19"/>
      <c r="HZ71" s="19"/>
      <c r="IA71" s="414"/>
      <c r="IB71" s="407"/>
      <c r="IC71" s="408"/>
      <c r="ID71" s="131">
        <f>SUM(HB71:IC71)</f>
      </c>
      <c r="IE71" s="374"/>
      <c r="IF71" s="375"/>
      <c r="IG71" s="15"/>
      <c r="IH71" s="18" t="s">
        <v>4</v>
      </c>
      <c r="II71" s="18" t="s">
        <v>4</v>
      </c>
      <c r="IJ71" s="18" t="s">
        <v>4</v>
      </c>
      <c r="IK71" s="18" t="s">
        <v>4</v>
      </c>
      <c r="IL71" s="18" t="s">
        <v>4</v>
      </c>
      <c r="IM71" s="18" t="s">
        <v>4</v>
      </c>
      <c r="IN71" s="222" t="s">
        <v>4</v>
      </c>
      <c r="IO71" s="412"/>
      <c r="IP71" s="19"/>
      <c r="IQ71" s="18" t="s">
        <v>4</v>
      </c>
      <c r="IR71" s="224" t="s">
        <v>4</v>
      </c>
      <c r="IS71" s="225" t="s">
        <v>4</v>
      </c>
      <c r="IT71" s="18" t="s">
        <v>4</v>
      </c>
      <c r="IU71" s="18" t="s">
        <v>4</v>
      </c>
      <c r="IV71" s="18" t="s">
        <v>4</v>
      </c>
      <c r="IW71" s="18" t="s">
        <v>4</v>
      </c>
      <c r="IX71" s="18" t="s">
        <v>4</v>
      </c>
      <c r="IY71" s="18" t="s">
        <v>4</v>
      </c>
      <c r="IZ71" s="19"/>
      <c r="JA71" s="19"/>
      <c r="JB71" s="19"/>
      <c r="JC71" s="19"/>
      <c r="JD71" s="414"/>
      <c r="JE71" s="407"/>
      <c r="JF71" s="408"/>
      <c r="JG71" s="131">
        <f>SUM(IE71:JF71)</f>
      </c>
      <c r="JH71" s="374"/>
      <c r="JI71" s="375"/>
      <c r="JJ71" s="15"/>
      <c r="JK71" s="19"/>
      <c r="JL71" s="19"/>
      <c r="JM71" s="19"/>
      <c r="JN71" s="19"/>
      <c r="JO71" s="19"/>
      <c r="JP71" s="143">
        <v>0.5</v>
      </c>
      <c r="JQ71" s="154">
        <v>0.5</v>
      </c>
      <c r="JR71" s="404">
        <v>0.5</v>
      </c>
      <c r="JS71" s="143">
        <v>0.5</v>
      </c>
      <c r="JT71" s="19"/>
      <c r="JU71" s="323"/>
      <c r="JV71" s="339">
        <v>0.5</v>
      </c>
      <c r="JW71" s="143">
        <v>0.5</v>
      </c>
      <c r="JX71" s="143">
        <v>0.5</v>
      </c>
      <c r="JY71" s="143">
        <v>0.5</v>
      </c>
      <c r="JZ71" s="143">
        <v>0.5</v>
      </c>
      <c r="KA71" s="143">
        <v>0.5</v>
      </c>
      <c r="KB71" s="143">
        <v>0.5</v>
      </c>
      <c r="KC71" s="143">
        <v>0.5</v>
      </c>
      <c r="KD71" s="143">
        <v>0.5</v>
      </c>
      <c r="KE71" s="143">
        <v>0.5</v>
      </c>
      <c r="KF71" s="143">
        <v>0.5</v>
      </c>
      <c r="KG71" s="154">
        <v>0.5</v>
      </c>
      <c r="KH71" s="407"/>
      <c r="KI71" s="408"/>
      <c r="KJ71" s="131">
        <f>SUM(JH71:KI71)</f>
      </c>
      <c r="KK71" s="374"/>
      <c r="KL71" s="375"/>
      <c r="KM71" s="15"/>
      <c r="KN71" s="19"/>
      <c r="KO71" s="19"/>
      <c r="KP71" s="19"/>
      <c r="KQ71" s="19"/>
      <c r="KR71" s="19"/>
      <c r="KS71" s="143">
        <v>0.5</v>
      </c>
      <c r="KT71" s="154">
        <v>0.5</v>
      </c>
      <c r="KU71" s="404">
        <v>0.5</v>
      </c>
      <c r="KV71" s="143">
        <v>0.5</v>
      </c>
      <c r="KW71" s="19"/>
      <c r="KX71" s="323"/>
      <c r="KY71" s="339">
        <v>0.5</v>
      </c>
      <c r="KZ71" s="143">
        <v>0.5</v>
      </c>
      <c r="LA71" s="143">
        <v>0.5</v>
      </c>
      <c r="LB71" s="143">
        <v>0.5</v>
      </c>
      <c r="LC71" s="143">
        <v>0.5</v>
      </c>
      <c r="LD71" s="143">
        <v>0.5</v>
      </c>
      <c r="LE71" s="143">
        <v>0.5</v>
      </c>
      <c r="LF71" s="143">
        <v>0.5</v>
      </c>
      <c r="LG71" s="143">
        <v>0.5</v>
      </c>
      <c r="LH71" s="143">
        <v>0.5</v>
      </c>
      <c r="LI71" s="143">
        <v>0.5</v>
      </c>
      <c r="LJ71" s="154">
        <v>0.5</v>
      </c>
      <c r="LK71" s="407"/>
      <c r="LL71" s="408"/>
      <c r="LM71" s="131">
        <f>SUM(KK71:LL71)</f>
      </c>
      <c r="LN71" s="374"/>
      <c r="LO71" s="375"/>
      <c r="LP71" s="15"/>
      <c r="LQ71" s="19"/>
      <c r="LR71" s="19"/>
      <c r="LS71" s="19"/>
      <c r="LT71" s="19"/>
      <c r="LU71" s="19"/>
      <c r="LV71" s="143">
        <v>0.5</v>
      </c>
      <c r="LW71" s="154">
        <v>0.5</v>
      </c>
      <c r="LX71" s="404">
        <v>0.5</v>
      </c>
      <c r="LY71" s="143">
        <v>0.5</v>
      </c>
      <c r="LZ71" s="19"/>
      <c r="MA71" s="323"/>
      <c r="MB71" s="339">
        <v>0.5</v>
      </c>
      <c r="MC71" s="143">
        <v>0.5</v>
      </c>
      <c r="MD71" s="143">
        <v>0.5</v>
      </c>
      <c r="ME71" s="143">
        <v>0.5</v>
      </c>
      <c r="MF71" s="143">
        <v>0.5</v>
      </c>
      <c r="MG71" s="143">
        <v>0.5</v>
      </c>
      <c r="MH71" s="143">
        <v>0.5</v>
      </c>
      <c r="MI71" s="143">
        <v>0.5</v>
      </c>
      <c r="MJ71" s="143">
        <v>0.5</v>
      </c>
      <c r="MK71" s="143">
        <v>0.5</v>
      </c>
      <c r="ML71" s="143">
        <v>0.5</v>
      </c>
      <c r="MM71" s="154">
        <v>0.5</v>
      </c>
      <c r="MN71" s="407"/>
      <c r="MO71" s="408"/>
      <c r="MP71" s="131">
        <f>SUM(LN71:MO71)</f>
      </c>
      <c r="MQ71" s="121"/>
      <c r="MR71" s="122"/>
      <c r="MS71" s="123"/>
      <c r="MT71" s="124"/>
      <c r="MU71" s="124"/>
      <c r="MV71" s="124"/>
      <c r="MW71" s="124"/>
      <c r="MX71" s="124"/>
      <c r="MY71" s="124"/>
      <c r="MZ71" s="125"/>
      <c r="NA71" s="126"/>
      <c r="NB71" s="124"/>
      <c r="NC71" s="124"/>
      <c r="ND71" s="127"/>
      <c r="NE71" s="123"/>
      <c r="NF71" s="124"/>
      <c r="NG71" s="124"/>
      <c r="NH71" s="124"/>
      <c r="NI71" s="124"/>
      <c r="NJ71" s="124"/>
      <c r="NK71" s="124"/>
      <c r="NL71" s="124"/>
      <c r="NM71" s="124"/>
      <c r="NN71" s="124"/>
      <c r="NO71" s="124"/>
      <c r="NP71" s="125"/>
      <c r="NQ71" s="301"/>
      <c r="NR71" s="151"/>
      <c r="NS71" s="131">
        <f>SUM(MQ71:NR71)</f>
      </c>
      <c r="NT71" s="121"/>
      <c r="NU71" s="122"/>
      <c r="NV71" s="123"/>
      <c r="NW71" s="124"/>
      <c r="NX71" s="124"/>
      <c r="NY71" s="124"/>
      <c r="NZ71" s="124"/>
      <c r="OA71" s="124"/>
      <c r="OB71" s="124"/>
      <c r="OC71" s="125"/>
      <c r="OD71" s="126"/>
      <c r="OE71" s="124"/>
      <c r="OF71" s="124"/>
      <c r="OG71" s="127"/>
      <c r="OH71" s="123"/>
      <c r="OI71" s="124"/>
      <c r="OJ71" s="124"/>
      <c r="OK71" s="124"/>
      <c r="OL71" s="124"/>
      <c r="OM71" s="124"/>
      <c r="ON71" s="124"/>
      <c r="OO71" s="124"/>
      <c r="OP71" s="124"/>
      <c r="OQ71" s="124"/>
      <c r="OR71" s="124"/>
      <c r="OS71" s="125"/>
      <c r="OT71" s="301"/>
      <c r="OU71" s="151"/>
      <c r="OV71" s="131">
        <f>SUM(NT71:OU71)</f>
      </c>
      <c r="OW71" s="150">
        <f>ID71+JG71+KJ71+LM71+MP71+NS71+OV71</f>
      </c>
      <c r="OX71" s="302">
        <f>(COUNTIF(HB71:OV71,"H")+COUNTIF(HB71:OV71,"S")+COUNTIF(HB71:OV71,"L")+COUNTIF(HB71:OV71,"E")+COUNTIF(HB71:OV71,"C"))/2</f>
      </c>
      <c r="OY71" s="131">
        <f>OW71+OX71</f>
      </c>
      <c r="OZ71" s="374"/>
      <c r="PA71" s="375"/>
      <c r="PB71" s="15"/>
      <c r="PC71" s="19"/>
      <c r="PD71" s="19"/>
      <c r="PE71" s="19"/>
      <c r="PF71" s="19"/>
      <c r="PG71" s="19"/>
      <c r="PH71" s="143">
        <v>0.5</v>
      </c>
      <c r="PI71" s="154">
        <v>0.5</v>
      </c>
      <c r="PJ71" s="404">
        <v>0.5</v>
      </c>
      <c r="PK71" s="143">
        <v>0.5</v>
      </c>
      <c r="PL71" s="19"/>
      <c r="PM71" s="323"/>
      <c r="PN71" s="339">
        <v>0.5</v>
      </c>
      <c r="PO71" s="143">
        <v>0.5</v>
      </c>
      <c r="PP71" s="143">
        <v>0.5</v>
      </c>
      <c r="PQ71" s="143">
        <v>0.5</v>
      </c>
      <c r="PR71" s="143">
        <v>0.5</v>
      </c>
      <c r="PS71" s="143">
        <v>0.5</v>
      </c>
      <c r="PT71" s="143">
        <v>0.5</v>
      </c>
      <c r="PU71" s="143">
        <v>0.5</v>
      </c>
      <c r="PV71" s="143">
        <v>0.5</v>
      </c>
      <c r="PW71" s="143">
        <v>0.5</v>
      </c>
      <c r="PX71" s="143">
        <v>0.5</v>
      </c>
      <c r="PY71" s="154">
        <v>0.5</v>
      </c>
      <c r="PZ71" s="407"/>
      <c r="QA71" s="408"/>
      <c r="QB71" s="131">
        <f>SUM(OZ71:QA71)</f>
      </c>
      <c r="QC71" s="374"/>
      <c r="QD71" s="375"/>
      <c r="QE71" s="15"/>
      <c r="QF71" s="19"/>
      <c r="QG71" s="19"/>
      <c r="QH71" s="19"/>
      <c r="QI71" s="19"/>
      <c r="QJ71" s="19"/>
      <c r="QK71" s="143">
        <v>0.5</v>
      </c>
      <c r="QL71" s="154">
        <v>0.5</v>
      </c>
      <c r="QM71" s="404">
        <v>0.5</v>
      </c>
      <c r="QN71" s="143">
        <v>0.5</v>
      </c>
      <c r="QO71" s="19"/>
      <c r="QP71" s="323"/>
      <c r="QQ71" s="339">
        <v>0.5</v>
      </c>
      <c r="QR71" s="143">
        <v>0.5</v>
      </c>
      <c r="QS71" s="143">
        <v>0.5</v>
      </c>
      <c r="QT71" s="143">
        <v>0.5</v>
      </c>
      <c r="QU71" s="143">
        <v>0.5</v>
      </c>
      <c r="QV71" s="143">
        <v>0.5</v>
      </c>
      <c r="QW71" s="143">
        <v>0.5</v>
      </c>
      <c r="QX71" s="143">
        <v>0.5</v>
      </c>
      <c r="QY71" s="143">
        <v>0.5</v>
      </c>
      <c r="QZ71" s="143">
        <v>0.5</v>
      </c>
      <c r="RA71" s="143">
        <v>0.5</v>
      </c>
      <c r="RB71" s="154">
        <v>0.5</v>
      </c>
      <c r="RC71" s="407"/>
      <c r="RD71" s="408"/>
      <c r="RE71" s="131">
        <f>SUM(QC71:RD71)</f>
      </c>
      <c r="RF71" s="374"/>
      <c r="RG71" s="375"/>
      <c r="RH71" s="15"/>
      <c r="RI71" s="19"/>
      <c r="RJ71" s="19"/>
      <c r="RK71" s="19"/>
      <c r="RL71" s="19"/>
      <c r="RM71" s="19"/>
      <c r="RN71" s="143">
        <v>0.5</v>
      </c>
      <c r="RO71" s="154">
        <v>0.5</v>
      </c>
      <c r="RP71" s="404">
        <v>0.5</v>
      </c>
      <c r="RQ71" s="143">
        <v>0.5</v>
      </c>
      <c r="RR71" s="19"/>
      <c r="RS71" s="323"/>
      <c r="RT71" s="339">
        <v>0.5</v>
      </c>
      <c r="RU71" s="143">
        <v>0.5</v>
      </c>
      <c r="RV71" s="143">
        <v>0.5</v>
      </c>
      <c r="RW71" s="143">
        <v>0.5</v>
      </c>
      <c r="RX71" s="143">
        <v>0.5</v>
      </c>
      <c r="RY71" s="143">
        <v>0.5</v>
      </c>
      <c r="RZ71" s="143">
        <v>0.5</v>
      </c>
      <c r="SA71" s="143">
        <v>0.5</v>
      </c>
      <c r="SB71" s="143">
        <v>0.5</v>
      </c>
      <c r="SC71" s="143">
        <v>0.5</v>
      </c>
      <c r="SD71" s="143">
        <v>0.5</v>
      </c>
      <c r="SE71" s="154">
        <v>0.5</v>
      </c>
      <c r="SF71" s="407"/>
      <c r="SG71" s="408"/>
      <c r="SH71" s="131">
        <f>SUM(RF71:SG71)</f>
      </c>
      <c r="SI71" s="374"/>
      <c r="SJ71" s="375"/>
      <c r="SK71" s="15"/>
      <c r="SL71" s="19"/>
      <c r="SM71" s="19"/>
      <c r="SN71" s="19"/>
      <c r="SO71" s="19"/>
      <c r="SP71" s="19"/>
      <c r="SQ71" s="143">
        <v>0.5</v>
      </c>
      <c r="SR71" s="154">
        <v>0.5</v>
      </c>
      <c r="SS71" s="404">
        <v>0.5</v>
      </c>
      <c r="ST71" s="143">
        <v>0.5</v>
      </c>
      <c r="SU71" s="19"/>
      <c r="SV71" s="323"/>
      <c r="SW71" s="339">
        <v>0.5</v>
      </c>
      <c r="SX71" s="143">
        <v>0.5</v>
      </c>
      <c r="SY71" s="143">
        <v>0.5</v>
      </c>
      <c r="SZ71" s="143">
        <v>0.5</v>
      </c>
      <c r="TA71" s="143">
        <v>0.5</v>
      </c>
      <c r="TB71" s="143">
        <v>0.5</v>
      </c>
      <c r="TC71" s="143">
        <v>0.5</v>
      </c>
      <c r="TD71" s="143">
        <v>0.5</v>
      </c>
      <c r="TE71" s="143">
        <v>0.5</v>
      </c>
      <c r="TF71" s="143">
        <v>0.5</v>
      </c>
      <c r="TG71" s="143">
        <v>0.5</v>
      </c>
      <c r="TH71" s="154">
        <v>0.5</v>
      </c>
      <c r="TI71" s="407"/>
      <c r="TJ71" s="408"/>
      <c r="TK71" s="131">
        <f>SUM(SI71:TJ71)</f>
      </c>
      <c r="TL71" s="374"/>
      <c r="TM71" s="375"/>
      <c r="TN71" s="15"/>
      <c r="TO71" s="19"/>
      <c r="TP71" s="19"/>
      <c r="TQ71" s="19"/>
      <c r="TR71" s="19"/>
      <c r="TS71" s="19"/>
      <c r="TT71" s="143">
        <v>0.5</v>
      </c>
      <c r="TU71" s="154">
        <v>0.5</v>
      </c>
      <c r="TV71" s="404">
        <v>0.5</v>
      </c>
      <c r="TW71" s="143">
        <v>0.5</v>
      </c>
      <c r="TX71" s="19"/>
      <c r="TY71" s="323"/>
      <c r="TZ71" s="339">
        <v>0.5</v>
      </c>
      <c r="UA71" s="143">
        <v>0.5</v>
      </c>
      <c r="UB71" s="143">
        <v>0.5</v>
      </c>
      <c r="UC71" s="143">
        <v>0.5</v>
      </c>
      <c r="UD71" s="143">
        <v>0.5</v>
      </c>
      <c r="UE71" s="143">
        <v>0.5</v>
      </c>
      <c r="UF71" s="143">
        <v>0.5</v>
      </c>
      <c r="UG71" s="143">
        <v>0.5</v>
      </c>
      <c r="UH71" s="143">
        <v>0.5</v>
      </c>
      <c r="UI71" s="143">
        <v>0.5</v>
      </c>
      <c r="UJ71" s="143">
        <v>0.5</v>
      </c>
      <c r="UK71" s="154">
        <v>0.5</v>
      </c>
      <c r="UL71" s="407"/>
      <c r="UM71" s="408"/>
      <c r="UN71" s="131">
        <f>SUM(TL71:UM71)</f>
      </c>
      <c r="UO71" s="121"/>
      <c r="UP71" s="122"/>
      <c r="UQ71" s="123"/>
      <c r="UR71" s="124"/>
      <c r="US71" s="124"/>
      <c r="UT71" s="124"/>
      <c r="UU71" s="124"/>
      <c r="UV71" s="124"/>
      <c r="UW71" s="124"/>
      <c r="UX71" s="125"/>
      <c r="UY71" s="126"/>
      <c r="UZ71" s="124"/>
      <c r="VA71" s="124"/>
      <c r="VB71" s="127"/>
      <c r="VC71" s="123"/>
      <c r="VD71" s="124"/>
      <c r="VE71" s="124"/>
      <c r="VF71" s="124"/>
      <c r="VG71" s="124"/>
      <c r="VH71" s="124"/>
      <c r="VI71" s="124"/>
      <c r="VJ71" s="124"/>
      <c r="VK71" s="124"/>
      <c r="VL71" s="124"/>
      <c r="VM71" s="124"/>
      <c r="VN71" s="125"/>
      <c r="VO71" s="301"/>
      <c r="VP71" s="151"/>
      <c r="VQ71" s="131">
        <f>SUM(UO71:VP71)</f>
      </c>
      <c r="VR71" s="121"/>
      <c r="VS71" s="122"/>
      <c r="VT71" s="123"/>
      <c r="VU71" s="124"/>
      <c r="VV71" s="124"/>
      <c r="VW71" s="124"/>
      <c r="VX71" s="124"/>
      <c r="VY71" s="124"/>
      <c r="VZ71" s="124"/>
      <c r="WA71" s="125"/>
      <c r="WB71" s="126"/>
      <c r="WC71" s="124"/>
      <c r="WD71" s="124"/>
      <c r="WE71" s="127"/>
      <c r="WF71" s="123"/>
      <c r="WG71" s="124"/>
      <c r="WH71" s="124"/>
      <c r="WI71" s="124"/>
      <c r="WJ71" s="124"/>
      <c r="WK71" s="124"/>
      <c r="WL71" s="124"/>
      <c r="WM71" s="124"/>
      <c r="WN71" s="124"/>
      <c r="WO71" s="124"/>
      <c r="WP71" s="124"/>
      <c r="WQ71" s="125"/>
      <c r="WR71" s="301"/>
      <c r="WS71" s="151"/>
      <c r="WT71" s="131">
        <f>SUM(VR71:WS71)</f>
      </c>
      <c r="WU71" s="150">
        <f>QB71+RE71+SH71+TK71+UN71+VQ71+WT71</f>
      </c>
      <c r="WV71" s="302">
        <f>(COUNTIF(OZ71:WT71,"H")+COUNTIF(OZ71:WT71,"S")+COUNTIF(OZ71:WT71,"L")+COUNTIF(OZ71:WT71,"E")+COUNTIF(OZ71:WT71,"C"))/2</f>
      </c>
      <c r="WW71" s="131">
        <f>WU71+WV71</f>
      </c>
      <c r="WX71" s="374"/>
      <c r="WY71" s="375"/>
      <c r="WZ71" s="15"/>
      <c r="XA71" s="19"/>
      <c r="XB71" s="19"/>
      <c r="XC71" s="19"/>
      <c r="XD71" s="19"/>
      <c r="XE71" s="19"/>
      <c r="XF71" s="143">
        <v>0.5</v>
      </c>
      <c r="XG71" s="154">
        <v>0.5</v>
      </c>
      <c r="XH71" s="404">
        <v>0.5</v>
      </c>
      <c r="XI71" s="143">
        <v>0.5</v>
      </c>
      <c r="XJ71" s="19"/>
      <c r="XK71" s="323"/>
      <c r="XL71" s="339">
        <v>0.5</v>
      </c>
      <c r="XM71" s="143">
        <v>0.5</v>
      </c>
      <c r="XN71" s="143">
        <v>0.5</v>
      </c>
      <c r="XO71" s="143">
        <v>0.5</v>
      </c>
      <c r="XP71" s="143">
        <v>0.5</v>
      </c>
      <c r="XQ71" s="143">
        <v>0.5</v>
      </c>
      <c r="XR71" s="143">
        <v>0.5</v>
      </c>
      <c r="XS71" s="143">
        <v>0.5</v>
      </c>
      <c r="XT71" s="143">
        <v>0.5</v>
      </c>
      <c r="XU71" s="143">
        <v>0.5</v>
      </c>
      <c r="XV71" s="143">
        <v>0.5</v>
      </c>
      <c r="XW71" s="154">
        <v>0.5</v>
      </c>
      <c r="XX71" s="407"/>
      <c r="XY71" s="408"/>
      <c r="XZ71" s="131">
        <f>SUM(WX71:XY71)</f>
      </c>
      <c r="YA71" s="374"/>
      <c r="YB71" s="375"/>
      <c r="YC71" s="15"/>
      <c r="YD71" s="19"/>
      <c r="YE71" s="19"/>
      <c r="YF71" s="19"/>
      <c r="YG71" s="19"/>
      <c r="YH71" s="19"/>
      <c r="YI71" s="143">
        <v>0.5</v>
      </c>
      <c r="YJ71" s="154">
        <v>0.5</v>
      </c>
      <c r="YK71" s="404">
        <v>0.5</v>
      </c>
      <c r="YL71" s="143">
        <v>0.5</v>
      </c>
      <c r="YM71" s="19"/>
      <c r="YN71" s="323"/>
      <c r="YO71" s="339">
        <v>0.5</v>
      </c>
      <c r="YP71" s="143">
        <v>0.5</v>
      </c>
      <c r="YQ71" s="143">
        <v>0.5</v>
      </c>
      <c r="YR71" s="143">
        <v>0.5</v>
      </c>
      <c r="YS71" s="143">
        <v>0.5</v>
      </c>
      <c r="YT71" s="143">
        <v>0.5</v>
      </c>
      <c r="YU71" s="143">
        <v>0.5</v>
      </c>
      <c r="YV71" s="143">
        <v>0.5</v>
      </c>
      <c r="YW71" s="143">
        <v>0.5</v>
      </c>
      <c r="YX71" s="143">
        <v>0.5</v>
      </c>
      <c r="YY71" s="143">
        <v>0.5</v>
      </c>
      <c r="YZ71" s="154">
        <v>0.5</v>
      </c>
      <c r="ZA71" s="407"/>
      <c r="ZB71" s="408"/>
      <c r="ZC71" s="131">
        <f>SUM(YA71:ZB71)</f>
      </c>
      <c r="ZD71" s="374"/>
      <c r="ZE71" s="375"/>
      <c r="ZF71" s="15"/>
      <c r="ZG71" s="19"/>
      <c r="ZH71" s="19"/>
      <c r="ZI71" s="19"/>
      <c r="ZJ71" s="19"/>
      <c r="ZK71" s="19"/>
      <c r="ZL71" s="143">
        <v>0.5</v>
      </c>
      <c r="ZM71" s="154">
        <v>0.5</v>
      </c>
      <c r="ZN71" s="404">
        <v>0.5</v>
      </c>
      <c r="ZO71" s="143">
        <v>0.5</v>
      </c>
      <c r="ZP71" s="19"/>
      <c r="ZQ71" s="323"/>
      <c r="ZR71" s="339">
        <v>0.5</v>
      </c>
      <c r="ZS71" s="143">
        <v>0.5</v>
      </c>
      <c r="ZT71" s="143">
        <v>0.5</v>
      </c>
      <c r="ZU71" s="143">
        <v>0.5</v>
      </c>
      <c r="ZV71" s="143">
        <v>0.5</v>
      </c>
      <c r="ZW71" s="143">
        <v>0.5</v>
      </c>
      <c r="ZX71" s="143">
        <v>0.5</v>
      </c>
      <c r="ZY71" s="143">
        <v>0.5</v>
      </c>
      <c r="ZZ71" s="143">
        <v>0.5</v>
      </c>
      <c r="AAA71" s="143">
        <v>0.5</v>
      </c>
      <c r="AAB71" s="143">
        <v>0.5</v>
      </c>
      <c r="AAC71" s="154">
        <v>0.5</v>
      </c>
      <c r="AAD71" s="407"/>
      <c r="AAE71" s="408"/>
      <c r="AAF71" s="131">
        <f>SUM(ZD71:AAE71)</f>
      </c>
      <c r="AAG71" s="374"/>
      <c r="AAH71" s="375"/>
      <c r="AAI71" s="15"/>
      <c r="AAJ71" s="19"/>
      <c r="AAK71" s="19"/>
      <c r="AAL71" s="19"/>
      <c r="AAM71" s="19"/>
      <c r="AAN71" s="19"/>
      <c r="AAO71" s="143">
        <v>0.5</v>
      </c>
      <c r="AAP71" s="154">
        <v>0.5</v>
      </c>
      <c r="AAQ71" s="404">
        <v>0.5</v>
      </c>
      <c r="AAR71" s="143">
        <v>0.5</v>
      </c>
      <c r="AAS71" s="19"/>
      <c r="AAT71" s="323"/>
      <c r="AAU71" s="339">
        <v>0.5</v>
      </c>
      <c r="AAV71" s="143">
        <v>0.5</v>
      </c>
      <c r="AAW71" s="143">
        <v>0.5</v>
      </c>
      <c r="AAX71" s="143">
        <v>0.5</v>
      </c>
      <c r="AAY71" s="143">
        <v>0.5</v>
      </c>
      <c r="AAZ71" s="143">
        <v>0.5</v>
      </c>
      <c r="ABA71" s="143">
        <v>0.5</v>
      </c>
      <c r="ABB71" s="143">
        <v>0.5</v>
      </c>
      <c r="ABC71" s="143">
        <v>0.5</v>
      </c>
      <c r="ABD71" s="143">
        <v>0.5</v>
      </c>
      <c r="ABE71" s="143">
        <v>0.5</v>
      </c>
      <c r="ABF71" s="154">
        <v>0.5</v>
      </c>
      <c r="ABG71" s="407"/>
      <c r="ABH71" s="408"/>
      <c r="ABI71" s="131">
        <f>SUM(AAG71:ABH71)</f>
      </c>
      <c r="ABJ71" s="374"/>
      <c r="ABK71" s="375"/>
      <c r="ABL71" s="15"/>
      <c r="ABM71" s="19"/>
      <c r="ABN71" s="19"/>
      <c r="ABO71" s="19"/>
      <c r="ABP71" s="19"/>
      <c r="ABQ71" s="19"/>
      <c r="ABR71" s="143">
        <v>0.5</v>
      </c>
      <c r="ABS71" s="154">
        <v>0.5</v>
      </c>
      <c r="ABT71" s="404">
        <v>0.5</v>
      </c>
      <c r="ABU71" s="143">
        <v>0.5</v>
      </c>
      <c r="ABV71" s="19"/>
      <c r="ABW71" s="323"/>
      <c r="ABX71" s="339">
        <v>0.5</v>
      </c>
      <c r="ABY71" s="143">
        <v>0.5</v>
      </c>
      <c r="ABZ71" s="143">
        <v>0.5</v>
      </c>
      <c r="ACA71" s="143">
        <v>0.5</v>
      </c>
      <c r="ACB71" s="143">
        <v>0.5</v>
      </c>
      <c r="ACC71" s="143">
        <v>0.5</v>
      </c>
      <c r="ACD71" s="143">
        <v>0.5</v>
      </c>
      <c r="ACE71" s="143">
        <v>0.5</v>
      </c>
      <c r="ACF71" s="143">
        <v>0.5</v>
      </c>
      <c r="ACG71" s="143">
        <v>0.5</v>
      </c>
      <c r="ACH71" s="143">
        <v>0.5</v>
      </c>
      <c r="ACI71" s="154">
        <v>0.5</v>
      </c>
      <c r="ACJ71" s="407"/>
      <c r="ACK71" s="408"/>
      <c r="ACL71" s="131">
        <f>SUM(ABJ71:ACK71)</f>
      </c>
      <c r="ACM71" s="121"/>
      <c r="ACN71" s="122"/>
      <c r="ACO71" s="123"/>
      <c r="ACP71" s="124"/>
      <c r="ACQ71" s="124"/>
      <c r="ACR71" s="124"/>
      <c r="ACS71" s="124"/>
      <c r="ACT71" s="124"/>
      <c r="ACU71" s="124"/>
      <c r="ACV71" s="125"/>
      <c r="ACW71" s="126"/>
      <c r="ACX71" s="124"/>
      <c r="ACY71" s="124"/>
      <c r="ACZ71" s="127"/>
      <c r="ADA71" s="123"/>
      <c r="ADB71" s="124"/>
      <c r="ADC71" s="124"/>
      <c r="ADD71" s="124"/>
      <c r="ADE71" s="124"/>
      <c r="ADF71" s="124"/>
      <c r="ADG71" s="124"/>
      <c r="ADH71" s="124"/>
      <c r="ADI71" s="124"/>
      <c r="ADJ71" s="124"/>
      <c r="ADK71" s="124"/>
      <c r="ADL71" s="125"/>
      <c r="ADM71" s="301"/>
      <c r="ADN71" s="151"/>
      <c r="ADO71" s="131">
        <f>SUM(ACM71:ADN71)</f>
      </c>
      <c r="ADP71" s="121"/>
      <c r="ADQ71" s="122"/>
      <c r="ADR71" s="123"/>
      <c r="ADS71" s="124"/>
      <c r="ADT71" s="124"/>
      <c r="ADU71" s="124"/>
      <c r="ADV71" s="124"/>
      <c r="ADW71" s="124"/>
      <c r="ADX71" s="124"/>
      <c r="ADY71" s="125"/>
      <c r="ADZ71" s="126"/>
      <c r="AEA71" s="124"/>
      <c r="AEB71" s="124"/>
      <c r="AEC71" s="127"/>
      <c r="AED71" s="123"/>
      <c r="AEE71" s="124"/>
      <c r="AEF71" s="124"/>
      <c r="AEG71" s="124"/>
      <c r="AEH71" s="124"/>
      <c r="AEI71" s="124"/>
      <c r="AEJ71" s="124"/>
      <c r="AEK71" s="124"/>
      <c r="AEL71" s="124"/>
      <c r="AEM71" s="124"/>
      <c r="AEN71" s="124"/>
      <c r="AEO71" s="125"/>
      <c r="AEP71" s="301"/>
      <c r="AEQ71" s="151"/>
      <c r="AER71" s="131">
        <f>SUM(ADP71:AEQ71)</f>
      </c>
      <c r="AES71" s="150">
        <f>XZ71+ZC71+AAF71+ABI71+ACL71+ADO71+AER71</f>
      </c>
      <c r="AET71" s="302">
        <f>(COUNTIF(WX71:AER71,"H")+COUNTIF(WX71:AER71,"S")+COUNTIF(WX71:AER71,"L")+COUNTIF(WX71:AER71,"E")+COUNTIF(WX71:AER71,"C"))/2</f>
      </c>
      <c r="AEU71" s="131">
        <f>AES71+AET71</f>
      </c>
      <c r="AEV71" s="374"/>
      <c r="AEW71" s="375"/>
      <c r="AEX71" s="15"/>
      <c r="AEY71" s="19"/>
      <c r="AEZ71" s="19"/>
      <c r="AFA71" s="19"/>
      <c r="AFB71" s="19"/>
      <c r="AFC71" s="19"/>
      <c r="AFD71" s="143">
        <v>0.5</v>
      </c>
      <c r="AFE71" s="154">
        <v>0.5</v>
      </c>
      <c r="AFF71" s="404">
        <v>0.5</v>
      </c>
      <c r="AFG71" s="143">
        <v>0.5</v>
      </c>
      <c r="AFH71" s="19"/>
      <c r="AFI71" s="323"/>
      <c r="AFJ71" s="339">
        <v>0.5</v>
      </c>
      <c r="AFK71" s="143">
        <v>0.5</v>
      </c>
      <c r="AFL71" s="143">
        <v>0.5</v>
      </c>
      <c r="AFM71" s="143">
        <v>0.5</v>
      </c>
      <c r="AFN71" s="143">
        <v>0.5</v>
      </c>
      <c r="AFO71" s="143">
        <v>0.5</v>
      </c>
      <c r="AFP71" s="143">
        <v>0.5</v>
      </c>
      <c r="AFQ71" s="143">
        <v>0.5</v>
      </c>
      <c r="AFR71" s="143">
        <v>0.5</v>
      </c>
      <c r="AFS71" s="143">
        <v>0.5</v>
      </c>
      <c r="AFT71" s="143">
        <v>0.5</v>
      </c>
      <c r="AFU71" s="154">
        <v>0.5</v>
      </c>
      <c r="AFV71" s="407"/>
      <c r="AFW71" s="408"/>
      <c r="AFX71" s="131">
        <f>SUM(AEV71:AFW71)</f>
      </c>
      <c r="AFY71" s="374"/>
      <c r="AFZ71" s="375"/>
      <c r="AGA71" s="15"/>
      <c r="AGB71" s="19"/>
      <c r="AGC71" s="19"/>
      <c r="AGD71" s="19"/>
      <c r="AGE71" s="19"/>
      <c r="AGF71" s="19"/>
      <c r="AGG71" s="143">
        <v>0.5</v>
      </c>
      <c r="AGH71" s="154">
        <v>0.5</v>
      </c>
      <c r="AGI71" s="404">
        <v>0.5</v>
      </c>
      <c r="AGJ71" s="143">
        <v>0.5</v>
      </c>
      <c r="AGK71" s="19"/>
      <c r="AGL71" s="323"/>
      <c r="AGM71" s="339">
        <v>0.5</v>
      </c>
      <c r="AGN71" s="143">
        <v>0.5</v>
      </c>
      <c r="AGO71" s="143">
        <v>0.5</v>
      </c>
      <c r="AGP71" s="143">
        <v>0.5</v>
      </c>
      <c r="AGQ71" s="143">
        <v>0.5</v>
      </c>
      <c r="AGR71" s="143">
        <v>0.5</v>
      </c>
      <c r="AGS71" s="143">
        <v>0.5</v>
      </c>
      <c r="AGT71" s="143">
        <v>0.5</v>
      </c>
      <c r="AGU71" s="143">
        <v>0.5</v>
      </c>
      <c r="AGV71" s="143">
        <v>0.5</v>
      </c>
      <c r="AGW71" s="143">
        <v>0.5</v>
      </c>
      <c r="AGX71" s="154">
        <v>0.5</v>
      </c>
      <c r="AGY71" s="407"/>
      <c r="AGZ71" s="408"/>
      <c r="AHA71" s="131">
        <f>SUM(AFY71:AGZ71)</f>
      </c>
      <c r="AHB71" s="374"/>
      <c r="AHC71" s="375"/>
      <c r="AHD71" s="15"/>
      <c r="AHE71" s="19"/>
      <c r="AHF71" s="19"/>
      <c r="AHG71" s="19"/>
      <c r="AHH71" s="19"/>
      <c r="AHI71" s="19"/>
      <c r="AHJ71" s="143">
        <v>0.5</v>
      </c>
      <c r="AHK71" s="154">
        <v>0.5</v>
      </c>
      <c r="AHL71" s="404">
        <v>0.5</v>
      </c>
      <c r="AHM71" s="143">
        <v>0.5</v>
      </c>
      <c r="AHN71" s="19"/>
      <c r="AHO71" s="323"/>
      <c r="AHP71" s="339">
        <v>0.5</v>
      </c>
      <c r="AHQ71" s="143">
        <v>0.5</v>
      </c>
      <c r="AHR71" s="143">
        <v>0.5</v>
      </c>
      <c r="AHS71" s="143">
        <v>0.5</v>
      </c>
      <c r="AHT71" s="143">
        <v>0.5</v>
      </c>
      <c r="AHU71" s="143">
        <v>0.5</v>
      </c>
      <c r="AHV71" s="143">
        <v>0.5</v>
      </c>
      <c r="AHW71" s="143">
        <v>0.5</v>
      </c>
      <c r="AHX71" s="143">
        <v>0.5</v>
      </c>
      <c r="AHY71" s="143">
        <v>0.5</v>
      </c>
      <c r="AHZ71" s="143">
        <v>0.5</v>
      </c>
      <c r="AIA71" s="154">
        <v>0.5</v>
      </c>
      <c r="AIB71" s="407"/>
      <c r="AIC71" s="408"/>
      <c r="AID71" s="131">
        <f>SUM(AHB71:AIC71)</f>
      </c>
      <c r="AIE71" s="374"/>
      <c r="AIF71" s="375"/>
      <c r="AIG71" s="15"/>
      <c r="AIH71" s="19"/>
      <c r="AII71" s="19"/>
      <c r="AIJ71" s="19"/>
      <c r="AIK71" s="19"/>
      <c r="AIL71" s="19"/>
      <c r="AIM71" s="143">
        <v>0.5</v>
      </c>
      <c r="AIN71" s="154">
        <v>0.5</v>
      </c>
      <c r="AIO71" s="404">
        <v>0.5</v>
      </c>
      <c r="AIP71" s="143">
        <v>0.5</v>
      </c>
      <c r="AIQ71" s="19"/>
      <c r="AIR71" s="323"/>
      <c r="AIS71" s="339">
        <v>0.5</v>
      </c>
      <c r="AIT71" s="143">
        <v>0.5</v>
      </c>
      <c r="AIU71" s="143">
        <v>0.5</v>
      </c>
      <c r="AIV71" s="143">
        <v>0.5</v>
      </c>
      <c r="AIW71" s="143">
        <v>0.5</v>
      </c>
      <c r="AIX71" s="143">
        <v>0.5</v>
      </c>
      <c r="AIY71" s="143">
        <v>0.5</v>
      </c>
      <c r="AIZ71" s="143">
        <v>0.5</v>
      </c>
      <c r="AJA71" s="143">
        <v>0.5</v>
      </c>
      <c r="AJB71" s="143">
        <v>0.5</v>
      </c>
      <c r="AJC71" s="143">
        <v>0.5</v>
      </c>
      <c r="AJD71" s="154">
        <v>0.5</v>
      </c>
      <c r="AJE71" s="407"/>
      <c r="AJF71" s="408"/>
      <c r="AJG71" s="131">
        <f>SUM(AIE71:AJF71)</f>
      </c>
      <c r="AJH71" s="374"/>
      <c r="AJI71" s="375"/>
      <c r="AJJ71" s="15"/>
      <c r="AJK71" s="19"/>
      <c r="AJL71" s="19"/>
      <c r="AJM71" s="19"/>
      <c r="AJN71" s="19"/>
      <c r="AJO71" s="19"/>
      <c r="AJP71" s="143">
        <v>0.5</v>
      </c>
      <c r="AJQ71" s="154">
        <v>0.5</v>
      </c>
      <c r="AJR71" s="404">
        <v>0.5</v>
      </c>
      <c r="AJS71" s="143">
        <v>0.5</v>
      </c>
      <c r="AJT71" s="19"/>
      <c r="AJU71" s="323"/>
      <c r="AJV71" s="339">
        <v>0.5</v>
      </c>
      <c r="AJW71" s="143">
        <v>0.5</v>
      </c>
      <c r="AJX71" s="143">
        <v>0.5</v>
      </c>
      <c r="AJY71" s="143">
        <v>0.5</v>
      </c>
      <c r="AJZ71" s="143">
        <v>0.5</v>
      </c>
      <c r="AKA71" s="143">
        <v>0.5</v>
      </c>
      <c r="AKB71" s="143">
        <v>0.5</v>
      </c>
      <c r="AKC71" s="143">
        <v>0.5</v>
      </c>
      <c r="AKD71" s="143">
        <v>0.5</v>
      </c>
      <c r="AKE71" s="143">
        <v>0.5</v>
      </c>
      <c r="AKF71" s="143">
        <v>0.5</v>
      </c>
      <c r="AKG71" s="154">
        <v>0.5</v>
      </c>
      <c r="AKH71" s="407"/>
      <c r="AKI71" s="408"/>
      <c r="AKJ71" s="131">
        <f>SUM(AJH71:AKI71)</f>
      </c>
      <c r="AKK71" s="121"/>
      <c r="AKL71" s="122"/>
      <c r="AKM71" s="123"/>
      <c r="AKN71" s="124"/>
      <c r="AKO71" s="124"/>
      <c r="AKP71" s="124"/>
      <c r="AKQ71" s="124"/>
      <c r="AKR71" s="124"/>
      <c r="AKS71" s="124"/>
      <c r="AKT71" s="125"/>
      <c r="AKU71" s="126"/>
      <c r="AKV71" s="124"/>
      <c r="AKW71" s="124"/>
      <c r="AKX71" s="127"/>
      <c r="AKY71" s="123"/>
      <c r="AKZ71" s="124"/>
      <c r="ALA71" s="124"/>
      <c r="ALB71" s="124"/>
      <c r="ALC71" s="124"/>
      <c r="ALD71" s="124"/>
      <c r="ALE71" s="124"/>
      <c r="ALF71" s="124"/>
      <c r="ALG71" s="124"/>
      <c r="ALH71" s="124"/>
      <c r="ALI71" s="124"/>
      <c r="ALJ71" s="125"/>
      <c r="ALK71" s="301"/>
      <c r="ALL71" s="151"/>
      <c r="ALM71" s="131">
        <f>SUM(AKK71:ALL71)</f>
      </c>
      <c r="ALN71" s="121"/>
      <c r="ALO71" s="122"/>
      <c r="ALP71" s="123"/>
      <c r="ALQ71" s="124"/>
      <c r="ALR71" s="124"/>
      <c r="ALS71" s="124"/>
      <c r="ALT71" s="124"/>
      <c r="ALU71" s="124"/>
      <c r="ALV71" s="124"/>
      <c r="ALW71" s="125"/>
      <c r="ALX71" s="126"/>
      <c r="ALY71" s="124"/>
      <c r="ALZ71" s="124"/>
      <c r="AMA71" s="127"/>
      <c r="AMB71" s="123"/>
      <c r="AMC71" s="124"/>
      <c r="AMD71" s="124"/>
      <c r="AME71" s="124"/>
      <c r="AMF71" s="124"/>
      <c r="AMG71" s="124"/>
      <c r="AMH71" s="124"/>
      <c r="AMI71" s="124"/>
      <c r="AMJ71" s="124"/>
      <c r="AMK71" s="124"/>
      <c r="AML71" s="124"/>
      <c r="AMM71" s="125"/>
      <c r="AMN71" s="301"/>
      <c r="AMO71" s="151"/>
      <c r="AMP71" s="131">
        <f>SUM(ALN71:AMO71)</f>
      </c>
      <c r="AMQ71" s="150">
        <f>AFX71+AHA71+AID71+AJG71+AKJ71+ALM71+AMP71</f>
      </c>
      <c r="AMR71" s="302">
        <f>(COUNTIF(AEV71:AMP71,"H")+COUNTIF(AEV71:AMP71,"S")+COUNTIF(AEV71:AMP71,"L")+COUNTIF(AEV71:AMP71,"E")+COUNTIF(AEV71:AMP71,"C"))/2</f>
      </c>
      <c r="AMS71" s="131">
        <f>AMQ71+AMR71</f>
      </c>
      <c r="AMT71" s="4"/>
      <c r="AMU71" s="4"/>
      <c r="AMV71" s="4"/>
      <c r="AMW71" s="4"/>
      <c r="AMX71" s="4"/>
      <c r="AMY71" s="4"/>
      <c r="AMZ71" s="4"/>
      <c r="ANA71" s="4"/>
      <c r="ANB71" s="4"/>
      <c r="ANC71" s="4"/>
      <c r="AND71" s="4"/>
      <c r="ANE71" s="4"/>
      <c r="ANF71" s="4"/>
      <c r="ANG71" s="4"/>
      <c r="ANH71" s="4"/>
      <c r="ANI71" s="4"/>
      <c r="ANJ71" s="13"/>
      <c r="ANK71" s="13"/>
      <c r="ANL71" s="4"/>
      <c r="ANM71" s="4"/>
      <c r="ANN71" s="4"/>
      <c r="ANO71" s="4"/>
      <c r="ANP71" s="4"/>
      <c r="ANQ71" s="4"/>
      <c r="ANR71" s="4"/>
      <c r="ANS71" s="4"/>
      <c r="ANT71" s="4"/>
      <c r="ANU71" s="4"/>
      <c r="ANV71" s="4"/>
      <c r="ANW71" s="4"/>
      <c r="ANX71" s="4"/>
      <c r="ANY71" s="4"/>
      <c r="ANZ71" s="4"/>
      <c r="AOA71" s="4"/>
      <c r="AOB71" s="4"/>
      <c r="AOC71" s="4"/>
      <c r="AOD71" s="4"/>
      <c r="AOE71" s="4"/>
      <c r="AOF71" s="4"/>
      <c r="AOG71" s="4"/>
      <c r="AOH71" s="4"/>
      <c r="AOI71" s="4"/>
      <c r="AOJ71" s="4"/>
      <c r="AOK71" s="4"/>
      <c r="AOL71" s="4"/>
      <c r="AOM71" s="4"/>
      <c r="AON71" s="4"/>
      <c r="AOO71" s="4"/>
      <c r="AOP71" s="4"/>
      <c r="AOQ71" s="4"/>
      <c r="AOR71" s="4"/>
      <c r="AOS71" s="4"/>
      <c r="AOT71" s="4"/>
      <c r="AOU71" s="4"/>
      <c r="AOV71" s="4"/>
      <c r="AOW71" s="4"/>
      <c r="AOX71" s="4"/>
      <c r="AOY71" s="4"/>
      <c r="AOZ71" s="4"/>
      <c r="APA71" s="4"/>
      <c r="APB71" s="4"/>
      <c r="APC71" s="4"/>
      <c r="APD71" s="4"/>
      <c r="APE71" s="4"/>
      <c r="APF71" s="4"/>
      <c r="APG71" s="4"/>
      <c r="APH71" s="4"/>
      <c r="API71" s="4"/>
      <c r="APJ71" s="4"/>
      <c r="APK71" s="4"/>
      <c r="APL71" s="4"/>
      <c r="APM71" s="4"/>
      <c r="APN71" s="4"/>
      <c r="APO71" s="4"/>
      <c r="APP71" s="4"/>
      <c r="APQ71" s="4"/>
      <c r="APR71" s="4"/>
      <c r="APS71" s="4"/>
      <c r="APT71" s="4"/>
      <c r="APU71" s="4"/>
      <c r="APV71" s="4"/>
      <c r="APW71" s="4"/>
      <c r="APX71" s="4"/>
      <c r="APY71" s="4"/>
      <c r="APZ71" s="4"/>
      <c r="AQA71" s="4"/>
      <c r="AQB71" s="4"/>
      <c r="AQC71" s="4"/>
      <c r="AQD71" s="4"/>
      <c r="AQE71" s="4"/>
      <c r="AQF71" s="4"/>
      <c r="AQG71" s="4"/>
      <c r="AQH71" s="4"/>
      <c r="AQI71" s="4"/>
      <c r="AQJ71" s="4"/>
      <c r="AQK71" s="4"/>
      <c r="AQL71" s="4"/>
      <c r="AQM71" s="4"/>
      <c r="AQN71" s="4"/>
      <c r="AQO71" s="4"/>
      <c r="AQP71" s="4"/>
      <c r="AQQ71" s="4"/>
      <c r="AQR71" s="4"/>
      <c r="AQS71" s="4"/>
      <c r="AQT71" s="4"/>
      <c r="AQU71" s="4"/>
      <c r="AQV71" s="4"/>
      <c r="AQW71" s="4"/>
      <c r="AQX71" s="4"/>
      <c r="AQY71" s="4"/>
      <c r="AQZ71" s="4"/>
      <c r="ARA71" s="4"/>
      <c r="ARB71" s="4"/>
      <c r="ARC71" s="4"/>
      <c r="ARD71" s="4"/>
      <c r="ARE71" s="4"/>
      <c r="ARF71" s="4"/>
      <c r="ARG71" s="4"/>
      <c r="ARH71" s="4"/>
      <c r="ARI71" s="4"/>
      <c r="ARJ71" s="4"/>
      <c r="ARK71" s="4"/>
      <c r="ARL71" s="4"/>
      <c r="ARM71" s="4"/>
      <c r="ARN71" s="4"/>
      <c r="ARO71" s="4"/>
      <c r="ARP71" s="4"/>
      <c r="ARQ71" s="4"/>
      <c r="ARR71" s="4"/>
      <c r="ARS71" s="4"/>
      <c r="ART71" s="4"/>
      <c r="ARU71" s="4"/>
      <c r="ARV71" s="4"/>
      <c r="ARW71" s="4"/>
      <c r="ARX71" s="4"/>
      <c r="ARY71" s="4"/>
      <c r="ARZ71" s="4"/>
      <c r="ASA71" s="4"/>
      <c r="ASB71" s="4"/>
      <c r="ASC71" s="4"/>
      <c r="ASD71" s="4"/>
      <c r="ASE71" s="4"/>
      <c r="ASF71" s="4"/>
      <c r="ASG71" s="4"/>
      <c r="ASH71" s="4"/>
      <c r="ASI71" s="4"/>
      <c r="ASJ71" s="4"/>
      <c r="ASK71" s="4"/>
      <c r="ASL71" s="4"/>
      <c r="ASM71" s="4"/>
      <c r="ASN71" s="4"/>
      <c r="ASO71" s="4"/>
      <c r="ASP71" s="4"/>
      <c r="ASQ71" s="4"/>
      <c r="ASR71" s="4"/>
      <c r="ASS71" s="4"/>
      <c r="AST71" s="4"/>
      <c r="ASU71" s="4"/>
    </row>
    <row r="72" ht="15" customHeight="1" spans="1:1191" x14ac:dyDescent="0.25">
      <c r="A72" s="118"/>
      <c r="B72" s="403" t="s">
        <v>110</v>
      </c>
      <c r="C72" s="289" t="s">
        <v>55</v>
      </c>
      <c r="D72" s="121"/>
      <c r="E72" s="122"/>
      <c r="F72" s="123"/>
      <c r="G72" s="124"/>
      <c r="H72" s="124"/>
      <c r="I72" s="124"/>
      <c r="J72" s="124"/>
      <c r="K72" s="124"/>
      <c r="L72" s="124"/>
      <c r="M72" s="125"/>
      <c r="N72" s="126"/>
      <c r="O72" s="124"/>
      <c r="P72" s="124"/>
      <c r="Q72" s="127"/>
      <c r="R72" s="123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5"/>
      <c r="AD72" s="301"/>
      <c r="AE72" s="151"/>
      <c r="AF72" s="131">
        <f>SUM(D72:AE72)</f>
      </c>
      <c r="AG72" s="121"/>
      <c r="AH72" s="122"/>
      <c r="AI72" s="123"/>
      <c r="AJ72" s="124"/>
      <c r="AK72" s="124"/>
      <c r="AL72" s="124"/>
      <c r="AM72" s="124"/>
      <c r="AN72" s="124"/>
      <c r="AO72" s="124"/>
      <c r="AP72" s="125"/>
      <c r="AQ72" s="126"/>
      <c r="AR72" s="124"/>
      <c r="AS72" s="124"/>
      <c r="AT72" s="127"/>
      <c r="AU72" s="123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5"/>
      <c r="BG72" s="301"/>
      <c r="BH72" s="151"/>
      <c r="BI72" s="131">
        <f>SUM(AG72:BH72)</f>
      </c>
      <c r="BJ72" s="121"/>
      <c r="BK72" s="122"/>
      <c r="BL72" s="123"/>
      <c r="BM72" s="124"/>
      <c r="BN72" s="124"/>
      <c r="BO72" s="124"/>
      <c r="BP72" s="124"/>
      <c r="BQ72" s="124"/>
      <c r="BR72" s="124"/>
      <c r="BS72" s="125"/>
      <c r="BT72" s="126"/>
      <c r="BU72" s="124"/>
      <c r="BV72" s="124"/>
      <c r="BW72" s="127"/>
      <c r="BX72" s="123"/>
      <c r="BY72" s="124"/>
      <c r="BZ72" s="124"/>
      <c r="CA72" s="124"/>
      <c r="CB72" s="124"/>
      <c r="CC72" s="124"/>
      <c r="CD72" s="124"/>
      <c r="CE72" s="124"/>
      <c r="CF72" s="124"/>
      <c r="CG72" s="124"/>
      <c r="CH72" s="124"/>
      <c r="CI72" s="125"/>
      <c r="CJ72" s="301"/>
      <c r="CK72" s="151"/>
      <c r="CL72" s="131">
        <f>SUM(BJ72:CK72)</f>
      </c>
      <c r="CM72" s="121"/>
      <c r="CN72" s="122"/>
      <c r="CO72" s="123"/>
      <c r="CP72" s="124"/>
      <c r="CQ72" s="124"/>
      <c r="CR72" s="124"/>
      <c r="CS72" s="124"/>
      <c r="CT72" s="124"/>
      <c r="CU72" s="124"/>
      <c r="CV72" s="125"/>
      <c r="CW72" s="126"/>
      <c r="CX72" s="124"/>
      <c r="CY72" s="124"/>
      <c r="CZ72" s="127"/>
      <c r="DA72" s="123"/>
      <c r="DB72" s="124"/>
      <c r="DC72" s="124"/>
      <c r="DD72" s="124"/>
      <c r="DE72" s="124"/>
      <c r="DF72" s="124"/>
      <c r="DG72" s="124"/>
      <c r="DH72" s="124"/>
      <c r="DI72" s="124"/>
      <c r="DJ72" s="124"/>
      <c r="DK72" s="124"/>
      <c r="DL72" s="125"/>
      <c r="DM72" s="301"/>
      <c r="DN72" s="151"/>
      <c r="DO72" s="131">
        <f>SUM(CM72:DN72)</f>
      </c>
      <c r="DP72" s="121"/>
      <c r="DQ72" s="122"/>
      <c r="DR72" s="123"/>
      <c r="DS72" s="124"/>
      <c r="DT72" s="124"/>
      <c r="DU72" s="124"/>
      <c r="DV72" s="124"/>
      <c r="DW72" s="124"/>
      <c r="DX72" s="124"/>
      <c r="DY72" s="125"/>
      <c r="DZ72" s="126"/>
      <c r="EA72" s="124"/>
      <c r="EB72" s="124"/>
      <c r="EC72" s="127"/>
      <c r="ED72" s="123"/>
      <c r="EE72" s="124"/>
      <c r="EF72" s="124"/>
      <c r="EG72" s="124"/>
      <c r="EH72" s="124"/>
      <c r="EI72" s="124"/>
      <c r="EJ72" s="124"/>
      <c r="EK72" s="124"/>
      <c r="EL72" s="124"/>
      <c r="EM72" s="124"/>
      <c r="EN72" s="124"/>
      <c r="EO72" s="125"/>
      <c r="EP72" s="301"/>
      <c r="EQ72" s="151"/>
      <c r="ER72" s="131">
        <f>SUM(DP72:EQ72)</f>
      </c>
      <c r="ES72" s="121"/>
      <c r="ET72" s="122"/>
      <c r="EU72" s="123"/>
      <c r="EV72" s="124"/>
      <c r="EW72" s="124"/>
      <c r="EX72" s="124"/>
      <c r="EY72" s="124"/>
      <c r="EZ72" s="124"/>
      <c r="FA72" s="124"/>
      <c r="FB72" s="125"/>
      <c r="FC72" s="126"/>
      <c r="FD72" s="124"/>
      <c r="FE72" s="124"/>
      <c r="FF72" s="127"/>
      <c r="FG72" s="123"/>
      <c r="FH72" s="124"/>
      <c r="FI72" s="124"/>
      <c r="FJ72" s="124"/>
      <c r="FK72" s="124"/>
      <c r="FL72" s="124"/>
      <c r="FM72" s="124"/>
      <c r="FN72" s="124"/>
      <c r="FO72" s="124"/>
      <c r="FP72" s="124"/>
      <c r="FQ72" s="124"/>
      <c r="FR72" s="125"/>
      <c r="FS72" s="301"/>
      <c r="FT72" s="151"/>
      <c r="FU72" s="131">
        <f>SUM(ES72:FT72)</f>
      </c>
      <c r="FV72" s="121"/>
      <c r="FW72" s="122"/>
      <c r="FX72" s="123"/>
      <c r="FY72" s="124"/>
      <c r="FZ72" s="124"/>
      <c r="GA72" s="124"/>
      <c r="GB72" s="124"/>
      <c r="GC72" s="124"/>
      <c r="GD72" s="124"/>
      <c r="GE72" s="125"/>
      <c r="GF72" s="126"/>
      <c r="GG72" s="124"/>
      <c r="GH72" s="124"/>
      <c r="GI72" s="127"/>
      <c r="GJ72" s="123"/>
      <c r="GK72" s="124"/>
      <c r="GL72" s="124"/>
      <c r="GM72" s="124"/>
      <c r="GN72" s="124"/>
      <c r="GO72" s="124"/>
      <c r="GP72" s="124"/>
      <c r="GQ72" s="124"/>
      <c r="GR72" s="124"/>
      <c r="GS72" s="124"/>
      <c r="GT72" s="124"/>
      <c r="GU72" s="125"/>
      <c r="GV72" s="301"/>
      <c r="GW72" s="151"/>
      <c r="GX72" s="131">
        <f>SUM(FV72:GW72)</f>
      </c>
      <c r="GY72" s="150">
        <f>AF72+BI72+CL72+DO72+ER72+FU72+GX72</f>
      </c>
      <c r="GZ72" s="302">
        <f>(COUNTIF(D72:GX72,"H")+COUNTIF(D72:GX72,"S")+COUNTIF(D72:GX72,"L")+COUNTIF(D72:GX72,"E")+COUNTIF(D72:GX72,"C"))/2</f>
      </c>
      <c r="HA72" s="131">
        <f>GY72+GZ72</f>
      </c>
      <c r="HB72" s="374"/>
      <c r="HC72" s="375"/>
      <c r="HD72" s="15"/>
      <c r="HE72" s="19"/>
      <c r="HF72" s="19"/>
      <c r="HG72" s="26" t="s">
        <v>9</v>
      </c>
      <c r="HH72" s="26" t="s">
        <v>9</v>
      </c>
      <c r="HI72" s="143">
        <v>0.5</v>
      </c>
      <c r="HJ72" s="143">
        <v>0.5</v>
      </c>
      <c r="HK72" s="154">
        <v>0.5</v>
      </c>
      <c r="HL72" s="404">
        <v>0.5</v>
      </c>
      <c r="HM72" s="143">
        <v>0.5</v>
      </c>
      <c r="HN72" s="19"/>
      <c r="HO72" s="323"/>
      <c r="HP72" s="339">
        <v>0.5</v>
      </c>
      <c r="HQ72" s="143">
        <v>0.5</v>
      </c>
      <c r="HR72" s="143">
        <v>0.5</v>
      </c>
      <c r="HS72" s="143">
        <v>0.5</v>
      </c>
      <c r="HT72" s="143">
        <v>0.5</v>
      </c>
      <c r="HU72" s="143">
        <v>0.5</v>
      </c>
      <c r="HV72" s="143">
        <v>0.5</v>
      </c>
      <c r="HW72" s="143">
        <v>0.5</v>
      </c>
      <c r="HX72" s="143">
        <v>0.5</v>
      </c>
      <c r="HY72" s="19"/>
      <c r="HZ72" s="19"/>
      <c r="IA72" s="414"/>
      <c r="IB72" s="407"/>
      <c r="IC72" s="408"/>
      <c r="ID72" s="131">
        <f>SUM(HB72:IC72)</f>
      </c>
      <c r="IE72" s="374"/>
      <c r="IF72" s="375"/>
      <c r="IG72" s="15"/>
      <c r="IH72" s="19"/>
      <c r="II72" s="19"/>
      <c r="IJ72" s="143">
        <v>0.5</v>
      </c>
      <c r="IK72" s="143">
        <v>0.5</v>
      </c>
      <c r="IL72" s="143">
        <v>0.5</v>
      </c>
      <c r="IM72" s="143">
        <v>0.5</v>
      </c>
      <c r="IN72" s="154">
        <v>0.5</v>
      </c>
      <c r="IO72" s="404">
        <v>0.5</v>
      </c>
      <c r="IP72" s="143">
        <v>0.5</v>
      </c>
      <c r="IQ72" s="19"/>
      <c r="IR72" s="323"/>
      <c r="IS72" s="339">
        <v>0.5</v>
      </c>
      <c r="IT72" s="143">
        <v>0.5</v>
      </c>
      <c r="IU72" s="143">
        <v>0.5</v>
      </c>
      <c r="IV72" s="143">
        <v>0.5</v>
      </c>
      <c r="IW72" s="143">
        <v>0.5</v>
      </c>
      <c r="IX72" s="143">
        <v>0.5</v>
      </c>
      <c r="IY72" s="143">
        <v>0.5</v>
      </c>
      <c r="IZ72" s="143">
        <v>0.5</v>
      </c>
      <c r="JA72" s="143">
        <v>0.5</v>
      </c>
      <c r="JB72" s="19"/>
      <c r="JC72" s="19"/>
      <c r="JD72" s="414"/>
      <c r="JE72" s="407"/>
      <c r="JF72" s="408"/>
      <c r="JG72" s="131">
        <f>SUM(IE72:JF72)</f>
      </c>
      <c r="JH72" s="374"/>
      <c r="JI72" s="375"/>
      <c r="JJ72" s="15"/>
      <c r="JK72" s="19"/>
      <c r="JL72" s="19"/>
      <c r="JM72" s="143">
        <v>0.5</v>
      </c>
      <c r="JN72" s="143">
        <v>0.5</v>
      </c>
      <c r="JO72" s="143">
        <v>0.5</v>
      </c>
      <c r="JP72" s="143">
        <v>0.5</v>
      </c>
      <c r="JQ72" s="154">
        <v>0.5</v>
      </c>
      <c r="JR72" s="404">
        <v>0.5</v>
      </c>
      <c r="JS72" s="143">
        <v>0.5</v>
      </c>
      <c r="JT72" s="19"/>
      <c r="JU72" s="323"/>
      <c r="JV72" s="339">
        <v>0.5</v>
      </c>
      <c r="JW72" s="143">
        <v>0.5</v>
      </c>
      <c r="JX72" s="143">
        <v>0.5</v>
      </c>
      <c r="JY72" s="143">
        <v>0.5</v>
      </c>
      <c r="JZ72" s="143">
        <v>0.5</v>
      </c>
      <c r="KA72" s="143">
        <v>0.5</v>
      </c>
      <c r="KB72" s="143">
        <v>0.5</v>
      </c>
      <c r="KC72" s="143">
        <v>0.5</v>
      </c>
      <c r="KD72" s="143">
        <v>0.5</v>
      </c>
      <c r="KE72" s="19"/>
      <c r="KF72" s="19"/>
      <c r="KG72" s="414"/>
      <c r="KH72" s="407"/>
      <c r="KI72" s="408"/>
      <c r="KJ72" s="131">
        <f>SUM(JH72:KI72)</f>
      </c>
      <c r="KK72" s="374"/>
      <c r="KL72" s="375"/>
      <c r="KM72" s="15"/>
      <c r="KN72" s="19"/>
      <c r="KO72" s="19"/>
      <c r="KP72" s="143">
        <v>0.5</v>
      </c>
      <c r="KQ72" s="143">
        <v>0.5</v>
      </c>
      <c r="KR72" s="143">
        <v>0.5</v>
      </c>
      <c r="KS72" s="143">
        <v>0.5</v>
      </c>
      <c r="KT72" s="154">
        <v>0.5</v>
      </c>
      <c r="KU72" s="404">
        <v>0.5</v>
      </c>
      <c r="KV72" s="143">
        <v>0.5</v>
      </c>
      <c r="KW72" s="19"/>
      <c r="KX72" s="323"/>
      <c r="KY72" s="339">
        <v>0.5</v>
      </c>
      <c r="KZ72" s="143">
        <v>0.5</v>
      </c>
      <c r="LA72" s="143">
        <v>0.5</v>
      </c>
      <c r="LB72" s="143">
        <v>0.5</v>
      </c>
      <c r="LC72" s="143">
        <v>0.5</v>
      </c>
      <c r="LD72" s="143">
        <v>0.5</v>
      </c>
      <c r="LE72" s="143">
        <v>0.5</v>
      </c>
      <c r="LF72" s="143">
        <v>0.5</v>
      </c>
      <c r="LG72" s="143">
        <v>0.5</v>
      </c>
      <c r="LH72" s="19"/>
      <c r="LI72" s="19"/>
      <c r="LJ72" s="414"/>
      <c r="LK72" s="407"/>
      <c r="LL72" s="408"/>
      <c r="LM72" s="131">
        <f>SUM(KK72:LL72)</f>
      </c>
      <c r="LN72" s="374"/>
      <c r="LO72" s="375"/>
      <c r="LP72" s="15"/>
      <c r="LQ72" s="26" t="s">
        <v>9</v>
      </c>
      <c r="LR72" s="26" t="s">
        <v>9</v>
      </c>
      <c r="LS72" s="26" t="s">
        <v>9</v>
      </c>
      <c r="LT72" s="26" t="s">
        <v>9</v>
      </c>
      <c r="LU72" s="26" t="s">
        <v>9</v>
      </c>
      <c r="LV72" s="26" t="s">
        <v>9</v>
      </c>
      <c r="LW72" s="409" t="s">
        <v>9</v>
      </c>
      <c r="LX72" s="412"/>
      <c r="LY72" s="19"/>
      <c r="LZ72" s="26" t="s">
        <v>9</v>
      </c>
      <c r="MA72" s="413" t="s">
        <v>9</v>
      </c>
      <c r="MB72" s="411" t="s">
        <v>9</v>
      </c>
      <c r="MC72" s="26" t="s">
        <v>9</v>
      </c>
      <c r="MD72" s="26" t="s">
        <v>9</v>
      </c>
      <c r="ME72" s="26" t="s">
        <v>9</v>
      </c>
      <c r="MF72" s="26" t="s">
        <v>9</v>
      </c>
      <c r="MG72" s="26" t="s">
        <v>9</v>
      </c>
      <c r="MH72" s="26" t="s">
        <v>9</v>
      </c>
      <c r="MI72" s="19"/>
      <c r="MJ72" s="19"/>
      <c r="MK72" s="19"/>
      <c r="ML72" s="19"/>
      <c r="MM72" s="414"/>
      <c r="MN72" s="407"/>
      <c r="MO72" s="408"/>
      <c r="MP72" s="131">
        <f>SUM(LN72:MO72)</f>
      </c>
      <c r="MQ72" s="121"/>
      <c r="MR72" s="122"/>
      <c r="MS72" s="123"/>
      <c r="MT72" s="124"/>
      <c r="MU72" s="124"/>
      <c r="MV72" s="124"/>
      <c r="MW72" s="124"/>
      <c r="MX72" s="124"/>
      <c r="MY72" s="124"/>
      <c r="MZ72" s="125"/>
      <c r="NA72" s="126"/>
      <c r="NB72" s="124"/>
      <c r="NC72" s="124"/>
      <c r="ND72" s="127"/>
      <c r="NE72" s="123"/>
      <c r="NF72" s="124"/>
      <c r="NG72" s="124"/>
      <c r="NH72" s="124"/>
      <c r="NI72" s="124"/>
      <c r="NJ72" s="124"/>
      <c r="NK72" s="124"/>
      <c r="NL72" s="124"/>
      <c r="NM72" s="124"/>
      <c r="NN72" s="124"/>
      <c r="NO72" s="124"/>
      <c r="NP72" s="125"/>
      <c r="NQ72" s="301"/>
      <c r="NR72" s="151"/>
      <c r="NS72" s="131">
        <f>SUM(MQ72:NR72)</f>
      </c>
      <c r="NT72" s="121"/>
      <c r="NU72" s="122"/>
      <c r="NV72" s="123"/>
      <c r="NW72" s="124"/>
      <c r="NX72" s="124"/>
      <c r="NY72" s="124"/>
      <c r="NZ72" s="124"/>
      <c r="OA72" s="124"/>
      <c r="OB72" s="124"/>
      <c r="OC72" s="125"/>
      <c r="OD72" s="126"/>
      <c r="OE72" s="124"/>
      <c r="OF72" s="124"/>
      <c r="OG72" s="127"/>
      <c r="OH72" s="123"/>
      <c r="OI72" s="124"/>
      <c r="OJ72" s="124"/>
      <c r="OK72" s="124"/>
      <c r="OL72" s="124"/>
      <c r="OM72" s="124"/>
      <c r="ON72" s="124"/>
      <c r="OO72" s="124"/>
      <c r="OP72" s="124"/>
      <c r="OQ72" s="124"/>
      <c r="OR72" s="124"/>
      <c r="OS72" s="125"/>
      <c r="OT72" s="301"/>
      <c r="OU72" s="151"/>
      <c r="OV72" s="131">
        <f>SUM(NT72:OU72)</f>
      </c>
      <c r="OW72" s="150">
        <f>ID72+JG72+KJ72+LM72+MP72+NS72+OV72</f>
      </c>
      <c r="OX72" s="302">
        <f>(COUNTIF(HB72:OV72,"H")+COUNTIF(HB72:OV72,"S")+COUNTIF(HB72:OV72,"L")+COUNTIF(HB72:OV72,"E")+COUNTIF(HB72:OV72,"C"))/2</f>
      </c>
      <c r="OY72" s="131">
        <f>OW72+OX72</f>
      </c>
      <c r="OZ72" s="374"/>
      <c r="PA72" s="375"/>
      <c r="PB72" s="15"/>
      <c r="PC72" s="19"/>
      <c r="PD72" s="19"/>
      <c r="PE72" s="143">
        <v>0.5</v>
      </c>
      <c r="PF72" s="143">
        <v>0.5</v>
      </c>
      <c r="PG72" s="143">
        <v>0.5</v>
      </c>
      <c r="PH72" s="143">
        <v>0.5</v>
      </c>
      <c r="PI72" s="154">
        <v>0.5</v>
      </c>
      <c r="PJ72" s="404">
        <v>0.5</v>
      </c>
      <c r="PK72" s="143">
        <v>0.5</v>
      </c>
      <c r="PL72" s="19"/>
      <c r="PM72" s="323"/>
      <c r="PN72" s="339">
        <v>0.5</v>
      </c>
      <c r="PO72" s="143">
        <v>0.5</v>
      </c>
      <c r="PP72" s="143">
        <v>0.5</v>
      </c>
      <c r="PQ72" s="143">
        <v>0.5</v>
      </c>
      <c r="PR72" s="143">
        <v>0.5</v>
      </c>
      <c r="PS72" s="143">
        <v>0.5</v>
      </c>
      <c r="PT72" s="143">
        <v>0.5</v>
      </c>
      <c r="PU72" s="143">
        <v>0.5</v>
      </c>
      <c r="PV72" s="143">
        <v>0.5</v>
      </c>
      <c r="PW72" s="19"/>
      <c r="PX72" s="19"/>
      <c r="PY72" s="414"/>
      <c r="PZ72" s="407"/>
      <c r="QA72" s="408"/>
      <c r="QB72" s="131">
        <f>SUM(OZ72:QA72)</f>
      </c>
      <c r="QC72" s="374"/>
      <c r="QD72" s="375"/>
      <c r="QE72" s="15"/>
      <c r="QF72" s="19"/>
      <c r="QG72" s="19"/>
      <c r="QH72" s="143">
        <v>0.5</v>
      </c>
      <c r="QI72" s="143">
        <v>0.5</v>
      </c>
      <c r="QJ72" s="143">
        <v>0.5</v>
      </c>
      <c r="QK72" s="143">
        <v>0.5</v>
      </c>
      <c r="QL72" s="154">
        <v>0.5</v>
      </c>
      <c r="QM72" s="404">
        <v>0.5</v>
      </c>
      <c r="QN72" s="143">
        <v>0.5</v>
      </c>
      <c r="QO72" s="19"/>
      <c r="QP72" s="323"/>
      <c r="QQ72" s="339">
        <v>0.5</v>
      </c>
      <c r="QR72" s="143">
        <v>0.5</v>
      </c>
      <c r="QS72" s="143">
        <v>0.5</v>
      </c>
      <c r="QT72" s="143">
        <v>0.5</v>
      </c>
      <c r="QU72" s="143">
        <v>0.5</v>
      </c>
      <c r="QV72" s="143">
        <v>0.5</v>
      </c>
      <c r="QW72" s="143">
        <v>0.5</v>
      </c>
      <c r="QX72" s="143">
        <v>0.5</v>
      </c>
      <c r="QY72" s="143">
        <v>0.5</v>
      </c>
      <c r="QZ72" s="19"/>
      <c r="RA72" s="19"/>
      <c r="RB72" s="414"/>
      <c r="RC72" s="407"/>
      <c r="RD72" s="408"/>
      <c r="RE72" s="131">
        <f>SUM(QC72:RD72)</f>
      </c>
      <c r="RF72" s="374"/>
      <c r="RG72" s="375"/>
      <c r="RH72" s="15"/>
      <c r="RI72" s="19"/>
      <c r="RJ72" s="19"/>
      <c r="RK72" s="143">
        <v>0.5</v>
      </c>
      <c r="RL72" s="143">
        <v>0.5</v>
      </c>
      <c r="RM72" s="143">
        <v>0.5</v>
      </c>
      <c r="RN72" s="143">
        <v>0.5</v>
      </c>
      <c r="RO72" s="154">
        <v>0.5</v>
      </c>
      <c r="RP72" s="404">
        <v>0.5</v>
      </c>
      <c r="RQ72" s="143">
        <v>0.5</v>
      </c>
      <c r="RR72" s="19"/>
      <c r="RS72" s="323"/>
      <c r="RT72" s="339">
        <v>0.5</v>
      </c>
      <c r="RU72" s="143">
        <v>0.5</v>
      </c>
      <c r="RV72" s="143">
        <v>0.5</v>
      </c>
      <c r="RW72" s="143">
        <v>0.5</v>
      </c>
      <c r="RX72" s="143">
        <v>0.5</v>
      </c>
      <c r="RY72" s="143">
        <v>0.5</v>
      </c>
      <c r="RZ72" s="143">
        <v>0.5</v>
      </c>
      <c r="SA72" s="143">
        <v>0.5</v>
      </c>
      <c r="SB72" s="143">
        <v>0.5</v>
      </c>
      <c r="SC72" s="19"/>
      <c r="SD72" s="19"/>
      <c r="SE72" s="414"/>
      <c r="SF72" s="407"/>
      <c r="SG72" s="408"/>
      <c r="SH72" s="131">
        <f>SUM(RF72:SG72)</f>
      </c>
      <c r="SI72" s="374"/>
      <c r="SJ72" s="375"/>
      <c r="SK72" s="15"/>
      <c r="SL72" s="19"/>
      <c r="SM72" s="19"/>
      <c r="SN72" s="143">
        <v>0.5</v>
      </c>
      <c r="SO72" s="143">
        <v>0.5</v>
      </c>
      <c r="SP72" s="143">
        <v>0.5</v>
      </c>
      <c r="SQ72" s="143">
        <v>0.5</v>
      </c>
      <c r="SR72" s="154">
        <v>0.5</v>
      </c>
      <c r="SS72" s="404">
        <v>0.5</v>
      </c>
      <c r="ST72" s="143">
        <v>0.5</v>
      </c>
      <c r="SU72" s="19"/>
      <c r="SV72" s="323"/>
      <c r="SW72" s="339">
        <v>0.5</v>
      </c>
      <c r="SX72" s="143">
        <v>0.5</v>
      </c>
      <c r="SY72" s="143">
        <v>0.5</v>
      </c>
      <c r="SZ72" s="143">
        <v>0.5</v>
      </c>
      <c r="TA72" s="143">
        <v>0.5</v>
      </c>
      <c r="TB72" s="143">
        <v>0.5</v>
      </c>
      <c r="TC72" s="143">
        <v>0.5</v>
      </c>
      <c r="TD72" s="143">
        <v>0.5</v>
      </c>
      <c r="TE72" s="143">
        <v>0.5</v>
      </c>
      <c r="TF72" s="19"/>
      <c r="TG72" s="19"/>
      <c r="TH72" s="414"/>
      <c r="TI72" s="407"/>
      <c r="TJ72" s="408"/>
      <c r="TK72" s="131">
        <f>SUM(SI72:TJ72)</f>
      </c>
      <c r="TL72" s="374"/>
      <c r="TM72" s="375"/>
      <c r="TN72" s="15"/>
      <c r="TO72" s="19"/>
      <c r="TP72" s="19"/>
      <c r="TQ72" s="143">
        <v>0.5</v>
      </c>
      <c r="TR72" s="143">
        <v>0.5</v>
      </c>
      <c r="TS72" s="143">
        <v>0.5</v>
      </c>
      <c r="TT72" s="143">
        <v>0.5</v>
      </c>
      <c r="TU72" s="154">
        <v>0.5</v>
      </c>
      <c r="TV72" s="404">
        <v>0.5</v>
      </c>
      <c r="TW72" s="143">
        <v>0.5</v>
      </c>
      <c r="TX72" s="19"/>
      <c r="TY72" s="323"/>
      <c r="TZ72" s="339">
        <v>0.5</v>
      </c>
      <c r="UA72" s="143">
        <v>0.5</v>
      </c>
      <c r="UB72" s="143">
        <v>0.5</v>
      </c>
      <c r="UC72" s="143">
        <v>0.5</v>
      </c>
      <c r="UD72" s="143">
        <v>0.5</v>
      </c>
      <c r="UE72" s="143">
        <v>0.5</v>
      </c>
      <c r="UF72" s="143">
        <v>0.5</v>
      </c>
      <c r="UG72" s="143">
        <v>0.5</v>
      </c>
      <c r="UH72" s="143">
        <v>0.5</v>
      </c>
      <c r="UI72" s="19"/>
      <c r="UJ72" s="19"/>
      <c r="UK72" s="414"/>
      <c r="UL72" s="407"/>
      <c r="UM72" s="408"/>
      <c r="UN72" s="131">
        <f>SUM(TL72:UM72)</f>
      </c>
      <c r="UO72" s="121"/>
      <c r="UP72" s="122"/>
      <c r="UQ72" s="123"/>
      <c r="UR72" s="124"/>
      <c r="US72" s="124"/>
      <c r="UT72" s="124"/>
      <c r="UU72" s="124"/>
      <c r="UV72" s="124"/>
      <c r="UW72" s="124"/>
      <c r="UX72" s="125"/>
      <c r="UY72" s="126"/>
      <c r="UZ72" s="124"/>
      <c r="VA72" s="124"/>
      <c r="VB72" s="127"/>
      <c r="VC72" s="123"/>
      <c r="VD72" s="124"/>
      <c r="VE72" s="124"/>
      <c r="VF72" s="124"/>
      <c r="VG72" s="124"/>
      <c r="VH72" s="124"/>
      <c r="VI72" s="124"/>
      <c r="VJ72" s="124"/>
      <c r="VK72" s="124"/>
      <c r="VL72" s="124"/>
      <c r="VM72" s="124"/>
      <c r="VN72" s="125"/>
      <c r="VO72" s="301"/>
      <c r="VP72" s="151"/>
      <c r="VQ72" s="131">
        <f>SUM(UO72:VP72)</f>
      </c>
      <c r="VR72" s="121"/>
      <c r="VS72" s="122"/>
      <c r="VT72" s="123"/>
      <c r="VU72" s="124"/>
      <c r="VV72" s="124"/>
      <c r="VW72" s="124"/>
      <c r="VX72" s="124"/>
      <c r="VY72" s="124"/>
      <c r="VZ72" s="124"/>
      <c r="WA72" s="125"/>
      <c r="WB72" s="126"/>
      <c r="WC72" s="124"/>
      <c r="WD72" s="124"/>
      <c r="WE72" s="127"/>
      <c r="WF72" s="123"/>
      <c r="WG72" s="124"/>
      <c r="WH72" s="124"/>
      <c r="WI72" s="124"/>
      <c r="WJ72" s="124"/>
      <c r="WK72" s="124"/>
      <c r="WL72" s="124"/>
      <c r="WM72" s="124"/>
      <c r="WN72" s="124"/>
      <c r="WO72" s="124"/>
      <c r="WP72" s="124"/>
      <c r="WQ72" s="125"/>
      <c r="WR72" s="301"/>
      <c r="WS72" s="151"/>
      <c r="WT72" s="131">
        <f>SUM(VR72:WS72)</f>
      </c>
      <c r="WU72" s="150">
        <f>QB72+RE72+SH72+TK72+UN72+VQ72+WT72</f>
      </c>
      <c r="WV72" s="302">
        <f>(COUNTIF(OZ72:WT72,"H")+COUNTIF(OZ72:WT72,"S")+COUNTIF(OZ72:WT72,"L")+COUNTIF(OZ72:WT72,"E")+COUNTIF(OZ72:WT72,"C"))/2</f>
      </c>
      <c r="WW72" s="131">
        <f>WU72+WV72</f>
      </c>
      <c r="WX72" s="134"/>
      <c r="WY72" s="135"/>
      <c r="WZ72" s="136"/>
      <c r="XA72" s="18" t="s">
        <v>4</v>
      </c>
      <c r="XB72" s="18" t="s">
        <v>4</v>
      </c>
      <c r="XC72" s="18" t="s">
        <v>4</v>
      </c>
      <c r="XD72" s="18" t="s">
        <v>4</v>
      </c>
      <c r="XE72" s="18" t="s">
        <v>4</v>
      </c>
      <c r="XF72" s="18" t="s">
        <v>4</v>
      </c>
      <c r="XG72" s="222" t="s">
        <v>4</v>
      </c>
      <c r="XH72" s="223" t="s">
        <v>4</v>
      </c>
      <c r="XI72" s="137"/>
      <c r="XJ72" s="137"/>
      <c r="XK72" s="224" t="s">
        <v>4</v>
      </c>
      <c r="XL72" s="225" t="s">
        <v>4</v>
      </c>
      <c r="XM72" s="18" t="s">
        <v>4</v>
      </c>
      <c r="XN72" s="18" t="s">
        <v>4</v>
      </c>
      <c r="XO72" s="18" t="s">
        <v>4</v>
      </c>
      <c r="XP72" s="18" t="s">
        <v>4</v>
      </c>
      <c r="XQ72" s="18" t="s">
        <v>4</v>
      </c>
      <c r="XR72" s="18" t="s">
        <v>4</v>
      </c>
      <c r="XS72" s="137"/>
      <c r="XT72" s="137"/>
      <c r="XU72" s="137"/>
      <c r="XV72" s="137"/>
      <c r="XW72" s="153"/>
      <c r="XX72" s="304"/>
      <c r="XY72" s="152"/>
      <c r="XZ72" s="131">
        <f>SUM(WX72:XY72)</f>
      </c>
      <c r="YA72" s="374"/>
      <c r="YB72" s="375"/>
      <c r="YC72" s="15"/>
      <c r="YD72" s="19"/>
      <c r="YE72" s="19"/>
      <c r="YF72" s="143">
        <v>0.5</v>
      </c>
      <c r="YG72" s="143">
        <v>0.5</v>
      </c>
      <c r="YH72" s="143">
        <v>0.5</v>
      </c>
      <c r="YI72" s="143">
        <v>0.5</v>
      </c>
      <c r="YJ72" s="154">
        <v>0.5</v>
      </c>
      <c r="YK72" s="404">
        <v>0.5</v>
      </c>
      <c r="YL72" s="143">
        <v>0.5</v>
      </c>
      <c r="YM72" s="19"/>
      <c r="YN72" s="323"/>
      <c r="YO72" s="339">
        <v>0.5</v>
      </c>
      <c r="YP72" s="143">
        <v>0.5</v>
      </c>
      <c r="YQ72" s="143">
        <v>0.5</v>
      </c>
      <c r="YR72" s="143">
        <v>0.5</v>
      </c>
      <c r="YS72" s="143">
        <v>0.5</v>
      </c>
      <c r="YT72" s="143">
        <v>0.5</v>
      </c>
      <c r="YU72" s="143">
        <v>0.5</v>
      </c>
      <c r="YV72" s="143">
        <v>0.5</v>
      </c>
      <c r="YW72" s="143">
        <v>0.5</v>
      </c>
      <c r="YX72" s="19"/>
      <c r="YY72" s="19"/>
      <c r="YZ72" s="414"/>
      <c r="ZA72" s="407"/>
      <c r="ZB72" s="408"/>
      <c r="ZC72" s="131">
        <f>SUM(YA72:ZB72)</f>
      </c>
      <c r="ZD72" s="374"/>
      <c r="ZE72" s="375"/>
      <c r="ZF72" s="15"/>
      <c r="ZG72" s="19"/>
      <c r="ZH72" s="19"/>
      <c r="ZI72" s="143">
        <v>0.5</v>
      </c>
      <c r="ZJ72" s="143">
        <v>0.5</v>
      </c>
      <c r="ZK72" s="143">
        <v>0.5</v>
      </c>
      <c r="ZL72" s="143">
        <v>0.5</v>
      </c>
      <c r="ZM72" s="154">
        <v>0.5</v>
      </c>
      <c r="ZN72" s="404">
        <v>0.5</v>
      </c>
      <c r="ZO72" s="143">
        <v>0.5</v>
      </c>
      <c r="ZP72" s="19"/>
      <c r="ZQ72" s="323"/>
      <c r="ZR72" s="339">
        <v>0.5</v>
      </c>
      <c r="ZS72" s="143">
        <v>0.5</v>
      </c>
      <c r="ZT72" s="143">
        <v>0.5</v>
      </c>
      <c r="ZU72" s="143">
        <v>0.5</v>
      </c>
      <c r="ZV72" s="143">
        <v>0.5</v>
      </c>
      <c r="ZW72" s="143">
        <v>0.5</v>
      </c>
      <c r="ZX72" s="143">
        <v>0.5</v>
      </c>
      <c r="ZY72" s="143">
        <v>0.5</v>
      </c>
      <c r="ZZ72" s="143">
        <v>0.5</v>
      </c>
      <c r="AAA72" s="19"/>
      <c r="AAB72" s="19"/>
      <c r="AAC72" s="414"/>
      <c r="AAD72" s="407"/>
      <c r="AAE72" s="408"/>
      <c r="AAF72" s="131">
        <f>SUM(ZD72:AAE72)</f>
      </c>
      <c r="AAG72" s="374"/>
      <c r="AAH72" s="375"/>
      <c r="AAI72" s="15"/>
      <c r="AAJ72" s="19"/>
      <c r="AAK72" s="19"/>
      <c r="AAL72" s="143">
        <v>0.5</v>
      </c>
      <c r="AAM72" s="143">
        <v>0.5</v>
      </c>
      <c r="AAN72" s="143">
        <v>0.5</v>
      </c>
      <c r="AAO72" s="143">
        <v>0.5</v>
      </c>
      <c r="AAP72" s="154">
        <v>0.5</v>
      </c>
      <c r="AAQ72" s="404">
        <v>0.5</v>
      </c>
      <c r="AAR72" s="143">
        <v>0.5</v>
      </c>
      <c r="AAS72" s="19"/>
      <c r="AAT72" s="323"/>
      <c r="AAU72" s="339">
        <v>0.5</v>
      </c>
      <c r="AAV72" s="143">
        <v>0.5</v>
      </c>
      <c r="AAW72" s="143">
        <v>0.5</v>
      </c>
      <c r="AAX72" s="143">
        <v>0.5</v>
      </c>
      <c r="AAY72" s="143">
        <v>0.5</v>
      </c>
      <c r="AAZ72" s="143">
        <v>0.5</v>
      </c>
      <c r="ABA72" s="143">
        <v>0.5</v>
      </c>
      <c r="ABB72" s="143">
        <v>0.5</v>
      </c>
      <c r="ABC72" s="143">
        <v>0.5</v>
      </c>
      <c r="ABD72" s="19"/>
      <c r="ABE72" s="19"/>
      <c r="ABF72" s="414"/>
      <c r="ABG72" s="407"/>
      <c r="ABH72" s="408"/>
      <c r="ABI72" s="131">
        <f>SUM(AAG72:ABH72)</f>
      </c>
      <c r="ABJ72" s="374"/>
      <c r="ABK72" s="375"/>
      <c r="ABL72" s="15"/>
      <c r="ABM72" s="19"/>
      <c r="ABN72" s="19"/>
      <c r="ABO72" s="143">
        <v>0.5</v>
      </c>
      <c r="ABP72" s="143">
        <v>0.5</v>
      </c>
      <c r="ABQ72" s="143">
        <v>0.5</v>
      </c>
      <c r="ABR72" s="143">
        <v>0.5</v>
      </c>
      <c r="ABS72" s="154">
        <v>0.5</v>
      </c>
      <c r="ABT72" s="404">
        <v>0.5</v>
      </c>
      <c r="ABU72" s="143">
        <v>0.5</v>
      </c>
      <c r="ABV72" s="19"/>
      <c r="ABW72" s="323"/>
      <c r="ABX72" s="339">
        <v>0.5</v>
      </c>
      <c r="ABY72" s="143">
        <v>0.5</v>
      </c>
      <c r="ABZ72" s="143">
        <v>0.5</v>
      </c>
      <c r="ACA72" s="143">
        <v>0.5</v>
      </c>
      <c r="ACB72" s="143">
        <v>0.5</v>
      </c>
      <c r="ACC72" s="143">
        <v>0.5</v>
      </c>
      <c r="ACD72" s="143">
        <v>0.5</v>
      </c>
      <c r="ACE72" s="143">
        <v>0.5</v>
      </c>
      <c r="ACF72" s="143">
        <v>0.5</v>
      </c>
      <c r="ACG72" s="19"/>
      <c r="ACH72" s="19"/>
      <c r="ACI72" s="414"/>
      <c r="ACJ72" s="407"/>
      <c r="ACK72" s="408"/>
      <c r="ACL72" s="131">
        <f>SUM(ABJ72:ACK72)</f>
      </c>
      <c r="ACM72" s="121"/>
      <c r="ACN72" s="122"/>
      <c r="ACO72" s="123"/>
      <c r="ACP72" s="124"/>
      <c r="ACQ72" s="124"/>
      <c r="ACR72" s="124"/>
      <c r="ACS72" s="124"/>
      <c r="ACT72" s="124"/>
      <c r="ACU72" s="124"/>
      <c r="ACV72" s="125"/>
      <c r="ACW72" s="126"/>
      <c r="ACX72" s="124"/>
      <c r="ACY72" s="124"/>
      <c r="ACZ72" s="127"/>
      <c r="ADA72" s="123"/>
      <c r="ADB72" s="124"/>
      <c r="ADC72" s="124"/>
      <c r="ADD72" s="124"/>
      <c r="ADE72" s="124"/>
      <c r="ADF72" s="124"/>
      <c r="ADG72" s="124"/>
      <c r="ADH72" s="124"/>
      <c r="ADI72" s="124"/>
      <c r="ADJ72" s="124"/>
      <c r="ADK72" s="124"/>
      <c r="ADL72" s="125"/>
      <c r="ADM72" s="301"/>
      <c r="ADN72" s="151"/>
      <c r="ADO72" s="131">
        <f>SUM(ACM72:ADN72)</f>
      </c>
      <c r="ADP72" s="121"/>
      <c r="ADQ72" s="122"/>
      <c r="ADR72" s="123"/>
      <c r="ADS72" s="124"/>
      <c r="ADT72" s="124"/>
      <c r="ADU72" s="124"/>
      <c r="ADV72" s="124"/>
      <c r="ADW72" s="124"/>
      <c r="ADX72" s="124"/>
      <c r="ADY72" s="125"/>
      <c r="ADZ72" s="126"/>
      <c r="AEA72" s="124"/>
      <c r="AEB72" s="124"/>
      <c r="AEC72" s="127"/>
      <c r="AED72" s="123"/>
      <c r="AEE72" s="124"/>
      <c r="AEF72" s="124"/>
      <c r="AEG72" s="124"/>
      <c r="AEH72" s="124"/>
      <c r="AEI72" s="124"/>
      <c r="AEJ72" s="124"/>
      <c r="AEK72" s="124"/>
      <c r="AEL72" s="124"/>
      <c r="AEM72" s="124"/>
      <c r="AEN72" s="124"/>
      <c r="AEO72" s="125"/>
      <c r="AEP72" s="301"/>
      <c r="AEQ72" s="151"/>
      <c r="AER72" s="131">
        <f>SUM(ADP72:AEQ72)</f>
      </c>
      <c r="AES72" s="150">
        <f>XZ72+ZC72+AAF72+ABI72+ACL72+ADO72+AER72</f>
      </c>
      <c r="AET72" s="302">
        <f>(COUNTIF(WX72:AER72,"H")+COUNTIF(WX72:AER72,"S")+COUNTIF(WX72:AER72,"L")+COUNTIF(WX72:AER72,"E")+COUNTIF(WX72:AER72,"C"))/2</f>
      </c>
      <c r="AEU72" s="131">
        <f>AES72+AET72</f>
      </c>
      <c r="AEV72" s="374"/>
      <c r="AEW72" s="375"/>
      <c r="AEX72" s="15"/>
      <c r="AEY72" s="19"/>
      <c r="AEZ72" s="19"/>
      <c r="AFA72" s="143">
        <v>0.5</v>
      </c>
      <c r="AFB72" s="143">
        <v>0.5</v>
      </c>
      <c r="AFC72" s="143">
        <v>0.5</v>
      </c>
      <c r="AFD72" s="143">
        <v>0.5</v>
      </c>
      <c r="AFE72" s="154">
        <v>0.5</v>
      </c>
      <c r="AFF72" s="404">
        <v>0.5</v>
      </c>
      <c r="AFG72" s="143">
        <v>0.5</v>
      </c>
      <c r="AFH72" s="19"/>
      <c r="AFI72" s="323"/>
      <c r="AFJ72" s="339">
        <v>0.5</v>
      </c>
      <c r="AFK72" s="143">
        <v>0.5</v>
      </c>
      <c r="AFL72" s="143">
        <v>0.5</v>
      </c>
      <c r="AFM72" s="143">
        <v>0.5</v>
      </c>
      <c r="AFN72" s="143">
        <v>0.5</v>
      </c>
      <c r="AFO72" s="143">
        <v>0.5</v>
      </c>
      <c r="AFP72" s="143">
        <v>0.5</v>
      </c>
      <c r="AFQ72" s="143">
        <v>0.5</v>
      </c>
      <c r="AFR72" s="143">
        <v>0.5</v>
      </c>
      <c r="AFS72" s="19"/>
      <c r="AFT72" s="19"/>
      <c r="AFU72" s="414"/>
      <c r="AFV72" s="407"/>
      <c r="AFW72" s="408"/>
      <c r="AFX72" s="131">
        <f>SUM(AEV72:AFW72)</f>
      </c>
      <c r="AFY72" s="374"/>
      <c r="AFZ72" s="375"/>
      <c r="AGA72" s="15"/>
      <c r="AGB72" s="19"/>
      <c r="AGC72" s="19"/>
      <c r="AGD72" s="143">
        <v>0.5</v>
      </c>
      <c r="AGE72" s="143">
        <v>0.5</v>
      </c>
      <c r="AGF72" s="143">
        <v>0.5</v>
      </c>
      <c r="AGG72" s="143">
        <v>0.5</v>
      </c>
      <c r="AGH72" s="154">
        <v>0.5</v>
      </c>
      <c r="AGI72" s="404">
        <v>0.5</v>
      </c>
      <c r="AGJ72" s="143">
        <v>0.5</v>
      </c>
      <c r="AGK72" s="19"/>
      <c r="AGL72" s="323"/>
      <c r="AGM72" s="339">
        <v>0.5</v>
      </c>
      <c r="AGN72" s="143">
        <v>0.5</v>
      </c>
      <c r="AGO72" s="143">
        <v>0.5</v>
      </c>
      <c r="AGP72" s="143">
        <v>0.5</v>
      </c>
      <c r="AGQ72" s="143">
        <v>0.5</v>
      </c>
      <c r="AGR72" s="143">
        <v>0.5</v>
      </c>
      <c r="AGS72" s="143">
        <v>0.5</v>
      </c>
      <c r="AGT72" s="143">
        <v>0.5</v>
      </c>
      <c r="AGU72" s="143">
        <v>0.5</v>
      </c>
      <c r="AGV72" s="19"/>
      <c r="AGW72" s="19"/>
      <c r="AGX72" s="414"/>
      <c r="AGY72" s="407"/>
      <c r="AGZ72" s="408"/>
      <c r="AHA72" s="131">
        <f>SUM(AFY72:AGZ72)</f>
      </c>
      <c r="AHB72" s="374"/>
      <c r="AHC72" s="375"/>
      <c r="AHD72" s="15"/>
      <c r="AHE72" s="19"/>
      <c r="AHF72" s="19"/>
      <c r="AHG72" s="143">
        <v>0.5</v>
      </c>
      <c r="AHH72" s="143">
        <v>0.5</v>
      </c>
      <c r="AHI72" s="143">
        <v>0.5</v>
      </c>
      <c r="AHJ72" s="143">
        <v>0.5</v>
      </c>
      <c r="AHK72" s="154">
        <v>0.5</v>
      </c>
      <c r="AHL72" s="404">
        <v>0.5</v>
      </c>
      <c r="AHM72" s="143">
        <v>0.5</v>
      </c>
      <c r="AHN72" s="19"/>
      <c r="AHO72" s="323"/>
      <c r="AHP72" s="339">
        <v>0.5</v>
      </c>
      <c r="AHQ72" s="143">
        <v>0.5</v>
      </c>
      <c r="AHR72" s="143">
        <v>0.5</v>
      </c>
      <c r="AHS72" s="143">
        <v>0.5</v>
      </c>
      <c r="AHT72" s="143">
        <v>0.5</v>
      </c>
      <c r="AHU72" s="143">
        <v>0.5</v>
      </c>
      <c r="AHV72" s="143">
        <v>0.5</v>
      </c>
      <c r="AHW72" s="143">
        <v>0.5</v>
      </c>
      <c r="AHX72" s="143">
        <v>0.5</v>
      </c>
      <c r="AHY72" s="19"/>
      <c r="AHZ72" s="19"/>
      <c r="AIA72" s="414"/>
      <c r="AIB72" s="407"/>
      <c r="AIC72" s="408"/>
      <c r="AID72" s="131">
        <f>SUM(AHB72:AIC72)</f>
      </c>
      <c r="AIE72" s="374"/>
      <c r="AIF72" s="375"/>
      <c r="AIG72" s="15"/>
      <c r="AIH72" s="19"/>
      <c r="AII72" s="19"/>
      <c r="AIJ72" s="143">
        <v>0.5</v>
      </c>
      <c r="AIK72" s="143">
        <v>0.5</v>
      </c>
      <c r="AIL72" s="143">
        <v>0.5</v>
      </c>
      <c r="AIM72" s="143">
        <v>0.5</v>
      </c>
      <c r="AIN72" s="154">
        <v>0.5</v>
      </c>
      <c r="AIO72" s="404">
        <v>0.5</v>
      </c>
      <c r="AIP72" s="143">
        <v>0.5</v>
      </c>
      <c r="AIQ72" s="19"/>
      <c r="AIR72" s="323"/>
      <c r="AIS72" s="339">
        <v>0.5</v>
      </c>
      <c r="AIT72" s="143">
        <v>0.5</v>
      </c>
      <c r="AIU72" s="143">
        <v>0.5</v>
      </c>
      <c r="AIV72" s="143">
        <v>0.5</v>
      </c>
      <c r="AIW72" s="143">
        <v>0.5</v>
      </c>
      <c r="AIX72" s="143">
        <v>0.5</v>
      </c>
      <c r="AIY72" s="143">
        <v>0.5</v>
      </c>
      <c r="AIZ72" s="143">
        <v>0.5</v>
      </c>
      <c r="AJA72" s="143">
        <v>0.5</v>
      </c>
      <c r="AJB72" s="19"/>
      <c r="AJC72" s="19"/>
      <c r="AJD72" s="414"/>
      <c r="AJE72" s="407"/>
      <c r="AJF72" s="408"/>
      <c r="AJG72" s="131">
        <f>SUM(AIE72:AJF72)</f>
      </c>
      <c r="AJH72" s="374"/>
      <c r="AJI72" s="375"/>
      <c r="AJJ72" s="15"/>
      <c r="AJK72" s="19"/>
      <c r="AJL72" s="19"/>
      <c r="AJM72" s="143">
        <v>0.5</v>
      </c>
      <c r="AJN72" s="143">
        <v>0.5</v>
      </c>
      <c r="AJO72" s="143">
        <v>0.5</v>
      </c>
      <c r="AJP72" s="143">
        <v>0.5</v>
      </c>
      <c r="AJQ72" s="154">
        <v>0.5</v>
      </c>
      <c r="AJR72" s="404">
        <v>0.5</v>
      </c>
      <c r="AJS72" s="143">
        <v>0.5</v>
      </c>
      <c r="AJT72" s="19"/>
      <c r="AJU72" s="323"/>
      <c r="AJV72" s="339">
        <v>0.5</v>
      </c>
      <c r="AJW72" s="143">
        <v>0.5</v>
      </c>
      <c r="AJX72" s="143">
        <v>0.5</v>
      </c>
      <c r="AJY72" s="143">
        <v>0.5</v>
      </c>
      <c r="AJZ72" s="143">
        <v>0.5</v>
      </c>
      <c r="AKA72" s="143">
        <v>0.5</v>
      </c>
      <c r="AKB72" s="143">
        <v>0.5</v>
      </c>
      <c r="AKC72" s="143">
        <v>0.5</v>
      </c>
      <c r="AKD72" s="143">
        <v>0.5</v>
      </c>
      <c r="AKE72" s="19"/>
      <c r="AKF72" s="19"/>
      <c r="AKG72" s="414"/>
      <c r="AKH72" s="407"/>
      <c r="AKI72" s="408"/>
      <c r="AKJ72" s="131">
        <f>SUM(AJH72:AKI72)</f>
      </c>
      <c r="AKK72" s="121"/>
      <c r="AKL72" s="122"/>
      <c r="AKM72" s="123"/>
      <c r="AKN72" s="124"/>
      <c r="AKO72" s="124"/>
      <c r="AKP72" s="124"/>
      <c r="AKQ72" s="124"/>
      <c r="AKR72" s="124"/>
      <c r="AKS72" s="124"/>
      <c r="AKT72" s="125"/>
      <c r="AKU72" s="126"/>
      <c r="AKV72" s="124"/>
      <c r="AKW72" s="124"/>
      <c r="AKX72" s="127"/>
      <c r="AKY72" s="123"/>
      <c r="AKZ72" s="124"/>
      <c r="ALA72" s="124"/>
      <c r="ALB72" s="124"/>
      <c r="ALC72" s="124"/>
      <c r="ALD72" s="124"/>
      <c r="ALE72" s="124"/>
      <c r="ALF72" s="124"/>
      <c r="ALG72" s="124"/>
      <c r="ALH72" s="124"/>
      <c r="ALI72" s="124"/>
      <c r="ALJ72" s="125"/>
      <c r="ALK72" s="301"/>
      <c r="ALL72" s="151"/>
      <c r="ALM72" s="131">
        <f>SUM(AKK72:ALL72)</f>
      </c>
      <c r="ALN72" s="121"/>
      <c r="ALO72" s="122"/>
      <c r="ALP72" s="123"/>
      <c r="ALQ72" s="124"/>
      <c r="ALR72" s="124"/>
      <c r="ALS72" s="124"/>
      <c r="ALT72" s="124"/>
      <c r="ALU72" s="124"/>
      <c r="ALV72" s="124"/>
      <c r="ALW72" s="125"/>
      <c r="ALX72" s="126"/>
      <c r="ALY72" s="124"/>
      <c r="ALZ72" s="124"/>
      <c r="AMA72" s="127"/>
      <c r="AMB72" s="123"/>
      <c r="AMC72" s="124"/>
      <c r="AMD72" s="124"/>
      <c r="AME72" s="124"/>
      <c r="AMF72" s="124"/>
      <c r="AMG72" s="124"/>
      <c r="AMH72" s="124"/>
      <c r="AMI72" s="124"/>
      <c r="AMJ72" s="124"/>
      <c r="AMK72" s="124"/>
      <c r="AML72" s="124"/>
      <c r="AMM72" s="125"/>
      <c r="AMN72" s="301"/>
      <c r="AMO72" s="151"/>
      <c r="AMP72" s="131">
        <f>SUM(ALN72:AMO72)</f>
      </c>
      <c r="AMQ72" s="150">
        <f>AFX72+AHA72+AID72+AJG72+AKJ72+ALM72+AMP72</f>
      </c>
      <c r="AMR72" s="302">
        <f>(COUNTIF(AEV72:AMP72,"H")+COUNTIF(AEV72:AMP72,"S")+COUNTIF(AEV72:AMP72,"L")+COUNTIF(AEV72:AMP72,"E")+COUNTIF(AEV72:AMP72,"C"))/2</f>
      </c>
      <c r="AMS72" s="131">
        <f>AMQ72+AMR72</f>
      </c>
      <c r="AMT72" s="4"/>
      <c r="AMU72" s="4"/>
      <c r="AMV72" s="4"/>
      <c r="AMW72" s="4"/>
      <c r="AMX72" s="4"/>
      <c r="AMY72" s="4"/>
      <c r="AMZ72" s="4"/>
      <c r="ANA72" s="4"/>
      <c r="ANB72" s="4"/>
      <c r="ANC72" s="4"/>
      <c r="AND72" s="4"/>
      <c r="ANE72" s="4"/>
      <c r="ANF72" s="4"/>
      <c r="ANG72" s="4"/>
      <c r="ANH72" s="4"/>
      <c r="ANI72" s="4"/>
      <c r="ANJ72" s="13"/>
      <c r="ANK72" s="13"/>
      <c r="ANL72" s="4"/>
      <c r="ANM72" s="4"/>
      <c r="ANN72" s="4"/>
      <c r="ANO72" s="4"/>
      <c r="ANP72" s="4"/>
      <c r="ANQ72" s="4"/>
      <c r="ANR72" s="4"/>
      <c r="ANS72" s="4"/>
      <c r="ANT72" s="4"/>
      <c r="ANU72" s="4"/>
      <c r="ANV72" s="4"/>
      <c r="ANW72" s="4"/>
      <c r="ANX72" s="4"/>
      <c r="ANY72" s="4"/>
      <c r="ANZ72" s="4"/>
      <c r="AOA72" s="4"/>
      <c r="AOB72" s="4"/>
      <c r="AOC72" s="4"/>
      <c r="AOD72" s="4"/>
      <c r="AOE72" s="4"/>
      <c r="AOF72" s="4"/>
      <c r="AOG72" s="4"/>
      <c r="AOH72" s="4"/>
      <c r="AOI72" s="4"/>
      <c r="AOJ72" s="4"/>
      <c r="AOK72" s="4"/>
      <c r="AOL72" s="4"/>
      <c r="AOM72" s="4"/>
      <c r="AON72" s="4"/>
      <c r="AOO72" s="4"/>
      <c r="AOP72" s="4"/>
      <c r="AOQ72" s="4"/>
      <c r="AOR72" s="4"/>
      <c r="AOS72" s="4"/>
      <c r="AOT72" s="4"/>
      <c r="AOU72" s="4"/>
      <c r="AOV72" s="4"/>
      <c r="AOW72" s="4"/>
      <c r="AOX72" s="4"/>
      <c r="AOY72" s="4"/>
      <c r="AOZ72" s="4"/>
      <c r="APA72" s="4"/>
      <c r="APB72" s="4"/>
      <c r="APC72" s="4"/>
      <c r="APD72" s="4"/>
      <c r="APE72" s="4"/>
      <c r="APF72" s="4"/>
      <c r="APG72" s="4"/>
      <c r="APH72" s="4"/>
      <c r="API72" s="4"/>
      <c r="APJ72" s="4"/>
      <c r="APK72" s="4"/>
      <c r="APL72" s="4"/>
      <c r="APM72" s="4"/>
      <c r="APN72" s="4"/>
      <c r="APO72" s="4"/>
      <c r="APP72" s="4"/>
      <c r="APQ72" s="4"/>
      <c r="APR72" s="4"/>
      <c r="APS72" s="4"/>
      <c r="APT72" s="4"/>
      <c r="APU72" s="4"/>
      <c r="APV72" s="4"/>
      <c r="APW72" s="4"/>
      <c r="APX72" s="4"/>
      <c r="APY72" s="4"/>
      <c r="APZ72" s="4"/>
      <c r="AQA72" s="4"/>
      <c r="AQB72" s="4"/>
      <c r="AQC72" s="4"/>
      <c r="AQD72" s="4"/>
      <c r="AQE72" s="4"/>
      <c r="AQF72" s="4"/>
      <c r="AQG72" s="4"/>
      <c r="AQH72" s="4"/>
      <c r="AQI72" s="4"/>
      <c r="AQJ72" s="4"/>
      <c r="AQK72" s="4"/>
      <c r="AQL72" s="4"/>
      <c r="AQM72" s="4"/>
      <c r="AQN72" s="4"/>
      <c r="AQO72" s="4"/>
      <c r="AQP72" s="4"/>
      <c r="AQQ72" s="4"/>
      <c r="AQR72" s="4"/>
      <c r="AQS72" s="4"/>
      <c r="AQT72" s="4"/>
      <c r="AQU72" s="4"/>
      <c r="AQV72" s="4"/>
      <c r="AQW72" s="4"/>
      <c r="AQX72" s="4"/>
      <c r="AQY72" s="4"/>
      <c r="AQZ72" s="4"/>
      <c r="ARA72" s="4"/>
      <c r="ARB72" s="4"/>
      <c r="ARC72" s="4"/>
      <c r="ARD72" s="4"/>
      <c r="ARE72" s="4"/>
      <c r="ARF72" s="4"/>
      <c r="ARG72" s="4"/>
      <c r="ARH72" s="4"/>
      <c r="ARI72" s="4"/>
      <c r="ARJ72" s="4"/>
      <c r="ARK72" s="4"/>
      <c r="ARL72" s="4"/>
      <c r="ARM72" s="4"/>
      <c r="ARN72" s="4"/>
      <c r="ARO72" s="4"/>
      <c r="ARP72" s="4"/>
      <c r="ARQ72" s="4"/>
      <c r="ARR72" s="4"/>
      <c r="ARS72" s="4"/>
      <c r="ART72" s="4"/>
      <c r="ARU72" s="4"/>
      <c r="ARV72" s="4"/>
      <c r="ARW72" s="4"/>
      <c r="ARX72" s="4"/>
      <c r="ARY72" s="4"/>
      <c r="ARZ72" s="4"/>
      <c r="ASA72" s="4"/>
      <c r="ASB72" s="4"/>
      <c r="ASC72" s="4"/>
      <c r="ASD72" s="4"/>
      <c r="ASE72" s="4"/>
      <c r="ASF72" s="4"/>
      <c r="ASG72" s="4"/>
      <c r="ASH72" s="4"/>
      <c r="ASI72" s="4"/>
      <c r="ASJ72" s="4"/>
      <c r="ASK72" s="4"/>
      <c r="ASL72" s="4"/>
      <c r="ASM72" s="4"/>
      <c r="ASN72" s="4"/>
      <c r="ASO72" s="4"/>
      <c r="ASP72" s="4"/>
      <c r="ASQ72" s="4"/>
      <c r="ASR72" s="4"/>
      <c r="ASS72" s="4"/>
      <c r="AST72" s="4"/>
      <c r="ASU72" s="4"/>
    </row>
    <row r="73" ht="15" customHeight="1" spans="1:1191" x14ac:dyDescent="0.25">
      <c r="A73" s="118"/>
      <c r="B73" s="417" t="s">
        <v>111</v>
      </c>
      <c r="C73" s="321" t="s">
        <v>81</v>
      </c>
      <c r="D73" s="434"/>
      <c r="E73" s="435"/>
      <c r="F73" s="436"/>
      <c r="G73" s="437"/>
      <c r="H73" s="437"/>
      <c r="I73" s="437"/>
      <c r="J73" s="437"/>
      <c r="K73" s="437"/>
      <c r="L73" s="437"/>
      <c r="M73" s="438"/>
      <c r="N73" s="439"/>
      <c r="O73" s="437"/>
      <c r="P73" s="437"/>
      <c r="Q73" s="440"/>
      <c r="R73" s="436"/>
      <c r="S73" s="437"/>
      <c r="T73" s="437"/>
      <c r="U73" s="437"/>
      <c r="V73" s="437"/>
      <c r="W73" s="437"/>
      <c r="X73" s="437"/>
      <c r="Y73" s="437"/>
      <c r="Z73" s="437"/>
      <c r="AA73" s="437"/>
      <c r="AB73" s="437"/>
      <c r="AC73" s="438"/>
      <c r="AD73" s="441"/>
      <c r="AE73" s="442"/>
      <c r="AF73" s="131">
        <f>SUM(D73:AE73)</f>
      </c>
      <c r="AG73" s="434"/>
      <c r="AH73" s="435"/>
      <c r="AI73" s="436"/>
      <c r="AJ73" s="437"/>
      <c r="AK73" s="437"/>
      <c r="AL73" s="437"/>
      <c r="AM73" s="437"/>
      <c r="AN73" s="437"/>
      <c r="AO73" s="437"/>
      <c r="AP73" s="438"/>
      <c r="AQ73" s="439"/>
      <c r="AR73" s="437"/>
      <c r="AS73" s="437"/>
      <c r="AT73" s="440"/>
      <c r="AU73" s="436"/>
      <c r="AV73" s="437"/>
      <c r="AW73" s="437"/>
      <c r="AX73" s="437"/>
      <c r="AY73" s="437"/>
      <c r="AZ73" s="437"/>
      <c r="BA73" s="437"/>
      <c r="BB73" s="437"/>
      <c r="BC73" s="437"/>
      <c r="BD73" s="437"/>
      <c r="BE73" s="437"/>
      <c r="BF73" s="438"/>
      <c r="BG73" s="441"/>
      <c r="BH73" s="442"/>
      <c r="BI73" s="131">
        <f>SUM(AG73:BH73)</f>
      </c>
      <c r="BJ73" s="434"/>
      <c r="BK73" s="435"/>
      <c r="BL73" s="436"/>
      <c r="BM73" s="437"/>
      <c r="BN73" s="437"/>
      <c r="BO73" s="437"/>
      <c r="BP73" s="437"/>
      <c r="BQ73" s="437"/>
      <c r="BR73" s="437"/>
      <c r="BS73" s="438"/>
      <c r="BT73" s="439"/>
      <c r="BU73" s="437"/>
      <c r="BV73" s="437"/>
      <c r="BW73" s="440"/>
      <c r="BX73" s="436"/>
      <c r="BY73" s="437"/>
      <c r="BZ73" s="437"/>
      <c r="CA73" s="437"/>
      <c r="CB73" s="437"/>
      <c r="CC73" s="437"/>
      <c r="CD73" s="437"/>
      <c r="CE73" s="437"/>
      <c r="CF73" s="437"/>
      <c r="CG73" s="437"/>
      <c r="CH73" s="437"/>
      <c r="CI73" s="438"/>
      <c r="CJ73" s="441"/>
      <c r="CK73" s="442"/>
      <c r="CL73" s="131">
        <f>SUM(BJ73:CK73)</f>
      </c>
      <c r="CM73" s="434"/>
      <c r="CN73" s="435"/>
      <c r="CO73" s="436"/>
      <c r="CP73" s="437"/>
      <c r="CQ73" s="437"/>
      <c r="CR73" s="437"/>
      <c r="CS73" s="437"/>
      <c r="CT73" s="437"/>
      <c r="CU73" s="437"/>
      <c r="CV73" s="438"/>
      <c r="CW73" s="439"/>
      <c r="CX73" s="437"/>
      <c r="CY73" s="437"/>
      <c r="CZ73" s="440"/>
      <c r="DA73" s="436"/>
      <c r="DB73" s="437"/>
      <c r="DC73" s="437"/>
      <c r="DD73" s="437"/>
      <c r="DE73" s="437"/>
      <c r="DF73" s="437"/>
      <c r="DG73" s="437"/>
      <c r="DH73" s="437"/>
      <c r="DI73" s="437"/>
      <c r="DJ73" s="437"/>
      <c r="DK73" s="437"/>
      <c r="DL73" s="438"/>
      <c r="DM73" s="441"/>
      <c r="DN73" s="442"/>
      <c r="DO73" s="131">
        <f>SUM(CM73:DN73)</f>
      </c>
      <c r="DP73" s="434"/>
      <c r="DQ73" s="435"/>
      <c r="DR73" s="436"/>
      <c r="DS73" s="437"/>
      <c r="DT73" s="437"/>
      <c r="DU73" s="437"/>
      <c r="DV73" s="437"/>
      <c r="DW73" s="437"/>
      <c r="DX73" s="437"/>
      <c r="DY73" s="438"/>
      <c r="DZ73" s="439"/>
      <c r="EA73" s="437"/>
      <c r="EB73" s="437"/>
      <c r="EC73" s="440"/>
      <c r="ED73" s="436"/>
      <c r="EE73" s="437"/>
      <c r="EF73" s="437"/>
      <c r="EG73" s="437"/>
      <c r="EH73" s="437"/>
      <c r="EI73" s="437"/>
      <c r="EJ73" s="437"/>
      <c r="EK73" s="437"/>
      <c r="EL73" s="437"/>
      <c r="EM73" s="437"/>
      <c r="EN73" s="437"/>
      <c r="EO73" s="438"/>
      <c r="EP73" s="441"/>
      <c r="EQ73" s="442"/>
      <c r="ER73" s="131">
        <f>SUM(DP73:EQ73)</f>
      </c>
      <c r="ES73" s="434"/>
      <c r="ET73" s="435"/>
      <c r="EU73" s="436"/>
      <c r="EV73" s="437"/>
      <c r="EW73" s="437"/>
      <c r="EX73" s="437"/>
      <c r="EY73" s="437"/>
      <c r="EZ73" s="437"/>
      <c r="FA73" s="437"/>
      <c r="FB73" s="438"/>
      <c r="FC73" s="439"/>
      <c r="FD73" s="437"/>
      <c r="FE73" s="437"/>
      <c r="FF73" s="440"/>
      <c r="FG73" s="436"/>
      <c r="FH73" s="437"/>
      <c r="FI73" s="437"/>
      <c r="FJ73" s="437"/>
      <c r="FK73" s="437"/>
      <c r="FL73" s="437"/>
      <c r="FM73" s="437"/>
      <c r="FN73" s="437"/>
      <c r="FO73" s="437"/>
      <c r="FP73" s="437"/>
      <c r="FQ73" s="437"/>
      <c r="FR73" s="438"/>
      <c r="FS73" s="441"/>
      <c r="FT73" s="442"/>
      <c r="FU73" s="443">
        <f>SUM(ES73:FT73)</f>
      </c>
      <c r="FV73" s="434"/>
      <c r="FW73" s="435"/>
      <c r="FX73" s="436"/>
      <c r="FY73" s="437"/>
      <c r="FZ73" s="437"/>
      <c r="GA73" s="437"/>
      <c r="GB73" s="437"/>
      <c r="GC73" s="437"/>
      <c r="GD73" s="437"/>
      <c r="GE73" s="438"/>
      <c r="GF73" s="439"/>
      <c r="GG73" s="437"/>
      <c r="GH73" s="437"/>
      <c r="GI73" s="440"/>
      <c r="GJ73" s="436"/>
      <c r="GK73" s="437"/>
      <c r="GL73" s="437"/>
      <c r="GM73" s="437"/>
      <c r="GN73" s="437"/>
      <c r="GO73" s="437"/>
      <c r="GP73" s="437"/>
      <c r="GQ73" s="437"/>
      <c r="GR73" s="437"/>
      <c r="GS73" s="437"/>
      <c r="GT73" s="437"/>
      <c r="GU73" s="438"/>
      <c r="GV73" s="441"/>
      <c r="GW73" s="442"/>
      <c r="GX73" s="131">
        <f>SUM(FV73:GW73)</f>
      </c>
      <c r="GY73" s="150">
        <f>AF73+BI73+CL73+DO73+ER73+FU73+GX73</f>
      </c>
      <c r="GZ73" s="302">
        <f>(COUNTIF(D73:GX73,"H")+COUNTIF(D73:GX73,"S")+COUNTIF(D73:GX73,"L")+COUNTIF(D73:GX73,"E")+COUNTIF(D73:GX73,"C"))/2</f>
      </c>
      <c r="HA73" s="131">
        <f>GY73+GZ73</f>
      </c>
      <c r="HB73" s="444"/>
      <c r="HC73" s="445"/>
      <c r="HD73" s="446"/>
      <c r="HE73" s="447">
        <v>0.5</v>
      </c>
      <c r="HF73" s="447">
        <v>0.5</v>
      </c>
      <c r="HG73" s="447">
        <v>0.5</v>
      </c>
      <c r="HH73" s="447">
        <v>0.5</v>
      </c>
      <c r="HI73" s="447">
        <v>0.5</v>
      </c>
      <c r="HJ73" s="447">
        <v>0.5</v>
      </c>
      <c r="HK73" s="448">
        <v>0.5</v>
      </c>
      <c r="HL73" s="449">
        <v>0.5</v>
      </c>
      <c r="HM73" s="447">
        <v>0.5</v>
      </c>
      <c r="HN73" s="450"/>
      <c r="HO73" s="451"/>
      <c r="HP73" s="452">
        <v>0.5</v>
      </c>
      <c r="HQ73" s="447">
        <v>0.5</v>
      </c>
      <c r="HR73" s="447">
        <v>0.5</v>
      </c>
      <c r="HS73" s="447">
        <v>0.5</v>
      </c>
      <c r="HT73" s="447">
        <v>0.5</v>
      </c>
      <c r="HU73" s="447">
        <v>0.5</v>
      </c>
      <c r="HV73" s="447">
        <v>0.5</v>
      </c>
      <c r="HW73" s="450"/>
      <c r="HX73" s="450"/>
      <c r="HY73" s="450"/>
      <c r="HZ73" s="450"/>
      <c r="IA73" s="453"/>
      <c r="IB73" s="454"/>
      <c r="IC73" s="455"/>
      <c r="ID73" s="131">
        <f>SUM(HB73:IC73)</f>
      </c>
      <c r="IE73" s="444"/>
      <c r="IF73" s="445"/>
      <c r="IG73" s="446"/>
      <c r="IH73" s="447">
        <v>0.5</v>
      </c>
      <c r="II73" s="447">
        <v>0.5</v>
      </c>
      <c r="IJ73" s="447">
        <v>0.5</v>
      </c>
      <c r="IK73" s="447">
        <v>0.5</v>
      </c>
      <c r="IL73" s="447">
        <v>0.5</v>
      </c>
      <c r="IM73" s="447">
        <v>0.5</v>
      </c>
      <c r="IN73" s="448">
        <v>0.5</v>
      </c>
      <c r="IO73" s="449">
        <v>0.5</v>
      </c>
      <c r="IP73" s="447">
        <v>0.5</v>
      </c>
      <c r="IQ73" s="450"/>
      <c r="IR73" s="451"/>
      <c r="IS73" s="452">
        <v>0.5</v>
      </c>
      <c r="IT73" s="447">
        <v>0.5</v>
      </c>
      <c r="IU73" s="447">
        <v>0.5</v>
      </c>
      <c r="IV73" s="447">
        <v>0.5</v>
      </c>
      <c r="IW73" s="447">
        <v>0.5</v>
      </c>
      <c r="IX73" s="447">
        <v>0.5</v>
      </c>
      <c r="IY73" s="447">
        <v>0.5</v>
      </c>
      <c r="IZ73" s="450"/>
      <c r="JA73" s="450"/>
      <c r="JB73" s="450"/>
      <c r="JC73" s="450"/>
      <c r="JD73" s="453"/>
      <c r="JE73" s="454"/>
      <c r="JF73" s="456"/>
      <c r="JG73" s="131">
        <f>SUM(IE73:JF73)</f>
      </c>
      <c r="JH73" s="444"/>
      <c r="JI73" s="445"/>
      <c r="JJ73" s="446"/>
      <c r="JK73" s="447">
        <v>0.5</v>
      </c>
      <c r="JL73" s="447">
        <v>0.5</v>
      </c>
      <c r="JM73" s="447">
        <v>0.5</v>
      </c>
      <c r="JN73" s="447">
        <v>0.5</v>
      </c>
      <c r="JO73" s="447">
        <v>0.5</v>
      </c>
      <c r="JP73" s="447">
        <v>0.5</v>
      </c>
      <c r="JQ73" s="448">
        <v>0.5</v>
      </c>
      <c r="JR73" s="449">
        <v>0.5</v>
      </c>
      <c r="JS73" s="447">
        <v>0.5</v>
      </c>
      <c r="JT73" s="450"/>
      <c r="JU73" s="451"/>
      <c r="JV73" s="452">
        <v>0.5</v>
      </c>
      <c r="JW73" s="447">
        <v>0.5</v>
      </c>
      <c r="JX73" s="447">
        <v>0.5</v>
      </c>
      <c r="JY73" s="447">
        <v>0.5</v>
      </c>
      <c r="JZ73" s="447">
        <v>0.5</v>
      </c>
      <c r="KA73" s="447">
        <v>0.5</v>
      </c>
      <c r="KB73" s="447">
        <v>0.5</v>
      </c>
      <c r="KC73" s="450"/>
      <c r="KD73" s="450"/>
      <c r="KE73" s="450"/>
      <c r="KF73" s="450"/>
      <c r="KG73" s="453"/>
      <c r="KH73" s="454"/>
      <c r="KI73" s="456"/>
      <c r="KJ73" s="131">
        <f>SUM(JH73:KI73)</f>
      </c>
      <c r="KK73" s="444"/>
      <c r="KL73" s="445"/>
      <c r="KM73" s="446"/>
      <c r="KN73" s="447">
        <v>0.5</v>
      </c>
      <c r="KO73" s="447">
        <v>0.5</v>
      </c>
      <c r="KP73" s="447">
        <v>0.5</v>
      </c>
      <c r="KQ73" s="447">
        <v>0.5</v>
      </c>
      <c r="KR73" s="447">
        <v>0.5</v>
      </c>
      <c r="KS73" s="447">
        <v>0.5</v>
      </c>
      <c r="KT73" s="448">
        <v>0.5</v>
      </c>
      <c r="KU73" s="449">
        <v>0.5</v>
      </c>
      <c r="KV73" s="447">
        <v>0.5</v>
      </c>
      <c r="KW73" s="450"/>
      <c r="KX73" s="451"/>
      <c r="KY73" s="452">
        <v>0.5</v>
      </c>
      <c r="KZ73" s="447">
        <v>0.5</v>
      </c>
      <c r="LA73" s="447">
        <v>0.5</v>
      </c>
      <c r="LB73" s="447">
        <v>0.5</v>
      </c>
      <c r="LC73" s="447">
        <v>0.5</v>
      </c>
      <c r="LD73" s="447">
        <v>0.5</v>
      </c>
      <c r="LE73" s="447">
        <v>0.5</v>
      </c>
      <c r="LF73" s="450"/>
      <c r="LG73" s="450"/>
      <c r="LH73" s="450"/>
      <c r="LI73" s="450"/>
      <c r="LJ73" s="453"/>
      <c r="LK73" s="454"/>
      <c r="LL73" s="456"/>
      <c r="LM73" s="131">
        <f>SUM(KK73:LL73)</f>
      </c>
      <c r="LN73" s="444"/>
      <c r="LO73" s="445"/>
      <c r="LP73" s="446"/>
      <c r="LQ73" s="447">
        <v>0.5</v>
      </c>
      <c r="LR73" s="447">
        <v>0.5</v>
      </c>
      <c r="LS73" s="447">
        <v>0.5</v>
      </c>
      <c r="LT73" s="447">
        <v>0.5</v>
      </c>
      <c r="LU73" s="447">
        <v>0.5</v>
      </c>
      <c r="LV73" s="447">
        <v>0.5</v>
      </c>
      <c r="LW73" s="448">
        <v>0.5</v>
      </c>
      <c r="LX73" s="449">
        <v>0.5</v>
      </c>
      <c r="LY73" s="447">
        <v>0.5</v>
      </c>
      <c r="LZ73" s="450"/>
      <c r="MA73" s="451"/>
      <c r="MB73" s="452">
        <v>0.5</v>
      </c>
      <c r="MC73" s="447">
        <v>0.5</v>
      </c>
      <c r="MD73" s="447">
        <v>0.5</v>
      </c>
      <c r="ME73" s="447">
        <v>0.5</v>
      </c>
      <c r="MF73" s="447">
        <v>0.5</v>
      </c>
      <c r="MG73" s="447">
        <v>0.5</v>
      </c>
      <c r="MH73" s="447">
        <v>0.5</v>
      </c>
      <c r="MI73" s="450"/>
      <c r="MJ73" s="450"/>
      <c r="MK73" s="450"/>
      <c r="ML73" s="450"/>
      <c r="MM73" s="453"/>
      <c r="MN73" s="454"/>
      <c r="MO73" s="456"/>
      <c r="MP73" s="131">
        <f>SUM(LN73:MO73)</f>
      </c>
      <c r="MQ73" s="434"/>
      <c r="MR73" s="435"/>
      <c r="MS73" s="436"/>
      <c r="MT73" s="437"/>
      <c r="MU73" s="437"/>
      <c r="MV73" s="437"/>
      <c r="MW73" s="437"/>
      <c r="MX73" s="437"/>
      <c r="MY73" s="437"/>
      <c r="MZ73" s="438"/>
      <c r="NA73" s="439"/>
      <c r="NB73" s="437"/>
      <c r="NC73" s="437"/>
      <c r="ND73" s="440"/>
      <c r="NE73" s="436"/>
      <c r="NF73" s="437"/>
      <c r="NG73" s="437"/>
      <c r="NH73" s="437"/>
      <c r="NI73" s="437"/>
      <c r="NJ73" s="437"/>
      <c r="NK73" s="437"/>
      <c r="NL73" s="437"/>
      <c r="NM73" s="437"/>
      <c r="NN73" s="437"/>
      <c r="NO73" s="437"/>
      <c r="NP73" s="438"/>
      <c r="NQ73" s="441"/>
      <c r="NR73" s="442"/>
      <c r="NS73" s="131">
        <f>SUM(MQ73:NR73)</f>
      </c>
      <c r="NT73" s="434"/>
      <c r="NU73" s="435"/>
      <c r="NV73" s="436"/>
      <c r="NW73" s="437"/>
      <c r="NX73" s="437"/>
      <c r="NY73" s="437"/>
      <c r="NZ73" s="437"/>
      <c r="OA73" s="437"/>
      <c r="OB73" s="437"/>
      <c r="OC73" s="438"/>
      <c r="OD73" s="439"/>
      <c r="OE73" s="437"/>
      <c r="OF73" s="437"/>
      <c r="OG73" s="440"/>
      <c r="OH73" s="436"/>
      <c r="OI73" s="437"/>
      <c r="OJ73" s="437"/>
      <c r="OK73" s="437"/>
      <c r="OL73" s="437"/>
      <c r="OM73" s="437"/>
      <c r="ON73" s="437"/>
      <c r="OO73" s="437"/>
      <c r="OP73" s="437"/>
      <c r="OQ73" s="437"/>
      <c r="OR73" s="437"/>
      <c r="OS73" s="438"/>
      <c r="OT73" s="441"/>
      <c r="OU73" s="442"/>
      <c r="OV73" s="131">
        <f>SUM(NT73:OU73)</f>
      </c>
      <c r="OW73" s="150">
        <f>ID73+JG73+KJ73+LM73+MP73+NS73+OV73</f>
      </c>
      <c r="OX73" s="302">
        <f>(COUNTIF(HB73:OV73,"H")+COUNTIF(HB73:OV73,"S")+COUNTIF(HB73:OV73,"L")+COUNTIF(HB73:OV73,"E")+COUNTIF(HB73:OV73,"C"))/2</f>
      </c>
      <c r="OY73" s="131">
        <f>OW73+OX73</f>
      </c>
      <c r="OZ73" s="444"/>
      <c r="PA73" s="445"/>
      <c r="PB73" s="446"/>
      <c r="PC73" s="447">
        <v>0.5</v>
      </c>
      <c r="PD73" s="447">
        <v>0.5</v>
      </c>
      <c r="PE73" s="447">
        <v>0.5</v>
      </c>
      <c r="PF73" s="447">
        <v>0.5</v>
      </c>
      <c r="PG73" s="447">
        <v>0.5</v>
      </c>
      <c r="PH73" s="447">
        <v>0.5</v>
      </c>
      <c r="PI73" s="448">
        <v>0.5</v>
      </c>
      <c r="PJ73" s="449">
        <v>0.5</v>
      </c>
      <c r="PK73" s="447">
        <v>0.5</v>
      </c>
      <c r="PL73" s="450"/>
      <c r="PM73" s="451"/>
      <c r="PN73" s="452">
        <v>0.5</v>
      </c>
      <c r="PO73" s="447">
        <v>0.5</v>
      </c>
      <c r="PP73" s="447">
        <v>0.5</v>
      </c>
      <c r="PQ73" s="447">
        <v>0.5</v>
      </c>
      <c r="PR73" s="447">
        <v>0.5</v>
      </c>
      <c r="PS73" s="447">
        <v>0.5</v>
      </c>
      <c r="PT73" s="447">
        <v>0.5</v>
      </c>
      <c r="PU73" s="450"/>
      <c r="PV73" s="450"/>
      <c r="PW73" s="450"/>
      <c r="PX73" s="450"/>
      <c r="PY73" s="453"/>
      <c r="PZ73" s="454"/>
      <c r="QA73" s="456"/>
      <c r="QB73" s="131">
        <f>SUM(OZ73:QA73)</f>
      </c>
      <c r="QC73" s="444"/>
      <c r="QD73" s="445"/>
      <c r="QE73" s="446"/>
      <c r="QF73" s="447">
        <v>0.5</v>
      </c>
      <c r="QG73" s="447">
        <v>0.5</v>
      </c>
      <c r="QH73" s="447">
        <v>0.5</v>
      </c>
      <c r="QI73" s="447">
        <v>0.5</v>
      </c>
      <c r="QJ73" s="447">
        <v>0.5</v>
      </c>
      <c r="QK73" s="447">
        <v>0.5</v>
      </c>
      <c r="QL73" s="448">
        <v>0.5</v>
      </c>
      <c r="QM73" s="449">
        <v>0.5</v>
      </c>
      <c r="QN73" s="447">
        <v>0.5</v>
      </c>
      <c r="QO73" s="450"/>
      <c r="QP73" s="451"/>
      <c r="QQ73" s="452">
        <v>0.5</v>
      </c>
      <c r="QR73" s="447">
        <v>0.5</v>
      </c>
      <c r="QS73" s="447">
        <v>0.5</v>
      </c>
      <c r="QT73" s="447">
        <v>0.5</v>
      </c>
      <c r="QU73" s="447">
        <v>0.5</v>
      </c>
      <c r="QV73" s="447">
        <v>0.5</v>
      </c>
      <c r="QW73" s="447">
        <v>0.5</v>
      </c>
      <c r="QX73" s="450"/>
      <c r="QY73" s="450"/>
      <c r="QZ73" s="450"/>
      <c r="RA73" s="450"/>
      <c r="RB73" s="453"/>
      <c r="RC73" s="454"/>
      <c r="RD73" s="456"/>
      <c r="RE73" s="131">
        <f>SUM(QC73:RD73)</f>
      </c>
      <c r="RF73" s="444"/>
      <c r="RG73" s="445"/>
      <c r="RH73" s="446"/>
      <c r="RI73" s="447">
        <v>0.5</v>
      </c>
      <c r="RJ73" s="447">
        <v>0.5</v>
      </c>
      <c r="RK73" s="447">
        <v>0.5</v>
      </c>
      <c r="RL73" s="447">
        <v>0.5</v>
      </c>
      <c r="RM73" s="447">
        <v>0.5</v>
      </c>
      <c r="RN73" s="447">
        <v>0.5</v>
      </c>
      <c r="RO73" s="448">
        <v>0.5</v>
      </c>
      <c r="RP73" s="449">
        <v>0.5</v>
      </c>
      <c r="RQ73" s="447">
        <v>0.5</v>
      </c>
      <c r="RR73" s="450"/>
      <c r="RS73" s="451"/>
      <c r="RT73" s="452">
        <v>0.5</v>
      </c>
      <c r="RU73" s="447">
        <v>0.5</v>
      </c>
      <c r="RV73" s="447">
        <v>0.5</v>
      </c>
      <c r="RW73" s="447">
        <v>0.5</v>
      </c>
      <c r="RX73" s="447">
        <v>0.5</v>
      </c>
      <c r="RY73" s="447">
        <v>0.5</v>
      </c>
      <c r="RZ73" s="447">
        <v>0.5</v>
      </c>
      <c r="SA73" s="450"/>
      <c r="SB73" s="450"/>
      <c r="SC73" s="450"/>
      <c r="SD73" s="450"/>
      <c r="SE73" s="453"/>
      <c r="SF73" s="454"/>
      <c r="SG73" s="456"/>
      <c r="SH73" s="131">
        <f>SUM(RF73:SG73)</f>
      </c>
      <c r="SI73" s="444"/>
      <c r="SJ73" s="445"/>
      <c r="SK73" s="446"/>
      <c r="SL73" s="447">
        <v>0.5</v>
      </c>
      <c r="SM73" s="447">
        <v>0.5</v>
      </c>
      <c r="SN73" s="447">
        <v>0.5</v>
      </c>
      <c r="SO73" s="447">
        <v>0.5</v>
      </c>
      <c r="SP73" s="447">
        <v>0.5</v>
      </c>
      <c r="SQ73" s="447">
        <v>0.5</v>
      </c>
      <c r="SR73" s="448">
        <v>0.5</v>
      </c>
      <c r="SS73" s="449">
        <v>0.5</v>
      </c>
      <c r="ST73" s="447">
        <v>0.5</v>
      </c>
      <c r="SU73" s="450"/>
      <c r="SV73" s="451"/>
      <c r="SW73" s="452">
        <v>0.5</v>
      </c>
      <c r="SX73" s="447">
        <v>0.5</v>
      </c>
      <c r="SY73" s="447">
        <v>0.5</v>
      </c>
      <c r="SZ73" s="447">
        <v>0.5</v>
      </c>
      <c r="TA73" s="447">
        <v>0.5</v>
      </c>
      <c r="TB73" s="447">
        <v>0.5</v>
      </c>
      <c r="TC73" s="447">
        <v>0.5</v>
      </c>
      <c r="TD73" s="450"/>
      <c r="TE73" s="450"/>
      <c r="TF73" s="450"/>
      <c r="TG73" s="450"/>
      <c r="TH73" s="453"/>
      <c r="TI73" s="454"/>
      <c r="TJ73" s="456"/>
      <c r="TK73" s="131">
        <f>SUM(SI73:TJ73)</f>
      </c>
      <c r="TL73" s="457"/>
      <c r="TM73" s="458"/>
      <c r="TN73" s="459"/>
      <c r="TO73" s="460" t="s">
        <v>4</v>
      </c>
      <c r="TP73" s="460" t="s">
        <v>4</v>
      </c>
      <c r="TQ73" s="460" t="s">
        <v>4</v>
      </c>
      <c r="TR73" s="460" t="s">
        <v>4</v>
      </c>
      <c r="TS73" s="460" t="s">
        <v>4</v>
      </c>
      <c r="TT73" s="460" t="s">
        <v>4</v>
      </c>
      <c r="TU73" s="461" t="s">
        <v>4</v>
      </c>
      <c r="TV73" s="462" t="s">
        <v>4</v>
      </c>
      <c r="TW73" s="463"/>
      <c r="TX73" s="463"/>
      <c r="TY73" s="464" t="s">
        <v>4</v>
      </c>
      <c r="TZ73" s="465" t="s">
        <v>4</v>
      </c>
      <c r="UA73" s="460" t="s">
        <v>4</v>
      </c>
      <c r="UB73" s="460" t="s">
        <v>4</v>
      </c>
      <c r="UC73" s="460" t="s">
        <v>4</v>
      </c>
      <c r="UD73" s="460" t="s">
        <v>4</v>
      </c>
      <c r="UE73" s="460" t="s">
        <v>4</v>
      </c>
      <c r="UF73" s="460" t="s">
        <v>4</v>
      </c>
      <c r="UG73" s="463"/>
      <c r="UH73" s="463"/>
      <c r="UI73" s="463"/>
      <c r="UJ73" s="463"/>
      <c r="UK73" s="466"/>
      <c r="UL73" s="467"/>
      <c r="UM73" s="468"/>
      <c r="UN73" s="131">
        <f>SUM(TL73:UM73)</f>
      </c>
      <c r="UO73" s="434"/>
      <c r="UP73" s="435"/>
      <c r="UQ73" s="436"/>
      <c r="UR73" s="437"/>
      <c r="US73" s="437"/>
      <c r="UT73" s="437"/>
      <c r="UU73" s="437"/>
      <c r="UV73" s="437"/>
      <c r="UW73" s="437"/>
      <c r="UX73" s="438"/>
      <c r="UY73" s="439"/>
      <c r="UZ73" s="437"/>
      <c r="VA73" s="437"/>
      <c r="VB73" s="440"/>
      <c r="VC73" s="436"/>
      <c r="VD73" s="437"/>
      <c r="VE73" s="437"/>
      <c r="VF73" s="437"/>
      <c r="VG73" s="437"/>
      <c r="VH73" s="437"/>
      <c r="VI73" s="437"/>
      <c r="VJ73" s="437"/>
      <c r="VK73" s="437"/>
      <c r="VL73" s="437"/>
      <c r="VM73" s="437"/>
      <c r="VN73" s="438"/>
      <c r="VO73" s="441"/>
      <c r="VP73" s="442"/>
      <c r="VQ73" s="131">
        <f>SUM(UO73:VP73)</f>
      </c>
      <c r="VR73" s="434"/>
      <c r="VS73" s="435"/>
      <c r="VT73" s="436"/>
      <c r="VU73" s="437"/>
      <c r="VV73" s="437"/>
      <c r="VW73" s="437"/>
      <c r="VX73" s="437"/>
      <c r="VY73" s="437"/>
      <c r="VZ73" s="437"/>
      <c r="WA73" s="438"/>
      <c r="WB73" s="439"/>
      <c r="WC73" s="437"/>
      <c r="WD73" s="437"/>
      <c r="WE73" s="440"/>
      <c r="WF73" s="436"/>
      <c r="WG73" s="437"/>
      <c r="WH73" s="437"/>
      <c r="WI73" s="437"/>
      <c r="WJ73" s="437"/>
      <c r="WK73" s="437"/>
      <c r="WL73" s="437"/>
      <c r="WM73" s="437"/>
      <c r="WN73" s="437"/>
      <c r="WO73" s="437"/>
      <c r="WP73" s="437"/>
      <c r="WQ73" s="438"/>
      <c r="WR73" s="441"/>
      <c r="WS73" s="442"/>
      <c r="WT73" s="131">
        <f>SUM(VR73:WS73)</f>
      </c>
      <c r="WU73" s="150">
        <f>QB73+RE73+SH73+TK73+UN73+VQ73+WT73</f>
      </c>
      <c r="WV73" s="302">
        <f>(COUNTIF(OZ73:WT73,"H")+COUNTIF(OZ73:WT73,"S")+COUNTIF(OZ73:WT73,"L")+COUNTIF(OZ73:WT73,"E")+COUNTIF(OZ73:WT73,"C"))/2</f>
      </c>
      <c r="WW73" s="131">
        <f>WU73+WV73</f>
      </c>
      <c r="WX73" s="444"/>
      <c r="WY73" s="445"/>
      <c r="WZ73" s="446"/>
      <c r="XA73" s="447">
        <v>0.5</v>
      </c>
      <c r="XB73" s="447">
        <v>0.5</v>
      </c>
      <c r="XC73" s="447">
        <v>0.5</v>
      </c>
      <c r="XD73" s="447">
        <v>0.5</v>
      </c>
      <c r="XE73" s="447">
        <v>0.5</v>
      </c>
      <c r="XF73" s="447">
        <v>0.5</v>
      </c>
      <c r="XG73" s="448">
        <v>0.5</v>
      </c>
      <c r="XH73" s="449">
        <v>0.5</v>
      </c>
      <c r="XI73" s="447">
        <v>0.5</v>
      </c>
      <c r="XJ73" s="450"/>
      <c r="XK73" s="451"/>
      <c r="XL73" s="452">
        <v>0.5</v>
      </c>
      <c r="XM73" s="447">
        <v>0.5</v>
      </c>
      <c r="XN73" s="447">
        <v>0.5</v>
      </c>
      <c r="XO73" s="447">
        <v>0.5</v>
      </c>
      <c r="XP73" s="447">
        <v>0.5</v>
      </c>
      <c r="XQ73" s="447">
        <v>0.5</v>
      </c>
      <c r="XR73" s="447">
        <v>0.5</v>
      </c>
      <c r="XS73" s="450"/>
      <c r="XT73" s="450"/>
      <c r="XU73" s="450"/>
      <c r="XV73" s="450"/>
      <c r="XW73" s="453"/>
      <c r="XX73" s="454"/>
      <c r="XY73" s="456"/>
      <c r="XZ73" s="131">
        <f>SUM(WX73:XY73)</f>
      </c>
      <c r="YA73" s="444"/>
      <c r="YB73" s="445"/>
      <c r="YC73" s="446"/>
      <c r="YD73" s="447">
        <v>0.5</v>
      </c>
      <c r="YE73" s="447">
        <v>0.5</v>
      </c>
      <c r="YF73" s="447">
        <v>0.5</v>
      </c>
      <c r="YG73" s="447">
        <v>0.5</v>
      </c>
      <c r="YH73" s="447">
        <v>0.5</v>
      </c>
      <c r="YI73" s="447">
        <v>0.5</v>
      </c>
      <c r="YJ73" s="448">
        <v>0.5</v>
      </c>
      <c r="YK73" s="449">
        <v>0.5</v>
      </c>
      <c r="YL73" s="447">
        <v>0.5</v>
      </c>
      <c r="YM73" s="450"/>
      <c r="YN73" s="451"/>
      <c r="YO73" s="452">
        <v>0.5</v>
      </c>
      <c r="YP73" s="447">
        <v>0.5</v>
      </c>
      <c r="YQ73" s="447">
        <v>0.5</v>
      </c>
      <c r="YR73" s="447">
        <v>0.5</v>
      </c>
      <c r="YS73" s="447">
        <v>0.5</v>
      </c>
      <c r="YT73" s="447">
        <v>0.5</v>
      </c>
      <c r="YU73" s="447">
        <v>0.5</v>
      </c>
      <c r="YV73" s="450"/>
      <c r="YW73" s="450"/>
      <c r="YX73" s="450"/>
      <c r="YY73" s="450"/>
      <c r="YZ73" s="453"/>
      <c r="ZA73" s="454"/>
      <c r="ZB73" s="456"/>
      <c r="ZC73" s="131">
        <f>SUM(YA73:ZB73)</f>
      </c>
      <c r="ZD73" s="444"/>
      <c r="ZE73" s="445"/>
      <c r="ZF73" s="446"/>
      <c r="ZG73" s="447">
        <v>0.5</v>
      </c>
      <c r="ZH73" s="447">
        <v>0.5</v>
      </c>
      <c r="ZI73" s="447">
        <v>0.5</v>
      </c>
      <c r="ZJ73" s="447">
        <v>0.5</v>
      </c>
      <c r="ZK73" s="447">
        <v>0.5</v>
      </c>
      <c r="ZL73" s="447">
        <v>0.5</v>
      </c>
      <c r="ZM73" s="448">
        <v>0.5</v>
      </c>
      <c r="ZN73" s="449">
        <v>0.5</v>
      </c>
      <c r="ZO73" s="447">
        <v>0.5</v>
      </c>
      <c r="ZP73" s="450"/>
      <c r="ZQ73" s="451"/>
      <c r="ZR73" s="452">
        <v>0.5</v>
      </c>
      <c r="ZS73" s="447">
        <v>0.5</v>
      </c>
      <c r="ZT73" s="447">
        <v>0.5</v>
      </c>
      <c r="ZU73" s="447">
        <v>0.5</v>
      </c>
      <c r="ZV73" s="447">
        <v>0.5</v>
      </c>
      <c r="ZW73" s="447">
        <v>0.5</v>
      </c>
      <c r="ZX73" s="447">
        <v>0.5</v>
      </c>
      <c r="ZY73" s="450"/>
      <c r="ZZ73" s="450"/>
      <c r="AAA73" s="450"/>
      <c r="AAB73" s="450"/>
      <c r="AAC73" s="453"/>
      <c r="AAD73" s="454"/>
      <c r="AAE73" s="456"/>
      <c r="AAF73" s="131">
        <f>SUM(ZD73:AAE73)</f>
      </c>
      <c r="AAG73" s="444"/>
      <c r="AAH73" s="445"/>
      <c r="AAI73" s="446"/>
      <c r="AAJ73" s="447">
        <v>0.5</v>
      </c>
      <c r="AAK73" s="447">
        <v>0.5</v>
      </c>
      <c r="AAL73" s="447">
        <v>0.5</v>
      </c>
      <c r="AAM73" s="447">
        <v>0.5</v>
      </c>
      <c r="AAN73" s="447">
        <v>0.5</v>
      </c>
      <c r="AAO73" s="447">
        <v>0.5</v>
      </c>
      <c r="AAP73" s="448">
        <v>0.5</v>
      </c>
      <c r="AAQ73" s="449">
        <v>0.5</v>
      </c>
      <c r="AAR73" s="447">
        <v>0.5</v>
      </c>
      <c r="AAS73" s="450"/>
      <c r="AAT73" s="451"/>
      <c r="AAU73" s="452">
        <v>0.5</v>
      </c>
      <c r="AAV73" s="447">
        <v>0.5</v>
      </c>
      <c r="AAW73" s="447">
        <v>0.5</v>
      </c>
      <c r="AAX73" s="447">
        <v>0.5</v>
      </c>
      <c r="AAY73" s="447">
        <v>0.5</v>
      </c>
      <c r="AAZ73" s="447">
        <v>0.5</v>
      </c>
      <c r="ABA73" s="447">
        <v>0.5</v>
      </c>
      <c r="ABB73" s="450"/>
      <c r="ABC73" s="450"/>
      <c r="ABD73" s="450"/>
      <c r="ABE73" s="450"/>
      <c r="ABF73" s="453"/>
      <c r="ABG73" s="454"/>
      <c r="ABH73" s="456"/>
      <c r="ABI73" s="131">
        <f>SUM(AAG73:ABH73)</f>
      </c>
      <c r="ABJ73" s="444"/>
      <c r="ABK73" s="445"/>
      <c r="ABL73" s="446"/>
      <c r="ABM73" s="447">
        <v>0.5</v>
      </c>
      <c r="ABN73" s="447">
        <v>0.5</v>
      </c>
      <c r="ABO73" s="447">
        <v>0.5</v>
      </c>
      <c r="ABP73" s="447">
        <v>0.5</v>
      </c>
      <c r="ABQ73" s="447">
        <v>0.5</v>
      </c>
      <c r="ABR73" s="447">
        <v>0.5</v>
      </c>
      <c r="ABS73" s="448">
        <v>0.5</v>
      </c>
      <c r="ABT73" s="449">
        <v>0.5</v>
      </c>
      <c r="ABU73" s="447">
        <v>0.5</v>
      </c>
      <c r="ABV73" s="450"/>
      <c r="ABW73" s="451"/>
      <c r="ABX73" s="452">
        <v>0.5</v>
      </c>
      <c r="ABY73" s="447">
        <v>0.5</v>
      </c>
      <c r="ABZ73" s="447">
        <v>0.5</v>
      </c>
      <c r="ACA73" s="447">
        <v>0.5</v>
      </c>
      <c r="ACB73" s="447">
        <v>0.5</v>
      </c>
      <c r="ACC73" s="447">
        <v>0.5</v>
      </c>
      <c r="ACD73" s="447">
        <v>0.5</v>
      </c>
      <c r="ACE73" s="450"/>
      <c r="ACF73" s="450"/>
      <c r="ACG73" s="450"/>
      <c r="ACH73" s="450"/>
      <c r="ACI73" s="453"/>
      <c r="ACJ73" s="454"/>
      <c r="ACK73" s="469"/>
      <c r="ACL73" s="131">
        <f>SUM(ABJ73:ACK73)</f>
      </c>
      <c r="ACM73" s="434"/>
      <c r="ACN73" s="435"/>
      <c r="ACO73" s="436"/>
      <c r="ACP73" s="437"/>
      <c r="ACQ73" s="437"/>
      <c r="ACR73" s="437"/>
      <c r="ACS73" s="437"/>
      <c r="ACT73" s="437"/>
      <c r="ACU73" s="437"/>
      <c r="ACV73" s="438"/>
      <c r="ACW73" s="439"/>
      <c r="ACX73" s="437"/>
      <c r="ACY73" s="437"/>
      <c r="ACZ73" s="440"/>
      <c r="ADA73" s="436"/>
      <c r="ADB73" s="437"/>
      <c r="ADC73" s="437"/>
      <c r="ADD73" s="437"/>
      <c r="ADE73" s="437"/>
      <c r="ADF73" s="437"/>
      <c r="ADG73" s="437"/>
      <c r="ADH73" s="437"/>
      <c r="ADI73" s="437"/>
      <c r="ADJ73" s="437"/>
      <c r="ADK73" s="437"/>
      <c r="ADL73" s="438"/>
      <c r="ADM73" s="441"/>
      <c r="ADN73" s="470"/>
      <c r="ADO73" s="131">
        <f>SUM(ACM73:ADN73)</f>
      </c>
      <c r="ADP73" s="434"/>
      <c r="ADQ73" s="435"/>
      <c r="ADR73" s="436"/>
      <c r="ADS73" s="437"/>
      <c r="ADT73" s="437"/>
      <c r="ADU73" s="437"/>
      <c r="ADV73" s="437"/>
      <c r="ADW73" s="437"/>
      <c r="ADX73" s="437"/>
      <c r="ADY73" s="438"/>
      <c r="ADZ73" s="439"/>
      <c r="AEA73" s="437"/>
      <c r="AEB73" s="437"/>
      <c r="AEC73" s="440"/>
      <c r="AED73" s="436"/>
      <c r="AEE73" s="437"/>
      <c r="AEF73" s="437"/>
      <c r="AEG73" s="437"/>
      <c r="AEH73" s="437"/>
      <c r="AEI73" s="437"/>
      <c r="AEJ73" s="437"/>
      <c r="AEK73" s="437"/>
      <c r="AEL73" s="437"/>
      <c r="AEM73" s="437"/>
      <c r="AEN73" s="437"/>
      <c r="AEO73" s="438"/>
      <c r="AEP73" s="441"/>
      <c r="AEQ73" s="442"/>
      <c r="AER73" s="131">
        <f>SUM(ADP73:AEQ73)</f>
      </c>
      <c r="AES73" s="150">
        <f>XZ73+ZC73+AAF73+ABI73+ACL73+ADO73+AER73</f>
      </c>
      <c r="AET73" s="302">
        <f>(COUNTIF(WX73:AER73,"H")+COUNTIF(WX73:AER73,"S")+COUNTIF(WX73:AER73,"L")+COUNTIF(WX73:AER73,"E")+COUNTIF(WX73:AER73,"C"))/2</f>
      </c>
      <c r="AEU73" s="131">
        <f>AES73+AET73</f>
      </c>
      <c r="AEV73" s="444"/>
      <c r="AEW73" s="445"/>
      <c r="AEX73" s="446"/>
      <c r="AEY73" s="447">
        <v>0.5</v>
      </c>
      <c r="AEZ73" s="447">
        <v>0.5</v>
      </c>
      <c r="AFA73" s="447">
        <v>0.5</v>
      </c>
      <c r="AFB73" s="447">
        <v>0.5</v>
      </c>
      <c r="AFC73" s="447">
        <v>0.5</v>
      </c>
      <c r="AFD73" s="447">
        <v>0.5</v>
      </c>
      <c r="AFE73" s="448">
        <v>0.5</v>
      </c>
      <c r="AFF73" s="449">
        <v>0.5</v>
      </c>
      <c r="AFG73" s="447">
        <v>0.5</v>
      </c>
      <c r="AFH73" s="450"/>
      <c r="AFI73" s="451"/>
      <c r="AFJ73" s="452">
        <v>0.5</v>
      </c>
      <c r="AFK73" s="447">
        <v>0.5</v>
      </c>
      <c r="AFL73" s="447">
        <v>0.5</v>
      </c>
      <c r="AFM73" s="447">
        <v>0.5</v>
      </c>
      <c r="AFN73" s="447">
        <v>0.5</v>
      </c>
      <c r="AFO73" s="447">
        <v>0.5</v>
      </c>
      <c r="AFP73" s="447">
        <v>0.5</v>
      </c>
      <c r="AFQ73" s="450"/>
      <c r="AFR73" s="450"/>
      <c r="AFS73" s="450"/>
      <c r="AFT73" s="450"/>
      <c r="AFU73" s="453"/>
      <c r="AFV73" s="454"/>
      <c r="AFW73" s="456"/>
      <c r="AFX73" s="131">
        <f>SUM(AEV73:AFW73)</f>
      </c>
      <c r="AFY73" s="444"/>
      <c r="AFZ73" s="445"/>
      <c r="AGA73" s="446"/>
      <c r="AGB73" s="447">
        <v>0.5</v>
      </c>
      <c r="AGC73" s="447">
        <v>0.5</v>
      </c>
      <c r="AGD73" s="447">
        <v>0.5</v>
      </c>
      <c r="AGE73" s="447">
        <v>0.5</v>
      </c>
      <c r="AGF73" s="447">
        <v>0.5</v>
      </c>
      <c r="AGG73" s="447">
        <v>0.5</v>
      </c>
      <c r="AGH73" s="448">
        <v>0.5</v>
      </c>
      <c r="AGI73" s="449">
        <v>0.5</v>
      </c>
      <c r="AGJ73" s="447">
        <v>0.5</v>
      </c>
      <c r="AGK73" s="450"/>
      <c r="AGL73" s="451"/>
      <c r="AGM73" s="452">
        <v>0.5</v>
      </c>
      <c r="AGN73" s="447">
        <v>0.5</v>
      </c>
      <c r="AGO73" s="447">
        <v>0.5</v>
      </c>
      <c r="AGP73" s="447">
        <v>0.5</v>
      </c>
      <c r="AGQ73" s="447">
        <v>0.5</v>
      </c>
      <c r="AGR73" s="447">
        <v>0.5</v>
      </c>
      <c r="AGS73" s="447">
        <v>0.5</v>
      </c>
      <c r="AGT73" s="450"/>
      <c r="AGU73" s="450"/>
      <c r="AGV73" s="450"/>
      <c r="AGW73" s="450"/>
      <c r="AGX73" s="453"/>
      <c r="AGY73" s="454"/>
      <c r="AGZ73" s="456"/>
      <c r="AHA73" s="131">
        <f>SUM(AFY73:AGZ73)</f>
      </c>
      <c r="AHB73" s="444"/>
      <c r="AHC73" s="445"/>
      <c r="AHD73" s="446"/>
      <c r="AHE73" s="447">
        <v>0.5</v>
      </c>
      <c r="AHF73" s="447">
        <v>0.5</v>
      </c>
      <c r="AHG73" s="447">
        <v>0.5</v>
      </c>
      <c r="AHH73" s="447">
        <v>0.5</v>
      </c>
      <c r="AHI73" s="447">
        <v>0.5</v>
      </c>
      <c r="AHJ73" s="447">
        <v>0.5</v>
      </c>
      <c r="AHK73" s="448">
        <v>0.5</v>
      </c>
      <c r="AHL73" s="449">
        <v>0.5</v>
      </c>
      <c r="AHM73" s="447">
        <v>0.5</v>
      </c>
      <c r="AHN73" s="450"/>
      <c r="AHO73" s="451"/>
      <c r="AHP73" s="452">
        <v>0.5</v>
      </c>
      <c r="AHQ73" s="447">
        <v>0.5</v>
      </c>
      <c r="AHR73" s="447">
        <v>0.5</v>
      </c>
      <c r="AHS73" s="447">
        <v>0.5</v>
      </c>
      <c r="AHT73" s="447">
        <v>0.5</v>
      </c>
      <c r="AHU73" s="447">
        <v>0.5</v>
      </c>
      <c r="AHV73" s="447">
        <v>0.5</v>
      </c>
      <c r="AHW73" s="450"/>
      <c r="AHX73" s="450"/>
      <c r="AHY73" s="450"/>
      <c r="AHZ73" s="450"/>
      <c r="AIA73" s="453"/>
      <c r="AIB73" s="454"/>
      <c r="AIC73" s="456"/>
      <c r="AID73" s="131">
        <f>SUM(AHB73:AIC73)</f>
      </c>
      <c r="AIE73" s="444"/>
      <c r="AIF73" s="445"/>
      <c r="AIG73" s="446"/>
      <c r="AIH73" s="447">
        <v>0.5</v>
      </c>
      <c r="AII73" s="447">
        <v>0.5</v>
      </c>
      <c r="AIJ73" s="447">
        <v>0.5</v>
      </c>
      <c r="AIK73" s="447">
        <v>0.5</v>
      </c>
      <c r="AIL73" s="447">
        <v>0.5</v>
      </c>
      <c r="AIM73" s="447">
        <v>0.5</v>
      </c>
      <c r="AIN73" s="448">
        <v>0.5</v>
      </c>
      <c r="AIO73" s="449">
        <v>0.5</v>
      </c>
      <c r="AIP73" s="447">
        <v>0.5</v>
      </c>
      <c r="AIQ73" s="450"/>
      <c r="AIR73" s="451"/>
      <c r="AIS73" s="452">
        <v>0.5</v>
      </c>
      <c r="AIT73" s="447">
        <v>0.5</v>
      </c>
      <c r="AIU73" s="447">
        <v>0.5</v>
      </c>
      <c r="AIV73" s="447">
        <v>0.5</v>
      </c>
      <c r="AIW73" s="447">
        <v>0.5</v>
      </c>
      <c r="AIX73" s="447">
        <v>0.5</v>
      </c>
      <c r="AIY73" s="447">
        <v>0.5</v>
      </c>
      <c r="AIZ73" s="450"/>
      <c r="AJA73" s="450"/>
      <c r="AJB73" s="450"/>
      <c r="AJC73" s="450"/>
      <c r="AJD73" s="453"/>
      <c r="AJE73" s="454"/>
      <c r="AJF73" s="456"/>
      <c r="AJG73" s="131">
        <f>SUM(AIE73:AJF73)</f>
      </c>
      <c r="AJH73" s="444"/>
      <c r="AJI73" s="445"/>
      <c r="AJJ73" s="446"/>
      <c r="AJK73" s="447">
        <v>0.5</v>
      </c>
      <c r="AJL73" s="447">
        <v>0.5</v>
      </c>
      <c r="AJM73" s="447">
        <v>0.5</v>
      </c>
      <c r="AJN73" s="447">
        <v>0.5</v>
      </c>
      <c r="AJO73" s="447">
        <v>0.5</v>
      </c>
      <c r="AJP73" s="447">
        <v>0.5</v>
      </c>
      <c r="AJQ73" s="448">
        <v>0.5</v>
      </c>
      <c r="AJR73" s="449">
        <v>0.5</v>
      </c>
      <c r="AJS73" s="447">
        <v>0.5</v>
      </c>
      <c r="AJT73" s="450"/>
      <c r="AJU73" s="451"/>
      <c r="AJV73" s="452">
        <v>0.5</v>
      </c>
      <c r="AJW73" s="447">
        <v>0.5</v>
      </c>
      <c r="AJX73" s="447">
        <v>0.5</v>
      </c>
      <c r="AJY73" s="447">
        <v>0.5</v>
      </c>
      <c r="AJZ73" s="447">
        <v>0.5</v>
      </c>
      <c r="AKA73" s="447">
        <v>0.5</v>
      </c>
      <c r="AKB73" s="447">
        <v>0.5</v>
      </c>
      <c r="AKC73" s="450"/>
      <c r="AKD73" s="450"/>
      <c r="AKE73" s="450"/>
      <c r="AKF73" s="450"/>
      <c r="AKG73" s="453"/>
      <c r="AKH73" s="454"/>
      <c r="AKI73" s="456"/>
      <c r="AKJ73" s="131">
        <f>SUM(AJH73:AKI73)</f>
      </c>
      <c r="AKK73" s="434"/>
      <c r="AKL73" s="435"/>
      <c r="AKM73" s="436"/>
      <c r="AKN73" s="437"/>
      <c r="AKO73" s="437"/>
      <c r="AKP73" s="437"/>
      <c r="AKQ73" s="437"/>
      <c r="AKR73" s="437"/>
      <c r="AKS73" s="437"/>
      <c r="AKT73" s="438"/>
      <c r="AKU73" s="439"/>
      <c r="AKV73" s="437"/>
      <c r="AKW73" s="437"/>
      <c r="AKX73" s="440"/>
      <c r="AKY73" s="436"/>
      <c r="AKZ73" s="437"/>
      <c r="ALA73" s="437"/>
      <c r="ALB73" s="437"/>
      <c r="ALC73" s="437"/>
      <c r="ALD73" s="437"/>
      <c r="ALE73" s="437"/>
      <c r="ALF73" s="437"/>
      <c r="ALG73" s="437"/>
      <c r="ALH73" s="437"/>
      <c r="ALI73" s="437"/>
      <c r="ALJ73" s="438"/>
      <c r="ALK73" s="441"/>
      <c r="ALL73" s="442"/>
      <c r="ALM73" s="131">
        <f>SUM(AKK73:ALL73)</f>
      </c>
      <c r="ALN73" s="434"/>
      <c r="ALO73" s="435"/>
      <c r="ALP73" s="436"/>
      <c r="ALQ73" s="437"/>
      <c r="ALR73" s="437"/>
      <c r="ALS73" s="437"/>
      <c r="ALT73" s="437"/>
      <c r="ALU73" s="437"/>
      <c r="ALV73" s="437"/>
      <c r="ALW73" s="438"/>
      <c r="ALX73" s="439"/>
      <c r="ALY73" s="437"/>
      <c r="ALZ73" s="437"/>
      <c r="AMA73" s="440"/>
      <c r="AMB73" s="436"/>
      <c r="AMC73" s="437"/>
      <c r="AMD73" s="437"/>
      <c r="AME73" s="437"/>
      <c r="AMF73" s="437"/>
      <c r="AMG73" s="437"/>
      <c r="AMH73" s="437"/>
      <c r="AMI73" s="437"/>
      <c r="AMJ73" s="437"/>
      <c r="AMK73" s="437"/>
      <c r="AML73" s="437"/>
      <c r="AMM73" s="438"/>
      <c r="AMN73" s="441"/>
      <c r="AMO73" s="442"/>
      <c r="AMP73" s="131">
        <f>SUM(ALN73:AMO73)</f>
      </c>
      <c r="AMQ73" s="150">
        <f>AFX73+AHA73+AID73+AJG73+AKJ73+ALM73+AMP73</f>
      </c>
      <c r="AMR73" s="302">
        <f>(COUNTIF(AEV73:AMP73,"H")+COUNTIF(AEV73:AMP73,"S")+COUNTIF(AEV73:AMP73,"L")+COUNTIF(AEV73:AMP73,"E")+COUNTIF(AEV73:AMP73,"C"))/2</f>
      </c>
      <c r="AMS73" s="131">
        <f>AMQ73+AMR73</f>
      </c>
      <c r="AMT73" s="4"/>
      <c r="AMU73" s="4"/>
      <c r="AMV73" s="4"/>
      <c r="AMW73" s="4"/>
      <c r="AMX73" s="4"/>
      <c r="AMY73" s="4"/>
      <c r="AMZ73" s="4"/>
      <c r="ANA73" s="4"/>
      <c r="ANB73" s="4"/>
      <c r="ANC73" s="4"/>
      <c r="AND73" s="4"/>
      <c r="ANE73" s="4"/>
      <c r="ANF73" s="4"/>
      <c r="ANG73" s="4"/>
      <c r="ANH73" s="4"/>
      <c r="ANI73" s="4"/>
      <c r="ANJ73" s="13"/>
      <c r="ANK73" s="13"/>
      <c r="ANL73" s="4"/>
      <c r="ANM73" s="4"/>
      <c r="ANN73" s="4"/>
      <c r="ANO73" s="4"/>
      <c r="ANP73" s="4"/>
      <c r="ANQ73" s="4"/>
      <c r="ANR73" s="4"/>
      <c r="ANS73" s="4"/>
      <c r="ANT73" s="4"/>
      <c r="ANU73" s="4"/>
      <c r="ANV73" s="4"/>
      <c r="ANW73" s="4"/>
      <c r="ANX73" s="4"/>
      <c r="ANY73" s="4"/>
      <c r="ANZ73" s="4"/>
      <c r="AOA73" s="4"/>
      <c r="AOB73" s="4"/>
      <c r="AOC73" s="4"/>
      <c r="AOD73" s="4"/>
      <c r="AOE73" s="4"/>
      <c r="AOF73" s="4"/>
      <c r="AOG73" s="4"/>
      <c r="AOH73" s="4"/>
      <c r="AOI73" s="4"/>
      <c r="AOJ73" s="4"/>
      <c r="AOK73" s="4"/>
      <c r="AOL73" s="4"/>
      <c r="AOM73" s="4"/>
      <c r="AON73" s="4"/>
      <c r="AOO73" s="4"/>
      <c r="AOP73" s="4"/>
      <c r="AOQ73" s="4"/>
      <c r="AOR73" s="4"/>
      <c r="AOS73" s="4"/>
      <c r="AOT73" s="4"/>
      <c r="AOU73" s="4"/>
      <c r="AOV73" s="4"/>
      <c r="AOW73" s="4"/>
      <c r="AOX73" s="4"/>
      <c r="AOY73" s="4"/>
      <c r="AOZ73" s="4"/>
      <c r="APA73" s="4"/>
      <c r="APB73" s="4"/>
      <c r="APC73" s="4"/>
      <c r="APD73" s="4"/>
      <c r="APE73" s="4"/>
      <c r="APF73" s="4"/>
      <c r="APG73" s="4"/>
      <c r="APH73" s="4"/>
      <c r="API73" s="4"/>
      <c r="APJ73" s="4"/>
      <c r="APK73" s="4"/>
      <c r="APL73" s="4"/>
      <c r="APM73" s="4"/>
      <c r="APN73" s="4"/>
      <c r="APO73" s="4"/>
      <c r="APP73" s="4"/>
      <c r="APQ73" s="4"/>
      <c r="APR73" s="4"/>
      <c r="APS73" s="4"/>
      <c r="APT73" s="4"/>
      <c r="APU73" s="4"/>
      <c r="APV73" s="4"/>
      <c r="APW73" s="4"/>
      <c r="APX73" s="4"/>
      <c r="APY73" s="4"/>
      <c r="APZ73" s="4"/>
      <c r="AQA73" s="4"/>
      <c r="AQB73" s="4"/>
      <c r="AQC73" s="4"/>
      <c r="AQD73" s="4"/>
      <c r="AQE73" s="4"/>
      <c r="AQF73" s="4"/>
      <c r="AQG73" s="4"/>
      <c r="AQH73" s="4"/>
      <c r="AQI73" s="4"/>
      <c r="AQJ73" s="4"/>
      <c r="AQK73" s="4"/>
      <c r="AQL73" s="4"/>
      <c r="AQM73" s="4"/>
      <c r="AQN73" s="4"/>
      <c r="AQO73" s="4"/>
      <c r="AQP73" s="4"/>
      <c r="AQQ73" s="4"/>
      <c r="AQR73" s="4"/>
      <c r="AQS73" s="4"/>
      <c r="AQT73" s="4"/>
      <c r="AQU73" s="4"/>
      <c r="AQV73" s="4"/>
      <c r="AQW73" s="4"/>
      <c r="AQX73" s="4"/>
      <c r="AQY73" s="4"/>
      <c r="AQZ73" s="4"/>
      <c r="ARA73" s="4"/>
      <c r="ARB73" s="4"/>
      <c r="ARC73" s="4"/>
      <c r="ARD73" s="4"/>
      <c r="ARE73" s="4"/>
      <c r="ARF73" s="4"/>
      <c r="ARG73" s="4"/>
      <c r="ARH73" s="4"/>
      <c r="ARI73" s="4"/>
      <c r="ARJ73" s="4"/>
      <c r="ARK73" s="4"/>
      <c r="ARL73" s="4"/>
      <c r="ARM73" s="4"/>
      <c r="ARN73" s="4"/>
      <c r="ARO73" s="4"/>
      <c r="ARP73" s="4"/>
      <c r="ARQ73" s="4"/>
      <c r="ARR73" s="4"/>
      <c r="ARS73" s="4"/>
      <c r="ART73" s="4"/>
      <c r="ARU73" s="4"/>
      <c r="ARV73" s="4"/>
      <c r="ARW73" s="4"/>
      <c r="ARX73" s="4"/>
      <c r="ARY73" s="4"/>
      <c r="ARZ73" s="4"/>
      <c r="ASA73" s="4"/>
      <c r="ASB73" s="4"/>
      <c r="ASC73" s="4"/>
      <c r="ASD73" s="4"/>
      <c r="ASE73" s="4"/>
      <c r="ASF73" s="4"/>
      <c r="ASG73" s="4"/>
      <c r="ASH73" s="4"/>
      <c r="ASI73" s="4"/>
      <c r="ASJ73" s="4"/>
      <c r="ASK73" s="4"/>
      <c r="ASL73" s="4"/>
      <c r="ASM73" s="4"/>
      <c r="ASN73" s="4"/>
      <c r="ASO73" s="4"/>
      <c r="ASP73" s="4"/>
      <c r="ASQ73" s="4"/>
      <c r="ASR73" s="4"/>
      <c r="ASS73" s="4"/>
      <c r="AST73" s="4"/>
      <c r="ASU73" s="4"/>
    </row>
    <row r="74" ht="15" customHeight="1" spans="1:1191" x14ac:dyDescent="0.25">
      <c r="A74" s="118"/>
      <c r="B74" s="403" t="s">
        <v>112</v>
      </c>
      <c r="C74" s="289" t="s">
        <v>55</v>
      </c>
      <c r="D74" s="121"/>
      <c r="E74" s="122"/>
      <c r="F74" s="292"/>
      <c r="G74" s="196"/>
      <c r="H74" s="196"/>
      <c r="I74" s="196"/>
      <c r="J74" s="196"/>
      <c r="K74" s="196"/>
      <c r="L74" s="196"/>
      <c r="M74" s="195"/>
      <c r="N74" s="197"/>
      <c r="O74" s="196"/>
      <c r="P74" s="196"/>
      <c r="Q74" s="198"/>
      <c r="R74" s="292"/>
      <c r="S74" s="196"/>
      <c r="T74" s="196"/>
      <c r="U74" s="196"/>
      <c r="V74" s="196"/>
      <c r="W74" s="196"/>
      <c r="X74" s="196"/>
      <c r="Y74" s="196"/>
      <c r="Z74" s="196"/>
      <c r="AA74" s="196"/>
      <c r="AB74" s="196"/>
      <c r="AC74" s="195"/>
      <c r="AD74" s="122"/>
      <c r="AE74" s="194"/>
      <c r="AF74" s="130">
        <f>SUM(D74:AE74)</f>
      </c>
      <c r="AG74" s="121"/>
      <c r="AH74" s="122"/>
      <c r="AI74" s="292"/>
      <c r="AJ74" s="196"/>
      <c r="AK74" s="196"/>
      <c r="AL74" s="196"/>
      <c r="AM74" s="196"/>
      <c r="AN74" s="196"/>
      <c r="AO74" s="196"/>
      <c r="AP74" s="195"/>
      <c r="AQ74" s="197"/>
      <c r="AR74" s="196"/>
      <c r="AS74" s="196"/>
      <c r="AT74" s="198"/>
      <c r="AU74" s="292"/>
      <c r="AV74" s="196"/>
      <c r="AW74" s="196"/>
      <c r="AX74" s="196"/>
      <c r="AY74" s="196"/>
      <c r="AZ74" s="196"/>
      <c r="BA74" s="196"/>
      <c r="BB74" s="196"/>
      <c r="BC74" s="196"/>
      <c r="BD74" s="196"/>
      <c r="BE74" s="196"/>
      <c r="BF74" s="195"/>
      <c r="BG74" s="122"/>
      <c r="BH74" s="194"/>
      <c r="BI74" s="130">
        <f>SUM(AG74:BH74)</f>
      </c>
      <c r="BJ74" s="121"/>
      <c r="BK74" s="122"/>
      <c r="BL74" s="292"/>
      <c r="BM74" s="196"/>
      <c r="BN74" s="196"/>
      <c r="BO74" s="196"/>
      <c r="BP74" s="196"/>
      <c r="BQ74" s="196"/>
      <c r="BR74" s="196"/>
      <c r="BS74" s="195"/>
      <c r="BT74" s="197"/>
      <c r="BU74" s="196"/>
      <c r="BV74" s="196"/>
      <c r="BW74" s="198"/>
      <c r="BX74" s="292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5"/>
      <c r="CJ74" s="122"/>
      <c r="CK74" s="194"/>
      <c r="CL74" s="130">
        <f>SUM(BJ74:CK74)</f>
      </c>
      <c r="CM74" s="121"/>
      <c r="CN74" s="122"/>
      <c r="CO74" s="292"/>
      <c r="CP74" s="196"/>
      <c r="CQ74" s="196"/>
      <c r="CR74" s="196"/>
      <c r="CS74" s="196"/>
      <c r="CT74" s="196"/>
      <c r="CU74" s="196"/>
      <c r="CV74" s="195"/>
      <c r="CW74" s="197"/>
      <c r="CX74" s="196"/>
      <c r="CY74" s="196"/>
      <c r="CZ74" s="198"/>
      <c r="DA74" s="292"/>
      <c r="DB74" s="196"/>
      <c r="DC74" s="196"/>
      <c r="DD74" s="196"/>
      <c r="DE74" s="196"/>
      <c r="DF74" s="196"/>
      <c r="DG74" s="196"/>
      <c r="DH74" s="196"/>
      <c r="DI74" s="196"/>
      <c r="DJ74" s="196"/>
      <c r="DK74" s="196"/>
      <c r="DL74" s="195"/>
      <c r="DM74" s="122"/>
      <c r="DN74" s="194"/>
      <c r="DO74" s="130">
        <f>SUM(CM74:DN74)</f>
      </c>
      <c r="DP74" s="121"/>
      <c r="DQ74" s="122"/>
      <c r="DR74" s="292"/>
      <c r="DS74" s="196"/>
      <c r="DT74" s="196"/>
      <c r="DU74" s="196"/>
      <c r="DV74" s="196"/>
      <c r="DW74" s="196"/>
      <c r="DX74" s="196"/>
      <c r="DY74" s="195"/>
      <c r="DZ74" s="197"/>
      <c r="EA74" s="196"/>
      <c r="EB74" s="196"/>
      <c r="EC74" s="198"/>
      <c r="ED74" s="292"/>
      <c r="EE74" s="196"/>
      <c r="EF74" s="196"/>
      <c r="EG74" s="196"/>
      <c r="EH74" s="196"/>
      <c r="EI74" s="196"/>
      <c r="EJ74" s="196"/>
      <c r="EK74" s="196"/>
      <c r="EL74" s="196"/>
      <c r="EM74" s="196"/>
      <c r="EN74" s="196"/>
      <c r="EO74" s="195"/>
      <c r="EP74" s="122"/>
      <c r="EQ74" s="194"/>
      <c r="ER74" s="130">
        <f>SUM(DP74:EQ74)</f>
      </c>
      <c r="ES74" s="121"/>
      <c r="ET74" s="122"/>
      <c r="EU74" s="292"/>
      <c r="EV74" s="196"/>
      <c r="EW74" s="196"/>
      <c r="EX74" s="196"/>
      <c r="EY74" s="196"/>
      <c r="EZ74" s="196"/>
      <c r="FA74" s="196"/>
      <c r="FB74" s="195"/>
      <c r="FC74" s="197"/>
      <c r="FD74" s="196"/>
      <c r="FE74" s="196"/>
      <c r="FF74" s="198"/>
      <c r="FG74" s="292"/>
      <c r="FH74" s="196"/>
      <c r="FI74" s="196"/>
      <c r="FJ74" s="196"/>
      <c r="FK74" s="196"/>
      <c r="FL74" s="196"/>
      <c r="FM74" s="196"/>
      <c r="FN74" s="196"/>
      <c r="FO74" s="196"/>
      <c r="FP74" s="196"/>
      <c r="FQ74" s="196"/>
      <c r="FR74" s="195"/>
      <c r="FS74" s="122"/>
      <c r="FT74" s="194"/>
      <c r="FU74" s="130">
        <f>SUM(ES74:FT74)</f>
      </c>
      <c r="FV74" s="121"/>
      <c r="FW74" s="122"/>
      <c r="FX74" s="292"/>
      <c r="FY74" s="196"/>
      <c r="FZ74" s="196"/>
      <c r="GA74" s="196"/>
      <c r="GB74" s="196"/>
      <c r="GC74" s="196"/>
      <c r="GD74" s="196"/>
      <c r="GE74" s="195"/>
      <c r="GF74" s="197"/>
      <c r="GG74" s="196"/>
      <c r="GH74" s="196"/>
      <c r="GI74" s="198"/>
      <c r="GJ74" s="292"/>
      <c r="GK74" s="196"/>
      <c r="GL74" s="196"/>
      <c r="GM74" s="196"/>
      <c r="GN74" s="196"/>
      <c r="GO74" s="196"/>
      <c r="GP74" s="196"/>
      <c r="GQ74" s="196"/>
      <c r="GR74" s="196"/>
      <c r="GS74" s="196"/>
      <c r="GT74" s="196"/>
      <c r="GU74" s="195"/>
      <c r="GV74" s="122"/>
      <c r="GW74" s="194"/>
      <c r="GX74" s="130">
        <f>SUM(FV74:GW74)</f>
      </c>
      <c r="GY74" s="132">
        <f>AF74+BI74+CL74+DO74+ER74+FU74+GX74</f>
      </c>
      <c r="GZ74" s="133">
        <f>(COUNTIF(D74:GX74,"H")+COUNTIF(D74:GX74,"S")+COUNTIF(D74:GX74,"L")+COUNTIF(D74:GX74,"E")+COUNTIF(D74:GX74,"C"))/2</f>
      </c>
      <c r="HA74" s="130">
        <f>GY74+GZ74</f>
      </c>
      <c r="HB74" s="374"/>
      <c r="HC74" s="375"/>
      <c r="HD74" s="376"/>
      <c r="HE74" s="393">
        <v>0.5</v>
      </c>
      <c r="HF74" s="393">
        <v>0.5</v>
      </c>
      <c r="HG74" s="393">
        <v>0.5</v>
      </c>
      <c r="HH74" s="393">
        <v>0.5</v>
      </c>
      <c r="HI74" s="393">
        <v>0.5</v>
      </c>
      <c r="HJ74" s="393">
        <v>0.5</v>
      </c>
      <c r="HK74" s="394">
        <v>0.5</v>
      </c>
      <c r="HL74" s="395">
        <v>0.5</v>
      </c>
      <c r="HM74" s="393">
        <v>0.5</v>
      </c>
      <c r="HN74" s="15"/>
      <c r="HO74" s="392"/>
      <c r="HP74" s="396">
        <v>0.5</v>
      </c>
      <c r="HQ74" s="393">
        <v>0.5</v>
      </c>
      <c r="HR74" s="393">
        <v>0.5</v>
      </c>
      <c r="HS74" s="393">
        <v>0.5</v>
      </c>
      <c r="HT74" s="393">
        <v>0.5</v>
      </c>
      <c r="HU74" s="393">
        <v>0.5</v>
      </c>
      <c r="HV74" s="393">
        <v>0.5</v>
      </c>
      <c r="HW74" s="15"/>
      <c r="HX74" s="15"/>
      <c r="HY74" s="15"/>
      <c r="HZ74" s="15"/>
      <c r="IA74" s="379"/>
      <c r="IB74" s="375"/>
      <c r="IC74" s="380"/>
      <c r="ID74" s="130">
        <f>SUM(HB74:IC74)</f>
      </c>
      <c r="IE74" s="374"/>
      <c r="IF74" s="375"/>
      <c r="IG74" s="376"/>
      <c r="IH74" s="393">
        <v>0.5</v>
      </c>
      <c r="II74" s="393">
        <v>0.5</v>
      </c>
      <c r="IJ74" s="393">
        <v>0.5</v>
      </c>
      <c r="IK74" s="393">
        <v>0.5</v>
      </c>
      <c r="IL74" s="393">
        <v>0.5</v>
      </c>
      <c r="IM74" s="393">
        <v>0.5</v>
      </c>
      <c r="IN74" s="394">
        <v>0.5</v>
      </c>
      <c r="IO74" s="395">
        <v>0.5</v>
      </c>
      <c r="IP74" s="393">
        <v>0.5</v>
      </c>
      <c r="IQ74" s="15"/>
      <c r="IR74" s="392"/>
      <c r="IS74" s="396">
        <v>0.5</v>
      </c>
      <c r="IT74" s="393">
        <v>0.5</v>
      </c>
      <c r="IU74" s="393">
        <v>0.5</v>
      </c>
      <c r="IV74" s="393">
        <v>0.5</v>
      </c>
      <c r="IW74" s="393">
        <v>0.5</v>
      </c>
      <c r="IX74" s="393">
        <v>0.5</v>
      </c>
      <c r="IY74" s="393">
        <v>0.5</v>
      </c>
      <c r="IZ74" s="15"/>
      <c r="JA74" s="15"/>
      <c r="JB74" s="15"/>
      <c r="JC74" s="15"/>
      <c r="JD74" s="379"/>
      <c r="JE74" s="375"/>
      <c r="JF74" s="380"/>
      <c r="JG74" s="130">
        <f>SUM(IE74:JF74)</f>
      </c>
      <c r="JH74" s="374"/>
      <c r="JI74" s="375"/>
      <c r="JJ74" s="376"/>
      <c r="JK74" s="393">
        <v>0.5</v>
      </c>
      <c r="JL74" s="393">
        <v>0.5</v>
      </c>
      <c r="JM74" s="393">
        <v>0.5</v>
      </c>
      <c r="JN74" s="393">
        <v>0.5</v>
      </c>
      <c r="JO74" s="393">
        <v>0.5</v>
      </c>
      <c r="JP74" s="393">
        <v>0.5</v>
      </c>
      <c r="JQ74" s="394">
        <v>0.5</v>
      </c>
      <c r="JR74" s="395">
        <v>0.5</v>
      </c>
      <c r="JS74" s="393">
        <v>0.5</v>
      </c>
      <c r="JT74" s="15"/>
      <c r="JU74" s="392"/>
      <c r="JV74" s="396">
        <v>0.5</v>
      </c>
      <c r="JW74" s="393">
        <v>0.5</v>
      </c>
      <c r="JX74" s="393">
        <v>0.5</v>
      </c>
      <c r="JY74" s="393">
        <v>0.5</v>
      </c>
      <c r="JZ74" s="393">
        <v>0.5</v>
      </c>
      <c r="KA74" s="393">
        <v>0.5</v>
      </c>
      <c r="KB74" s="393">
        <v>0.5</v>
      </c>
      <c r="KC74" s="15"/>
      <c r="KD74" s="15"/>
      <c r="KE74" s="15"/>
      <c r="KF74" s="15"/>
      <c r="KG74" s="379"/>
      <c r="KH74" s="375"/>
      <c r="KI74" s="380"/>
      <c r="KJ74" s="130">
        <f>SUM(JH74:KI74)</f>
      </c>
      <c r="KK74" s="374"/>
      <c r="KL74" s="375"/>
      <c r="KM74" s="376"/>
      <c r="KN74" s="393">
        <v>0.5</v>
      </c>
      <c r="KO74" s="393">
        <v>0.5</v>
      </c>
      <c r="KP74" s="393">
        <v>0.5</v>
      </c>
      <c r="KQ74" s="393">
        <v>0.5</v>
      </c>
      <c r="KR74" s="393">
        <v>0.5</v>
      </c>
      <c r="KS74" s="393">
        <v>0.5</v>
      </c>
      <c r="KT74" s="394">
        <v>0.5</v>
      </c>
      <c r="KU74" s="395">
        <v>0.5</v>
      </c>
      <c r="KV74" s="393">
        <v>0.5</v>
      </c>
      <c r="KW74" s="15"/>
      <c r="KX74" s="392"/>
      <c r="KY74" s="396">
        <v>0.5</v>
      </c>
      <c r="KZ74" s="393">
        <v>0.5</v>
      </c>
      <c r="LA74" s="393">
        <v>0.5</v>
      </c>
      <c r="LB74" s="393">
        <v>0.5</v>
      </c>
      <c r="LC74" s="393">
        <v>0.5</v>
      </c>
      <c r="LD74" s="393">
        <v>0.5</v>
      </c>
      <c r="LE74" s="393">
        <v>0.5</v>
      </c>
      <c r="LF74" s="15"/>
      <c r="LG74" s="15"/>
      <c r="LH74" s="15"/>
      <c r="LI74" s="15"/>
      <c r="LJ74" s="379"/>
      <c r="LK74" s="375"/>
      <c r="LL74" s="380"/>
      <c r="LM74" s="130">
        <f>SUM(KK74:LL74)</f>
      </c>
      <c r="LN74" s="374"/>
      <c r="LO74" s="375"/>
      <c r="LP74" s="376"/>
      <c r="LQ74" s="393">
        <v>0.5</v>
      </c>
      <c r="LR74" s="393">
        <v>0.5</v>
      </c>
      <c r="LS74" s="393">
        <v>0.5</v>
      </c>
      <c r="LT74" s="393">
        <v>0.5</v>
      </c>
      <c r="LU74" s="393">
        <v>0.5</v>
      </c>
      <c r="LV74" s="393">
        <v>0.5</v>
      </c>
      <c r="LW74" s="394">
        <v>0.5</v>
      </c>
      <c r="LX74" s="395">
        <v>0.5</v>
      </c>
      <c r="LY74" s="393">
        <v>0.5</v>
      </c>
      <c r="LZ74" s="15"/>
      <c r="MA74" s="392"/>
      <c r="MB74" s="396">
        <v>0.5</v>
      </c>
      <c r="MC74" s="393">
        <v>0.5</v>
      </c>
      <c r="MD74" s="393">
        <v>0.5</v>
      </c>
      <c r="ME74" s="393">
        <v>0.5</v>
      </c>
      <c r="MF74" s="393">
        <v>0.5</v>
      </c>
      <c r="MG74" s="393">
        <v>0.5</v>
      </c>
      <c r="MH74" s="393">
        <v>0.5</v>
      </c>
      <c r="MI74" s="15"/>
      <c r="MJ74" s="15"/>
      <c r="MK74" s="15"/>
      <c r="ML74" s="15"/>
      <c r="MM74" s="379"/>
      <c r="MN74" s="375"/>
      <c r="MO74" s="380"/>
      <c r="MP74" s="130">
        <f>SUM(LN74:MO74)</f>
      </c>
      <c r="MQ74" s="121"/>
      <c r="MR74" s="122"/>
      <c r="MS74" s="292"/>
      <c r="MT74" s="196"/>
      <c r="MU74" s="196"/>
      <c r="MV74" s="196"/>
      <c r="MW74" s="196"/>
      <c r="MX74" s="196"/>
      <c r="MY74" s="196"/>
      <c r="MZ74" s="195"/>
      <c r="NA74" s="197"/>
      <c r="NB74" s="196"/>
      <c r="NC74" s="196"/>
      <c r="ND74" s="198"/>
      <c r="NE74" s="292"/>
      <c r="NF74" s="196"/>
      <c r="NG74" s="196"/>
      <c r="NH74" s="196"/>
      <c r="NI74" s="196"/>
      <c r="NJ74" s="196"/>
      <c r="NK74" s="196"/>
      <c r="NL74" s="196"/>
      <c r="NM74" s="196"/>
      <c r="NN74" s="196"/>
      <c r="NO74" s="196"/>
      <c r="NP74" s="195"/>
      <c r="NQ74" s="122"/>
      <c r="NR74" s="194"/>
      <c r="NS74" s="130">
        <f>SUM(MQ74:NR74)</f>
      </c>
      <c r="NT74" s="121"/>
      <c r="NU74" s="122"/>
      <c r="NV74" s="292"/>
      <c r="NW74" s="196"/>
      <c r="NX74" s="196"/>
      <c r="NY74" s="196"/>
      <c r="NZ74" s="196"/>
      <c r="OA74" s="196"/>
      <c r="OB74" s="196"/>
      <c r="OC74" s="195"/>
      <c r="OD74" s="197"/>
      <c r="OE74" s="196"/>
      <c r="OF74" s="196"/>
      <c r="OG74" s="198"/>
      <c r="OH74" s="292"/>
      <c r="OI74" s="196"/>
      <c r="OJ74" s="196"/>
      <c r="OK74" s="196"/>
      <c r="OL74" s="196"/>
      <c r="OM74" s="196"/>
      <c r="ON74" s="196"/>
      <c r="OO74" s="196"/>
      <c r="OP74" s="196"/>
      <c r="OQ74" s="196"/>
      <c r="OR74" s="196"/>
      <c r="OS74" s="195"/>
      <c r="OT74" s="122"/>
      <c r="OU74" s="194"/>
      <c r="OV74" s="130">
        <f>SUM(NT74:OU74)</f>
      </c>
      <c r="OW74" s="132">
        <f>ID74+JG74+KJ74+LM74+MP74+NS74+OV74</f>
      </c>
      <c r="OX74" s="133">
        <f>(COUNTIF(HB74:OV74,"H")+COUNTIF(HB74:OV74,"S")+COUNTIF(HB74:OV74,"L")+COUNTIF(HB74:OV74,"E")+COUNTIF(HB74:OV74,"C"))/2</f>
      </c>
      <c r="OY74" s="130">
        <f>OW74+OX74</f>
      </c>
      <c r="OZ74" s="374"/>
      <c r="PA74" s="375"/>
      <c r="PB74" s="376"/>
      <c r="PC74" s="393">
        <v>0.5</v>
      </c>
      <c r="PD74" s="393">
        <v>0.5</v>
      </c>
      <c r="PE74" s="393">
        <v>0.5</v>
      </c>
      <c r="PF74" s="393">
        <v>0.5</v>
      </c>
      <c r="PG74" s="393">
        <v>0.5</v>
      </c>
      <c r="PH74" s="393">
        <v>0.5</v>
      </c>
      <c r="PI74" s="394">
        <v>0.5</v>
      </c>
      <c r="PJ74" s="395">
        <v>0.5</v>
      </c>
      <c r="PK74" s="393">
        <v>0.5</v>
      </c>
      <c r="PL74" s="15"/>
      <c r="PM74" s="392"/>
      <c r="PN74" s="396">
        <v>0.5</v>
      </c>
      <c r="PO74" s="393">
        <v>0.5</v>
      </c>
      <c r="PP74" s="393">
        <v>0.5</v>
      </c>
      <c r="PQ74" s="393">
        <v>0.5</v>
      </c>
      <c r="PR74" s="393">
        <v>0.5</v>
      </c>
      <c r="PS74" s="393">
        <v>0.5</v>
      </c>
      <c r="PT74" s="393">
        <v>0.5</v>
      </c>
      <c r="PU74" s="15"/>
      <c r="PV74" s="15"/>
      <c r="PW74" s="15"/>
      <c r="PX74" s="15"/>
      <c r="PY74" s="379"/>
      <c r="PZ74" s="375"/>
      <c r="QA74" s="380"/>
      <c r="QB74" s="130">
        <f>SUM(OZ74:QA74)</f>
      </c>
      <c r="QC74" s="374"/>
      <c r="QD74" s="375"/>
      <c r="QE74" s="376"/>
      <c r="QF74" s="393">
        <v>0.5</v>
      </c>
      <c r="QG74" s="393">
        <v>0.5</v>
      </c>
      <c r="QH74" s="393">
        <v>0.5</v>
      </c>
      <c r="QI74" s="393">
        <v>0.5</v>
      </c>
      <c r="QJ74" s="393">
        <v>0.5</v>
      </c>
      <c r="QK74" s="393">
        <v>0.5</v>
      </c>
      <c r="QL74" s="394">
        <v>0.5</v>
      </c>
      <c r="QM74" s="395">
        <v>0.5</v>
      </c>
      <c r="QN74" s="393">
        <v>0.5</v>
      </c>
      <c r="QO74" s="15"/>
      <c r="QP74" s="392"/>
      <c r="QQ74" s="396">
        <v>0.5</v>
      </c>
      <c r="QR74" s="393">
        <v>0.5</v>
      </c>
      <c r="QS74" s="393">
        <v>0.5</v>
      </c>
      <c r="QT74" s="393">
        <v>0.5</v>
      </c>
      <c r="QU74" s="393">
        <v>0.5</v>
      </c>
      <c r="QV74" s="393">
        <v>0.5</v>
      </c>
      <c r="QW74" s="393">
        <v>0.5</v>
      </c>
      <c r="QX74" s="15"/>
      <c r="QY74" s="15"/>
      <c r="QZ74" s="15"/>
      <c r="RA74" s="15"/>
      <c r="RB74" s="379"/>
      <c r="RC74" s="375"/>
      <c r="RD74" s="380"/>
      <c r="RE74" s="130">
        <f>SUM(QC74:RD74)</f>
      </c>
      <c r="RF74" s="374"/>
      <c r="RG74" s="375"/>
      <c r="RH74" s="376"/>
      <c r="RI74" s="393">
        <v>0.5</v>
      </c>
      <c r="RJ74" s="393">
        <v>0.5</v>
      </c>
      <c r="RK74" s="393">
        <v>0.5</v>
      </c>
      <c r="RL74" s="393">
        <v>0.5</v>
      </c>
      <c r="RM74" s="393">
        <v>0.5</v>
      </c>
      <c r="RN74" s="393">
        <v>0.5</v>
      </c>
      <c r="RO74" s="394">
        <v>0.5</v>
      </c>
      <c r="RP74" s="395">
        <v>0.5</v>
      </c>
      <c r="RQ74" s="393">
        <v>0.5</v>
      </c>
      <c r="RR74" s="15"/>
      <c r="RS74" s="392"/>
      <c r="RT74" s="396">
        <v>0.5</v>
      </c>
      <c r="RU74" s="393">
        <v>0.5</v>
      </c>
      <c r="RV74" s="393">
        <v>0.5</v>
      </c>
      <c r="RW74" s="393">
        <v>0.5</v>
      </c>
      <c r="RX74" s="393">
        <v>0.5</v>
      </c>
      <c r="RY74" s="393">
        <v>0.5</v>
      </c>
      <c r="RZ74" s="393">
        <v>0.5</v>
      </c>
      <c r="SA74" s="15"/>
      <c r="SB74" s="15"/>
      <c r="SC74" s="15"/>
      <c r="SD74" s="15"/>
      <c r="SE74" s="379"/>
      <c r="SF74" s="375"/>
      <c r="SG74" s="380"/>
      <c r="SH74" s="130">
        <f>SUM(RF74:SG74)</f>
      </c>
      <c r="SI74" s="374"/>
      <c r="SJ74" s="375"/>
      <c r="SK74" s="376"/>
      <c r="SL74" s="393">
        <v>0.5</v>
      </c>
      <c r="SM74" s="393">
        <v>0.5</v>
      </c>
      <c r="SN74" s="393">
        <v>0.5</v>
      </c>
      <c r="SO74" s="393">
        <v>0.5</v>
      </c>
      <c r="SP74" s="393">
        <v>0.5</v>
      </c>
      <c r="SQ74" s="393">
        <v>0.5</v>
      </c>
      <c r="SR74" s="394">
        <v>0.5</v>
      </c>
      <c r="SS74" s="395">
        <v>0.5</v>
      </c>
      <c r="ST74" s="393">
        <v>0.5</v>
      </c>
      <c r="SU74" s="15"/>
      <c r="SV74" s="392"/>
      <c r="SW74" s="396">
        <v>0.5</v>
      </c>
      <c r="SX74" s="393">
        <v>0.5</v>
      </c>
      <c r="SY74" s="393">
        <v>0.5</v>
      </c>
      <c r="SZ74" s="393">
        <v>0.5</v>
      </c>
      <c r="TA74" s="393">
        <v>0.5</v>
      </c>
      <c r="TB74" s="393">
        <v>0.5</v>
      </c>
      <c r="TC74" s="393">
        <v>0.5</v>
      </c>
      <c r="TD74" s="15"/>
      <c r="TE74" s="15"/>
      <c r="TF74" s="15"/>
      <c r="TG74" s="15"/>
      <c r="TH74" s="379"/>
      <c r="TI74" s="375"/>
      <c r="TJ74" s="380"/>
      <c r="TK74" s="130">
        <f>SUM(SI74:TJ74)</f>
      </c>
      <c r="TL74" s="374"/>
      <c r="TM74" s="375"/>
      <c r="TN74" s="376"/>
      <c r="TO74" s="393">
        <v>0.5</v>
      </c>
      <c r="TP74" s="393">
        <v>0.5</v>
      </c>
      <c r="TQ74" s="393">
        <v>0.5</v>
      </c>
      <c r="TR74" s="393">
        <v>0.5</v>
      </c>
      <c r="TS74" s="393">
        <v>0.5</v>
      </c>
      <c r="TT74" s="393">
        <v>0.5</v>
      </c>
      <c r="TU74" s="394">
        <v>0.5</v>
      </c>
      <c r="TV74" s="395">
        <v>0.5</v>
      </c>
      <c r="TW74" s="393">
        <v>0.5</v>
      </c>
      <c r="TX74" s="15"/>
      <c r="TY74" s="392"/>
      <c r="TZ74" s="396">
        <v>0.5</v>
      </c>
      <c r="UA74" s="393">
        <v>0.5</v>
      </c>
      <c r="UB74" s="393">
        <v>0.5</v>
      </c>
      <c r="UC74" s="393">
        <v>0.5</v>
      </c>
      <c r="UD74" s="393">
        <v>0.5</v>
      </c>
      <c r="UE74" s="393">
        <v>0.5</v>
      </c>
      <c r="UF74" s="393">
        <v>0.5</v>
      </c>
      <c r="UG74" s="15"/>
      <c r="UH74" s="15"/>
      <c r="UI74" s="15"/>
      <c r="UJ74" s="15"/>
      <c r="UK74" s="379"/>
      <c r="UL74" s="375"/>
      <c r="UM74" s="380"/>
      <c r="UN74" s="130">
        <f>SUM(TL74:UM74)</f>
      </c>
      <c r="UO74" s="121"/>
      <c r="UP74" s="122"/>
      <c r="UQ74" s="292"/>
      <c r="UR74" s="196"/>
      <c r="US74" s="196"/>
      <c r="UT74" s="196"/>
      <c r="UU74" s="196"/>
      <c r="UV74" s="196"/>
      <c r="UW74" s="196"/>
      <c r="UX74" s="195"/>
      <c r="UY74" s="197"/>
      <c r="UZ74" s="196"/>
      <c r="VA74" s="196"/>
      <c r="VB74" s="198"/>
      <c r="VC74" s="292"/>
      <c r="VD74" s="196"/>
      <c r="VE74" s="196"/>
      <c r="VF74" s="196"/>
      <c r="VG74" s="196"/>
      <c r="VH74" s="196"/>
      <c r="VI74" s="196"/>
      <c r="VJ74" s="196"/>
      <c r="VK74" s="196"/>
      <c r="VL74" s="196"/>
      <c r="VM74" s="196"/>
      <c r="VN74" s="195"/>
      <c r="VO74" s="122"/>
      <c r="VP74" s="194"/>
      <c r="VQ74" s="130">
        <f>SUM(UO74:VP74)</f>
      </c>
      <c r="VR74" s="121"/>
      <c r="VS74" s="122"/>
      <c r="VT74" s="292"/>
      <c r="VU74" s="196"/>
      <c r="VV74" s="196"/>
      <c r="VW74" s="196"/>
      <c r="VX74" s="196"/>
      <c r="VY74" s="196"/>
      <c r="VZ74" s="196"/>
      <c r="WA74" s="195"/>
      <c r="WB74" s="197"/>
      <c r="WC74" s="196"/>
      <c r="WD74" s="196"/>
      <c r="WE74" s="198"/>
      <c r="WF74" s="292"/>
      <c r="WG74" s="196"/>
      <c r="WH74" s="196"/>
      <c r="WI74" s="196"/>
      <c r="WJ74" s="196"/>
      <c r="WK74" s="196"/>
      <c r="WL74" s="196"/>
      <c r="WM74" s="196"/>
      <c r="WN74" s="196"/>
      <c r="WO74" s="196"/>
      <c r="WP74" s="196"/>
      <c r="WQ74" s="195"/>
      <c r="WR74" s="122"/>
      <c r="WS74" s="194"/>
      <c r="WT74" s="130">
        <f>SUM(VR74:WS74)</f>
      </c>
      <c r="WU74" s="132">
        <f>QB74+RE74+SH74+TK74+UN74+VQ74+WT74</f>
      </c>
      <c r="WV74" s="133">
        <f>(COUNTIF(OZ74:WT74,"H")+COUNTIF(OZ74:WT74,"S")+COUNTIF(OZ74:WT74,"L")+COUNTIF(OZ74:WT74,"E")+COUNTIF(OZ74:WT74,"C"))/2</f>
      </c>
      <c r="WW74" s="130">
        <f>WU74+WV74</f>
      </c>
      <c r="WX74" s="374"/>
      <c r="WY74" s="375"/>
      <c r="WZ74" s="376"/>
      <c r="XA74" s="33">
        <v>0.5</v>
      </c>
      <c r="XB74" s="33">
        <v>0.5</v>
      </c>
      <c r="XC74" s="33">
        <v>0.5</v>
      </c>
      <c r="XD74" s="33">
        <v>0.5</v>
      </c>
      <c r="XE74" s="33">
        <v>0.5</v>
      </c>
      <c r="XF74" s="33">
        <v>0.5</v>
      </c>
      <c r="XG74" s="384">
        <v>0.5</v>
      </c>
      <c r="XH74" s="385">
        <v>0.5</v>
      </c>
      <c r="XI74" s="33">
        <v>0.5</v>
      </c>
      <c r="XJ74" s="33">
        <v>0.5</v>
      </c>
      <c r="XK74" s="386">
        <v>0.5</v>
      </c>
      <c r="XL74" s="387">
        <v>0.5</v>
      </c>
      <c r="XM74" s="29">
        <v>0.5</v>
      </c>
      <c r="XN74" s="29">
        <v>0.5</v>
      </c>
      <c r="XO74" s="29">
        <v>0.5</v>
      </c>
      <c r="XP74" s="29">
        <v>0.5</v>
      </c>
      <c r="XQ74" s="29">
        <v>0.5</v>
      </c>
      <c r="XR74" s="29">
        <v>0.5</v>
      </c>
      <c r="XS74" s="29">
        <v>0.5</v>
      </c>
      <c r="XT74" s="29">
        <v>0.5</v>
      </c>
      <c r="XU74" s="29">
        <v>0.5</v>
      </c>
      <c r="XV74" s="29">
        <v>0.5</v>
      </c>
      <c r="XW74" s="388">
        <v>0.5</v>
      </c>
      <c r="XX74" s="375"/>
      <c r="XY74" s="380"/>
      <c r="XZ74" s="130">
        <f>SUM(WX74:XY74)</f>
      </c>
      <c r="YA74" s="374"/>
      <c r="YB74" s="375"/>
      <c r="YC74" s="376"/>
      <c r="YD74" s="29">
        <v>0.5</v>
      </c>
      <c r="YE74" s="29">
        <v>0.5</v>
      </c>
      <c r="YF74" s="29">
        <v>0.5</v>
      </c>
      <c r="YG74" s="29">
        <v>0.5</v>
      </c>
      <c r="YH74" s="29">
        <v>0.5</v>
      </c>
      <c r="YI74" s="29">
        <v>0.5</v>
      </c>
      <c r="YJ74" s="388">
        <v>0.5</v>
      </c>
      <c r="YK74" s="377"/>
      <c r="YL74" s="15"/>
      <c r="YM74" s="29">
        <v>0.5</v>
      </c>
      <c r="YN74" s="389">
        <v>0.5</v>
      </c>
      <c r="YO74" s="387">
        <v>0.5</v>
      </c>
      <c r="YP74" s="29">
        <v>0.5</v>
      </c>
      <c r="YQ74" s="29">
        <v>0.5</v>
      </c>
      <c r="YR74" s="29">
        <v>0.5</v>
      </c>
      <c r="YS74" s="29">
        <v>0.5</v>
      </c>
      <c r="YT74" s="29">
        <v>0.5</v>
      </c>
      <c r="YU74" s="29">
        <v>0.5</v>
      </c>
      <c r="YV74" s="29">
        <v>0.5</v>
      </c>
      <c r="YW74" s="29">
        <v>0.5</v>
      </c>
      <c r="YX74" s="15"/>
      <c r="YY74" s="15"/>
      <c r="YZ74" s="379"/>
      <c r="ZA74" s="375"/>
      <c r="ZB74" s="380"/>
      <c r="ZC74" s="130">
        <f>SUM(YA74:ZB74)</f>
      </c>
      <c r="ZD74" s="374"/>
      <c r="ZE74" s="375"/>
      <c r="ZF74" s="376"/>
      <c r="ZG74" s="29">
        <v>0.5</v>
      </c>
      <c r="ZH74" s="29">
        <v>0.5</v>
      </c>
      <c r="ZI74" s="29">
        <v>0.5</v>
      </c>
      <c r="ZJ74" s="29">
        <v>0.5</v>
      </c>
      <c r="ZK74" s="29">
        <v>0.5</v>
      </c>
      <c r="ZL74" s="29">
        <v>0.5</v>
      </c>
      <c r="ZM74" s="388">
        <v>0.5</v>
      </c>
      <c r="ZN74" s="377"/>
      <c r="ZO74" s="15"/>
      <c r="ZP74" s="29">
        <v>0.5</v>
      </c>
      <c r="ZQ74" s="389">
        <v>0.5</v>
      </c>
      <c r="ZR74" s="387">
        <v>0.5</v>
      </c>
      <c r="ZS74" s="29">
        <v>0.5</v>
      </c>
      <c r="ZT74" s="29">
        <v>0.5</v>
      </c>
      <c r="ZU74" s="29">
        <v>0.5</v>
      </c>
      <c r="ZV74" s="29">
        <v>0.5</v>
      </c>
      <c r="ZW74" s="29">
        <v>0.5</v>
      </c>
      <c r="ZX74" s="29">
        <v>0.5</v>
      </c>
      <c r="ZY74" s="29">
        <v>0.5</v>
      </c>
      <c r="ZZ74" s="29">
        <v>0.5</v>
      </c>
      <c r="AAA74" s="15"/>
      <c r="AAB74" s="15"/>
      <c r="AAC74" s="379"/>
      <c r="AAD74" s="375"/>
      <c r="AAE74" s="380"/>
      <c r="AAF74" s="130">
        <f>SUM(ZD74:AAE74)</f>
      </c>
      <c r="AAG74" s="374"/>
      <c r="AAH74" s="375"/>
      <c r="AAI74" s="376"/>
      <c r="AAJ74" s="29">
        <v>0.5</v>
      </c>
      <c r="AAK74" s="29">
        <v>0.5</v>
      </c>
      <c r="AAL74" s="29">
        <v>0.5</v>
      </c>
      <c r="AAM74" s="29">
        <v>0.5</v>
      </c>
      <c r="AAN74" s="29">
        <v>0.5</v>
      </c>
      <c r="AAO74" s="29">
        <v>0.5</v>
      </c>
      <c r="AAP74" s="388">
        <v>0.5</v>
      </c>
      <c r="AAQ74" s="390">
        <v>0.5</v>
      </c>
      <c r="AAR74" s="29">
        <v>0.5</v>
      </c>
      <c r="AAS74" s="33">
        <v>0.5</v>
      </c>
      <c r="AAT74" s="386">
        <v>0.5</v>
      </c>
      <c r="AAU74" s="391">
        <v>0.5</v>
      </c>
      <c r="AAV74" s="33">
        <v>0.5</v>
      </c>
      <c r="AAW74" s="33">
        <v>0.5</v>
      </c>
      <c r="AAX74" s="33">
        <v>0.5</v>
      </c>
      <c r="AAY74" s="33">
        <v>0.5</v>
      </c>
      <c r="AAZ74" s="33">
        <v>0.5</v>
      </c>
      <c r="ABA74" s="33">
        <v>0.5</v>
      </c>
      <c r="ABB74" s="33">
        <v>0.5</v>
      </c>
      <c r="ABC74" s="33">
        <v>0.5</v>
      </c>
      <c r="ABD74" s="33">
        <v>0.5</v>
      </c>
      <c r="ABE74" s="15"/>
      <c r="ABF74" s="379"/>
      <c r="ABG74" s="375"/>
      <c r="ABH74" s="380"/>
      <c r="ABI74" s="130">
        <f>SUM(AAG74:ABH74)</f>
      </c>
      <c r="ABJ74" s="374"/>
      <c r="ABK74" s="375"/>
      <c r="ABL74" s="376"/>
      <c r="ABM74" s="15"/>
      <c r="ABN74" s="15"/>
      <c r="ABO74" s="15"/>
      <c r="ABP74" s="15"/>
      <c r="ABQ74" s="15"/>
      <c r="ABR74" s="15"/>
      <c r="ABS74" s="379"/>
      <c r="ABT74" s="377"/>
      <c r="ABU74" s="15"/>
      <c r="ABV74" s="15"/>
      <c r="ABW74" s="392"/>
      <c r="ABX74" s="376"/>
      <c r="ABY74" s="15"/>
      <c r="ABZ74" s="15"/>
      <c r="ACA74" s="15"/>
      <c r="ACB74" s="15"/>
      <c r="ACC74" s="15"/>
      <c r="ACD74" s="15"/>
      <c r="ACE74" s="15"/>
      <c r="ACF74" s="15"/>
      <c r="ACG74" s="15"/>
      <c r="ACH74" s="15"/>
      <c r="ACI74" s="379"/>
      <c r="ACJ74" s="375"/>
      <c r="ACK74" s="380"/>
      <c r="ACL74" s="130">
        <f>SUM(ABJ74:ACK74)</f>
      </c>
      <c r="ACM74" s="121"/>
      <c r="ACN74" s="122"/>
      <c r="ACO74" s="292"/>
      <c r="ACP74" s="196"/>
      <c r="ACQ74" s="196"/>
      <c r="ACR74" s="196"/>
      <c r="ACS74" s="196"/>
      <c r="ACT74" s="196"/>
      <c r="ACU74" s="196"/>
      <c r="ACV74" s="195"/>
      <c r="ACW74" s="197"/>
      <c r="ACX74" s="196"/>
      <c r="ACY74" s="196"/>
      <c r="ACZ74" s="198"/>
      <c r="ADA74" s="292"/>
      <c r="ADB74" s="196"/>
      <c r="ADC74" s="196"/>
      <c r="ADD74" s="196"/>
      <c r="ADE74" s="196"/>
      <c r="ADF74" s="196"/>
      <c r="ADG74" s="196"/>
      <c r="ADH74" s="196"/>
      <c r="ADI74" s="196"/>
      <c r="ADJ74" s="196"/>
      <c r="ADK74" s="196"/>
      <c r="ADL74" s="195"/>
      <c r="ADM74" s="122"/>
      <c r="ADN74" s="194"/>
      <c r="ADO74" s="130">
        <f>SUM(ACM74:ADN74)</f>
      </c>
      <c r="ADP74" s="121"/>
      <c r="ADQ74" s="122"/>
      <c r="ADR74" s="292"/>
      <c r="ADS74" s="196"/>
      <c r="ADT74" s="196"/>
      <c r="ADU74" s="196"/>
      <c r="ADV74" s="196"/>
      <c r="ADW74" s="196"/>
      <c r="ADX74" s="196"/>
      <c r="ADY74" s="195"/>
      <c r="ADZ74" s="197"/>
      <c r="AEA74" s="196"/>
      <c r="AEB74" s="196"/>
      <c r="AEC74" s="198"/>
      <c r="AED74" s="292"/>
      <c r="AEE74" s="196"/>
      <c r="AEF74" s="196"/>
      <c r="AEG74" s="196"/>
      <c r="AEH74" s="196"/>
      <c r="AEI74" s="196"/>
      <c r="AEJ74" s="196"/>
      <c r="AEK74" s="196"/>
      <c r="AEL74" s="196"/>
      <c r="AEM74" s="196"/>
      <c r="AEN74" s="196"/>
      <c r="AEO74" s="195"/>
      <c r="AEP74" s="122"/>
      <c r="AEQ74" s="194"/>
      <c r="AER74" s="130">
        <f>SUM(ADP74:AEQ74)</f>
      </c>
      <c r="AES74" s="132">
        <f>XZ74+ZC74+AAF74+ABI74+ACL74+ADO74+AER74</f>
      </c>
      <c r="AET74" s="133">
        <f>(COUNTIF(WX74:AER74,"H")+COUNTIF(WX74:AER74,"S")+COUNTIF(WX74:AER74,"L")+COUNTIF(WX74:AER74,"E")+COUNTIF(WX74:AER74,"C"))/2</f>
      </c>
      <c r="AEU74" s="130">
        <f>AES74+AET74</f>
      </c>
      <c r="AEV74" s="374"/>
      <c r="AEW74" s="375"/>
      <c r="AEX74" s="376"/>
      <c r="AEY74" s="393">
        <v>0.5</v>
      </c>
      <c r="AEZ74" s="393">
        <v>0.5</v>
      </c>
      <c r="AFA74" s="393">
        <v>0.5</v>
      </c>
      <c r="AFB74" s="393">
        <v>0.5</v>
      </c>
      <c r="AFC74" s="393">
        <v>0.5</v>
      </c>
      <c r="AFD74" s="393">
        <v>0.5</v>
      </c>
      <c r="AFE74" s="394">
        <v>0.5</v>
      </c>
      <c r="AFF74" s="395">
        <v>0.5</v>
      </c>
      <c r="AFG74" s="393">
        <v>0.5</v>
      </c>
      <c r="AFH74" s="15"/>
      <c r="AFI74" s="392"/>
      <c r="AFJ74" s="396">
        <v>0.5</v>
      </c>
      <c r="AFK74" s="393">
        <v>0.5</v>
      </c>
      <c r="AFL74" s="393">
        <v>0.5</v>
      </c>
      <c r="AFM74" s="393">
        <v>0.5</v>
      </c>
      <c r="AFN74" s="393">
        <v>0.5</v>
      </c>
      <c r="AFO74" s="393">
        <v>0.5</v>
      </c>
      <c r="AFP74" s="393">
        <v>0.5</v>
      </c>
      <c r="AFQ74" s="15"/>
      <c r="AFR74" s="15"/>
      <c r="AFS74" s="15"/>
      <c r="AFT74" s="15"/>
      <c r="AFU74" s="379"/>
      <c r="AFV74" s="375"/>
      <c r="AFW74" s="380"/>
      <c r="AFX74" s="130">
        <f>SUM(AEV74:AFW74)</f>
      </c>
      <c r="AFY74" s="374"/>
      <c r="AFZ74" s="375"/>
      <c r="AGA74" s="376"/>
      <c r="AGB74" s="393">
        <v>0.5</v>
      </c>
      <c r="AGC74" s="393">
        <v>0.5</v>
      </c>
      <c r="AGD74" s="393">
        <v>0.5</v>
      </c>
      <c r="AGE74" s="393">
        <v>0.5</v>
      </c>
      <c r="AGF74" s="393">
        <v>0.5</v>
      </c>
      <c r="AGG74" s="393">
        <v>0.5</v>
      </c>
      <c r="AGH74" s="394">
        <v>0.5</v>
      </c>
      <c r="AGI74" s="395">
        <v>0.5</v>
      </c>
      <c r="AGJ74" s="393">
        <v>0.5</v>
      </c>
      <c r="AGK74" s="15"/>
      <c r="AGL74" s="392"/>
      <c r="AGM74" s="396">
        <v>0.5</v>
      </c>
      <c r="AGN74" s="393">
        <v>0.5</v>
      </c>
      <c r="AGO74" s="393">
        <v>0.5</v>
      </c>
      <c r="AGP74" s="393">
        <v>0.5</v>
      </c>
      <c r="AGQ74" s="393">
        <v>0.5</v>
      </c>
      <c r="AGR74" s="393">
        <v>0.5</v>
      </c>
      <c r="AGS74" s="393">
        <v>0.5</v>
      </c>
      <c r="AGT74" s="15"/>
      <c r="AGU74" s="15"/>
      <c r="AGV74" s="15"/>
      <c r="AGW74" s="15"/>
      <c r="AGX74" s="379"/>
      <c r="AGY74" s="375"/>
      <c r="AGZ74" s="380"/>
      <c r="AHA74" s="130">
        <f>SUM(AFY74:AGZ74)</f>
      </c>
      <c r="AHB74" s="374"/>
      <c r="AHC74" s="375"/>
      <c r="AHD74" s="376"/>
      <c r="AHE74" s="393">
        <v>0.5</v>
      </c>
      <c r="AHF74" s="393">
        <v>0.5</v>
      </c>
      <c r="AHG74" s="393">
        <v>0.5</v>
      </c>
      <c r="AHH74" s="393">
        <v>0.5</v>
      </c>
      <c r="AHI74" s="393">
        <v>0.5</v>
      </c>
      <c r="AHJ74" s="393">
        <v>0.5</v>
      </c>
      <c r="AHK74" s="394">
        <v>0.5</v>
      </c>
      <c r="AHL74" s="395">
        <v>0.5</v>
      </c>
      <c r="AHM74" s="393">
        <v>0.5</v>
      </c>
      <c r="AHN74" s="15"/>
      <c r="AHO74" s="392"/>
      <c r="AHP74" s="396">
        <v>0.5</v>
      </c>
      <c r="AHQ74" s="393">
        <v>0.5</v>
      </c>
      <c r="AHR74" s="393">
        <v>0.5</v>
      </c>
      <c r="AHS74" s="393">
        <v>0.5</v>
      </c>
      <c r="AHT74" s="393">
        <v>0.5</v>
      </c>
      <c r="AHU74" s="393">
        <v>0.5</v>
      </c>
      <c r="AHV74" s="393">
        <v>0.5</v>
      </c>
      <c r="AHW74" s="15"/>
      <c r="AHX74" s="15"/>
      <c r="AHY74" s="15"/>
      <c r="AHZ74" s="15"/>
      <c r="AIA74" s="379"/>
      <c r="AIB74" s="375"/>
      <c r="AIC74" s="380"/>
      <c r="AID74" s="130">
        <f>SUM(AHB74:AIC74)</f>
      </c>
      <c r="AIE74" s="374"/>
      <c r="AIF74" s="375"/>
      <c r="AIG74" s="376"/>
      <c r="AIH74" s="393">
        <v>0.5</v>
      </c>
      <c r="AII74" s="393">
        <v>0.5</v>
      </c>
      <c r="AIJ74" s="393">
        <v>0.5</v>
      </c>
      <c r="AIK74" s="393">
        <v>0.5</v>
      </c>
      <c r="AIL74" s="393">
        <v>0.5</v>
      </c>
      <c r="AIM74" s="393">
        <v>0.5</v>
      </c>
      <c r="AIN74" s="394">
        <v>0.5</v>
      </c>
      <c r="AIO74" s="395">
        <v>0.5</v>
      </c>
      <c r="AIP74" s="393">
        <v>0.5</v>
      </c>
      <c r="AIQ74" s="15"/>
      <c r="AIR74" s="392"/>
      <c r="AIS74" s="396">
        <v>0.5</v>
      </c>
      <c r="AIT74" s="393">
        <v>0.5</v>
      </c>
      <c r="AIU74" s="393">
        <v>0.5</v>
      </c>
      <c r="AIV74" s="393">
        <v>0.5</v>
      </c>
      <c r="AIW74" s="393">
        <v>0.5</v>
      </c>
      <c r="AIX74" s="393">
        <v>0.5</v>
      </c>
      <c r="AIY74" s="393">
        <v>0.5</v>
      </c>
      <c r="AIZ74" s="15"/>
      <c r="AJA74" s="15"/>
      <c r="AJB74" s="15"/>
      <c r="AJC74" s="15"/>
      <c r="AJD74" s="379"/>
      <c r="AJE74" s="375"/>
      <c r="AJF74" s="380"/>
      <c r="AJG74" s="130">
        <f>SUM(AIE74:AJF74)</f>
      </c>
      <c r="AJH74" s="374"/>
      <c r="AJI74" s="375"/>
      <c r="AJJ74" s="376"/>
      <c r="AJK74" s="393">
        <v>0.5</v>
      </c>
      <c r="AJL74" s="393">
        <v>0.5</v>
      </c>
      <c r="AJM74" s="393">
        <v>0.5</v>
      </c>
      <c r="AJN74" s="393">
        <v>0.5</v>
      </c>
      <c r="AJO74" s="393">
        <v>0.5</v>
      </c>
      <c r="AJP74" s="393">
        <v>0.5</v>
      </c>
      <c r="AJQ74" s="394">
        <v>0.5</v>
      </c>
      <c r="AJR74" s="395">
        <v>0.5</v>
      </c>
      <c r="AJS74" s="393">
        <v>0.5</v>
      </c>
      <c r="AJT74" s="15"/>
      <c r="AJU74" s="392"/>
      <c r="AJV74" s="396">
        <v>0.5</v>
      </c>
      <c r="AJW74" s="393">
        <v>0.5</v>
      </c>
      <c r="AJX74" s="393">
        <v>0.5</v>
      </c>
      <c r="AJY74" s="393">
        <v>0.5</v>
      </c>
      <c r="AJZ74" s="393">
        <v>0.5</v>
      </c>
      <c r="AKA74" s="393">
        <v>0.5</v>
      </c>
      <c r="AKB74" s="393">
        <v>0.5</v>
      </c>
      <c r="AKC74" s="15"/>
      <c r="AKD74" s="15"/>
      <c r="AKE74" s="15"/>
      <c r="AKF74" s="15"/>
      <c r="AKG74" s="379"/>
      <c r="AKH74" s="375"/>
      <c r="AKI74" s="380"/>
      <c r="AKJ74" s="130">
        <f>SUM(AJH74:AKI74)</f>
      </c>
      <c r="AKK74" s="121"/>
      <c r="AKL74" s="122"/>
      <c r="AKM74" s="292"/>
      <c r="AKN74" s="196"/>
      <c r="AKO74" s="196"/>
      <c r="AKP74" s="196"/>
      <c r="AKQ74" s="196"/>
      <c r="AKR74" s="196"/>
      <c r="AKS74" s="196"/>
      <c r="AKT74" s="195"/>
      <c r="AKU74" s="197"/>
      <c r="AKV74" s="196"/>
      <c r="AKW74" s="196"/>
      <c r="AKX74" s="198"/>
      <c r="AKY74" s="292"/>
      <c r="AKZ74" s="196"/>
      <c r="ALA74" s="196"/>
      <c r="ALB74" s="196"/>
      <c r="ALC74" s="196"/>
      <c r="ALD74" s="196"/>
      <c r="ALE74" s="196"/>
      <c r="ALF74" s="196"/>
      <c r="ALG74" s="196"/>
      <c r="ALH74" s="196"/>
      <c r="ALI74" s="196"/>
      <c r="ALJ74" s="195"/>
      <c r="ALK74" s="122"/>
      <c r="ALL74" s="194"/>
      <c r="ALM74" s="130">
        <f>SUM(AKK74:ALL74)</f>
      </c>
      <c r="ALN74" s="121"/>
      <c r="ALO74" s="122"/>
      <c r="ALP74" s="292"/>
      <c r="ALQ74" s="196"/>
      <c r="ALR74" s="196"/>
      <c r="ALS74" s="196"/>
      <c r="ALT74" s="196"/>
      <c r="ALU74" s="196"/>
      <c r="ALV74" s="196"/>
      <c r="ALW74" s="195"/>
      <c r="ALX74" s="197"/>
      <c r="ALY74" s="196"/>
      <c r="ALZ74" s="196"/>
      <c r="AMA74" s="198"/>
      <c r="AMB74" s="292"/>
      <c r="AMC74" s="196"/>
      <c r="AMD74" s="196"/>
      <c r="AME74" s="196"/>
      <c r="AMF74" s="196"/>
      <c r="AMG74" s="196"/>
      <c r="AMH74" s="196"/>
      <c r="AMI74" s="196"/>
      <c r="AMJ74" s="196"/>
      <c r="AMK74" s="196"/>
      <c r="AML74" s="196"/>
      <c r="AMM74" s="195"/>
      <c r="AMN74" s="122"/>
      <c r="AMO74" s="194"/>
      <c r="AMP74" s="130">
        <f>SUM(ALN74:AMO74)</f>
      </c>
      <c r="AMQ74" s="132">
        <f>AFX74+AHA74+AID74+AJG74+AKJ74+ALM74+AMP74</f>
      </c>
      <c r="AMR74" s="133">
        <f>(COUNTIF(AEV74:AMP74,"H")+COUNTIF(AEV74:AMP74,"S")+COUNTIF(AEV74:AMP74,"L")+COUNTIF(AEV74:AMP74,"E")+COUNTIF(AEV74:AMP74,"C"))/2</f>
      </c>
      <c r="AMS74" s="130">
        <f>AMQ74+AMR74</f>
      </c>
      <c r="AMT74" s="4"/>
      <c r="AMU74" s="4"/>
      <c r="AMV74" s="4"/>
      <c r="AMW74" s="4"/>
      <c r="AMX74" s="4"/>
      <c r="AMY74" s="4"/>
      <c r="AMZ74" s="4"/>
      <c r="ANA74" s="4"/>
      <c r="ANB74" s="4"/>
      <c r="ANC74" s="4"/>
      <c r="AND74" s="4"/>
      <c r="ANE74" s="4"/>
      <c r="ANF74" s="4"/>
      <c r="ANG74" s="4"/>
      <c r="ANH74" s="4"/>
      <c r="ANI74" s="4"/>
      <c r="ANJ74" s="13"/>
      <c r="ANK74" s="13"/>
      <c r="ANL74" s="4"/>
      <c r="ANM74" s="4"/>
      <c r="ANN74" s="4"/>
      <c r="ANO74" s="4"/>
      <c r="ANP74" s="4"/>
      <c r="ANQ74" s="4"/>
      <c r="ANR74" s="4"/>
      <c r="ANS74" s="4"/>
      <c r="ANT74" s="4"/>
      <c r="ANU74" s="4"/>
      <c r="ANV74" s="4"/>
      <c r="ANW74" s="4"/>
      <c r="ANX74" s="4"/>
      <c r="ANY74" s="4"/>
      <c r="ANZ74" s="4"/>
      <c r="AOA74" s="4"/>
      <c r="AOB74" s="4"/>
      <c r="AOC74" s="4"/>
      <c r="AOD74" s="4"/>
      <c r="AOE74" s="4"/>
      <c r="AOF74" s="4"/>
      <c r="AOG74" s="4"/>
      <c r="AOH74" s="4"/>
      <c r="AOI74" s="4"/>
      <c r="AOJ74" s="4"/>
      <c r="AOK74" s="4"/>
      <c r="AOL74" s="4"/>
      <c r="AOM74" s="4"/>
      <c r="AON74" s="4"/>
      <c r="AOO74" s="4"/>
      <c r="AOP74" s="4"/>
      <c r="AOQ74" s="4"/>
      <c r="AOR74" s="4"/>
      <c r="AOS74" s="4"/>
      <c r="AOT74" s="4"/>
      <c r="AOU74" s="4"/>
      <c r="AOV74" s="4"/>
      <c r="AOW74" s="4"/>
      <c r="AOX74" s="4"/>
      <c r="AOY74" s="4"/>
      <c r="AOZ74" s="4"/>
      <c r="APA74" s="4"/>
      <c r="APB74" s="4"/>
      <c r="APC74" s="4"/>
      <c r="APD74" s="4"/>
      <c r="APE74" s="4"/>
      <c r="APF74" s="4"/>
      <c r="APG74" s="4"/>
      <c r="APH74" s="4"/>
      <c r="API74" s="4"/>
      <c r="APJ74" s="4"/>
      <c r="APK74" s="4"/>
      <c r="APL74" s="4"/>
      <c r="APM74" s="4"/>
      <c r="APN74" s="4"/>
      <c r="APO74" s="4"/>
      <c r="APP74" s="4"/>
      <c r="APQ74" s="4"/>
      <c r="APR74" s="4"/>
      <c r="APS74" s="4"/>
      <c r="APT74" s="4"/>
      <c r="APU74" s="4"/>
      <c r="APV74" s="4"/>
      <c r="APW74" s="4"/>
      <c r="APX74" s="4"/>
      <c r="APY74" s="4"/>
      <c r="APZ74" s="4"/>
      <c r="AQA74" s="4"/>
      <c r="AQB74" s="4"/>
      <c r="AQC74" s="4"/>
      <c r="AQD74" s="4"/>
      <c r="AQE74" s="4"/>
      <c r="AQF74" s="4"/>
      <c r="AQG74" s="4"/>
      <c r="AQH74" s="4"/>
      <c r="AQI74" s="4"/>
      <c r="AQJ74" s="4"/>
      <c r="AQK74" s="4"/>
      <c r="AQL74" s="4"/>
      <c r="AQM74" s="4"/>
      <c r="AQN74" s="4"/>
      <c r="AQO74" s="4"/>
      <c r="AQP74" s="4"/>
      <c r="AQQ74" s="4"/>
      <c r="AQR74" s="4"/>
      <c r="AQS74" s="4"/>
      <c r="AQT74" s="4"/>
      <c r="AQU74" s="4"/>
      <c r="AQV74" s="4"/>
      <c r="AQW74" s="4"/>
      <c r="AQX74" s="4"/>
      <c r="AQY74" s="4"/>
      <c r="AQZ74" s="4"/>
      <c r="ARA74" s="4"/>
      <c r="ARB74" s="4"/>
      <c r="ARC74" s="4"/>
      <c r="ARD74" s="4"/>
      <c r="ARE74" s="4"/>
      <c r="ARF74" s="4"/>
      <c r="ARG74" s="4"/>
      <c r="ARH74" s="4"/>
      <c r="ARI74" s="4"/>
      <c r="ARJ74" s="4"/>
      <c r="ARK74" s="4"/>
      <c r="ARL74" s="4"/>
      <c r="ARM74" s="4"/>
      <c r="ARN74" s="4"/>
      <c r="ARO74" s="4"/>
      <c r="ARP74" s="4"/>
      <c r="ARQ74" s="4"/>
      <c r="ARR74" s="4"/>
      <c r="ARS74" s="4"/>
      <c r="ART74" s="4"/>
      <c r="ARU74" s="4"/>
      <c r="ARV74" s="4"/>
      <c r="ARW74" s="4"/>
      <c r="ARX74" s="4"/>
      <c r="ARY74" s="4"/>
      <c r="ARZ74" s="4"/>
      <c r="ASA74" s="4"/>
      <c r="ASB74" s="4"/>
      <c r="ASC74" s="4"/>
      <c r="ASD74" s="4"/>
      <c r="ASE74" s="4"/>
      <c r="ASF74" s="4"/>
      <c r="ASG74" s="4"/>
      <c r="ASH74" s="4"/>
      <c r="ASI74" s="4"/>
      <c r="ASJ74" s="4"/>
      <c r="ASK74" s="4"/>
      <c r="ASL74" s="4"/>
      <c r="ASM74" s="4"/>
      <c r="ASN74" s="4"/>
      <c r="ASO74" s="4"/>
      <c r="ASP74" s="4"/>
      <c r="ASQ74" s="4"/>
      <c r="ASR74" s="4"/>
      <c r="ASS74" s="4"/>
      <c r="AST74" s="4"/>
      <c r="ASU74" s="4"/>
    </row>
    <row r="75" ht="15" customHeight="1" spans="1:1191" x14ac:dyDescent="0.25">
      <c r="A75" s="118"/>
      <c r="B75" s="417" t="s">
        <v>113</v>
      </c>
      <c r="C75" s="321" t="s">
        <v>81</v>
      </c>
      <c r="D75" s="121"/>
      <c r="E75" s="122"/>
      <c r="F75" s="123"/>
      <c r="G75" s="124"/>
      <c r="H75" s="124"/>
      <c r="I75" s="124"/>
      <c r="J75" s="124"/>
      <c r="K75" s="124"/>
      <c r="L75" s="124"/>
      <c r="M75" s="125"/>
      <c r="N75" s="126"/>
      <c r="O75" s="124"/>
      <c r="P75" s="124"/>
      <c r="Q75" s="127"/>
      <c r="R75" s="123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5"/>
      <c r="AD75" s="301"/>
      <c r="AE75" s="151"/>
      <c r="AF75" s="131">
        <f>SUM(D75:AE75)</f>
      </c>
      <c r="AG75" s="121"/>
      <c r="AH75" s="122"/>
      <c r="AI75" s="123"/>
      <c r="AJ75" s="124"/>
      <c r="AK75" s="124"/>
      <c r="AL75" s="124"/>
      <c r="AM75" s="124"/>
      <c r="AN75" s="124"/>
      <c r="AO75" s="124"/>
      <c r="AP75" s="125"/>
      <c r="AQ75" s="126"/>
      <c r="AR75" s="124"/>
      <c r="AS75" s="124"/>
      <c r="AT75" s="127"/>
      <c r="AU75" s="123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5"/>
      <c r="BG75" s="301"/>
      <c r="BH75" s="151"/>
      <c r="BI75" s="131">
        <f>SUM(AG75:BH75)</f>
      </c>
      <c r="BJ75" s="121"/>
      <c r="BK75" s="122"/>
      <c r="BL75" s="123"/>
      <c r="BM75" s="124"/>
      <c r="BN75" s="124"/>
      <c r="BO75" s="124"/>
      <c r="BP75" s="124"/>
      <c r="BQ75" s="124"/>
      <c r="BR75" s="124"/>
      <c r="BS75" s="125"/>
      <c r="BT75" s="126"/>
      <c r="BU75" s="124"/>
      <c r="BV75" s="124"/>
      <c r="BW75" s="127"/>
      <c r="BX75" s="123"/>
      <c r="BY75" s="124"/>
      <c r="BZ75" s="124"/>
      <c r="CA75" s="124"/>
      <c r="CB75" s="124"/>
      <c r="CC75" s="124"/>
      <c r="CD75" s="124"/>
      <c r="CE75" s="124"/>
      <c r="CF75" s="124"/>
      <c r="CG75" s="124"/>
      <c r="CH75" s="124"/>
      <c r="CI75" s="125"/>
      <c r="CJ75" s="301"/>
      <c r="CK75" s="151"/>
      <c r="CL75" s="131">
        <f>SUM(BJ75:CK75)</f>
      </c>
      <c r="CM75" s="121"/>
      <c r="CN75" s="122"/>
      <c r="CO75" s="123"/>
      <c r="CP75" s="124"/>
      <c r="CQ75" s="124"/>
      <c r="CR75" s="124"/>
      <c r="CS75" s="124"/>
      <c r="CT75" s="124"/>
      <c r="CU75" s="124"/>
      <c r="CV75" s="125"/>
      <c r="CW75" s="126"/>
      <c r="CX75" s="124"/>
      <c r="CY75" s="124"/>
      <c r="CZ75" s="127"/>
      <c r="DA75" s="123"/>
      <c r="DB75" s="124"/>
      <c r="DC75" s="124"/>
      <c r="DD75" s="124"/>
      <c r="DE75" s="124"/>
      <c r="DF75" s="124"/>
      <c r="DG75" s="124"/>
      <c r="DH75" s="124"/>
      <c r="DI75" s="124"/>
      <c r="DJ75" s="124"/>
      <c r="DK75" s="124"/>
      <c r="DL75" s="125"/>
      <c r="DM75" s="301"/>
      <c r="DN75" s="151"/>
      <c r="DO75" s="131">
        <f>SUM(CM75:DN75)</f>
      </c>
      <c r="DP75" s="121"/>
      <c r="DQ75" s="122"/>
      <c r="DR75" s="123"/>
      <c r="DS75" s="124"/>
      <c r="DT75" s="124"/>
      <c r="DU75" s="124"/>
      <c r="DV75" s="124"/>
      <c r="DW75" s="124"/>
      <c r="DX75" s="124"/>
      <c r="DY75" s="125"/>
      <c r="DZ75" s="126"/>
      <c r="EA75" s="124"/>
      <c r="EB75" s="124"/>
      <c r="EC75" s="127"/>
      <c r="ED75" s="123"/>
      <c r="EE75" s="124"/>
      <c r="EF75" s="124"/>
      <c r="EG75" s="124"/>
      <c r="EH75" s="124"/>
      <c r="EI75" s="124"/>
      <c r="EJ75" s="124"/>
      <c r="EK75" s="124"/>
      <c r="EL75" s="124"/>
      <c r="EM75" s="124"/>
      <c r="EN75" s="124"/>
      <c r="EO75" s="125"/>
      <c r="EP75" s="301"/>
      <c r="EQ75" s="151"/>
      <c r="ER75" s="131">
        <f>SUM(DP75:EQ75)</f>
      </c>
      <c r="ES75" s="121"/>
      <c r="ET75" s="122"/>
      <c r="EU75" s="123"/>
      <c r="EV75" s="124"/>
      <c r="EW75" s="124"/>
      <c r="EX75" s="124"/>
      <c r="EY75" s="124"/>
      <c r="EZ75" s="124"/>
      <c r="FA75" s="124"/>
      <c r="FB75" s="125"/>
      <c r="FC75" s="126"/>
      <c r="FD75" s="124"/>
      <c r="FE75" s="124"/>
      <c r="FF75" s="127"/>
      <c r="FG75" s="123"/>
      <c r="FH75" s="124"/>
      <c r="FI75" s="124"/>
      <c r="FJ75" s="124"/>
      <c r="FK75" s="124"/>
      <c r="FL75" s="124"/>
      <c r="FM75" s="124"/>
      <c r="FN75" s="124"/>
      <c r="FO75" s="124"/>
      <c r="FP75" s="124"/>
      <c r="FQ75" s="124"/>
      <c r="FR75" s="125"/>
      <c r="FS75" s="301"/>
      <c r="FT75" s="151"/>
      <c r="FU75" s="131">
        <f>SUM(ES75:FT75)</f>
      </c>
      <c r="FV75" s="121"/>
      <c r="FW75" s="122"/>
      <c r="FX75" s="123"/>
      <c r="FY75" s="124"/>
      <c r="FZ75" s="124"/>
      <c r="GA75" s="124"/>
      <c r="GB75" s="124"/>
      <c r="GC75" s="124"/>
      <c r="GD75" s="124"/>
      <c r="GE75" s="125"/>
      <c r="GF75" s="126"/>
      <c r="GG75" s="124"/>
      <c r="GH75" s="124"/>
      <c r="GI75" s="127"/>
      <c r="GJ75" s="123"/>
      <c r="GK75" s="124"/>
      <c r="GL75" s="124"/>
      <c r="GM75" s="124"/>
      <c r="GN75" s="124"/>
      <c r="GO75" s="124"/>
      <c r="GP75" s="124"/>
      <c r="GQ75" s="124"/>
      <c r="GR75" s="124"/>
      <c r="GS75" s="124"/>
      <c r="GT75" s="124"/>
      <c r="GU75" s="125"/>
      <c r="GV75" s="301"/>
      <c r="GW75" s="151"/>
      <c r="GX75" s="131">
        <f>SUM(FV75:GW75)</f>
      </c>
      <c r="GY75" s="150">
        <f>AF75+BI75+CL75+DO75+ER75+FU75+GX75</f>
      </c>
      <c r="GZ75" s="302">
        <f>(COUNTIF(D75:GX75,"H")+COUNTIF(D75:GX75,"S")+COUNTIF(D75:GX75,"L")+COUNTIF(D75:GX75,"E")+COUNTIF(D75:GX75,"C"))/2</f>
      </c>
      <c r="HA75" s="131">
        <f>GY75+GZ75</f>
      </c>
      <c r="HB75" s="374"/>
      <c r="HC75" s="375"/>
      <c r="HD75" s="15"/>
      <c r="HE75" s="25">
        <v>0.5</v>
      </c>
      <c r="HF75" s="25">
        <v>0.5</v>
      </c>
      <c r="HG75" s="25">
        <v>0.5</v>
      </c>
      <c r="HH75" s="25">
        <v>0.5</v>
      </c>
      <c r="HI75" s="25">
        <v>0.5</v>
      </c>
      <c r="HJ75" s="26" t="s">
        <v>9</v>
      </c>
      <c r="HK75" s="409" t="s">
        <v>9</v>
      </c>
      <c r="HL75" s="412"/>
      <c r="HM75" s="19"/>
      <c r="HN75" s="26" t="s">
        <v>9</v>
      </c>
      <c r="HO75" s="413" t="s">
        <v>9</v>
      </c>
      <c r="HP75" s="411" t="s">
        <v>9</v>
      </c>
      <c r="HQ75" s="26" t="s">
        <v>9</v>
      </c>
      <c r="HR75" s="26" t="s">
        <v>9</v>
      </c>
      <c r="HS75" s="26" t="s">
        <v>9</v>
      </c>
      <c r="HT75" s="26" t="s">
        <v>9</v>
      </c>
      <c r="HU75" s="26" t="s">
        <v>9</v>
      </c>
      <c r="HV75" s="26" t="s">
        <v>9</v>
      </c>
      <c r="HW75" s="19"/>
      <c r="HX75" s="19"/>
      <c r="HY75" s="19"/>
      <c r="HZ75" s="19"/>
      <c r="IA75" s="414"/>
      <c r="IB75" s="407"/>
      <c r="IC75" s="408"/>
      <c r="ID75" s="131">
        <f>SUM(HB75:IC75)</f>
      </c>
      <c r="IE75" s="374"/>
      <c r="IF75" s="375"/>
      <c r="IG75" s="15"/>
      <c r="IH75" s="26" t="s">
        <v>9</v>
      </c>
      <c r="II75" s="26" t="s">
        <v>9</v>
      </c>
      <c r="IJ75" s="26" t="s">
        <v>9</v>
      </c>
      <c r="IK75" s="26" t="s">
        <v>9</v>
      </c>
      <c r="IL75" s="26" t="s">
        <v>9</v>
      </c>
      <c r="IM75" s="26" t="s">
        <v>9</v>
      </c>
      <c r="IN75" s="409" t="s">
        <v>9</v>
      </c>
      <c r="IO75" s="412"/>
      <c r="IP75" s="19"/>
      <c r="IQ75" s="26" t="s">
        <v>9</v>
      </c>
      <c r="IR75" s="413" t="s">
        <v>9</v>
      </c>
      <c r="IS75" s="411" t="s">
        <v>9</v>
      </c>
      <c r="IT75" s="26" t="s">
        <v>9</v>
      </c>
      <c r="IU75" s="26" t="s">
        <v>9</v>
      </c>
      <c r="IV75" s="26" t="s">
        <v>9</v>
      </c>
      <c r="IW75" s="26" t="s">
        <v>9</v>
      </c>
      <c r="IX75" s="26" t="s">
        <v>9</v>
      </c>
      <c r="IY75" s="26" t="s">
        <v>9</v>
      </c>
      <c r="IZ75" s="19"/>
      <c r="JA75" s="19"/>
      <c r="JB75" s="19"/>
      <c r="JC75" s="19"/>
      <c r="JD75" s="414"/>
      <c r="JE75" s="407"/>
      <c r="JF75" s="408"/>
      <c r="JG75" s="131">
        <f>SUM(IE75:JF75)</f>
      </c>
      <c r="JH75" s="374"/>
      <c r="JI75" s="375"/>
      <c r="JJ75" s="15"/>
      <c r="JK75" s="26" t="s">
        <v>9</v>
      </c>
      <c r="JL75" s="26" t="s">
        <v>9</v>
      </c>
      <c r="JM75" s="26" t="s">
        <v>9</v>
      </c>
      <c r="JN75" s="26" t="s">
        <v>9</v>
      </c>
      <c r="JO75" s="26" t="s">
        <v>9</v>
      </c>
      <c r="JP75" s="26" t="s">
        <v>9</v>
      </c>
      <c r="JQ75" s="409" t="s">
        <v>9</v>
      </c>
      <c r="JR75" s="412"/>
      <c r="JS75" s="19"/>
      <c r="JT75" s="26" t="s">
        <v>9</v>
      </c>
      <c r="JU75" s="413" t="s">
        <v>9</v>
      </c>
      <c r="JV75" s="411" t="s">
        <v>9</v>
      </c>
      <c r="JW75" s="26" t="s">
        <v>9</v>
      </c>
      <c r="JX75" s="26" t="s">
        <v>9</v>
      </c>
      <c r="JY75" s="26" t="s">
        <v>9</v>
      </c>
      <c r="JZ75" s="26" t="s">
        <v>9</v>
      </c>
      <c r="KA75" s="26" t="s">
        <v>9</v>
      </c>
      <c r="KB75" s="26" t="s">
        <v>9</v>
      </c>
      <c r="KC75" s="19"/>
      <c r="KD75" s="19"/>
      <c r="KE75" s="19"/>
      <c r="KF75" s="19"/>
      <c r="KG75" s="414"/>
      <c r="KH75" s="407"/>
      <c r="KI75" s="408"/>
      <c r="KJ75" s="131">
        <f>SUM(JH75:KI75)</f>
      </c>
      <c r="KK75" s="374"/>
      <c r="KL75" s="375"/>
      <c r="KM75" s="15"/>
      <c r="KN75" s="25">
        <v>0.5</v>
      </c>
      <c r="KO75" s="25">
        <v>0.5</v>
      </c>
      <c r="KP75" s="25">
        <v>0.5</v>
      </c>
      <c r="KQ75" s="25">
        <v>0.5</v>
      </c>
      <c r="KR75" s="25">
        <v>0.5</v>
      </c>
      <c r="KS75" s="25">
        <v>0.5</v>
      </c>
      <c r="KT75" s="418">
        <v>0.5</v>
      </c>
      <c r="KU75" s="412"/>
      <c r="KV75" s="19"/>
      <c r="KW75" s="25">
        <v>0.5</v>
      </c>
      <c r="KX75" s="419">
        <v>0.5</v>
      </c>
      <c r="KY75" s="420">
        <v>0.5</v>
      </c>
      <c r="KZ75" s="25">
        <v>0.5</v>
      </c>
      <c r="LA75" s="25">
        <v>0.5</v>
      </c>
      <c r="LB75" s="25">
        <v>0.5</v>
      </c>
      <c r="LC75" s="25">
        <v>0.5</v>
      </c>
      <c r="LD75" s="25">
        <v>0.5</v>
      </c>
      <c r="LE75" s="25">
        <v>0.5</v>
      </c>
      <c r="LF75" s="19"/>
      <c r="LG75" s="19"/>
      <c r="LH75" s="19"/>
      <c r="LI75" s="19"/>
      <c r="LJ75" s="414"/>
      <c r="LK75" s="407"/>
      <c r="LL75" s="408"/>
      <c r="LM75" s="131">
        <f>SUM(KK75:LL75)</f>
      </c>
      <c r="LN75" s="374"/>
      <c r="LO75" s="375"/>
      <c r="LP75" s="15"/>
      <c r="LQ75" s="25">
        <v>0.5</v>
      </c>
      <c r="LR75" s="25">
        <v>0.5</v>
      </c>
      <c r="LS75" s="25">
        <v>0.5</v>
      </c>
      <c r="LT75" s="25">
        <v>0.5</v>
      </c>
      <c r="LU75" s="25">
        <v>0.5</v>
      </c>
      <c r="LV75" s="25">
        <v>0.5</v>
      </c>
      <c r="LW75" s="418">
        <v>0.5</v>
      </c>
      <c r="LX75" s="412"/>
      <c r="LY75" s="19"/>
      <c r="LZ75" s="25">
        <v>0.5</v>
      </c>
      <c r="MA75" s="419">
        <v>0.5</v>
      </c>
      <c r="MB75" s="420">
        <v>0.5</v>
      </c>
      <c r="MC75" s="25">
        <v>0.5</v>
      </c>
      <c r="MD75" s="25">
        <v>0.5</v>
      </c>
      <c r="ME75" s="25">
        <v>0.5</v>
      </c>
      <c r="MF75" s="25">
        <v>0.5</v>
      </c>
      <c r="MG75" s="25">
        <v>0.5</v>
      </c>
      <c r="MH75" s="25">
        <v>0.5</v>
      </c>
      <c r="MI75" s="19"/>
      <c r="MJ75" s="19"/>
      <c r="MK75" s="19"/>
      <c r="ML75" s="19"/>
      <c r="MM75" s="414"/>
      <c r="MN75" s="407"/>
      <c r="MO75" s="408"/>
      <c r="MP75" s="131">
        <f>SUM(LN75:MO75)</f>
      </c>
      <c r="MQ75" s="121"/>
      <c r="MR75" s="122"/>
      <c r="MS75" s="123"/>
      <c r="MT75" s="124"/>
      <c r="MU75" s="124"/>
      <c r="MV75" s="124"/>
      <c r="MW75" s="124"/>
      <c r="MX75" s="124"/>
      <c r="MY75" s="124"/>
      <c r="MZ75" s="125"/>
      <c r="NA75" s="126"/>
      <c r="NB75" s="124"/>
      <c r="NC75" s="124"/>
      <c r="ND75" s="127"/>
      <c r="NE75" s="123"/>
      <c r="NF75" s="124"/>
      <c r="NG75" s="124"/>
      <c r="NH75" s="124"/>
      <c r="NI75" s="124"/>
      <c r="NJ75" s="124"/>
      <c r="NK75" s="124"/>
      <c r="NL75" s="124"/>
      <c r="NM75" s="124"/>
      <c r="NN75" s="124"/>
      <c r="NO75" s="124"/>
      <c r="NP75" s="125"/>
      <c r="NQ75" s="301"/>
      <c r="NR75" s="151"/>
      <c r="NS75" s="131">
        <f>SUM(MQ75:NR75)</f>
      </c>
      <c r="NT75" s="121"/>
      <c r="NU75" s="122"/>
      <c r="NV75" s="123"/>
      <c r="NW75" s="124"/>
      <c r="NX75" s="124"/>
      <c r="NY75" s="124"/>
      <c r="NZ75" s="124"/>
      <c r="OA75" s="124"/>
      <c r="OB75" s="124"/>
      <c r="OC75" s="125"/>
      <c r="OD75" s="126"/>
      <c r="OE75" s="124"/>
      <c r="OF75" s="124"/>
      <c r="OG75" s="127"/>
      <c r="OH75" s="123"/>
      <c r="OI75" s="124"/>
      <c r="OJ75" s="124"/>
      <c r="OK75" s="124"/>
      <c r="OL75" s="124"/>
      <c r="OM75" s="124"/>
      <c r="ON75" s="124"/>
      <c r="OO75" s="124"/>
      <c r="OP75" s="124"/>
      <c r="OQ75" s="124"/>
      <c r="OR75" s="124"/>
      <c r="OS75" s="125"/>
      <c r="OT75" s="301"/>
      <c r="OU75" s="151"/>
      <c r="OV75" s="131">
        <f>SUM(NT75:OU75)</f>
      </c>
      <c r="OW75" s="150">
        <f>ID75+JG75+KJ75+LM75+MP75+NS75+OV75</f>
      </c>
      <c r="OX75" s="302">
        <f>(COUNTIF(HB75:OV75,"H")+COUNTIF(HB75:OV75,"S")+COUNTIF(HB75:OV75,"L")+COUNTIF(HB75:OV75,"E")+COUNTIF(HB75:OV75,"C"))/2</f>
      </c>
      <c r="OY75" s="131">
        <f>OW75+OX75</f>
      </c>
      <c r="OZ75" s="374"/>
      <c r="PA75" s="375"/>
      <c r="PB75" s="15"/>
      <c r="PC75" s="17">
        <v>0.5</v>
      </c>
      <c r="PD75" s="17">
        <v>0.5</v>
      </c>
      <c r="PE75" s="17">
        <v>0.5</v>
      </c>
      <c r="PF75" s="17">
        <v>0.5</v>
      </c>
      <c r="PG75" s="17">
        <v>0.5</v>
      </c>
      <c r="PH75" s="17">
        <v>0.5</v>
      </c>
      <c r="PI75" s="406">
        <v>0.5</v>
      </c>
      <c r="PJ75" s="412"/>
      <c r="PK75" s="19"/>
      <c r="PL75" s="17">
        <v>0.5</v>
      </c>
      <c r="PM75" s="415">
        <v>0.5</v>
      </c>
      <c r="PN75" s="405">
        <v>0.5</v>
      </c>
      <c r="PO75" s="17">
        <v>0.5</v>
      </c>
      <c r="PP75" s="17">
        <v>0.5</v>
      </c>
      <c r="PQ75" s="17">
        <v>0.5</v>
      </c>
      <c r="PR75" s="17">
        <v>0.5</v>
      </c>
      <c r="PS75" s="17">
        <v>0.5</v>
      </c>
      <c r="PT75" s="17">
        <v>0.5</v>
      </c>
      <c r="PU75" s="19"/>
      <c r="PV75" s="19"/>
      <c r="PW75" s="19"/>
      <c r="PX75" s="19"/>
      <c r="PY75" s="414"/>
      <c r="PZ75" s="407"/>
      <c r="QA75" s="408"/>
      <c r="QB75" s="131">
        <f>SUM(OZ75:QA75)</f>
      </c>
      <c r="QC75" s="374"/>
      <c r="QD75" s="375"/>
      <c r="QE75" s="15"/>
      <c r="QF75" s="17">
        <v>0.5</v>
      </c>
      <c r="QG75" s="17">
        <v>0.5</v>
      </c>
      <c r="QH75" s="17">
        <v>0.5</v>
      </c>
      <c r="QI75" s="17">
        <v>0.5</v>
      </c>
      <c r="QJ75" s="17">
        <v>0.5</v>
      </c>
      <c r="QK75" s="17">
        <v>0.5</v>
      </c>
      <c r="QL75" s="406">
        <v>0.5</v>
      </c>
      <c r="QM75" s="412"/>
      <c r="QN75" s="19"/>
      <c r="QO75" s="17">
        <v>0.5</v>
      </c>
      <c r="QP75" s="415">
        <v>0.5</v>
      </c>
      <c r="QQ75" s="405">
        <v>0.5</v>
      </c>
      <c r="QR75" s="17">
        <v>0.5</v>
      </c>
      <c r="QS75" s="17">
        <v>0.5</v>
      </c>
      <c r="QT75" s="17">
        <v>0.5</v>
      </c>
      <c r="QU75" s="17">
        <v>0.5</v>
      </c>
      <c r="QV75" s="17">
        <v>0.5</v>
      </c>
      <c r="QW75" s="17">
        <v>0.5</v>
      </c>
      <c r="QX75" s="19"/>
      <c r="QY75" s="19"/>
      <c r="QZ75" s="19"/>
      <c r="RA75" s="19"/>
      <c r="RB75" s="414"/>
      <c r="RC75" s="407"/>
      <c r="RD75" s="408"/>
      <c r="RE75" s="131">
        <f>SUM(QC75:RD75)</f>
      </c>
      <c r="RF75" s="374"/>
      <c r="RG75" s="375"/>
      <c r="RH75" s="15"/>
      <c r="RI75" s="17">
        <v>0.5</v>
      </c>
      <c r="RJ75" s="17">
        <v>0.5</v>
      </c>
      <c r="RK75" s="17">
        <v>0.5</v>
      </c>
      <c r="RL75" s="17">
        <v>0.5</v>
      </c>
      <c r="RM75" s="17">
        <v>0.5</v>
      </c>
      <c r="RN75" s="17">
        <v>0.5</v>
      </c>
      <c r="RO75" s="406">
        <v>0.5</v>
      </c>
      <c r="RP75" s="412"/>
      <c r="RQ75" s="19"/>
      <c r="RR75" s="17">
        <v>0.5</v>
      </c>
      <c r="RS75" s="415">
        <v>0.5</v>
      </c>
      <c r="RT75" s="405">
        <v>0.5</v>
      </c>
      <c r="RU75" s="17">
        <v>0.5</v>
      </c>
      <c r="RV75" s="17">
        <v>0.5</v>
      </c>
      <c r="RW75" s="17">
        <v>0.5</v>
      </c>
      <c r="RX75" s="17">
        <v>0.5</v>
      </c>
      <c r="RY75" s="17">
        <v>0.5</v>
      </c>
      <c r="RZ75" s="17">
        <v>0.5</v>
      </c>
      <c r="SA75" s="19"/>
      <c r="SB75" s="19"/>
      <c r="SC75" s="19"/>
      <c r="SD75" s="19"/>
      <c r="SE75" s="414"/>
      <c r="SF75" s="407"/>
      <c r="SG75" s="408"/>
      <c r="SH75" s="131">
        <f>SUM(RF75:SG75)</f>
      </c>
      <c r="SI75" s="374"/>
      <c r="SJ75" s="375"/>
      <c r="SK75" s="15"/>
      <c r="SL75" s="17">
        <v>0.5</v>
      </c>
      <c r="SM75" s="17">
        <v>0.5</v>
      </c>
      <c r="SN75" s="17">
        <v>0.5</v>
      </c>
      <c r="SO75" s="17">
        <v>0.5</v>
      </c>
      <c r="SP75" s="17">
        <v>0.5</v>
      </c>
      <c r="SQ75" s="17">
        <v>0.5</v>
      </c>
      <c r="SR75" s="406">
        <v>0.5</v>
      </c>
      <c r="SS75" s="412"/>
      <c r="ST75" s="19"/>
      <c r="SU75" s="17">
        <v>0.5</v>
      </c>
      <c r="SV75" s="415">
        <v>0.5</v>
      </c>
      <c r="SW75" s="405">
        <v>0.5</v>
      </c>
      <c r="SX75" s="17">
        <v>0.5</v>
      </c>
      <c r="SY75" s="17">
        <v>0.5</v>
      </c>
      <c r="SZ75" s="17">
        <v>0.5</v>
      </c>
      <c r="TA75" s="17">
        <v>0.5</v>
      </c>
      <c r="TB75" s="17">
        <v>0.5</v>
      </c>
      <c r="TC75" s="17">
        <v>0.5</v>
      </c>
      <c r="TD75" s="19"/>
      <c r="TE75" s="19"/>
      <c r="TF75" s="19"/>
      <c r="TG75" s="19"/>
      <c r="TH75" s="414"/>
      <c r="TI75" s="407"/>
      <c r="TJ75" s="408"/>
      <c r="TK75" s="131">
        <f>SUM(SI75:TJ75)</f>
      </c>
      <c r="TL75" s="374"/>
      <c r="TM75" s="375"/>
      <c r="TN75" s="15"/>
      <c r="TO75" s="17">
        <v>0.5</v>
      </c>
      <c r="TP75" s="17">
        <v>0.5</v>
      </c>
      <c r="TQ75" s="17">
        <v>0.5</v>
      </c>
      <c r="TR75" s="17">
        <v>0.5</v>
      </c>
      <c r="TS75" s="17">
        <v>0.5</v>
      </c>
      <c r="TT75" s="17">
        <v>0.5</v>
      </c>
      <c r="TU75" s="406">
        <v>0.5</v>
      </c>
      <c r="TV75" s="432">
        <v>0.5</v>
      </c>
      <c r="TW75" s="17">
        <v>0.5</v>
      </c>
      <c r="TX75" s="19"/>
      <c r="TY75" s="323"/>
      <c r="TZ75" s="405">
        <v>0.5</v>
      </c>
      <c r="UA75" s="17">
        <v>0.5</v>
      </c>
      <c r="UB75" s="17">
        <v>0.5</v>
      </c>
      <c r="UC75" s="17">
        <v>0.5</v>
      </c>
      <c r="UD75" s="17">
        <v>0.5</v>
      </c>
      <c r="UE75" s="17">
        <v>0.5</v>
      </c>
      <c r="UF75" s="17">
        <v>0.5</v>
      </c>
      <c r="UG75" s="19"/>
      <c r="UH75" s="19"/>
      <c r="UI75" s="19"/>
      <c r="UJ75" s="19"/>
      <c r="UK75" s="414"/>
      <c r="UL75" s="407"/>
      <c r="UM75" s="408"/>
      <c r="UN75" s="131">
        <f>SUM(TL75:UM75)</f>
      </c>
      <c r="UO75" s="121"/>
      <c r="UP75" s="122"/>
      <c r="UQ75" s="123"/>
      <c r="UR75" s="124"/>
      <c r="US75" s="124"/>
      <c r="UT75" s="124"/>
      <c r="UU75" s="124"/>
      <c r="UV75" s="124"/>
      <c r="UW75" s="124"/>
      <c r="UX75" s="125"/>
      <c r="UY75" s="126"/>
      <c r="UZ75" s="124"/>
      <c r="VA75" s="124"/>
      <c r="VB75" s="127"/>
      <c r="VC75" s="123"/>
      <c r="VD75" s="124"/>
      <c r="VE75" s="124"/>
      <c r="VF75" s="124"/>
      <c r="VG75" s="124"/>
      <c r="VH75" s="124"/>
      <c r="VI75" s="124"/>
      <c r="VJ75" s="124"/>
      <c r="VK75" s="124"/>
      <c r="VL75" s="124"/>
      <c r="VM75" s="124"/>
      <c r="VN75" s="125"/>
      <c r="VO75" s="301"/>
      <c r="VP75" s="151"/>
      <c r="VQ75" s="131">
        <f>SUM(UO75:VP75)</f>
      </c>
      <c r="VR75" s="121"/>
      <c r="VS75" s="122"/>
      <c r="VT75" s="123"/>
      <c r="VU75" s="124"/>
      <c r="VV75" s="124"/>
      <c r="VW75" s="124"/>
      <c r="VX75" s="124"/>
      <c r="VY75" s="124"/>
      <c r="VZ75" s="124"/>
      <c r="WA75" s="125"/>
      <c r="WB75" s="126"/>
      <c r="WC75" s="124"/>
      <c r="WD75" s="124"/>
      <c r="WE75" s="127"/>
      <c r="WF75" s="123"/>
      <c r="WG75" s="124"/>
      <c r="WH75" s="124"/>
      <c r="WI75" s="124"/>
      <c r="WJ75" s="124"/>
      <c r="WK75" s="124"/>
      <c r="WL75" s="124"/>
      <c r="WM75" s="124"/>
      <c r="WN75" s="124"/>
      <c r="WO75" s="124"/>
      <c r="WP75" s="124"/>
      <c r="WQ75" s="125"/>
      <c r="WR75" s="301"/>
      <c r="WS75" s="151"/>
      <c r="WT75" s="131">
        <f>SUM(VR75:WS75)</f>
      </c>
      <c r="WU75" s="150">
        <f>QB75+RE75+SH75+TK75+UN75+VQ75+WT75</f>
      </c>
      <c r="WV75" s="302">
        <f>(COUNTIF(OZ75:WT75,"H")+COUNTIF(OZ75:WT75,"S")+COUNTIF(OZ75:WT75,"L")+COUNTIF(OZ75:WT75,"E")+COUNTIF(OZ75:WT75,"C"))/2</f>
      </c>
      <c r="WW75" s="131">
        <f>WU75+WV75</f>
      </c>
      <c r="WX75" s="374"/>
      <c r="WY75" s="375"/>
      <c r="WZ75" s="15"/>
      <c r="XA75" s="307">
        <v>0.5</v>
      </c>
      <c r="XB75" s="307">
        <v>0.5</v>
      </c>
      <c r="XC75" s="307">
        <v>0.5</v>
      </c>
      <c r="XD75" s="307">
        <v>0.5</v>
      </c>
      <c r="XE75" s="307">
        <v>0.5</v>
      </c>
      <c r="XF75" s="307">
        <v>0.5</v>
      </c>
      <c r="XG75" s="314">
        <v>0.5</v>
      </c>
      <c r="XH75" s="319">
        <v>0.5</v>
      </c>
      <c r="XI75" s="307">
        <v>0.5</v>
      </c>
      <c r="XJ75" s="307">
        <v>0.5</v>
      </c>
      <c r="XK75" s="416">
        <v>0.5</v>
      </c>
      <c r="XL75" s="313">
        <v>0.5</v>
      </c>
      <c r="XM75" s="308">
        <v>0.5</v>
      </c>
      <c r="XN75" s="308">
        <v>0.5</v>
      </c>
      <c r="XO75" s="308">
        <v>0.5</v>
      </c>
      <c r="XP75" s="308">
        <v>0.5</v>
      </c>
      <c r="XQ75" s="308">
        <v>0.5</v>
      </c>
      <c r="XR75" s="308">
        <v>0.5</v>
      </c>
      <c r="XS75" s="308">
        <v>0.5</v>
      </c>
      <c r="XT75" s="308">
        <v>0.5</v>
      </c>
      <c r="XU75" s="308">
        <v>0.5</v>
      </c>
      <c r="XV75" s="308">
        <v>0.5</v>
      </c>
      <c r="XW75" s="309">
        <v>0.5</v>
      </c>
      <c r="XX75" s="407"/>
      <c r="XY75" s="408"/>
      <c r="XZ75" s="131">
        <f>SUM(WX75:XY75)</f>
      </c>
      <c r="YA75" s="374"/>
      <c r="YB75" s="375"/>
      <c r="YC75" s="15"/>
      <c r="YD75" s="308">
        <v>0.5</v>
      </c>
      <c r="YE75" s="308">
        <v>0.5</v>
      </c>
      <c r="YF75" s="308">
        <v>0.5</v>
      </c>
      <c r="YG75" s="308">
        <v>0.5</v>
      </c>
      <c r="YH75" s="308">
        <v>0.5</v>
      </c>
      <c r="YI75" s="308">
        <v>0.5</v>
      </c>
      <c r="YJ75" s="309">
        <v>0.5</v>
      </c>
      <c r="YK75" s="412"/>
      <c r="YL75" s="19"/>
      <c r="YM75" s="308">
        <v>0.5</v>
      </c>
      <c r="YN75" s="312">
        <v>0.5</v>
      </c>
      <c r="YO75" s="313">
        <v>0.5</v>
      </c>
      <c r="YP75" s="308">
        <v>0.5</v>
      </c>
      <c r="YQ75" s="308">
        <v>0.5</v>
      </c>
      <c r="YR75" s="308">
        <v>0.5</v>
      </c>
      <c r="YS75" s="308">
        <v>0.5</v>
      </c>
      <c r="YT75" s="308">
        <v>0.5</v>
      </c>
      <c r="YU75" s="308">
        <v>0.5</v>
      </c>
      <c r="YV75" s="308">
        <v>0.5</v>
      </c>
      <c r="YW75" s="308">
        <v>0.5</v>
      </c>
      <c r="YX75" s="19"/>
      <c r="YY75" s="19"/>
      <c r="YZ75" s="414"/>
      <c r="ZA75" s="407"/>
      <c r="ZB75" s="408"/>
      <c r="ZC75" s="131">
        <f>SUM(YA75:ZB75)</f>
      </c>
      <c r="ZD75" s="374"/>
      <c r="ZE75" s="375"/>
      <c r="ZF75" s="15"/>
      <c r="ZG75" s="308">
        <v>0.5</v>
      </c>
      <c r="ZH75" s="308">
        <v>0.5</v>
      </c>
      <c r="ZI75" s="308">
        <v>0.5</v>
      </c>
      <c r="ZJ75" s="308">
        <v>0.5</v>
      </c>
      <c r="ZK75" s="308">
        <v>0.5</v>
      </c>
      <c r="ZL75" s="308">
        <v>0.5</v>
      </c>
      <c r="ZM75" s="309">
        <v>0.5</v>
      </c>
      <c r="ZN75" s="412"/>
      <c r="ZO75" s="19"/>
      <c r="ZP75" s="308">
        <v>0.5</v>
      </c>
      <c r="ZQ75" s="312">
        <v>0.5</v>
      </c>
      <c r="ZR75" s="313">
        <v>0.5</v>
      </c>
      <c r="ZS75" s="308">
        <v>0.5</v>
      </c>
      <c r="ZT75" s="308">
        <v>0.5</v>
      </c>
      <c r="ZU75" s="308">
        <v>0.5</v>
      </c>
      <c r="ZV75" s="308">
        <v>0.5</v>
      </c>
      <c r="ZW75" s="308">
        <v>0.5</v>
      </c>
      <c r="ZX75" s="308">
        <v>0.5</v>
      </c>
      <c r="ZY75" s="308">
        <v>0.5</v>
      </c>
      <c r="ZZ75" s="308">
        <v>0.5</v>
      </c>
      <c r="AAA75" s="19"/>
      <c r="AAB75" s="19"/>
      <c r="AAC75" s="414"/>
      <c r="AAD75" s="407"/>
      <c r="AAE75" s="408"/>
      <c r="AAF75" s="131">
        <f>SUM(ZD75:AAE75)</f>
      </c>
      <c r="AAG75" s="374"/>
      <c r="AAH75" s="375"/>
      <c r="AAI75" s="15"/>
      <c r="AAJ75" s="308">
        <v>0.5</v>
      </c>
      <c r="AAK75" s="308">
        <v>0.5</v>
      </c>
      <c r="AAL75" s="308">
        <v>0.5</v>
      </c>
      <c r="AAM75" s="308">
        <v>0.5</v>
      </c>
      <c r="AAN75" s="308">
        <v>0.5</v>
      </c>
      <c r="AAO75" s="308">
        <v>0.5</v>
      </c>
      <c r="AAP75" s="309">
        <v>0.5</v>
      </c>
      <c r="AAQ75" s="320">
        <v>0.5</v>
      </c>
      <c r="AAR75" s="308">
        <v>0.5</v>
      </c>
      <c r="AAS75" s="307">
        <v>0.5</v>
      </c>
      <c r="AAT75" s="416">
        <v>0.5</v>
      </c>
      <c r="AAU75" s="306">
        <v>0.5</v>
      </c>
      <c r="AAV75" s="307">
        <v>0.5</v>
      </c>
      <c r="AAW75" s="307">
        <v>0.5</v>
      </c>
      <c r="AAX75" s="307">
        <v>0.5</v>
      </c>
      <c r="AAY75" s="307">
        <v>0.5</v>
      </c>
      <c r="AAZ75" s="307">
        <v>0.5</v>
      </c>
      <c r="ABA75" s="307">
        <v>0.5</v>
      </c>
      <c r="ABB75" s="307">
        <v>0.5</v>
      </c>
      <c r="ABC75" s="307">
        <v>0.5</v>
      </c>
      <c r="ABD75" s="307">
        <v>0.5</v>
      </c>
      <c r="ABE75" s="19"/>
      <c r="ABF75" s="414"/>
      <c r="ABG75" s="407"/>
      <c r="ABH75" s="408"/>
      <c r="ABI75" s="131">
        <f>SUM(AAG75:ABH75)</f>
      </c>
      <c r="ABJ75" s="374"/>
      <c r="ABK75" s="375"/>
      <c r="ABL75" s="15"/>
      <c r="ABM75" s="19"/>
      <c r="ABN75" s="19"/>
      <c r="ABO75" s="19"/>
      <c r="ABP75" s="19"/>
      <c r="ABQ75" s="19"/>
      <c r="ABR75" s="19"/>
      <c r="ABS75" s="414"/>
      <c r="ABT75" s="412"/>
      <c r="ABU75" s="19"/>
      <c r="ABV75" s="19"/>
      <c r="ABW75" s="323"/>
      <c r="ABX75" s="15"/>
      <c r="ABY75" s="19"/>
      <c r="ABZ75" s="19"/>
      <c r="ACA75" s="19"/>
      <c r="ACB75" s="19"/>
      <c r="ACC75" s="19"/>
      <c r="ACD75" s="19"/>
      <c r="ACE75" s="19"/>
      <c r="ACF75" s="19"/>
      <c r="ACG75" s="19"/>
      <c r="ACH75" s="19"/>
      <c r="ACI75" s="414"/>
      <c r="ACJ75" s="407"/>
      <c r="ACK75" s="408"/>
      <c r="ACL75" s="131">
        <f>SUM(ABJ75:ACK75)</f>
      </c>
      <c r="ACM75" s="121"/>
      <c r="ACN75" s="122"/>
      <c r="ACO75" s="123"/>
      <c r="ACP75" s="124"/>
      <c r="ACQ75" s="124"/>
      <c r="ACR75" s="124"/>
      <c r="ACS75" s="124"/>
      <c r="ACT75" s="124"/>
      <c r="ACU75" s="124"/>
      <c r="ACV75" s="125"/>
      <c r="ACW75" s="126"/>
      <c r="ACX75" s="124"/>
      <c r="ACY75" s="124"/>
      <c r="ACZ75" s="127"/>
      <c r="ADA75" s="123"/>
      <c r="ADB75" s="124"/>
      <c r="ADC75" s="124"/>
      <c r="ADD75" s="124"/>
      <c r="ADE75" s="124"/>
      <c r="ADF75" s="124"/>
      <c r="ADG75" s="124"/>
      <c r="ADH75" s="124"/>
      <c r="ADI75" s="124"/>
      <c r="ADJ75" s="124"/>
      <c r="ADK75" s="124"/>
      <c r="ADL75" s="125"/>
      <c r="ADM75" s="301"/>
      <c r="ADN75" s="151"/>
      <c r="ADO75" s="131">
        <f>SUM(ACM75:ADN75)</f>
      </c>
      <c r="ADP75" s="121"/>
      <c r="ADQ75" s="122"/>
      <c r="ADR75" s="123"/>
      <c r="ADS75" s="124"/>
      <c r="ADT75" s="124"/>
      <c r="ADU75" s="124"/>
      <c r="ADV75" s="124"/>
      <c r="ADW75" s="124"/>
      <c r="ADX75" s="124"/>
      <c r="ADY75" s="125"/>
      <c r="ADZ75" s="126"/>
      <c r="AEA75" s="124"/>
      <c r="AEB75" s="124"/>
      <c r="AEC75" s="127"/>
      <c r="AED75" s="123"/>
      <c r="AEE75" s="124"/>
      <c r="AEF75" s="124"/>
      <c r="AEG75" s="124"/>
      <c r="AEH75" s="124"/>
      <c r="AEI75" s="124"/>
      <c r="AEJ75" s="124"/>
      <c r="AEK75" s="124"/>
      <c r="AEL75" s="124"/>
      <c r="AEM75" s="124"/>
      <c r="AEN75" s="124"/>
      <c r="AEO75" s="125"/>
      <c r="AEP75" s="301"/>
      <c r="AEQ75" s="151"/>
      <c r="AER75" s="131">
        <f>SUM(ADP75:AEQ75)</f>
      </c>
      <c r="AES75" s="150">
        <f>XZ75+ZC75+AAF75+ABI75+ACL75+ADO75+AER75</f>
      </c>
      <c r="AET75" s="302">
        <f>(COUNTIF(WX75:AER75,"H")+COUNTIF(WX75:AER75,"S")+COUNTIF(WX75:AER75,"L")+COUNTIF(WX75:AER75,"E")+COUNTIF(WX75:AER75,"C"))/2</f>
      </c>
      <c r="AEU75" s="131">
        <f>AES75+AET75</f>
      </c>
      <c r="AEV75" s="374"/>
      <c r="AEW75" s="375"/>
      <c r="AEX75" s="15"/>
      <c r="AEY75" s="25">
        <v>0.5</v>
      </c>
      <c r="AEZ75" s="25">
        <v>0.5</v>
      </c>
      <c r="AFA75" s="25">
        <v>0.5</v>
      </c>
      <c r="AFB75" s="25">
        <v>0.5</v>
      </c>
      <c r="AFC75" s="25">
        <v>0.5</v>
      </c>
      <c r="AFD75" s="25">
        <v>0.5</v>
      </c>
      <c r="AFE75" s="418">
        <v>0.5</v>
      </c>
      <c r="AFF75" s="412"/>
      <c r="AFG75" s="19"/>
      <c r="AFH75" s="25">
        <v>0.5</v>
      </c>
      <c r="AFI75" s="419">
        <v>0.5</v>
      </c>
      <c r="AFJ75" s="420">
        <v>0.5</v>
      </c>
      <c r="AFK75" s="25">
        <v>0.5</v>
      </c>
      <c r="AFL75" s="25">
        <v>0.5</v>
      </c>
      <c r="AFM75" s="25">
        <v>0.5</v>
      </c>
      <c r="AFN75" s="25">
        <v>0.5</v>
      </c>
      <c r="AFO75" s="25">
        <v>0.5</v>
      </c>
      <c r="AFP75" s="25">
        <v>0.5</v>
      </c>
      <c r="AFQ75" s="19"/>
      <c r="AFR75" s="19"/>
      <c r="AFS75" s="19"/>
      <c r="AFT75" s="19"/>
      <c r="AFU75" s="414"/>
      <c r="AFV75" s="407"/>
      <c r="AFW75" s="408"/>
      <c r="AFX75" s="131">
        <f>SUM(AEV75:AFW75)</f>
      </c>
      <c r="AFY75" s="374"/>
      <c r="AFZ75" s="375"/>
      <c r="AGA75" s="15"/>
      <c r="AGB75" s="25">
        <v>0.5</v>
      </c>
      <c r="AGC75" s="25">
        <v>0.5</v>
      </c>
      <c r="AGD75" s="25">
        <v>0.5</v>
      </c>
      <c r="AGE75" s="25">
        <v>0.5</v>
      </c>
      <c r="AGF75" s="25">
        <v>0.5</v>
      </c>
      <c r="AGG75" s="25">
        <v>0.5</v>
      </c>
      <c r="AGH75" s="418">
        <v>0.5</v>
      </c>
      <c r="AGI75" s="412"/>
      <c r="AGJ75" s="19"/>
      <c r="AGK75" s="25">
        <v>0.5</v>
      </c>
      <c r="AGL75" s="419">
        <v>0.5</v>
      </c>
      <c r="AGM75" s="420">
        <v>0.5</v>
      </c>
      <c r="AGN75" s="25">
        <v>0.5</v>
      </c>
      <c r="AGO75" s="25">
        <v>0.5</v>
      </c>
      <c r="AGP75" s="25">
        <v>0.5</v>
      </c>
      <c r="AGQ75" s="25">
        <v>0.5</v>
      </c>
      <c r="AGR75" s="25">
        <v>0.5</v>
      </c>
      <c r="AGS75" s="25">
        <v>0.5</v>
      </c>
      <c r="AGT75" s="19"/>
      <c r="AGU75" s="19"/>
      <c r="AGV75" s="19"/>
      <c r="AGW75" s="19"/>
      <c r="AGX75" s="414"/>
      <c r="AGY75" s="407"/>
      <c r="AGZ75" s="408"/>
      <c r="AHA75" s="131">
        <f>SUM(AFY75:AGZ75)</f>
      </c>
      <c r="AHB75" s="374"/>
      <c r="AHC75" s="375"/>
      <c r="AHD75" s="15"/>
      <c r="AHE75" s="25">
        <v>0.5</v>
      </c>
      <c r="AHF75" s="25">
        <v>0.5</v>
      </c>
      <c r="AHG75" s="25">
        <v>0.5</v>
      </c>
      <c r="AHH75" s="25">
        <v>0.5</v>
      </c>
      <c r="AHI75" s="25">
        <v>0.5</v>
      </c>
      <c r="AHJ75" s="25">
        <v>0.5</v>
      </c>
      <c r="AHK75" s="418">
        <v>0.5</v>
      </c>
      <c r="AHL75" s="412"/>
      <c r="AHM75" s="19"/>
      <c r="AHN75" s="25">
        <v>0.5</v>
      </c>
      <c r="AHO75" s="419">
        <v>0.5</v>
      </c>
      <c r="AHP75" s="420">
        <v>0.5</v>
      </c>
      <c r="AHQ75" s="25">
        <v>0.5</v>
      </c>
      <c r="AHR75" s="25">
        <v>0.5</v>
      </c>
      <c r="AHS75" s="25">
        <v>0.5</v>
      </c>
      <c r="AHT75" s="25">
        <v>0.5</v>
      </c>
      <c r="AHU75" s="25">
        <v>0.5</v>
      </c>
      <c r="AHV75" s="25">
        <v>0.5</v>
      </c>
      <c r="AHW75" s="19"/>
      <c r="AHX75" s="19"/>
      <c r="AHY75" s="19"/>
      <c r="AHZ75" s="19"/>
      <c r="AIA75" s="414"/>
      <c r="AIB75" s="407"/>
      <c r="AIC75" s="408"/>
      <c r="AID75" s="131">
        <f>SUM(AHB75:AIC75)</f>
      </c>
      <c r="AIE75" s="374"/>
      <c r="AIF75" s="375"/>
      <c r="AIG75" s="15"/>
      <c r="AIH75" s="25">
        <v>0.5</v>
      </c>
      <c r="AII75" s="25">
        <v>0.5</v>
      </c>
      <c r="AIJ75" s="25">
        <v>0.5</v>
      </c>
      <c r="AIK75" s="25">
        <v>0.5</v>
      </c>
      <c r="AIL75" s="25">
        <v>0.5</v>
      </c>
      <c r="AIM75" s="25">
        <v>0.5</v>
      </c>
      <c r="AIN75" s="418">
        <v>0.5</v>
      </c>
      <c r="AIO75" s="412"/>
      <c r="AIP75" s="19"/>
      <c r="AIQ75" s="25">
        <v>0.5</v>
      </c>
      <c r="AIR75" s="419">
        <v>0.5</v>
      </c>
      <c r="AIS75" s="420">
        <v>0.5</v>
      </c>
      <c r="AIT75" s="25">
        <v>0.5</v>
      </c>
      <c r="AIU75" s="25">
        <v>0.5</v>
      </c>
      <c r="AIV75" s="25">
        <v>0.5</v>
      </c>
      <c r="AIW75" s="25">
        <v>0.5</v>
      </c>
      <c r="AIX75" s="25">
        <v>0.5</v>
      </c>
      <c r="AIY75" s="25">
        <v>0.5</v>
      </c>
      <c r="AIZ75" s="19"/>
      <c r="AJA75" s="19"/>
      <c r="AJB75" s="19"/>
      <c r="AJC75" s="19"/>
      <c r="AJD75" s="414"/>
      <c r="AJE75" s="407"/>
      <c r="AJF75" s="408"/>
      <c r="AJG75" s="131">
        <f>SUM(AIE75:AJF75)</f>
      </c>
      <c r="AJH75" s="374"/>
      <c r="AJI75" s="375"/>
      <c r="AJJ75" s="15"/>
      <c r="AJK75" s="25">
        <v>0.5</v>
      </c>
      <c r="AJL75" s="25">
        <v>0.5</v>
      </c>
      <c r="AJM75" s="25">
        <v>0.5</v>
      </c>
      <c r="AJN75" s="25">
        <v>0.5</v>
      </c>
      <c r="AJO75" s="25">
        <v>0.5</v>
      </c>
      <c r="AJP75" s="25">
        <v>0.5</v>
      </c>
      <c r="AJQ75" s="418">
        <v>0.5</v>
      </c>
      <c r="AJR75" s="412"/>
      <c r="AJS75" s="19"/>
      <c r="AJT75" s="25">
        <v>0.5</v>
      </c>
      <c r="AJU75" s="419">
        <v>0.5</v>
      </c>
      <c r="AJV75" s="420">
        <v>0.5</v>
      </c>
      <c r="AJW75" s="25">
        <v>0.5</v>
      </c>
      <c r="AJX75" s="25">
        <v>0.5</v>
      </c>
      <c r="AJY75" s="25">
        <v>0.5</v>
      </c>
      <c r="AJZ75" s="25">
        <v>0.5</v>
      </c>
      <c r="AKA75" s="25">
        <v>0.5</v>
      </c>
      <c r="AKB75" s="25">
        <v>0.5</v>
      </c>
      <c r="AKC75" s="19"/>
      <c r="AKD75" s="19"/>
      <c r="AKE75" s="19"/>
      <c r="AKF75" s="19"/>
      <c r="AKG75" s="414"/>
      <c r="AKH75" s="407"/>
      <c r="AKI75" s="408"/>
      <c r="AKJ75" s="131">
        <f>SUM(AJH75:AKI75)</f>
      </c>
      <c r="AKK75" s="121"/>
      <c r="AKL75" s="122"/>
      <c r="AKM75" s="123"/>
      <c r="AKN75" s="124"/>
      <c r="AKO75" s="124"/>
      <c r="AKP75" s="124"/>
      <c r="AKQ75" s="124"/>
      <c r="AKR75" s="124"/>
      <c r="AKS75" s="124"/>
      <c r="AKT75" s="125"/>
      <c r="AKU75" s="126"/>
      <c r="AKV75" s="124"/>
      <c r="AKW75" s="124"/>
      <c r="AKX75" s="127"/>
      <c r="AKY75" s="123"/>
      <c r="AKZ75" s="124"/>
      <c r="ALA75" s="124"/>
      <c r="ALB75" s="124"/>
      <c r="ALC75" s="124"/>
      <c r="ALD75" s="124"/>
      <c r="ALE75" s="124"/>
      <c r="ALF75" s="124"/>
      <c r="ALG75" s="124"/>
      <c r="ALH75" s="124"/>
      <c r="ALI75" s="124"/>
      <c r="ALJ75" s="125"/>
      <c r="ALK75" s="301"/>
      <c r="ALL75" s="151"/>
      <c r="ALM75" s="131">
        <f>SUM(AKK75:ALL75)</f>
      </c>
      <c r="ALN75" s="121"/>
      <c r="ALO75" s="122"/>
      <c r="ALP75" s="123"/>
      <c r="ALQ75" s="124"/>
      <c r="ALR75" s="124"/>
      <c r="ALS75" s="124"/>
      <c r="ALT75" s="124"/>
      <c r="ALU75" s="124"/>
      <c r="ALV75" s="124"/>
      <c r="ALW75" s="125"/>
      <c r="ALX75" s="126"/>
      <c r="ALY75" s="124"/>
      <c r="ALZ75" s="124"/>
      <c r="AMA75" s="127"/>
      <c r="AMB75" s="123"/>
      <c r="AMC75" s="124"/>
      <c r="AMD75" s="124"/>
      <c r="AME75" s="124"/>
      <c r="AMF75" s="124"/>
      <c r="AMG75" s="124"/>
      <c r="AMH75" s="124"/>
      <c r="AMI75" s="124"/>
      <c r="AMJ75" s="124"/>
      <c r="AMK75" s="124"/>
      <c r="AML75" s="124"/>
      <c r="AMM75" s="125"/>
      <c r="AMN75" s="301"/>
      <c r="AMO75" s="151"/>
      <c r="AMP75" s="131">
        <f>SUM(ALN75:AMO75)</f>
      </c>
      <c r="AMQ75" s="150">
        <f>AFX75+AHA75+AID75+AJG75+AKJ75+ALM75+AMP75</f>
      </c>
      <c r="AMR75" s="302">
        <f>(COUNTIF(AEV75:AMP75,"H")+COUNTIF(AEV75:AMP75,"S")+COUNTIF(AEV75:AMP75,"L")+COUNTIF(AEV75:AMP75,"E")+COUNTIF(AEV75:AMP75,"C"))/2</f>
      </c>
      <c r="AMS75" s="131">
        <f>AMQ75+AMR75</f>
      </c>
      <c r="AMT75" s="4"/>
      <c r="AMU75" s="4"/>
      <c r="AMV75" s="4"/>
      <c r="AMW75" s="4"/>
      <c r="AMX75" s="4"/>
      <c r="AMY75" s="4"/>
      <c r="AMZ75" s="4"/>
      <c r="ANA75" s="4"/>
      <c r="ANB75" s="4"/>
      <c r="ANC75" s="4"/>
      <c r="AND75" s="4"/>
      <c r="ANE75" s="4"/>
      <c r="ANF75" s="4"/>
      <c r="ANG75" s="4"/>
      <c r="ANH75" s="4"/>
      <c r="ANI75" s="4"/>
      <c r="ANJ75" s="13"/>
      <c r="ANK75" s="13"/>
      <c r="ANL75" s="4"/>
      <c r="ANM75" s="4"/>
      <c r="ANN75" s="4"/>
      <c r="ANO75" s="4"/>
      <c r="ANP75" s="4"/>
      <c r="ANQ75" s="4"/>
      <c r="ANR75" s="4"/>
      <c r="ANS75" s="4"/>
      <c r="ANT75" s="4"/>
      <c r="ANU75" s="4"/>
      <c r="ANV75" s="4"/>
      <c r="ANW75" s="4"/>
      <c r="ANX75" s="4"/>
      <c r="ANY75" s="4"/>
      <c r="ANZ75" s="4"/>
      <c r="AOA75" s="4"/>
      <c r="AOB75" s="4"/>
      <c r="AOC75" s="4"/>
      <c r="AOD75" s="4"/>
      <c r="AOE75" s="4"/>
      <c r="AOF75" s="4"/>
      <c r="AOG75" s="4"/>
      <c r="AOH75" s="4"/>
      <c r="AOI75" s="4"/>
      <c r="AOJ75" s="4"/>
      <c r="AOK75" s="4"/>
      <c r="AOL75" s="4"/>
      <c r="AOM75" s="4"/>
      <c r="AON75" s="4"/>
      <c r="AOO75" s="4"/>
      <c r="AOP75" s="4"/>
      <c r="AOQ75" s="4"/>
      <c r="AOR75" s="4"/>
      <c r="AOS75" s="4"/>
      <c r="AOT75" s="4"/>
      <c r="AOU75" s="4"/>
      <c r="AOV75" s="4"/>
      <c r="AOW75" s="4"/>
      <c r="AOX75" s="4"/>
      <c r="AOY75" s="4"/>
      <c r="AOZ75" s="4"/>
      <c r="APA75" s="4"/>
      <c r="APB75" s="4"/>
      <c r="APC75" s="4"/>
      <c r="APD75" s="4"/>
      <c r="APE75" s="4"/>
      <c r="APF75" s="4"/>
      <c r="APG75" s="4"/>
      <c r="APH75" s="4"/>
      <c r="API75" s="4"/>
      <c r="APJ75" s="4"/>
      <c r="APK75" s="4"/>
      <c r="APL75" s="4"/>
      <c r="APM75" s="4"/>
      <c r="APN75" s="4"/>
      <c r="APO75" s="4"/>
      <c r="APP75" s="4"/>
      <c r="APQ75" s="4"/>
      <c r="APR75" s="4"/>
      <c r="APS75" s="4"/>
      <c r="APT75" s="4"/>
      <c r="APU75" s="4"/>
      <c r="APV75" s="4"/>
      <c r="APW75" s="4"/>
      <c r="APX75" s="4"/>
      <c r="APY75" s="4"/>
      <c r="APZ75" s="4"/>
      <c r="AQA75" s="4"/>
      <c r="AQB75" s="4"/>
      <c r="AQC75" s="4"/>
      <c r="AQD75" s="4"/>
      <c r="AQE75" s="4"/>
      <c r="AQF75" s="4"/>
      <c r="AQG75" s="4"/>
      <c r="AQH75" s="4"/>
      <c r="AQI75" s="4"/>
      <c r="AQJ75" s="4"/>
      <c r="AQK75" s="4"/>
      <c r="AQL75" s="4"/>
      <c r="AQM75" s="4"/>
      <c r="AQN75" s="4"/>
      <c r="AQO75" s="4"/>
      <c r="AQP75" s="4"/>
      <c r="AQQ75" s="4"/>
      <c r="AQR75" s="4"/>
      <c r="AQS75" s="4"/>
      <c r="AQT75" s="4"/>
      <c r="AQU75" s="4"/>
      <c r="AQV75" s="4"/>
      <c r="AQW75" s="4"/>
      <c r="AQX75" s="4"/>
      <c r="AQY75" s="4"/>
      <c r="AQZ75" s="4"/>
      <c r="ARA75" s="4"/>
      <c r="ARB75" s="4"/>
      <c r="ARC75" s="4"/>
      <c r="ARD75" s="4"/>
      <c r="ARE75" s="4"/>
      <c r="ARF75" s="4"/>
      <c r="ARG75" s="4"/>
      <c r="ARH75" s="4"/>
      <c r="ARI75" s="4"/>
      <c r="ARJ75" s="4"/>
      <c r="ARK75" s="4"/>
      <c r="ARL75" s="4"/>
      <c r="ARM75" s="4"/>
      <c r="ARN75" s="4"/>
      <c r="ARO75" s="4"/>
      <c r="ARP75" s="4"/>
      <c r="ARQ75" s="4"/>
      <c r="ARR75" s="4"/>
      <c r="ARS75" s="4"/>
      <c r="ART75" s="4"/>
      <c r="ARU75" s="4"/>
      <c r="ARV75" s="4"/>
      <c r="ARW75" s="4"/>
      <c r="ARX75" s="4"/>
      <c r="ARY75" s="4"/>
      <c r="ARZ75" s="4"/>
      <c r="ASA75" s="4"/>
      <c r="ASB75" s="4"/>
      <c r="ASC75" s="4"/>
      <c r="ASD75" s="4"/>
      <c r="ASE75" s="4"/>
      <c r="ASF75" s="4"/>
      <c r="ASG75" s="4"/>
      <c r="ASH75" s="4"/>
      <c r="ASI75" s="4"/>
      <c r="ASJ75" s="4"/>
      <c r="ASK75" s="4"/>
      <c r="ASL75" s="4"/>
      <c r="ASM75" s="4"/>
      <c r="ASN75" s="4"/>
      <c r="ASO75" s="4"/>
      <c r="ASP75" s="4"/>
      <c r="ASQ75" s="4"/>
      <c r="ASR75" s="4"/>
      <c r="ASS75" s="4"/>
      <c r="AST75" s="4"/>
      <c r="ASU75" s="4"/>
    </row>
    <row r="76" ht="15" customHeight="1" spans="1:1191" x14ac:dyDescent="0.25">
      <c r="A76" s="118"/>
      <c r="B76" s="403" t="s">
        <v>114</v>
      </c>
      <c r="C76" s="289" t="s">
        <v>55</v>
      </c>
      <c r="D76" s="121"/>
      <c r="E76" s="122"/>
      <c r="F76" s="123"/>
      <c r="G76" s="124"/>
      <c r="H76" s="124"/>
      <c r="I76" s="124"/>
      <c r="J76" s="124"/>
      <c r="K76" s="124"/>
      <c r="L76" s="124"/>
      <c r="M76" s="125"/>
      <c r="N76" s="126"/>
      <c r="O76" s="124"/>
      <c r="P76" s="124"/>
      <c r="Q76" s="127"/>
      <c r="R76" s="123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5"/>
      <c r="AD76" s="301"/>
      <c r="AE76" s="151"/>
      <c r="AF76" s="131">
        <f>SUM(D76:AE76)</f>
      </c>
      <c r="AG76" s="121"/>
      <c r="AH76" s="122"/>
      <c r="AI76" s="123"/>
      <c r="AJ76" s="124"/>
      <c r="AK76" s="124"/>
      <c r="AL76" s="124"/>
      <c r="AM76" s="124"/>
      <c r="AN76" s="124"/>
      <c r="AO76" s="124"/>
      <c r="AP76" s="125"/>
      <c r="AQ76" s="126"/>
      <c r="AR76" s="124"/>
      <c r="AS76" s="124"/>
      <c r="AT76" s="127"/>
      <c r="AU76" s="123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5"/>
      <c r="BG76" s="301"/>
      <c r="BH76" s="151"/>
      <c r="BI76" s="131">
        <f>SUM(AG76:BH76)</f>
      </c>
      <c r="BJ76" s="121"/>
      <c r="BK76" s="122"/>
      <c r="BL76" s="123"/>
      <c r="BM76" s="124"/>
      <c r="BN76" s="124"/>
      <c r="BO76" s="124"/>
      <c r="BP76" s="124"/>
      <c r="BQ76" s="124"/>
      <c r="BR76" s="124"/>
      <c r="BS76" s="125"/>
      <c r="BT76" s="126"/>
      <c r="BU76" s="124"/>
      <c r="BV76" s="124"/>
      <c r="BW76" s="127"/>
      <c r="BX76" s="123"/>
      <c r="BY76" s="124"/>
      <c r="BZ76" s="124"/>
      <c r="CA76" s="124"/>
      <c r="CB76" s="124"/>
      <c r="CC76" s="124"/>
      <c r="CD76" s="124"/>
      <c r="CE76" s="124"/>
      <c r="CF76" s="124"/>
      <c r="CG76" s="124"/>
      <c r="CH76" s="124"/>
      <c r="CI76" s="125"/>
      <c r="CJ76" s="301"/>
      <c r="CK76" s="151"/>
      <c r="CL76" s="131">
        <f>SUM(BJ76:CK76)</f>
      </c>
      <c r="CM76" s="121"/>
      <c r="CN76" s="122"/>
      <c r="CO76" s="123"/>
      <c r="CP76" s="124"/>
      <c r="CQ76" s="124"/>
      <c r="CR76" s="124"/>
      <c r="CS76" s="124"/>
      <c r="CT76" s="124"/>
      <c r="CU76" s="124"/>
      <c r="CV76" s="125"/>
      <c r="CW76" s="126"/>
      <c r="CX76" s="124"/>
      <c r="CY76" s="124"/>
      <c r="CZ76" s="127"/>
      <c r="DA76" s="123"/>
      <c r="DB76" s="124"/>
      <c r="DC76" s="124"/>
      <c r="DD76" s="124"/>
      <c r="DE76" s="124"/>
      <c r="DF76" s="124"/>
      <c r="DG76" s="124"/>
      <c r="DH76" s="124"/>
      <c r="DI76" s="124"/>
      <c r="DJ76" s="124"/>
      <c r="DK76" s="124"/>
      <c r="DL76" s="125"/>
      <c r="DM76" s="301"/>
      <c r="DN76" s="151"/>
      <c r="DO76" s="131">
        <f>SUM(CM76:DN76)</f>
      </c>
      <c r="DP76" s="121"/>
      <c r="DQ76" s="122"/>
      <c r="DR76" s="123"/>
      <c r="DS76" s="124"/>
      <c r="DT76" s="124"/>
      <c r="DU76" s="124"/>
      <c r="DV76" s="124"/>
      <c r="DW76" s="124"/>
      <c r="DX76" s="124"/>
      <c r="DY76" s="125"/>
      <c r="DZ76" s="126"/>
      <c r="EA76" s="124"/>
      <c r="EB76" s="124"/>
      <c r="EC76" s="127"/>
      <c r="ED76" s="123"/>
      <c r="EE76" s="124"/>
      <c r="EF76" s="124"/>
      <c r="EG76" s="124"/>
      <c r="EH76" s="124"/>
      <c r="EI76" s="124"/>
      <c r="EJ76" s="124"/>
      <c r="EK76" s="124"/>
      <c r="EL76" s="124"/>
      <c r="EM76" s="124"/>
      <c r="EN76" s="124"/>
      <c r="EO76" s="125"/>
      <c r="EP76" s="301"/>
      <c r="EQ76" s="151"/>
      <c r="ER76" s="131">
        <f>SUM(DP76:EQ76)</f>
      </c>
      <c r="ES76" s="121"/>
      <c r="ET76" s="122"/>
      <c r="EU76" s="123"/>
      <c r="EV76" s="124"/>
      <c r="EW76" s="124"/>
      <c r="EX76" s="124"/>
      <c r="EY76" s="124"/>
      <c r="EZ76" s="124"/>
      <c r="FA76" s="124"/>
      <c r="FB76" s="125"/>
      <c r="FC76" s="126"/>
      <c r="FD76" s="124"/>
      <c r="FE76" s="124"/>
      <c r="FF76" s="127"/>
      <c r="FG76" s="123"/>
      <c r="FH76" s="124"/>
      <c r="FI76" s="124"/>
      <c r="FJ76" s="124"/>
      <c r="FK76" s="124"/>
      <c r="FL76" s="124"/>
      <c r="FM76" s="124"/>
      <c r="FN76" s="124"/>
      <c r="FO76" s="124"/>
      <c r="FP76" s="124"/>
      <c r="FQ76" s="124"/>
      <c r="FR76" s="125"/>
      <c r="FS76" s="301"/>
      <c r="FT76" s="151"/>
      <c r="FU76" s="131">
        <f>SUM(ES76:FT76)</f>
      </c>
      <c r="FV76" s="121"/>
      <c r="FW76" s="122"/>
      <c r="FX76" s="123"/>
      <c r="FY76" s="124"/>
      <c r="FZ76" s="124"/>
      <c r="GA76" s="124"/>
      <c r="GB76" s="124"/>
      <c r="GC76" s="124"/>
      <c r="GD76" s="124"/>
      <c r="GE76" s="125"/>
      <c r="GF76" s="126"/>
      <c r="GG76" s="124"/>
      <c r="GH76" s="124"/>
      <c r="GI76" s="127"/>
      <c r="GJ76" s="123"/>
      <c r="GK76" s="124"/>
      <c r="GL76" s="124"/>
      <c r="GM76" s="124"/>
      <c r="GN76" s="124"/>
      <c r="GO76" s="124"/>
      <c r="GP76" s="124"/>
      <c r="GQ76" s="124"/>
      <c r="GR76" s="124"/>
      <c r="GS76" s="124"/>
      <c r="GT76" s="124"/>
      <c r="GU76" s="125"/>
      <c r="GV76" s="301"/>
      <c r="GW76" s="151"/>
      <c r="GX76" s="131">
        <f>SUM(FV76:GW76)</f>
      </c>
      <c r="GY76" s="150">
        <f>AF76+BI76+CL76+DO76+ER76+FU76+GX76</f>
      </c>
      <c r="GZ76" s="302">
        <f>(COUNTIF(D76:GX76,"H")+COUNTIF(D76:GX76,"S")+COUNTIF(D76:GX76,"L")+COUNTIF(D76:GX76,"E")+COUNTIF(D76:GX76,"C"))/2</f>
      </c>
      <c r="HA76" s="131">
        <f>GY76+GZ76</f>
      </c>
      <c r="HB76" s="374"/>
      <c r="HC76" s="375"/>
      <c r="HD76" s="15"/>
      <c r="HE76" s="17">
        <v>0.5</v>
      </c>
      <c r="HF76" s="17">
        <v>0.5</v>
      </c>
      <c r="HG76" s="17">
        <v>0.5</v>
      </c>
      <c r="HH76" s="17">
        <v>0.5</v>
      </c>
      <c r="HI76" s="17">
        <v>0.5</v>
      </c>
      <c r="HJ76" s="17">
        <v>0.5</v>
      </c>
      <c r="HK76" s="406">
        <v>0.5</v>
      </c>
      <c r="HL76" s="412"/>
      <c r="HM76" s="19"/>
      <c r="HN76" s="17">
        <v>0.5</v>
      </c>
      <c r="HO76" s="415">
        <v>0.5</v>
      </c>
      <c r="HP76" s="405">
        <v>0.5</v>
      </c>
      <c r="HQ76" s="17">
        <v>0.5</v>
      </c>
      <c r="HR76" s="17">
        <v>0.5</v>
      </c>
      <c r="HS76" s="17">
        <v>0.5</v>
      </c>
      <c r="HT76" s="17">
        <v>0.5</v>
      </c>
      <c r="HU76" s="17">
        <v>0.5</v>
      </c>
      <c r="HV76" s="17">
        <v>0.5</v>
      </c>
      <c r="HW76" s="19"/>
      <c r="HX76" s="19"/>
      <c r="HY76" s="19"/>
      <c r="HZ76" s="19"/>
      <c r="IA76" s="414"/>
      <c r="IB76" s="407"/>
      <c r="IC76" s="408"/>
      <c r="ID76" s="131">
        <f>SUM(HB76:IC76)</f>
      </c>
      <c r="IE76" s="374"/>
      <c r="IF76" s="375"/>
      <c r="IG76" s="15"/>
      <c r="IH76" s="17">
        <v>0.5</v>
      </c>
      <c r="II76" s="17">
        <v>0.5</v>
      </c>
      <c r="IJ76" s="17">
        <v>0.5</v>
      </c>
      <c r="IK76" s="17">
        <v>0.5</v>
      </c>
      <c r="IL76" s="17">
        <v>0.5</v>
      </c>
      <c r="IM76" s="17">
        <v>0.5</v>
      </c>
      <c r="IN76" s="406">
        <v>0.5</v>
      </c>
      <c r="IO76" s="412"/>
      <c r="IP76" s="19"/>
      <c r="IQ76" s="17">
        <v>0.5</v>
      </c>
      <c r="IR76" s="415">
        <v>0.5</v>
      </c>
      <c r="IS76" s="405">
        <v>0.5</v>
      </c>
      <c r="IT76" s="17">
        <v>0.5</v>
      </c>
      <c r="IU76" s="17">
        <v>0.5</v>
      </c>
      <c r="IV76" s="17">
        <v>0.5</v>
      </c>
      <c r="IW76" s="17">
        <v>0.5</v>
      </c>
      <c r="IX76" s="17">
        <v>0.5</v>
      </c>
      <c r="IY76" s="17">
        <v>0.5</v>
      </c>
      <c r="IZ76" s="19"/>
      <c r="JA76" s="19"/>
      <c r="JB76" s="19"/>
      <c r="JC76" s="19"/>
      <c r="JD76" s="414"/>
      <c r="JE76" s="407"/>
      <c r="JF76" s="408"/>
      <c r="JG76" s="131">
        <f>SUM(IE76:JF76)</f>
      </c>
      <c r="JH76" s="374"/>
      <c r="JI76" s="375"/>
      <c r="JJ76" s="15"/>
      <c r="JK76" s="18" t="s">
        <v>4</v>
      </c>
      <c r="JL76" s="18" t="s">
        <v>4</v>
      </c>
      <c r="JM76" s="18" t="s">
        <v>4</v>
      </c>
      <c r="JN76" s="18" t="s">
        <v>4</v>
      </c>
      <c r="JO76" s="18" t="s">
        <v>4</v>
      </c>
      <c r="JP76" s="18" t="s">
        <v>4</v>
      </c>
      <c r="JQ76" s="222" t="s">
        <v>4</v>
      </c>
      <c r="JR76" s="412"/>
      <c r="JS76" s="19"/>
      <c r="JT76" s="18" t="s">
        <v>4</v>
      </c>
      <c r="JU76" s="224" t="s">
        <v>4</v>
      </c>
      <c r="JV76" s="225" t="s">
        <v>4</v>
      </c>
      <c r="JW76" s="18" t="s">
        <v>4</v>
      </c>
      <c r="JX76" s="18" t="s">
        <v>4</v>
      </c>
      <c r="JY76" s="18" t="s">
        <v>4</v>
      </c>
      <c r="JZ76" s="18" t="s">
        <v>4</v>
      </c>
      <c r="KA76" s="18" t="s">
        <v>4</v>
      </c>
      <c r="KB76" s="18" t="s">
        <v>4</v>
      </c>
      <c r="KC76" s="19"/>
      <c r="KD76" s="19"/>
      <c r="KE76" s="19"/>
      <c r="KF76" s="19"/>
      <c r="KG76" s="414"/>
      <c r="KH76" s="407"/>
      <c r="KI76" s="408"/>
      <c r="KJ76" s="131">
        <f>SUM(JH76:KI76)</f>
      </c>
      <c r="KK76" s="374"/>
      <c r="KL76" s="375"/>
      <c r="KM76" s="15"/>
      <c r="KN76" s="18" t="s">
        <v>4</v>
      </c>
      <c r="KO76" s="18" t="s">
        <v>4</v>
      </c>
      <c r="KP76" s="18" t="s">
        <v>4</v>
      </c>
      <c r="KQ76" s="18" t="s">
        <v>4</v>
      </c>
      <c r="KR76" s="18" t="s">
        <v>4</v>
      </c>
      <c r="KS76" s="18" t="s">
        <v>4</v>
      </c>
      <c r="KT76" s="222" t="s">
        <v>4</v>
      </c>
      <c r="KU76" s="412"/>
      <c r="KV76" s="19"/>
      <c r="KW76" s="18" t="s">
        <v>4</v>
      </c>
      <c r="KX76" s="224" t="s">
        <v>4</v>
      </c>
      <c r="KY76" s="225" t="s">
        <v>4</v>
      </c>
      <c r="KZ76" s="18" t="s">
        <v>4</v>
      </c>
      <c r="LA76" s="18" t="s">
        <v>4</v>
      </c>
      <c r="LB76" s="18" t="s">
        <v>4</v>
      </c>
      <c r="LC76" s="18" t="s">
        <v>4</v>
      </c>
      <c r="LD76" s="18" t="s">
        <v>4</v>
      </c>
      <c r="LE76" s="18" t="s">
        <v>4</v>
      </c>
      <c r="LF76" s="19"/>
      <c r="LG76" s="19"/>
      <c r="LH76" s="19"/>
      <c r="LI76" s="19"/>
      <c r="LJ76" s="414"/>
      <c r="LK76" s="407"/>
      <c r="LL76" s="408"/>
      <c r="LM76" s="131">
        <f>SUM(KK76:LL76)</f>
      </c>
      <c r="LN76" s="374"/>
      <c r="LO76" s="375"/>
      <c r="LP76" s="15"/>
      <c r="LQ76" s="18" t="s">
        <v>4</v>
      </c>
      <c r="LR76" s="18" t="s">
        <v>4</v>
      </c>
      <c r="LS76" s="18" t="s">
        <v>4</v>
      </c>
      <c r="LT76" s="18" t="s">
        <v>4</v>
      </c>
      <c r="LU76" s="18" t="s">
        <v>4</v>
      </c>
      <c r="LV76" s="18" t="s">
        <v>4</v>
      </c>
      <c r="LW76" s="222" t="s">
        <v>4</v>
      </c>
      <c r="LX76" s="412"/>
      <c r="LY76" s="19"/>
      <c r="LZ76" s="18" t="s">
        <v>4</v>
      </c>
      <c r="MA76" s="224" t="s">
        <v>4</v>
      </c>
      <c r="MB76" s="225" t="s">
        <v>4</v>
      </c>
      <c r="MC76" s="18" t="s">
        <v>4</v>
      </c>
      <c r="MD76" s="18" t="s">
        <v>4</v>
      </c>
      <c r="ME76" s="18" t="s">
        <v>4</v>
      </c>
      <c r="MF76" s="18" t="s">
        <v>4</v>
      </c>
      <c r="MG76" s="18" t="s">
        <v>4</v>
      </c>
      <c r="MH76" s="18" t="s">
        <v>4</v>
      </c>
      <c r="MI76" s="19"/>
      <c r="MJ76" s="19"/>
      <c r="MK76" s="19"/>
      <c r="ML76" s="19"/>
      <c r="MM76" s="414"/>
      <c r="MN76" s="407"/>
      <c r="MO76" s="408"/>
      <c r="MP76" s="131">
        <f>SUM(LN76:MO76)</f>
      </c>
      <c r="MQ76" s="121"/>
      <c r="MR76" s="122"/>
      <c r="MS76" s="123"/>
      <c r="MT76" s="124"/>
      <c r="MU76" s="124"/>
      <c r="MV76" s="124"/>
      <c r="MW76" s="124"/>
      <c r="MX76" s="124"/>
      <c r="MY76" s="124"/>
      <c r="MZ76" s="125"/>
      <c r="NA76" s="126"/>
      <c r="NB76" s="124"/>
      <c r="NC76" s="124"/>
      <c r="ND76" s="127"/>
      <c r="NE76" s="123"/>
      <c r="NF76" s="124"/>
      <c r="NG76" s="124"/>
      <c r="NH76" s="124"/>
      <c r="NI76" s="124"/>
      <c r="NJ76" s="124"/>
      <c r="NK76" s="124"/>
      <c r="NL76" s="124"/>
      <c r="NM76" s="124"/>
      <c r="NN76" s="124"/>
      <c r="NO76" s="124"/>
      <c r="NP76" s="125"/>
      <c r="NQ76" s="301"/>
      <c r="NR76" s="151"/>
      <c r="NS76" s="131">
        <f>SUM(MQ76:NR76)</f>
      </c>
      <c r="NT76" s="121"/>
      <c r="NU76" s="122"/>
      <c r="NV76" s="123"/>
      <c r="NW76" s="124"/>
      <c r="NX76" s="124"/>
      <c r="NY76" s="124"/>
      <c r="NZ76" s="124"/>
      <c r="OA76" s="124"/>
      <c r="OB76" s="124"/>
      <c r="OC76" s="125"/>
      <c r="OD76" s="126"/>
      <c r="OE76" s="124"/>
      <c r="OF76" s="124"/>
      <c r="OG76" s="127"/>
      <c r="OH76" s="123"/>
      <c r="OI76" s="124"/>
      <c r="OJ76" s="124"/>
      <c r="OK76" s="124"/>
      <c r="OL76" s="124"/>
      <c r="OM76" s="124"/>
      <c r="ON76" s="124"/>
      <c r="OO76" s="124"/>
      <c r="OP76" s="124"/>
      <c r="OQ76" s="124"/>
      <c r="OR76" s="124"/>
      <c r="OS76" s="125"/>
      <c r="OT76" s="301"/>
      <c r="OU76" s="151"/>
      <c r="OV76" s="131">
        <f>SUM(NT76:OU76)</f>
      </c>
      <c r="OW76" s="150">
        <f>ID76+JG76+KJ76+LM76+MP76+NS76+OV76</f>
      </c>
      <c r="OX76" s="302">
        <f>(COUNTIF(HB76:OV76,"H")+COUNTIF(HB76:OV76,"S")+COUNTIF(HB76:OV76,"L")+COUNTIF(HB76:OV76,"E")+COUNTIF(HB76:OV76,"C"))/2</f>
      </c>
      <c r="OY76" s="131">
        <f>OW76+OX76</f>
      </c>
      <c r="OZ76" s="374"/>
      <c r="PA76" s="375"/>
      <c r="PB76" s="15"/>
      <c r="PC76" s="19"/>
      <c r="PD76" s="19"/>
      <c r="PE76" s="19"/>
      <c r="PF76" s="19"/>
      <c r="PG76" s="19"/>
      <c r="PH76" s="19"/>
      <c r="PI76" s="414"/>
      <c r="PJ76" s="412"/>
      <c r="PK76" s="19"/>
      <c r="PL76" s="19"/>
      <c r="PM76" s="323"/>
      <c r="PN76" s="15"/>
      <c r="PO76" s="19"/>
      <c r="PP76" s="19"/>
      <c r="PQ76" s="19"/>
      <c r="PR76" s="19"/>
      <c r="PS76" s="19"/>
      <c r="PT76" s="19"/>
      <c r="PU76" s="19"/>
      <c r="PV76" s="19"/>
      <c r="PW76" s="19"/>
      <c r="PX76" s="19"/>
      <c r="PY76" s="414"/>
      <c r="PZ76" s="407"/>
      <c r="QA76" s="408"/>
      <c r="QB76" s="131">
        <f>SUM(OZ76:QA76)</f>
      </c>
      <c r="QC76" s="374"/>
      <c r="QD76" s="375"/>
      <c r="QE76" s="15"/>
      <c r="QF76" s="19"/>
      <c r="QG76" s="19"/>
      <c r="QH76" s="19"/>
      <c r="QI76" s="19"/>
      <c r="QJ76" s="19"/>
      <c r="QK76" s="19"/>
      <c r="QL76" s="414"/>
      <c r="QM76" s="412"/>
      <c r="QN76" s="19"/>
      <c r="QO76" s="19"/>
      <c r="QP76" s="323"/>
      <c r="QQ76" s="15"/>
      <c r="QR76" s="19"/>
      <c r="QS76" s="19"/>
      <c r="QT76" s="19"/>
      <c r="QU76" s="19"/>
      <c r="QV76" s="19"/>
      <c r="QW76" s="19"/>
      <c r="QX76" s="19"/>
      <c r="QY76" s="19"/>
      <c r="QZ76" s="19"/>
      <c r="RA76" s="19"/>
      <c r="RB76" s="414"/>
      <c r="RC76" s="407"/>
      <c r="RD76" s="408"/>
      <c r="RE76" s="131">
        <f>SUM(QC76:RD76)</f>
      </c>
      <c r="RF76" s="374"/>
      <c r="RG76" s="375"/>
      <c r="RH76" s="15"/>
      <c r="RI76" s="19"/>
      <c r="RJ76" s="19"/>
      <c r="RK76" s="19"/>
      <c r="RL76" s="19"/>
      <c r="RM76" s="19"/>
      <c r="RN76" s="19"/>
      <c r="RO76" s="414"/>
      <c r="RP76" s="412"/>
      <c r="RQ76" s="19"/>
      <c r="RR76" s="19"/>
      <c r="RS76" s="323"/>
      <c r="RT76" s="15"/>
      <c r="RU76" s="19"/>
      <c r="RV76" s="19"/>
      <c r="RW76" s="19"/>
      <c r="RX76" s="19"/>
      <c r="RY76" s="19"/>
      <c r="RZ76" s="19"/>
      <c r="SA76" s="19"/>
      <c r="SB76" s="19"/>
      <c r="SC76" s="19"/>
      <c r="SD76" s="19"/>
      <c r="SE76" s="414"/>
      <c r="SF76" s="407"/>
      <c r="SG76" s="408"/>
      <c r="SH76" s="131">
        <f>SUM(RF76:SG76)</f>
      </c>
      <c r="SI76" s="374"/>
      <c r="SJ76" s="375"/>
      <c r="SK76" s="15"/>
      <c r="SL76" s="19"/>
      <c r="SM76" s="19"/>
      <c r="SN76" s="19"/>
      <c r="SO76" s="19"/>
      <c r="SP76" s="19"/>
      <c r="SQ76" s="19"/>
      <c r="SR76" s="414"/>
      <c r="SS76" s="412"/>
      <c r="ST76" s="19"/>
      <c r="SU76" s="19"/>
      <c r="SV76" s="323"/>
      <c r="SW76" s="15"/>
      <c r="SX76" s="19"/>
      <c r="SY76" s="19"/>
      <c r="SZ76" s="19"/>
      <c r="TA76" s="19"/>
      <c r="TB76" s="19"/>
      <c r="TC76" s="19"/>
      <c r="TD76" s="19"/>
      <c r="TE76" s="19"/>
      <c r="TF76" s="19"/>
      <c r="TG76" s="19"/>
      <c r="TH76" s="414"/>
      <c r="TI76" s="407"/>
      <c r="TJ76" s="408"/>
      <c r="TK76" s="131">
        <f>SUM(SI76:TJ76)</f>
      </c>
      <c r="TL76" s="374"/>
      <c r="TM76" s="375"/>
      <c r="TN76" s="15"/>
      <c r="TO76" s="19"/>
      <c r="TP76" s="19"/>
      <c r="TQ76" s="19"/>
      <c r="TR76" s="19"/>
      <c r="TS76" s="19"/>
      <c r="TT76" s="19"/>
      <c r="TU76" s="414"/>
      <c r="TV76" s="412"/>
      <c r="TW76" s="19"/>
      <c r="TX76" s="19"/>
      <c r="TY76" s="323"/>
      <c r="TZ76" s="15"/>
      <c r="UA76" s="19"/>
      <c r="UB76" s="19"/>
      <c r="UC76" s="19"/>
      <c r="UD76" s="19"/>
      <c r="UE76" s="19"/>
      <c r="UF76" s="19"/>
      <c r="UG76" s="19"/>
      <c r="UH76" s="19"/>
      <c r="UI76" s="19"/>
      <c r="UJ76" s="19"/>
      <c r="UK76" s="414"/>
      <c r="UL76" s="407"/>
      <c r="UM76" s="408"/>
      <c r="UN76" s="131">
        <f>SUM(TL76:UM76)</f>
      </c>
      <c r="UO76" s="121"/>
      <c r="UP76" s="122"/>
      <c r="UQ76" s="123"/>
      <c r="UR76" s="124"/>
      <c r="US76" s="124"/>
      <c r="UT76" s="124"/>
      <c r="UU76" s="124"/>
      <c r="UV76" s="124"/>
      <c r="UW76" s="124"/>
      <c r="UX76" s="125"/>
      <c r="UY76" s="126"/>
      <c r="UZ76" s="124"/>
      <c r="VA76" s="124"/>
      <c r="VB76" s="127"/>
      <c r="VC76" s="123"/>
      <c r="VD76" s="124"/>
      <c r="VE76" s="124"/>
      <c r="VF76" s="124"/>
      <c r="VG76" s="124"/>
      <c r="VH76" s="124"/>
      <c r="VI76" s="124"/>
      <c r="VJ76" s="124"/>
      <c r="VK76" s="124"/>
      <c r="VL76" s="124"/>
      <c r="VM76" s="124"/>
      <c r="VN76" s="125"/>
      <c r="VO76" s="301"/>
      <c r="VP76" s="151"/>
      <c r="VQ76" s="131">
        <f>SUM(UO76:VP76)</f>
      </c>
      <c r="VR76" s="121"/>
      <c r="VS76" s="122"/>
      <c r="VT76" s="123"/>
      <c r="VU76" s="124"/>
      <c r="VV76" s="124"/>
      <c r="VW76" s="124"/>
      <c r="VX76" s="124"/>
      <c r="VY76" s="124"/>
      <c r="VZ76" s="124"/>
      <c r="WA76" s="125"/>
      <c r="WB76" s="126"/>
      <c r="WC76" s="124"/>
      <c r="WD76" s="124"/>
      <c r="WE76" s="127"/>
      <c r="WF76" s="123"/>
      <c r="WG76" s="124"/>
      <c r="WH76" s="124"/>
      <c r="WI76" s="124"/>
      <c r="WJ76" s="124"/>
      <c r="WK76" s="124"/>
      <c r="WL76" s="124"/>
      <c r="WM76" s="124"/>
      <c r="WN76" s="124"/>
      <c r="WO76" s="124"/>
      <c r="WP76" s="124"/>
      <c r="WQ76" s="125"/>
      <c r="WR76" s="301"/>
      <c r="WS76" s="151"/>
      <c r="WT76" s="131">
        <f>SUM(VR76:WS76)</f>
      </c>
      <c r="WU76" s="150">
        <f>QB76+RE76+SH76+TK76+UN76+VQ76+WT76</f>
      </c>
      <c r="WV76" s="302">
        <f>(COUNTIF(OZ76:WT76,"H")+COUNTIF(OZ76:WT76,"S")+COUNTIF(OZ76:WT76,"L")+COUNTIF(OZ76:WT76,"E")+COUNTIF(OZ76:WT76,"C"))/2</f>
      </c>
      <c r="WW76" s="131">
        <f>WU76+WV76</f>
      </c>
      <c r="WX76" s="374"/>
      <c r="WY76" s="375"/>
      <c r="WZ76" s="15"/>
      <c r="XA76" s="19"/>
      <c r="XB76" s="19"/>
      <c r="XC76" s="19"/>
      <c r="XD76" s="19"/>
      <c r="XE76" s="19"/>
      <c r="XF76" s="19"/>
      <c r="XG76" s="414"/>
      <c r="XH76" s="412"/>
      <c r="XI76" s="19"/>
      <c r="XJ76" s="19"/>
      <c r="XK76" s="323"/>
      <c r="XL76" s="15"/>
      <c r="XM76" s="19"/>
      <c r="XN76" s="19"/>
      <c r="XO76" s="19"/>
      <c r="XP76" s="19"/>
      <c r="XQ76" s="19"/>
      <c r="XR76" s="19"/>
      <c r="XS76" s="19"/>
      <c r="XT76" s="19"/>
      <c r="XU76" s="19"/>
      <c r="XV76" s="19"/>
      <c r="XW76" s="414"/>
      <c r="XX76" s="407"/>
      <c r="XY76" s="408"/>
      <c r="XZ76" s="131">
        <f>SUM(WX76:XY76)</f>
      </c>
      <c r="YA76" s="374"/>
      <c r="YB76" s="375"/>
      <c r="YC76" s="15"/>
      <c r="YD76" s="19"/>
      <c r="YE76" s="19"/>
      <c r="YF76" s="19"/>
      <c r="YG76" s="19"/>
      <c r="YH76" s="19"/>
      <c r="YI76" s="19"/>
      <c r="YJ76" s="414"/>
      <c r="YK76" s="412"/>
      <c r="YL76" s="19"/>
      <c r="YM76" s="19"/>
      <c r="YN76" s="323"/>
      <c r="YO76" s="15"/>
      <c r="YP76" s="19"/>
      <c r="YQ76" s="19"/>
      <c r="YR76" s="19"/>
      <c r="YS76" s="19"/>
      <c r="YT76" s="19"/>
      <c r="YU76" s="19"/>
      <c r="YV76" s="19"/>
      <c r="YW76" s="19"/>
      <c r="YX76" s="19"/>
      <c r="YY76" s="19"/>
      <c r="YZ76" s="414"/>
      <c r="ZA76" s="407"/>
      <c r="ZB76" s="408"/>
      <c r="ZC76" s="131">
        <f>SUM(YA76:ZB76)</f>
      </c>
      <c r="ZD76" s="374"/>
      <c r="ZE76" s="375"/>
      <c r="ZF76" s="15"/>
      <c r="ZG76" s="19"/>
      <c r="ZH76" s="19"/>
      <c r="ZI76" s="19"/>
      <c r="ZJ76" s="19"/>
      <c r="ZK76" s="19"/>
      <c r="ZL76" s="19"/>
      <c r="ZM76" s="414"/>
      <c r="ZN76" s="412"/>
      <c r="ZO76" s="19"/>
      <c r="ZP76" s="19"/>
      <c r="ZQ76" s="323"/>
      <c r="ZR76" s="15"/>
      <c r="ZS76" s="19"/>
      <c r="ZT76" s="19"/>
      <c r="ZU76" s="19"/>
      <c r="ZV76" s="19"/>
      <c r="ZW76" s="19"/>
      <c r="ZX76" s="19"/>
      <c r="ZY76" s="19"/>
      <c r="ZZ76" s="19"/>
      <c r="AAA76" s="19"/>
      <c r="AAB76" s="19"/>
      <c r="AAC76" s="414"/>
      <c r="AAD76" s="407"/>
      <c r="AAE76" s="408"/>
      <c r="AAF76" s="131">
        <f>SUM(ZD76:AAE76)</f>
      </c>
      <c r="AAG76" s="374"/>
      <c r="AAH76" s="375"/>
      <c r="AAI76" s="15"/>
      <c r="AAJ76" s="19"/>
      <c r="AAK76" s="19"/>
      <c r="AAL76" s="19"/>
      <c r="AAM76" s="19"/>
      <c r="AAN76" s="19"/>
      <c r="AAO76" s="19"/>
      <c r="AAP76" s="414"/>
      <c r="AAQ76" s="412"/>
      <c r="AAR76" s="19"/>
      <c r="AAS76" s="19"/>
      <c r="AAT76" s="323"/>
      <c r="AAU76" s="15"/>
      <c r="AAV76" s="19"/>
      <c r="AAW76" s="19"/>
      <c r="AAX76" s="19"/>
      <c r="AAY76" s="19"/>
      <c r="AAZ76" s="19"/>
      <c r="ABA76" s="19"/>
      <c r="ABB76" s="19"/>
      <c r="ABC76" s="19"/>
      <c r="ABD76" s="19"/>
      <c r="ABE76" s="19"/>
      <c r="ABF76" s="414"/>
      <c r="ABG76" s="407"/>
      <c r="ABH76" s="408"/>
      <c r="ABI76" s="131">
        <f>SUM(AAG76:ABH76)</f>
      </c>
      <c r="ABJ76" s="374"/>
      <c r="ABK76" s="375"/>
      <c r="ABL76" s="15"/>
      <c r="ABM76" s="19"/>
      <c r="ABN76" s="19"/>
      <c r="ABO76" s="19"/>
      <c r="ABP76" s="19"/>
      <c r="ABQ76" s="19"/>
      <c r="ABR76" s="19"/>
      <c r="ABS76" s="414"/>
      <c r="ABT76" s="412"/>
      <c r="ABU76" s="19"/>
      <c r="ABV76" s="19"/>
      <c r="ABW76" s="323"/>
      <c r="ABX76" s="15"/>
      <c r="ABY76" s="19"/>
      <c r="ABZ76" s="19"/>
      <c r="ACA76" s="19"/>
      <c r="ACB76" s="19"/>
      <c r="ACC76" s="19"/>
      <c r="ACD76" s="19"/>
      <c r="ACE76" s="19"/>
      <c r="ACF76" s="19"/>
      <c r="ACG76" s="19"/>
      <c r="ACH76" s="19"/>
      <c r="ACI76" s="414"/>
      <c r="ACJ76" s="407"/>
      <c r="ACK76" s="408"/>
      <c r="ACL76" s="131">
        <f>SUM(ABJ76:ACK76)</f>
      </c>
      <c r="ACM76" s="121"/>
      <c r="ACN76" s="122"/>
      <c r="ACO76" s="123"/>
      <c r="ACP76" s="124"/>
      <c r="ACQ76" s="124"/>
      <c r="ACR76" s="124"/>
      <c r="ACS76" s="124"/>
      <c r="ACT76" s="124"/>
      <c r="ACU76" s="124"/>
      <c r="ACV76" s="125"/>
      <c r="ACW76" s="126"/>
      <c r="ACX76" s="124"/>
      <c r="ACY76" s="124"/>
      <c r="ACZ76" s="127"/>
      <c r="ADA76" s="123"/>
      <c r="ADB76" s="124"/>
      <c r="ADC76" s="124"/>
      <c r="ADD76" s="124"/>
      <c r="ADE76" s="124"/>
      <c r="ADF76" s="124"/>
      <c r="ADG76" s="124"/>
      <c r="ADH76" s="124"/>
      <c r="ADI76" s="124"/>
      <c r="ADJ76" s="124"/>
      <c r="ADK76" s="124"/>
      <c r="ADL76" s="125"/>
      <c r="ADM76" s="301"/>
      <c r="ADN76" s="151"/>
      <c r="ADO76" s="131">
        <f>SUM(ACM76:ADN76)</f>
      </c>
      <c r="ADP76" s="121"/>
      <c r="ADQ76" s="122"/>
      <c r="ADR76" s="123"/>
      <c r="ADS76" s="124"/>
      <c r="ADT76" s="124"/>
      <c r="ADU76" s="124"/>
      <c r="ADV76" s="124"/>
      <c r="ADW76" s="124"/>
      <c r="ADX76" s="124"/>
      <c r="ADY76" s="125"/>
      <c r="ADZ76" s="126"/>
      <c r="AEA76" s="124"/>
      <c r="AEB76" s="124"/>
      <c r="AEC76" s="127"/>
      <c r="AED76" s="123"/>
      <c r="AEE76" s="124"/>
      <c r="AEF76" s="124"/>
      <c r="AEG76" s="124"/>
      <c r="AEH76" s="124"/>
      <c r="AEI76" s="124"/>
      <c r="AEJ76" s="124"/>
      <c r="AEK76" s="124"/>
      <c r="AEL76" s="124"/>
      <c r="AEM76" s="124"/>
      <c r="AEN76" s="124"/>
      <c r="AEO76" s="125"/>
      <c r="AEP76" s="301"/>
      <c r="AEQ76" s="151"/>
      <c r="AER76" s="131">
        <f>SUM(ADP76:AEQ76)</f>
      </c>
      <c r="AES76" s="150">
        <f>XZ76+ZC76+AAF76+ABI76+ACL76+ADO76+AER76</f>
      </c>
      <c r="AET76" s="302">
        <f>(COUNTIF(WX76:AER76,"H")+COUNTIF(WX76:AER76,"S")+COUNTIF(WX76:AER76,"L")+COUNTIF(WX76:AER76,"E")+COUNTIF(WX76:AER76,"C"))/2</f>
      </c>
      <c r="AEU76" s="131">
        <f>AES76+AET76</f>
      </c>
      <c r="AEV76" s="374"/>
      <c r="AEW76" s="375"/>
      <c r="AEX76" s="15"/>
      <c r="AEY76" s="19"/>
      <c r="AEZ76" s="19"/>
      <c r="AFA76" s="19"/>
      <c r="AFB76" s="19"/>
      <c r="AFC76" s="19"/>
      <c r="AFD76" s="19"/>
      <c r="AFE76" s="414"/>
      <c r="AFF76" s="412"/>
      <c r="AFG76" s="19"/>
      <c r="AFH76" s="19"/>
      <c r="AFI76" s="323"/>
      <c r="AFJ76" s="15"/>
      <c r="AFK76" s="19"/>
      <c r="AFL76" s="19"/>
      <c r="AFM76" s="19"/>
      <c r="AFN76" s="19"/>
      <c r="AFO76" s="19"/>
      <c r="AFP76" s="19"/>
      <c r="AFQ76" s="19"/>
      <c r="AFR76" s="19"/>
      <c r="AFS76" s="19"/>
      <c r="AFT76" s="19"/>
      <c r="AFU76" s="414"/>
      <c r="AFV76" s="407"/>
      <c r="AFW76" s="408"/>
      <c r="AFX76" s="131">
        <f>SUM(AEV76:AFW76)</f>
      </c>
      <c r="AFY76" s="374"/>
      <c r="AFZ76" s="375"/>
      <c r="AGA76" s="15"/>
      <c r="AGB76" s="19"/>
      <c r="AGC76" s="19"/>
      <c r="AGD76" s="19"/>
      <c r="AGE76" s="19"/>
      <c r="AGF76" s="19"/>
      <c r="AGG76" s="19"/>
      <c r="AGH76" s="414"/>
      <c r="AGI76" s="412"/>
      <c r="AGJ76" s="19"/>
      <c r="AGK76" s="19"/>
      <c r="AGL76" s="323"/>
      <c r="AGM76" s="15"/>
      <c r="AGN76" s="19"/>
      <c r="AGO76" s="19"/>
      <c r="AGP76" s="19"/>
      <c r="AGQ76" s="19"/>
      <c r="AGR76" s="19"/>
      <c r="AGS76" s="19"/>
      <c r="AGT76" s="19"/>
      <c r="AGU76" s="19"/>
      <c r="AGV76" s="19"/>
      <c r="AGW76" s="19"/>
      <c r="AGX76" s="414"/>
      <c r="AGY76" s="407"/>
      <c r="AGZ76" s="408"/>
      <c r="AHA76" s="131">
        <f>SUM(AFY76:AGZ76)</f>
      </c>
      <c r="AHB76" s="374"/>
      <c r="AHC76" s="375"/>
      <c r="AHD76" s="15"/>
      <c r="AHE76" s="19"/>
      <c r="AHF76" s="19"/>
      <c r="AHG76" s="19"/>
      <c r="AHH76" s="19"/>
      <c r="AHI76" s="19"/>
      <c r="AHJ76" s="19"/>
      <c r="AHK76" s="414"/>
      <c r="AHL76" s="412"/>
      <c r="AHM76" s="19"/>
      <c r="AHN76" s="19"/>
      <c r="AHO76" s="323"/>
      <c r="AHP76" s="15"/>
      <c r="AHQ76" s="19"/>
      <c r="AHR76" s="19"/>
      <c r="AHS76" s="19"/>
      <c r="AHT76" s="19"/>
      <c r="AHU76" s="19"/>
      <c r="AHV76" s="19"/>
      <c r="AHW76" s="19"/>
      <c r="AHX76" s="19"/>
      <c r="AHY76" s="19"/>
      <c r="AHZ76" s="19"/>
      <c r="AIA76" s="414"/>
      <c r="AIB76" s="407"/>
      <c r="AIC76" s="408"/>
      <c r="AID76" s="131">
        <f>SUM(AHB76:AIC76)</f>
      </c>
      <c r="AIE76" s="374"/>
      <c r="AIF76" s="375"/>
      <c r="AIG76" s="15"/>
      <c r="AIH76" s="19"/>
      <c r="AII76" s="19"/>
      <c r="AIJ76" s="19"/>
      <c r="AIK76" s="19"/>
      <c r="AIL76" s="19"/>
      <c r="AIM76" s="19"/>
      <c r="AIN76" s="414"/>
      <c r="AIO76" s="412"/>
      <c r="AIP76" s="19"/>
      <c r="AIQ76" s="19"/>
      <c r="AIR76" s="323"/>
      <c r="AIS76" s="15"/>
      <c r="AIT76" s="19"/>
      <c r="AIU76" s="19"/>
      <c r="AIV76" s="19"/>
      <c r="AIW76" s="19"/>
      <c r="AIX76" s="19"/>
      <c r="AIY76" s="19"/>
      <c r="AIZ76" s="19"/>
      <c r="AJA76" s="19"/>
      <c r="AJB76" s="19"/>
      <c r="AJC76" s="19"/>
      <c r="AJD76" s="414"/>
      <c r="AJE76" s="407"/>
      <c r="AJF76" s="408"/>
      <c r="AJG76" s="131">
        <f>SUM(AIE76:AJF76)</f>
      </c>
      <c r="AJH76" s="374"/>
      <c r="AJI76" s="375"/>
      <c r="AJJ76" s="15"/>
      <c r="AJK76" s="19"/>
      <c r="AJL76" s="19"/>
      <c r="AJM76" s="19"/>
      <c r="AJN76" s="19"/>
      <c r="AJO76" s="19"/>
      <c r="AJP76" s="19"/>
      <c r="AJQ76" s="414"/>
      <c r="AJR76" s="412"/>
      <c r="AJS76" s="19"/>
      <c r="AJT76" s="19"/>
      <c r="AJU76" s="323"/>
      <c r="AJV76" s="15"/>
      <c r="AJW76" s="19"/>
      <c r="AJX76" s="19"/>
      <c r="AJY76" s="19"/>
      <c r="AJZ76" s="19"/>
      <c r="AKA76" s="19"/>
      <c r="AKB76" s="19"/>
      <c r="AKC76" s="19"/>
      <c r="AKD76" s="19"/>
      <c r="AKE76" s="19"/>
      <c r="AKF76" s="19"/>
      <c r="AKG76" s="414"/>
      <c r="AKH76" s="407"/>
      <c r="AKI76" s="408"/>
      <c r="AKJ76" s="131">
        <f>SUM(AJH76:AKI76)</f>
      </c>
      <c r="AKK76" s="121"/>
      <c r="AKL76" s="122"/>
      <c r="AKM76" s="123"/>
      <c r="AKN76" s="124"/>
      <c r="AKO76" s="124"/>
      <c r="AKP76" s="124"/>
      <c r="AKQ76" s="124"/>
      <c r="AKR76" s="124"/>
      <c r="AKS76" s="124"/>
      <c r="AKT76" s="125"/>
      <c r="AKU76" s="126"/>
      <c r="AKV76" s="124"/>
      <c r="AKW76" s="124"/>
      <c r="AKX76" s="127"/>
      <c r="AKY76" s="123"/>
      <c r="AKZ76" s="124"/>
      <c r="ALA76" s="124"/>
      <c r="ALB76" s="124"/>
      <c r="ALC76" s="124"/>
      <c r="ALD76" s="124"/>
      <c r="ALE76" s="124"/>
      <c r="ALF76" s="124"/>
      <c r="ALG76" s="124"/>
      <c r="ALH76" s="124"/>
      <c r="ALI76" s="124"/>
      <c r="ALJ76" s="125"/>
      <c r="ALK76" s="301"/>
      <c r="ALL76" s="151"/>
      <c r="ALM76" s="131">
        <f>SUM(AKK76:ALL76)</f>
      </c>
      <c r="ALN76" s="121"/>
      <c r="ALO76" s="122"/>
      <c r="ALP76" s="123"/>
      <c r="ALQ76" s="124"/>
      <c r="ALR76" s="124"/>
      <c r="ALS76" s="124"/>
      <c r="ALT76" s="124"/>
      <c r="ALU76" s="124"/>
      <c r="ALV76" s="124"/>
      <c r="ALW76" s="125"/>
      <c r="ALX76" s="126"/>
      <c r="ALY76" s="124"/>
      <c r="ALZ76" s="124"/>
      <c r="AMA76" s="127"/>
      <c r="AMB76" s="123"/>
      <c r="AMC76" s="124"/>
      <c r="AMD76" s="124"/>
      <c r="AME76" s="124"/>
      <c r="AMF76" s="124"/>
      <c r="AMG76" s="124"/>
      <c r="AMH76" s="124"/>
      <c r="AMI76" s="124"/>
      <c r="AMJ76" s="124"/>
      <c r="AMK76" s="124"/>
      <c r="AML76" s="124"/>
      <c r="AMM76" s="125"/>
      <c r="AMN76" s="301"/>
      <c r="AMO76" s="151"/>
      <c r="AMP76" s="131">
        <f>SUM(ALN76:AMO76)</f>
      </c>
      <c r="AMQ76" s="150">
        <f>AFX76+AHA76+AID76+AJG76+AKJ76+ALM76+AMP76</f>
      </c>
      <c r="AMR76" s="302">
        <f>(COUNTIF(AEV76:AMP76,"H")+COUNTIF(AEV76:AMP76,"S")+COUNTIF(AEV76:AMP76,"L")+COUNTIF(AEV76:AMP76,"E")+COUNTIF(AEV76:AMP76,"C"))/2</f>
      </c>
      <c r="AMS76" s="131">
        <f>AMQ76+AMR76</f>
      </c>
      <c r="AMT76" s="4"/>
      <c r="AMU76" s="4"/>
      <c r="AMV76" s="4"/>
      <c r="AMW76" s="4"/>
      <c r="AMX76" s="4"/>
      <c r="AMY76" s="4"/>
      <c r="AMZ76" s="4"/>
      <c r="ANA76" s="4"/>
      <c r="ANB76" s="4"/>
      <c r="ANC76" s="4"/>
      <c r="AND76" s="4"/>
      <c r="ANE76" s="4"/>
      <c r="ANF76" s="4"/>
      <c r="ANG76" s="4"/>
      <c r="ANH76" s="4"/>
      <c r="ANI76" s="4"/>
      <c r="ANJ76" s="13"/>
      <c r="ANK76" s="13"/>
      <c r="ANL76" s="4"/>
      <c r="ANM76" s="4"/>
      <c r="ANN76" s="4"/>
      <c r="ANO76" s="4"/>
      <c r="ANP76" s="4"/>
      <c r="ANQ76" s="4"/>
      <c r="ANR76" s="4"/>
      <c r="ANS76" s="4"/>
      <c r="ANT76" s="4"/>
      <c r="ANU76" s="4"/>
      <c r="ANV76" s="4"/>
      <c r="ANW76" s="4"/>
      <c r="ANX76" s="4"/>
      <c r="ANY76" s="4"/>
      <c r="ANZ76" s="4"/>
      <c r="AOA76" s="4"/>
      <c r="AOB76" s="4"/>
      <c r="AOC76" s="4"/>
      <c r="AOD76" s="4"/>
      <c r="AOE76" s="4"/>
      <c r="AOF76" s="4"/>
      <c r="AOG76" s="4"/>
      <c r="AOH76" s="4"/>
      <c r="AOI76" s="4"/>
      <c r="AOJ76" s="4"/>
      <c r="AOK76" s="4"/>
      <c r="AOL76" s="4"/>
      <c r="AOM76" s="4"/>
      <c r="AON76" s="4"/>
      <c r="AOO76" s="4"/>
      <c r="AOP76" s="4"/>
      <c r="AOQ76" s="4"/>
      <c r="AOR76" s="4"/>
      <c r="AOS76" s="4"/>
      <c r="AOT76" s="4"/>
      <c r="AOU76" s="4"/>
      <c r="AOV76" s="4"/>
      <c r="AOW76" s="4"/>
      <c r="AOX76" s="4"/>
      <c r="AOY76" s="4"/>
      <c r="AOZ76" s="4"/>
      <c r="APA76" s="4"/>
      <c r="APB76" s="4"/>
      <c r="APC76" s="4"/>
      <c r="APD76" s="4"/>
      <c r="APE76" s="4"/>
      <c r="APF76" s="4"/>
      <c r="APG76" s="4"/>
      <c r="APH76" s="4"/>
      <c r="API76" s="4"/>
      <c r="APJ76" s="4"/>
      <c r="APK76" s="4"/>
      <c r="APL76" s="4"/>
      <c r="APM76" s="4"/>
      <c r="APN76" s="4"/>
      <c r="APO76" s="4"/>
      <c r="APP76" s="4"/>
      <c r="APQ76" s="4"/>
      <c r="APR76" s="4"/>
      <c r="APS76" s="4"/>
      <c r="APT76" s="4"/>
      <c r="APU76" s="4"/>
      <c r="APV76" s="4"/>
      <c r="APW76" s="4"/>
      <c r="APX76" s="4"/>
      <c r="APY76" s="4"/>
      <c r="APZ76" s="4"/>
      <c r="AQA76" s="4"/>
      <c r="AQB76" s="4"/>
      <c r="AQC76" s="4"/>
      <c r="AQD76" s="4"/>
      <c r="AQE76" s="4"/>
      <c r="AQF76" s="4"/>
      <c r="AQG76" s="4"/>
      <c r="AQH76" s="4"/>
      <c r="AQI76" s="4"/>
      <c r="AQJ76" s="4"/>
      <c r="AQK76" s="4"/>
      <c r="AQL76" s="4"/>
      <c r="AQM76" s="4"/>
      <c r="AQN76" s="4"/>
      <c r="AQO76" s="4"/>
      <c r="AQP76" s="4"/>
      <c r="AQQ76" s="4"/>
      <c r="AQR76" s="4"/>
      <c r="AQS76" s="4"/>
      <c r="AQT76" s="4"/>
      <c r="AQU76" s="4"/>
      <c r="AQV76" s="4"/>
      <c r="AQW76" s="4"/>
      <c r="AQX76" s="4"/>
      <c r="AQY76" s="4"/>
      <c r="AQZ76" s="4"/>
      <c r="ARA76" s="4"/>
      <c r="ARB76" s="4"/>
      <c r="ARC76" s="4"/>
      <c r="ARD76" s="4"/>
      <c r="ARE76" s="4"/>
      <c r="ARF76" s="4"/>
      <c r="ARG76" s="4"/>
      <c r="ARH76" s="4"/>
      <c r="ARI76" s="4"/>
      <c r="ARJ76" s="4"/>
      <c r="ARK76" s="4"/>
      <c r="ARL76" s="4"/>
      <c r="ARM76" s="4"/>
      <c r="ARN76" s="4"/>
      <c r="ARO76" s="4"/>
      <c r="ARP76" s="4"/>
      <c r="ARQ76" s="4"/>
      <c r="ARR76" s="4"/>
      <c r="ARS76" s="4"/>
      <c r="ART76" s="4"/>
      <c r="ARU76" s="4"/>
      <c r="ARV76" s="4"/>
      <c r="ARW76" s="4"/>
      <c r="ARX76" s="4"/>
      <c r="ARY76" s="4"/>
      <c r="ARZ76" s="4"/>
      <c r="ASA76" s="4"/>
      <c r="ASB76" s="4"/>
      <c r="ASC76" s="4"/>
      <c r="ASD76" s="4"/>
      <c r="ASE76" s="4"/>
      <c r="ASF76" s="4"/>
      <c r="ASG76" s="4"/>
      <c r="ASH76" s="4"/>
      <c r="ASI76" s="4"/>
      <c r="ASJ76" s="4"/>
      <c r="ASK76" s="4"/>
      <c r="ASL76" s="4"/>
      <c r="ASM76" s="4"/>
      <c r="ASN76" s="4"/>
      <c r="ASO76" s="4"/>
      <c r="ASP76" s="4"/>
      <c r="ASQ76" s="4"/>
      <c r="ASR76" s="4"/>
      <c r="ASS76" s="4"/>
      <c r="AST76" s="4"/>
      <c r="ASU76" s="4"/>
    </row>
    <row r="77" ht="15" customHeight="1" spans="1:1191" x14ac:dyDescent="0.25">
      <c r="A77" s="118"/>
      <c r="B77" s="403" t="s">
        <v>115</v>
      </c>
      <c r="C77" s="289" t="s">
        <v>55</v>
      </c>
      <c r="D77" s="121"/>
      <c r="E77" s="122"/>
      <c r="F77" s="123"/>
      <c r="G77" s="124"/>
      <c r="H77" s="124"/>
      <c r="I77" s="124"/>
      <c r="J77" s="124"/>
      <c r="K77" s="124"/>
      <c r="L77" s="124"/>
      <c r="M77" s="125"/>
      <c r="N77" s="126"/>
      <c r="O77" s="124"/>
      <c r="P77" s="124"/>
      <c r="Q77" s="127"/>
      <c r="R77" s="123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5"/>
      <c r="AD77" s="301"/>
      <c r="AE77" s="151"/>
      <c r="AF77" s="131">
        <f>SUM(D77:AE77)</f>
      </c>
      <c r="AG77" s="121"/>
      <c r="AH77" s="122"/>
      <c r="AI77" s="123"/>
      <c r="AJ77" s="124"/>
      <c r="AK77" s="124"/>
      <c r="AL77" s="124"/>
      <c r="AM77" s="124"/>
      <c r="AN77" s="124"/>
      <c r="AO77" s="124"/>
      <c r="AP77" s="125"/>
      <c r="AQ77" s="126"/>
      <c r="AR77" s="124"/>
      <c r="AS77" s="124"/>
      <c r="AT77" s="127"/>
      <c r="AU77" s="123"/>
      <c r="AV77" s="124"/>
      <c r="AW77" s="124"/>
      <c r="AX77" s="124"/>
      <c r="AY77" s="124"/>
      <c r="AZ77" s="124"/>
      <c r="BA77" s="124"/>
      <c r="BB77" s="124"/>
      <c r="BC77" s="124"/>
      <c r="BD77" s="124"/>
      <c r="BE77" s="124"/>
      <c r="BF77" s="125"/>
      <c r="BG77" s="301"/>
      <c r="BH77" s="151"/>
      <c r="BI77" s="131">
        <f>SUM(AG77:BH77)</f>
      </c>
      <c r="BJ77" s="121"/>
      <c r="BK77" s="122"/>
      <c r="BL77" s="123"/>
      <c r="BM77" s="124"/>
      <c r="BN77" s="124"/>
      <c r="BO77" s="124"/>
      <c r="BP77" s="124"/>
      <c r="BQ77" s="124"/>
      <c r="BR77" s="124"/>
      <c r="BS77" s="125"/>
      <c r="BT77" s="126"/>
      <c r="BU77" s="124"/>
      <c r="BV77" s="124"/>
      <c r="BW77" s="127"/>
      <c r="BX77" s="123"/>
      <c r="BY77" s="124"/>
      <c r="BZ77" s="124"/>
      <c r="CA77" s="124"/>
      <c r="CB77" s="124"/>
      <c r="CC77" s="124"/>
      <c r="CD77" s="124"/>
      <c r="CE77" s="124"/>
      <c r="CF77" s="124"/>
      <c r="CG77" s="124"/>
      <c r="CH77" s="124"/>
      <c r="CI77" s="125"/>
      <c r="CJ77" s="301"/>
      <c r="CK77" s="151"/>
      <c r="CL77" s="131">
        <f>SUM(BJ77:CK77)</f>
      </c>
      <c r="CM77" s="121"/>
      <c r="CN77" s="122"/>
      <c r="CO77" s="123"/>
      <c r="CP77" s="124"/>
      <c r="CQ77" s="124"/>
      <c r="CR77" s="124"/>
      <c r="CS77" s="124"/>
      <c r="CT77" s="124"/>
      <c r="CU77" s="124"/>
      <c r="CV77" s="125"/>
      <c r="CW77" s="126"/>
      <c r="CX77" s="124"/>
      <c r="CY77" s="124"/>
      <c r="CZ77" s="127"/>
      <c r="DA77" s="123"/>
      <c r="DB77" s="124"/>
      <c r="DC77" s="124"/>
      <c r="DD77" s="124"/>
      <c r="DE77" s="124"/>
      <c r="DF77" s="124"/>
      <c r="DG77" s="124"/>
      <c r="DH77" s="124"/>
      <c r="DI77" s="124"/>
      <c r="DJ77" s="124"/>
      <c r="DK77" s="124"/>
      <c r="DL77" s="125"/>
      <c r="DM77" s="301"/>
      <c r="DN77" s="151"/>
      <c r="DO77" s="131">
        <f>SUM(CM77:DN77)</f>
      </c>
      <c r="DP77" s="121"/>
      <c r="DQ77" s="122"/>
      <c r="DR77" s="123"/>
      <c r="DS77" s="124"/>
      <c r="DT77" s="124"/>
      <c r="DU77" s="124"/>
      <c r="DV77" s="124"/>
      <c r="DW77" s="124"/>
      <c r="DX77" s="124"/>
      <c r="DY77" s="125"/>
      <c r="DZ77" s="126"/>
      <c r="EA77" s="124"/>
      <c r="EB77" s="124"/>
      <c r="EC77" s="127"/>
      <c r="ED77" s="123"/>
      <c r="EE77" s="124"/>
      <c r="EF77" s="124"/>
      <c r="EG77" s="124"/>
      <c r="EH77" s="124"/>
      <c r="EI77" s="124"/>
      <c r="EJ77" s="124"/>
      <c r="EK77" s="124"/>
      <c r="EL77" s="124"/>
      <c r="EM77" s="124"/>
      <c r="EN77" s="124"/>
      <c r="EO77" s="125"/>
      <c r="EP77" s="301"/>
      <c r="EQ77" s="151"/>
      <c r="ER77" s="131">
        <f>SUM(DP77:EQ77)</f>
      </c>
      <c r="ES77" s="121"/>
      <c r="ET77" s="122"/>
      <c r="EU77" s="123"/>
      <c r="EV77" s="124"/>
      <c r="EW77" s="124"/>
      <c r="EX77" s="124"/>
      <c r="EY77" s="124"/>
      <c r="EZ77" s="124"/>
      <c r="FA77" s="124"/>
      <c r="FB77" s="125"/>
      <c r="FC77" s="126"/>
      <c r="FD77" s="124"/>
      <c r="FE77" s="124"/>
      <c r="FF77" s="127"/>
      <c r="FG77" s="123"/>
      <c r="FH77" s="124"/>
      <c r="FI77" s="124"/>
      <c r="FJ77" s="124"/>
      <c r="FK77" s="124"/>
      <c r="FL77" s="124"/>
      <c r="FM77" s="124"/>
      <c r="FN77" s="124"/>
      <c r="FO77" s="124"/>
      <c r="FP77" s="124"/>
      <c r="FQ77" s="124"/>
      <c r="FR77" s="125"/>
      <c r="FS77" s="301"/>
      <c r="FT77" s="151"/>
      <c r="FU77" s="131">
        <f>SUM(ES77:FT77)</f>
      </c>
      <c r="FV77" s="121"/>
      <c r="FW77" s="122"/>
      <c r="FX77" s="123"/>
      <c r="FY77" s="124"/>
      <c r="FZ77" s="124"/>
      <c r="GA77" s="124"/>
      <c r="GB77" s="124"/>
      <c r="GC77" s="124"/>
      <c r="GD77" s="124"/>
      <c r="GE77" s="125"/>
      <c r="GF77" s="126"/>
      <c r="GG77" s="124"/>
      <c r="GH77" s="124"/>
      <c r="GI77" s="127"/>
      <c r="GJ77" s="123"/>
      <c r="GK77" s="124"/>
      <c r="GL77" s="124"/>
      <c r="GM77" s="124"/>
      <c r="GN77" s="124"/>
      <c r="GO77" s="124"/>
      <c r="GP77" s="124"/>
      <c r="GQ77" s="124"/>
      <c r="GR77" s="124"/>
      <c r="GS77" s="124"/>
      <c r="GT77" s="124"/>
      <c r="GU77" s="125"/>
      <c r="GV77" s="301"/>
      <c r="GW77" s="151"/>
      <c r="GX77" s="131">
        <f>SUM(FV77:GW77)</f>
      </c>
      <c r="GY77" s="150">
        <f>AF77+BI77+CL77+DO77+ER77+FU77+GX77</f>
      </c>
      <c r="GZ77" s="302">
        <f>(COUNTIF(D77:GX77,"H")+COUNTIF(D77:GX77,"S")+COUNTIF(D77:GX77,"L")+COUNTIF(D77:GX77,"E")+COUNTIF(D77:GX77,"C"))/2</f>
      </c>
      <c r="HA77" s="131">
        <f>GY77+GZ77</f>
      </c>
      <c r="HB77" s="374"/>
      <c r="HC77" s="375"/>
      <c r="HD77" s="15"/>
      <c r="HE77" s="25">
        <v>0.5</v>
      </c>
      <c r="HF77" s="25">
        <v>0.5</v>
      </c>
      <c r="HG77" s="25">
        <v>0.5</v>
      </c>
      <c r="HH77" s="25">
        <v>0.5</v>
      </c>
      <c r="HI77" s="25">
        <v>0.5</v>
      </c>
      <c r="HJ77" s="25">
        <v>0.5</v>
      </c>
      <c r="HK77" s="418">
        <v>0.5</v>
      </c>
      <c r="HL77" s="421">
        <v>0.5</v>
      </c>
      <c r="HM77" s="25">
        <v>0.5</v>
      </c>
      <c r="HN77" s="19"/>
      <c r="HO77" s="323"/>
      <c r="HP77" s="420">
        <v>0.5</v>
      </c>
      <c r="HQ77" s="25">
        <v>0.5</v>
      </c>
      <c r="HR77" s="25">
        <v>0.5</v>
      </c>
      <c r="HS77" s="25">
        <v>0.5</v>
      </c>
      <c r="HT77" s="25">
        <v>0.5</v>
      </c>
      <c r="HU77" s="25">
        <v>0.5</v>
      </c>
      <c r="HV77" s="25">
        <v>0.5</v>
      </c>
      <c r="HW77" s="19"/>
      <c r="HX77" s="19"/>
      <c r="HY77" s="19"/>
      <c r="HZ77" s="19"/>
      <c r="IA77" s="414"/>
      <c r="IB77" s="407"/>
      <c r="IC77" s="408"/>
      <c r="ID77" s="131">
        <f>SUM(HB77:IC77)</f>
      </c>
      <c r="IE77" s="374"/>
      <c r="IF77" s="375"/>
      <c r="IG77" s="15"/>
      <c r="IH77" s="25">
        <v>0.5</v>
      </c>
      <c r="II77" s="25">
        <v>0.5</v>
      </c>
      <c r="IJ77" s="25">
        <v>0.5</v>
      </c>
      <c r="IK77" s="25">
        <v>0.5</v>
      </c>
      <c r="IL77" s="25">
        <v>0.5</v>
      </c>
      <c r="IM77" s="25">
        <v>0.5</v>
      </c>
      <c r="IN77" s="418">
        <v>0.5</v>
      </c>
      <c r="IO77" s="421">
        <v>0.5</v>
      </c>
      <c r="IP77" s="25">
        <v>0.5</v>
      </c>
      <c r="IQ77" s="19"/>
      <c r="IR77" s="323"/>
      <c r="IS77" s="433">
        <v>0.5</v>
      </c>
      <c r="IT77" s="30">
        <v>0.5</v>
      </c>
      <c r="IU77" s="30">
        <v>0.5</v>
      </c>
      <c r="IV77" s="30">
        <v>0.5</v>
      </c>
      <c r="IW77" s="30">
        <v>0.5</v>
      </c>
      <c r="IX77" s="30">
        <v>0.5</v>
      </c>
      <c r="IY77" s="25">
        <v>0.5</v>
      </c>
      <c r="IZ77" s="19"/>
      <c r="JA77" s="19"/>
      <c r="JB77" s="19"/>
      <c r="JC77" s="19"/>
      <c r="JD77" s="414"/>
      <c r="JE77" s="407"/>
      <c r="JF77" s="408"/>
      <c r="JG77" s="131">
        <f>SUM(IE77:JF77)</f>
      </c>
      <c r="JH77" s="374"/>
      <c r="JI77" s="375"/>
      <c r="JJ77" s="15"/>
      <c r="JK77" s="25">
        <v>0.5</v>
      </c>
      <c r="JL77" s="25">
        <v>0.5</v>
      </c>
      <c r="JM77" s="25">
        <v>0.5</v>
      </c>
      <c r="JN77" s="25">
        <v>0.5</v>
      </c>
      <c r="JO77" s="25">
        <v>0.5</v>
      </c>
      <c r="JP77" s="25">
        <v>0.5</v>
      </c>
      <c r="JQ77" s="418">
        <v>0.5</v>
      </c>
      <c r="JR77" s="421">
        <v>0.5</v>
      </c>
      <c r="JS77" s="25">
        <v>0.5</v>
      </c>
      <c r="JT77" s="19"/>
      <c r="JU77" s="323"/>
      <c r="JV77" s="420">
        <v>0.5</v>
      </c>
      <c r="JW77" s="25">
        <v>0.5</v>
      </c>
      <c r="JX77" s="25">
        <v>0.5</v>
      </c>
      <c r="JY77" s="25">
        <v>0.5</v>
      </c>
      <c r="JZ77" s="25">
        <v>0.5</v>
      </c>
      <c r="KA77" s="25">
        <v>0.5</v>
      </c>
      <c r="KB77" s="25">
        <v>0.5</v>
      </c>
      <c r="KC77" s="19"/>
      <c r="KD77" s="19"/>
      <c r="KE77" s="19"/>
      <c r="KF77" s="19"/>
      <c r="KG77" s="414"/>
      <c r="KH77" s="407"/>
      <c r="KI77" s="408"/>
      <c r="KJ77" s="131">
        <f>SUM(JH77:KI77)</f>
      </c>
      <c r="KK77" s="374"/>
      <c r="KL77" s="375"/>
      <c r="KM77" s="15"/>
      <c r="KN77" s="25">
        <v>0.5</v>
      </c>
      <c r="KO77" s="25">
        <v>0.5</v>
      </c>
      <c r="KP77" s="25">
        <v>0.5</v>
      </c>
      <c r="KQ77" s="25">
        <v>0.5</v>
      </c>
      <c r="KR77" s="25">
        <v>0.5</v>
      </c>
      <c r="KS77" s="25">
        <v>0.5</v>
      </c>
      <c r="KT77" s="418">
        <v>0.5</v>
      </c>
      <c r="KU77" s="421">
        <v>0.5</v>
      </c>
      <c r="KV77" s="25">
        <v>0.5</v>
      </c>
      <c r="KW77" s="19"/>
      <c r="KX77" s="323"/>
      <c r="KY77" s="433">
        <v>0.5</v>
      </c>
      <c r="KZ77" s="30">
        <v>0.5</v>
      </c>
      <c r="LA77" s="30">
        <v>0.5</v>
      </c>
      <c r="LB77" s="30">
        <v>0.5</v>
      </c>
      <c r="LC77" s="30">
        <v>0.5</v>
      </c>
      <c r="LD77" s="30">
        <v>0.5</v>
      </c>
      <c r="LE77" s="25">
        <v>0.5</v>
      </c>
      <c r="LF77" s="19"/>
      <c r="LG77" s="19"/>
      <c r="LH77" s="19"/>
      <c r="LI77" s="19"/>
      <c r="LJ77" s="414"/>
      <c r="LK77" s="407"/>
      <c r="LL77" s="408"/>
      <c r="LM77" s="131">
        <f>SUM(KK77:LL77)</f>
      </c>
      <c r="LN77" s="374"/>
      <c r="LO77" s="375"/>
      <c r="LP77" s="15"/>
      <c r="LQ77" s="25">
        <v>0.5</v>
      </c>
      <c r="LR77" s="25">
        <v>0.5</v>
      </c>
      <c r="LS77" s="25">
        <v>0.5</v>
      </c>
      <c r="LT77" s="25">
        <v>0.5</v>
      </c>
      <c r="LU77" s="25">
        <v>0.5</v>
      </c>
      <c r="LV77" s="25">
        <v>0.5</v>
      </c>
      <c r="LW77" s="418">
        <v>0.5</v>
      </c>
      <c r="LX77" s="421">
        <v>0.5</v>
      </c>
      <c r="LY77" s="25">
        <v>0.5</v>
      </c>
      <c r="LZ77" s="19"/>
      <c r="MA77" s="323"/>
      <c r="MB77" s="420">
        <v>0.5</v>
      </c>
      <c r="MC77" s="25">
        <v>0.5</v>
      </c>
      <c r="MD77" s="25">
        <v>0.5</v>
      </c>
      <c r="ME77" s="25">
        <v>0.5</v>
      </c>
      <c r="MF77" s="25">
        <v>0.5</v>
      </c>
      <c r="MG77" s="25">
        <v>0.5</v>
      </c>
      <c r="MH77" s="25">
        <v>0.5</v>
      </c>
      <c r="MI77" s="19"/>
      <c r="MJ77" s="19"/>
      <c r="MK77" s="19"/>
      <c r="ML77" s="19"/>
      <c r="MM77" s="414"/>
      <c r="MN77" s="407"/>
      <c r="MO77" s="408"/>
      <c r="MP77" s="131">
        <f>SUM(LN77:MO77)</f>
      </c>
      <c r="MQ77" s="121"/>
      <c r="MR77" s="122"/>
      <c r="MS77" s="123"/>
      <c r="MT77" s="124"/>
      <c r="MU77" s="124"/>
      <c r="MV77" s="124"/>
      <c r="MW77" s="124"/>
      <c r="MX77" s="124"/>
      <c r="MY77" s="124"/>
      <c r="MZ77" s="125"/>
      <c r="NA77" s="126"/>
      <c r="NB77" s="124"/>
      <c r="NC77" s="124"/>
      <c r="ND77" s="127"/>
      <c r="NE77" s="123"/>
      <c r="NF77" s="124"/>
      <c r="NG77" s="124"/>
      <c r="NH77" s="124"/>
      <c r="NI77" s="124"/>
      <c r="NJ77" s="124"/>
      <c r="NK77" s="124"/>
      <c r="NL77" s="124"/>
      <c r="NM77" s="124"/>
      <c r="NN77" s="124"/>
      <c r="NO77" s="124"/>
      <c r="NP77" s="125"/>
      <c r="NQ77" s="301"/>
      <c r="NR77" s="151"/>
      <c r="NS77" s="131">
        <f>SUM(MQ77:NR77)</f>
      </c>
      <c r="NT77" s="121"/>
      <c r="NU77" s="122"/>
      <c r="NV77" s="123"/>
      <c r="NW77" s="124"/>
      <c r="NX77" s="124"/>
      <c r="NY77" s="124"/>
      <c r="NZ77" s="124"/>
      <c r="OA77" s="124"/>
      <c r="OB77" s="124"/>
      <c r="OC77" s="125"/>
      <c r="OD77" s="126"/>
      <c r="OE77" s="124"/>
      <c r="OF77" s="124"/>
      <c r="OG77" s="127"/>
      <c r="OH77" s="123"/>
      <c r="OI77" s="124"/>
      <c r="OJ77" s="124"/>
      <c r="OK77" s="124"/>
      <c r="OL77" s="124"/>
      <c r="OM77" s="124"/>
      <c r="ON77" s="124"/>
      <c r="OO77" s="124"/>
      <c r="OP77" s="124"/>
      <c r="OQ77" s="124"/>
      <c r="OR77" s="124"/>
      <c r="OS77" s="125"/>
      <c r="OT77" s="301"/>
      <c r="OU77" s="151"/>
      <c r="OV77" s="131">
        <f>SUM(NT77:OU77)</f>
      </c>
      <c r="OW77" s="150">
        <f>ID77+JG77+KJ77+LM77+MP77+NS77+OV77</f>
      </c>
      <c r="OX77" s="302">
        <f>(COUNTIF(HB77:OV77,"H")+COUNTIF(HB77:OV77,"S")+COUNTIF(HB77:OV77,"L")+COUNTIF(HB77:OV77,"E")+COUNTIF(HB77:OV77,"C"))/2</f>
      </c>
      <c r="OY77" s="131">
        <f>OW77+OX77</f>
      </c>
      <c r="OZ77" s="374"/>
      <c r="PA77" s="375"/>
      <c r="PB77" s="15"/>
      <c r="PC77" s="25">
        <v>0.5</v>
      </c>
      <c r="PD77" s="25">
        <v>0.5</v>
      </c>
      <c r="PE77" s="25">
        <v>0.5</v>
      </c>
      <c r="PF77" s="25">
        <v>0.5</v>
      </c>
      <c r="PG77" s="25">
        <v>0.5</v>
      </c>
      <c r="PH77" s="25">
        <v>0.5</v>
      </c>
      <c r="PI77" s="418">
        <v>0.5</v>
      </c>
      <c r="PJ77" s="421">
        <v>0.5</v>
      </c>
      <c r="PK77" s="25">
        <v>0.5</v>
      </c>
      <c r="PL77" s="19"/>
      <c r="PM77" s="323"/>
      <c r="PN77" s="420">
        <v>0.5</v>
      </c>
      <c r="PO77" s="25">
        <v>0.5</v>
      </c>
      <c r="PP77" s="25">
        <v>0.5</v>
      </c>
      <c r="PQ77" s="25">
        <v>0.5</v>
      </c>
      <c r="PR77" s="25">
        <v>0.5</v>
      </c>
      <c r="PS77" s="25">
        <v>0.5</v>
      </c>
      <c r="PT77" s="25">
        <v>0.5</v>
      </c>
      <c r="PU77" s="19"/>
      <c r="PV77" s="19"/>
      <c r="PW77" s="19"/>
      <c r="PX77" s="19"/>
      <c r="PY77" s="414"/>
      <c r="PZ77" s="407"/>
      <c r="QA77" s="408"/>
      <c r="QB77" s="131">
        <f>SUM(OZ77:QA77)</f>
      </c>
      <c r="QC77" s="374"/>
      <c r="QD77" s="375"/>
      <c r="QE77" s="15"/>
      <c r="QF77" s="25">
        <v>0.5</v>
      </c>
      <c r="QG77" s="25">
        <v>0.5</v>
      </c>
      <c r="QH77" s="25">
        <v>0.5</v>
      </c>
      <c r="QI77" s="25">
        <v>0.5</v>
      </c>
      <c r="QJ77" s="25">
        <v>0.5</v>
      </c>
      <c r="QK77" s="25">
        <v>0.5</v>
      </c>
      <c r="QL77" s="418">
        <v>0.5</v>
      </c>
      <c r="QM77" s="421">
        <v>0.5</v>
      </c>
      <c r="QN77" s="25">
        <v>0.5</v>
      </c>
      <c r="QO77" s="19"/>
      <c r="QP77" s="323"/>
      <c r="QQ77" s="420">
        <v>0.5</v>
      </c>
      <c r="QR77" s="25">
        <v>0.5</v>
      </c>
      <c r="QS77" s="25">
        <v>0.5</v>
      </c>
      <c r="QT77" s="25">
        <v>0.5</v>
      </c>
      <c r="QU77" s="25">
        <v>0.5</v>
      </c>
      <c r="QV77" s="25">
        <v>0.5</v>
      </c>
      <c r="QW77" s="25">
        <v>0.5</v>
      </c>
      <c r="QX77" s="19"/>
      <c r="QY77" s="19"/>
      <c r="QZ77" s="19"/>
      <c r="RA77" s="19"/>
      <c r="RB77" s="414"/>
      <c r="RC77" s="407"/>
      <c r="RD77" s="408"/>
      <c r="RE77" s="131">
        <f>SUM(QC77:RD77)</f>
      </c>
      <c r="RF77" s="374"/>
      <c r="RG77" s="375"/>
      <c r="RH77" s="15"/>
      <c r="RI77" s="25">
        <v>0.5</v>
      </c>
      <c r="RJ77" s="25">
        <v>0.5</v>
      </c>
      <c r="RK77" s="25">
        <v>0.5</v>
      </c>
      <c r="RL77" s="25">
        <v>0.5</v>
      </c>
      <c r="RM77" s="25">
        <v>0.5</v>
      </c>
      <c r="RN77" s="25">
        <v>0.5</v>
      </c>
      <c r="RO77" s="418">
        <v>0.5</v>
      </c>
      <c r="RP77" s="421">
        <v>0.5</v>
      </c>
      <c r="RQ77" s="25">
        <v>0.5</v>
      </c>
      <c r="RR77" s="19"/>
      <c r="RS77" s="323"/>
      <c r="RT77" s="420">
        <v>0.5</v>
      </c>
      <c r="RU77" s="25">
        <v>0.5</v>
      </c>
      <c r="RV77" s="25">
        <v>0.5</v>
      </c>
      <c r="RW77" s="25">
        <v>0.5</v>
      </c>
      <c r="RX77" s="25">
        <v>0.5</v>
      </c>
      <c r="RY77" s="25">
        <v>0.5</v>
      </c>
      <c r="RZ77" s="25">
        <v>0.5</v>
      </c>
      <c r="SA77" s="19"/>
      <c r="SB77" s="19"/>
      <c r="SC77" s="19"/>
      <c r="SD77" s="19"/>
      <c r="SE77" s="414"/>
      <c r="SF77" s="407"/>
      <c r="SG77" s="408"/>
      <c r="SH77" s="131">
        <f>SUM(RF77:SG77)</f>
      </c>
      <c r="SI77" s="374"/>
      <c r="SJ77" s="375"/>
      <c r="SK77" s="15"/>
      <c r="SL77" s="25">
        <v>0.5</v>
      </c>
      <c r="SM77" s="25">
        <v>0.5</v>
      </c>
      <c r="SN77" s="25">
        <v>0.5</v>
      </c>
      <c r="SO77" s="25">
        <v>0.5</v>
      </c>
      <c r="SP77" s="25">
        <v>0.5</v>
      </c>
      <c r="SQ77" s="25">
        <v>0.5</v>
      </c>
      <c r="SR77" s="418">
        <v>0.5</v>
      </c>
      <c r="SS77" s="421">
        <v>0.5</v>
      </c>
      <c r="ST77" s="25">
        <v>0.5</v>
      </c>
      <c r="SU77" s="19"/>
      <c r="SV77" s="323"/>
      <c r="SW77" s="420">
        <v>0.5</v>
      </c>
      <c r="SX77" s="25">
        <v>0.5</v>
      </c>
      <c r="SY77" s="25">
        <v>0.5</v>
      </c>
      <c r="SZ77" s="25">
        <v>0.5</v>
      </c>
      <c r="TA77" s="25">
        <v>0.5</v>
      </c>
      <c r="TB77" s="25">
        <v>0.5</v>
      </c>
      <c r="TC77" s="25">
        <v>0.5</v>
      </c>
      <c r="TD77" s="19"/>
      <c r="TE77" s="19"/>
      <c r="TF77" s="19"/>
      <c r="TG77" s="19"/>
      <c r="TH77" s="414"/>
      <c r="TI77" s="407"/>
      <c r="TJ77" s="408"/>
      <c r="TK77" s="131">
        <f>SUM(SI77:TJ77)</f>
      </c>
      <c r="TL77" s="374"/>
      <c r="TM77" s="375"/>
      <c r="TN77" s="15"/>
      <c r="TO77" s="25">
        <v>0.5</v>
      </c>
      <c r="TP77" s="25">
        <v>0.5</v>
      </c>
      <c r="TQ77" s="25">
        <v>0.5</v>
      </c>
      <c r="TR77" s="25">
        <v>0.5</v>
      </c>
      <c r="TS77" s="25">
        <v>0.5</v>
      </c>
      <c r="TT77" s="25">
        <v>0.5</v>
      </c>
      <c r="TU77" s="418">
        <v>0.5</v>
      </c>
      <c r="TV77" s="421">
        <v>0.5</v>
      </c>
      <c r="TW77" s="25">
        <v>0.5</v>
      </c>
      <c r="TX77" s="19"/>
      <c r="TY77" s="323"/>
      <c r="TZ77" s="420">
        <v>0.5</v>
      </c>
      <c r="UA77" s="25">
        <v>0.5</v>
      </c>
      <c r="UB77" s="25">
        <v>0.5</v>
      </c>
      <c r="UC77" s="25">
        <v>0.5</v>
      </c>
      <c r="UD77" s="25">
        <v>0.5</v>
      </c>
      <c r="UE77" s="25">
        <v>0.5</v>
      </c>
      <c r="UF77" s="25">
        <v>0.5</v>
      </c>
      <c r="UG77" s="19"/>
      <c r="UH77" s="19"/>
      <c r="UI77" s="19"/>
      <c r="UJ77" s="19"/>
      <c r="UK77" s="414"/>
      <c r="UL77" s="407"/>
      <c r="UM77" s="408"/>
      <c r="UN77" s="131">
        <f>SUM(TL77:UM77)</f>
      </c>
      <c r="UO77" s="121"/>
      <c r="UP77" s="122"/>
      <c r="UQ77" s="123"/>
      <c r="UR77" s="124"/>
      <c r="US77" s="124"/>
      <c r="UT77" s="124"/>
      <c r="UU77" s="124"/>
      <c r="UV77" s="124"/>
      <c r="UW77" s="124"/>
      <c r="UX77" s="125"/>
      <c r="UY77" s="126"/>
      <c r="UZ77" s="124"/>
      <c r="VA77" s="124"/>
      <c r="VB77" s="127"/>
      <c r="VC77" s="123"/>
      <c r="VD77" s="124"/>
      <c r="VE77" s="124"/>
      <c r="VF77" s="124"/>
      <c r="VG77" s="124"/>
      <c r="VH77" s="124"/>
      <c r="VI77" s="124"/>
      <c r="VJ77" s="124"/>
      <c r="VK77" s="124"/>
      <c r="VL77" s="124"/>
      <c r="VM77" s="124"/>
      <c r="VN77" s="125"/>
      <c r="VO77" s="301"/>
      <c r="VP77" s="151"/>
      <c r="VQ77" s="131">
        <f>SUM(UO77:VP77)</f>
      </c>
      <c r="VR77" s="121"/>
      <c r="VS77" s="122"/>
      <c r="VT77" s="123"/>
      <c r="VU77" s="124"/>
      <c r="VV77" s="124"/>
      <c r="VW77" s="124"/>
      <c r="VX77" s="124"/>
      <c r="VY77" s="124"/>
      <c r="VZ77" s="124"/>
      <c r="WA77" s="125"/>
      <c r="WB77" s="126"/>
      <c r="WC77" s="124"/>
      <c r="WD77" s="124"/>
      <c r="WE77" s="127"/>
      <c r="WF77" s="123"/>
      <c r="WG77" s="124"/>
      <c r="WH77" s="124"/>
      <c r="WI77" s="124"/>
      <c r="WJ77" s="124"/>
      <c r="WK77" s="124"/>
      <c r="WL77" s="124"/>
      <c r="WM77" s="124"/>
      <c r="WN77" s="124"/>
      <c r="WO77" s="124"/>
      <c r="WP77" s="124"/>
      <c r="WQ77" s="125"/>
      <c r="WR77" s="301"/>
      <c r="WS77" s="151"/>
      <c r="WT77" s="131">
        <f>SUM(VR77:WS77)</f>
      </c>
      <c r="WU77" s="150">
        <f>QB77+RE77+SH77+TK77+UN77+VQ77+WT77</f>
      </c>
      <c r="WV77" s="302">
        <f>(COUNTIF(OZ77:WT77,"H")+COUNTIF(OZ77:WT77,"S")+COUNTIF(OZ77:WT77,"L")+COUNTIF(OZ77:WT77,"E")+COUNTIF(OZ77:WT77,"C"))/2</f>
      </c>
      <c r="WW77" s="131">
        <f>WU77+WV77</f>
      </c>
      <c r="WX77" s="374"/>
      <c r="WY77" s="375"/>
      <c r="WZ77" s="15"/>
      <c r="XA77" s="307">
        <v>0.5</v>
      </c>
      <c r="XB77" s="307">
        <v>0.5</v>
      </c>
      <c r="XC77" s="307">
        <v>0.5</v>
      </c>
      <c r="XD77" s="307">
        <v>0.5</v>
      </c>
      <c r="XE77" s="307">
        <v>0.5</v>
      </c>
      <c r="XF77" s="307">
        <v>0.5</v>
      </c>
      <c r="XG77" s="314">
        <v>0.5</v>
      </c>
      <c r="XH77" s="319">
        <v>0.5</v>
      </c>
      <c r="XI77" s="307">
        <v>0.5</v>
      </c>
      <c r="XJ77" s="307">
        <v>0.5</v>
      </c>
      <c r="XK77" s="416">
        <v>0.5</v>
      </c>
      <c r="XL77" s="313">
        <v>0.5</v>
      </c>
      <c r="XM77" s="308">
        <v>0.5</v>
      </c>
      <c r="XN77" s="308">
        <v>0.5</v>
      </c>
      <c r="XO77" s="308">
        <v>0.5</v>
      </c>
      <c r="XP77" s="308">
        <v>0.5</v>
      </c>
      <c r="XQ77" s="308">
        <v>0.5</v>
      </c>
      <c r="XR77" s="308">
        <v>0.5</v>
      </c>
      <c r="XS77" s="308">
        <v>0.5</v>
      </c>
      <c r="XT77" s="308">
        <v>0.5</v>
      </c>
      <c r="XU77" s="308">
        <v>0.5</v>
      </c>
      <c r="XV77" s="308">
        <v>0.5</v>
      </c>
      <c r="XW77" s="309">
        <v>0.5</v>
      </c>
      <c r="XX77" s="407"/>
      <c r="XY77" s="408"/>
      <c r="XZ77" s="131">
        <f>SUM(WX77:XY77)</f>
      </c>
      <c r="YA77" s="374"/>
      <c r="YB77" s="375"/>
      <c r="YC77" s="15"/>
      <c r="YD77" s="308">
        <v>0.5</v>
      </c>
      <c r="YE77" s="308">
        <v>0.5</v>
      </c>
      <c r="YF77" s="308">
        <v>0.5</v>
      </c>
      <c r="YG77" s="308">
        <v>0.5</v>
      </c>
      <c r="YH77" s="308">
        <v>0.5</v>
      </c>
      <c r="YI77" s="308">
        <v>0.5</v>
      </c>
      <c r="YJ77" s="309">
        <v>0.5</v>
      </c>
      <c r="YK77" s="412"/>
      <c r="YL77" s="19"/>
      <c r="YM77" s="308">
        <v>0.5</v>
      </c>
      <c r="YN77" s="312">
        <v>0.5</v>
      </c>
      <c r="YO77" s="313">
        <v>0.5</v>
      </c>
      <c r="YP77" s="308">
        <v>0.5</v>
      </c>
      <c r="YQ77" s="308">
        <v>0.5</v>
      </c>
      <c r="YR77" s="308">
        <v>0.5</v>
      </c>
      <c r="YS77" s="308">
        <v>0.5</v>
      </c>
      <c r="YT77" s="308">
        <v>0.5</v>
      </c>
      <c r="YU77" s="308">
        <v>0.5</v>
      </c>
      <c r="YV77" s="308">
        <v>0.5</v>
      </c>
      <c r="YW77" s="308">
        <v>0.5</v>
      </c>
      <c r="YX77" s="19"/>
      <c r="YY77" s="19"/>
      <c r="YZ77" s="414"/>
      <c r="ZA77" s="407"/>
      <c r="ZB77" s="408"/>
      <c r="ZC77" s="131">
        <f>SUM(YA77:ZB77)</f>
      </c>
      <c r="ZD77" s="374"/>
      <c r="ZE77" s="375"/>
      <c r="ZF77" s="15"/>
      <c r="ZG77" s="308">
        <v>0.5</v>
      </c>
      <c r="ZH77" s="308">
        <v>0.5</v>
      </c>
      <c r="ZI77" s="308">
        <v>0.5</v>
      </c>
      <c r="ZJ77" s="308">
        <v>0.5</v>
      </c>
      <c r="ZK77" s="308">
        <v>0.5</v>
      </c>
      <c r="ZL77" s="308">
        <v>0.5</v>
      </c>
      <c r="ZM77" s="309">
        <v>0.5</v>
      </c>
      <c r="ZN77" s="412"/>
      <c r="ZO77" s="19"/>
      <c r="ZP77" s="308">
        <v>0.5</v>
      </c>
      <c r="ZQ77" s="312">
        <v>0.5</v>
      </c>
      <c r="ZR77" s="313">
        <v>0.5</v>
      </c>
      <c r="ZS77" s="308">
        <v>0.5</v>
      </c>
      <c r="ZT77" s="308">
        <v>0.5</v>
      </c>
      <c r="ZU77" s="308">
        <v>0.5</v>
      </c>
      <c r="ZV77" s="308">
        <v>0.5</v>
      </c>
      <c r="ZW77" s="308">
        <v>0.5</v>
      </c>
      <c r="ZX77" s="308">
        <v>0.5</v>
      </c>
      <c r="ZY77" s="308">
        <v>0.5</v>
      </c>
      <c r="ZZ77" s="308">
        <v>0.5</v>
      </c>
      <c r="AAA77" s="19"/>
      <c r="AAB77" s="19"/>
      <c r="AAC77" s="414"/>
      <c r="AAD77" s="407"/>
      <c r="AAE77" s="408"/>
      <c r="AAF77" s="131">
        <f>SUM(ZD77:AAE77)</f>
      </c>
      <c r="AAG77" s="374"/>
      <c r="AAH77" s="375"/>
      <c r="AAI77" s="15"/>
      <c r="AAJ77" s="308">
        <v>0.5</v>
      </c>
      <c r="AAK77" s="308">
        <v>0.5</v>
      </c>
      <c r="AAL77" s="308">
        <v>0.5</v>
      </c>
      <c r="AAM77" s="308">
        <v>0.5</v>
      </c>
      <c r="AAN77" s="308">
        <v>0.5</v>
      </c>
      <c r="AAO77" s="308">
        <v>0.5</v>
      </c>
      <c r="AAP77" s="309">
        <v>0.5</v>
      </c>
      <c r="AAQ77" s="320">
        <v>0.5</v>
      </c>
      <c r="AAR77" s="308">
        <v>0.5</v>
      </c>
      <c r="AAS77" s="307">
        <v>0.5</v>
      </c>
      <c r="AAT77" s="416">
        <v>0.5</v>
      </c>
      <c r="AAU77" s="306">
        <v>0.5</v>
      </c>
      <c r="AAV77" s="307">
        <v>0.5</v>
      </c>
      <c r="AAW77" s="307">
        <v>0.5</v>
      </c>
      <c r="AAX77" s="307">
        <v>0.5</v>
      </c>
      <c r="AAY77" s="307">
        <v>0.5</v>
      </c>
      <c r="AAZ77" s="307">
        <v>0.5</v>
      </c>
      <c r="ABA77" s="307">
        <v>0.5</v>
      </c>
      <c r="ABB77" s="307">
        <v>0.5</v>
      </c>
      <c r="ABC77" s="307">
        <v>0.5</v>
      </c>
      <c r="ABD77" s="307">
        <v>0.5</v>
      </c>
      <c r="ABE77" s="19"/>
      <c r="ABF77" s="414"/>
      <c r="ABG77" s="407"/>
      <c r="ABH77" s="408"/>
      <c r="ABI77" s="131">
        <f>SUM(AAG77:ABH77)</f>
      </c>
      <c r="ABJ77" s="374"/>
      <c r="ABK77" s="375"/>
      <c r="ABL77" s="15"/>
      <c r="ABM77" s="19"/>
      <c r="ABN77" s="19"/>
      <c r="ABO77" s="19"/>
      <c r="ABP77" s="19"/>
      <c r="ABQ77" s="19"/>
      <c r="ABR77" s="19"/>
      <c r="ABS77" s="414"/>
      <c r="ABT77" s="412"/>
      <c r="ABU77" s="19"/>
      <c r="ABV77" s="19"/>
      <c r="ABW77" s="323"/>
      <c r="ABX77" s="15"/>
      <c r="ABY77" s="19"/>
      <c r="ABZ77" s="19"/>
      <c r="ACA77" s="19"/>
      <c r="ACB77" s="19"/>
      <c r="ACC77" s="19"/>
      <c r="ACD77" s="19"/>
      <c r="ACE77" s="19"/>
      <c r="ACF77" s="19"/>
      <c r="ACG77" s="19"/>
      <c r="ACH77" s="19"/>
      <c r="ACI77" s="414"/>
      <c r="ACJ77" s="407"/>
      <c r="ACK77" s="408"/>
      <c r="ACL77" s="131">
        <f>SUM(ABJ77:ACK77)</f>
      </c>
      <c r="ACM77" s="121"/>
      <c r="ACN77" s="122"/>
      <c r="ACO77" s="123"/>
      <c r="ACP77" s="124"/>
      <c r="ACQ77" s="124"/>
      <c r="ACR77" s="124"/>
      <c r="ACS77" s="124"/>
      <c r="ACT77" s="124"/>
      <c r="ACU77" s="124"/>
      <c r="ACV77" s="125"/>
      <c r="ACW77" s="126"/>
      <c r="ACX77" s="124"/>
      <c r="ACY77" s="124"/>
      <c r="ACZ77" s="127"/>
      <c r="ADA77" s="123"/>
      <c r="ADB77" s="124"/>
      <c r="ADC77" s="124"/>
      <c r="ADD77" s="124"/>
      <c r="ADE77" s="124"/>
      <c r="ADF77" s="124"/>
      <c r="ADG77" s="124"/>
      <c r="ADH77" s="124"/>
      <c r="ADI77" s="124"/>
      <c r="ADJ77" s="124"/>
      <c r="ADK77" s="124"/>
      <c r="ADL77" s="125"/>
      <c r="ADM77" s="301"/>
      <c r="ADN77" s="151"/>
      <c r="ADO77" s="131">
        <f>SUM(ACM77:ADN77)</f>
      </c>
      <c r="ADP77" s="121"/>
      <c r="ADQ77" s="122"/>
      <c r="ADR77" s="123"/>
      <c r="ADS77" s="124"/>
      <c r="ADT77" s="124"/>
      <c r="ADU77" s="124"/>
      <c r="ADV77" s="124"/>
      <c r="ADW77" s="124"/>
      <c r="ADX77" s="124"/>
      <c r="ADY77" s="125"/>
      <c r="ADZ77" s="126"/>
      <c r="AEA77" s="124"/>
      <c r="AEB77" s="124"/>
      <c r="AEC77" s="127"/>
      <c r="AED77" s="123"/>
      <c r="AEE77" s="124"/>
      <c r="AEF77" s="124"/>
      <c r="AEG77" s="124"/>
      <c r="AEH77" s="124"/>
      <c r="AEI77" s="124"/>
      <c r="AEJ77" s="124"/>
      <c r="AEK77" s="124"/>
      <c r="AEL77" s="124"/>
      <c r="AEM77" s="124"/>
      <c r="AEN77" s="124"/>
      <c r="AEO77" s="125"/>
      <c r="AEP77" s="301"/>
      <c r="AEQ77" s="151"/>
      <c r="AER77" s="131">
        <f>SUM(ADP77:AEQ77)</f>
      </c>
      <c r="AES77" s="150">
        <f>XZ77+ZC77+AAF77+ABI77+ACL77+ADO77+AER77</f>
      </c>
      <c r="AET77" s="302">
        <f>(COUNTIF(WX77:AER77,"H")+COUNTIF(WX77:AER77,"S")+COUNTIF(WX77:AER77,"L")+COUNTIF(WX77:AER77,"E")+COUNTIF(WX77:AER77,"C"))/2</f>
      </c>
      <c r="AEU77" s="131">
        <f>AES77+AET77</f>
      </c>
      <c r="AEV77" s="374"/>
      <c r="AEW77" s="375"/>
      <c r="AEX77" s="15"/>
      <c r="AEY77" s="25">
        <v>0.5</v>
      </c>
      <c r="AEZ77" s="25">
        <v>0.5</v>
      </c>
      <c r="AFA77" s="25">
        <v>0.5</v>
      </c>
      <c r="AFB77" s="25">
        <v>0.5</v>
      </c>
      <c r="AFC77" s="25">
        <v>0.5</v>
      </c>
      <c r="AFD77" s="25">
        <v>0.5</v>
      </c>
      <c r="AFE77" s="418">
        <v>0.5</v>
      </c>
      <c r="AFF77" s="421">
        <v>0.5</v>
      </c>
      <c r="AFG77" s="25">
        <v>0.5</v>
      </c>
      <c r="AFH77" s="19"/>
      <c r="AFI77" s="323"/>
      <c r="AFJ77" s="420">
        <v>0.5</v>
      </c>
      <c r="AFK77" s="25">
        <v>0.5</v>
      </c>
      <c r="AFL77" s="25">
        <v>0.5</v>
      </c>
      <c r="AFM77" s="25">
        <v>0.5</v>
      </c>
      <c r="AFN77" s="25">
        <v>0.5</v>
      </c>
      <c r="AFO77" s="25">
        <v>0.5</v>
      </c>
      <c r="AFP77" s="25">
        <v>0.5</v>
      </c>
      <c r="AFQ77" s="19"/>
      <c r="AFR77" s="19"/>
      <c r="AFS77" s="19"/>
      <c r="AFT77" s="19"/>
      <c r="AFU77" s="414"/>
      <c r="AFV77" s="407"/>
      <c r="AFW77" s="408"/>
      <c r="AFX77" s="131">
        <f>SUM(AEV77:AFW77)</f>
      </c>
      <c r="AFY77" s="374"/>
      <c r="AFZ77" s="375"/>
      <c r="AGA77" s="15"/>
      <c r="AGB77" s="25">
        <v>0.5</v>
      </c>
      <c r="AGC77" s="25">
        <v>0.5</v>
      </c>
      <c r="AGD77" s="25">
        <v>0.5</v>
      </c>
      <c r="AGE77" s="25">
        <v>0.5</v>
      </c>
      <c r="AGF77" s="25">
        <v>0.5</v>
      </c>
      <c r="AGG77" s="25">
        <v>0.5</v>
      </c>
      <c r="AGH77" s="418">
        <v>0.5</v>
      </c>
      <c r="AGI77" s="421">
        <v>0.5</v>
      </c>
      <c r="AGJ77" s="25">
        <v>0.5</v>
      </c>
      <c r="AGK77" s="19"/>
      <c r="AGL77" s="323"/>
      <c r="AGM77" s="420">
        <v>0.5</v>
      </c>
      <c r="AGN77" s="25">
        <v>0.5</v>
      </c>
      <c r="AGO77" s="25">
        <v>0.5</v>
      </c>
      <c r="AGP77" s="25">
        <v>0.5</v>
      </c>
      <c r="AGQ77" s="25">
        <v>0.5</v>
      </c>
      <c r="AGR77" s="25">
        <v>0.5</v>
      </c>
      <c r="AGS77" s="25">
        <v>0.5</v>
      </c>
      <c r="AGT77" s="19"/>
      <c r="AGU77" s="19"/>
      <c r="AGV77" s="19"/>
      <c r="AGW77" s="19"/>
      <c r="AGX77" s="414"/>
      <c r="AGY77" s="407"/>
      <c r="AGZ77" s="408"/>
      <c r="AHA77" s="131">
        <f>SUM(AFY77:AGZ77)</f>
      </c>
      <c r="AHB77" s="374"/>
      <c r="AHC77" s="375"/>
      <c r="AHD77" s="15"/>
      <c r="AHE77" s="25">
        <v>0.5</v>
      </c>
      <c r="AHF77" s="25">
        <v>0.5</v>
      </c>
      <c r="AHG77" s="25">
        <v>0.5</v>
      </c>
      <c r="AHH77" s="25">
        <v>0.5</v>
      </c>
      <c r="AHI77" s="25">
        <v>0.5</v>
      </c>
      <c r="AHJ77" s="25">
        <v>0.5</v>
      </c>
      <c r="AHK77" s="418">
        <v>0.5</v>
      </c>
      <c r="AHL77" s="421">
        <v>0.5</v>
      </c>
      <c r="AHM77" s="25">
        <v>0.5</v>
      </c>
      <c r="AHN77" s="19"/>
      <c r="AHO77" s="323"/>
      <c r="AHP77" s="420">
        <v>0.5</v>
      </c>
      <c r="AHQ77" s="25">
        <v>0.5</v>
      </c>
      <c r="AHR77" s="25">
        <v>0.5</v>
      </c>
      <c r="AHS77" s="25">
        <v>0.5</v>
      </c>
      <c r="AHT77" s="25">
        <v>0.5</v>
      </c>
      <c r="AHU77" s="25">
        <v>0.5</v>
      </c>
      <c r="AHV77" s="25">
        <v>0.5</v>
      </c>
      <c r="AHW77" s="19"/>
      <c r="AHX77" s="19"/>
      <c r="AHY77" s="19"/>
      <c r="AHZ77" s="19"/>
      <c r="AIA77" s="414"/>
      <c r="AIB77" s="407"/>
      <c r="AIC77" s="408"/>
      <c r="AID77" s="131">
        <f>SUM(AHB77:AIC77)</f>
      </c>
      <c r="AIE77" s="374"/>
      <c r="AIF77" s="375"/>
      <c r="AIG77" s="15"/>
      <c r="AIH77" s="25">
        <v>0.5</v>
      </c>
      <c r="AII77" s="25">
        <v>0.5</v>
      </c>
      <c r="AIJ77" s="25">
        <v>0.5</v>
      </c>
      <c r="AIK77" s="25">
        <v>0.5</v>
      </c>
      <c r="AIL77" s="25">
        <v>0.5</v>
      </c>
      <c r="AIM77" s="25">
        <v>0.5</v>
      </c>
      <c r="AIN77" s="418">
        <v>0.5</v>
      </c>
      <c r="AIO77" s="421">
        <v>0.5</v>
      </c>
      <c r="AIP77" s="25">
        <v>0.5</v>
      </c>
      <c r="AIQ77" s="19"/>
      <c r="AIR77" s="323"/>
      <c r="AIS77" s="420">
        <v>0.5</v>
      </c>
      <c r="AIT77" s="25">
        <v>0.5</v>
      </c>
      <c r="AIU77" s="25">
        <v>0.5</v>
      </c>
      <c r="AIV77" s="25">
        <v>0.5</v>
      </c>
      <c r="AIW77" s="25">
        <v>0.5</v>
      </c>
      <c r="AIX77" s="25">
        <v>0.5</v>
      </c>
      <c r="AIY77" s="25">
        <v>0.5</v>
      </c>
      <c r="AIZ77" s="19"/>
      <c r="AJA77" s="19"/>
      <c r="AJB77" s="19"/>
      <c r="AJC77" s="19"/>
      <c r="AJD77" s="414"/>
      <c r="AJE77" s="407"/>
      <c r="AJF77" s="408"/>
      <c r="AJG77" s="131">
        <f>SUM(AIE77:AJF77)</f>
      </c>
      <c r="AJH77" s="374"/>
      <c r="AJI77" s="375"/>
      <c r="AJJ77" s="15"/>
      <c r="AJK77" s="25">
        <v>0.5</v>
      </c>
      <c r="AJL77" s="25">
        <v>0.5</v>
      </c>
      <c r="AJM77" s="25">
        <v>0.5</v>
      </c>
      <c r="AJN77" s="25">
        <v>0.5</v>
      </c>
      <c r="AJO77" s="25">
        <v>0.5</v>
      </c>
      <c r="AJP77" s="25">
        <v>0.5</v>
      </c>
      <c r="AJQ77" s="418">
        <v>0.5</v>
      </c>
      <c r="AJR77" s="421">
        <v>0.5</v>
      </c>
      <c r="AJS77" s="25">
        <v>0.5</v>
      </c>
      <c r="AJT77" s="19"/>
      <c r="AJU77" s="323"/>
      <c r="AJV77" s="420">
        <v>0.5</v>
      </c>
      <c r="AJW77" s="25">
        <v>0.5</v>
      </c>
      <c r="AJX77" s="25">
        <v>0.5</v>
      </c>
      <c r="AJY77" s="25">
        <v>0.5</v>
      </c>
      <c r="AJZ77" s="25">
        <v>0.5</v>
      </c>
      <c r="AKA77" s="25">
        <v>0.5</v>
      </c>
      <c r="AKB77" s="25">
        <v>0.5</v>
      </c>
      <c r="AKC77" s="19"/>
      <c r="AKD77" s="19"/>
      <c r="AKE77" s="19"/>
      <c r="AKF77" s="19"/>
      <c r="AKG77" s="414"/>
      <c r="AKH77" s="407"/>
      <c r="AKI77" s="408"/>
      <c r="AKJ77" s="131">
        <f>SUM(AJH77:AKI77)</f>
      </c>
      <c r="AKK77" s="121"/>
      <c r="AKL77" s="122"/>
      <c r="AKM77" s="123"/>
      <c r="AKN77" s="124"/>
      <c r="AKO77" s="124"/>
      <c r="AKP77" s="124"/>
      <c r="AKQ77" s="124"/>
      <c r="AKR77" s="124"/>
      <c r="AKS77" s="124"/>
      <c r="AKT77" s="125"/>
      <c r="AKU77" s="126"/>
      <c r="AKV77" s="124"/>
      <c r="AKW77" s="124"/>
      <c r="AKX77" s="127"/>
      <c r="AKY77" s="123"/>
      <c r="AKZ77" s="124"/>
      <c r="ALA77" s="124"/>
      <c r="ALB77" s="124"/>
      <c r="ALC77" s="124"/>
      <c r="ALD77" s="124"/>
      <c r="ALE77" s="124"/>
      <c r="ALF77" s="124"/>
      <c r="ALG77" s="124"/>
      <c r="ALH77" s="124"/>
      <c r="ALI77" s="124"/>
      <c r="ALJ77" s="125"/>
      <c r="ALK77" s="301"/>
      <c r="ALL77" s="151"/>
      <c r="ALM77" s="131">
        <f>SUM(AKK77:ALL77)</f>
      </c>
      <c r="ALN77" s="121"/>
      <c r="ALO77" s="122"/>
      <c r="ALP77" s="123"/>
      <c r="ALQ77" s="124"/>
      <c r="ALR77" s="124"/>
      <c r="ALS77" s="124"/>
      <c r="ALT77" s="124"/>
      <c r="ALU77" s="124"/>
      <c r="ALV77" s="124"/>
      <c r="ALW77" s="125"/>
      <c r="ALX77" s="126"/>
      <c r="ALY77" s="124"/>
      <c r="ALZ77" s="124"/>
      <c r="AMA77" s="127"/>
      <c r="AMB77" s="123"/>
      <c r="AMC77" s="124"/>
      <c r="AMD77" s="124"/>
      <c r="AME77" s="124"/>
      <c r="AMF77" s="124"/>
      <c r="AMG77" s="124"/>
      <c r="AMH77" s="124"/>
      <c r="AMI77" s="124"/>
      <c r="AMJ77" s="124"/>
      <c r="AMK77" s="124"/>
      <c r="AML77" s="124"/>
      <c r="AMM77" s="125"/>
      <c r="AMN77" s="301"/>
      <c r="AMO77" s="151"/>
      <c r="AMP77" s="131">
        <f>SUM(ALN77:AMO77)</f>
      </c>
      <c r="AMQ77" s="150">
        <f>AFX77+AHA77+AID77+AJG77+AKJ77+ALM77+AMP77</f>
      </c>
      <c r="AMR77" s="302">
        <f>(COUNTIF(AEV77:AMP77,"H")+COUNTIF(AEV77:AMP77,"S")+COUNTIF(AEV77:AMP77,"L")+COUNTIF(AEV77:AMP77,"E")+COUNTIF(AEV77:AMP77,"C"))/2</f>
      </c>
      <c r="AMS77" s="131">
        <f>AMQ77+AMR77</f>
      </c>
      <c r="AMT77" s="4"/>
      <c r="AMU77" s="4"/>
      <c r="AMV77" s="4"/>
      <c r="AMW77" s="4"/>
      <c r="AMX77" s="4"/>
      <c r="AMY77" s="4"/>
      <c r="AMZ77" s="4"/>
      <c r="ANA77" s="4"/>
      <c r="ANB77" s="4"/>
      <c r="ANC77" s="4"/>
      <c r="AND77" s="4"/>
      <c r="ANE77" s="4"/>
      <c r="ANF77" s="4"/>
      <c r="ANG77" s="4"/>
      <c r="ANH77" s="4"/>
      <c r="ANI77" s="4"/>
      <c r="ANJ77" s="13"/>
      <c r="ANK77" s="13"/>
      <c r="ANL77" s="4"/>
      <c r="ANM77" s="4"/>
      <c r="ANN77" s="4"/>
      <c r="ANO77" s="4"/>
      <c r="ANP77" s="4"/>
      <c r="ANQ77" s="4"/>
      <c r="ANR77" s="4"/>
      <c r="ANS77" s="4"/>
      <c r="ANT77" s="4"/>
      <c r="ANU77" s="4"/>
      <c r="ANV77" s="4"/>
      <c r="ANW77" s="4"/>
      <c r="ANX77" s="4"/>
      <c r="ANY77" s="4"/>
      <c r="ANZ77" s="4"/>
      <c r="AOA77" s="4"/>
      <c r="AOB77" s="4"/>
      <c r="AOC77" s="4"/>
      <c r="AOD77" s="4"/>
      <c r="AOE77" s="4"/>
      <c r="AOF77" s="4"/>
      <c r="AOG77" s="4"/>
      <c r="AOH77" s="4"/>
      <c r="AOI77" s="4"/>
      <c r="AOJ77" s="4"/>
      <c r="AOK77" s="4"/>
      <c r="AOL77" s="4"/>
      <c r="AOM77" s="4"/>
      <c r="AON77" s="4"/>
      <c r="AOO77" s="4"/>
      <c r="AOP77" s="4"/>
      <c r="AOQ77" s="4"/>
      <c r="AOR77" s="4"/>
      <c r="AOS77" s="4"/>
      <c r="AOT77" s="4"/>
      <c r="AOU77" s="4"/>
      <c r="AOV77" s="4"/>
      <c r="AOW77" s="4"/>
      <c r="AOX77" s="4"/>
      <c r="AOY77" s="4"/>
      <c r="AOZ77" s="4"/>
      <c r="APA77" s="4"/>
      <c r="APB77" s="4"/>
      <c r="APC77" s="4"/>
      <c r="APD77" s="4"/>
      <c r="APE77" s="4"/>
      <c r="APF77" s="4"/>
      <c r="APG77" s="4"/>
      <c r="APH77" s="4"/>
      <c r="API77" s="4"/>
      <c r="APJ77" s="4"/>
      <c r="APK77" s="4"/>
      <c r="APL77" s="4"/>
      <c r="APM77" s="4"/>
      <c r="APN77" s="4"/>
      <c r="APO77" s="4"/>
      <c r="APP77" s="4"/>
      <c r="APQ77" s="4"/>
      <c r="APR77" s="4"/>
      <c r="APS77" s="4"/>
      <c r="APT77" s="4"/>
      <c r="APU77" s="4"/>
      <c r="APV77" s="4"/>
      <c r="APW77" s="4"/>
      <c r="APX77" s="4"/>
      <c r="APY77" s="4"/>
      <c r="APZ77" s="4"/>
      <c r="AQA77" s="4"/>
      <c r="AQB77" s="4"/>
      <c r="AQC77" s="4"/>
      <c r="AQD77" s="4"/>
      <c r="AQE77" s="4"/>
      <c r="AQF77" s="4"/>
      <c r="AQG77" s="4"/>
      <c r="AQH77" s="4"/>
      <c r="AQI77" s="4"/>
      <c r="AQJ77" s="4"/>
      <c r="AQK77" s="4"/>
      <c r="AQL77" s="4"/>
      <c r="AQM77" s="4"/>
      <c r="AQN77" s="4"/>
      <c r="AQO77" s="4"/>
      <c r="AQP77" s="4"/>
      <c r="AQQ77" s="4"/>
      <c r="AQR77" s="4"/>
      <c r="AQS77" s="4"/>
      <c r="AQT77" s="4"/>
      <c r="AQU77" s="4"/>
      <c r="AQV77" s="4"/>
      <c r="AQW77" s="4"/>
      <c r="AQX77" s="4"/>
      <c r="AQY77" s="4"/>
      <c r="AQZ77" s="4"/>
      <c r="ARA77" s="4"/>
      <c r="ARB77" s="4"/>
      <c r="ARC77" s="4"/>
      <c r="ARD77" s="4"/>
      <c r="ARE77" s="4"/>
      <c r="ARF77" s="4"/>
      <c r="ARG77" s="4"/>
      <c r="ARH77" s="4"/>
      <c r="ARI77" s="4"/>
      <c r="ARJ77" s="4"/>
      <c r="ARK77" s="4"/>
      <c r="ARL77" s="4"/>
      <c r="ARM77" s="4"/>
      <c r="ARN77" s="4"/>
      <c r="ARO77" s="4"/>
      <c r="ARP77" s="4"/>
      <c r="ARQ77" s="4"/>
      <c r="ARR77" s="4"/>
      <c r="ARS77" s="4"/>
      <c r="ART77" s="4"/>
      <c r="ARU77" s="4"/>
      <c r="ARV77" s="4"/>
      <c r="ARW77" s="4"/>
      <c r="ARX77" s="4"/>
      <c r="ARY77" s="4"/>
      <c r="ARZ77" s="4"/>
      <c r="ASA77" s="4"/>
      <c r="ASB77" s="4"/>
      <c r="ASC77" s="4"/>
      <c r="ASD77" s="4"/>
      <c r="ASE77" s="4"/>
      <c r="ASF77" s="4"/>
      <c r="ASG77" s="4"/>
      <c r="ASH77" s="4"/>
      <c r="ASI77" s="4"/>
      <c r="ASJ77" s="4"/>
      <c r="ASK77" s="4"/>
      <c r="ASL77" s="4"/>
      <c r="ASM77" s="4"/>
      <c r="ASN77" s="4"/>
      <c r="ASO77" s="4"/>
      <c r="ASP77" s="4"/>
      <c r="ASQ77" s="4"/>
      <c r="ASR77" s="4"/>
      <c r="ASS77" s="4"/>
      <c r="AST77" s="4"/>
      <c r="ASU77" s="4"/>
    </row>
    <row r="78" ht="15" customHeight="1" spans="1:1191" x14ac:dyDescent="0.25">
      <c r="A78" s="118"/>
      <c r="B78" s="403" t="s">
        <v>116</v>
      </c>
      <c r="C78" s="289" t="s">
        <v>55</v>
      </c>
      <c r="D78" s="121"/>
      <c r="E78" s="122"/>
      <c r="F78" s="123"/>
      <c r="G78" s="124"/>
      <c r="H78" s="124"/>
      <c r="I78" s="124"/>
      <c r="J78" s="124"/>
      <c r="K78" s="124"/>
      <c r="L78" s="124"/>
      <c r="M78" s="125"/>
      <c r="N78" s="126"/>
      <c r="O78" s="124"/>
      <c r="P78" s="124"/>
      <c r="Q78" s="127"/>
      <c r="R78" s="123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5"/>
      <c r="AD78" s="301"/>
      <c r="AE78" s="151"/>
      <c r="AF78" s="131">
        <f>SUM(D78:AE78)</f>
      </c>
      <c r="AG78" s="121"/>
      <c r="AH78" s="122"/>
      <c r="AI78" s="123"/>
      <c r="AJ78" s="124"/>
      <c r="AK78" s="124"/>
      <c r="AL78" s="124"/>
      <c r="AM78" s="124"/>
      <c r="AN78" s="124"/>
      <c r="AO78" s="124"/>
      <c r="AP78" s="125"/>
      <c r="AQ78" s="126"/>
      <c r="AR78" s="124"/>
      <c r="AS78" s="124"/>
      <c r="AT78" s="127"/>
      <c r="AU78" s="123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5"/>
      <c r="BG78" s="301"/>
      <c r="BH78" s="151"/>
      <c r="BI78" s="131">
        <f>SUM(AG78:BH78)</f>
      </c>
      <c r="BJ78" s="121"/>
      <c r="BK78" s="122"/>
      <c r="BL78" s="123"/>
      <c r="BM78" s="124"/>
      <c r="BN78" s="124"/>
      <c r="BO78" s="124"/>
      <c r="BP78" s="124"/>
      <c r="BQ78" s="124"/>
      <c r="BR78" s="124"/>
      <c r="BS78" s="125"/>
      <c r="BT78" s="126"/>
      <c r="BU78" s="124"/>
      <c r="BV78" s="124"/>
      <c r="BW78" s="127"/>
      <c r="BX78" s="123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5"/>
      <c r="CJ78" s="301"/>
      <c r="CK78" s="151"/>
      <c r="CL78" s="131">
        <f>SUM(BJ78:CK78)</f>
      </c>
      <c r="CM78" s="121"/>
      <c r="CN78" s="122"/>
      <c r="CO78" s="123"/>
      <c r="CP78" s="124"/>
      <c r="CQ78" s="124"/>
      <c r="CR78" s="124"/>
      <c r="CS78" s="124"/>
      <c r="CT78" s="124"/>
      <c r="CU78" s="124"/>
      <c r="CV78" s="125"/>
      <c r="CW78" s="126"/>
      <c r="CX78" s="124"/>
      <c r="CY78" s="124"/>
      <c r="CZ78" s="127"/>
      <c r="DA78" s="123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5"/>
      <c r="DM78" s="301"/>
      <c r="DN78" s="151"/>
      <c r="DO78" s="131">
        <f>SUM(CM78:DN78)</f>
      </c>
      <c r="DP78" s="121"/>
      <c r="DQ78" s="122"/>
      <c r="DR78" s="123"/>
      <c r="DS78" s="124"/>
      <c r="DT78" s="124"/>
      <c r="DU78" s="124"/>
      <c r="DV78" s="124"/>
      <c r="DW78" s="124"/>
      <c r="DX78" s="124"/>
      <c r="DY78" s="125"/>
      <c r="DZ78" s="126"/>
      <c r="EA78" s="124"/>
      <c r="EB78" s="124"/>
      <c r="EC78" s="127"/>
      <c r="ED78" s="123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5"/>
      <c r="EP78" s="301"/>
      <c r="EQ78" s="151"/>
      <c r="ER78" s="131">
        <f>SUM(DP78:EQ78)</f>
      </c>
      <c r="ES78" s="121"/>
      <c r="ET78" s="122"/>
      <c r="EU78" s="123"/>
      <c r="EV78" s="124"/>
      <c r="EW78" s="124"/>
      <c r="EX78" s="124"/>
      <c r="EY78" s="124"/>
      <c r="EZ78" s="124"/>
      <c r="FA78" s="124"/>
      <c r="FB78" s="125"/>
      <c r="FC78" s="126"/>
      <c r="FD78" s="124"/>
      <c r="FE78" s="124"/>
      <c r="FF78" s="127"/>
      <c r="FG78" s="123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5"/>
      <c r="FS78" s="301"/>
      <c r="FT78" s="151"/>
      <c r="FU78" s="131">
        <f>SUM(ES78:FT78)</f>
      </c>
      <c r="FV78" s="121"/>
      <c r="FW78" s="122"/>
      <c r="FX78" s="123"/>
      <c r="FY78" s="124"/>
      <c r="FZ78" s="124"/>
      <c r="GA78" s="124"/>
      <c r="GB78" s="124"/>
      <c r="GC78" s="124"/>
      <c r="GD78" s="124"/>
      <c r="GE78" s="125"/>
      <c r="GF78" s="126"/>
      <c r="GG78" s="124"/>
      <c r="GH78" s="124"/>
      <c r="GI78" s="127"/>
      <c r="GJ78" s="123"/>
      <c r="GK78" s="124"/>
      <c r="GL78" s="124"/>
      <c r="GM78" s="124"/>
      <c r="GN78" s="124"/>
      <c r="GO78" s="124"/>
      <c r="GP78" s="124"/>
      <c r="GQ78" s="124"/>
      <c r="GR78" s="124"/>
      <c r="GS78" s="124"/>
      <c r="GT78" s="124"/>
      <c r="GU78" s="125"/>
      <c r="GV78" s="301"/>
      <c r="GW78" s="151"/>
      <c r="GX78" s="131">
        <f>SUM(FV78:GW78)</f>
      </c>
      <c r="GY78" s="150">
        <f>AF78+BI78+CL78+DO78+ER78+FU78+GX78</f>
      </c>
      <c r="GZ78" s="302">
        <f>(COUNTIF(D78:GX78,"H")+COUNTIF(D78:GX78,"S")+COUNTIF(D78:GX78,"L")+COUNTIF(D78:GX78,"E")+COUNTIF(D78:GX78,"C"))/2</f>
      </c>
      <c r="HA78" s="131">
        <f>GY78+GZ78</f>
      </c>
      <c r="HB78" s="374"/>
      <c r="HC78" s="375"/>
      <c r="HD78" s="15"/>
      <c r="HE78" s="17">
        <v>0.5</v>
      </c>
      <c r="HF78" s="17">
        <v>0.5</v>
      </c>
      <c r="HG78" s="17">
        <v>0.5</v>
      </c>
      <c r="HH78" s="17">
        <v>0.5</v>
      </c>
      <c r="HI78" s="17">
        <v>0.5</v>
      </c>
      <c r="HJ78" s="17">
        <v>0.5</v>
      </c>
      <c r="HK78" s="406">
        <v>0.5</v>
      </c>
      <c r="HL78" s="412"/>
      <c r="HM78" s="19"/>
      <c r="HN78" s="143">
        <v>0.5</v>
      </c>
      <c r="HO78" s="340">
        <v>0.5</v>
      </c>
      <c r="HP78" s="339">
        <v>0.5</v>
      </c>
      <c r="HQ78" s="143">
        <v>0.5</v>
      </c>
      <c r="HR78" s="143">
        <v>0.5</v>
      </c>
      <c r="HS78" s="143">
        <v>0.5</v>
      </c>
      <c r="HT78" s="143">
        <v>0.5</v>
      </c>
      <c r="HU78" s="143">
        <v>0.5</v>
      </c>
      <c r="HV78" s="143">
        <v>0.5</v>
      </c>
      <c r="HW78" s="19"/>
      <c r="HX78" s="19"/>
      <c r="HY78" s="19"/>
      <c r="HZ78" s="19"/>
      <c r="IA78" s="414"/>
      <c r="IB78" s="407"/>
      <c r="IC78" s="408"/>
      <c r="ID78" s="131">
        <f>SUM(HB78:IC78)</f>
      </c>
      <c r="IE78" s="374"/>
      <c r="IF78" s="375"/>
      <c r="IG78" s="15"/>
      <c r="IH78" s="17">
        <v>0.5</v>
      </c>
      <c r="II78" s="17">
        <v>0.5</v>
      </c>
      <c r="IJ78" s="17">
        <v>0.5</v>
      </c>
      <c r="IK78" s="17">
        <v>0.5</v>
      </c>
      <c r="IL78" s="17">
        <v>0.5</v>
      </c>
      <c r="IM78" s="17">
        <v>0.5</v>
      </c>
      <c r="IN78" s="406">
        <v>0.5</v>
      </c>
      <c r="IO78" s="412"/>
      <c r="IP78" s="19"/>
      <c r="IQ78" s="143">
        <v>0.5</v>
      </c>
      <c r="IR78" s="340">
        <v>0.5</v>
      </c>
      <c r="IS78" s="339">
        <v>0.5</v>
      </c>
      <c r="IT78" s="143">
        <v>0.5</v>
      </c>
      <c r="IU78" s="143">
        <v>0.5</v>
      </c>
      <c r="IV78" s="143">
        <v>0.5</v>
      </c>
      <c r="IW78" s="143">
        <v>0.5</v>
      </c>
      <c r="IX78" s="143">
        <v>0.5</v>
      </c>
      <c r="IY78" s="143">
        <v>0.5</v>
      </c>
      <c r="IZ78" s="19"/>
      <c r="JA78" s="19"/>
      <c r="JB78" s="19"/>
      <c r="JC78" s="19"/>
      <c r="JD78" s="414"/>
      <c r="JE78" s="407"/>
      <c r="JF78" s="408"/>
      <c r="JG78" s="131">
        <f>SUM(IE78:JF78)</f>
      </c>
      <c r="JH78" s="374"/>
      <c r="JI78" s="375"/>
      <c r="JJ78" s="15"/>
      <c r="JK78" s="17">
        <v>0.5</v>
      </c>
      <c r="JL78" s="17">
        <v>0.5</v>
      </c>
      <c r="JM78" s="17">
        <v>0.5</v>
      </c>
      <c r="JN78" s="17">
        <v>0.5</v>
      </c>
      <c r="JO78" s="17">
        <v>0.5</v>
      </c>
      <c r="JP78" s="17">
        <v>0.5</v>
      </c>
      <c r="JQ78" s="406">
        <v>0.5</v>
      </c>
      <c r="JR78" s="412"/>
      <c r="JS78" s="19"/>
      <c r="JT78" s="143">
        <v>0.5</v>
      </c>
      <c r="JU78" s="340">
        <v>0.5</v>
      </c>
      <c r="JV78" s="339">
        <v>0.5</v>
      </c>
      <c r="JW78" s="143">
        <v>0.5</v>
      </c>
      <c r="JX78" s="143">
        <v>0.5</v>
      </c>
      <c r="JY78" s="143">
        <v>0.5</v>
      </c>
      <c r="JZ78" s="143">
        <v>0.5</v>
      </c>
      <c r="KA78" s="143">
        <v>0.5</v>
      </c>
      <c r="KB78" s="143">
        <v>0.5</v>
      </c>
      <c r="KC78" s="19"/>
      <c r="KD78" s="19"/>
      <c r="KE78" s="19"/>
      <c r="KF78" s="19"/>
      <c r="KG78" s="414"/>
      <c r="KH78" s="407"/>
      <c r="KI78" s="408"/>
      <c r="KJ78" s="131">
        <f>SUM(JH78:KI78)</f>
      </c>
      <c r="KK78" s="374"/>
      <c r="KL78" s="375"/>
      <c r="KM78" s="15"/>
      <c r="KN78" s="17">
        <v>0.5</v>
      </c>
      <c r="KO78" s="17">
        <v>0.5</v>
      </c>
      <c r="KP78" s="17">
        <v>0.5</v>
      </c>
      <c r="KQ78" s="17">
        <v>0.5</v>
      </c>
      <c r="KR78" s="17">
        <v>0.5</v>
      </c>
      <c r="KS78" s="17">
        <v>0.5</v>
      </c>
      <c r="KT78" s="406">
        <v>0.5</v>
      </c>
      <c r="KU78" s="412"/>
      <c r="KV78" s="19"/>
      <c r="KW78" s="143">
        <v>0.5</v>
      </c>
      <c r="KX78" s="340">
        <v>0.5</v>
      </c>
      <c r="KY78" s="339">
        <v>0.5</v>
      </c>
      <c r="KZ78" s="143">
        <v>0.5</v>
      </c>
      <c r="LA78" s="143">
        <v>0.5</v>
      </c>
      <c r="LB78" s="143">
        <v>0.5</v>
      </c>
      <c r="LC78" s="143">
        <v>0.5</v>
      </c>
      <c r="LD78" s="143">
        <v>0.5</v>
      </c>
      <c r="LE78" s="143">
        <v>0.5</v>
      </c>
      <c r="LF78" s="19"/>
      <c r="LG78" s="19"/>
      <c r="LH78" s="19"/>
      <c r="LI78" s="19"/>
      <c r="LJ78" s="414"/>
      <c r="LK78" s="407"/>
      <c r="LL78" s="408"/>
      <c r="LM78" s="131">
        <f>SUM(KK78:LL78)</f>
      </c>
      <c r="LN78" s="374"/>
      <c r="LO78" s="375"/>
      <c r="LP78" s="15"/>
      <c r="LQ78" s="17">
        <v>0.5</v>
      </c>
      <c r="LR78" s="17">
        <v>0.5</v>
      </c>
      <c r="LS78" s="17">
        <v>0.5</v>
      </c>
      <c r="LT78" s="17">
        <v>0.5</v>
      </c>
      <c r="LU78" s="17">
        <v>0.5</v>
      </c>
      <c r="LV78" s="17">
        <v>0.5</v>
      </c>
      <c r="LW78" s="406">
        <v>0.5</v>
      </c>
      <c r="LX78" s="412"/>
      <c r="LY78" s="19"/>
      <c r="LZ78" s="143">
        <v>0.5</v>
      </c>
      <c r="MA78" s="340">
        <v>0.5</v>
      </c>
      <c r="MB78" s="339">
        <v>0.5</v>
      </c>
      <c r="MC78" s="143">
        <v>0.5</v>
      </c>
      <c r="MD78" s="143">
        <v>0.5</v>
      </c>
      <c r="ME78" s="143">
        <v>0.5</v>
      </c>
      <c r="MF78" s="143">
        <v>0.5</v>
      </c>
      <c r="MG78" s="143">
        <v>0.5</v>
      </c>
      <c r="MH78" s="143">
        <v>0.5</v>
      </c>
      <c r="MI78" s="19"/>
      <c r="MJ78" s="19"/>
      <c r="MK78" s="19"/>
      <c r="ML78" s="19"/>
      <c r="MM78" s="414"/>
      <c r="MN78" s="407"/>
      <c r="MO78" s="408"/>
      <c r="MP78" s="131">
        <f>SUM(LN78:MO78)</f>
      </c>
      <c r="MQ78" s="121"/>
      <c r="MR78" s="122"/>
      <c r="MS78" s="123"/>
      <c r="MT78" s="124"/>
      <c r="MU78" s="124"/>
      <c r="MV78" s="124"/>
      <c r="MW78" s="124"/>
      <c r="MX78" s="124"/>
      <c r="MY78" s="124"/>
      <c r="MZ78" s="125"/>
      <c r="NA78" s="126"/>
      <c r="NB78" s="124"/>
      <c r="NC78" s="124"/>
      <c r="ND78" s="127"/>
      <c r="NE78" s="123"/>
      <c r="NF78" s="124"/>
      <c r="NG78" s="124"/>
      <c r="NH78" s="124"/>
      <c r="NI78" s="124"/>
      <c r="NJ78" s="124"/>
      <c r="NK78" s="124"/>
      <c r="NL78" s="124"/>
      <c r="NM78" s="124"/>
      <c r="NN78" s="124"/>
      <c r="NO78" s="124"/>
      <c r="NP78" s="125"/>
      <c r="NQ78" s="301"/>
      <c r="NR78" s="151"/>
      <c r="NS78" s="131">
        <f>SUM(MQ78:NR78)</f>
      </c>
      <c r="NT78" s="121"/>
      <c r="NU78" s="122"/>
      <c r="NV78" s="123"/>
      <c r="NW78" s="124"/>
      <c r="NX78" s="124"/>
      <c r="NY78" s="124"/>
      <c r="NZ78" s="124"/>
      <c r="OA78" s="124"/>
      <c r="OB78" s="124"/>
      <c r="OC78" s="125"/>
      <c r="OD78" s="126"/>
      <c r="OE78" s="124"/>
      <c r="OF78" s="124"/>
      <c r="OG78" s="127"/>
      <c r="OH78" s="123"/>
      <c r="OI78" s="124"/>
      <c r="OJ78" s="124"/>
      <c r="OK78" s="124"/>
      <c r="OL78" s="124"/>
      <c r="OM78" s="124"/>
      <c r="ON78" s="124"/>
      <c r="OO78" s="124"/>
      <c r="OP78" s="124"/>
      <c r="OQ78" s="124"/>
      <c r="OR78" s="124"/>
      <c r="OS78" s="125"/>
      <c r="OT78" s="301"/>
      <c r="OU78" s="151"/>
      <c r="OV78" s="131">
        <f>SUM(NT78:OU78)</f>
      </c>
      <c r="OW78" s="150">
        <f>ID78+JG78+KJ78+LM78+MP78+NS78+OV78</f>
      </c>
      <c r="OX78" s="302">
        <f>(COUNTIF(HB78:OV78,"H")+COUNTIF(HB78:OV78,"S")+COUNTIF(HB78:OV78,"L")+COUNTIF(HB78:OV78,"E")+COUNTIF(HB78:OV78,"C"))/2</f>
      </c>
      <c r="OY78" s="131">
        <f>OW78+OX78</f>
      </c>
      <c r="OZ78" s="374"/>
      <c r="PA78" s="375"/>
      <c r="PB78" s="15"/>
      <c r="PC78" s="26" t="s">
        <v>9</v>
      </c>
      <c r="PD78" s="26" t="s">
        <v>9</v>
      </c>
      <c r="PE78" s="26" t="s">
        <v>9</v>
      </c>
      <c r="PF78" s="26" t="s">
        <v>9</v>
      </c>
      <c r="PG78" s="26" t="s">
        <v>9</v>
      </c>
      <c r="PH78" s="143">
        <v>0.5</v>
      </c>
      <c r="PI78" s="154">
        <v>0.5</v>
      </c>
      <c r="PJ78" s="412"/>
      <c r="PK78" s="19"/>
      <c r="PL78" s="143">
        <v>0.5</v>
      </c>
      <c r="PM78" s="340">
        <v>0.5</v>
      </c>
      <c r="PN78" s="339">
        <v>0.5</v>
      </c>
      <c r="PO78" s="143">
        <v>0.5</v>
      </c>
      <c r="PP78" s="143">
        <v>0.5</v>
      </c>
      <c r="PQ78" s="143">
        <v>0.5</v>
      </c>
      <c r="PR78" s="143">
        <v>0.5</v>
      </c>
      <c r="PS78" s="143">
        <v>0.5</v>
      </c>
      <c r="PT78" s="143">
        <v>0.5</v>
      </c>
      <c r="PU78" s="19"/>
      <c r="PV78" s="19"/>
      <c r="PW78" s="19"/>
      <c r="PX78" s="19"/>
      <c r="PY78" s="414"/>
      <c r="PZ78" s="407"/>
      <c r="QA78" s="408"/>
      <c r="QB78" s="131">
        <f>SUM(OZ78:QA78)</f>
      </c>
      <c r="QC78" s="374"/>
      <c r="QD78" s="375"/>
      <c r="QE78" s="15"/>
      <c r="QF78" s="17">
        <v>0.5</v>
      </c>
      <c r="QG78" s="17">
        <v>0.5</v>
      </c>
      <c r="QH78" s="17">
        <v>0.5</v>
      </c>
      <c r="QI78" s="17">
        <v>0.5</v>
      </c>
      <c r="QJ78" s="17">
        <v>0.5</v>
      </c>
      <c r="QK78" s="17">
        <v>0.5</v>
      </c>
      <c r="QL78" s="406">
        <v>0.5</v>
      </c>
      <c r="QM78" s="432">
        <v>0.5</v>
      </c>
      <c r="QN78" s="17">
        <v>0.5</v>
      </c>
      <c r="QO78" s="19"/>
      <c r="QP78" s="323"/>
      <c r="QQ78" s="339">
        <v>0.5</v>
      </c>
      <c r="QR78" s="143">
        <v>0.5</v>
      </c>
      <c r="QS78" s="143">
        <v>0.5</v>
      </c>
      <c r="QT78" s="143">
        <v>0.5</v>
      </c>
      <c r="QU78" s="143">
        <v>0.5</v>
      </c>
      <c r="QV78" s="143">
        <v>0.5</v>
      </c>
      <c r="QW78" s="143">
        <v>0.5</v>
      </c>
      <c r="QX78" s="19"/>
      <c r="QY78" s="19"/>
      <c r="QZ78" s="19"/>
      <c r="RA78" s="19"/>
      <c r="RB78" s="414"/>
      <c r="RC78" s="407"/>
      <c r="RD78" s="408"/>
      <c r="RE78" s="131">
        <f>SUM(QC78:RD78)</f>
      </c>
      <c r="RF78" s="374"/>
      <c r="RG78" s="375"/>
      <c r="RH78" s="15"/>
      <c r="RI78" s="17">
        <v>0.5</v>
      </c>
      <c r="RJ78" s="17">
        <v>0.5</v>
      </c>
      <c r="RK78" s="17">
        <v>0.5</v>
      </c>
      <c r="RL78" s="17">
        <v>0.5</v>
      </c>
      <c r="RM78" s="17">
        <v>0.5</v>
      </c>
      <c r="RN78" s="17">
        <v>0.5</v>
      </c>
      <c r="RO78" s="406">
        <v>0.5</v>
      </c>
      <c r="RP78" s="432">
        <v>0.5</v>
      </c>
      <c r="RQ78" s="17">
        <v>0.5</v>
      </c>
      <c r="RR78" s="19"/>
      <c r="RS78" s="323"/>
      <c r="RT78" s="339">
        <v>0.5</v>
      </c>
      <c r="RU78" s="143">
        <v>0.5</v>
      </c>
      <c r="RV78" s="143">
        <v>0.5</v>
      </c>
      <c r="RW78" s="143">
        <v>0.5</v>
      </c>
      <c r="RX78" s="143">
        <v>0.5</v>
      </c>
      <c r="RY78" s="143">
        <v>0.5</v>
      </c>
      <c r="RZ78" s="143">
        <v>0.5</v>
      </c>
      <c r="SA78" s="19"/>
      <c r="SB78" s="19"/>
      <c r="SC78" s="19"/>
      <c r="SD78" s="19"/>
      <c r="SE78" s="414"/>
      <c r="SF78" s="407"/>
      <c r="SG78" s="408"/>
      <c r="SH78" s="131">
        <f>SUM(RF78:SG78)</f>
      </c>
      <c r="SI78" s="374"/>
      <c r="SJ78" s="375"/>
      <c r="SK78" s="15"/>
      <c r="SL78" s="17">
        <v>0.5</v>
      </c>
      <c r="SM78" s="17">
        <v>0.5</v>
      </c>
      <c r="SN78" s="17">
        <v>0.5</v>
      </c>
      <c r="SO78" s="17">
        <v>0.5</v>
      </c>
      <c r="SP78" s="17">
        <v>0.5</v>
      </c>
      <c r="SQ78" s="17">
        <v>0.5</v>
      </c>
      <c r="SR78" s="406">
        <v>0.5</v>
      </c>
      <c r="SS78" s="432">
        <v>0.5</v>
      </c>
      <c r="ST78" s="17">
        <v>0.5</v>
      </c>
      <c r="SU78" s="19"/>
      <c r="SV78" s="323"/>
      <c r="SW78" s="339">
        <v>0.5</v>
      </c>
      <c r="SX78" s="143">
        <v>0.5</v>
      </c>
      <c r="SY78" s="143">
        <v>0.5</v>
      </c>
      <c r="SZ78" s="143">
        <v>0.5</v>
      </c>
      <c r="TA78" s="143">
        <v>0.5</v>
      </c>
      <c r="TB78" s="143">
        <v>0.5</v>
      </c>
      <c r="TC78" s="143">
        <v>0.5</v>
      </c>
      <c r="TD78" s="19"/>
      <c r="TE78" s="19"/>
      <c r="TF78" s="19"/>
      <c r="TG78" s="19"/>
      <c r="TH78" s="414"/>
      <c r="TI78" s="407"/>
      <c r="TJ78" s="408"/>
      <c r="TK78" s="131">
        <f>SUM(SI78:TJ78)</f>
      </c>
      <c r="TL78" s="374"/>
      <c r="TM78" s="375"/>
      <c r="TN78" s="15"/>
      <c r="TO78" s="17">
        <v>0.5</v>
      </c>
      <c r="TP78" s="17">
        <v>0.5</v>
      </c>
      <c r="TQ78" s="17">
        <v>0.5</v>
      </c>
      <c r="TR78" s="17">
        <v>0.5</v>
      </c>
      <c r="TS78" s="17">
        <v>0.5</v>
      </c>
      <c r="TT78" s="17">
        <v>0.5</v>
      </c>
      <c r="TU78" s="406">
        <v>0.5</v>
      </c>
      <c r="TV78" s="432">
        <v>0.5</v>
      </c>
      <c r="TW78" s="17">
        <v>0.5</v>
      </c>
      <c r="TX78" s="19"/>
      <c r="TY78" s="323"/>
      <c r="TZ78" s="339">
        <v>0.5</v>
      </c>
      <c r="UA78" s="143">
        <v>0.5</v>
      </c>
      <c r="UB78" s="143">
        <v>0.5</v>
      </c>
      <c r="UC78" s="143">
        <v>0.5</v>
      </c>
      <c r="UD78" s="143">
        <v>0.5</v>
      </c>
      <c r="UE78" s="143">
        <v>0.5</v>
      </c>
      <c r="UF78" s="143">
        <v>0.5</v>
      </c>
      <c r="UG78" s="19"/>
      <c r="UH78" s="19"/>
      <c r="UI78" s="19"/>
      <c r="UJ78" s="19"/>
      <c r="UK78" s="414"/>
      <c r="UL78" s="407"/>
      <c r="UM78" s="408"/>
      <c r="UN78" s="131">
        <f>SUM(TL78:UM78)</f>
      </c>
      <c r="UO78" s="121"/>
      <c r="UP78" s="122"/>
      <c r="UQ78" s="123"/>
      <c r="UR78" s="124"/>
      <c r="US78" s="124"/>
      <c r="UT78" s="124"/>
      <c r="UU78" s="124"/>
      <c r="UV78" s="124"/>
      <c r="UW78" s="124"/>
      <c r="UX78" s="125"/>
      <c r="UY78" s="126"/>
      <c r="UZ78" s="124"/>
      <c r="VA78" s="124"/>
      <c r="VB78" s="127"/>
      <c r="VC78" s="123"/>
      <c r="VD78" s="124"/>
      <c r="VE78" s="124"/>
      <c r="VF78" s="124"/>
      <c r="VG78" s="124"/>
      <c r="VH78" s="124"/>
      <c r="VI78" s="124"/>
      <c r="VJ78" s="124"/>
      <c r="VK78" s="124"/>
      <c r="VL78" s="124"/>
      <c r="VM78" s="124"/>
      <c r="VN78" s="125"/>
      <c r="VO78" s="301"/>
      <c r="VP78" s="151"/>
      <c r="VQ78" s="131">
        <f>SUM(UO78:VP78)</f>
      </c>
      <c r="VR78" s="121"/>
      <c r="VS78" s="122"/>
      <c r="VT78" s="123"/>
      <c r="VU78" s="124"/>
      <c r="VV78" s="124"/>
      <c r="VW78" s="124"/>
      <c r="VX78" s="124"/>
      <c r="VY78" s="124"/>
      <c r="VZ78" s="124"/>
      <c r="WA78" s="125"/>
      <c r="WB78" s="126"/>
      <c r="WC78" s="124"/>
      <c r="WD78" s="124"/>
      <c r="WE78" s="127"/>
      <c r="WF78" s="123"/>
      <c r="WG78" s="124"/>
      <c r="WH78" s="124"/>
      <c r="WI78" s="124"/>
      <c r="WJ78" s="124"/>
      <c r="WK78" s="124"/>
      <c r="WL78" s="124"/>
      <c r="WM78" s="124"/>
      <c r="WN78" s="124"/>
      <c r="WO78" s="124"/>
      <c r="WP78" s="124"/>
      <c r="WQ78" s="125"/>
      <c r="WR78" s="301"/>
      <c r="WS78" s="151"/>
      <c r="WT78" s="131">
        <f>SUM(VR78:WS78)</f>
      </c>
      <c r="WU78" s="150">
        <f>QB78+RE78+SH78+TK78+UN78+VQ78+WT78</f>
      </c>
      <c r="WV78" s="302">
        <f>(COUNTIF(OZ78:WT78,"H")+COUNTIF(OZ78:WT78,"S")+COUNTIF(OZ78:WT78,"L")+COUNTIF(OZ78:WT78,"E")+COUNTIF(OZ78:WT78,"C"))/2</f>
      </c>
      <c r="WW78" s="131">
        <f>WU78+WV78</f>
      </c>
      <c r="WX78" s="374"/>
      <c r="WY78" s="375"/>
      <c r="WZ78" s="15"/>
      <c r="XA78" s="307">
        <v>0.5</v>
      </c>
      <c r="XB78" s="307">
        <v>0.5</v>
      </c>
      <c r="XC78" s="307">
        <v>0.5</v>
      </c>
      <c r="XD78" s="307">
        <v>0.5</v>
      </c>
      <c r="XE78" s="307">
        <v>0.5</v>
      </c>
      <c r="XF78" s="307">
        <v>0.5</v>
      </c>
      <c r="XG78" s="314">
        <v>0.5</v>
      </c>
      <c r="XH78" s="319">
        <v>0.5</v>
      </c>
      <c r="XI78" s="307">
        <v>0.5</v>
      </c>
      <c r="XJ78" s="307">
        <v>0.5</v>
      </c>
      <c r="XK78" s="416">
        <v>0.5</v>
      </c>
      <c r="XL78" s="313">
        <v>0.5</v>
      </c>
      <c r="XM78" s="308">
        <v>0.5</v>
      </c>
      <c r="XN78" s="308">
        <v>0.5</v>
      </c>
      <c r="XO78" s="308">
        <v>0.5</v>
      </c>
      <c r="XP78" s="308">
        <v>0.5</v>
      </c>
      <c r="XQ78" s="308">
        <v>0.5</v>
      </c>
      <c r="XR78" s="308">
        <v>0.5</v>
      </c>
      <c r="XS78" s="308">
        <v>0.5</v>
      </c>
      <c r="XT78" s="308">
        <v>0.5</v>
      </c>
      <c r="XU78" s="308">
        <v>0.5</v>
      </c>
      <c r="XV78" s="308">
        <v>0.5</v>
      </c>
      <c r="XW78" s="309">
        <v>0.5</v>
      </c>
      <c r="XX78" s="407"/>
      <c r="XY78" s="408"/>
      <c r="XZ78" s="131">
        <f>SUM(WX78:XY78)</f>
      </c>
      <c r="YA78" s="374"/>
      <c r="YB78" s="375"/>
      <c r="YC78" s="15"/>
      <c r="YD78" s="308">
        <v>0.5</v>
      </c>
      <c r="YE78" s="308">
        <v>0.5</v>
      </c>
      <c r="YF78" s="308">
        <v>0.5</v>
      </c>
      <c r="YG78" s="308">
        <v>0.5</v>
      </c>
      <c r="YH78" s="308">
        <v>0.5</v>
      </c>
      <c r="YI78" s="308">
        <v>0.5</v>
      </c>
      <c r="YJ78" s="309">
        <v>0.5</v>
      </c>
      <c r="YK78" s="412"/>
      <c r="YL78" s="19"/>
      <c r="YM78" s="308">
        <v>0.5</v>
      </c>
      <c r="YN78" s="312">
        <v>0.5</v>
      </c>
      <c r="YO78" s="313">
        <v>0.5</v>
      </c>
      <c r="YP78" s="308">
        <v>0.5</v>
      </c>
      <c r="YQ78" s="308">
        <v>0.5</v>
      </c>
      <c r="YR78" s="308">
        <v>0.5</v>
      </c>
      <c r="YS78" s="308">
        <v>0.5</v>
      </c>
      <c r="YT78" s="308">
        <v>0.5</v>
      </c>
      <c r="YU78" s="308">
        <v>0.5</v>
      </c>
      <c r="YV78" s="308">
        <v>0.5</v>
      </c>
      <c r="YW78" s="308">
        <v>0.5</v>
      </c>
      <c r="YX78" s="19"/>
      <c r="YY78" s="19"/>
      <c r="YZ78" s="414"/>
      <c r="ZA78" s="407"/>
      <c r="ZB78" s="408"/>
      <c r="ZC78" s="131">
        <f>SUM(YA78:ZB78)</f>
      </c>
      <c r="ZD78" s="374"/>
      <c r="ZE78" s="375"/>
      <c r="ZF78" s="15"/>
      <c r="ZG78" s="308">
        <v>0.5</v>
      </c>
      <c r="ZH78" s="308">
        <v>0.5</v>
      </c>
      <c r="ZI78" s="308">
        <v>0.5</v>
      </c>
      <c r="ZJ78" s="308">
        <v>0.5</v>
      </c>
      <c r="ZK78" s="308">
        <v>0.5</v>
      </c>
      <c r="ZL78" s="308">
        <v>0.5</v>
      </c>
      <c r="ZM78" s="309">
        <v>0.5</v>
      </c>
      <c r="ZN78" s="412"/>
      <c r="ZO78" s="19"/>
      <c r="ZP78" s="308">
        <v>0.5</v>
      </c>
      <c r="ZQ78" s="312">
        <v>0.5</v>
      </c>
      <c r="ZR78" s="313">
        <v>0.5</v>
      </c>
      <c r="ZS78" s="308">
        <v>0.5</v>
      </c>
      <c r="ZT78" s="308">
        <v>0.5</v>
      </c>
      <c r="ZU78" s="308">
        <v>0.5</v>
      </c>
      <c r="ZV78" s="308">
        <v>0.5</v>
      </c>
      <c r="ZW78" s="308">
        <v>0.5</v>
      </c>
      <c r="ZX78" s="308">
        <v>0.5</v>
      </c>
      <c r="ZY78" s="308">
        <v>0.5</v>
      </c>
      <c r="ZZ78" s="308">
        <v>0.5</v>
      </c>
      <c r="AAA78" s="19"/>
      <c r="AAB78" s="19"/>
      <c r="AAC78" s="414"/>
      <c r="AAD78" s="407"/>
      <c r="AAE78" s="408"/>
      <c r="AAF78" s="131">
        <f>SUM(ZD78:AAE78)</f>
      </c>
      <c r="AAG78" s="374"/>
      <c r="AAH78" s="375"/>
      <c r="AAI78" s="15"/>
      <c r="AAJ78" s="308">
        <v>0.5</v>
      </c>
      <c r="AAK78" s="308">
        <v>0.5</v>
      </c>
      <c r="AAL78" s="308">
        <v>0.5</v>
      </c>
      <c r="AAM78" s="308">
        <v>0.5</v>
      </c>
      <c r="AAN78" s="308">
        <v>0.5</v>
      </c>
      <c r="AAO78" s="308">
        <v>0.5</v>
      </c>
      <c r="AAP78" s="309">
        <v>0.5</v>
      </c>
      <c r="AAQ78" s="320">
        <v>0.5</v>
      </c>
      <c r="AAR78" s="308">
        <v>0.5</v>
      </c>
      <c r="AAS78" s="307">
        <v>0.5</v>
      </c>
      <c r="AAT78" s="416">
        <v>0.5</v>
      </c>
      <c r="AAU78" s="306">
        <v>0.5</v>
      </c>
      <c r="AAV78" s="307">
        <v>0.5</v>
      </c>
      <c r="AAW78" s="307">
        <v>0.5</v>
      </c>
      <c r="AAX78" s="307">
        <v>0.5</v>
      </c>
      <c r="AAY78" s="307">
        <v>0.5</v>
      </c>
      <c r="AAZ78" s="307">
        <v>0.5</v>
      </c>
      <c r="ABA78" s="307">
        <v>0.5</v>
      </c>
      <c r="ABB78" s="307">
        <v>0.5</v>
      </c>
      <c r="ABC78" s="307">
        <v>0.5</v>
      </c>
      <c r="ABD78" s="307">
        <v>0.5</v>
      </c>
      <c r="ABE78" s="19"/>
      <c r="ABF78" s="414"/>
      <c r="ABG78" s="407"/>
      <c r="ABH78" s="408"/>
      <c r="ABI78" s="131">
        <f>SUM(AAG78:ABH78)</f>
      </c>
      <c r="ABJ78" s="374"/>
      <c r="ABK78" s="375"/>
      <c r="ABL78" s="15"/>
      <c r="ABM78" s="19"/>
      <c r="ABN78" s="19"/>
      <c r="ABO78" s="19"/>
      <c r="ABP78" s="19"/>
      <c r="ABQ78" s="19"/>
      <c r="ABR78" s="19"/>
      <c r="ABS78" s="414"/>
      <c r="ABT78" s="412"/>
      <c r="ABU78" s="19"/>
      <c r="ABV78" s="19"/>
      <c r="ABW78" s="323"/>
      <c r="ABX78" s="15"/>
      <c r="ABY78" s="19"/>
      <c r="ABZ78" s="19"/>
      <c r="ACA78" s="19"/>
      <c r="ACB78" s="19"/>
      <c r="ACC78" s="19"/>
      <c r="ACD78" s="19"/>
      <c r="ACE78" s="19"/>
      <c r="ACF78" s="19"/>
      <c r="ACG78" s="19"/>
      <c r="ACH78" s="19"/>
      <c r="ACI78" s="414"/>
      <c r="ACJ78" s="407"/>
      <c r="ACK78" s="408"/>
      <c r="ACL78" s="131">
        <f>SUM(ABJ78:ACK78)</f>
      </c>
      <c r="ACM78" s="121"/>
      <c r="ACN78" s="122"/>
      <c r="ACO78" s="123"/>
      <c r="ACP78" s="124"/>
      <c r="ACQ78" s="124"/>
      <c r="ACR78" s="124"/>
      <c r="ACS78" s="124"/>
      <c r="ACT78" s="124"/>
      <c r="ACU78" s="124"/>
      <c r="ACV78" s="125"/>
      <c r="ACW78" s="126"/>
      <c r="ACX78" s="124"/>
      <c r="ACY78" s="124"/>
      <c r="ACZ78" s="127"/>
      <c r="ADA78" s="123"/>
      <c r="ADB78" s="124"/>
      <c r="ADC78" s="124"/>
      <c r="ADD78" s="124"/>
      <c r="ADE78" s="124"/>
      <c r="ADF78" s="124"/>
      <c r="ADG78" s="124"/>
      <c r="ADH78" s="124"/>
      <c r="ADI78" s="124"/>
      <c r="ADJ78" s="124"/>
      <c r="ADK78" s="124"/>
      <c r="ADL78" s="125"/>
      <c r="ADM78" s="301"/>
      <c r="ADN78" s="151"/>
      <c r="ADO78" s="131">
        <f>SUM(ACM78:ADN78)</f>
      </c>
      <c r="ADP78" s="121"/>
      <c r="ADQ78" s="122"/>
      <c r="ADR78" s="123"/>
      <c r="ADS78" s="124"/>
      <c r="ADT78" s="124"/>
      <c r="ADU78" s="124"/>
      <c r="ADV78" s="124"/>
      <c r="ADW78" s="124"/>
      <c r="ADX78" s="124"/>
      <c r="ADY78" s="125"/>
      <c r="ADZ78" s="126"/>
      <c r="AEA78" s="124"/>
      <c r="AEB78" s="124"/>
      <c r="AEC78" s="127"/>
      <c r="AED78" s="123"/>
      <c r="AEE78" s="124"/>
      <c r="AEF78" s="124"/>
      <c r="AEG78" s="124"/>
      <c r="AEH78" s="124"/>
      <c r="AEI78" s="124"/>
      <c r="AEJ78" s="124"/>
      <c r="AEK78" s="124"/>
      <c r="AEL78" s="124"/>
      <c r="AEM78" s="124"/>
      <c r="AEN78" s="124"/>
      <c r="AEO78" s="125"/>
      <c r="AEP78" s="301"/>
      <c r="AEQ78" s="151"/>
      <c r="AER78" s="131">
        <f>SUM(ADP78:AEQ78)</f>
      </c>
      <c r="AES78" s="150">
        <f>XZ78+ZC78+AAF78+ABI78+ACL78+ADO78+AER78</f>
      </c>
      <c r="AET78" s="302">
        <f>(COUNTIF(WX78:AER78,"H")+COUNTIF(WX78:AER78,"S")+COUNTIF(WX78:AER78,"L")+COUNTIF(WX78:AER78,"E")+COUNTIF(WX78:AER78,"C"))/2</f>
      </c>
      <c r="AEU78" s="131">
        <f>AES78+AET78</f>
      </c>
      <c r="AEV78" s="374"/>
      <c r="AEW78" s="375"/>
      <c r="AEX78" s="15"/>
      <c r="AEY78" s="17">
        <v>0.5</v>
      </c>
      <c r="AEZ78" s="17">
        <v>0.5</v>
      </c>
      <c r="AFA78" s="17">
        <v>0.5</v>
      </c>
      <c r="AFB78" s="17">
        <v>0.5</v>
      </c>
      <c r="AFC78" s="17">
        <v>0.5</v>
      </c>
      <c r="AFD78" s="17">
        <v>0.5</v>
      </c>
      <c r="AFE78" s="406">
        <v>0.5</v>
      </c>
      <c r="AFF78" s="432">
        <v>0.5</v>
      </c>
      <c r="AFG78" s="17">
        <v>0.5</v>
      </c>
      <c r="AFH78" s="19"/>
      <c r="AFI78" s="323"/>
      <c r="AFJ78" s="339">
        <v>0.5</v>
      </c>
      <c r="AFK78" s="143">
        <v>0.5</v>
      </c>
      <c r="AFL78" s="143">
        <v>0.5</v>
      </c>
      <c r="AFM78" s="143">
        <v>0.5</v>
      </c>
      <c r="AFN78" s="143">
        <v>0.5</v>
      </c>
      <c r="AFO78" s="26" t="s">
        <v>9</v>
      </c>
      <c r="AFP78" s="26" t="s">
        <v>9</v>
      </c>
      <c r="AFQ78" s="19"/>
      <c r="AFR78" s="19"/>
      <c r="AFS78" s="19"/>
      <c r="AFT78" s="19"/>
      <c r="AFU78" s="414"/>
      <c r="AFV78" s="407"/>
      <c r="AFW78" s="408"/>
      <c r="AFX78" s="131">
        <f>SUM(AEV78:AFW78)</f>
      </c>
      <c r="AFY78" s="374"/>
      <c r="AFZ78" s="375"/>
      <c r="AGA78" s="15"/>
      <c r="AGB78" s="17">
        <v>0.5</v>
      </c>
      <c r="AGC78" s="17">
        <v>0.5</v>
      </c>
      <c r="AGD78" s="17">
        <v>0.5</v>
      </c>
      <c r="AGE78" s="17">
        <v>0.5</v>
      </c>
      <c r="AGF78" s="17">
        <v>0.5</v>
      </c>
      <c r="AGG78" s="17">
        <v>0.5</v>
      </c>
      <c r="AGH78" s="406">
        <v>0.5</v>
      </c>
      <c r="AGI78" s="432">
        <v>0.5</v>
      </c>
      <c r="AGJ78" s="17">
        <v>0.5</v>
      </c>
      <c r="AGK78" s="19"/>
      <c r="AGL78" s="323"/>
      <c r="AGM78" s="339">
        <v>0.5</v>
      </c>
      <c r="AGN78" s="143">
        <v>0.5</v>
      </c>
      <c r="AGO78" s="143">
        <v>0.5</v>
      </c>
      <c r="AGP78" s="143">
        <v>0.5</v>
      </c>
      <c r="AGQ78" s="143">
        <v>0.5</v>
      </c>
      <c r="AGR78" s="143">
        <v>0.5</v>
      </c>
      <c r="AGS78" s="143">
        <v>0.5</v>
      </c>
      <c r="AGT78" s="19"/>
      <c r="AGU78" s="19"/>
      <c r="AGV78" s="19"/>
      <c r="AGW78" s="19"/>
      <c r="AGX78" s="414"/>
      <c r="AGY78" s="407"/>
      <c r="AGZ78" s="408"/>
      <c r="AHA78" s="131">
        <f>SUM(AFY78:AGZ78)</f>
      </c>
      <c r="AHB78" s="374"/>
      <c r="AHC78" s="375"/>
      <c r="AHD78" s="15"/>
      <c r="AHE78" s="17">
        <v>0.5</v>
      </c>
      <c r="AHF78" s="17">
        <v>0.5</v>
      </c>
      <c r="AHG78" s="17">
        <v>0.5</v>
      </c>
      <c r="AHH78" s="17">
        <v>0.5</v>
      </c>
      <c r="AHI78" s="17">
        <v>0.5</v>
      </c>
      <c r="AHJ78" s="17">
        <v>0.5</v>
      </c>
      <c r="AHK78" s="406">
        <v>0.5</v>
      </c>
      <c r="AHL78" s="432">
        <v>0.5</v>
      </c>
      <c r="AHM78" s="17">
        <v>0.5</v>
      </c>
      <c r="AHN78" s="19"/>
      <c r="AHO78" s="323"/>
      <c r="AHP78" s="339">
        <v>0.5</v>
      </c>
      <c r="AHQ78" s="143">
        <v>0.5</v>
      </c>
      <c r="AHR78" s="143">
        <v>0.5</v>
      </c>
      <c r="AHS78" s="143">
        <v>0.5</v>
      </c>
      <c r="AHT78" s="143">
        <v>0.5</v>
      </c>
      <c r="AHU78" s="143">
        <v>0.5</v>
      </c>
      <c r="AHV78" s="143">
        <v>0.5</v>
      </c>
      <c r="AHW78" s="19"/>
      <c r="AHX78" s="19"/>
      <c r="AHY78" s="19"/>
      <c r="AHZ78" s="19"/>
      <c r="AIA78" s="414"/>
      <c r="AIB78" s="407"/>
      <c r="AIC78" s="408"/>
      <c r="AID78" s="131">
        <f>SUM(AHB78:AIC78)</f>
      </c>
      <c r="AIE78" s="374"/>
      <c r="AIF78" s="375"/>
      <c r="AIG78" s="15"/>
      <c r="AIH78" s="17">
        <v>0.5</v>
      </c>
      <c r="AII78" s="17">
        <v>0.5</v>
      </c>
      <c r="AIJ78" s="17">
        <v>0.5</v>
      </c>
      <c r="AIK78" s="17">
        <v>0.5</v>
      </c>
      <c r="AIL78" s="17">
        <v>0.5</v>
      </c>
      <c r="AIM78" s="17">
        <v>0.5</v>
      </c>
      <c r="AIN78" s="406">
        <v>0.5</v>
      </c>
      <c r="AIO78" s="432">
        <v>0.5</v>
      </c>
      <c r="AIP78" s="17">
        <v>0.5</v>
      </c>
      <c r="AIQ78" s="19"/>
      <c r="AIR78" s="323"/>
      <c r="AIS78" s="339">
        <v>0.5</v>
      </c>
      <c r="AIT78" s="143">
        <v>0.5</v>
      </c>
      <c r="AIU78" s="143">
        <v>0.5</v>
      </c>
      <c r="AIV78" s="143">
        <v>0.5</v>
      </c>
      <c r="AIW78" s="143">
        <v>0.5</v>
      </c>
      <c r="AIX78" s="143">
        <v>0.5</v>
      </c>
      <c r="AIY78" s="143">
        <v>0.5</v>
      </c>
      <c r="AIZ78" s="19"/>
      <c r="AJA78" s="19"/>
      <c r="AJB78" s="19"/>
      <c r="AJC78" s="19"/>
      <c r="AJD78" s="414"/>
      <c r="AJE78" s="407"/>
      <c r="AJF78" s="408"/>
      <c r="AJG78" s="131">
        <f>SUM(AIE78:AJF78)</f>
      </c>
      <c r="AJH78" s="374"/>
      <c r="AJI78" s="375"/>
      <c r="AJJ78" s="15"/>
      <c r="AJK78" s="17">
        <v>0.5</v>
      </c>
      <c r="AJL78" s="17">
        <v>0.5</v>
      </c>
      <c r="AJM78" s="17">
        <v>0.5</v>
      </c>
      <c r="AJN78" s="17">
        <v>0.5</v>
      </c>
      <c r="AJO78" s="17">
        <v>0.5</v>
      </c>
      <c r="AJP78" s="17">
        <v>0.5</v>
      </c>
      <c r="AJQ78" s="406">
        <v>0.5</v>
      </c>
      <c r="AJR78" s="432">
        <v>0.5</v>
      </c>
      <c r="AJS78" s="17">
        <v>0.5</v>
      </c>
      <c r="AJT78" s="19"/>
      <c r="AJU78" s="323"/>
      <c r="AJV78" s="339">
        <v>0.5</v>
      </c>
      <c r="AJW78" s="143">
        <v>0.5</v>
      </c>
      <c r="AJX78" s="143">
        <v>0.5</v>
      </c>
      <c r="AJY78" s="143">
        <v>0.5</v>
      </c>
      <c r="AJZ78" s="143">
        <v>0.5</v>
      </c>
      <c r="AKA78" s="143">
        <v>0.5</v>
      </c>
      <c r="AKB78" s="143">
        <v>0.5</v>
      </c>
      <c r="AKC78" s="19"/>
      <c r="AKD78" s="19"/>
      <c r="AKE78" s="19"/>
      <c r="AKF78" s="19"/>
      <c r="AKG78" s="414"/>
      <c r="AKH78" s="407"/>
      <c r="AKI78" s="408"/>
      <c r="AKJ78" s="131">
        <f>SUM(AJH78:AKI78)</f>
      </c>
      <c r="AKK78" s="121"/>
      <c r="AKL78" s="122"/>
      <c r="AKM78" s="123"/>
      <c r="AKN78" s="124"/>
      <c r="AKO78" s="124"/>
      <c r="AKP78" s="124"/>
      <c r="AKQ78" s="124"/>
      <c r="AKR78" s="124"/>
      <c r="AKS78" s="124"/>
      <c r="AKT78" s="125"/>
      <c r="AKU78" s="126"/>
      <c r="AKV78" s="124"/>
      <c r="AKW78" s="124"/>
      <c r="AKX78" s="127"/>
      <c r="AKY78" s="123"/>
      <c r="AKZ78" s="124"/>
      <c r="ALA78" s="124"/>
      <c r="ALB78" s="124"/>
      <c r="ALC78" s="124"/>
      <c r="ALD78" s="124"/>
      <c r="ALE78" s="124"/>
      <c r="ALF78" s="124"/>
      <c r="ALG78" s="124"/>
      <c r="ALH78" s="124"/>
      <c r="ALI78" s="124"/>
      <c r="ALJ78" s="125"/>
      <c r="ALK78" s="301"/>
      <c r="ALL78" s="151"/>
      <c r="ALM78" s="131">
        <f>SUM(AKK78:ALL78)</f>
      </c>
      <c r="ALN78" s="121"/>
      <c r="ALO78" s="122"/>
      <c r="ALP78" s="123"/>
      <c r="ALQ78" s="124"/>
      <c r="ALR78" s="124"/>
      <c r="ALS78" s="124"/>
      <c r="ALT78" s="124"/>
      <c r="ALU78" s="124"/>
      <c r="ALV78" s="124"/>
      <c r="ALW78" s="125"/>
      <c r="ALX78" s="126"/>
      <c r="ALY78" s="124"/>
      <c r="ALZ78" s="124"/>
      <c r="AMA78" s="127"/>
      <c r="AMB78" s="123"/>
      <c r="AMC78" s="124"/>
      <c r="AMD78" s="124"/>
      <c r="AME78" s="124"/>
      <c r="AMF78" s="124"/>
      <c r="AMG78" s="124"/>
      <c r="AMH78" s="124"/>
      <c r="AMI78" s="124"/>
      <c r="AMJ78" s="124"/>
      <c r="AMK78" s="124"/>
      <c r="AML78" s="124"/>
      <c r="AMM78" s="125"/>
      <c r="AMN78" s="301"/>
      <c r="AMO78" s="151"/>
      <c r="AMP78" s="131">
        <f>SUM(ALN78:AMO78)</f>
      </c>
      <c r="AMQ78" s="150">
        <f>AFX78+AHA78+AID78+AJG78+AKJ78+ALM78+AMP78</f>
      </c>
      <c r="AMR78" s="302">
        <f>(COUNTIF(AEV78:AMP78,"H")+COUNTIF(AEV78:AMP78,"S")+COUNTIF(AEV78:AMP78,"L")+COUNTIF(AEV78:AMP78,"E")+COUNTIF(AEV78:AMP78,"C"))/2</f>
      </c>
      <c r="AMS78" s="131">
        <f>AMQ78+AMR78</f>
      </c>
      <c r="AMT78" s="4"/>
      <c r="AMU78" s="4"/>
      <c r="AMV78" s="4"/>
      <c r="AMW78" s="4"/>
      <c r="AMX78" s="4"/>
      <c r="AMY78" s="4"/>
      <c r="AMZ78" s="4"/>
      <c r="ANA78" s="4"/>
      <c r="ANB78" s="4"/>
      <c r="ANC78" s="4"/>
      <c r="AND78" s="4"/>
      <c r="ANE78" s="4"/>
      <c r="ANF78" s="4"/>
      <c r="ANG78" s="4"/>
      <c r="ANH78" s="4"/>
      <c r="ANI78" s="4"/>
      <c r="ANJ78" s="13"/>
      <c r="ANK78" s="13"/>
      <c r="ANL78" s="4"/>
      <c r="ANM78" s="4"/>
      <c r="ANN78" s="4"/>
      <c r="ANO78" s="4"/>
      <c r="ANP78" s="4"/>
      <c r="ANQ78" s="4"/>
      <c r="ANR78" s="4"/>
      <c r="ANS78" s="4"/>
      <c r="ANT78" s="4"/>
      <c r="ANU78" s="4"/>
      <c r="ANV78" s="4"/>
      <c r="ANW78" s="4"/>
      <c r="ANX78" s="4"/>
      <c r="ANY78" s="4"/>
      <c r="ANZ78" s="4"/>
      <c r="AOA78" s="4"/>
      <c r="AOB78" s="4"/>
      <c r="AOC78" s="4"/>
      <c r="AOD78" s="4"/>
      <c r="AOE78" s="4"/>
      <c r="AOF78" s="4"/>
      <c r="AOG78" s="4"/>
      <c r="AOH78" s="4"/>
      <c r="AOI78" s="4"/>
      <c r="AOJ78" s="4"/>
      <c r="AOK78" s="4"/>
      <c r="AOL78" s="4"/>
      <c r="AOM78" s="4"/>
      <c r="AON78" s="4"/>
      <c r="AOO78" s="4"/>
      <c r="AOP78" s="4"/>
      <c r="AOQ78" s="4"/>
      <c r="AOR78" s="4"/>
      <c r="AOS78" s="4"/>
      <c r="AOT78" s="4"/>
      <c r="AOU78" s="4"/>
      <c r="AOV78" s="4"/>
      <c r="AOW78" s="4"/>
      <c r="AOX78" s="4"/>
      <c r="AOY78" s="4"/>
      <c r="AOZ78" s="4"/>
      <c r="APA78" s="4"/>
      <c r="APB78" s="4"/>
      <c r="APC78" s="4"/>
      <c r="APD78" s="4"/>
      <c r="APE78" s="4"/>
      <c r="APF78" s="4"/>
      <c r="APG78" s="4"/>
      <c r="APH78" s="4"/>
      <c r="API78" s="4"/>
      <c r="APJ78" s="4"/>
      <c r="APK78" s="4"/>
      <c r="APL78" s="4"/>
      <c r="APM78" s="4"/>
      <c r="APN78" s="4"/>
      <c r="APO78" s="4"/>
      <c r="APP78" s="4"/>
      <c r="APQ78" s="4"/>
      <c r="APR78" s="4"/>
      <c r="APS78" s="4"/>
      <c r="APT78" s="4"/>
      <c r="APU78" s="4"/>
      <c r="APV78" s="4"/>
      <c r="APW78" s="4"/>
      <c r="APX78" s="4"/>
      <c r="APY78" s="4"/>
      <c r="APZ78" s="4"/>
      <c r="AQA78" s="4"/>
      <c r="AQB78" s="4"/>
      <c r="AQC78" s="4"/>
      <c r="AQD78" s="4"/>
      <c r="AQE78" s="4"/>
      <c r="AQF78" s="4"/>
      <c r="AQG78" s="4"/>
      <c r="AQH78" s="4"/>
      <c r="AQI78" s="4"/>
      <c r="AQJ78" s="4"/>
      <c r="AQK78" s="4"/>
      <c r="AQL78" s="4"/>
      <c r="AQM78" s="4"/>
      <c r="AQN78" s="4"/>
      <c r="AQO78" s="4"/>
      <c r="AQP78" s="4"/>
      <c r="AQQ78" s="4"/>
      <c r="AQR78" s="4"/>
      <c r="AQS78" s="4"/>
      <c r="AQT78" s="4"/>
      <c r="AQU78" s="4"/>
      <c r="AQV78" s="4"/>
      <c r="AQW78" s="4"/>
      <c r="AQX78" s="4"/>
      <c r="AQY78" s="4"/>
      <c r="AQZ78" s="4"/>
      <c r="ARA78" s="4"/>
      <c r="ARB78" s="4"/>
      <c r="ARC78" s="4"/>
      <c r="ARD78" s="4"/>
      <c r="ARE78" s="4"/>
      <c r="ARF78" s="4"/>
      <c r="ARG78" s="4"/>
      <c r="ARH78" s="4"/>
      <c r="ARI78" s="4"/>
      <c r="ARJ78" s="4"/>
      <c r="ARK78" s="4"/>
      <c r="ARL78" s="4"/>
      <c r="ARM78" s="4"/>
      <c r="ARN78" s="4"/>
      <c r="ARO78" s="4"/>
      <c r="ARP78" s="4"/>
      <c r="ARQ78" s="4"/>
      <c r="ARR78" s="4"/>
      <c r="ARS78" s="4"/>
      <c r="ART78" s="4"/>
      <c r="ARU78" s="4"/>
      <c r="ARV78" s="4"/>
      <c r="ARW78" s="4"/>
      <c r="ARX78" s="4"/>
      <c r="ARY78" s="4"/>
      <c r="ARZ78" s="4"/>
      <c r="ASA78" s="4"/>
      <c r="ASB78" s="4"/>
      <c r="ASC78" s="4"/>
      <c r="ASD78" s="4"/>
      <c r="ASE78" s="4"/>
      <c r="ASF78" s="4"/>
      <c r="ASG78" s="4"/>
      <c r="ASH78" s="4"/>
      <c r="ASI78" s="4"/>
      <c r="ASJ78" s="4"/>
      <c r="ASK78" s="4"/>
      <c r="ASL78" s="4"/>
      <c r="ASM78" s="4"/>
      <c r="ASN78" s="4"/>
      <c r="ASO78" s="4"/>
      <c r="ASP78" s="4"/>
      <c r="ASQ78" s="4"/>
      <c r="ASR78" s="4"/>
      <c r="ASS78" s="4"/>
      <c r="AST78" s="4"/>
      <c r="ASU78" s="4"/>
    </row>
    <row r="79" ht="15" customHeight="1" spans="1:1191" x14ac:dyDescent="0.25">
      <c r="A79" s="118"/>
      <c r="B79" s="4" t="s">
        <v>117</v>
      </c>
      <c r="C79" s="422" t="s">
        <v>81</v>
      </c>
      <c r="D79" s="121"/>
      <c r="E79" s="122"/>
      <c r="F79" s="123"/>
      <c r="G79" s="124"/>
      <c r="H79" s="124"/>
      <c r="I79" s="124"/>
      <c r="J79" s="124"/>
      <c r="K79" s="124"/>
      <c r="L79" s="124"/>
      <c r="M79" s="125"/>
      <c r="N79" s="126"/>
      <c r="O79" s="124"/>
      <c r="P79" s="124"/>
      <c r="Q79" s="127"/>
      <c r="R79" s="123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5"/>
      <c r="AD79" s="301"/>
      <c r="AE79" s="151"/>
      <c r="AF79" s="131">
        <f>SUM(D79:AE79)</f>
      </c>
      <c r="AG79" s="121"/>
      <c r="AH79" s="122"/>
      <c r="AI79" s="123"/>
      <c r="AJ79" s="124"/>
      <c r="AK79" s="124"/>
      <c r="AL79" s="124"/>
      <c r="AM79" s="124"/>
      <c r="AN79" s="124"/>
      <c r="AO79" s="124"/>
      <c r="AP79" s="125"/>
      <c r="AQ79" s="126"/>
      <c r="AR79" s="124"/>
      <c r="AS79" s="124"/>
      <c r="AT79" s="127"/>
      <c r="AU79" s="123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5"/>
      <c r="BG79" s="301"/>
      <c r="BH79" s="151"/>
      <c r="BI79" s="131">
        <f>SUM(AG79:BH79)</f>
      </c>
      <c r="BJ79" s="121"/>
      <c r="BK79" s="122"/>
      <c r="BL79" s="123"/>
      <c r="BM79" s="124"/>
      <c r="BN79" s="124"/>
      <c r="BO79" s="124"/>
      <c r="BP79" s="124"/>
      <c r="BQ79" s="124"/>
      <c r="BR79" s="124"/>
      <c r="BS79" s="125"/>
      <c r="BT79" s="126"/>
      <c r="BU79" s="124"/>
      <c r="BV79" s="124"/>
      <c r="BW79" s="127"/>
      <c r="BX79" s="123"/>
      <c r="BY79" s="124"/>
      <c r="BZ79" s="124"/>
      <c r="CA79" s="124"/>
      <c r="CB79" s="124"/>
      <c r="CC79" s="124"/>
      <c r="CD79" s="124"/>
      <c r="CE79" s="124"/>
      <c r="CF79" s="124"/>
      <c r="CG79" s="124"/>
      <c r="CH79" s="124"/>
      <c r="CI79" s="125"/>
      <c r="CJ79" s="301"/>
      <c r="CK79" s="151"/>
      <c r="CL79" s="131">
        <f>SUM(BJ79:CK79)</f>
      </c>
      <c r="CM79" s="121"/>
      <c r="CN79" s="122"/>
      <c r="CO79" s="123"/>
      <c r="CP79" s="124"/>
      <c r="CQ79" s="124"/>
      <c r="CR79" s="124"/>
      <c r="CS79" s="124"/>
      <c r="CT79" s="124"/>
      <c r="CU79" s="124"/>
      <c r="CV79" s="125"/>
      <c r="CW79" s="126"/>
      <c r="CX79" s="124"/>
      <c r="CY79" s="124"/>
      <c r="CZ79" s="127"/>
      <c r="DA79" s="123"/>
      <c r="DB79" s="124"/>
      <c r="DC79" s="124"/>
      <c r="DD79" s="124"/>
      <c r="DE79" s="124"/>
      <c r="DF79" s="124"/>
      <c r="DG79" s="124"/>
      <c r="DH79" s="124"/>
      <c r="DI79" s="124"/>
      <c r="DJ79" s="124"/>
      <c r="DK79" s="124"/>
      <c r="DL79" s="125"/>
      <c r="DM79" s="301"/>
      <c r="DN79" s="151"/>
      <c r="DO79" s="131">
        <f>SUM(CM79:DN79)</f>
      </c>
      <c r="DP79" s="121"/>
      <c r="DQ79" s="122"/>
      <c r="DR79" s="123"/>
      <c r="DS79" s="124"/>
      <c r="DT79" s="124"/>
      <c r="DU79" s="124"/>
      <c r="DV79" s="124"/>
      <c r="DW79" s="124"/>
      <c r="DX79" s="124"/>
      <c r="DY79" s="125"/>
      <c r="DZ79" s="126"/>
      <c r="EA79" s="124"/>
      <c r="EB79" s="124"/>
      <c r="EC79" s="127"/>
      <c r="ED79" s="123"/>
      <c r="EE79" s="124"/>
      <c r="EF79" s="124"/>
      <c r="EG79" s="124"/>
      <c r="EH79" s="124"/>
      <c r="EI79" s="124"/>
      <c r="EJ79" s="124"/>
      <c r="EK79" s="124"/>
      <c r="EL79" s="124"/>
      <c r="EM79" s="124"/>
      <c r="EN79" s="124"/>
      <c r="EO79" s="125"/>
      <c r="EP79" s="301"/>
      <c r="EQ79" s="151"/>
      <c r="ER79" s="131">
        <f>SUM(DP79:EQ79)</f>
      </c>
      <c r="ES79" s="121"/>
      <c r="ET79" s="122"/>
      <c r="EU79" s="123"/>
      <c r="EV79" s="124"/>
      <c r="EW79" s="124"/>
      <c r="EX79" s="124"/>
      <c r="EY79" s="124"/>
      <c r="EZ79" s="124"/>
      <c r="FA79" s="124"/>
      <c r="FB79" s="125"/>
      <c r="FC79" s="126"/>
      <c r="FD79" s="124"/>
      <c r="FE79" s="124"/>
      <c r="FF79" s="127"/>
      <c r="FG79" s="123"/>
      <c r="FH79" s="124"/>
      <c r="FI79" s="124"/>
      <c r="FJ79" s="124"/>
      <c r="FK79" s="124"/>
      <c r="FL79" s="124"/>
      <c r="FM79" s="124"/>
      <c r="FN79" s="124"/>
      <c r="FO79" s="124"/>
      <c r="FP79" s="124"/>
      <c r="FQ79" s="124"/>
      <c r="FR79" s="125"/>
      <c r="FS79" s="301"/>
      <c r="FT79" s="151"/>
      <c r="FU79" s="131">
        <f>SUM(ES79:FT79)</f>
      </c>
      <c r="FV79" s="121"/>
      <c r="FW79" s="122"/>
      <c r="FX79" s="123"/>
      <c r="FY79" s="124"/>
      <c r="FZ79" s="124"/>
      <c r="GA79" s="124"/>
      <c r="GB79" s="124"/>
      <c r="GC79" s="124"/>
      <c r="GD79" s="124"/>
      <c r="GE79" s="125"/>
      <c r="GF79" s="126"/>
      <c r="GG79" s="124"/>
      <c r="GH79" s="124"/>
      <c r="GI79" s="127"/>
      <c r="GJ79" s="123"/>
      <c r="GK79" s="124"/>
      <c r="GL79" s="124"/>
      <c r="GM79" s="124"/>
      <c r="GN79" s="124"/>
      <c r="GO79" s="124"/>
      <c r="GP79" s="124"/>
      <c r="GQ79" s="124"/>
      <c r="GR79" s="124"/>
      <c r="GS79" s="124"/>
      <c r="GT79" s="124"/>
      <c r="GU79" s="125"/>
      <c r="GV79" s="301"/>
      <c r="GW79" s="151"/>
      <c r="GX79" s="131">
        <f>SUM(FV79:GW79)</f>
      </c>
      <c r="GY79" s="150">
        <f>AF79+BI79+CL79+DO79+ER79+FU79+GX79</f>
      </c>
      <c r="GZ79" s="302">
        <f>(COUNTIF(D79:GX79,"H")+COUNTIF(D79:GX79,"S")+COUNTIF(D79:GX79,"L")+COUNTIF(D79:GX79,"E")+COUNTIF(D79:GX79,"C"))/2</f>
      </c>
      <c r="HA79" s="131">
        <f>GY79+GZ79</f>
      </c>
      <c r="HB79" s="374"/>
      <c r="HC79" s="375"/>
      <c r="HD79" s="15"/>
      <c r="HE79" s="17">
        <v>0.5</v>
      </c>
      <c r="HF79" s="17">
        <v>0.5</v>
      </c>
      <c r="HG79" s="17">
        <v>0.5</v>
      </c>
      <c r="HH79" s="17">
        <v>0.5</v>
      </c>
      <c r="HI79" s="17">
        <v>0.5</v>
      </c>
      <c r="HJ79" s="17">
        <v>0.5</v>
      </c>
      <c r="HK79" s="406">
        <v>0.5</v>
      </c>
      <c r="HL79" s="412"/>
      <c r="HM79" s="19"/>
      <c r="HN79" s="17">
        <v>0.5</v>
      </c>
      <c r="HO79" s="415">
        <v>0.5</v>
      </c>
      <c r="HP79" s="405">
        <v>0.5</v>
      </c>
      <c r="HQ79" s="17">
        <v>0.5</v>
      </c>
      <c r="HR79" s="17">
        <v>0.5</v>
      </c>
      <c r="HS79" s="17">
        <v>0.5</v>
      </c>
      <c r="HT79" s="17">
        <v>0.5</v>
      </c>
      <c r="HU79" s="17">
        <v>0.5</v>
      </c>
      <c r="HV79" s="17">
        <v>0.5</v>
      </c>
      <c r="HW79" s="19"/>
      <c r="HX79" s="19"/>
      <c r="HY79" s="19"/>
      <c r="HZ79" s="19"/>
      <c r="IA79" s="414"/>
      <c r="IB79" s="407"/>
      <c r="IC79" s="408"/>
      <c r="ID79" s="131">
        <f>SUM(HB79:IC79)</f>
      </c>
      <c r="IE79" s="374"/>
      <c r="IF79" s="375"/>
      <c r="IG79" s="15"/>
      <c r="IH79" s="17">
        <v>0.5</v>
      </c>
      <c r="II79" s="17">
        <v>0.5</v>
      </c>
      <c r="IJ79" s="17">
        <v>0.5</v>
      </c>
      <c r="IK79" s="17">
        <v>0.5</v>
      </c>
      <c r="IL79" s="17">
        <v>0.5</v>
      </c>
      <c r="IM79" s="17">
        <v>0.5</v>
      </c>
      <c r="IN79" s="406">
        <v>0.5</v>
      </c>
      <c r="IO79" s="432">
        <v>0.5</v>
      </c>
      <c r="IP79" s="17">
        <v>0.5</v>
      </c>
      <c r="IQ79" s="19"/>
      <c r="IR79" s="323"/>
      <c r="IS79" s="405">
        <v>0.5</v>
      </c>
      <c r="IT79" s="17">
        <v>0.5</v>
      </c>
      <c r="IU79" s="17">
        <v>0.5</v>
      </c>
      <c r="IV79" s="17">
        <v>0.5</v>
      </c>
      <c r="IW79" s="17">
        <v>0.5</v>
      </c>
      <c r="IX79" s="17">
        <v>0.5</v>
      </c>
      <c r="IY79" s="17">
        <v>0.5</v>
      </c>
      <c r="IZ79" s="19"/>
      <c r="JA79" s="19"/>
      <c r="JB79" s="19"/>
      <c r="JC79" s="19"/>
      <c r="JD79" s="414"/>
      <c r="JE79" s="407"/>
      <c r="JF79" s="408"/>
      <c r="JG79" s="131">
        <f>SUM(IE79:JF79)</f>
      </c>
      <c r="JH79" s="374"/>
      <c r="JI79" s="375"/>
      <c r="JJ79" s="15"/>
      <c r="JK79" s="17">
        <v>0.5</v>
      </c>
      <c r="JL79" s="17">
        <v>0.5</v>
      </c>
      <c r="JM79" s="17">
        <v>0.5</v>
      </c>
      <c r="JN79" s="17">
        <v>0.5</v>
      </c>
      <c r="JO79" s="17">
        <v>0.5</v>
      </c>
      <c r="JP79" s="17">
        <v>0.5</v>
      </c>
      <c r="JQ79" s="406">
        <v>0.5</v>
      </c>
      <c r="JR79" s="432">
        <v>0.5</v>
      </c>
      <c r="JS79" s="17">
        <v>0.5</v>
      </c>
      <c r="JT79" s="19"/>
      <c r="JU79" s="323"/>
      <c r="JV79" s="405">
        <v>0.5</v>
      </c>
      <c r="JW79" s="17">
        <v>0.5</v>
      </c>
      <c r="JX79" s="17">
        <v>0.5</v>
      </c>
      <c r="JY79" s="17">
        <v>0.5</v>
      </c>
      <c r="JZ79" s="17">
        <v>0.5</v>
      </c>
      <c r="KA79" s="17">
        <v>0.5</v>
      </c>
      <c r="KB79" s="17">
        <v>0.5</v>
      </c>
      <c r="KC79" s="19"/>
      <c r="KD79" s="19"/>
      <c r="KE79" s="19"/>
      <c r="KF79" s="19"/>
      <c r="KG79" s="414"/>
      <c r="KH79" s="407"/>
      <c r="KI79" s="408"/>
      <c r="KJ79" s="131">
        <f>SUM(JH79:KI79)</f>
      </c>
      <c r="KK79" s="374"/>
      <c r="KL79" s="375"/>
      <c r="KM79" s="15"/>
      <c r="KN79" s="17">
        <v>0.5</v>
      </c>
      <c r="KO79" s="17">
        <v>0.5</v>
      </c>
      <c r="KP79" s="17">
        <v>0.5</v>
      </c>
      <c r="KQ79" s="17">
        <v>0.5</v>
      </c>
      <c r="KR79" s="17">
        <v>0.5</v>
      </c>
      <c r="KS79" s="17">
        <v>0.5</v>
      </c>
      <c r="KT79" s="406">
        <v>0.5</v>
      </c>
      <c r="KU79" s="432">
        <v>0.5</v>
      </c>
      <c r="KV79" s="17">
        <v>0.5</v>
      </c>
      <c r="KW79" s="19"/>
      <c r="KX79" s="323"/>
      <c r="KY79" s="405">
        <v>0.5</v>
      </c>
      <c r="KZ79" s="17">
        <v>0.5</v>
      </c>
      <c r="LA79" s="17">
        <v>0.5</v>
      </c>
      <c r="LB79" s="17">
        <v>0.5</v>
      </c>
      <c r="LC79" s="17">
        <v>0.5</v>
      </c>
      <c r="LD79" s="17">
        <v>0.5</v>
      </c>
      <c r="LE79" s="17">
        <v>0.5</v>
      </c>
      <c r="LF79" s="19"/>
      <c r="LG79" s="19"/>
      <c r="LH79" s="19"/>
      <c r="LI79" s="19"/>
      <c r="LJ79" s="414"/>
      <c r="LK79" s="407"/>
      <c r="LL79" s="408"/>
      <c r="LM79" s="131">
        <f>SUM(KK79:LL79)</f>
      </c>
      <c r="LN79" s="374"/>
      <c r="LO79" s="375"/>
      <c r="LP79" s="15"/>
      <c r="LQ79" s="17">
        <v>0.5</v>
      </c>
      <c r="LR79" s="17">
        <v>0.5</v>
      </c>
      <c r="LS79" s="17">
        <v>0.5</v>
      </c>
      <c r="LT79" s="17">
        <v>0.5</v>
      </c>
      <c r="LU79" s="17">
        <v>0.5</v>
      </c>
      <c r="LV79" s="17">
        <v>0.5</v>
      </c>
      <c r="LW79" s="406">
        <v>0.5</v>
      </c>
      <c r="LX79" s="432">
        <v>0.5</v>
      </c>
      <c r="LY79" s="17">
        <v>0.5</v>
      </c>
      <c r="LZ79" s="19"/>
      <c r="MA79" s="323"/>
      <c r="MB79" s="405">
        <v>0.5</v>
      </c>
      <c r="MC79" s="17">
        <v>0.5</v>
      </c>
      <c r="MD79" s="17">
        <v>0.5</v>
      </c>
      <c r="ME79" s="17">
        <v>0.5</v>
      </c>
      <c r="MF79" s="17">
        <v>0.5</v>
      </c>
      <c r="MG79" s="17">
        <v>0.5</v>
      </c>
      <c r="MH79" s="17">
        <v>0.5</v>
      </c>
      <c r="MI79" s="19"/>
      <c r="MJ79" s="19"/>
      <c r="MK79" s="19"/>
      <c r="ML79" s="19"/>
      <c r="MM79" s="414"/>
      <c r="MN79" s="407"/>
      <c r="MO79" s="408"/>
      <c r="MP79" s="131">
        <f>SUM(LN79:MO79)</f>
      </c>
      <c r="MQ79" s="121"/>
      <c r="MR79" s="122"/>
      <c r="MS79" s="123"/>
      <c r="MT79" s="124"/>
      <c r="MU79" s="124"/>
      <c r="MV79" s="124"/>
      <c r="MW79" s="124"/>
      <c r="MX79" s="124"/>
      <c r="MY79" s="124"/>
      <c r="MZ79" s="125"/>
      <c r="NA79" s="126"/>
      <c r="NB79" s="124"/>
      <c r="NC79" s="124"/>
      <c r="ND79" s="127"/>
      <c r="NE79" s="123"/>
      <c r="NF79" s="124"/>
      <c r="NG79" s="124"/>
      <c r="NH79" s="124"/>
      <c r="NI79" s="124"/>
      <c r="NJ79" s="124"/>
      <c r="NK79" s="124"/>
      <c r="NL79" s="124"/>
      <c r="NM79" s="124"/>
      <c r="NN79" s="124"/>
      <c r="NO79" s="124"/>
      <c r="NP79" s="125"/>
      <c r="NQ79" s="301"/>
      <c r="NR79" s="151"/>
      <c r="NS79" s="131">
        <f>SUM(MQ79:NR79)</f>
      </c>
      <c r="NT79" s="121"/>
      <c r="NU79" s="122"/>
      <c r="NV79" s="123"/>
      <c r="NW79" s="124"/>
      <c r="NX79" s="124"/>
      <c r="NY79" s="124"/>
      <c r="NZ79" s="124"/>
      <c r="OA79" s="124"/>
      <c r="OB79" s="124"/>
      <c r="OC79" s="125"/>
      <c r="OD79" s="126"/>
      <c r="OE79" s="124"/>
      <c r="OF79" s="124"/>
      <c r="OG79" s="127"/>
      <c r="OH79" s="123"/>
      <c r="OI79" s="124"/>
      <c r="OJ79" s="124"/>
      <c r="OK79" s="124"/>
      <c r="OL79" s="124"/>
      <c r="OM79" s="124"/>
      <c r="ON79" s="124"/>
      <c r="OO79" s="124"/>
      <c r="OP79" s="124"/>
      <c r="OQ79" s="124"/>
      <c r="OR79" s="124"/>
      <c r="OS79" s="125"/>
      <c r="OT79" s="301"/>
      <c r="OU79" s="151"/>
      <c r="OV79" s="131">
        <f>SUM(NT79:OU79)</f>
      </c>
      <c r="OW79" s="150">
        <f>ID79+JG79+KJ79+LM79+MP79+NS79+OV79</f>
      </c>
      <c r="OX79" s="302">
        <f>(COUNTIF(HB79:OV79,"H")+COUNTIF(HB79:OV79,"S")+COUNTIF(HB79:OV79,"L")+COUNTIF(HB79:OV79,"E")+COUNTIF(HB79:OV79,"C"))/2</f>
      </c>
      <c r="OY79" s="131">
        <f>OW79+OX79</f>
      </c>
      <c r="OZ79" s="374"/>
      <c r="PA79" s="375"/>
      <c r="PB79" s="15"/>
      <c r="PC79" s="17">
        <v>0.5</v>
      </c>
      <c r="PD79" s="17">
        <v>0.5</v>
      </c>
      <c r="PE79" s="17">
        <v>0.5</v>
      </c>
      <c r="PF79" s="17">
        <v>0.5</v>
      </c>
      <c r="PG79" s="17">
        <v>0.5</v>
      </c>
      <c r="PH79" s="17">
        <v>0.5</v>
      </c>
      <c r="PI79" s="406">
        <v>0.5</v>
      </c>
      <c r="PJ79" s="412"/>
      <c r="PK79" s="19"/>
      <c r="PL79" s="17">
        <v>0.5</v>
      </c>
      <c r="PM79" s="415">
        <v>0.5</v>
      </c>
      <c r="PN79" s="405">
        <v>0.5</v>
      </c>
      <c r="PO79" s="17">
        <v>0.5</v>
      </c>
      <c r="PP79" s="17">
        <v>0.5</v>
      </c>
      <c r="PQ79" s="17">
        <v>0.5</v>
      </c>
      <c r="PR79" s="17">
        <v>0.5</v>
      </c>
      <c r="PS79" s="17">
        <v>0.5</v>
      </c>
      <c r="PT79" s="17">
        <v>0.5</v>
      </c>
      <c r="PU79" s="19"/>
      <c r="PV79" s="19"/>
      <c r="PW79" s="19"/>
      <c r="PX79" s="19"/>
      <c r="PY79" s="414"/>
      <c r="PZ79" s="407"/>
      <c r="QA79" s="408"/>
      <c r="QB79" s="131">
        <f>SUM(OZ79:QA79)</f>
      </c>
      <c r="QC79" s="374"/>
      <c r="QD79" s="375"/>
      <c r="QE79" s="15"/>
      <c r="QF79" s="17">
        <v>0.5</v>
      </c>
      <c r="QG79" s="17">
        <v>0.5</v>
      </c>
      <c r="QH79" s="17">
        <v>0.5</v>
      </c>
      <c r="QI79" s="17">
        <v>0.5</v>
      </c>
      <c r="QJ79" s="17">
        <v>0.5</v>
      </c>
      <c r="QK79" s="17">
        <v>0.5</v>
      </c>
      <c r="QL79" s="406">
        <v>0.5</v>
      </c>
      <c r="QM79" s="412"/>
      <c r="QN79" s="19"/>
      <c r="QO79" s="17">
        <v>0.5</v>
      </c>
      <c r="QP79" s="415">
        <v>0.5</v>
      </c>
      <c r="QQ79" s="405">
        <v>0.5</v>
      </c>
      <c r="QR79" s="17">
        <v>0.5</v>
      </c>
      <c r="QS79" s="17">
        <v>0.5</v>
      </c>
      <c r="QT79" s="17">
        <v>0.5</v>
      </c>
      <c r="QU79" s="17">
        <v>0.5</v>
      </c>
      <c r="QV79" s="17">
        <v>0.5</v>
      </c>
      <c r="QW79" s="17">
        <v>0.5</v>
      </c>
      <c r="QX79" s="19"/>
      <c r="QY79" s="19"/>
      <c r="QZ79" s="19"/>
      <c r="RA79" s="19"/>
      <c r="RB79" s="414"/>
      <c r="RC79" s="407"/>
      <c r="RD79" s="408"/>
      <c r="RE79" s="131">
        <f>SUM(QC79:RD79)</f>
      </c>
      <c r="RF79" s="374"/>
      <c r="RG79" s="375"/>
      <c r="RH79" s="15"/>
      <c r="RI79" s="17">
        <v>0.5</v>
      </c>
      <c r="RJ79" s="17">
        <v>0.5</v>
      </c>
      <c r="RK79" s="17">
        <v>0.5</v>
      </c>
      <c r="RL79" s="17">
        <v>0.5</v>
      </c>
      <c r="RM79" s="17">
        <v>0.5</v>
      </c>
      <c r="RN79" s="17">
        <v>0.5</v>
      </c>
      <c r="RO79" s="406">
        <v>0.5</v>
      </c>
      <c r="RP79" s="412"/>
      <c r="RQ79" s="19"/>
      <c r="RR79" s="17">
        <v>0.5</v>
      </c>
      <c r="RS79" s="415">
        <v>0.5</v>
      </c>
      <c r="RT79" s="405">
        <v>0.5</v>
      </c>
      <c r="RU79" s="17">
        <v>0.5</v>
      </c>
      <c r="RV79" s="17">
        <v>0.5</v>
      </c>
      <c r="RW79" s="17">
        <v>0.5</v>
      </c>
      <c r="RX79" s="17">
        <v>0.5</v>
      </c>
      <c r="RY79" s="17">
        <v>0.5</v>
      </c>
      <c r="RZ79" s="17">
        <v>0.5</v>
      </c>
      <c r="SA79" s="19"/>
      <c r="SB79" s="19"/>
      <c r="SC79" s="19"/>
      <c r="SD79" s="19"/>
      <c r="SE79" s="414"/>
      <c r="SF79" s="407"/>
      <c r="SG79" s="408"/>
      <c r="SH79" s="131">
        <f>SUM(RF79:SG79)</f>
      </c>
      <c r="SI79" s="374"/>
      <c r="SJ79" s="375"/>
      <c r="SK79" s="15"/>
      <c r="SL79" s="17">
        <v>0.5</v>
      </c>
      <c r="SM79" s="17">
        <v>0.5</v>
      </c>
      <c r="SN79" s="17">
        <v>0.5</v>
      </c>
      <c r="SO79" s="17">
        <v>0.5</v>
      </c>
      <c r="SP79" s="17">
        <v>0.5</v>
      </c>
      <c r="SQ79" s="17">
        <v>0.5</v>
      </c>
      <c r="SR79" s="406">
        <v>0.5</v>
      </c>
      <c r="SS79" s="412"/>
      <c r="ST79" s="19"/>
      <c r="SU79" s="17">
        <v>0.5</v>
      </c>
      <c r="SV79" s="415">
        <v>0.5</v>
      </c>
      <c r="SW79" s="405">
        <v>0.5</v>
      </c>
      <c r="SX79" s="17">
        <v>0.5</v>
      </c>
      <c r="SY79" s="17">
        <v>0.5</v>
      </c>
      <c r="SZ79" s="17">
        <v>0.5</v>
      </c>
      <c r="TA79" s="17">
        <v>0.5</v>
      </c>
      <c r="TB79" s="17">
        <v>0.5</v>
      </c>
      <c r="TC79" s="17">
        <v>0.5</v>
      </c>
      <c r="TD79" s="19"/>
      <c r="TE79" s="19"/>
      <c r="TF79" s="19"/>
      <c r="TG79" s="19"/>
      <c r="TH79" s="414"/>
      <c r="TI79" s="407"/>
      <c r="TJ79" s="408"/>
      <c r="TK79" s="131">
        <f>SUM(SI79:TJ79)</f>
      </c>
      <c r="TL79" s="374"/>
      <c r="TM79" s="375"/>
      <c r="TN79" s="15"/>
      <c r="TO79" s="17">
        <v>0.5</v>
      </c>
      <c r="TP79" s="17">
        <v>0.5</v>
      </c>
      <c r="TQ79" s="17">
        <v>0.5</v>
      </c>
      <c r="TR79" s="17">
        <v>0.5</v>
      </c>
      <c r="TS79" s="17">
        <v>0.5</v>
      </c>
      <c r="TT79" s="17">
        <v>0.5</v>
      </c>
      <c r="TU79" s="406">
        <v>0.5</v>
      </c>
      <c r="TV79" s="412"/>
      <c r="TW79" s="19"/>
      <c r="TX79" s="17">
        <v>0.5</v>
      </c>
      <c r="TY79" s="415">
        <v>0.5</v>
      </c>
      <c r="TZ79" s="405">
        <v>0.5</v>
      </c>
      <c r="UA79" s="17">
        <v>0.5</v>
      </c>
      <c r="UB79" s="17">
        <v>0.5</v>
      </c>
      <c r="UC79" s="17">
        <v>0.5</v>
      </c>
      <c r="UD79" s="17">
        <v>0.5</v>
      </c>
      <c r="UE79" s="17">
        <v>0.5</v>
      </c>
      <c r="UF79" s="17">
        <v>0.5</v>
      </c>
      <c r="UG79" s="19"/>
      <c r="UH79" s="19"/>
      <c r="UI79" s="19"/>
      <c r="UJ79" s="19"/>
      <c r="UK79" s="414"/>
      <c r="UL79" s="407"/>
      <c r="UM79" s="408"/>
      <c r="UN79" s="131">
        <f>SUM(TL79:UM79)</f>
      </c>
      <c r="UO79" s="121"/>
      <c r="UP79" s="122"/>
      <c r="UQ79" s="123"/>
      <c r="UR79" s="124"/>
      <c r="US79" s="124"/>
      <c r="UT79" s="124"/>
      <c r="UU79" s="124"/>
      <c r="UV79" s="124"/>
      <c r="UW79" s="124"/>
      <c r="UX79" s="125"/>
      <c r="UY79" s="126"/>
      <c r="UZ79" s="124"/>
      <c r="VA79" s="124"/>
      <c r="VB79" s="127"/>
      <c r="VC79" s="123"/>
      <c r="VD79" s="124"/>
      <c r="VE79" s="124"/>
      <c r="VF79" s="124"/>
      <c r="VG79" s="124"/>
      <c r="VH79" s="124"/>
      <c r="VI79" s="124"/>
      <c r="VJ79" s="124"/>
      <c r="VK79" s="124"/>
      <c r="VL79" s="124"/>
      <c r="VM79" s="124"/>
      <c r="VN79" s="125"/>
      <c r="VO79" s="301"/>
      <c r="VP79" s="151"/>
      <c r="VQ79" s="131">
        <f>SUM(UO79:VP79)</f>
      </c>
      <c r="VR79" s="121"/>
      <c r="VS79" s="122"/>
      <c r="VT79" s="123"/>
      <c r="VU79" s="124"/>
      <c r="VV79" s="124"/>
      <c r="VW79" s="124"/>
      <c r="VX79" s="124"/>
      <c r="VY79" s="124"/>
      <c r="VZ79" s="124"/>
      <c r="WA79" s="125"/>
      <c r="WB79" s="126"/>
      <c r="WC79" s="124"/>
      <c r="WD79" s="124"/>
      <c r="WE79" s="127"/>
      <c r="WF79" s="123"/>
      <c r="WG79" s="124"/>
      <c r="WH79" s="124"/>
      <c r="WI79" s="124"/>
      <c r="WJ79" s="124"/>
      <c r="WK79" s="124"/>
      <c r="WL79" s="124"/>
      <c r="WM79" s="124"/>
      <c r="WN79" s="124"/>
      <c r="WO79" s="124"/>
      <c r="WP79" s="124"/>
      <c r="WQ79" s="125"/>
      <c r="WR79" s="301"/>
      <c r="WS79" s="151"/>
      <c r="WT79" s="131">
        <f>SUM(VR79:WS79)</f>
      </c>
      <c r="WU79" s="150">
        <f>QB79+RE79+SH79+TK79+UN79+VQ79+WT79</f>
      </c>
      <c r="WV79" s="302">
        <f>(COUNTIF(OZ79:WT79,"H")+COUNTIF(OZ79:WT79,"S")+COUNTIF(OZ79:WT79,"L")+COUNTIF(OZ79:WT79,"E")+COUNTIF(OZ79:WT79,"C"))/2</f>
      </c>
      <c r="WW79" s="131">
        <f>WU79+WV79</f>
      </c>
      <c r="WX79" s="374"/>
      <c r="WY79" s="375"/>
      <c r="WZ79" s="15"/>
      <c r="XA79" s="17">
        <v>0.5</v>
      </c>
      <c r="XB79" s="17">
        <v>0.5</v>
      </c>
      <c r="XC79" s="17">
        <v>0.5</v>
      </c>
      <c r="XD79" s="17">
        <v>0.5</v>
      </c>
      <c r="XE79" s="17">
        <v>0.5</v>
      </c>
      <c r="XF79" s="17">
        <v>0.5</v>
      </c>
      <c r="XG79" s="406">
        <v>0.5</v>
      </c>
      <c r="XH79" s="412"/>
      <c r="XI79" s="19"/>
      <c r="XJ79" s="17">
        <v>0.5</v>
      </c>
      <c r="XK79" s="415">
        <v>0.5</v>
      </c>
      <c r="XL79" s="405">
        <v>0.5</v>
      </c>
      <c r="XM79" s="17">
        <v>0.5</v>
      </c>
      <c r="XN79" s="17">
        <v>0.5</v>
      </c>
      <c r="XO79" s="17">
        <v>0.5</v>
      </c>
      <c r="XP79" s="17">
        <v>0.5</v>
      </c>
      <c r="XQ79" s="17">
        <v>0.5</v>
      </c>
      <c r="XR79" s="17">
        <v>0.5</v>
      </c>
      <c r="XS79" s="19"/>
      <c r="XT79" s="19"/>
      <c r="XU79" s="19"/>
      <c r="XV79" s="19"/>
      <c r="XW79" s="414"/>
      <c r="XX79" s="407"/>
      <c r="XY79" s="408"/>
      <c r="XZ79" s="131">
        <f>SUM(WX79:XY79)</f>
      </c>
      <c r="YA79" s="374"/>
      <c r="YB79" s="375"/>
      <c r="YC79" s="15"/>
      <c r="YD79" s="17">
        <v>0.5</v>
      </c>
      <c r="YE79" s="17">
        <v>0.5</v>
      </c>
      <c r="YF79" s="17">
        <v>0.5</v>
      </c>
      <c r="YG79" s="17">
        <v>0.5</v>
      </c>
      <c r="YH79" s="17">
        <v>0.5</v>
      </c>
      <c r="YI79" s="17">
        <v>0.5</v>
      </c>
      <c r="YJ79" s="406">
        <v>0.5</v>
      </c>
      <c r="YK79" s="412"/>
      <c r="YL79" s="19"/>
      <c r="YM79" s="17">
        <v>0.5</v>
      </c>
      <c r="YN79" s="415">
        <v>0.5</v>
      </c>
      <c r="YO79" s="405">
        <v>0.5</v>
      </c>
      <c r="YP79" s="17">
        <v>0.5</v>
      </c>
      <c r="YQ79" s="17">
        <v>0.5</v>
      </c>
      <c r="YR79" s="17">
        <v>0.5</v>
      </c>
      <c r="YS79" s="17">
        <v>0.5</v>
      </c>
      <c r="YT79" s="17">
        <v>0.5</v>
      </c>
      <c r="YU79" s="17">
        <v>0.5</v>
      </c>
      <c r="YV79" s="19"/>
      <c r="YW79" s="19"/>
      <c r="YX79" s="19"/>
      <c r="YY79" s="19"/>
      <c r="YZ79" s="414"/>
      <c r="ZA79" s="407"/>
      <c r="ZB79" s="408"/>
      <c r="ZC79" s="131">
        <f>SUM(YA79:ZB79)</f>
      </c>
      <c r="ZD79" s="374"/>
      <c r="ZE79" s="375"/>
      <c r="ZF79" s="15"/>
      <c r="ZG79" s="17">
        <v>0.5</v>
      </c>
      <c r="ZH79" s="17">
        <v>0.5</v>
      </c>
      <c r="ZI79" s="17">
        <v>0.5</v>
      </c>
      <c r="ZJ79" s="17">
        <v>0.5</v>
      </c>
      <c r="ZK79" s="17">
        <v>0.5</v>
      </c>
      <c r="ZL79" s="17">
        <v>0.5</v>
      </c>
      <c r="ZM79" s="406">
        <v>0.5</v>
      </c>
      <c r="ZN79" s="412"/>
      <c r="ZO79" s="19"/>
      <c r="ZP79" s="17">
        <v>0.5</v>
      </c>
      <c r="ZQ79" s="415">
        <v>0.5</v>
      </c>
      <c r="ZR79" s="405">
        <v>0.5</v>
      </c>
      <c r="ZS79" s="17">
        <v>0.5</v>
      </c>
      <c r="ZT79" s="17">
        <v>0.5</v>
      </c>
      <c r="ZU79" s="17">
        <v>0.5</v>
      </c>
      <c r="ZV79" s="17">
        <v>0.5</v>
      </c>
      <c r="ZW79" s="17">
        <v>0.5</v>
      </c>
      <c r="ZX79" s="17">
        <v>0.5</v>
      </c>
      <c r="ZY79" s="19"/>
      <c r="ZZ79" s="19"/>
      <c r="AAA79" s="19"/>
      <c r="AAB79" s="19"/>
      <c r="AAC79" s="414"/>
      <c r="AAD79" s="407"/>
      <c r="AAE79" s="408"/>
      <c r="AAF79" s="131">
        <f>SUM(ZD79:AAE79)</f>
      </c>
      <c r="AAG79" s="374"/>
      <c r="AAH79" s="375"/>
      <c r="AAI79" s="15"/>
      <c r="AAJ79" s="17">
        <v>0.5</v>
      </c>
      <c r="AAK79" s="17">
        <v>0.5</v>
      </c>
      <c r="AAL79" s="17">
        <v>0.5</v>
      </c>
      <c r="AAM79" s="17">
        <v>0.5</v>
      </c>
      <c r="AAN79" s="17">
        <v>0.5</v>
      </c>
      <c r="AAO79" s="17">
        <v>0.5</v>
      </c>
      <c r="AAP79" s="406">
        <v>0.5</v>
      </c>
      <c r="AAQ79" s="412"/>
      <c r="AAR79" s="19"/>
      <c r="AAS79" s="17">
        <v>0.5</v>
      </c>
      <c r="AAT79" s="415">
        <v>0.5</v>
      </c>
      <c r="AAU79" s="405">
        <v>0.5</v>
      </c>
      <c r="AAV79" s="17">
        <v>0.5</v>
      </c>
      <c r="AAW79" s="17">
        <v>0.5</v>
      </c>
      <c r="AAX79" s="17">
        <v>0.5</v>
      </c>
      <c r="AAY79" s="17">
        <v>0.5</v>
      </c>
      <c r="AAZ79" s="17">
        <v>0.5</v>
      </c>
      <c r="ABA79" s="17">
        <v>0.5</v>
      </c>
      <c r="ABB79" s="19"/>
      <c r="ABC79" s="19"/>
      <c r="ABD79" s="19"/>
      <c r="ABE79" s="19"/>
      <c r="ABF79" s="414"/>
      <c r="ABG79" s="407"/>
      <c r="ABH79" s="408"/>
      <c r="ABI79" s="131">
        <f>SUM(AAG79:ABH79)</f>
      </c>
      <c r="ABJ79" s="374"/>
      <c r="ABK79" s="375"/>
      <c r="ABL79" s="15"/>
      <c r="ABM79" s="17">
        <v>0.5</v>
      </c>
      <c r="ABN79" s="17">
        <v>0.5</v>
      </c>
      <c r="ABO79" s="17">
        <v>0.5</v>
      </c>
      <c r="ABP79" s="17">
        <v>0.5</v>
      </c>
      <c r="ABQ79" s="17">
        <v>0.5</v>
      </c>
      <c r="ABR79" s="17">
        <v>0.5</v>
      </c>
      <c r="ABS79" s="406">
        <v>0.5</v>
      </c>
      <c r="ABT79" s="412"/>
      <c r="ABU79" s="19"/>
      <c r="ABV79" s="17">
        <v>0.5</v>
      </c>
      <c r="ABW79" s="415">
        <v>0.5</v>
      </c>
      <c r="ABX79" s="405">
        <v>0.5</v>
      </c>
      <c r="ABY79" s="17">
        <v>0.5</v>
      </c>
      <c r="ABZ79" s="17">
        <v>0.5</v>
      </c>
      <c r="ACA79" s="17">
        <v>0.5</v>
      </c>
      <c r="ACB79" s="17">
        <v>0.5</v>
      </c>
      <c r="ACC79" s="17">
        <v>0.5</v>
      </c>
      <c r="ACD79" s="17">
        <v>0.5</v>
      </c>
      <c r="ACE79" s="19"/>
      <c r="ACF79" s="19"/>
      <c r="ACG79" s="19"/>
      <c r="ACH79" s="19"/>
      <c r="ACI79" s="414"/>
      <c r="ACJ79" s="407"/>
      <c r="ACK79" s="408"/>
      <c r="ACL79" s="131">
        <f>SUM(ABJ79:ACK79)</f>
      </c>
      <c r="ACM79" s="121"/>
      <c r="ACN79" s="122"/>
      <c r="ACO79" s="123"/>
      <c r="ACP79" s="124"/>
      <c r="ACQ79" s="124"/>
      <c r="ACR79" s="124"/>
      <c r="ACS79" s="124"/>
      <c r="ACT79" s="124"/>
      <c r="ACU79" s="124"/>
      <c r="ACV79" s="125"/>
      <c r="ACW79" s="126"/>
      <c r="ACX79" s="124"/>
      <c r="ACY79" s="124"/>
      <c r="ACZ79" s="127"/>
      <c r="ADA79" s="123"/>
      <c r="ADB79" s="124"/>
      <c r="ADC79" s="124"/>
      <c r="ADD79" s="124"/>
      <c r="ADE79" s="124"/>
      <c r="ADF79" s="124"/>
      <c r="ADG79" s="124"/>
      <c r="ADH79" s="124"/>
      <c r="ADI79" s="124"/>
      <c r="ADJ79" s="124"/>
      <c r="ADK79" s="124"/>
      <c r="ADL79" s="125"/>
      <c r="ADM79" s="301"/>
      <c r="ADN79" s="151"/>
      <c r="ADO79" s="131">
        <f>SUM(ACM79:ADN79)</f>
      </c>
      <c r="ADP79" s="121"/>
      <c r="ADQ79" s="122"/>
      <c r="ADR79" s="123"/>
      <c r="ADS79" s="124"/>
      <c r="ADT79" s="124"/>
      <c r="ADU79" s="124"/>
      <c r="ADV79" s="124"/>
      <c r="ADW79" s="124"/>
      <c r="ADX79" s="124"/>
      <c r="ADY79" s="125"/>
      <c r="ADZ79" s="126"/>
      <c r="AEA79" s="124"/>
      <c r="AEB79" s="124"/>
      <c r="AEC79" s="127"/>
      <c r="AED79" s="123"/>
      <c r="AEE79" s="124"/>
      <c r="AEF79" s="124"/>
      <c r="AEG79" s="124"/>
      <c r="AEH79" s="124"/>
      <c r="AEI79" s="124"/>
      <c r="AEJ79" s="124"/>
      <c r="AEK79" s="124"/>
      <c r="AEL79" s="124"/>
      <c r="AEM79" s="124"/>
      <c r="AEN79" s="124"/>
      <c r="AEO79" s="125"/>
      <c r="AEP79" s="301"/>
      <c r="AEQ79" s="151"/>
      <c r="AER79" s="131">
        <f>SUM(ADP79:AEQ79)</f>
      </c>
      <c r="AES79" s="150">
        <f>XZ79+ZC79+AAF79+ABI79+ACL79+ADO79+AER79</f>
      </c>
      <c r="AET79" s="302">
        <f>(COUNTIF(WX79:AER79,"H")+COUNTIF(WX79:AER79,"S")+COUNTIF(WX79:AER79,"L")+COUNTIF(WX79:AER79,"E")+COUNTIF(WX79:AER79,"C"))/2</f>
      </c>
      <c r="AEU79" s="131">
        <f>AES79+AET79</f>
      </c>
      <c r="AEV79" s="374"/>
      <c r="AEW79" s="375"/>
      <c r="AEX79" s="15"/>
      <c r="AEY79" s="17">
        <v>0.5</v>
      </c>
      <c r="AEZ79" s="17">
        <v>0.5</v>
      </c>
      <c r="AFA79" s="17">
        <v>0.5</v>
      </c>
      <c r="AFB79" s="17">
        <v>0.5</v>
      </c>
      <c r="AFC79" s="17">
        <v>0.5</v>
      </c>
      <c r="AFD79" s="17">
        <v>0.5</v>
      </c>
      <c r="AFE79" s="406">
        <v>0.5</v>
      </c>
      <c r="AFF79" s="412"/>
      <c r="AFG79" s="19"/>
      <c r="AFH79" s="17">
        <v>0.5</v>
      </c>
      <c r="AFI79" s="415">
        <v>0.5</v>
      </c>
      <c r="AFJ79" s="405">
        <v>0.5</v>
      </c>
      <c r="AFK79" s="17">
        <v>0.5</v>
      </c>
      <c r="AFL79" s="17">
        <v>0.5</v>
      </c>
      <c r="AFM79" s="17">
        <v>0.5</v>
      </c>
      <c r="AFN79" s="17">
        <v>0.5</v>
      </c>
      <c r="AFO79" s="17">
        <v>0.5</v>
      </c>
      <c r="AFP79" s="17">
        <v>0.5</v>
      </c>
      <c r="AFQ79" s="19"/>
      <c r="AFR79" s="19"/>
      <c r="AFS79" s="19"/>
      <c r="AFT79" s="19"/>
      <c r="AFU79" s="414"/>
      <c r="AFV79" s="407"/>
      <c r="AFW79" s="408"/>
      <c r="AFX79" s="131">
        <f>SUM(AEV79:AFW79)</f>
      </c>
      <c r="AFY79" s="374"/>
      <c r="AFZ79" s="375"/>
      <c r="AGA79" s="15"/>
      <c r="AGB79" s="17">
        <v>0.5</v>
      </c>
      <c r="AGC79" s="17">
        <v>0.5</v>
      </c>
      <c r="AGD79" s="17">
        <v>0.5</v>
      </c>
      <c r="AGE79" s="17">
        <v>0.5</v>
      </c>
      <c r="AGF79" s="17">
        <v>0.5</v>
      </c>
      <c r="AGG79" s="17">
        <v>0.5</v>
      </c>
      <c r="AGH79" s="406">
        <v>0.5</v>
      </c>
      <c r="AGI79" s="412"/>
      <c r="AGJ79" s="19"/>
      <c r="AGK79" s="17">
        <v>0.5</v>
      </c>
      <c r="AGL79" s="415">
        <v>0.5</v>
      </c>
      <c r="AGM79" s="405">
        <v>0.5</v>
      </c>
      <c r="AGN79" s="17">
        <v>0.5</v>
      </c>
      <c r="AGO79" s="17">
        <v>0.5</v>
      </c>
      <c r="AGP79" s="17">
        <v>0.5</v>
      </c>
      <c r="AGQ79" s="17">
        <v>0.5</v>
      </c>
      <c r="AGR79" s="17">
        <v>0.5</v>
      </c>
      <c r="AGS79" s="17">
        <v>0.5</v>
      </c>
      <c r="AGT79" s="19"/>
      <c r="AGU79" s="19"/>
      <c r="AGV79" s="19"/>
      <c r="AGW79" s="19"/>
      <c r="AGX79" s="414"/>
      <c r="AGY79" s="407"/>
      <c r="AGZ79" s="408"/>
      <c r="AHA79" s="131">
        <f>SUM(AFY79:AGZ79)</f>
      </c>
      <c r="AHB79" s="374"/>
      <c r="AHC79" s="375"/>
      <c r="AHD79" s="15"/>
      <c r="AHE79" s="17">
        <v>0.5</v>
      </c>
      <c r="AHF79" s="17">
        <v>0.5</v>
      </c>
      <c r="AHG79" s="17">
        <v>0.5</v>
      </c>
      <c r="AHH79" s="17">
        <v>0.5</v>
      </c>
      <c r="AHI79" s="17">
        <v>0.5</v>
      </c>
      <c r="AHJ79" s="17">
        <v>0.5</v>
      </c>
      <c r="AHK79" s="406">
        <v>0.5</v>
      </c>
      <c r="AHL79" s="412"/>
      <c r="AHM79" s="19"/>
      <c r="AHN79" s="17">
        <v>0.5</v>
      </c>
      <c r="AHO79" s="415">
        <v>0.5</v>
      </c>
      <c r="AHP79" s="405">
        <v>0.5</v>
      </c>
      <c r="AHQ79" s="17">
        <v>0.5</v>
      </c>
      <c r="AHR79" s="17">
        <v>0.5</v>
      </c>
      <c r="AHS79" s="17">
        <v>0.5</v>
      </c>
      <c r="AHT79" s="17">
        <v>0.5</v>
      </c>
      <c r="AHU79" s="17">
        <v>0.5</v>
      </c>
      <c r="AHV79" s="17">
        <v>0.5</v>
      </c>
      <c r="AHW79" s="19"/>
      <c r="AHX79" s="19"/>
      <c r="AHY79" s="19"/>
      <c r="AHZ79" s="19"/>
      <c r="AIA79" s="414"/>
      <c r="AIB79" s="407"/>
      <c r="AIC79" s="408"/>
      <c r="AID79" s="131">
        <f>SUM(AHB79:AIC79)</f>
      </c>
      <c r="AIE79" s="374"/>
      <c r="AIF79" s="375"/>
      <c r="AIG79" s="15"/>
      <c r="AIH79" s="17">
        <v>0.5</v>
      </c>
      <c r="AII79" s="17">
        <v>0.5</v>
      </c>
      <c r="AIJ79" s="17">
        <v>0.5</v>
      </c>
      <c r="AIK79" s="17">
        <v>0.5</v>
      </c>
      <c r="AIL79" s="17">
        <v>0.5</v>
      </c>
      <c r="AIM79" s="17">
        <v>0.5</v>
      </c>
      <c r="AIN79" s="406">
        <v>0.5</v>
      </c>
      <c r="AIO79" s="412"/>
      <c r="AIP79" s="19"/>
      <c r="AIQ79" s="17">
        <v>0.5</v>
      </c>
      <c r="AIR79" s="415">
        <v>0.5</v>
      </c>
      <c r="AIS79" s="405">
        <v>0.5</v>
      </c>
      <c r="AIT79" s="17">
        <v>0.5</v>
      </c>
      <c r="AIU79" s="17">
        <v>0.5</v>
      </c>
      <c r="AIV79" s="17">
        <v>0.5</v>
      </c>
      <c r="AIW79" s="17">
        <v>0.5</v>
      </c>
      <c r="AIX79" s="17">
        <v>0.5</v>
      </c>
      <c r="AIY79" s="17">
        <v>0.5</v>
      </c>
      <c r="AIZ79" s="19"/>
      <c r="AJA79" s="19"/>
      <c r="AJB79" s="19"/>
      <c r="AJC79" s="19"/>
      <c r="AJD79" s="414"/>
      <c r="AJE79" s="407"/>
      <c r="AJF79" s="408"/>
      <c r="AJG79" s="131">
        <f>SUM(AIE79:AJF79)</f>
      </c>
      <c r="AJH79" s="374"/>
      <c r="AJI79" s="375"/>
      <c r="AJJ79" s="15"/>
      <c r="AJK79" s="17">
        <v>0.5</v>
      </c>
      <c r="AJL79" s="17">
        <v>0.5</v>
      </c>
      <c r="AJM79" s="17">
        <v>0.5</v>
      </c>
      <c r="AJN79" s="17">
        <v>0.5</v>
      </c>
      <c r="AJO79" s="17">
        <v>0.5</v>
      </c>
      <c r="AJP79" s="17">
        <v>0.5</v>
      </c>
      <c r="AJQ79" s="406">
        <v>0.5</v>
      </c>
      <c r="AJR79" s="412"/>
      <c r="AJS79" s="19"/>
      <c r="AJT79" s="17">
        <v>0.5</v>
      </c>
      <c r="AJU79" s="415">
        <v>0.5</v>
      </c>
      <c r="AJV79" s="405">
        <v>0.5</v>
      </c>
      <c r="AJW79" s="17">
        <v>0.5</v>
      </c>
      <c r="AJX79" s="17">
        <v>0.5</v>
      </c>
      <c r="AJY79" s="17">
        <v>0.5</v>
      </c>
      <c r="AJZ79" s="17">
        <v>0.5</v>
      </c>
      <c r="AKA79" s="17">
        <v>0.5</v>
      </c>
      <c r="AKB79" s="17">
        <v>0.5</v>
      </c>
      <c r="AKC79" s="19"/>
      <c r="AKD79" s="19"/>
      <c r="AKE79" s="19"/>
      <c r="AKF79" s="19"/>
      <c r="AKG79" s="414"/>
      <c r="AKH79" s="407"/>
      <c r="AKI79" s="408"/>
      <c r="AKJ79" s="131">
        <f>SUM(AJH79:AKI79)</f>
      </c>
      <c r="AKK79" s="121"/>
      <c r="AKL79" s="122"/>
      <c r="AKM79" s="123"/>
      <c r="AKN79" s="124"/>
      <c r="AKO79" s="124"/>
      <c r="AKP79" s="124"/>
      <c r="AKQ79" s="124"/>
      <c r="AKR79" s="124"/>
      <c r="AKS79" s="124"/>
      <c r="AKT79" s="125"/>
      <c r="AKU79" s="126"/>
      <c r="AKV79" s="124"/>
      <c r="AKW79" s="124"/>
      <c r="AKX79" s="127"/>
      <c r="AKY79" s="123"/>
      <c r="AKZ79" s="124"/>
      <c r="ALA79" s="124"/>
      <c r="ALB79" s="124"/>
      <c r="ALC79" s="124"/>
      <c r="ALD79" s="124"/>
      <c r="ALE79" s="124"/>
      <c r="ALF79" s="124"/>
      <c r="ALG79" s="124"/>
      <c r="ALH79" s="124"/>
      <c r="ALI79" s="124"/>
      <c r="ALJ79" s="125"/>
      <c r="ALK79" s="301"/>
      <c r="ALL79" s="151"/>
      <c r="ALM79" s="131">
        <f>SUM(AKK79:ALL79)</f>
      </c>
      <c r="ALN79" s="121"/>
      <c r="ALO79" s="122"/>
      <c r="ALP79" s="123"/>
      <c r="ALQ79" s="124"/>
      <c r="ALR79" s="124"/>
      <c r="ALS79" s="124"/>
      <c r="ALT79" s="124"/>
      <c r="ALU79" s="124"/>
      <c r="ALV79" s="124"/>
      <c r="ALW79" s="125"/>
      <c r="ALX79" s="126"/>
      <c r="ALY79" s="124"/>
      <c r="ALZ79" s="124"/>
      <c r="AMA79" s="127"/>
      <c r="AMB79" s="123"/>
      <c r="AMC79" s="124"/>
      <c r="AMD79" s="124"/>
      <c r="AME79" s="124"/>
      <c r="AMF79" s="124"/>
      <c r="AMG79" s="124"/>
      <c r="AMH79" s="124"/>
      <c r="AMI79" s="124"/>
      <c r="AMJ79" s="124"/>
      <c r="AMK79" s="124"/>
      <c r="AML79" s="124"/>
      <c r="AMM79" s="125"/>
      <c r="AMN79" s="301"/>
      <c r="AMO79" s="151"/>
      <c r="AMP79" s="131">
        <f>SUM(ALN79:AMO79)</f>
      </c>
      <c r="AMQ79" s="150">
        <f>AFX79+AHA79+AID79+AJG79+AKJ79+ALM79+AMP79</f>
      </c>
      <c r="AMR79" s="302">
        <f>(COUNTIF(AEV79:AMP79,"H")+COUNTIF(AEV79:AMP79,"S")+COUNTIF(AEV79:AMP79,"L")+COUNTIF(AEV79:AMP79,"E")+COUNTIF(AEV79:AMP79,"C"))/2</f>
      </c>
      <c r="AMS79" s="131">
        <f>AMQ79+AMR79</f>
      </c>
      <c r="AMT79" s="4"/>
      <c r="AMU79" s="4"/>
      <c r="AMV79" s="4"/>
      <c r="AMW79" s="4"/>
      <c r="AMX79" s="4"/>
      <c r="AMY79" s="4"/>
      <c r="AMZ79" s="4"/>
      <c r="ANA79" s="4"/>
      <c r="ANB79" s="4"/>
      <c r="ANC79" s="4"/>
      <c r="AND79" s="4"/>
      <c r="ANE79" s="4"/>
      <c r="ANF79" s="4"/>
      <c r="ANG79" s="4"/>
      <c r="ANH79" s="4"/>
      <c r="ANI79" s="4"/>
      <c r="ANJ79" s="13"/>
      <c r="ANK79" s="13"/>
      <c r="ANL79" s="4"/>
      <c r="ANM79" s="4"/>
      <c r="ANN79" s="4"/>
      <c r="ANO79" s="4"/>
      <c r="ANP79" s="4"/>
      <c r="ANQ79" s="4"/>
      <c r="ANR79" s="4"/>
      <c r="ANS79" s="4"/>
      <c r="ANT79" s="4"/>
      <c r="ANU79" s="4"/>
      <c r="ANV79" s="4"/>
      <c r="ANW79" s="4"/>
      <c r="ANX79" s="4"/>
      <c r="ANY79" s="4"/>
      <c r="ANZ79" s="4"/>
      <c r="AOA79" s="4"/>
      <c r="AOB79" s="4"/>
      <c r="AOC79" s="4"/>
      <c r="AOD79" s="4"/>
      <c r="AOE79" s="4"/>
      <c r="AOF79" s="4"/>
      <c r="AOG79" s="4"/>
      <c r="AOH79" s="4"/>
      <c r="AOI79" s="4"/>
      <c r="AOJ79" s="4"/>
      <c r="AOK79" s="4"/>
      <c r="AOL79" s="4"/>
      <c r="AOM79" s="4"/>
      <c r="AON79" s="4"/>
      <c r="AOO79" s="4"/>
      <c r="AOP79" s="4"/>
      <c r="AOQ79" s="4"/>
      <c r="AOR79" s="4"/>
      <c r="AOS79" s="4"/>
      <c r="AOT79" s="4"/>
      <c r="AOU79" s="4"/>
      <c r="AOV79" s="4"/>
      <c r="AOW79" s="4"/>
      <c r="AOX79" s="4"/>
      <c r="AOY79" s="4"/>
      <c r="AOZ79" s="4"/>
      <c r="APA79" s="4"/>
      <c r="APB79" s="4"/>
      <c r="APC79" s="4"/>
      <c r="APD79" s="4"/>
      <c r="APE79" s="4"/>
      <c r="APF79" s="4"/>
      <c r="APG79" s="4"/>
      <c r="APH79" s="4"/>
      <c r="API79" s="4"/>
      <c r="APJ79" s="4"/>
      <c r="APK79" s="4"/>
      <c r="APL79" s="4"/>
      <c r="APM79" s="4"/>
      <c r="APN79" s="4"/>
      <c r="APO79" s="4"/>
      <c r="APP79" s="4"/>
      <c r="APQ79" s="4"/>
      <c r="APR79" s="4"/>
      <c r="APS79" s="4"/>
      <c r="APT79" s="4"/>
      <c r="APU79" s="4"/>
      <c r="APV79" s="4"/>
      <c r="APW79" s="4"/>
      <c r="APX79" s="4"/>
      <c r="APY79" s="4"/>
      <c r="APZ79" s="4"/>
      <c r="AQA79" s="4"/>
      <c r="AQB79" s="4"/>
      <c r="AQC79" s="4"/>
      <c r="AQD79" s="4"/>
      <c r="AQE79" s="4"/>
      <c r="AQF79" s="4"/>
      <c r="AQG79" s="4"/>
      <c r="AQH79" s="4"/>
      <c r="AQI79" s="4"/>
      <c r="AQJ79" s="4"/>
      <c r="AQK79" s="4"/>
      <c r="AQL79" s="4"/>
      <c r="AQM79" s="4"/>
      <c r="AQN79" s="4"/>
      <c r="AQO79" s="4"/>
      <c r="AQP79" s="4"/>
      <c r="AQQ79" s="4"/>
      <c r="AQR79" s="4"/>
      <c r="AQS79" s="4"/>
      <c r="AQT79" s="4"/>
      <c r="AQU79" s="4"/>
      <c r="AQV79" s="4"/>
      <c r="AQW79" s="4"/>
      <c r="AQX79" s="4"/>
      <c r="AQY79" s="4"/>
      <c r="AQZ79" s="4"/>
      <c r="ARA79" s="4"/>
      <c r="ARB79" s="4"/>
      <c r="ARC79" s="4"/>
      <c r="ARD79" s="4"/>
      <c r="ARE79" s="4"/>
      <c r="ARF79" s="4"/>
      <c r="ARG79" s="4"/>
      <c r="ARH79" s="4"/>
      <c r="ARI79" s="4"/>
      <c r="ARJ79" s="4"/>
      <c r="ARK79" s="4"/>
      <c r="ARL79" s="4"/>
      <c r="ARM79" s="4"/>
      <c r="ARN79" s="4"/>
      <c r="ARO79" s="4"/>
      <c r="ARP79" s="4"/>
      <c r="ARQ79" s="4"/>
      <c r="ARR79" s="4"/>
      <c r="ARS79" s="4"/>
      <c r="ART79" s="4"/>
      <c r="ARU79" s="4"/>
      <c r="ARV79" s="4"/>
      <c r="ARW79" s="4"/>
      <c r="ARX79" s="4"/>
      <c r="ARY79" s="4"/>
      <c r="ARZ79" s="4"/>
      <c r="ASA79" s="4"/>
      <c r="ASB79" s="4"/>
      <c r="ASC79" s="4"/>
      <c r="ASD79" s="4"/>
      <c r="ASE79" s="4"/>
      <c r="ASF79" s="4"/>
      <c r="ASG79" s="4"/>
      <c r="ASH79" s="4"/>
      <c r="ASI79" s="4"/>
      <c r="ASJ79" s="4"/>
      <c r="ASK79" s="4"/>
      <c r="ASL79" s="4"/>
      <c r="ASM79" s="4"/>
      <c r="ASN79" s="4"/>
      <c r="ASO79" s="4"/>
      <c r="ASP79" s="4"/>
      <c r="ASQ79" s="4"/>
      <c r="ASR79" s="4"/>
      <c r="ASS79" s="4"/>
      <c r="AST79" s="4"/>
      <c r="ASU79" s="4"/>
    </row>
    <row r="80" ht="15" customHeight="1" spans="1:1191" x14ac:dyDescent="0.25">
      <c r="A80" s="118"/>
      <c r="B80" s="403" t="s">
        <v>118</v>
      </c>
      <c r="C80" s="289" t="s">
        <v>55</v>
      </c>
      <c r="D80" s="121"/>
      <c r="E80" s="122"/>
      <c r="F80" s="123"/>
      <c r="G80" s="124"/>
      <c r="H80" s="124"/>
      <c r="I80" s="124"/>
      <c r="J80" s="124"/>
      <c r="K80" s="124"/>
      <c r="L80" s="124"/>
      <c r="M80" s="125"/>
      <c r="N80" s="126"/>
      <c r="O80" s="124"/>
      <c r="P80" s="124"/>
      <c r="Q80" s="127"/>
      <c r="R80" s="123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5"/>
      <c r="AD80" s="301"/>
      <c r="AE80" s="151"/>
      <c r="AF80" s="131">
        <f>SUM(D80:AE80)</f>
      </c>
      <c r="AG80" s="121"/>
      <c r="AH80" s="122"/>
      <c r="AI80" s="123"/>
      <c r="AJ80" s="124"/>
      <c r="AK80" s="124"/>
      <c r="AL80" s="124"/>
      <c r="AM80" s="124"/>
      <c r="AN80" s="124"/>
      <c r="AO80" s="124"/>
      <c r="AP80" s="125"/>
      <c r="AQ80" s="126"/>
      <c r="AR80" s="124"/>
      <c r="AS80" s="124"/>
      <c r="AT80" s="127"/>
      <c r="AU80" s="123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5"/>
      <c r="BG80" s="301"/>
      <c r="BH80" s="151"/>
      <c r="BI80" s="131">
        <f>SUM(AG80:BH80)</f>
      </c>
      <c r="BJ80" s="121"/>
      <c r="BK80" s="122"/>
      <c r="BL80" s="123"/>
      <c r="BM80" s="124"/>
      <c r="BN80" s="124"/>
      <c r="BO80" s="124"/>
      <c r="BP80" s="124"/>
      <c r="BQ80" s="124"/>
      <c r="BR80" s="124"/>
      <c r="BS80" s="125"/>
      <c r="BT80" s="126"/>
      <c r="BU80" s="124"/>
      <c r="BV80" s="124"/>
      <c r="BW80" s="127"/>
      <c r="BX80" s="123"/>
      <c r="BY80" s="124"/>
      <c r="BZ80" s="124"/>
      <c r="CA80" s="124"/>
      <c r="CB80" s="124"/>
      <c r="CC80" s="124"/>
      <c r="CD80" s="124"/>
      <c r="CE80" s="124"/>
      <c r="CF80" s="124"/>
      <c r="CG80" s="124"/>
      <c r="CH80" s="124"/>
      <c r="CI80" s="125"/>
      <c r="CJ80" s="301"/>
      <c r="CK80" s="151"/>
      <c r="CL80" s="131">
        <f>SUM(BJ80:CK80)</f>
      </c>
      <c r="CM80" s="121"/>
      <c r="CN80" s="122"/>
      <c r="CO80" s="123"/>
      <c r="CP80" s="124"/>
      <c r="CQ80" s="124"/>
      <c r="CR80" s="124"/>
      <c r="CS80" s="124"/>
      <c r="CT80" s="124"/>
      <c r="CU80" s="124"/>
      <c r="CV80" s="125"/>
      <c r="CW80" s="126"/>
      <c r="CX80" s="124"/>
      <c r="CY80" s="124"/>
      <c r="CZ80" s="127"/>
      <c r="DA80" s="123"/>
      <c r="DB80" s="124"/>
      <c r="DC80" s="124"/>
      <c r="DD80" s="124"/>
      <c r="DE80" s="124"/>
      <c r="DF80" s="124"/>
      <c r="DG80" s="124"/>
      <c r="DH80" s="124"/>
      <c r="DI80" s="124"/>
      <c r="DJ80" s="124"/>
      <c r="DK80" s="124"/>
      <c r="DL80" s="125"/>
      <c r="DM80" s="301"/>
      <c r="DN80" s="151"/>
      <c r="DO80" s="131">
        <f>SUM(CM80:DN80)</f>
      </c>
      <c r="DP80" s="121"/>
      <c r="DQ80" s="122"/>
      <c r="DR80" s="123"/>
      <c r="DS80" s="124"/>
      <c r="DT80" s="124"/>
      <c r="DU80" s="124"/>
      <c r="DV80" s="124"/>
      <c r="DW80" s="124"/>
      <c r="DX80" s="124"/>
      <c r="DY80" s="125"/>
      <c r="DZ80" s="126"/>
      <c r="EA80" s="124"/>
      <c r="EB80" s="124"/>
      <c r="EC80" s="127"/>
      <c r="ED80" s="123"/>
      <c r="EE80" s="124"/>
      <c r="EF80" s="124"/>
      <c r="EG80" s="124"/>
      <c r="EH80" s="124"/>
      <c r="EI80" s="124"/>
      <c r="EJ80" s="124"/>
      <c r="EK80" s="124"/>
      <c r="EL80" s="124"/>
      <c r="EM80" s="124"/>
      <c r="EN80" s="124"/>
      <c r="EO80" s="125"/>
      <c r="EP80" s="301"/>
      <c r="EQ80" s="151"/>
      <c r="ER80" s="131">
        <f>SUM(DP80:EQ80)</f>
      </c>
      <c r="ES80" s="121"/>
      <c r="ET80" s="122"/>
      <c r="EU80" s="123"/>
      <c r="EV80" s="124"/>
      <c r="EW80" s="124"/>
      <c r="EX80" s="124"/>
      <c r="EY80" s="124"/>
      <c r="EZ80" s="124"/>
      <c r="FA80" s="124"/>
      <c r="FB80" s="125"/>
      <c r="FC80" s="126"/>
      <c r="FD80" s="124"/>
      <c r="FE80" s="124"/>
      <c r="FF80" s="127"/>
      <c r="FG80" s="123"/>
      <c r="FH80" s="124"/>
      <c r="FI80" s="124"/>
      <c r="FJ80" s="124"/>
      <c r="FK80" s="124"/>
      <c r="FL80" s="124"/>
      <c r="FM80" s="124"/>
      <c r="FN80" s="124"/>
      <c r="FO80" s="124"/>
      <c r="FP80" s="124"/>
      <c r="FQ80" s="124"/>
      <c r="FR80" s="125"/>
      <c r="FS80" s="301"/>
      <c r="FT80" s="151"/>
      <c r="FU80" s="131">
        <f>SUM(ES80:FT80)</f>
      </c>
      <c r="FV80" s="121"/>
      <c r="FW80" s="122"/>
      <c r="FX80" s="123"/>
      <c r="FY80" s="124"/>
      <c r="FZ80" s="124"/>
      <c r="GA80" s="124"/>
      <c r="GB80" s="124"/>
      <c r="GC80" s="124"/>
      <c r="GD80" s="124"/>
      <c r="GE80" s="125"/>
      <c r="GF80" s="126"/>
      <c r="GG80" s="124"/>
      <c r="GH80" s="124"/>
      <c r="GI80" s="127"/>
      <c r="GJ80" s="123"/>
      <c r="GK80" s="124"/>
      <c r="GL80" s="124"/>
      <c r="GM80" s="124"/>
      <c r="GN80" s="124"/>
      <c r="GO80" s="124"/>
      <c r="GP80" s="124"/>
      <c r="GQ80" s="124"/>
      <c r="GR80" s="124"/>
      <c r="GS80" s="124"/>
      <c r="GT80" s="124"/>
      <c r="GU80" s="125"/>
      <c r="GV80" s="301"/>
      <c r="GW80" s="151"/>
      <c r="GX80" s="131">
        <f>SUM(FV80:GW80)</f>
      </c>
      <c r="GY80" s="150">
        <f>AF80+BI80+CL80+DO80+ER80+FU80+GX80</f>
      </c>
      <c r="GZ80" s="302">
        <f>(COUNTIF(D80:GX80,"H")+COUNTIF(D80:GX80,"S")+COUNTIF(D80:GX80,"L")+COUNTIF(D80:GX80,"E")+COUNTIF(D80:GX80,"C"))/2</f>
      </c>
      <c r="HA80" s="131">
        <f>GY80+GZ80</f>
      </c>
      <c r="HB80" s="374"/>
      <c r="HC80" s="375"/>
      <c r="HD80" s="420">
        <v>0.5</v>
      </c>
      <c r="HE80" s="25">
        <v>0.5</v>
      </c>
      <c r="HF80" s="25">
        <v>0.5</v>
      </c>
      <c r="HG80" s="25">
        <v>0.5</v>
      </c>
      <c r="HH80" s="25">
        <v>0.5</v>
      </c>
      <c r="HI80" s="25">
        <v>0.5</v>
      </c>
      <c r="HJ80" s="25">
        <v>0.5</v>
      </c>
      <c r="HK80" s="418">
        <v>0.5</v>
      </c>
      <c r="HL80" s="412"/>
      <c r="HM80" s="19"/>
      <c r="HN80" s="25">
        <v>0.5</v>
      </c>
      <c r="HO80" s="419">
        <v>0.5</v>
      </c>
      <c r="HP80" s="420">
        <v>0.5</v>
      </c>
      <c r="HQ80" s="25">
        <v>0.5</v>
      </c>
      <c r="HR80" s="25">
        <v>0.5</v>
      </c>
      <c r="HS80" s="25">
        <v>0.5</v>
      </c>
      <c r="HT80" s="25">
        <v>0.5</v>
      </c>
      <c r="HU80" s="25">
        <v>0.5</v>
      </c>
      <c r="HV80" s="19"/>
      <c r="HW80" s="19"/>
      <c r="HX80" s="19"/>
      <c r="HY80" s="19"/>
      <c r="HZ80" s="19"/>
      <c r="IA80" s="414"/>
      <c r="IB80" s="407"/>
      <c r="IC80" s="408"/>
      <c r="ID80" s="131">
        <f>SUM(HB80:IC80)</f>
      </c>
      <c r="IE80" s="374"/>
      <c r="IF80" s="375"/>
      <c r="IG80" s="420">
        <v>0.5</v>
      </c>
      <c r="IH80" s="25">
        <v>0.5</v>
      </c>
      <c r="II80" s="25">
        <v>0.5</v>
      </c>
      <c r="IJ80" s="25">
        <v>0.5</v>
      </c>
      <c r="IK80" s="25">
        <v>0.5</v>
      </c>
      <c r="IL80" s="25">
        <v>0.5</v>
      </c>
      <c r="IM80" s="25">
        <v>0.5</v>
      </c>
      <c r="IN80" s="418">
        <v>0.5</v>
      </c>
      <c r="IO80" s="412"/>
      <c r="IP80" s="19"/>
      <c r="IQ80" s="25">
        <v>0.5</v>
      </c>
      <c r="IR80" s="419">
        <v>0.5</v>
      </c>
      <c r="IS80" s="420">
        <v>0.5</v>
      </c>
      <c r="IT80" s="25">
        <v>0.5</v>
      </c>
      <c r="IU80" s="25">
        <v>0.5</v>
      </c>
      <c r="IV80" s="25">
        <v>0.5</v>
      </c>
      <c r="IW80" s="25">
        <v>0.5</v>
      </c>
      <c r="IX80" s="25">
        <v>0.5</v>
      </c>
      <c r="IY80" s="19"/>
      <c r="IZ80" s="19"/>
      <c r="JA80" s="19"/>
      <c r="JB80" s="19"/>
      <c r="JC80" s="19"/>
      <c r="JD80" s="414"/>
      <c r="JE80" s="407"/>
      <c r="JF80" s="408"/>
      <c r="JG80" s="131">
        <f>SUM(IE80:JF80)</f>
      </c>
      <c r="JH80" s="374"/>
      <c r="JI80" s="375"/>
      <c r="JJ80" s="420">
        <v>0.5</v>
      </c>
      <c r="JK80" s="25">
        <v>0.5</v>
      </c>
      <c r="JL80" s="25">
        <v>0.5</v>
      </c>
      <c r="JM80" s="25">
        <v>0.5</v>
      </c>
      <c r="JN80" s="25">
        <v>0.5</v>
      </c>
      <c r="JO80" s="25">
        <v>0.5</v>
      </c>
      <c r="JP80" s="25">
        <v>0.5</v>
      </c>
      <c r="JQ80" s="418">
        <v>0.5</v>
      </c>
      <c r="JR80" s="412"/>
      <c r="JS80" s="19"/>
      <c r="JT80" s="25">
        <v>0.5</v>
      </c>
      <c r="JU80" s="419">
        <v>0.5</v>
      </c>
      <c r="JV80" s="420">
        <v>0.5</v>
      </c>
      <c r="JW80" s="25">
        <v>0.5</v>
      </c>
      <c r="JX80" s="25">
        <v>0.5</v>
      </c>
      <c r="JY80" s="25">
        <v>0.5</v>
      </c>
      <c r="JZ80" s="25">
        <v>0.5</v>
      </c>
      <c r="KA80" s="25">
        <v>0.5</v>
      </c>
      <c r="KB80" s="19"/>
      <c r="KC80" s="19"/>
      <c r="KD80" s="19"/>
      <c r="KE80" s="19"/>
      <c r="KF80" s="19"/>
      <c r="KG80" s="414"/>
      <c r="KH80" s="407"/>
      <c r="KI80" s="408"/>
      <c r="KJ80" s="131">
        <f>SUM(JH80:KI80)</f>
      </c>
      <c r="KK80" s="374"/>
      <c r="KL80" s="375"/>
      <c r="KM80" s="420">
        <v>0.5</v>
      </c>
      <c r="KN80" s="25">
        <v>0.5</v>
      </c>
      <c r="KO80" s="25">
        <v>0.5</v>
      </c>
      <c r="KP80" s="25">
        <v>0.5</v>
      </c>
      <c r="KQ80" s="25">
        <v>0.5</v>
      </c>
      <c r="KR80" s="25">
        <v>0.5</v>
      </c>
      <c r="KS80" s="25">
        <v>0.5</v>
      </c>
      <c r="KT80" s="418">
        <v>0.5</v>
      </c>
      <c r="KU80" s="412"/>
      <c r="KV80" s="19"/>
      <c r="KW80" s="25">
        <v>0.5</v>
      </c>
      <c r="KX80" s="419">
        <v>0.5</v>
      </c>
      <c r="KY80" s="420">
        <v>0.5</v>
      </c>
      <c r="KZ80" s="25">
        <v>0.5</v>
      </c>
      <c r="LA80" s="25">
        <v>0.5</v>
      </c>
      <c r="LB80" s="25">
        <v>0.5</v>
      </c>
      <c r="LC80" s="25">
        <v>0.5</v>
      </c>
      <c r="LD80" s="25">
        <v>0.5</v>
      </c>
      <c r="LE80" s="19"/>
      <c r="LF80" s="19"/>
      <c r="LG80" s="19"/>
      <c r="LH80" s="19"/>
      <c r="LI80" s="19"/>
      <c r="LJ80" s="414"/>
      <c r="LK80" s="407"/>
      <c r="LL80" s="408"/>
      <c r="LM80" s="131">
        <f>SUM(KK80:LL80)</f>
      </c>
      <c r="LN80" s="374"/>
      <c r="LO80" s="375"/>
      <c r="LP80" s="15"/>
      <c r="LQ80" s="18" t="s">
        <v>4</v>
      </c>
      <c r="LR80" s="18" t="s">
        <v>4</v>
      </c>
      <c r="LS80" s="18" t="s">
        <v>4</v>
      </c>
      <c r="LT80" s="18" t="s">
        <v>4</v>
      </c>
      <c r="LU80" s="18" t="s">
        <v>4</v>
      </c>
      <c r="LV80" s="18" t="s">
        <v>4</v>
      </c>
      <c r="LW80" s="222" t="s">
        <v>4</v>
      </c>
      <c r="LX80" s="412"/>
      <c r="LY80" s="19"/>
      <c r="LZ80" s="18" t="s">
        <v>4</v>
      </c>
      <c r="MA80" s="224" t="s">
        <v>4</v>
      </c>
      <c r="MB80" s="225" t="s">
        <v>4</v>
      </c>
      <c r="MC80" s="18" t="s">
        <v>4</v>
      </c>
      <c r="MD80" s="18" t="s">
        <v>4</v>
      </c>
      <c r="ME80" s="18" t="s">
        <v>4</v>
      </c>
      <c r="MF80" s="18" t="s">
        <v>4</v>
      </c>
      <c r="MG80" s="18" t="s">
        <v>4</v>
      </c>
      <c r="MH80" s="18" t="s">
        <v>4</v>
      </c>
      <c r="MI80" s="19"/>
      <c r="MJ80" s="19"/>
      <c r="MK80" s="19"/>
      <c r="ML80" s="19"/>
      <c r="MM80" s="414"/>
      <c r="MN80" s="407"/>
      <c r="MO80" s="408"/>
      <c r="MP80" s="131">
        <f>SUM(LN80:MO80)</f>
      </c>
      <c r="MQ80" s="121"/>
      <c r="MR80" s="122"/>
      <c r="MS80" s="123"/>
      <c r="MT80" s="124"/>
      <c r="MU80" s="124"/>
      <c r="MV80" s="124"/>
      <c r="MW80" s="124"/>
      <c r="MX80" s="124"/>
      <c r="MY80" s="124"/>
      <c r="MZ80" s="125"/>
      <c r="NA80" s="126"/>
      <c r="NB80" s="124"/>
      <c r="NC80" s="124"/>
      <c r="ND80" s="127"/>
      <c r="NE80" s="123"/>
      <c r="NF80" s="124"/>
      <c r="NG80" s="124"/>
      <c r="NH80" s="124"/>
      <c r="NI80" s="124"/>
      <c r="NJ80" s="124"/>
      <c r="NK80" s="124"/>
      <c r="NL80" s="124"/>
      <c r="NM80" s="124"/>
      <c r="NN80" s="124"/>
      <c r="NO80" s="124"/>
      <c r="NP80" s="125"/>
      <c r="NQ80" s="301"/>
      <c r="NR80" s="151"/>
      <c r="NS80" s="131">
        <f>SUM(MQ80:NR80)</f>
      </c>
      <c r="NT80" s="121"/>
      <c r="NU80" s="122"/>
      <c r="NV80" s="123"/>
      <c r="NW80" s="124"/>
      <c r="NX80" s="124"/>
      <c r="NY80" s="124"/>
      <c r="NZ80" s="124"/>
      <c r="OA80" s="124"/>
      <c r="OB80" s="124"/>
      <c r="OC80" s="125"/>
      <c r="OD80" s="126"/>
      <c r="OE80" s="124"/>
      <c r="OF80" s="124"/>
      <c r="OG80" s="127"/>
      <c r="OH80" s="123"/>
      <c r="OI80" s="124"/>
      <c r="OJ80" s="124"/>
      <c r="OK80" s="124"/>
      <c r="OL80" s="124"/>
      <c r="OM80" s="124"/>
      <c r="ON80" s="124"/>
      <c r="OO80" s="124"/>
      <c r="OP80" s="124"/>
      <c r="OQ80" s="124"/>
      <c r="OR80" s="124"/>
      <c r="OS80" s="125"/>
      <c r="OT80" s="301"/>
      <c r="OU80" s="151"/>
      <c r="OV80" s="131">
        <f>SUM(NT80:OU80)</f>
      </c>
      <c r="OW80" s="150">
        <f>ID80+JG80+KJ80+LM80+MP80+NS80+OV80</f>
      </c>
      <c r="OX80" s="302">
        <f>(COUNTIF(HB80:OV80,"H")+COUNTIF(HB80:OV80,"S")+COUNTIF(HB80:OV80,"L")+COUNTIF(HB80:OV80,"E")+COUNTIF(HB80:OV80,"C"))/2</f>
      </c>
      <c r="OY80" s="131">
        <f>OW80+OX80</f>
      </c>
      <c r="OZ80" s="374"/>
      <c r="PA80" s="375"/>
      <c r="PB80" s="15"/>
      <c r="PC80" s="18" t="s">
        <v>4</v>
      </c>
      <c r="PD80" s="18" t="s">
        <v>4</v>
      </c>
      <c r="PE80" s="18" t="s">
        <v>4</v>
      </c>
      <c r="PF80" s="18" t="s">
        <v>4</v>
      </c>
      <c r="PG80" s="18" t="s">
        <v>4</v>
      </c>
      <c r="PH80" s="18" t="s">
        <v>4</v>
      </c>
      <c r="PI80" s="222" t="s">
        <v>4</v>
      </c>
      <c r="PJ80" s="412"/>
      <c r="PK80" s="19"/>
      <c r="PL80" s="18" t="s">
        <v>4</v>
      </c>
      <c r="PM80" s="224" t="s">
        <v>4</v>
      </c>
      <c r="PN80" s="225" t="s">
        <v>4</v>
      </c>
      <c r="PO80" s="18" t="s">
        <v>4</v>
      </c>
      <c r="PP80" s="18" t="s">
        <v>4</v>
      </c>
      <c r="PQ80" s="18" t="s">
        <v>4</v>
      </c>
      <c r="PR80" s="18" t="s">
        <v>4</v>
      </c>
      <c r="PS80" s="18" t="s">
        <v>4</v>
      </c>
      <c r="PT80" s="18" t="s">
        <v>4</v>
      </c>
      <c r="PU80" s="19"/>
      <c r="PV80" s="19"/>
      <c r="PW80" s="19"/>
      <c r="PX80" s="19"/>
      <c r="PY80" s="414"/>
      <c r="PZ80" s="407"/>
      <c r="QA80" s="408"/>
      <c r="QB80" s="131">
        <f>SUM(OZ80:QA80)</f>
      </c>
      <c r="QC80" s="374"/>
      <c r="QD80" s="375"/>
      <c r="QE80" s="15"/>
      <c r="QF80" s="18" t="s">
        <v>4</v>
      </c>
      <c r="QG80" s="18" t="s">
        <v>4</v>
      </c>
      <c r="QH80" s="18" t="s">
        <v>4</v>
      </c>
      <c r="QI80" s="18" t="s">
        <v>4</v>
      </c>
      <c r="QJ80" s="18" t="s">
        <v>4</v>
      </c>
      <c r="QK80" s="18" t="s">
        <v>4</v>
      </c>
      <c r="QL80" s="222" t="s">
        <v>4</v>
      </c>
      <c r="QM80" s="412"/>
      <c r="QN80" s="19"/>
      <c r="QO80" s="18" t="s">
        <v>4</v>
      </c>
      <c r="QP80" s="224" t="s">
        <v>4</v>
      </c>
      <c r="QQ80" s="225" t="s">
        <v>4</v>
      </c>
      <c r="QR80" s="18" t="s">
        <v>4</v>
      </c>
      <c r="QS80" s="18" t="s">
        <v>4</v>
      </c>
      <c r="QT80" s="18" t="s">
        <v>4</v>
      </c>
      <c r="QU80" s="18" t="s">
        <v>4</v>
      </c>
      <c r="QV80" s="18" t="s">
        <v>4</v>
      </c>
      <c r="QW80" s="18" t="s">
        <v>4</v>
      </c>
      <c r="QX80" s="19"/>
      <c r="QY80" s="19"/>
      <c r="QZ80" s="19"/>
      <c r="RA80" s="19"/>
      <c r="RB80" s="414"/>
      <c r="RC80" s="407"/>
      <c r="RD80" s="408"/>
      <c r="RE80" s="131">
        <f>SUM(QC80:RD80)</f>
      </c>
      <c r="RF80" s="374"/>
      <c r="RG80" s="375"/>
      <c r="RH80" s="339">
        <v>0.5</v>
      </c>
      <c r="RI80" s="143">
        <v>0.5</v>
      </c>
      <c r="RJ80" s="143">
        <v>0.5</v>
      </c>
      <c r="RK80" s="143">
        <v>0.5</v>
      </c>
      <c r="RL80" s="143">
        <v>0.5</v>
      </c>
      <c r="RM80" s="143">
        <v>0.5</v>
      </c>
      <c r="RN80" s="143">
        <v>0.5</v>
      </c>
      <c r="RO80" s="154">
        <v>0.5</v>
      </c>
      <c r="RP80" s="412"/>
      <c r="RQ80" s="19"/>
      <c r="RR80" s="143">
        <v>0.5</v>
      </c>
      <c r="RS80" s="340">
        <v>0.5</v>
      </c>
      <c r="RT80" s="339">
        <v>0.5</v>
      </c>
      <c r="RU80" s="143">
        <v>0.5</v>
      </c>
      <c r="RV80" s="143">
        <v>0.5</v>
      </c>
      <c r="RW80" s="143">
        <v>0.5</v>
      </c>
      <c r="RX80" s="143">
        <v>0.5</v>
      </c>
      <c r="RY80" s="143">
        <v>0.5</v>
      </c>
      <c r="RZ80" s="19"/>
      <c r="SA80" s="19"/>
      <c r="SB80" s="19"/>
      <c r="SC80" s="19"/>
      <c r="SD80" s="19"/>
      <c r="SE80" s="414"/>
      <c r="SF80" s="407"/>
      <c r="SG80" s="408"/>
      <c r="SH80" s="131">
        <f>SUM(RF80:SG80)</f>
      </c>
      <c r="SI80" s="374"/>
      <c r="SJ80" s="375"/>
      <c r="SK80" s="339">
        <v>0.5</v>
      </c>
      <c r="SL80" s="143">
        <v>0.5</v>
      </c>
      <c r="SM80" s="143">
        <v>0.5</v>
      </c>
      <c r="SN80" s="143">
        <v>0.5</v>
      </c>
      <c r="SO80" s="143">
        <v>0.5</v>
      </c>
      <c r="SP80" s="143">
        <v>0.5</v>
      </c>
      <c r="SQ80" s="143">
        <v>0.5</v>
      </c>
      <c r="SR80" s="154">
        <v>0.5</v>
      </c>
      <c r="SS80" s="412"/>
      <c r="ST80" s="19"/>
      <c r="SU80" s="143">
        <v>0.5</v>
      </c>
      <c r="SV80" s="340">
        <v>0.5</v>
      </c>
      <c r="SW80" s="339">
        <v>0.5</v>
      </c>
      <c r="SX80" s="143">
        <v>0.5</v>
      </c>
      <c r="SY80" s="143">
        <v>0.5</v>
      </c>
      <c r="SZ80" s="143">
        <v>0.5</v>
      </c>
      <c r="TA80" s="143">
        <v>0.5</v>
      </c>
      <c r="TB80" s="143">
        <v>0.5</v>
      </c>
      <c r="TC80" s="19"/>
      <c r="TD80" s="19"/>
      <c r="TE80" s="19"/>
      <c r="TF80" s="19"/>
      <c r="TG80" s="19"/>
      <c r="TH80" s="414"/>
      <c r="TI80" s="407"/>
      <c r="TJ80" s="408"/>
      <c r="TK80" s="131">
        <f>SUM(SI80:TJ80)</f>
      </c>
      <c r="TL80" s="374"/>
      <c r="TM80" s="375"/>
      <c r="TN80" s="339">
        <v>0.5</v>
      </c>
      <c r="TO80" s="143">
        <v>0.5</v>
      </c>
      <c r="TP80" s="143">
        <v>0.5</v>
      </c>
      <c r="TQ80" s="143">
        <v>0.5</v>
      </c>
      <c r="TR80" s="143">
        <v>0.5</v>
      </c>
      <c r="TS80" s="143">
        <v>0.5</v>
      </c>
      <c r="TT80" s="143">
        <v>0.5</v>
      </c>
      <c r="TU80" s="154">
        <v>0.5</v>
      </c>
      <c r="TV80" s="412"/>
      <c r="TW80" s="19"/>
      <c r="TX80" s="143">
        <v>0.5</v>
      </c>
      <c r="TY80" s="340">
        <v>0.5</v>
      </c>
      <c r="TZ80" s="339">
        <v>0.5</v>
      </c>
      <c r="UA80" s="143">
        <v>0.5</v>
      </c>
      <c r="UB80" s="143">
        <v>0.5</v>
      </c>
      <c r="UC80" s="143">
        <v>0.5</v>
      </c>
      <c r="UD80" s="143">
        <v>0.5</v>
      </c>
      <c r="UE80" s="143">
        <v>0.5</v>
      </c>
      <c r="UF80" s="19"/>
      <c r="UG80" s="19"/>
      <c r="UH80" s="19"/>
      <c r="UI80" s="19"/>
      <c r="UJ80" s="19"/>
      <c r="UK80" s="414"/>
      <c r="UL80" s="407"/>
      <c r="UM80" s="408"/>
      <c r="UN80" s="131">
        <f>SUM(TL80:UM80)</f>
      </c>
      <c r="UO80" s="121"/>
      <c r="UP80" s="122"/>
      <c r="UQ80" s="123"/>
      <c r="UR80" s="124"/>
      <c r="US80" s="124"/>
      <c r="UT80" s="124"/>
      <c r="UU80" s="124"/>
      <c r="UV80" s="124"/>
      <c r="UW80" s="124"/>
      <c r="UX80" s="125"/>
      <c r="UY80" s="126"/>
      <c r="UZ80" s="124"/>
      <c r="VA80" s="124"/>
      <c r="VB80" s="127"/>
      <c r="VC80" s="123"/>
      <c r="VD80" s="124"/>
      <c r="VE80" s="124"/>
      <c r="VF80" s="124"/>
      <c r="VG80" s="124"/>
      <c r="VH80" s="124"/>
      <c r="VI80" s="124"/>
      <c r="VJ80" s="124"/>
      <c r="VK80" s="124"/>
      <c r="VL80" s="124"/>
      <c r="VM80" s="124"/>
      <c r="VN80" s="125"/>
      <c r="VO80" s="301"/>
      <c r="VP80" s="151"/>
      <c r="VQ80" s="131">
        <f>SUM(UO80:VP80)</f>
      </c>
      <c r="VR80" s="121"/>
      <c r="VS80" s="122"/>
      <c r="VT80" s="123"/>
      <c r="VU80" s="124"/>
      <c r="VV80" s="124"/>
      <c r="VW80" s="124"/>
      <c r="VX80" s="124"/>
      <c r="VY80" s="124"/>
      <c r="VZ80" s="124"/>
      <c r="WA80" s="125"/>
      <c r="WB80" s="126"/>
      <c r="WC80" s="124"/>
      <c r="WD80" s="124"/>
      <c r="WE80" s="127"/>
      <c r="WF80" s="123"/>
      <c r="WG80" s="124"/>
      <c r="WH80" s="124"/>
      <c r="WI80" s="124"/>
      <c r="WJ80" s="124"/>
      <c r="WK80" s="124"/>
      <c r="WL80" s="124"/>
      <c r="WM80" s="124"/>
      <c r="WN80" s="124"/>
      <c r="WO80" s="124"/>
      <c r="WP80" s="124"/>
      <c r="WQ80" s="125"/>
      <c r="WR80" s="301"/>
      <c r="WS80" s="151"/>
      <c r="WT80" s="131">
        <f>SUM(VR80:WS80)</f>
      </c>
      <c r="WU80" s="150">
        <f>QB80+RE80+SH80+TK80+UN80+VQ80+WT80</f>
      </c>
      <c r="WV80" s="302">
        <f>(COUNTIF(OZ80:WT80,"H")+COUNTIF(OZ80:WT80,"S")+COUNTIF(OZ80:WT80,"L")+COUNTIF(OZ80:WT80,"E")+COUNTIF(OZ80:WT80,"C"))/2</f>
      </c>
      <c r="WW80" s="131">
        <f>WU80+WV80</f>
      </c>
      <c r="WX80" s="374"/>
      <c r="WY80" s="375"/>
      <c r="WZ80" s="339">
        <v>0.5</v>
      </c>
      <c r="XA80" s="17">
        <v>0.5</v>
      </c>
      <c r="XB80" s="17">
        <v>0.5</v>
      </c>
      <c r="XC80" s="17">
        <v>0.5</v>
      </c>
      <c r="XD80" s="17">
        <v>0.5</v>
      </c>
      <c r="XE80" s="17">
        <v>0.5</v>
      </c>
      <c r="XF80" s="17">
        <v>0.5</v>
      </c>
      <c r="XG80" s="414"/>
      <c r="XH80" s="412"/>
      <c r="XI80" s="143">
        <v>0.5</v>
      </c>
      <c r="XJ80" s="143">
        <v>0.5</v>
      </c>
      <c r="XK80" s="340">
        <v>0.5</v>
      </c>
      <c r="XL80" s="339">
        <v>0.5</v>
      </c>
      <c r="XM80" s="143">
        <v>0.5</v>
      </c>
      <c r="XN80" s="143">
        <v>0.5</v>
      </c>
      <c r="XO80" s="143">
        <v>0.5</v>
      </c>
      <c r="XP80" s="143">
        <v>0.5</v>
      </c>
      <c r="XQ80" s="143">
        <v>0.5</v>
      </c>
      <c r="XR80" s="19"/>
      <c r="XS80" s="19"/>
      <c r="XT80" s="19"/>
      <c r="XU80" s="19"/>
      <c r="XV80" s="19"/>
      <c r="XW80" s="414"/>
      <c r="XX80" s="407"/>
      <c r="XY80" s="408"/>
      <c r="XZ80" s="131">
        <f>SUM(WX80:XY80)</f>
      </c>
      <c r="YA80" s="374"/>
      <c r="YB80" s="375"/>
      <c r="YC80" s="339">
        <v>0.5</v>
      </c>
      <c r="YD80" s="17">
        <v>0.5</v>
      </c>
      <c r="YE80" s="17">
        <v>0.5</v>
      </c>
      <c r="YF80" s="17">
        <v>0.5</v>
      </c>
      <c r="YG80" s="17">
        <v>0.5</v>
      </c>
      <c r="YH80" s="17">
        <v>0.5</v>
      </c>
      <c r="YI80" s="17">
        <v>0.5</v>
      </c>
      <c r="YJ80" s="414"/>
      <c r="YK80" s="412"/>
      <c r="YL80" s="143">
        <v>0.5</v>
      </c>
      <c r="YM80" s="143">
        <v>0.5</v>
      </c>
      <c r="YN80" s="340">
        <v>0.5</v>
      </c>
      <c r="YO80" s="339">
        <v>0.5</v>
      </c>
      <c r="YP80" s="143">
        <v>0.5</v>
      </c>
      <c r="YQ80" s="143">
        <v>0.5</v>
      </c>
      <c r="YR80" s="143">
        <v>0.5</v>
      </c>
      <c r="YS80" s="143">
        <v>0.5</v>
      </c>
      <c r="YT80" s="143">
        <v>0.5</v>
      </c>
      <c r="YU80" s="19"/>
      <c r="YV80" s="19"/>
      <c r="YW80" s="19"/>
      <c r="YX80" s="19"/>
      <c r="YY80" s="19"/>
      <c r="YZ80" s="414"/>
      <c r="ZA80" s="407"/>
      <c r="ZB80" s="408"/>
      <c r="ZC80" s="131">
        <f>SUM(YA80:ZB80)</f>
      </c>
      <c r="ZD80" s="374"/>
      <c r="ZE80" s="375"/>
      <c r="ZF80" s="339">
        <v>0.5</v>
      </c>
      <c r="ZG80" s="17">
        <v>0.5</v>
      </c>
      <c r="ZH80" s="17">
        <v>0.5</v>
      </c>
      <c r="ZI80" s="17">
        <v>0.5</v>
      </c>
      <c r="ZJ80" s="17">
        <v>0.5</v>
      </c>
      <c r="ZK80" s="17">
        <v>0.5</v>
      </c>
      <c r="ZL80" s="17">
        <v>0.5</v>
      </c>
      <c r="ZM80" s="414"/>
      <c r="ZN80" s="412"/>
      <c r="ZO80" s="143">
        <v>0.5</v>
      </c>
      <c r="ZP80" s="143">
        <v>0.5</v>
      </c>
      <c r="ZQ80" s="340">
        <v>0.5</v>
      </c>
      <c r="ZR80" s="339">
        <v>0.5</v>
      </c>
      <c r="ZS80" s="143">
        <v>0.5</v>
      </c>
      <c r="ZT80" s="143">
        <v>0.5</v>
      </c>
      <c r="ZU80" s="143">
        <v>0.5</v>
      </c>
      <c r="ZV80" s="143">
        <v>0.5</v>
      </c>
      <c r="ZW80" s="143">
        <v>0.5</v>
      </c>
      <c r="ZX80" s="19"/>
      <c r="ZY80" s="19"/>
      <c r="ZZ80" s="19"/>
      <c r="AAA80" s="19"/>
      <c r="AAB80" s="19"/>
      <c r="AAC80" s="414"/>
      <c r="AAD80" s="407"/>
      <c r="AAE80" s="408"/>
      <c r="AAF80" s="131">
        <f>SUM(ZD80:AAE80)</f>
      </c>
      <c r="AAG80" s="374"/>
      <c r="AAH80" s="375"/>
      <c r="AAI80" s="339">
        <v>0.5</v>
      </c>
      <c r="AAJ80" s="17">
        <v>0.5</v>
      </c>
      <c r="AAK80" s="17">
        <v>0.5</v>
      </c>
      <c r="AAL80" s="17">
        <v>0.5</v>
      </c>
      <c r="AAM80" s="17">
        <v>0.5</v>
      </c>
      <c r="AAN80" s="17">
        <v>0.5</v>
      </c>
      <c r="AAO80" s="17">
        <v>0.5</v>
      </c>
      <c r="AAP80" s="414"/>
      <c r="AAQ80" s="412"/>
      <c r="AAR80" s="143">
        <v>0.5</v>
      </c>
      <c r="AAS80" s="143">
        <v>0.5</v>
      </c>
      <c r="AAT80" s="340">
        <v>0.5</v>
      </c>
      <c r="AAU80" s="339">
        <v>0.5</v>
      </c>
      <c r="AAV80" s="143">
        <v>0.5</v>
      </c>
      <c r="AAW80" s="143">
        <v>0.5</v>
      </c>
      <c r="AAX80" s="143">
        <v>0.5</v>
      </c>
      <c r="AAY80" s="143">
        <v>0.5</v>
      </c>
      <c r="AAZ80" s="143">
        <v>0.5</v>
      </c>
      <c r="ABA80" s="19"/>
      <c r="ABB80" s="19"/>
      <c r="ABC80" s="19"/>
      <c r="ABD80" s="19"/>
      <c r="ABE80" s="19"/>
      <c r="ABF80" s="414"/>
      <c r="ABG80" s="407"/>
      <c r="ABH80" s="408"/>
      <c r="ABI80" s="131">
        <f>SUM(AAG80:ABH80)</f>
      </c>
      <c r="ABJ80" s="374"/>
      <c r="ABK80" s="375"/>
      <c r="ABL80" s="339">
        <v>0.5</v>
      </c>
      <c r="ABM80" s="17">
        <v>0.5</v>
      </c>
      <c r="ABN80" s="17">
        <v>0.5</v>
      </c>
      <c r="ABO80" s="17">
        <v>0.5</v>
      </c>
      <c r="ABP80" s="17">
        <v>0.5</v>
      </c>
      <c r="ABQ80" s="17">
        <v>0.5</v>
      </c>
      <c r="ABR80" s="17">
        <v>0.5</v>
      </c>
      <c r="ABS80" s="414"/>
      <c r="ABT80" s="412"/>
      <c r="ABU80" s="143">
        <v>0.5</v>
      </c>
      <c r="ABV80" s="143">
        <v>0.5</v>
      </c>
      <c r="ABW80" s="340">
        <v>0.5</v>
      </c>
      <c r="ABX80" s="339">
        <v>0.5</v>
      </c>
      <c r="ABY80" s="143">
        <v>0.5</v>
      </c>
      <c r="ABZ80" s="143">
        <v>0.5</v>
      </c>
      <c r="ACA80" s="143">
        <v>0.5</v>
      </c>
      <c r="ACB80" s="143">
        <v>0.5</v>
      </c>
      <c r="ACC80" s="143">
        <v>0.5</v>
      </c>
      <c r="ACD80" s="19"/>
      <c r="ACE80" s="19"/>
      <c r="ACF80" s="19"/>
      <c r="ACG80" s="19"/>
      <c r="ACH80" s="19"/>
      <c r="ACI80" s="414"/>
      <c r="ACJ80" s="407"/>
      <c r="ACK80" s="408"/>
      <c r="ACL80" s="131">
        <f>SUM(ABJ80:ACK80)</f>
      </c>
      <c r="ACM80" s="121"/>
      <c r="ACN80" s="122"/>
      <c r="ACO80" s="123"/>
      <c r="ACP80" s="124"/>
      <c r="ACQ80" s="124"/>
      <c r="ACR80" s="124"/>
      <c r="ACS80" s="124"/>
      <c r="ACT80" s="124"/>
      <c r="ACU80" s="124"/>
      <c r="ACV80" s="125"/>
      <c r="ACW80" s="126"/>
      <c r="ACX80" s="124"/>
      <c r="ACY80" s="124"/>
      <c r="ACZ80" s="127"/>
      <c r="ADA80" s="123"/>
      <c r="ADB80" s="124"/>
      <c r="ADC80" s="124"/>
      <c r="ADD80" s="124"/>
      <c r="ADE80" s="124"/>
      <c r="ADF80" s="124"/>
      <c r="ADG80" s="124"/>
      <c r="ADH80" s="124"/>
      <c r="ADI80" s="124"/>
      <c r="ADJ80" s="124"/>
      <c r="ADK80" s="124"/>
      <c r="ADL80" s="125"/>
      <c r="ADM80" s="301"/>
      <c r="ADN80" s="151"/>
      <c r="ADO80" s="131">
        <f>SUM(ACM80:ADN80)</f>
      </c>
      <c r="ADP80" s="121"/>
      <c r="ADQ80" s="122"/>
      <c r="ADR80" s="123"/>
      <c r="ADS80" s="124"/>
      <c r="ADT80" s="124"/>
      <c r="ADU80" s="124"/>
      <c r="ADV80" s="124"/>
      <c r="ADW80" s="124"/>
      <c r="ADX80" s="124"/>
      <c r="ADY80" s="125"/>
      <c r="ADZ80" s="126"/>
      <c r="AEA80" s="124"/>
      <c r="AEB80" s="124"/>
      <c r="AEC80" s="127"/>
      <c r="AED80" s="123"/>
      <c r="AEE80" s="124"/>
      <c r="AEF80" s="124"/>
      <c r="AEG80" s="124"/>
      <c r="AEH80" s="124"/>
      <c r="AEI80" s="124"/>
      <c r="AEJ80" s="124"/>
      <c r="AEK80" s="124"/>
      <c r="AEL80" s="124"/>
      <c r="AEM80" s="124"/>
      <c r="AEN80" s="124"/>
      <c r="AEO80" s="125"/>
      <c r="AEP80" s="301"/>
      <c r="AEQ80" s="151"/>
      <c r="AER80" s="131">
        <f>SUM(ADP80:AEQ80)</f>
      </c>
      <c r="AES80" s="150">
        <f>XZ80+ZC80+AAF80+ABI80+ACL80+ADO80+AER80</f>
      </c>
      <c r="AET80" s="302">
        <f>(COUNTIF(WX80:AER80,"H")+COUNTIF(WX80:AER80,"S")+COUNTIF(WX80:AER80,"L")+COUNTIF(WX80:AER80,"E")+COUNTIF(WX80:AER80,"C"))/2</f>
      </c>
      <c r="AEU80" s="131">
        <f>AES80+AET80</f>
      </c>
      <c r="AEV80" s="374"/>
      <c r="AEW80" s="375"/>
      <c r="AEX80" s="420">
        <v>0.5</v>
      </c>
      <c r="AEY80" s="25">
        <v>0.5</v>
      </c>
      <c r="AEZ80" s="25">
        <v>0.5</v>
      </c>
      <c r="AFA80" s="25">
        <v>0.5</v>
      </c>
      <c r="AFB80" s="25">
        <v>0.5</v>
      </c>
      <c r="AFC80" s="25">
        <v>0.5</v>
      </c>
      <c r="AFD80" s="25">
        <v>0.5</v>
      </c>
      <c r="AFE80" s="418">
        <v>0.5</v>
      </c>
      <c r="AFF80" s="412"/>
      <c r="AFG80" s="19"/>
      <c r="AFH80" s="25">
        <v>0.5</v>
      </c>
      <c r="AFI80" s="419">
        <v>0.5</v>
      </c>
      <c r="AFJ80" s="420">
        <v>0.5</v>
      </c>
      <c r="AFK80" s="25">
        <v>0.5</v>
      </c>
      <c r="AFL80" s="25">
        <v>0.5</v>
      </c>
      <c r="AFM80" s="25">
        <v>0.5</v>
      </c>
      <c r="AFN80" s="25">
        <v>0.5</v>
      </c>
      <c r="AFO80" s="25">
        <v>0.5</v>
      </c>
      <c r="AFP80" s="19"/>
      <c r="AFQ80" s="19"/>
      <c r="AFR80" s="19"/>
      <c r="AFS80" s="19"/>
      <c r="AFT80" s="19"/>
      <c r="AFU80" s="414"/>
      <c r="AFV80" s="407"/>
      <c r="AFW80" s="408"/>
      <c r="AFX80" s="131">
        <f>SUM(AEV80:AFW80)</f>
      </c>
      <c r="AFY80" s="374"/>
      <c r="AFZ80" s="375"/>
      <c r="AGA80" s="420">
        <v>0.5</v>
      </c>
      <c r="AGB80" s="25">
        <v>0.5</v>
      </c>
      <c r="AGC80" s="25">
        <v>0.5</v>
      </c>
      <c r="AGD80" s="25">
        <v>0.5</v>
      </c>
      <c r="AGE80" s="25">
        <v>0.5</v>
      </c>
      <c r="AGF80" s="25">
        <v>0.5</v>
      </c>
      <c r="AGG80" s="25">
        <v>0.5</v>
      </c>
      <c r="AGH80" s="418">
        <v>0.5</v>
      </c>
      <c r="AGI80" s="412"/>
      <c r="AGJ80" s="19"/>
      <c r="AGK80" s="25">
        <v>0.5</v>
      </c>
      <c r="AGL80" s="419">
        <v>0.5</v>
      </c>
      <c r="AGM80" s="420">
        <v>0.5</v>
      </c>
      <c r="AGN80" s="25">
        <v>0.5</v>
      </c>
      <c r="AGO80" s="25">
        <v>0.5</v>
      </c>
      <c r="AGP80" s="25">
        <v>0.5</v>
      </c>
      <c r="AGQ80" s="25">
        <v>0.5</v>
      </c>
      <c r="AGR80" s="25">
        <v>0.5</v>
      </c>
      <c r="AGS80" s="19"/>
      <c r="AGT80" s="19"/>
      <c r="AGU80" s="19"/>
      <c r="AGV80" s="19"/>
      <c r="AGW80" s="19"/>
      <c r="AGX80" s="414"/>
      <c r="AGY80" s="407"/>
      <c r="AGZ80" s="408"/>
      <c r="AHA80" s="131">
        <f>SUM(AFY80:AGZ80)</f>
      </c>
      <c r="AHB80" s="374"/>
      <c r="AHC80" s="375"/>
      <c r="AHD80" s="420">
        <v>0.5</v>
      </c>
      <c r="AHE80" s="25">
        <v>0.5</v>
      </c>
      <c r="AHF80" s="25">
        <v>0.5</v>
      </c>
      <c r="AHG80" s="25">
        <v>0.5</v>
      </c>
      <c r="AHH80" s="25">
        <v>0.5</v>
      </c>
      <c r="AHI80" s="25">
        <v>0.5</v>
      </c>
      <c r="AHJ80" s="25">
        <v>0.5</v>
      </c>
      <c r="AHK80" s="418">
        <v>0.5</v>
      </c>
      <c r="AHL80" s="412"/>
      <c r="AHM80" s="19"/>
      <c r="AHN80" s="25">
        <v>0.5</v>
      </c>
      <c r="AHO80" s="419">
        <v>0.5</v>
      </c>
      <c r="AHP80" s="420">
        <v>0.5</v>
      </c>
      <c r="AHQ80" s="25">
        <v>0.5</v>
      </c>
      <c r="AHR80" s="25">
        <v>0.5</v>
      </c>
      <c r="AHS80" s="25">
        <v>0.5</v>
      </c>
      <c r="AHT80" s="25">
        <v>0.5</v>
      </c>
      <c r="AHU80" s="25">
        <v>0.5</v>
      </c>
      <c r="AHV80" s="19"/>
      <c r="AHW80" s="19"/>
      <c r="AHX80" s="19"/>
      <c r="AHY80" s="19"/>
      <c r="AHZ80" s="19"/>
      <c r="AIA80" s="414"/>
      <c r="AIB80" s="407"/>
      <c r="AIC80" s="408"/>
      <c r="AID80" s="131">
        <f>SUM(AHB80:AIC80)</f>
      </c>
      <c r="AIE80" s="374"/>
      <c r="AIF80" s="375"/>
      <c r="AIG80" s="420">
        <v>0.5</v>
      </c>
      <c r="AIH80" s="25">
        <v>0.5</v>
      </c>
      <c r="AII80" s="25">
        <v>0.5</v>
      </c>
      <c r="AIJ80" s="25">
        <v>0.5</v>
      </c>
      <c r="AIK80" s="25">
        <v>0.5</v>
      </c>
      <c r="AIL80" s="25">
        <v>0.5</v>
      </c>
      <c r="AIM80" s="25">
        <v>0.5</v>
      </c>
      <c r="AIN80" s="418">
        <v>0.5</v>
      </c>
      <c r="AIO80" s="412"/>
      <c r="AIP80" s="19"/>
      <c r="AIQ80" s="25">
        <v>0.5</v>
      </c>
      <c r="AIR80" s="419">
        <v>0.5</v>
      </c>
      <c r="AIS80" s="420">
        <v>0.5</v>
      </c>
      <c r="AIT80" s="25">
        <v>0.5</v>
      </c>
      <c r="AIU80" s="25">
        <v>0.5</v>
      </c>
      <c r="AIV80" s="25">
        <v>0.5</v>
      </c>
      <c r="AIW80" s="25">
        <v>0.5</v>
      </c>
      <c r="AIX80" s="25">
        <v>0.5</v>
      </c>
      <c r="AIY80" s="19"/>
      <c r="AIZ80" s="19"/>
      <c r="AJA80" s="19"/>
      <c r="AJB80" s="19"/>
      <c r="AJC80" s="19"/>
      <c r="AJD80" s="414"/>
      <c r="AJE80" s="407"/>
      <c r="AJF80" s="408"/>
      <c r="AJG80" s="131">
        <f>SUM(AIE80:AJF80)</f>
      </c>
      <c r="AJH80" s="374"/>
      <c r="AJI80" s="375"/>
      <c r="AJJ80" s="420">
        <v>0.5</v>
      </c>
      <c r="AJK80" s="25">
        <v>0.5</v>
      </c>
      <c r="AJL80" s="25">
        <v>0.5</v>
      </c>
      <c r="AJM80" s="25">
        <v>0.5</v>
      </c>
      <c r="AJN80" s="25">
        <v>0.5</v>
      </c>
      <c r="AJO80" s="25">
        <v>0.5</v>
      </c>
      <c r="AJP80" s="25">
        <v>0.5</v>
      </c>
      <c r="AJQ80" s="418">
        <v>0.5</v>
      </c>
      <c r="AJR80" s="412"/>
      <c r="AJS80" s="19"/>
      <c r="AJT80" s="25">
        <v>0.5</v>
      </c>
      <c r="AJU80" s="419">
        <v>0.5</v>
      </c>
      <c r="AJV80" s="420">
        <v>0.5</v>
      </c>
      <c r="AJW80" s="25">
        <v>0.5</v>
      </c>
      <c r="AJX80" s="25">
        <v>0.5</v>
      </c>
      <c r="AJY80" s="25">
        <v>0.5</v>
      </c>
      <c r="AJZ80" s="25">
        <v>0.5</v>
      </c>
      <c r="AKA80" s="25">
        <v>0.5</v>
      </c>
      <c r="AKB80" s="19"/>
      <c r="AKC80" s="19"/>
      <c r="AKD80" s="19"/>
      <c r="AKE80" s="19"/>
      <c r="AKF80" s="19"/>
      <c r="AKG80" s="414"/>
      <c r="AKH80" s="407"/>
      <c r="AKI80" s="408"/>
      <c r="AKJ80" s="131">
        <f>SUM(AJH80:AKI80)</f>
      </c>
      <c r="AKK80" s="121"/>
      <c r="AKL80" s="122"/>
      <c r="AKM80" s="123"/>
      <c r="AKN80" s="124"/>
      <c r="AKO80" s="124"/>
      <c r="AKP80" s="124"/>
      <c r="AKQ80" s="124"/>
      <c r="AKR80" s="124"/>
      <c r="AKS80" s="124"/>
      <c r="AKT80" s="125"/>
      <c r="AKU80" s="126"/>
      <c r="AKV80" s="124"/>
      <c r="AKW80" s="124"/>
      <c r="AKX80" s="127"/>
      <c r="AKY80" s="123"/>
      <c r="AKZ80" s="124"/>
      <c r="ALA80" s="124"/>
      <c r="ALB80" s="124"/>
      <c r="ALC80" s="124"/>
      <c r="ALD80" s="124"/>
      <c r="ALE80" s="124"/>
      <c r="ALF80" s="124"/>
      <c r="ALG80" s="124"/>
      <c r="ALH80" s="124"/>
      <c r="ALI80" s="124"/>
      <c r="ALJ80" s="125"/>
      <c r="ALK80" s="301"/>
      <c r="ALL80" s="151"/>
      <c r="ALM80" s="131">
        <f>SUM(AKK80:ALL80)</f>
      </c>
      <c r="ALN80" s="121"/>
      <c r="ALO80" s="122"/>
      <c r="ALP80" s="123"/>
      <c r="ALQ80" s="124"/>
      <c r="ALR80" s="124"/>
      <c r="ALS80" s="124"/>
      <c r="ALT80" s="124"/>
      <c r="ALU80" s="124"/>
      <c r="ALV80" s="124"/>
      <c r="ALW80" s="125"/>
      <c r="ALX80" s="126"/>
      <c r="ALY80" s="124"/>
      <c r="ALZ80" s="124"/>
      <c r="AMA80" s="127"/>
      <c r="AMB80" s="123"/>
      <c r="AMC80" s="124"/>
      <c r="AMD80" s="124"/>
      <c r="AME80" s="124"/>
      <c r="AMF80" s="124"/>
      <c r="AMG80" s="124"/>
      <c r="AMH80" s="124"/>
      <c r="AMI80" s="124"/>
      <c r="AMJ80" s="124"/>
      <c r="AMK80" s="124"/>
      <c r="AML80" s="124"/>
      <c r="AMM80" s="125"/>
      <c r="AMN80" s="301"/>
      <c r="AMO80" s="151"/>
      <c r="AMP80" s="131">
        <f>SUM(ALN80:AMO80)</f>
      </c>
      <c r="AMQ80" s="150">
        <f>AFX80+AHA80+AID80+AJG80+AKJ80+ALM80+AMP80</f>
      </c>
      <c r="AMR80" s="302">
        <f>(COUNTIF(AEV80:AMP80,"H")+COUNTIF(AEV80:AMP80,"S")+COUNTIF(AEV80:AMP80,"L")+COUNTIF(AEV80:AMP80,"E")+COUNTIF(AEV80:AMP80,"C"))/2</f>
      </c>
      <c r="AMS80" s="131">
        <f>AMQ80+AMR80</f>
      </c>
      <c r="AMT80" s="4"/>
      <c r="AMU80" s="4"/>
      <c r="AMV80" s="4"/>
      <c r="AMW80" s="4"/>
      <c r="AMX80" s="4"/>
      <c r="AMY80" s="4"/>
      <c r="AMZ80" s="4"/>
      <c r="ANA80" s="4"/>
      <c r="ANB80" s="4"/>
      <c r="ANC80" s="4"/>
      <c r="AND80" s="4"/>
      <c r="ANE80" s="4"/>
      <c r="ANF80" s="4"/>
      <c r="ANG80" s="4"/>
      <c r="ANH80" s="4"/>
      <c r="ANI80" s="4"/>
      <c r="ANJ80" s="13"/>
      <c r="ANK80" s="13"/>
      <c r="ANL80" s="4"/>
      <c r="ANM80" s="4"/>
      <c r="ANN80" s="4"/>
      <c r="ANO80" s="4"/>
      <c r="ANP80" s="4"/>
      <c r="ANQ80" s="4"/>
      <c r="ANR80" s="4"/>
      <c r="ANS80" s="4"/>
      <c r="ANT80" s="4"/>
      <c r="ANU80" s="4"/>
      <c r="ANV80" s="4"/>
      <c r="ANW80" s="4"/>
      <c r="ANX80" s="4"/>
      <c r="ANY80" s="4"/>
      <c r="ANZ80" s="4"/>
      <c r="AOA80" s="4"/>
      <c r="AOB80" s="4"/>
      <c r="AOC80" s="4"/>
      <c r="AOD80" s="4"/>
      <c r="AOE80" s="4"/>
      <c r="AOF80" s="4"/>
      <c r="AOG80" s="4"/>
      <c r="AOH80" s="4"/>
      <c r="AOI80" s="4"/>
      <c r="AOJ80" s="4"/>
      <c r="AOK80" s="4"/>
      <c r="AOL80" s="4"/>
      <c r="AOM80" s="4"/>
      <c r="AON80" s="4"/>
      <c r="AOO80" s="4"/>
      <c r="AOP80" s="4"/>
      <c r="AOQ80" s="4"/>
      <c r="AOR80" s="4"/>
      <c r="AOS80" s="4"/>
      <c r="AOT80" s="4"/>
      <c r="AOU80" s="4"/>
      <c r="AOV80" s="4"/>
      <c r="AOW80" s="4"/>
      <c r="AOX80" s="4"/>
      <c r="AOY80" s="4"/>
      <c r="AOZ80" s="4"/>
      <c r="APA80" s="4"/>
      <c r="APB80" s="4"/>
      <c r="APC80" s="4"/>
      <c r="APD80" s="4"/>
      <c r="APE80" s="4"/>
      <c r="APF80" s="4"/>
      <c r="APG80" s="4"/>
      <c r="APH80" s="4"/>
      <c r="API80" s="4"/>
      <c r="APJ80" s="4"/>
      <c r="APK80" s="4"/>
      <c r="APL80" s="4"/>
      <c r="APM80" s="4"/>
      <c r="APN80" s="4"/>
      <c r="APO80" s="4"/>
      <c r="APP80" s="4"/>
      <c r="APQ80" s="4"/>
      <c r="APR80" s="4"/>
      <c r="APS80" s="4"/>
      <c r="APT80" s="4"/>
      <c r="APU80" s="4"/>
      <c r="APV80" s="4"/>
      <c r="APW80" s="4"/>
      <c r="APX80" s="4"/>
      <c r="APY80" s="4"/>
      <c r="APZ80" s="4"/>
      <c r="AQA80" s="4"/>
      <c r="AQB80" s="4"/>
      <c r="AQC80" s="4"/>
      <c r="AQD80" s="4"/>
      <c r="AQE80" s="4"/>
      <c r="AQF80" s="4"/>
      <c r="AQG80" s="4"/>
      <c r="AQH80" s="4"/>
      <c r="AQI80" s="4"/>
      <c r="AQJ80" s="4"/>
      <c r="AQK80" s="4"/>
      <c r="AQL80" s="4"/>
      <c r="AQM80" s="4"/>
      <c r="AQN80" s="4"/>
      <c r="AQO80" s="4"/>
      <c r="AQP80" s="4"/>
      <c r="AQQ80" s="4"/>
      <c r="AQR80" s="4"/>
      <c r="AQS80" s="4"/>
      <c r="AQT80" s="4"/>
      <c r="AQU80" s="4"/>
      <c r="AQV80" s="4"/>
      <c r="AQW80" s="4"/>
      <c r="AQX80" s="4"/>
      <c r="AQY80" s="4"/>
      <c r="AQZ80" s="4"/>
      <c r="ARA80" s="4"/>
      <c r="ARB80" s="4"/>
      <c r="ARC80" s="4"/>
      <c r="ARD80" s="4"/>
      <c r="ARE80" s="4"/>
      <c r="ARF80" s="4"/>
      <c r="ARG80" s="4"/>
      <c r="ARH80" s="4"/>
      <c r="ARI80" s="4"/>
      <c r="ARJ80" s="4"/>
      <c r="ARK80" s="4"/>
      <c r="ARL80" s="4"/>
      <c r="ARM80" s="4"/>
      <c r="ARN80" s="4"/>
      <c r="ARO80" s="4"/>
      <c r="ARP80" s="4"/>
      <c r="ARQ80" s="4"/>
      <c r="ARR80" s="4"/>
      <c r="ARS80" s="4"/>
      <c r="ART80" s="4"/>
      <c r="ARU80" s="4"/>
      <c r="ARV80" s="4"/>
      <c r="ARW80" s="4"/>
      <c r="ARX80" s="4"/>
      <c r="ARY80" s="4"/>
      <c r="ARZ80" s="4"/>
      <c r="ASA80" s="4"/>
      <c r="ASB80" s="4"/>
      <c r="ASC80" s="4"/>
      <c r="ASD80" s="4"/>
      <c r="ASE80" s="4"/>
      <c r="ASF80" s="4"/>
      <c r="ASG80" s="4"/>
      <c r="ASH80" s="4"/>
      <c r="ASI80" s="4"/>
      <c r="ASJ80" s="4"/>
      <c r="ASK80" s="4"/>
      <c r="ASL80" s="4"/>
      <c r="ASM80" s="4"/>
      <c r="ASN80" s="4"/>
      <c r="ASO80" s="4"/>
      <c r="ASP80" s="4"/>
      <c r="ASQ80" s="4"/>
      <c r="ASR80" s="4"/>
      <c r="ASS80" s="4"/>
      <c r="AST80" s="4"/>
      <c r="ASU80" s="4"/>
    </row>
    <row r="81" ht="15" customHeight="1" spans="1:1191" x14ac:dyDescent="0.25">
      <c r="A81" s="118"/>
      <c r="B81" s="403" t="s">
        <v>119</v>
      </c>
      <c r="C81" s="289" t="s">
        <v>55</v>
      </c>
      <c r="D81" s="434"/>
      <c r="E81" s="435"/>
      <c r="F81" s="436"/>
      <c r="G81" s="437"/>
      <c r="H81" s="437"/>
      <c r="I81" s="437"/>
      <c r="J81" s="437"/>
      <c r="K81" s="437"/>
      <c r="L81" s="437"/>
      <c r="M81" s="438"/>
      <c r="N81" s="439"/>
      <c r="O81" s="437"/>
      <c r="P81" s="437"/>
      <c r="Q81" s="440"/>
      <c r="R81" s="436"/>
      <c r="S81" s="437"/>
      <c r="T81" s="437"/>
      <c r="U81" s="437"/>
      <c r="V81" s="437"/>
      <c r="W81" s="437"/>
      <c r="X81" s="437"/>
      <c r="Y81" s="437"/>
      <c r="Z81" s="437"/>
      <c r="AA81" s="437"/>
      <c r="AB81" s="437"/>
      <c r="AC81" s="438"/>
      <c r="AD81" s="441"/>
      <c r="AE81" s="442"/>
      <c r="AF81" s="131">
        <f>SUM(D81:AE81)</f>
      </c>
      <c r="AG81" s="434"/>
      <c r="AH81" s="435"/>
      <c r="AI81" s="436"/>
      <c r="AJ81" s="437"/>
      <c r="AK81" s="437"/>
      <c r="AL81" s="437"/>
      <c r="AM81" s="437"/>
      <c r="AN81" s="437"/>
      <c r="AO81" s="437"/>
      <c r="AP81" s="438"/>
      <c r="AQ81" s="439"/>
      <c r="AR81" s="437"/>
      <c r="AS81" s="437"/>
      <c r="AT81" s="440"/>
      <c r="AU81" s="436"/>
      <c r="AV81" s="437"/>
      <c r="AW81" s="437"/>
      <c r="AX81" s="437"/>
      <c r="AY81" s="437"/>
      <c r="AZ81" s="437"/>
      <c r="BA81" s="437"/>
      <c r="BB81" s="437"/>
      <c r="BC81" s="437"/>
      <c r="BD81" s="437"/>
      <c r="BE81" s="437"/>
      <c r="BF81" s="438"/>
      <c r="BG81" s="441"/>
      <c r="BH81" s="442"/>
      <c r="BI81" s="131">
        <f>SUM(AG81:BH81)</f>
      </c>
      <c r="BJ81" s="434"/>
      <c r="BK81" s="435"/>
      <c r="BL81" s="436"/>
      <c r="BM81" s="437"/>
      <c r="BN81" s="437"/>
      <c r="BO81" s="437"/>
      <c r="BP81" s="437"/>
      <c r="BQ81" s="437"/>
      <c r="BR81" s="437"/>
      <c r="BS81" s="438"/>
      <c r="BT81" s="439"/>
      <c r="BU81" s="437"/>
      <c r="BV81" s="437"/>
      <c r="BW81" s="440"/>
      <c r="BX81" s="436"/>
      <c r="BY81" s="437"/>
      <c r="BZ81" s="437"/>
      <c r="CA81" s="437"/>
      <c r="CB81" s="437"/>
      <c r="CC81" s="437"/>
      <c r="CD81" s="437"/>
      <c r="CE81" s="437"/>
      <c r="CF81" s="437"/>
      <c r="CG81" s="437"/>
      <c r="CH81" s="437"/>
      <c r="CI81" s="438"/>
      <c r="CJ81" s="441"/>
      <c r="CK81" s="442"/>
      <c r="CL81" s="131">
        <f>SUM(BJ81:CK81)</f>
      </c>
      <c r="CM81" s="434"/>
      <c r="CN81" s="435"/>
      <c r="CO81" s="436"/>
      <c r="CP81" s="437"/>
      <c r="CQ81" s="437"/>
      <c r="CR81" s="437"/>
      <c r="CS81" s="437"/>
      <c r="CT81" s="437"/>
      <c r="CU81" s="437"/>
      <c r="CV81" s="438"/>
      <c r="CW81" s="439"/>
      <c r="CX81" s="437"/>
      <c r="CY81" s="437"/>
      <c r="CZ81" s="440"/>
      <c r="DA81" s="436"/>
      <c r="DB81" s="437"/>
      <c r="DC81" s="437"/>
      <c r="DD81" s="437"/>
      <c r="DE81" s="437"/>
      <c r="DF81" s="437"/>
      <c r="DG81" s="437"/>
      <c r="DH81" s="437"/>
      <c r="DI81" s="437"/>
      <c r="DJ81" s="437"/>
      <c r="DK81" s="437"/>
      <c r="DL81" s="438"/>
      <c r="DM81" s="441"/>
      <c r="DN81" s="442"/>
      <c r="DO81" s="131">
        <f>SUM(CM81:DN81)</f>
      </c>
      <c r="DP81" s="434"/>
      <c r="DQ81" s="435"/>
      <c r="DR81" s="436"/>
      <c r="DS81" s="437"/>
      <c r="DT81" s="437"/>
      <c r="DU81" s="437"/>
      <c r="DV81" s="437"/>
      <c r="DW81" s="437"/>
      <c r="DX81" s="437"/>
      <c r="DY81" s="438"/>
      <c r="DZ81" s="439"/>
      <c r="EA81" s="437"/>
      <c r="EB81" s="437"/>
      <c r="EC81" s="440"/>
      <c r="ED81" s="436"/>
      <c r="EE81" s="437"/>
      <c r="EF81" s="437"/>
      <c r="EG81" s="437"/>
      <c r="EH81" s="437"/>
      <c r="EI81" s="437"/>
      <c r="EJ81" s="437"/>
      <c r="EK81" s="437"/>
      <c r="EL81" s="437"/>
      <c r="EM81" s="437"/>
      <c r="EN81" s="437"/>
      <c r="EO81" s="438"/>
      <c r="EP81" s="441"/>
      <c r="EQ81" s="442"/>
      <c r="ER81" s="131">
        <f>SUM(DP81:EQ81)</f>
      </c>
      <c r="ES81" s="434"/>
      <c r="ET81" s="435"/>
      <c r="EU81" s="436"/>
      <c r="EV81" s="437"/>
      <c r="EW81" s="437"/>
      <c r="EX81" s="437"/>
      <c r="EY81" s="437"/>
      <c r="EZ81" s="437"/>
      <c r="FA81" s="437"/>
      <c r="FB81" s="438"/>
      <c r="FC81" s="439"/>
      <c r="FD81" s="437"/>
      <c r="FE81" s="437"/>
      <c r="FF81" s="440"/>
      <c r="FG81" s="436"/>
      <c r="FH81" s="437"/>
      <c r="FI81" s="437"/>
      <c r="FJ81" s="437"/>
      <c r="FK81" s="437"/>
      <c r="FL81" s="437"/>
      <c r="FM81" s="437"/>
      <c r="FN81" s="437"/>
      <c r="FO81" s="437"/>
      <c r="FP81" s="437"/>
      <c r="FQ81" s="437"/>
      <c r="FR81" s="438"/>
      <c r="FS81" s="441"/>
      <c r="FT81" s="442"/>
      <c r="FU81" s="131">
        <f>SUM(ES81:FT81)</f>
      </c>
      <c r="FV81" s="434"/>
      <c r="FW81" s="435"/>
      <c r="FX81" s="436"/>
      <c r="FY81" s="437"/>
      <c r="FZ81" s="437"/>
      <c r="GA81" s="437"/>
      <c r="GB81" s="437"/>
      <c r="GC81" s="437"/>
      <c r="GD81" s="437"/>
      <c r="GE81" s="438"/>
      <c r="GF81" s="439"/>
      <c r="GG81" s="437"/>
      <c r="GH81" s="437"/>
      <c r="GI81" s="440"/>
      <c r="GJ81" s="436"/>
      <c r="GK81" s="437"/>
      <c r="GL81" s="437"/>
      <c r="GM81" s="437"/>
      <c r="GN81" s="437"/>
      <c r="GO81" s="437"/>
      <c r="GP81" s="437"/>
      <c r="GQ81" s="437"/>
      <c r="GR81" s="437"/>
      <c r="GS81" s="437"/>
      <c r="GT81" s="437"/>
      <c r="GU81" s="438"/>
      <c r="GV81" s="441"/>
      <c r="GW81" s="442"/>
      <c r="GX81" s="131">
        <f>SUM(FV81:GW81)</f>
      </c>
      <c r="GY81" s="150">
        <f>AF81+BI81+CL81+DO81+ER81+FU81+GX81</f>
      </c>
      <c r="GZ81" s="302">
        <f>(COUNTIF(D81:GX81,"H")+COUNTIF(D81:GX81,"S")+COUNTIF(D81:GX81,"L")+COUNTIF(D81:GX81,"E")+COUNTIF(D81:GX81,"C"))/2</f>
      </c>
      <c r="HA81" s="131">
        <f>GY81+GZ81</f>
      </c>
      <c r="HB81" s="444"/>
      <c r="HC81" s="445"/>
      <c r="HD81" s="446"/>
      <c r="HE81" s="460" t="s">
        <v>4</v>
      </c>
      <c r="HF81" s="460" t="s">
        <v>4</v>
      </c>
      <c r="HG81" s="460" t="s">
        <v>4</v>
      </c>
      <c r="HH81" s="460" t="s">
        <v>4</v>
      </c>
      <c r="HI81" s="460" t="s">
        <v>4</v>
      </c>
      <c r="HJ81" s="460" t="s">
        <v>4</v>
      </c>
      <c r="HK81" s="461" t="s">
        <v>4</v>
      </c>
      <c r="HL81" s="471"/>
      <c r="HM81" s="450"/>
      <c r="HN81" s="460" t="s">
        <v>4</v>
      </c>
      <c r="HO81" s="464" t="s">
        <v>4</v>
      </c>
      <c r="HP81" s="465" t="s">
        <v>4</v>
      </c>
      <c r="HQ81" s="460" t="s">
        <v>4</v>
      </c>
      <c r="HR81" s="460" t="s">
        <v>4</v>
      </c>
      <c r="HS81" s="460" t="s">
        <v>4</v>
      </c>
      <c r="HT81" s="460" t="s">
        <v>4</v>
      </c>
      <c r="HU81" s="460" t="s">
        <v>4</v>
      </c>
      <c r="HV81" s="460" t="s">
        <v>4</v>
      </c>
      <c r="HW81" s="450"/>
      <c r="HX81" s="450"/>
      <c r="HY81" s="450"/>
      <c r="HZ81" s="450"/>
      <c r="IA81" s="453"/>
      <c r="IB81" s="454"/>
      <c r="IC81" s="455"/>
      <c r="ID81" s="131">
        <f>SUM(HB81:IC81)</f>
      </c>
      <c r="IE81" s="444"/>
      <c r="IF81" s="445"/>
      <c r="IG81" s="446"/>
      <c r="IH81" s="460" t="s">
        <v>4</v>
      </c>
      <c r="II81" s="460" t="s">
        <v>4</v>
      </c>
      <c r="IJ81" s="460" t="s">
        <v>4</v>
      </c>
      <c r="IK81" s="460" t="s">
        <v>4</v>
      </c>
      <c r="IL81" s="460" t="s">
        <v>4</v>
      </c>
      <c r="IM81" s="460" t="s">
        <v>4</v>
      </c>
      <c r="IN81" s="461" t="s">
        <v>4</v>
      </c>
      <c r="IO81" s="471"/>
      <c r="IP81" s="450"/>
      <c r="IQ81" s="460" t="s">
        <v>4</v>
      </c>
      <c r="IR81" s="464" t="s">
        <v>4</v>
      </c>
      <c r="IS81" s="465" t="s">
        <v>4</v>
      </c>
      <c r="IT81" s="460" t="s">
        <v>4</v>
      </c>
      <c r="IU81" s="460" t="s">
        <v>4</v>
      </c>
      <c r="IV81" s="460" t="s">
        <v>4</v>
      </c>
      <c r="IW81" s="460" t="s">
        <v>4</v>
      </c>
      <c r="IX81" s="460" t="s">
        <v>4</v>
      </c>
      <c r="IY81" s="460" t="s">
        <v>4</v>
      </c>
      <c r="IZ81" s="450"/>
      <c r="JA81" s="450"/>
      <c r="JB81" s="450"/>
      <c r="JC81" s="450"/>
      <c r="JD81" s="453"/>
      <c r="JE81" s="454"/>
      <c r="JF81" s="456"/>
      <c r="JG81" s="131">
        <f>SUM(IE81:JF81)</f>
      </c>
      <c r="JH81" s="444"/>
      <c r="JI81" s="445"/>
      <c r="JJ81" s="446"/>
      <c r="JK81" s="460" t="s">
        <v>4</v>
      </c>
      <c r="JL81" s="460" t="s">
        <v>4</v>
      </c>
      <c r="JM81" s="460" t="s">
        <v>4</v>
      </c>
      <c r="JN81" s="460" t="s">
        <v>4</v>
      </c>
      <c r="JO81" s="460" t="s">
        <v>4</v>
      </c>
      <c r="JP81" s="460" t="s">
        <v>4</v>
      </c>
      <c r="JQ81" s="461" t="s">
        <v>4</v>
      </c>
      <c r="JR81" s="471"/>
      <c r="JS81" s="450"/>
      <c r="JT81" s="460" t="s">
        <v>4</v>
      </c>
      <c r="JU81" s="464" t="s">
        <v>4</v>
      </c>
      <c r="JV81" s="465" t="s">
        <v>4</v>
      </c>
      <c r="JW81" s="460" t="s">
        <v>4</v>
      </c>
      <c r="JX81" s="460" t="s">
        <v>4</v>
      </c>
      <c r="JY81" s="460" t="s">
        <v>4</v>
      </c>
      <c r="JZ81" s="460" t="s">
        <v>4</v>
      </c>
      <c r="KA81" s="460" t="s">
        <v>4</v>
      </c>
      <c r="KB81" s="460" t="s">
        <v>4</v>
      </c>
      <c r="KC81" s="450"/>
      <c r="KD81" s="450"/>
      <c r="KE81" s="450"/>
      <c r="KF81" s="450"/>
      <c r="KG81" s="453"/>
      <c r="KH81" s="454"/>
      <c r="KI81" s="456"/>
      <c r="KJ81" s="131">
        <f>SUM(JH81:KI81)</f>
      </c>
      <c r="KK81" s="444"/>
      <c r="KL81" s="445"/>
      <c r="KM81" s="446"/>
      <c r="KN81" s="460" t="s">
        <v>4</v>
      </c>
      <c r="KO81" s="460" t="s">
        <v>4</v>
      </c>
      <c r="KP81" s="460" t="s">
        <v>4</v>
      </c>
      <c r="KQ81" s="460" t="s">
        <v>4</v>
      </c>
      <c r="KR81" s="460" t="s">
        <v>4</v>
      </c>
      <c r="KS81" s="460" t="s">
        <v>4</v>
      </c>
      <c r="KT81" s="461" t="s">
        <v>4</v>
      </c>
      <c r="KU81" s="471"/>
      <c r="KV81" s="450"/>
      <c r="KW81" s="460" t="s">
        <v>4</v>
      </c>
      <c r="KX81" s="464" t="s">
        <v>4</v>
      </c>
      <c r="KY81" s="465" t="s">
        <v>4</v>
      </c>
      <c r="KZ81" s="460" t="s">
        <v>4</v>
      </c>
      <c r="LA81" s="460" t="s">
        <v>4</v>
      </c>
      <c r="LB81" s="460" t="s">
        <v>4</v>
      </c>
      <c r="LC81" s="460" t="s">
        <v>4</v>
      </c>
      <c r="LD81" s="460" t="s">
        <v>4</v>
      </c>
      <c r="LE81" s="460" t="s">
        <v>4</v>
      </c>
      <c r="LF81" s="450"/>
      <c r="LG81" s="450"/>
      <c r="LH81" s="450"/>
      <c r="LI81" s="450"/>
      <c r="LJ81" s="453"/>
      <c r="LK81" s="454"/>
      <c r="LL81" s="456"/>
      <c r="LM81" s="131">
        <f>SUM(KK81:LL81)</f>
      </c>
      <c r="LN81" s="444"/>
      <c r="LO81" s="445"/>
      <c r="LP81" s="446"/>
      <c r="LQ81" s="460" t="s">
        <v>4</v>
      </c>
      <c r="LR81" s="460" t="s">
        <v>4</v>
      </c>
      <c r="LS81" s="460" t="s">
        <v>4</v>
      </c>
      <c r="LT81" s="460" t="s">
        <v>4</v>
      </c>
      <c r="LU81" s="460" t="s">
        <v>4</v>
      </c>
      <c r="LV81" s="460" t="s">
        <v>4</v>
      </c>
      <c r="LW81" s="461" t="s">
        <v>4</v>
      </c>
      <c r="LX81" s="471"/>
      <c r="LY81" s="450"/>
      <c r="LZ81" s="460" t="s">
        <v>4</v>
      </c>
      <c r="MA81" s="464" t="s">
        <v>4</v>
      </c>
      <c r="MB81" s="465" t="s">
        <v>4</v>
      </c>
      <c r="MC81" s="460" t="s">
        <v>4</v>
      </c>
      <c r="MD81" s="460" t="s">
        <v>4</v>
      </c>
      <c r="ME81" s="460" t="s">
        <v>4</v>
      </c>
      <c r="MF81" s="460" t="s">
        <v>4</v>
      </c>
      <c r="MG81" s="460" t="s">
        <v>4</v>
      </c>
      <c r="MH81" s="460" t="s">
        <v>4</v>
      </c>
      <c r="MI81" s="450"/>
      <c r="MJ81" s="450"/>
      <c r="MK81" s="450"/>
      <c r="ML81" s="450"/>
      <c r="MM81" s="453"/>
      <c r="MN81" s="454"/>
      <c r="MO81" s="456"/>
      <c r="MP81" s="131">
        <f>SUM(LN81:MO81)</f>
      </c>
      <c r="MQ81" s="434"/>
      <c r="MR81" s="435"/>
      <c r="MS81" s="436"/>
      <c r="MT81" s="437"/>
      <c r="MU81" s="437"/>
      <c r="MV81" s="437"/>
      <c r="MW81" s="437"/>
      <c r="MX81" s="437"/>
      <c r="MY81" s="437"/>
      <c r="MZ81" s="438"/>
      <c r="NA81" s="439"/>
      <c r="NB81" s="437"/>
      <c r="NC81" s="437"/>
      <c r="ND81" s="440"/>
      <c r="NE81" s="436"/>
      <c r="NF81" s="437"/>
      <c r="NG81" s="437"/>
      <c r="NH81" s="437"/>
      <c r="NI81" s="437"/>
      <c r="NJ81" s="437"/>
      <c r="NK81" s="437"/>
      <c r="NL81" s="437"/>
      <c r="NM81" s="437"/>
      <c r="NN81" s="437"/>
      <c r="NO81" s="437"/>
      <c r="NP81" s="438"/>
      <c r="NQ81" s="441"/>
      <c r="NR81" s="442"/>
      <c r="NS81" s="131">
        <f>SUM(MQ81:NR81)</f>
      </c>
      <c r="NT81" s="434"/>
      <c r="NU81" s="435"/>
      <c r="NV81" s="436"/>
      <c r="NW81" s="437"/>
      <c r="NX81" s="437"/>
      <c r="NY81" s="437"/>
      <c r="NZ81" s="437"/>
      <c r="OA81" s="437"/>
      <c r="OB81" s="437"/>
      <c r="OC81" s="438"/>
      <c r="OD81" s="439"/>
      <c r="OE81" s="437"/>
      <c r="OF81" s="437"/>
      <c r="OG81" s="440"/>
      <c r="OH81" s="436"/>
      <c r="OI81" s="437"/>
      <c r="OJ81" s="437"/>
      <c r="OK81" s="437"/>
      <c r="OL81" s="437"/>
      <c r="OM81" s="437"/>
      <c r="ON81" s="437"/>
      <c r="OO81" s="437"/>
      <c r="OP81" s="437"/>
      <c r="OQ81" s="437"/>
      <c r="OR81" s="437"/>
      <c r="OS81" s="438"/>
      <c r="OT81" s="441"/>
      <c r="OU81" s="442"/>
      <c r="OV81" s="131">
        <f>SUM(NT81:OU81)</f>
      </c>
      <c r="OW81" s="150">
        <f>ID81+JG81+KJ81+LM81+MP81+NS81+OV81</f>
      </c>
      <c r="OX81" s="302">
        <f>(COUNTIF(HB81:OV81,"H")+COUNTIF(HB81:OV81,"S")+COUNTIF(HB81:OV81,"L")+COUNTIF(HB81:OV81,"E")+COUNTIF(HB81:OV81,"C"))/2</f>
      </c>
      <c r="OY81" s="131">
        <f>OW81+OX81</f>
      </c>
      <c r="OZ81" s="444"/>
      <c r="PA81" s="445"/>
      <c r="PB81" s="452">
        <v>0.5</v>
      </c>
      <c r="PC81" s="447">
        <v>0.5</v>
      </c>
      <c r="PD81" s="447">
        <v>0.5</v>
      </c>
      <c r="PE81" s="447">
        <v>0.5</v>
      </c>
      <c r="PF81" s="447">
        <v>0.5</v>
      </c>
      <c r="PG81" s="447">
        <v>0.5</v>
      </c>
      <c r="PH81" s="447">
        <v>0.5</v>
      </c>
      <c r="PI81" s="448">
        <v>0.5</v>
      </c>
      <c r="PJ81" s="471"/>
      <c r="PK81" s="450"/>
      <c r="PL81" s="447">
        <v>0.5</v>
      </c>
      <c r="PM81" s="472">
        <v>0.5</v>
      </c>
      <c r="PN81" s="452">
        <v>0.5</v>
      </c>
      <c r="PO81" s="447">
        <v>0.5</v>
      </c>
      <c r="PP81" s="447">
        <v>0.5</v>
      </c>
      <c r="PQ81" s="447">
        <v>0.5</v>
      </c>
      <c r="PR81" s="447">
        <v>0.5</v>
      </c>
      <c r="PS81" s="447">
        <v>0.5</v>
      </c>
      <c r="PT81" s="450"/>
      <c r="PU81" s="450"/>
      <c r="PV81" s="450"/>
      <c r="PW81" s="450"/>
      <c r="PX81" s="450"/>
      <c r="PY81" s="453"/>
      <c r="PZ81" s="454"/>
      <c r="QA81" s="456"/>
      <c r="QB81" s="131">
        <f>SUM(OZ81:QA81)</f>
      </c>
      <c r="QC81" s="444"/>
      <c r="QD81" s="445"/>
      <c r="QE81" s="452">
        <v>0.5</v>
      </c>
      <c r="QF81" s="447">
        <v>0.5</v>
      </c>
      <c r="QG81" s="447">
        <v>0.5</v>
      </c>
      <c r="QH81" s="447">
        <v>0.5</v>
      </c>
      <c r="QI81" s="447">
        <v>0.5</v>
      </c>
      <c r="QJ81" s="447">
        <v>0.5</v>
      </c>
      <c r="QK81" s="447">
        <v>0.5</v>
      </c>
      <c r="QL81" s="448">
        <v>0.5</v>
      </c>
      <c r="QM81" s="471"/>
      <c r="QN81" s="450"/>
      <c r="QO81" s="447">
        <v>0.5</v>
      </c>
      <c r="QP81" s="472">
        <v>0.5</v>
      </c>
      <c r="QQ81" s="452">
        <v>0.5</v>
      </c>
      <c r="QR81" s="447">
        <v>0.5</v>
      </c>
      <c r="QS81" s="447">
        <v>0.5</v>
      </c>
      <c r="QT81" s="447">
        <v>0.5</v>
      </c>
      <c r="QU81" s="447">
        <v>0.5</v>
      </c>
      <c r="QV81" s="447">
        <v>0.5</v>
      </c>
      <c r="QW81" s="450"/>
      <c r="QX81" s="450"/>
      <c r="QY81" s="450"/>
      <c r="QZ81" s="450"/>
      <c r="RA81" s="450"/>
      <c r="RB81" s="453"/>
      <c r="RC81" s="454"/>
      <c r="RD81" s="456"/>
      <c r="RE81" s="131">
        <f>SUM(QC81:RD81)</f>
      </c>
      <c r="RF81" s="444"/>
      <c r="RG81" s="445"/>
      <c r="RH81" s="452">
        <v>0.5</v>
      </c>
      <c r="RI81" s="447">
        <v>0.5</v>
      </c>
      <c r="RJ81" s="447">
        <v>0.5</v>
      </c>
      <c r="RK81" s="447">
        <v>0.5</v>
      </c>
      <c r="RL81" s="447">
        <v>0.5</v>
      </c>
      <c r="RM81" s="447">
        <v>0.5</v>
      </c>
      <c r="RN81" s="447">
        <v>0.5</v>
      </c>
      <c r="RO81" s="448">
        <v>0.5</v>
      </c>
      <c r="RP81" s="471"/>
      <c r="RQ81" s="450"/>
      <c r="RR81" s="447">
        <v>0.5</v>
      </c>
      <c r="RS81" s="472">
        <v>0.5</v>
      </c>
      <c r="RT81" s="452">
        <v>0.5</v>
      </c>
      <c r="RU81" s="447">
        <v>0.5</v>
      </c>
      <c r="RV81" s="447">
        <v>0.5</v>
      </c>
      <c r="RW81" s="447">
        <v>0.5</v>
      </c>
      <c r="RX81" s="447">
        <v>0.5</v>
      </c>
      <c r="RY81" s="447">
        <v>0.5</v>
      </c>
      <c r="RZ81" s="450"/>
      <c r="SA81" s="450"/>
      <c r="SB81" s="450"/>
      <c r="SC81" s="450"/>
      <c r="SD81" s="450"/>
      <c r="SE81" s="453"/>
      <c r="SF81" s="454"/>
      <c r="SG81" s="456"/>
      <c r="SH81" s="131">
        <f>SUM(RF81:SG81)</f>
      </c>
      <c r="SI81" s="444"/>
      <c r="SJ81" s="445"/>
      <c r="SK81" s="452">
        <v>0.5</v>
      </c>
      <c r="SL81" s="447">
        <v>0.5</v>
      </c>
      <c r="SM81" s="447">
        <v>0.5</v>
      </c>
      <c r="SN81" s="447">
        <v>0.5</v>
      </c>
      <c r="SO81" s="447">
        <v>0.5</v>
      </c>
      <c r="SP81" s="447">
        <v>0.5</v>
      </c>
      <c r="SQ81" s="447">
        <v>0.5</v>
      </c>
      <c r="SR81" s="448">
        <v>0.5</v>
      </c>
      <c r="SS81" s="471"/>
      <c r="ST81" s="450"/>
      <c r="SU81" s="447">
        <v>0.5</v>
      </c>
      <c r="SV81" s="472">
        <v>0.5</v>
      </c>
      <c r="SW81" s="452">
        <v>0.5</v>
      </c>
      <c r="SX81" s="447">
        <v>0.5</v>
      </c>
      <c r="SY81" s="447">
        <v>0.5</v>
      </c>
      <c r="SZ81" s="447">
        <v>0.5</v>
      </c>
      <c r="TA81" s="447">
        <v>0.5</v>
      </c>
      <c r="TB81" s="447">
        <v>0.5</v>
      </c>
      <c r="TC81" s="450"/>
      <c r="TD81" s="450"/>
      <c r="TE81" s="450"/>
      <c r="TF81" s="450"/>
      <c r="TG81" s="450"/>
      <c r="TH81" s="453"/>
      <c r="TI81" s="454"/>
      <c r="TJ81" s="456"/>
      <c r="TK81" s="131">
        <f>SUM(SI81:TJ81)</f>
      </c>
      <c r="TL81" s="444"/>
      <c r="TM81" s="445"/>
      <c r="TN81" s="452">
        <v>0.5</v>
      </c>
      <c r="TO81" s="447">
        <v>0.5</v>
      </c>
      <c r="TP81" s="447">
        <v>0.5</v>
      </c>
      <c r="TQ81" s="447">
        <v>0.5</v>
      </c>
      <c r="TR81" s="447">
        <v>0.5</v>
      </c>
      <c r="TS81" s="447">
        <v>0.5</v>
      </c>
      <c r="TT81" s="447">
        <v>0.5</v>
      </c>
      <c r="TU81" s="448">
        <v>0.5</v>
      </c>
      <c r="TV81" s="471"/>
      <c r="TW81" s="450"/>
      <c r="TX81" s="447">
        <v>0.5</v>
      </c>
      <c r="TY81" s="472">
        <v>0.5</v>
      </c>
      <c r="TZ81" s="452">
        <v>0.5</v>
      </c>
      <c r="UA81" s="447">
        <v>0.5</v>
      </c>
      <c r="UB81" s="447">
        <v>0.5</v>
      </c>
      <c r="UC81" s="447">
        <v>0.5</v>
      </c>
      <c r="UD81" s="447">
        <v>0.5</v>
      </c>
      <c r="UE81" s="447">
        <v>0.5</v>
      </c>
      <c r="UF81" s="450"/>
      <c r="UG81" s="450"/>
      <c r="UH81" s="450"/>
      <c r="UI81" s="450"/>
      <c r="UJ81" s="450"/>
      <c r="UK81" s="453"/>
      <c r="UL81" s="454"/>
      <c r="UM81" s="456"/>
      <c r="UN81" s="131">
        <f>SUM(TL81:UM81)</f>
      </c>
      <c r="UO81" s="434"/>
      <c r="UP81" s="435"/>
      <c r="UQ81" s="436"/>
      <c r="UR81" s="437"/>
      <c r="US81" s="437"/>
      <c r="UT81" s="437"/>
      <c r="UU81" s="437"/>
      <c r="UV81" s="437"/>
      <c r="UW81" s="437"/>
      <c r="UX81" s="438"/>
      <c r="UY81" s="439"/>
      <c r="UZ81" s="437"/>
      <c r="VA81" s="437"/>
      <c r="VB81" s="440"/>
      <c r="VC81" s="436"/>
      <c r="VD81" s="437"/>
      <c r="VE81" s="437"/>
      <c r="VF81" s="437"/>
      <c r="VG81" s="437"/>
      <c r="VH81" s="437"/>
      <c r="VI81" s="437"/>
      <c r="VJ81" s="437"/>
      <c r="VK81" s="437"/>
      <c r="VL81" s="437"/>
      <c r="VM81" s="437"/>
      <c r="VN81" s="438"/>
      <c r="VO81" s="441"/>
      <c r="VP81" s="442"/>
      <c r="VQ81" s="131">
        <f>SUM(UO81:VP81)</f>
      </c>
      <c r="VR81" s="434"/>
      <c r="VS81" s="435"/>
      <c r="VT81" s="436"/>
      <c r="VU81" s="437"/>
      <c r="VV81" s="437"/>
      <c r="VW81" s="437"/>
      <c r="VX81" s="437"/>
      <c r="VY81" s="437"/>
      <c r="VZ81" s="437"/>
      <c r="WA81" s="438"/>
      <c r="WB81" s="439"/>
      <c r="WC81" s="437"/>
      <c r="WD81" s="437"/>
      <c r="WE81" s="440"/>
      <c r="WF81" s="436"/>
      <c r="WG81" s="437"/>
      <c r="WH81" s="437"/>
      <c r="WI81" s="437"/>
      <c r="WJ81" s="437"/>
      <c r="WK81" s="437"/>
      <c r="WL81" s="437"/>
      <c r="WM81" s="437"/>
      <c r="WN81" s="437"/>
      <c r="WO81" s="437"/>
      <c r="WP81" s="437"/>
      <c r="WQ81" s="438"/>
      <c r="WR81" s="441"/>
      <c r="WS81" s="442"/>
      <c r="WT81" s="131">
        <f>SUM(VR81:WS81)</f>
      </c>
      <c r="WU81" s="150">
        <f>QB81+RE81+SH81+TK81+UN81+VQ81+WT81</f>
      </c>
      <c r="WV81" s="302">
        <f>(COUNTIF(OZ81:WT81,"H")+COUNTIF(OZ81:WT81,"S")+COUNTIF(OZ81:WT81,"L")+COUNTIF(OZ81:WT81,"E")+COUNTIF(OZ81:WT81,"C"))/2</f>
      </c>
      <c r="WW81" s="131">
        <f>WU81+WV81</f>
      </c>
      <c r="WX81" s="444"/>
      <c r="WY81" s="445"/>
      <c r="WZ81" s="452">
        <v>0.5</v>
      </c>
      <c r="XA81" s="447">
        <v>0.5</v>
      </c>
      <c r="XB81" s="447">
        <v>0.5</v>
      </c>
      <c r="XC81" s="447">
        <v>0.5</v>
      </c>
      <c r="XD81" s="447">
        <v>0.5</v>
      </c>
      <c r="XE81" s="447">
        <v>0.5</v>
      </c>
      <c r="XF81" s="447">
        <v>0.5</v>
      </c>
      <c r="XG81" s="448">
        <v>0.5</v>
      </c>
      <c r="XH81" s="471"/>
      <c r="XI81" s="450"/>
      <c r="XJ81" s="447">
        <v>0.5</v>
      </c>
      <c r="XK81" s="472">
        <v>0.5</v>
      </c>
      <c r="XL81" s="452">
        <v>0.5</v>
      </c>
      <c r="XM81" s="447">
        <v>0.5</v>
      </c>
      <c r="XN81" s="447">
        <v>0.5</v>
      </c>
      <c r="XO81" s="447">
        <v>0.5</v>
      </c>
      <c r="XP81" s="447">
        <v>0.5</v>
      </c>
      <c r="XQ81" s="447">
        <v>0.5</v>
      </c>
      <c r="XR81" s="450"/>
      <c r="XS81" s="450"/>
      <c r="XT81" s="450"/>
      <c r="XU81" s="450"/>
      <c r="XV81" s="450"/>
      <c r="XW81" s="453"/>
      <c r="XX81" s="454"/>
      <c r="XY81" s="456"/>
      <c r="XZ81" s="131">
        <f>SUM(WX81:XY81)</f>
      </c>
      <c r="YA81" s="444"/>
      <c r="YB81" s="445"/>
      <c r="YC81" s="452">
        <v>0.5</v>
      </c>
      <c r="YD81" s="447">
        <v>0.5</v>
      </c>
      <c r="YE81" s="447">
        <v>0.5</v>
      </c>
      <c r="YF81" s="447">
        <v>0.5</v>
      </c>
      <c r="YG81" s="447">
        <v>0.5</v>
      </c>
      <c r="YH81" s="447">
        <v>0.5</v>
      </c>
      <c r="YI81" s="447">
        <v>0.5</v>
      </c>
      <c r="YJ81" s="448">
        <v>0.5</v>
      </c>
      <c r="YK81" s="471"/>
      <c r="YL81" s="450"/>
      <c r="YM81" s="447">
        <v>0.5</v>
      </c>
      <c r="YN81" s="472">
        <v>0.5</v>
      </c>
      <c r="YO81" s="452">
        <v>0.5</v>
      </c>
      <c r="YP81" s="447">
        <v>0.5</v>
      </c>
      <c r="YQ81" s="447">
        <v>0.5</v>
      </c>
      <c r="YR81" s="447">
        <v>0.5</v>
      </c>
      <c r="YS81" s="447">
        <v>0.5</v>
      </c>
      <c r="YT81" s="447">
        <v>0.5</v>
      </c>
      <c r="YU81" s="450"/>
      <c r="YV81" s="450"/>
      <c r="YW81" s="450"/>
      <c r="YX81" s="450"/>
      <c r="YY81" s="450"/>
      <c r="YZ81" s="453"/>
      <c r="ZA81" s="454"/>
      <c r="ZB81" s="456"/>
      <c r="ZC81" s="131">
        <f>SUM(YA81:ZB81)</f>
      </c>
      <c r="ZD81" s="444"/>
      <c r="ZE81" s="445"/>
      <c r="ZF81" s="452">
        <v>0.5</v>
      </c>
      <c r="ZG81" s="447">
        <v>0.5</v>
      </c>
      <c r="ZH81" s="447">
        <v>0.5</v>
      </c>
      <c r="ZI81" s="447">
        <v>0.5</v>
      </c>
      <c r="ZJ81" s="447">
        <v>0.5</v>
      </c>
      <c r="ZK81" s="447">
        <v>0.5</v>
      </c>
      <c r="ZL81" s="447">
        <v>0.5</v>
      </c>
      <c r="ZM81" s="448">
        <v>0.5</v>
      </c>
      <c r="ZN81" s="471"/>
      <c r="ZO81" s="450"/>
      <c r="ZP81" s="447">
        <v>0.5</v>
      </c>
      <c r="ZQ81" s="472">
        <v>0.5</v>
      </c>
      <c r="ZR81" s="452">
        <v>0.5</v>
      </c>
      <c r="ZS81" s="447">
        <v>0.5</v>
      </c>
      <c r="ZT81" s="447">
        <v>0.5</v>
      </c>
      <c r="ZU81" s="447">
        <v>0.5</v>
      </c>
      <c r="ZV81" s="447">
        <v>0.5</v>
      </c>
      <c r="ZW81" s="447">
        <v>0.5</v>
      </c>
      <c r="ZX81" s="450"/>
      <c r="ZY81" s="450"/>
      <c r="ZZ81" s="450"/>
      <c r="AAA81" s="450"/>
      <c r="AAB81" s="450"/>
      <c r="AAC81" s="453"/>
      <c r="AAD81" s="454"/>
      <c r="AAE81" s="456"/>
      <c r="AAF81" s="131">
        <f>SUM(ZD81:AAE81)</f>
      </c>
      <c r="AAG81" s="444"/>
      <c r="AAH81" s="445"/>
      <c r="AAI81" s="452">
        <v>0.5</v>
      </c>
      <c r="AAJ81" s="447">
        <v>0.5</v>
      </c>
      <c r="AAK81" s="447">
        <v>0.5</v>
      </c>
      <c r="AAL81" s="447">
        <v>0.5</v>
      </c>
      <c r="AAM81" s="447">
        <v>0.5</v>
      </c>
      <c r="AAN81" s="447">
        <v>0.5</v>
      </c>
      <c r="AAO81" s="447">
        <v>0.5</v>
      </c>
      <c r="AAP81" s="448">
        <v>0.5</v>
      </c>
      <c r="AAQ81" s="471"/>
      <c r="AAR81" s="450"/>
      <c r="AAS81" s="447">
        <v>0.5</v>
      </c>
      <c r="AAT81" s="472">
        <v>0.5</v>
      </c>
      <c r="AAU81" s="452">
        <v>0.5</v>
      </c>
      <c r="AAV81" s="447">
        <v>0.5</v>
      </c>
      <c r="AAW81" s="447">
        <v>0.5</v>
      </c>
      <c r="AAX81" s="447">
        <v>0.5</v>
      </c>
      <c r="AAY81" s="447">
        <v>0.5</v>
      </c>
      <c r="AAZ81" s="447">
        <v>0.5</v>
      </c>
      <c r="ABA81" s="450"/>
      <c r="ABB81" s="450"/>
      <c r="ABC81" s="450"/>
      <c r="ABD81" s="450"/>
      <c r="ABE81" s="450"/>
      <c r="ABF81" s="453"/>
      <c r="ABG81" s="454"/>
      <c r="ABH81" s="456"/>
      <c r="ABI81" s="131">
        <f>SUM(AAG81:ABH81)</f>
      </c>
      <c r="ABJ81" s="444"/>
      <c r="ABK81" s="445"/>
      <c r="ABL81" s="452">
        <v>0.5</v>
      </c>
      <c r="ABM81" s="447">
        <v>0.5</v>
      </c>
      <c r="ABN81" s="447">
        <v>0.5</v>
      </c>
      <c r="ABO81" s="447">
        <v>0.5</v>
      </c>
      <c r="ABP81" s="447">
        <v>0.5</v>
      </c>
      <c r="ABQ81" s="447">
        <v>0.5</v>
      </c>
      <c r="ABR81" s="447">
        <v>0.5</v>
      </c>
      <c r="ABS81" s="448">
        <v>0.5</v>
      </c>
      <c r="ABT81" s="471"/>
      <c r="ABU81" s="450"/>
      <c r="ABV81" s="447">
        <v>0.5</v>
      </c>
      <c r="ABW81" s="472">
        <v>0.5</v>
      </c>
      <c r="ABX81" s="452">
        <v>0.5</v>
      </c>
      <c r="ABY81" s="447">
        <v>0.5</v>
      </c>
      <c r="ABZ81" s="447">
        <v>0.5</v>
      </c>
      <c r="ACA81" s="447">
        <v>0.5</v>
      </c>
      <c r="ACB81" s="447">
        <v>0.5</v>
      </c>
      <c r="ACC81" s="447">
        <v>0.5</v>
      </c>
      <c r="ACD81" s="450"/>
      <c r="ACE81" s="450"/>
      <c r="ACF81" s="450"/>
      <c r="ACG81" s="450"/>
      <c r="ACH81" s="450"/>
      <c r="ACI81" s="453"/>
      <c r="ACJ81" s="454"/>
      <c r="ACK81" s="469"/>
      <c r="ACL81" s="131">
        <f>SUM(ABJ81:ACK81)</f>
      </c>
      <c r="ACM81" s="434"/>
      <c r="ACN81" s="435"/>
      <c r="ACO81" s="436"/>
      <c r="ACP81" s="437"/>
      <c r="ACQ81" s="437"/>
      <c r="ACR81" s="437"/>
      <c r="ACS81" s="437"/>
      <c r="ACT81" s="437"/>
      <c r="ACU81" s="437"/>
      <c r="ACV81" s="438"/>
      <c r="ACW81" s="439"/>
      <c r="ACX81" s="437"/>
      <c r="ACY81" s="437"/>
      <c r="ACZ81" s="440"/>
      <c r="ADA81" s="436"/>
      <c r="ADB81" s="437"/>
      <c r="ADC81" s="437"/>
      <c r="ADD81" s="437"/>
      <c r="ADE81" s="437"/>
      <c r="ADF81" s="437"/>
      <c r="ADG81" s="437"/>
      <c r="ADH81" s="437"/>
      <c r="ADI81" s="437"/>
      <c r="ADJ81" s="437"/>
      <c r="ADK81" s="437"/>
      <c r="ADL81" s="438"/>
      <c r="ADM81" s="441"/>
      <c r="ADN81" s="470"/>
      <c r="ADO81" s="131">
        <f>SUM(ACM81:ADN81)</f>
      </c>
      <c r="ADP81" s="434"/>
      <c r="ADQ81" s="435"/>
      <c r="ADR81" s="436"/>
      <c r="ADS81" s="437"/>
      <c r="ADT81" s="437"/>
      <c r="ADU81" s="437"/>
      <c r="ADV81" s="437"/>
      <c r="ADW81" s="437"/>
      <c r="ADX81" s="437"/>
      <c r="ADY81" s="438"/>
      <c r="ADZ81" s="439"/>
      <c r="AEA81" s="437"/>
      <c r="AEB81" s="437"/>
      <c r="AEC81" s="440"/>
      <c r="AED81" s="436"/>
      <c r="AEE81" s="437"/>
      <c r="AEF81" s="437"/>
      <c r="AEG81" s="437"/>
      <c r="AEH81" s="437"/>
      <c r="AEI81" s="437"/>
      <c r="AEJ81" s="437"/>
      <c r="AEK81" s="437"/>
      <c r="AEL81" s="437"/>
      <c r="AEM81" s="437"/>
      <c r="AEN81" s="437"/>
      <c r="AEO81" s="438"/>
      <c r="AEP81" s="441"/>
      <c r="AEQ81" s="442"/>
      <c r="AER81" s="131">
        <f>SUM(ADP81:AEQ81)</f>
      </c>
      <c r="AES81" s="150">
        <f>XZ81+ZC81+AAF81+ABI81+ACL81+ADO81+AER81</f>
      </c>
      <c r="AET81" s="302">
        <f>(COUNTIF(WX81:AER81,"H")+COUNTIF(WX81:AER81,"S")+COUNTIF(WX81:AER81,"L")+COUNTIF(WX81:AER81,"E")+COUNTIF(WX81:AER81,"C"))/2</f>
      </c>
      <c r="AEU81" s="131">
        <f>AES81+AET81</f>
      </c>
      <c r="AEV81" s="444"/>
      <c r="AEW81" s="445"/>
      <c r="AEX81" s="473">
        <v>0.5</v>
      </c>
      <c r="AEY81" s="474">
        <v>0.5</v>
      </c>
      <c r="AEZ81" s="474">
        <v>0.5</v>
      </c>
      <c r="AFA81" s="474">
        <v>0.5</v>
      </c>
      <c r="AFB81" s="474">
        <v>0.5</v>
      </c>
      <c r="AFC81" s="474">
        <v>0.5</v>
      </c>
      <c r="AFD81" s="474">
        <v>0.5</v>
      </c>
      <c r="AFE81" s="475">
        <v>0.5</v>
      </c>
      <c r="AFF81" s="471"/>
      <c r="AFG81" s="450"/>
      <c r="AFH81" s="474">
        <v>0.5</v>
      </c>
      <c r="AFI81" s="476">
        <v>0.5</v>
      </c>
      <c r="AFJ81" s="473">
        <v>0.5</v>
      </c>
      <c r="AFK81" s="474">
        <v>0.5</v>
      </c>
      <c r="AFL81" s="474">
        <v>0.5</v>
      </c>
      <c r="AFM81" s="474">
        <v>0.5</v>
      </c>
      <c r="AFN81" s="474">
        <v>0.5</v>
      </c>
      <c r="AFO81" s="474">
        <v>0.5</v>
      </c>
      <c r="AFP81" s="450"/>
      <c r="AFQ81" s="450"/>
      <c r="AFR81" s="450"/>
      <c r="AFS81" s="450"/>
      <c r="AFT81" s="450"/>
      <c r="AFU81" s="453"/>
      <c r="AFV81" s="454"/>
      <c r="AFW81" s="456"/>
      <c r="AFX81" s="131">
        <f>SUM(AEV81:AFW81)</f>
      </c>
      <c r="AFY81" s="444"/>
      <c r="AFZ81" s="445"/>
      <c r="AGA81" s="473">
        <v>0.5</v>
      </c>
      <c r="AGB81" s="474">
        <v>0.5</v>
      </c>
      <c r="AGC81" s="474">
        <v>0.5</v>
      </c>
      <c r="AGD81" s="474">
        <v>0.5</v>
      </c>
      <c r="AGE81" s="474">
        <v>0.5</v>
      </c>
      <c r="AGF81" s="474">
        <v>0.5</v>
      </c>
      <c r="AGG81" s="474">
        <v>0.5</v>
      </c>
      <c r="AGH81" s="475">
        <v>0.5</v>
      </c>
      <c r="AGI81" s="471"/>
      <c r="AGJ81" s="450"/>
      <c r="AGK81" s="474">
        <v>0.5</v>
      </c>
      <c r="AGL81" s="476">
        <v>0.5</v>
      </c>
      <c r="AGM81" s="473">
        <v>0.5</v>
      </c>
      <c r="AGN81" s="474">
        <v>0.5</v>
      </c>
      <c r="AGO81" s="474">
        <v>0.5</v>
      </c>
      <c r="AGP81" s="474">
        <v>0.5</v>
      </c>
      <c r="AGQ81" s="474">
        <v>0.5</v>
      </c>
      <c r="AGR81" s="474">
        <v>0.5</v>
      </c>
      <c r="AGS81" s="450"/>
      <c r="AGT81" s="450"/>
      <c r="AGU81" s="450"/>
      <c r="AGV81" s="450"/>
      <c r="AGW81" s="450"/>
      <c r="AGX81" s="453"/>
      <c r="AGY81" s="454"/>
      <c r="AGZ81" s="456"/>
      <c r="AHA81" s="131">
        <f>SUM(AFY81:AGZ81)</f>
      </c>
      <c r="AHB81" s="444"/>
      <c r="AHC81" s="445"/>
      <c r="AHD81" s="473">
        <v>0.5</v>
      </c>
      <c r="AHE81" s="474">
        <v>0.5</v>
      </c>
      <c r="AHF81" s="474">
        <v>0.5</v>
      </c>
      <c r="AHG81" s="474">
        <v>0.5</v>
      </c>
      <c r="AHH81" s="474">
        <v>0.5</v>
      </c>
      <c r="AHI81" s="474">
        <v>0.5</v>
      </c>
      <c r="AHJ81" s="474">
        <v>0.5</v>
      </c>
      <c r="AHK81" s="475">
        <v>0.5</v>
      </c>
      <c r="AHL81" s="471"/>
      <c r="AHM81" s="450"/>
      <c r="AHN81" s="474">
        <v>0.5</v>
      </c>
      <c r="AHO81" s="476">
        <v>0.5</v>
      </c>
      <c r="AHP81" s="473">
        <v>0.5</v>
      </c>
      <c r="AHQ81" s="474">
        <v>0.5</v>
      </c>
      <c r="AHR81" s="474">
        <v>0.5</v>
      </c>
      <c r="AHS81" s="474">
        <v>0.5</v>
      </c>
      <c r="AHT81" s="474">
        <v>0.5</v>
      </c>
      <c r="AHU81" s="474">
        <v>0.5</v>
      </c>
      <c r="AHV81" s="450"/>
      <c r="AHW81" s="450"/>
      <c r="AHX81" s="450"/>
      <c r="AHY81" s="450"/>
      <c r="AHZ81" s="450"/>
      <c r="AIA81" s="453"/>
      <c r="AIB81" s="454"/>
      <c r="AIC81" s="456"/>
      <c r="AID81" s="131">
        <f>SUM(AHB81:AIC81)</f>
      </c>
      <c r="AIE81" s="444"/>
      <c r="AIF81" s="445"/>
      <c r="AIG81" s="473">
        <v>0.5</v>
      </c>
      <c r="AIH81" s="474">
        <v>0.5</v>
      </c>
      <c r="AII81" s="474">
        <v>0.5</v>
      </c>
      <c r="AIJ81" s="474">
        <v>0.5</v>
      </c>
      <c r="AIK81" s="474">
        <v>0.5</v>
      </c>
      <c r="AIL81" s="474">
        <v>0.5</v>
      </c>
      <c r="AIM81" s="474">
        <v>0.5</v>
      </c>
      <c r="AIN81" s="475">
        <v>0.5</v>
      </c>
      <c r="AIO81" s="471"/>
      <c r="AIP81" s="450"/>
      <c r="AIQ81" s="474">
        <v>0.5</v>
      </c>
      <c r="AIR81" s="476">
        <v>0.5</v>
      </c>
      <c r="AIS81" s="473">
        <v>0.5</v>
      </c>
      <c r="AIT81" s="474">
        <v>0.5</v>
      </c>
      <c r="AIU81" s="474">
        <v>0.5</v>
      </c>
      <c r="AIV81" s="474">
        <v>0.5</v>
      </c>
      <c r="AIW81" s="474">
        <v>0.5</v>
      </c>
      <c r="AIX81" s="474">
        <v>0.5</v>
      </c>
      <c r="AIY81" s="450"/>
      <c r="AIZ81" s="450"/>
      <c r="AJA81" s="450"/>
      <c r="AJB81" s="450"/>
      <c r="AJC81" s="450"/>
      <c r="AJD81" s="453"/>
      <c r="AJE81" s="454"/>
      <c r="AJF81" s="456"/>
      <c r="AJG81" s="131">
        <f>SUM(AIE81:AJF81)</f>
      </c>
      <c r="AJH81" s="444"/>
      <c r="AJI81" s="445"/>
      <c r="AJJ81" s="473">
        <v>0.5</v>
      </c>
      <c r="AJK81" s="474">
        <v>0.5</v>
      </c>
      <c r="AJL81" s="474">
        <v>0.5</v>
      </c>
      <c r="AJM81" s="474">
        <v>0.5</v>
      </c>
      <c r="AJN81" s="474">
        <v>0.5</v>
      </c>
      <c r="AJO81" s="474">
        <v>0.5</v>
      </c>
      <c r="AJP81" s="474">
        <v>0.5</v>
      </c>
      <c r="AJQ81" s="475">
        <v>0.5</v>
      </c>
      <c r="AJR81" s="471"/>
      <c r="AJS81" s="450"/>
      <c r="AJT81" s="474">
        <v>0.5</v>
      </c>
      <c r="AJU81" s="476">
        <v>0.5</v>
      </c>
      <c r="AJV81" s="473">
        <v>0.5</v>
      </c>
      <c r="AJW81" s="474">
        <v>0.5</v>
      </c>
      <c r="AJX81" s="474">
        <v>0.5</v>
      </c>
      <c r="AJY81" s="474">
        <v>0.5</v>
      </c>
      <c r="AJZ81" s="474">
        <v>0.5</v>
      </c>
      <c r="AKA81" s="474">
        <v>0.5</v>
      </c>
      <c r="AKB81" s="450"/>
      <c r="AKC81" s="450"/>
      <c r="AKD81" s="450"/>
      <c r="AKE81" s="450"/>
      <c r="AKF81" s="450"/>
      <c r="AKG81" s="453"/>
      <c r="AKH81" s="454"/>
      <c r="AKI81" s="456"/>
      <c r="AKJ81" s="131">
        <f>SUM(AJH81:AKI81)</f>
      </c>
      <c r="AKK81" s="434"/>
      <c r="AKL81" s="435"/>
      <c r="AKM81" s="436"/>
      <c r="AKN81" s="437"/>
      <c r="AKO81" s="437"/>
      <c r="AKP81" s="437"/>
      <c r="AKQ81" s="437"/>
      <c r="AKR81" s="437"/>
      <c r="AKS81" s="437"/>
      <c r="AKT81" s="438"/>
      <c r="AKU81" s="439"/>
      <c r="AKV81" s="437"/>
      <c r="AKW81" s="437"/>
      <c r="AKX81" s="440"/>
      <c r="AKY81" s="436"/>
      <c r="AKZ81" s="437"/>
      <c r="ALA81" s="437"/>
      <c r="ALB81" s="437"/>
      <c r="ALC81" s="437"/>
      <c r="ALD81" s="437"/>
      <c r="ALE81" s="437"/>
      <c r="ALF81" s="437"/>
      <c r="ALG81" s="437"/>
      <c r="ALH81" s="437"/>
      <c r="ALI81" s="437"/>
      <c r="ALJ81" s="438"/>
      <c r="ALK81" s="441"/>
      <c r="ALL81" s="442"/>
      <c r="ALM81" s="131">
        <f>SUM(AKK81:ALL81)</f>
      </c>
      <c r="ALN81" s="434"/>
      <c r="ALO81" s="435"/>
      <c r="ALP81" s="436"/>
      <c r="ALQ81" s="437"/>
      <c r="ALR81" s="437"/>
      <c r="ALS81" s="437"/>
      <c r="ALT81" s="437"/>
      <c r="ALU81" s="437"/>
      <c r="ALV81" s="437"/>
      <c r="ALW81" s="438"/>
      <c r="ALX81" s="439"/>
      <c r="ALY81" s="437"/>
      <c r="ALZ81" s="437"/>
      <c r="AMA81" s="440"/>
      <c r="AMB81" s="436"/>
      <c r="AMC81" s="437"/>
      <c r="AMD81" s="437"/>
      <c r="AME81" s="437"/>
      <c r="AMF81" s="437"/>
      <c r="AMG81" s="437"/>
      <c r="AMH81" s="437"/>
      <c r="AMI81" s="437"/>
      <c r="AMJ81" s="437"/>
      <c r="AMK81" s="437"/>
      <c r="AML81" s="437"/>
      <c r="AMM81" s="438"/>
      <c r="AMN81" s="441"/>
      <c r="AMO81" s="442"/>
      <c r="AMP81" s="131">
        <f>SUM(ALN81:AMO81)</f>
      </c>
      <c r="AMQ81" s="150">
        <f>AFX81+AHA81+AID81+AJG81+AKJ81+ALM81+AMP81</f>
      </c>
      <c r="AMR81" s="302">
        <f>(COUNTIF(AEV81:AMP81,"H")+COUNTIF(AEV81:AMP81,"S")+COUNTIF(AEV81:AMP81,"L")+COUNTIF(AEV81:AMP81,"E")+COUNTIF(AEV81:AMP81,"C"))/2</f>
      </c>
      <c r="AMS81" s="131">
        <f>AMQ81+AMR81</f>
      </c>
      <c r="AMT81" s="4"/>
      <c r="AMU81" s="4"/>
      <c r="AMV81" s="4"/>
      <c r="AMW81" s="4"/>
      <c r="AMX81" s="4"/>
      <c r="AMY81" s="4"/>
      <c r="AMZ81" s="4"/>
      <c r="ANA81" s="4"/>
      <c r="ANB81" s="4"/>
      <c r="ANC81" s="4"/>
      <c r="AND81" s="4"/>
      <c r="ANE81" s="4"/>
      <c r="ANF81" s="4"/>
      <c r="ANG81" s="4"/>
      <c r="ANH81" s="4"/>
      <c r="ANI81" s="4"/>
      <c r="ANJ81" s="13"/>
      <c r="ANK81" s="13"/>
      <c r="ANL81" s="4"/>
      <c r="ANM81" s="4"/>
      <c r="ANN81" s="4"/>
      <c r="ANO81" s="4"/>
      <c r="ANP81" s="4"/>
      <c r="ANQ81" s="4"/>
      <c r="ANR81" s="4"/>
      <c r="ANS81" s="4"/>
      <c r="ANT81" s="4"/>
      <c r="ANU81" s="4"/>
      <c r="ANV81" s="4"/>
      <c r="ANW81" s="4"/>
      <c r="ANX81" s="4"/>
      <c r="ANY81" s="4"/>
      <c r="ANZ81" s="4"/>
      <c r="AOA81" s="4"/>
      <c r="AOB81" s="4"/>
      <c r="AOC81" s="4"/>
      <c r="AOD81" s="4"/>
      <c r="AOE81" s="4"/>
      <c r="AOF81" s="4"/>
      <c r="AOG81" s="4"/>
      <c r="AOH81" s="4"/>
      <c r="AOI81" s="4"/>
      <c r="AOJ81" s="4"/>
      <c r="AOK81" s="4"/>
      <c r="AOL81" s="4"/>
      <c r="AOM81" s="4"/>
      <c r="AON81" s="4"/>
      <c r="AOO81" s="4"/>
      <c r="AOP81" s="4"/>
      <c r="AOQ81" s="4"/>
      <c r="AOR81" s="4"/>
      <c r="AOS81" s="4"/>
      <c r="AOT81" s="4"/>
      <c r="AOU81" s="4"/>
      <c r="AOV81" s="4"/>
      <c r="AOW81" s="4"/>
      <c r="AOX81" s="4"/>
      <c r="AOY81" s="4"/>
      <c r="AOZ81" s="4"/>
      <c r="APA81" s="4"/>
      <c r="APB81" s="4"/>
      <c r="APC81" s="4"/>
      <c r="APD81" s="4"/>
      <c r="APE81" s="4"/>
      <c r="APF81" s="4"/>
      <c r="APG81" s="4"/>
      <c r="APH81" s="4"/>
      <c r="API81" s="4"/>
      <c r="APJ81" s="4"/>
      <c r="APK81" s="4"/>
      <c r="APL81" s="4"/>
      <c r="APM81" s="4"/>
      <c r="APN81" s="4"/>
      <c r="APO81" s="4"/>
      <c r="APP81" s="4"/>
      <c r="APQ81" s="4"/>
      <c r="APR81" s="4"/>
      <c r="APS81" s="4"/>
      <c r="APT81" s="4"/>
      <c r="APU81" s="4"/>
      <c r="APV81" s="4"/>
      <c r="APW81" s="4"/>
      <c r="APX81" s="4"/>
      <c r="APY81" s="4"/>
      <c r="APZ81" s="4"/>
      <c r="AQA81" s="4"/>
      <c r="AQB81" s="4"/>
      <c r="AQC81" s="4"/>
      <c r="AQD81" s="4"/>
      <c r="AQE81" s="4"/>
      <c r="AQF81" s="4"/>
      <c r="AQG81" s="4"/>
      <c r="AQH81" s="4"/>
      <c r="AQI81" s="4"/>
      <c r="AQJ81" s="4"/>
      <c r="AQK81" s="4"/>
      <c r="AQL81" s="4"/>
      <c r="AQM81" s="4"/>
      <c r="AQN81" s="4"/>
      <c r="AQO81" s="4"/>
      <c r="AQP81" s="4"/>
      <c r="AQQ81" s="4"/>
      <c r="AQR81" s="4"/>
      <c r="AQS81" s="4"/>
      <c r="AQT81" s="4"/>
      <c r="AQU81" s="4"/>
      <c r="AQV81" s="4"/>
      <c r="AQW81" s="4"/>
      <c r="AQX81" s="4"/>
      <c r="AQY81" s="4"/>
      <c r="AQZ81" s="4"/>
      <c r="ARA81" s="4"/>
      <c r="ARB81" s="4"/>
      <c r="ARC81" s="4"/>
      <c r="ARD81" s="4"/>
      <c r="ARE81" s="4"/>
      <c r="ARF81" s="4"/>
      <c r="ARG81" s="4"/>
      <c r="ARH81" s="4"/>
      <c r="ARI81" s="4"/>
      <c r="ARJ81" s="4"/>
      <c r="ARK81" s="4"/>
      <c r="ARL81" s="4"/>
      <c r="ARM81" s="4"/>
      <c r="ARN81" s="4"/>
      <c r="ARO81" s="4"/>
      <c r="ARP81" s="4"/>
      <c r="ARQ81" s="4"/>
      <c r="ARR81" s="4"/>
      <c r="ARS81" s="4"/>
      <c r="ART81" s="4"/>
      <c r="ARU81" s="4"/>
      <c r="ARV81" s="4"/>
      <c r="ARW81" s="4"/>
      <c r="ARX81" s="4"/>
      <c r="ARY81" s="4"/>
      <c r="ARZ81" s="4"/>
      <c r="ASA81" s="4"/>
      <c r="ASB81" s="4"/>
      <c r="ASC81" s="4"/>
      <c r="ASD81" s="4"/>
      <c r="ASE81" s="4"/>
      <c r="ASF81" s="4"/>
      <c r="ASG81" s="4"/>
      <c r="ASH81" s="4"/>
      <c r="ASI81" s="4"/>
      <c r="ASJ81" s="4"/>
      <c r="ASK81" s="4"/>
      <c r="ASL81" s="4"/>
      <c r="ASM81" s="4"/>
      <c r="ASN81" s="4"/>
      <c r="ASO81" s="4"/>
      <c r="ASP81" s="4"/>
      <c r="ASQ81" s="4"/>
      <c r="ASR81" s="4"/>
      <c r="ASS81" s="4"/>
      <c r="AST81" s="4"/>
      <c r="ASU81" s="4"/>
    </row>
    <row r="82" ht="15" customHeight="1" spans="1:1191" x14ac:dyDescent="0.25">
      <c r="A82" s="118"/>
      <c r="B82" s="403" t="s">
        <v>120</v>
      </c>
      <c r="C82" s="289" t="s">
        <v>55</v>
      </c>
      <c r="D82" s="121"/>
      <c r="E82" s="122"/>
      <c r="F82" s="123"/>
      <c r="G82" s="124"/>
      <c r="H82" s="124"/>
      <c r="I82" s="124"/>
      <c r="J82" s="124"/>
      <c r="K82" s="124"/>
      <c r="L82" s="124"/>
      <c r="M82" s="125"/>
      <c r="N82" s="126"/>
      <c r="O82" s="124"/>
      <c r="P82" s="124"/>
      <c r="Q82" s="127"/>
      <c r="R82" s="123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5"/>
      <c r="AD82" s="301"/>
      <c r="AE82" s="151"/>
      <c r="AF82" s="131">
        <f>SUM(D82:AE82)</f>
      </c>
      <c r="AG82" s="121"/>
      <c r="AH82" s="122"/>
      <c r="AI82" s="123"/>
      <c r="AJ82" s="124"/>
      <c r="AK82" s="124"/>
      <c r="AL82" s="124"/>
      <c r="AM82" s="124"/>
      <c r="AN82" s="124"/>
      <c r="AO82" s="124"/>
      <c r="AP82" s="125"/>
      <c r="AQ82" s="126"/>
      <c r="AR82" s="124"/>
      <c r="AS82" s="124"/>
      <c r="AT82" s="127"/>
      <c r="AU82" s="123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5"/>
      <c r="BG82" s="301"/>
      <c r="BH82" s="151"/>
      <c r="BI82" s="131">
        <f>SUM(AG82:BH82)</f>
      </c>
      <c r="BJ82" s="121"/>
      <c r="BK82" s="122"/>
      <c r="BL82" s="123"/>
      <c r="BM82" s="124"/>
      <c r="BN82" s="124"/>
      <c r="BO82" s="124"/>
      <c r="BP82" s="124"/>
      <c r="BQ82" s="124"/>
      <c r="BR82" s="124"/>
      <c r="BS82" s="125"/>
      <c r="BT82" s="126"/>
      <c r="BU82" s="124"/>
      <c r="BV82" s="124"/>
      <c r="BW82" s="127"/>
      <c r="BX82" s="123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5"/>
      <c r="CJ82" s="301"/>
      <c r="CK82" s="151"/>
      <c r="CL82" s="131">
        <f>SUM(BJ82:CK82)</f>
      </c>
      <c r="CM82" s="121"/>
      <c r="CN82" s="122"/>
      <c r="CO82" s="123"/>
      <c r="CP82" s="124"/>
      <c r="CQ82" s="124"/>
      <c r="CR82" s="124"/>
      <c r="CS82" s="124"/>
      <c r="CT82" s="124"/>
      <c r="CU82" s="124"/>
      <c r="CV82" s="125"/>
      <c r="CW82" s="126"/>
      <c r="CX82" s="124"/>
      <c r="CY82" s="124"/>
      <c r="CZ82" s="127"/>
      <c r="DA82" s="123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5"/>
      <c r="DM82" s="301"/>
      <c r="DN82" s="151"/>
      <c r="DO82" s="131">
        <f>SUM(CM82:DN82)</f>
      </c>
      <c r="DP82" s="121"/>
      <c r="DQ82" s="122"/>
      <c r="DR82" s="123"/>
      <c r="DS82" s="124"/>
      <c r="DT82" s="124"/>
      <c r="DU82" s="124"/>
      <c r="DV82" s="124"/>
      <c r="DW82" s="124"/>
      <c r="DX82" s="124"/>
      <c r="DY82" s="125"/>
      <c r="DZ82" s="126"/>
      <c r="EA82" s="124"/>
      <c r="EB82" s="124"/>
      <c r="EC82" s="127"/>
      <c r="ED82" s="123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5"/>
      <c r="EP82" s="301"/>
      <c r="EQ82" s="151"/>
      <c r="ER82" s="131">
        <f>SUM(DP82:EQ82)</f>
      </c>
      <c r="ES82" s="121"/>
      <c r="ET82" s="122"/>
      <c r="EU82" s="123"/>
      <c r="EV82" s="124"/>
      <c r="EW82" s="124"/>
      <c r="EX82" s="124"/>
      <c r="EY82" s="124"/>
      <c r="EZ82" s="124"/>
      <c r="FA82" s="124"/>
      <c r="FB82" s="125"/>
      <c r="FC82" s="126"/>
      <c r="FD82" s="124"/>
      <c r="FE82" s="124"/>
      <c r="FF82" s="127"/>
      <c r="FG82" s="123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5"/>
      <c r="FS82" s="301"/>
      <c r="FT82" s="151"/>
      <c r="FU82" s="131">
        <f>SUM(ES82:FT82)</f>
      </c>
      <c r="FV82" s="121"/>
      <c r="FW82" s="122"/>
      <c r="FX82" s="123"/>
      <c r="FY82" s="124"/>
      <c r="FZ82" s="124"/>
      <c r="GA82" s="124"/>
      <c r="GB82" s="124"/>
      <c r="GC82" s="124"/>
      <c r="GD82" s="124"/>
      <c r="GE82" s="125"/>
      <c r="GF82" s="126"/>
      <c r="GG82" s="124"/>
      <c r="GH82" s="124"/>
      <c r="GI82" s="127"/>
      <c r="GJ82" s="123"/>
      <c r="GK82" s="124"/>
      <c r="GL82" s="124"/>
      <c r="GM82" s="124"/>
      <c r="GN82" s="124"/>
      <c r="GO82" s="124"/>
      <c r="GP82" s="124"/>
      <c r="GQ82" s="124"/>
      <c r="GR82" s="124"/>
      <c r="GS82" s="124"/>
      <c r="GT82" s="124"/>
      <c r="GU82" s="125"/>
      <c r="GV82" s="301"/>
      <c r="GW82" s="151"/>
      <c r="GX82" s="131">
        <f>SUM(FV82:GW82)</f>
      </c>
      <c r="GY82" s="150">
        <f>AF82+BI82+CL82+DO82+ER82+FU82+GX82</f>
      </c>
      <c r="GZ82" s="302">
        <f>(COUNTIF(D82:GX82,"H")+COUNTIF(D82:GX82,"S")+COUNTIF(D82:GX82,"L")+COUNTIF(D82:GX82,"E")+COUNTIF(D82:GX82,"C"))/2</f>
      </c>
      <c r="HA82" s="131">
        <f>GY82+GZ82</f>
      </c>
      <c r="HB82" s="374"/>
      <c r="HC82" s="375"/>
      <c r="HD82" s="15"/>
      <c r="HE82" s="19"/>
      <c r="HF82" s="19"/>
      <c r="HG82" s="143">
        <v>0.5</v>
      </c>
      <c r="HH82" s="143">
        <v>0.5</v>
      </c>
      <c r="HI82" s="143">
        <v>0.5</v>
      </c>
      <c r="HJ82" s="143">
        <v>0.5</v>
      </c>
      <c r="HK82" s="154">
        <v>0.5</v>
      </c>
      <c r="HL82" s="404">
        <v>0.5</v>
      </c>
      <c r="HM82" s="143">
        <v>0.5</v>
      </c>
      <c r="HN82" s="19"/>
      <c r="HO82" s="323"/>
      <c r="HP82" s="339">
        <v>0.5</v>
      </c>
      <c r="HQ82" s="143">
        <v>0.5</v>
      </c>
      <c r="HR82" s="143">
        <v>0.5</v>
      </c>
      <c r="HS82" s="143">
        <v>0.5</v>
      </c>
      <c r="HT82" s="143">
        <v>0.5</v>
      </c>
      <c r="HU82" s="143">
        <v>0.5</v>
      </c>
      <c r="HV82" s="143">
        <v>0.5</v>
      </c>
      <c r="HW82" s="143">
        <v>0.5</v>
      </c>
      <c r="HX82" s="143">
        <v>0.5</v>
      </c>
      <c r="HY82" s="19"/>
      <c r="HZ82" s="19"/>
      <c r="IA82" s="414"/>
      <c r="IB82" s="407"/>
      <c r="IC82" s="408"/>
      <c r="ID82" s="131">
        <f>SUM(HB82:IC82)</f>
      </c>
      <c r="IE82" s="374"/>
      <c r="IF82" s="375"/>
      <c r="IG82" s="15"/>
      <c r="IH82" s="19"/>
      <c r="II82" s="19"/>
      <c r="IJ82" s="143">
        <v>0.5</v>
      </c>
      <c r="IK82" s="143">
        <v>0.5</v>
      </c>
      <c r="IL82" s="143">
        <v>0.5</v>
      </c>
      <c r="IM82" s="143">
        <v>0.5</v>
      </c>
      <c r="IN82" s="154">
        <v>0.5</v>
      </c>
      <c r="IO82" s="404">
        <v>0.5</v>
      </c>
      <c r="IP82" s="143">
        <v>0.5</v>
      </c>
      <c r="IQ82" s="19"/>
      <c r="IR82" s="323"/>
      <c r="IS82" s="339">
        <v>0.5</v>
      </c>
      <c r="IT82" s="143">
        <v>0.5</v>
      </c>
      <c r="IU82" s="143">
        <v>0.5</v>
      </c>
      <c r="IV82" s="143">
        <v>0.5</v>
      </c>
      <c r="IW82" s="143">
        <v>0.5</v>
      </c>
      <c r="IX82" s="143">
        <v>0.5</v>
      </c>
      <c r="IY82" s="143">
        <v>0.5</v>
      </c>
      <c r="IZ82" s="143">
        <v>0.5</v>
      </c>
      <c r="JA82" s="143">
        <v>0.5</v>
      </c>
      <c r="JB82" s="19"/>
      <c r="JC82" s="19"/>
      <c r="JD82" s="414"/>
      <c r="JE82" s="407"/>
      <c r="JF82" s="408"/>
      <c r="JG82" s="131">
        <f>SUM(IE82:JF82)</f>
      </c>
      <c r="JH82" s="374"/>
      <c r="JI82" s="375"/>
      <c r="JJ82" s="15"/>
      <c r="JK82" s="19"/>
      <c r="JL82" s="19"/>
      <c r="JM82" s="143">
        <v>0.5</v>
      </c>
      <c r="JN82" s="143">
        <v>0.5</v>
      </c>
      <c r="JO82" s="143">
        <v>0.5</v>
      </c>
      <c r="JP82" s="143">
        <v>0.5</v>
      </c>
      <c r="JQ82" s="154">
        <v>0.5</v>
      </c>
      <c r="JR82" s="404">
        <v>0.5</v>
      </c>
      <c r="JS82" s="143">
        <v>0.5</v>
      </c>
      <c r="JT82" s="19"/>
      <c r="JU82" s="323"/>
      <c r="JV82" s="339">
        <v>0.5</v>
      </c>
      <c r="JW82" s="143">
        <v>0.5</v>
      </c>
      <c r="JX82" s="143">
        <v>0.5</v>
      </c>
      <c r="JY82" s="143">
        <v>0.5</v>
      </c>
      <c r="JZ82" s="143">
        <v>0.5</v>
      </c>
      <c r="KA82" s="143">
        <v>0.5</v>
      </c>
      <c r="KB82" s="143">
        <v>0.5</v>
      </c>
      <c r="KC82" s="143">
        <v>0.5</v>
      </c>
      <c r="KD82" s="143">
        <v>0.5</v>
      </c>
      <c r="KE82" s="19"/>
      <c r="KF82" s="19"/>
      <c r="KG82" s="414"/>
      <c r="KH82" s="407"/>
      <c r="KI82" s="408"/>
      <c r="KJ82" s="131">
        <f>SUM(JH82:KI82)</f>
      </c>
      <c r="KK82" s="374"/>
      <c r="KL82" s="375"/>
      <c r="KM82" s="15"/>
      <c r="KN82" s="19"/>
      <c r="KO82" s="19"/>
      <c r="KP82" s="143">
        <v>0.5</v>
      </c>
      <c r="KQ82" s="143">
        <v>0.5</v>
      </c>
      <c r="KR82" s="143">
        <v>0.5</v>
      </c>
      <c r="KS82" s="143">
        <v>0.5</v>
      </c>
      <c r="KT82" s="154">
        <v>0.5</v>
      </c>
      <c r="KU82" s="404">
        <v>0.5</v>
      </c>
      <c r="KV82" s="143">
        <v>0.5</v>
      </c>
      <c r="KW82" s="19"/>
      <c r="KX82" s="323"/>
      <c r="KY82" s="339">
        <v>0.5</v>
      </c>
      <c r="KZ82" s="143">
        <v>0.5</v>
      </c>
      <c r="LA82" s="143">
        <v>0.5</v>
      </c>
      <c r="LB82" s="143">
        <v>0.5</v>
      </c>
      <c r="LC82" s="143">
        <v>0.5</v>
      </c>
      <c r="LD82" s="143">
        <v>0.5</v>
      </c>
      <c r="LE82" s="143">
        <v>0.5</v>
      </c>
      <c r="LF82" s="143">
        <v>0.5</v>
      </c>
      <c r="LG82" s="143">
        <v>0.5</v>
      </c>
      <c r="LH82" s="19"/>
      <c r="LI82" s="19"/>
      <c r="LJ82" s="414"/>
      <c r="LK82" s="407"/>
      <c r="LL82" s="408"/>
      <c r="LM82" s="131">
        <f>SUM(KK82:LL82)</f>
      </c>
      <c r="LN82" s="374"/>
      <c r="LO82" s="375"/>
      <c r="LP82" s="15"/>
      <c r="LQ82" s="19"/>
      <c r="LR82" s="19"/>
      <c r="LS82" s="143">
        <v>0.5</v>
      </c>
      <c r="LT82" s="143">
        <v>0.5</v>
      </c>
      <c r="LU82" s="143">
        <v>0.5</v>
      </c>
      <c r="LV82" s="143">
        <v>0.5</v>
      </c>
      <c r="LW82" s="154">
        <v>0.5</v>
      </c>
      <c r="LX82" s="404">
        <v>0.5</v>
      </c>
      <c r="LY82" s="143">
        <v>0.5</v>
      </c>
      <c r="LZ82" s="19"/>
      <c r="MA82" s="323"/>
      <c r="MB82" s="339">
        <v>0.5</v>
      </c>
      <c r="MC82" s="143">
        <v>0.5</v>
      </c>
      <c r="MD82" s="143">
        <v>0.5</v>
      </c>
      <c r="ME82" s="143">
        <v>0.5</v>
      </c>
      <c r="MF82" s="143">
        <v>0.5</v>
      </c>
      <c r="MG82" s="143">
        <v>0.5</v>
      </c>
      <c r="MH82" s="143">
        <v>0.5</v>
      </c>
      <c r="MI82" s="143">
        <v>0.5</v>
      </c>
      <c r="MJ82" s="143">
        <v>0.5</v>
      </c>
      <c r="MK82" s="19"/>
      <c r="ML82" s="19"/>
      <c r="MM82" s="414"/>
      <c r="MN82" s="407"/>
      <c r="MO82" s="408"/>
      <c r="MP82" s="131">
        <f>SUM(LN82:MO82)</f>
      </c>
      <c r="MQ82" s="121"/>
      <c r="MR82" s="122"/>
      <c r="MS82" s="123"/>
      <c r="MT82" s="124"/>
      <c r="MU82" s="124"/>
      <c r="MV82" s="124"/>
      <c r="MW82" s="124"/>
      <c r="MX82" s="124"/>
      <c r="MY82" s="124"/>
      <c r="MZ82" s="125"/>
      <c r="NA82" s="126"/>
      <c r="NB82" s="124"/>
      <c r="NC82" s="124"/>
      <c r="ND82" s="127"/>
      <c r="NE82" s="123"/>
      <c r="NF82" s="124"/>
      <c r="NG82" s="124"/>
      <c r="NH82" s="124"/>
      <c r="NI82" s="124"/>
      <c r="NJ82" s="124"/>
      <c r="NK82" s="124"/>
      <c r="NL82" s="124"/>
      <c r="NM82" s="124"/>
      <c r="NN82" s="124"/>
      <c r="NO82" s="124"/>
      <c r="NP82" s="125"/>
      <c r="NQ82" s="301"/>
      <c r="NR82" s="151"/>
      <c r="NS82" s="131">
        <f>SUM(MQ82:NR82)</f>
      </c>
      <c r="NT82" s="121"/>
      <c r="NU82" s="122"/>
      <c r="NV82" s="123"/>
      <c r="NW82" s="124"/>
      <c r="NX82" s="124"/>
      <c r="NY82" s="124"/>
      <c r="NZ82" s="124"/>
      <c r="OA82" s="124"/>
      <c r="OB82" s="124"/>
      <c r="OC82" s="125"/>
      <c r="OD82" s="126"/>
      <c r="OE82" s="124"/>
      <c r="OF82" s="124"/>
      <c r="OG82" s="127"/>
      <c r="OH82" s="123"/>
      <c r="OI82" s="124"/>
      <c r="OJ82" s="124"/>
      <c r="OK82" s="124"/>
      <c r="OL82" s="124"/>
      <c r="OM82" s="124"/>
      <c r="ON82" s="124"/>
      <c r="OO82" s="124"/>
      <c r="OP82" s="124"/>
      <c r="OQ82" s="124"/>
      <c r="OR82" s="124"/>
      <c r="OS82" s="125"/>
      <c r="OT82" s="301"/>
      <c r="OU82" s="151"/>
      <c r="OV82" s="131">
        <f>SUM(NT82:OU82)</f>
      </c>
      <c r="OW82" s="150">
        <f>ID82+JG82+KJ82+LM82+MP82+NS82+OV82</f>
      </c>
      <c r="OX82" s="302">
        <f>(COUNTIF(HB82:OV82,"H")+COUNTIF(HB82:OV82,"S")+COUNTIF(HB82:OV82,"L")+COUNTIF(HB82:OV82,"E")+COUNTIF(HB82:OV82,"C"))/2</f>
      </c>
      <c r="OY82" s="131">
        <f>OW82+OX82</f>
      </c>
      <c r="OZ82" s="374"/>
      <c r="PA82" s="375"/>
      <c r="PB82" s="15"/>
      <c r="PC82" s="19"/>
      <c r="PD82" s="19"/>
      <c r="PE82" s="25">
        <v>0.5</v>
      </c>
      <c r="PF82" s="25">
        <v>0.5</v>
      </c>
      <c r="PG82" s="25">
        <v>0.5</v>
      </c>
      <c r="PH82" s="25">
        <v>0.5</v>
      </c>
      <c r="PI82" s="418">
        <v>0.5</v>
      </c>
      <c r="PJ82" s="421">
        <v>0.5</v>
      </c>
      <c r="PK82" s="25">
        <v>0.5</v>
      </c>
      <c r="PL82" s="25">
        <v>0.5</v>
      </c>
      <c r="PM82" s="323"/>
      <c r="PN82" s="225" t="s">
        <v>4</v>
      </c>
      <c r="PO82" s="18" t="s">
        <v>4</v>
      </c>
      <c r="PP82" s="18" t="s">
        <v>4</v>
      </c>
      <c r="PQ82" s="18" t="s">
        <v>4</v>
      </c>
      <c r="PR82" s="18" t="s">
        <v>4</v>
      </c>
      <c r="PS82" s="18" t="s">
        <v>4</v>
      </c>
      <c r="PT82" s="18" t="s">
        <v>4</v>
      </c>
      <c r="PU82" s="18" t="s">
        <v>4</v>
      </c>
      <c r="PV82" s="18" t="s">
        <v>4</v>
      </c>
      <c r="PW82" s="19"/>
      <c r="PX82" s="19"/>
      <c r="PY82" s="414"/>
      <c r="PZ82" s="407"/>
      <c r="QA82" s="408"/>
      <c r="QB82" s="131">
        <f>SUM(OZ82:QA82)</f>
      </c>
      <c r="QC82" s="374"/>
      <c r="QD82" s="375"/>
      <c r="QE82" s="15"/>
      <c r="QF82" s="19"/>
      <c r="QG82" s="19"/>
      <c r="QH82" s="25">
        <v>0.5</v>
      </c>
      <c r="QI82" s="25">
        <v>0.5</v>
      </c>
      <c r="QJ82" s="25">
        <v>0.5</v>
      </c>
      <c r="QK82" s="25">
        <v>0.5</v>
      </c>
      <c r="QL82" s="418">
        <v>0.5</v>
      </c>
      <c r="QM82" s="421">
        <v>0.5</v>
      </c>
      <c r="QN82" s="25">
        <v>0.5</v>
      </c>
      <c r="QO82" s="25">
        <v>0.5</v>
      </c>
      <c r="QP82" s="323"/>
      <c r="QQ82" s="225" t="s">
        <v>4</v>
      </c>
      <c r="QR82" s="18" t="s">
        <v>4</v>
      </c>
      <c r="QS82" s="18" t="s">
        <v>4</v>
      </c>
      <c r="QT82" s="18" t="s">
        <v>4</v>
      </c>
      <c r="QU82" s="18" t="s">
        <v>4</v>
      </c>
      <c r="QV82" s="18" t="s">
        <v>4</v>
      </c>
      <c r="QW82" s="18" t="s">
        <v>4</v>
      </c>
      <c r="QX82" s="18" t="s">
        <v>4</v>
      </c>
      <c r="QY82" s="18" t="s">
        <v>4</v>
      </c>
      <c r="QZ82" s="19"/>
      <c r="RA82" s="19"/>
      <c r="RB82" s="414"/>
      <c r="RC82" s="407"/>
      <c r="RD82" s="408"/>
      <c r="RE82" s="131">
        <f>SUM(QC82:RD82)</f>
      </c>
      <c r="RF82" s="374"/>
      <c r="RG82" s="375"/>
      <c r="RH82" s="15"/>
      <c r="RI82" s="19"/>
      <c r="RJ82" s="19"/>
      <c r="RK82" s="25">
        <v>0.5</v>
      </c>
      <c r="RL82" s="25">
        <v>0.5</v>
      </c>
      <c r="RM82" s="25">
        <v>0.5</v>
      </c>
      <c r="RN82" s="25">
        <v>0.5</v>
      </c>
      <c r="RO82" s="418">
        <v>0.5</v>
      </c>
      <c r="RP82" s="421">
        <v>0.5</v>
      </c>
      <c r="RQ82" s="25">
        <v>0.5</v>
      </c>
      <c r="RR82" s="19"/>
      <c r="RS82" s="323"/>
      <c r="RT82" s="420">
        <v>0.5</v>
      </c>
      <c r="RU82" s="25">
        <v>0.5</v>
      </c>
      <c r="RV82" s="25">
        <v>0.5</v>
      </c>
      <c r="RW82" s="25">
        <v>0.5</v>
      </c>
      <c r="RX82" s="25">
        <v>0.5</v>
      </c>
      <c r="RY82" s="25">
        <v>0.5</v>
      </c>
      <c r="RZ82" s="25">
        <v>0.5</v>
      </c>
      <c r="SA82" s="25">
        <v>0.5</v>
      </c>
      <c r="SB82" s="25">
        <v>0.5</v>
      </c>
      <c r="SC82" s="19"/>
      <c r="SD82" s="19"/>
      <c r="SE82" s="414"/>
      <c r="SF82" s="407"/>
      <c r="SG82" s="408"/>
      <c r="SH82" s="131">
        <f>SUM(RF82:SG82)</f>
      </c>
      <c r="SI82" s="374"/>
      <c r="SJ82" s="375"/>
      <c r="SK82" s="15"/>
      <c r="SL82" s="19"/>
      <c r="SM82" s="19"/>
      <c r="SN82" s="25">
        <v>0.5</v>
      </c>
      <c r="SO82" s="25">
        <v>0.5</v>
      </c>
      <c r="SP82" s="25">
        <v>0.5</v>
      </c>
      <c r="SQ82" s="25">
        <v>0.5</v>
      </c>
      <c r="SR82" s="418">
        <v>0.5</v>
      </c>
      <c r="SS82" s="421">
        <v>0.5</v>
      </c>
      <c r="ST82" s="25">
        <v>0.5</v>
      </c>
      <c r="SU82" s="19"/>
      <c r="SV82" s="323"/>
      <c r="SW82" s="420">
        <v>0.5</v>
      </c>
      <c r="SX82" s="25">
        <v>0.5</v>
      </c>
      <c r="SY82" s="25">
        <v>0.5</v>
      </c>
      <c r="SZ82" s="25">
        <v>0.5</v>
      </c>
      <c r="TA82" s="25">
        <v>0.5</v>
      </c>
      <c r="TB82" s="25">
        <v>0.5</v>
      </c>
      <c r="TC82" s="25">
        <v>0.5</v>
      </c>
      <c r="TD82" s="25">
        <v>0.5</v>
      </c>
      <c r="TE82" s="25">
        <v>0.5</v>
      </c>
      <c r="TF82" s="19"/>
      <c r="TG82" s="19"/>
      <c r="TH82" s="414"/>
      <c r="TI82" s="407"/>
      <c r="TJ82" s="408"/>
      <c r="TK82" s="131">
        <f>SUM(SI82:TJ82)</f>
      </c>
      <c r="TL82" s="374"/>
      <c r="TM82" s="375"/>
      <c r="TN82" s="15"/>
      <c r="TO82" s="19"/>
      <c r="TP82" s="19"/>
      <c r="TQ82" s="25">
        <v>0.5</v>
      </c>
      <c r="TR82" s="25">
        <v>0.5</v>
      </c>
      <c r="TS82" s="25">
        <v>0.5</v>
      </c>
      <c r="TT82" s="25">
        <v>0.5</v>
      </c>
      <c r="TU82" s="418">
        <v>0.5</v>
      </c>
      <c r="TV82" s="421">
        <v>0.5</v>
      </c>
      <c r="TW82" s="25">
        <v>0.5</v>
      </c>
      <c r="TX82" s="19"/>
      <c r="TY82" s="323"/>
      <c r="TZ82" s="420">
        <v>0.5</v>
      </c>
      <c r="UA82" s="25">
        <v>0.5</v>
      </c>
      <c r="UB82" s="25">
        <v>0.5</v>
      </c>
      <c r="UC82" s="25">
        <v>0.5</v>
      </c>
      <c r="UD82" s="25">
        <v>0.5</v>
      </c>
      <c r="UE82" s="25">
        <v>0.5</v>
      </c>
      <c r="UF82" s="25">
        <v>0.5</v>
      </c>
      <c r="UG82" s="25">
        <v>0.5</v>
      </c>
      <c r="UH82" s="25">
        <v>0.5</v>
      </c>
      <c r="UI82" s="19"/>
      <c r="UJ82" s="19"/>
      <c r="UK82" s="414"/>
      <c r="UL82" s="407"/>
      <c r="UM82" s="408"/>
      <c r="UN82" s="131">
        <f>SUM(TL82:UM82)</f>
      </c>
      <c r="UO82" s="121"/>
      <c r="UP82" s="122"/>
      <c r="UQ82" s="123"/>
      <c r="UR82" s="124"/>
      <c r="US82" s="124"/>
      <c r="UT82" s="124"/>
      <c r="UU82" s="124"/>
      <c r="UV82" s="124"/>
      <c r="UW82" s="124"/>
      <c r="UX82" s="125"/>
      <c r="UY82" s="126"/>
      <c r="UZ82" s="124"/>
      <c r="VA82" s="124"/>
      <c r="VB82" s="127"/>
      <c r="VC82" s="123"/>
      <c r="VD82" s="124"/>
      <c r="VE82" s="124"/>
      <c r="VF82" s="124"/>
      <c r="VG82" s="124"/>
      <c r="VH82" s="124"/>
      <c r="VI82" s="124"/>
      <c r="VJ82" s="124"/>
      <c r="VK82" s="124"/>
      <c r="VL82" s="124"/>
      <c r="VM82" s="124"/>
      <c r="VN82" s="125"/>
      <c r="VO82" s="301"/>
      <c r="VP82" s="151"/>
      <c r="VQ82" s="131">
        <f>SUM(UO82:VP82)</f>
      </c>
      <c r="VR82" s="121"/>
      <c r="VS82" s="122"/>
      <c r="VT82" s="123"/>
      <c r="VU82" s="124"/>
      <c r="VV82" s="124"/>
      <c r="VW82" s="124"/>
      <c r="VX82" s="124"/>
      <c r="VY82" s="124"/>
      <c r="VZ82" s="124"/>
      <c r="WA82" s="125"/>
      <c r="WB82" s="126"/>
      <c r="WC82" s="124"/>
      <c r="WD82" s="124"/>
      <c r="WE82" s="127"/>
      <c r="WF82" s="123"/>
      <c r="WG82" s="124"/>
      <c r="WH82" s="124"/>
      <c r="WI82" s="124"/>
      <c r="WJ82" s="124"/>
      <c r="WK82" s="124"/>
      <c r="WL82" s="124"/>
      <c r="WM82" s="124"/>
      <c r="WN82" s="124"/>
      <c r="WO82" s="124"/>
      <c r="WP82" s="124"/>
      <c r="WQ82" s="125"/>
      <c r="WR82" s="301"/>
      <c r="WS82" s="151"/>
      <c r="WT82" s="131">
        <f>SUM(VR82:WS82)</f>
      </c>
      <c r="WU82" s="150">
        <f>QB82+RE82+SH82+TK82+UN82+VQ82+WT82</f>
      </c>
      <c r="WV82" s="302">
        <f>(COUNTIF(OZ82:WT82,"H")+COUNTIF(OZ82:WT82,"S")+COUNTIF(OZ82:WT82,"L")+COUNTIF(OZ82:WT82,"E")+COUNTIF(OZ82:WT82,"C"))/2</f>
      </c>
      <c r="WW82" s="131">
        <f>WU82+WV82</f>
      </c>
      <c r="WX82" s="374"/>
      <c r="WY82" s="375"/>
      <c r="WZ82" s="15"/>
      <c r="XA82" s="19"/>
      <c r="XB82" s="19"/>
      <c r="XC82" s="25">
        <v>0.5</v>
      </c>
      <c r="XD82" s="25">
        <v>0.5</v>
      </c>
      <c r="XE82" s="25">
        <v>0.5</v>
      </c>
      <c r="XF82" s="25">
        <v>0.5</v>
      </c>
      <c r="XG82" s="418">
        <v>0.5</v>
      </c>
      <c r="XH82" s="421">
        <v>0.5</v>
      </c>
      <c r="XI82" s="25">
        <v>0.5</v>
      </c>
      <c r="XJ82" s="19"/>
      <c r="XK82" s="323"/>
      <c r="XL82" s="420">
        <v>0.5</v>
      </c>
      <c r="XM82" s="25">
        <v>0.5</v>
      </c>
      <c r="XN82" s="25">
        <v>0.5</v>
      </c>
      <c r="XO82" s="25">
        <v>0.5</v>
      </c>
      <c r="XP82" s="25">
        <v>0.5</v>
      </c>
      <c r="XQ82" s="25">
        <v>0.5</v>
      </c>
      <c r="XR82" s="25">
        <v>0.5</v>
      </c>
      <c r="XS82" s="25">
        <v>0.5</v>
      </c>
      <c r="XT82" s="25">
        <v>0.5</v>
      </c>
      <c r="XU82" s="19"/>
      <c r="XV82" s="19"/>
      <c r="XW82" s="414"/>
      <c r="XX82" s="407"/>
      <c r="XY82" s="408"/>
      <c r="XZ82" s="131">
        <f>SUM(WX82:XY82)</f>
      </c>
      <c r="YA82" s="374"/>
      <c r="YB82" s="375"/>
      <c r="YC82" s="15"/>
      <c r="YD82" s="19"/>
      <c r="YE82" s="19"/>
      <c r="YF82" s="25">
        <v>0.5</v>
      </c>
      <c r="YG82" s="25">
        <v>0.5</v>
      </c>
      <c r="YH82" s="25">
        <v>0.5</v>
      </c>
      <c r="YI82" s="25">
        <v>0.5</v>
      </c>
      <c r="YJ82" s="418">
        <v>0.5</v>
      </c>
      <c r="YK82" s="421">
        <v>0.5</v>
      </c>
      <c r="YL82" s="25">
        <v>0.5</v>
      </c>
      <c r="YM82" s="19"/>
      <c r="YN82" s="323"/>
      <c r="YO82" s="420">
        <v>0.5</v>
      </c>
      <c r="YP82" s="25">
        <v>0.5</v>
      </c>
      <c r="YQ82" s="25">
        <v>0.5</v>
      </c>
      <c r="YR82" s="25">
        <v>0.5</v>
      </c>
      <c r="YS82" s="25">
        <v>0.5</v>
      </c>
      <c r="YT82" s="25">
        <v>0.5</v>
      </c>
      <c r="YU82" s="25">
        <v>0.5</v>
      </c>
      <c r="YV82" s="25">
        <v>0.5</v>
      </c>
      <c r="YW82" s="25">
        <v>0.5</v>
      </c>
      <c r="YX82" s="19"/>
      <c r="YY82" s="19"/>
      <c r="YZ82" s="414"/>
      <c r="ZA82" s="407"/>
      <c r="ZB82" s="408"/>
      <c r="ZC82" s="131">
        <f>SUM(YA82:ZB82)</f>
      </c>
      <c r="ZD82" s="374"/>
      <c r="ZE82" s="375"/>
      <c r="ZF82" s="15"/>
      <c r="ZG82" s="19"/>
      <c r="ZH82" s="19"/>
      <c r="ZI82" s="25">
        <v>0.5</v>
      </c>
      <c r="ZJ82" s="25">
        <v>0.5</v>
      </c>
      <c r="ZK82" s="25">
        <v>0.5</v>
      </c>
      <c r="ZL82" s="25">
        <v>0.5</v>
      </c>
      <c r="ZM82" s="418">
        <v>0.5</v>
      </c>
      <c r="ZN82" s="421">
        <v>0.5</v>
      </c>
      <c r="ZO82" s="25">
        <v>0.5</v>
      </c>
      <c r="ZP82" s="19"/>
      <c r="ZQ82" s="323"/>
      <c r="ZR82" s="420">
        <v>0.5</v>
      </c>
      <c r="ZS82" s="25">
        <v>0.5</v>
      </c>
      <c r="ZT82" s="25">
        <v>0.5</v>
      </c>
      <c r="ZU82" s="25">
        <v>0.5</v>
      </c>
      <c r="ZV82" s="25">
        <v>0.5</v>
      </c>
      <c r="ZW82" s="25">
        <v>0.5</v>
      </c>
      <c r="ZX82" s="25">
        <v>0.5</v>
      </c>
      <c r="ZY82" s="25">
        <v>0.5</v>
      </c>
      <c r="ZZ82" s="25">
        <v>0.5</v>
      </c>
      <c r="AAA82" s="19"/>
      <c r="AAB82" s="19"/>
      <c r="AAC82" s="414"/>
      <c r="AAD82" s="407"/>
      <c r="AAE82" s="408"/>
      <c r="AAF82" s="131">
        <f>SUM(ZD82:AAE82)</f>
      </c>
      <c r="AAG82" s="374"/>
      <c r="AAH82" s="375"/>
      <c r="AAI82" s="15"/>
      <c r="AAJ82" s="19"/>
      <c r="AAK82" s="19"/>
      <c r="AAL82" s="25">
        <v>0.5</v>
      </c>
      <c r="AAM82" s="25">
        <v>0.5</v>
      </c>
      <c r="AAN82" s="25">
        <v>0.5</v>
      </c>
      <c r="AAO82" s="25">
        <v>0.5</v>
      </c>
      <c r="AAP82" s="418">
        <v>0.5</v>
      </c>
      <c r="AAQ82" s="421">
        <v>0.5</v>
      </c>
      <c r="AAR82" s="25">
        <v>0.5</v>
      </c>
      <c r="AAS82" s="19"/>
      <c r="AAT82" s="323"/>
      <c r="AAU82" s="420">
        <v>0.5</v>
      </c>
      <c r="AAV82" s="25">
        <v>0.5</v>
      </c>
      <c r="AAW82" s="25">
        <v>0.5</v>
      </c>
      <c r="AAX82" s="25">
        <v>0.5</v>
      </c>
      <c r="AAY82" s="25">
        <v>0.5</v>
      </c>
      <c r="AAZ82" s="25">
        <v>0.5</v>
      </c>
      <c r="ABA82" s="25">
        <v>0.5</v>
      </c>
      <c r="ABB82" s="25">
        <v>0.5</v>
      </c>
      <c r="ABC82" s="25">
        <v>0.5</v>
      </c>
      <c r="ABD82" s="19"/>
      <c r="ABE82" s="19"/>
      <c r="ABF82" s="414"/>
      <c r="ABG82" s="407"/>
      <c r="ABH82" s="408"/>
      <c r="ABI82" s="131">
        <f>SUM(AAG82:ABH82)</f>
      </c>
      <c r="ABJ82" s="374"/>
      <c r="ABK82" s="375"/>
      <c r="ABL82" s="15"/>
      <c r="ABM82" s="19"/>
      <c r="ABN82" s="19"/>
      <c r="ABO82" s="25">
        <v>0.5</v>
      </c>
      <c r="ABP82" s="25">
        <v>0.5</v>
      </c>
      <c r="ABQ82" s="25">
        <v>0.5</v>
      </c>
      <c r="ABR82" s="25">
        <v>0.5</v>
      </c>
      <c r="ABS82" s="418">
        <v>0.5</v>
      </c>
      <c r="ABT82" s="421">
        <v>0.5</v>
      </c>
      <c r="ABU82" s="25">
        <v>0.5</v>
      </c>
      <c r="ABV82" s="19"/>
      <c r="ABW82" s="323"/>
      <c r="ABX82" s="420">
        <v>0.5</v>
      </c>
      <c r="ABY82" s="25">
        <v>0.5</v>
      </c>
      <c r="ABZ82" s="25">
        <v>0.5</v>
      </c>
      <c r="ACA82" s="25">
        <v>0.5</v>
      </c>
      <c r="ACB82" s="25">
        <v>0.5</v>
      </c>
      <c r="ACC82" s="25">
        <v>0.5</v>
      </c>
      <c r="ACD82" s="25">
        <v>0.5</v>
      </c>
      <c r="ACE82" s="25">
        <v>0.5</v>
      </c>
      <c r="ACF82" s="25">
        <v>0.5</v>
      </c>
      <c r="ACG82" s="19"/>
      <c r="ACH82" s="19"/>
      <c r="ACI82" s="414"/>
      <c r="ACJ82" s="407"/>
      <c r="ACK82" s="408"/>
      <c r="ACL82" s="131">
        <f>SUM(ABJ82:ACK82)</f>
      </c>
      <c r="ACM82" s="121"/>
      <c r="ACN82" s="122"/>
      <c r="ACO82" s="123"/>
      <c r="ACP82" s="124"/>
      <c r="ACQ82" s="124"/>
      <c r="ACR82" s="124"/>
      <c r="ACS82" s="124"/>
      <c r="ACT82" s="124"/>
      <c r="ACU82" s="124"/>
      <c r="ACV82" s="125"/>
      <c r="ACW82" s="126"/>
      <c r="ACX82" s="124"/>
      <c r="ACY82" s="124"/>
      <c r="ACZ82" s="127"/>
      <c r="ADA82" s="123"/>
      <c r="ADB82" s="124"/>
      <c r="ADC82" s="124"/>
      <c r="ADD82" s="124"/>
      <c r="ADE82" s="124"/>
      <c r="ADF82" s="124"/>
      <c r="ADG82" s="124"/>
      <c r="ADH82" s="124"/>
      <c r="ADI82" s="124"/>
      <c r="ADJ82" s="124"/>
      <c r="ADK82" s="124"/>
      <c r="ADL82" s="125"/>
      <c r="ADM82" s="301"/>
      <c r="ADN82" s="151"/>
      <c r="ADO82" s="131">
        <f>SUM(ACM82:ADN82)</f>
      </c>
      <c r="ADP82" s="121"/>
      <c r="ADQ82" s="122"/>
      <c r="ADR82" s="123"/>
      <c r="ADS82" s="124"/>
      <c r="ADT82" s="124"/>
      <c r="ADU82" s="124"/>
      <c r="ADV82" s="124"/>
      <c r="ADW82" s="124"/>
      <c r="ADX82" s="124"/>
      <c r="ADY82" s="125"/>
      <c r="ADZ82" s="126"/>
      <c r="AEA82" s="124"/>
      <c r="AEB82" s="124"/>
      <c r="AEC82" s="127"/>
      <c r="AED82" s="123"/>
      <c r="AEE82" s="124"/>
      <c r="AEF82" s="124"/>
      <c r="AEG82" s="124"/>
      <c r="AEH82" s="124"/>
      <c r="AEI82" s="124"/>
      <c r="AEJ82" s="124"/>
      <c r="AEK82" s="124"/>
      <c r="AEL82" s="124"/>
      <c r="AEM82" s="124"/>
      <c r="AEN82" s="124"/>
      <c r="AEO82" s="125"/>
      <c r="AEP82" s="301"/>
      <c r="AEQ82" s="151"/>
      <c r="AER82" s="131">
        <f>SUM(ADP82:AEQ82)</f>
      </c>
      <c r="AES82" s="150">
        <f>XZ82+ZC82+AAF82+ABI82+ACL82+ADO82+AER82</f>
      </c>
      <c r="AET82" s="302">
        <f>(COUNTIF(WX82:AER82,"H")+COUNTIF(WX82:AER82,"S")+COUNTIF(WX82:AER82,"L")+COUNTIF(WX82:AER82,"E")+COUNTIF(WX82:AER82,"C"))/2</f>
      </c>
      <c r="AEU82" s="131">
        <f>AES82+AET82</f>
      </c>
      <c r="AEV82" s="374"/>
      <c r="AEW82" s="375"/>
      <c r="AEX82" s="15"/>
      <c r="AEY82" s="19"/>
      <c r="AEZ82" s="19"/>
      <c r="AFA82" s="143">
        <v>0.5</v>
      </c>
      <c r="AFB82" s="143">
        <v>0.5</v>
      </c>
      <c r="AFC82" s="143">
        <v>0.5</v>
      </c>
      <c r="AFD82" s="143">
        <v>0.5</v>
      </c>
      <c r="AFE82" s="154">
        <v>0.5</v>
      </c>
      <c r="AFF82" s="404">
        <v>0.5</v>
      </c>
      <c r="AFG82" s="143">
        <v>0.5</v>
      </c>
      <c r="AFH82" s="19"/>
      <c r="AFI82" s="323"/>
      <c r="AFJ82" s="339">
        <v>0.5</v>
      </c>
      <c r="AFK82" s="143">
        <v>0.5</v>
      </c>
      <c r="AFL82" s="143">
        <v>0.5</v>
      </c>
      <c r="AFM82" s="143">
        <v>0.5</v>
      </c>
      <c r="AFN82" s="143">
        <v>0.5</v>
      </c>
      <c r="AFO82" s="143">
        <v>0.5</v>
      </c>
      <c r="AFP82" s="143">
        <v>0.5</v>
      </c>
      <c r="AFQ82" s="143">
        <v>0.5</v>
      </c>
      <c r="AFR82" s="143">
        <v>0.5</v>
      </c>
      <c r="AFS82" s="19"/>
      <c r="AFT82" s="19"/>
      <c r="AFU82" s="414"/>
      <c r="AFV82" s="407"/>
      <c r="AFW82" s="408"/>
      <c r="AFX82" s="131">
        <f>SUM(AEV82:AFW82)</f>
      </c>
      <c r="AFY82" s="374"/>
      <c r="AFZ82" s="375"/>
      <c r="AGA82" s="15"/>
      <c r="AGB82" s="19"/>
      <c r="AGC82" s="19"/>
      <c r="AGD82" s="143">
        <v>0.5</v>
      </c>
      <c r="AGE82" s="143">
        <v>0.5</v>
      </c>
      <c r="AGF82" s="143">
        <v>0.5</v>
      </c>
      <c r="AGG82" s="143">
        <v>0.5</v>
      </c>
      <c r="AGH82" s="154">
        <v>0.5</v>
      </c>
      <c r="AGI82" s="404">
        <v>0.5</v>
      </c>
      <c r="AGJ82" s="143">
        <v>0.5</v>
      </c>
      <c r="AGK82" s="19"/>
      <c r="AGL82" s="323"/>
      <c r="AGM82" s="339">
        <v>0.5</v>
      </c>
      <c r="AGN82" s="143">
        <v>0.5</v>
      </c>
      <c r="AGO82" s="143">
        <v>0.5</v>
      </c>
      <c r="AGP82" s="143">
        <v>0.5</v>
      </c>
      <c r="AGQ82" s="143">
        <v>0.5</v>
      </c>
      <c r="AGR82" s="143">
        <v>0.5</v>
      </c>
      <c r="AGS82" s="143">
        <v>0.5</v>
      </c>
      <c r="AGT82" s="143">
        <v>0.5</v>
      </c>
      <c r="AGU82" s="143">
        <v>0.5</v>
      </c>
      <c r="AGV82" s="19"/>
      <c r="AGW82" s="19"/>
      <c r="AGX82" s="414"/>
      <c r="AGY82" s="407"/>
      <c r="AGZ82" s="408"/>
      <c r="AHA82" s="131">
        <f>SUM(AFY82:AGZ82)</f>
      </c>
      <c r="AHB82" s="374"/>
      <c r="AHC82" s="375"/>
      <c r="AHD82" s="15"/>
      <c r="AHE82" s="19"/>
      <c r="AHF82" s="19"/>
      <c r="AHG82" s="143">
        <v>0.5</v>
      </c>
      <c r="AHH82" s="143">
        <v>0.5</v>
      </c>
      <c r="AHI82" s="143">
        <v>0.5</v>
      </c>
      <c r="AHJ82" s="143">
        <v>0.5</v>
      </c>
      <c r="AHK82" s="154">
        <v>0.5</v>
      </c>
      <c r="AHL82" s="404">
        <v>0.5</v>
      </c>
      <c r="AHM82" s="143">
        <v>0.5</v>
      </c>
      <c r="AHN82" s="19"/>
      <c r="AHO82" s="323"/>
      <c r="AHP82" s="339">
        <v>0.5</v>
      </c>
      <c r="AHQ82" s="143">
        <v>0.5</v>
      </c>
      <c r="AHR82" s="143">
        <v>0.5</v>
      </c>
      <c r="AHS82" s="143">
        <v>0.5</v>
      </c>
      <c r="AHT82" s="143">
        <v>0.5</v>
      </c>
      <c r="AHU82" s="143">
        <v>0.5</v>
      </c>
      <c r="AHV82" s="143">
        <v>0.5</v>
      </c>
      <c r="AHW82" s="143">
        <v>0.5</v>
      </c>
      <c r="AHX82" s="143">
        <v>0.5</v>
      </c>
      <c r="AHY82" s="19"/>
      <c r="AHZ82" s="19"/>
      <c r="AIA82" s="414"/>
      <c r="AIB82" s="407"/>
      <c r="AIC82" s="408"/>
      <c r="AID82" s="131">
        <f>SUM(AHB82:AIC82)</f>
      </c>
      <c r="AIE82" s="374"/>
      <c r="AIF82" s="375"/>
      <c r="AIG82" s="15"/>
      <c r="AIH82" s="19"/>
      <c r="AII82" s="19"/>
      <c r="AIJ82" s="143">
        <v>0.5</v>
      </c>
      <c r="AIK82" s="143">
        <v>0.5</v>
      </c>
      <c r="AIL82" s="143">
        <v>0.5</v>
      </c>
      <c r="AIM82" s="143">
        <v>0.5</v>
      </c>
      <c r="AIN82" s="154">
        <v>0.5</v>
      </c>
      <c r="AIO82" s="404">
        <v>0.5</v>
      </c>
      <c r="AIP82" s="143">
        <v>0.5</v>
      </c>
      <c r="AIQ82" s="19"/>
      <c r="AIR82" s="323"/>
      <c r="AIS82" s="339">
        <v>0.5</v>
      </c>
      <c r="AIT82" s="143">
        <v>0.5</v>
      </c>
      <c r="AIU82" s="143">
        <v>0.5</v>
      </c>
      <c r="AIV82" s="143">
        <v>0.5</v>
      </c>
      <c r="AIW82" s="143">
        <v>0.5</v>
      </c>
      <c r="AIX82" s="143">
        <v>0.5</v>
      </c>
      <c r="AIY82" s="143">
        <v>0.5</v>
      </c>
      <c r="AIZ82" s="143">
        <v>0.5</v>
      </c>
      <c r="AJA82" s="143">
        <v>0.5</v>
      </c>
      <c r="AJB82" s="19"/>
      <c r="AJC82" s="19"/>
      <c r="AJD82" s="414"/>
      <c r="AJE82" s="407"/>
      <c r="AJF82" s="408"/>
      <c r="AJG82" s="131">
        <f>SUM(AIE82:AJF82)</f>
      </c>
      <c r="AJH82" s="374"/>
      <c r="AJI82" s="375"/>
      <c r="AJJ82" s="15"/>
      <c r="AJK82" s="19"/>
      <c r="AJL82" s="19"/>
      <c r="AJM82" s="143">
        <v>0.5</v>
      </c>
      <c r="AJN82" s="143">
        <v>0.5</v>
      </c>
      <c r="AJO82" s="143">
        <v>0.5</v>
      </c>
      <c r="AJP82" s="143">
        <v>0.5</v>
      </c>
      <c r="AJQ82" s="154">
        <v>0.5</v>
      </c>
      <c r="AJR82" s="404">
        <v>0.5</v>
      </c>
      <c r="AJS82" s="143">
        <v>0.5</v>
      </c>
      <c r="AJT82" s="19"/>
      <c r="AJU82" s="323"/>
      <c r="AJV82" s="339">
        <v>0.5</v>
      </c>
      <c r="AJW82" s="143">
        <v>0.5</v>
      </c>
      <c r="AJX82" s="143">
        <v>0.5</v>
      </c>
      <c r="AJY82" s="143">
        <v>0.5</v>
      </c>
      <c r="AJZ82" s="143">
        <v>0.5</v>
      </c>
      <c r="AKA82" s="143">
        <v>0.5</v>
      </c>
      <c r="AKB82" s="143">
        <v>0.5</v>
      </c>
      <c r="AKC82" s="143">
        <v>0.5</v>
      </c>
      <c r="AKD82" s="143">
        <v>0.5</v>
      </c>
      <c r="AKE82" s="19"/>
      <c r="AKF82" s="19"/>
      <c r="AKG82" s="414"/>
      <c r="AKH82" s="407"/>
      <c r="AKI82" s="408"/>
      <c r="AKJ82" s="131">
        <f>SUM(AJH82:AKI82)</f>
      </c>
      <c r="AKK82" s="121"/>
      <c r="AKL82" s="122"/>
      <c r="AKM82" s="123"/>
      <c r="AKN82" s="124"/>
      <c r="AKO82" s="124"/>
      <c r="AKP82" s="124"/>
      <c r="AKQ82" s="124"/>
      <c r="AKR82" s="124"/>
      <c r="AKS82" s="124"/>
      <c r="AKT82" s="125"/>
      <c r="AKU82" s="126"/>
      <c r="AKV82" s="124"/>
      <c r="AKW82" s="124"/>
      <c r="AKX82" s="127"/>
      <c r="AKY82" s="123"/>
      <c r="AKZ82" s="124"/>
      <c r="ALA82" s="124"/>
      <c r="ALB82" s="124"/>
      <c r="ALC82" s="124"/>
      <c r="ALD82" s="124"/>
      <c r="ALE82" s="124"/>
      <c r="ALF82" s="124"/>
      <c r="ALG82" s="124"/>
      <c r="ALH82" s="124"/>
      <c r="ALI82" s="124"/>
      <c r="ALJ82" s="125"/>
      <c r="ALK82" s="301"/>
      <c r="ALL82" s="151"/>
      <c r="ALM82" s="131">
        <f>SUM(AKK82:ALL82)</f>
      </c>
      <c r="ALN82" s="121"/>
      <c r="ALO82" s="122"/>
      <c r="ALP82" s="123"/>
      <c r="ALQ82" s="124"/>
      <c r="ALR82" s="124"/>
      <c r="ALS82" s="124"/>
      <c r="ALT82" s="124"/>
      <c r="ALU82" s="124"/>
      <c r="ALV82" s="124"/>
      <c r="ALW82" s="125"/>
      <c r="ALX82" s="126"/>
      <c r="ALY82" s="124"/>
      <c r="ALZ82" s="124"/>
      <c r="AMA82" s="127"/>
      <c r="AMB82" s="123"/>
      <c r="AMC82" s="124"/>
      <c r="AMD82" s="124"/>
      <c r="AME82" s="124"/>
      <c r="AMF82" s="124"/>
      <c r="AMG82" s="124"/>
      <c r="AMH82" s="124"/>
      <c r="AMI82" s="124"/>
      <c r="AMJ82" s="124"/>
      <c r="AMK82" s="124"/>
      <c r="AML82" s="124"/>
      <c r="AMM82" s="125"/>
      <c r="AMN82" s="301"/>
      <c r="AMO82" s="151"/>
      <c r="AMP82" s="131">
        <f>SUM(ALN82:AMO82)</f>
      </c>
      <c r="AMQ82" s="150">
        <f>AFX82+AHA82+AID82+AJG82+AKJ82+ALM82+AMP82</f>
      </c>
      <c r="AMR82" s="302">
        <f>(COUNTIF(AEV82:AMP82,"H")+COUNTIF(AEV82:AMP82,"S")+COUNTIF(AEV82:AMP82,"L")+COUNTIF(AEV82:AMP82,"E")+COUNTIF(AEV82:AMP82,"C"))/2</f>
      </c>
      <c r="AMS82" s="131">
        <f>AMQ82+AMR82</f>
      </c>
      <c r="AMT82" s="4"/>
      <c r="AMU82" s="4"/>
      <c r="AMV82" s="4"/>
      <c r="AMW82" s="4"/>
      <c r="AMX82" s="4"/>
      <c r="AMY82" s="4"/>
      <c r="AMZ82" s="4"/>
      <c r="ANA82" s="4"/>
      <c r="ANB82" s="4"/>
      <c r="ANC82" s="4"/>
      <c r="AND82" s="4"/>
      <c r="ANE82" s="4"/>
      <c r="ANF82" s="4"/>
      <c r="ANG82" s="4"/>
      <c r="ANH82" s="4"/>
      <c r="ANI82" s="4"/>
      <c r="ANJ82" s="13"/>
      <c r="ANK82" s="13"/>
      <c r="ANL82" s="4"/>
      <c r="ANM82" s="4"/>
      <c r="ANN82" s="4"/>
      <c r="ANO82" s="4"/>
      <c r="ANP82" s="4"/>
      <c r="ANQ82" s="4"/>
      <c r="ANR82" s="4"/>
      <c r="ANS82" s="4"/>
      <c r="ANT82" s="4"/>
      <c r="ANU82" s="4"/>
      <c r="ANV82" s="4"/>
      <c r="ANW82" s="4"/>
      <c r="ANX82" s="4"/>
      <c r="ANY82" s="4"/>
      <c r="ANZ82" s="4"/>
      <c r="AOA82" s="4"/>
      <c r="AOB82" s="4"/>
      <c r="AOC82" s="4"/>
      <c r="AOD82" s="4"/>
      <c r="AOE82" s="4"/>
      <c r="AOF82" s="4"/>
      <c r="AOG82" s="4"/>
      <c r="AOH82" s="4"/>
      <c r="AOI82" s="4"/>
      <c r="AOJ82" s="4"/>
      <c r="AOK82" s="4"/>
      <c r="AOL82" s="4"/>
      <c r="AOM82" s="4"/>
      <c r="AON82" s="4"/>
      <c r="AOO82" s="4"/>
      <c r="AOP82" s="4"/>
      <c r="AOQ82" s="4"/>
      <c r="AOR82" s="4"/>
      <c r="AOS82" s="4"/>
      <c r="AOT82" s="4"/>
      <c r="AOU82" s="4"/>
      <c r="AOV82" s="4"/>
      <c r="AOW82" s="4"/>
      <c r="AOX82" s="4"/>
      <c r="AOY82" s="4"/>
      <c r="AOZ82" s="4"/>
      <c r="APA82" s="4"/>
      <c r="APB82" s="4"/>
      <c r="APC82" s="4"/>
      <c r="APD82" s="4"/>
      <c r="APE82" s="4"/>
      <c r="APF82" s="4"/>
      <c r="APG82" s="4"/>
      <c r="APH82" s="4"/>
      <c r="API82" s="4"/>
      <c r="APJ82" s="4"/>
      <c r="APK82" s="4"/>
      <c r="APL82" s="4"/>
      <c r="APM82" s="4"/>
      <c r="APN82" s="4"/>
      <c r="APO82" s="4"/>
      <c r="APP82" s="4"/>
      <c r="APQ82" s="4"/>
      <c r="APR82" s="4"/>
      <c r="APS82" s="4"/>
      <c r="APT82" s="4"/>
      <c r="APU82" s="4"/>
      <c r="APV82" s="4"/>
      <c r="APW82" s="4"/>
      <c r="APX82" s="4"/>
      <c r="APY82" s="4"/>
      <c r="APZ82" s="4"/>
      <c r="AQA82" s="4"/>
      <c r="AQB82" s="4"/>
      <c r="AQC82" s="4"/>
      <c r="AQD82" s="4"/>
      <c r="AQE82" s="4"/>
      <c r="AQF82" s="4"/>
      <c r="AQG82" s="4"/>
      <c r="AQH82" s="4"/>
      <c r="AQI82" s="4"/>
      <c r="AQJ82" s="4"/>
      <c r="AQK82" s="4"/>
      <c r="AQL82" s="4"/>
      <c r="AQM82" s="4"/>
      <c r="AQN82" s="4"/>
      <c r="AQO82" s="4"/>
      <c r="AQP82" s="4"/>
      <c r="AQQ82" s="4"/>
      <c r="AQR82" s="4"/>
      <c r="AQS82" s="4"/>
      <c r="AQT82" s="4"/>
      <c r="AQU82" s="4"/>
      <c r="AQV82" s="4"/>
      <c r="AQW82" s="4"/>
      <c r="AQX82" s="4"/>
      <c r="AQY82" s="4"/>
      <c r="AQZ82" s="4"/>
      <c r="ARA82" s="4"/>
      <c r="ARB82" s="4"/>
      <c r="ARC82" s="4"/>
      <c r="ARD82" s="4"/>
      <c r="ARE82" s="4"/>
      <c r="ARF82" s="4"/>
      <c r="ARG82" s="4"/>
      <c r="ARH82" s="4"/>
      <c r="ARI82" s="4"/>
      <c r="ARJ82" s="4"/>
      <c r="ARK82" s="4"/>
      <c r="ARL82" s="4"/>
      <c r="ARM82" s="4"/>
      <c r="ARN82" s="4"/>
      <c r="ARO82" s="4"/>
      <c r="ARP82" s="4"/>
      <c r="ARQ82" s="4"/>
      <c r="ARR82" s="4"/>
      <c r="ARS82" s="4"/>
      <c r="ART82" s="4"/>
      <c r="ARU82" s="4"/>
      <c r="ARV82" s="4"/>
      <c r="ARW82" s="4"/>
      <c r="ARX82" s="4"/>
      <c r="ARY82" s="4"/>
      <c r="ARZ82" s="4"/>
      <c r="ASA82" s="4"/>
      <c r="ASB82" s="4"/>
      <c r="ASC82" s="4"/>
      <c r="ASD82" s="4"/>
      <c r="ASE82" s="4"/>
      <c r="ASF82" s="4"/>
      <c r="ASG82" s="4"/>
      <c r="ASH82" s="4"/>
      <c r="ASI82" s="4"/>
      <c r="ASJ82" s="4"/>
      <c r="ASK82" s="4"/>
      <c r="ASL82" s="4"/>
      <c r="ASM82" s="4"/>
      <c r="ASN82" s="4"/>
      <c r="ASO82" s="4"/>
      <c r="ASP82" s="4"/>
      <c r="ASQ82" s="4"/>
      <c r="ASR82" s="4"/>
      <c r="ASS82" s="4"/>
      <c r="AST82" s="4"/>
      <c r="ASU82" s="4"/>
    </row>
    <row r="83" ht="15" customHeight="1" spans="1:1191" x14ac:dyDescent="0.25">
      <c r="A83" s="118"/>
      <c r="B83" s="403" t="s">
        <v>121</v>
      </c>
      <c r="C83" s="289" t="s">
        <v>55</v>
      </c>
      <c r="D83" s="121"/>
      <c r="E83" s="122"/>
      <c r="F83" s="123"/>
      <c r="G83" s="124"/>
      <c r="H83" s="124"/>
      <c r="I83" s="124"/>
      <c r="J83" s="124"/>
      <c r="K83" s="124"/>
      <c r="L83" s="124"/>
      <c r="M83" s="125"/>
      <c r="N83" s="126"/>
      <c r="O83" s="124"/>
      <c r="P83" s="124"/>
      <c r="Q83" s="127"/>
      <c r="R83" s="123"/>
      <c r="S83" s="124"/>
      <c r="T83" s="124"/>
      <c r="U83" s="124"/>
      <c r="V83" s="124"/>
      <c r="W83" s="124"/>
      <c r="X83" s="124"/>
      <c r="Y83" s="124"/>
      <c r="Z83" s="124"/>
      <c r="AA83" s="124"/>
      <c r="AB83" s="437"/>
      <c r="AC83" s="125"/>
      <c r="AD83" s="301"/>
      <c r="AE83" s="151"/>
      <c r="AF83" s="131">
        <f>SUM(D83:AE83)</f>
      </c>
      <c r="AG83" s="121"/>
      <c r="AH83" s="122"/>
      <c r="AI83" s="123"/>
      <c r="AJ83" s="124"/>
      <c r="AK83" s="124"/>
      <c r="AL83" s="124"/>
      <c r="AM83" s="124"/>
      <c r="AN83" s="124"/>
      <c r="AO83" s="124"/>
      <c r="AP83" s="125"/>
      <c r="AQ83" s="126"/>
      <c r="AR83" s="124"/>
      <c r="AS83" s="124"/>
      <c r="AT83" s="127"/>
      <c r="AU83" s="123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5"/>
      <c r="BG83" s="301"/>
      <c r="BH83" s="151"/>
      <c r="BI83" s="131">
        <f>SUM(AG83:BH83)</f>
      </c>
      <c r="BJ83" s="121"/>
      <c r="BK83" s="122"/>
      <c r="BL83" s="123"/>
      <c r="BM83" s="124"/>
      <c r="BN83" s="124"/>
      <c r="BO83" s="124"/>
      <c r="BP83" s="124"/>
      <c r="BQ83" s="124"/>
      <c r="BR83" s="124"/>
      <c r="BS83" s="125"/>
      <c r="BT83" s="126"/>
      <c r="BU83" s="124"/>
      <c r="BV83" s="124"/>
      <c r="BW83" s="127"/>
      <c r="BX83" s="123"/>
      <c r="BY83" s="124"/>
      <c r="BZ83" s="124"/>
      <c r="CA83" s="124"/>
      <c r="CB83" s="124"/>
      <c r="CC83" s="124"/>
      <c r="CD83" s="124"/>
      <c r="CE83" s="124"/>
      <c r="CF83" s="124"/>
      <c r="CG83" s="124"/>
      <c r="CH83" s="124"/>
      <c r="CI83" s="125"/>
      <c r="CJ83" s="301"/>
      <c r="CK83" s="151"/>
      <c r="CL83" s="131">
        <f>SUM(BJ83:CK83)</f>
      </c>
      <c r="CM83" s="121"/>
      <c r="CN83" s="122"/>
      <c r="CO83" s="123"/>
      <c r="CP83" s="124"/>
      <c r="CQ83" s="124"/>
      <c r="CR83" s="124"/>
      <c r="CS83" s="124"/>
      <c r="CT83" s="124"/>
      <c r="CU83" s="124"/>
      <c r="CV83" s="125"/>
      <c r="CW83" s="126"/>
      <c r="CX83" s="124"/>
      <c r="CY83" s="124"/>
      <c r="CZ83" s="127"/>
      <c r="DA83" s="123"/>
      <c r="DB83" s="124"/>
      <c r="DC83" s="124"/>
      <c r="DD83" s="124"/>
      <c r="DE83" s="124"/>
      <c r="DF83" s="124"/>
      <c r="DG83" s="124"/>
      <c r="DH83" s="124"/>
      <c r="DI83" s="124"/>
      <c r="DJ83" s="124"/>
      <c r="DK83" s="124"/>
      <c r="DL83" s="125"/>
      <c r="DM83" s="301"/>
      <c r="DN83" s="151"/>
      <c r="DO83" s="131">
        <f>SUM(CM83:DN83)</f>
      </c>
      <c r="DP83" s="121"/>
      <c r="DQ83" s="122"/>
      <c r="DR83" s="123"/>
      <c r="DS83" s="124"/>
      <c r="DT83" s="124"/>
      <c r="DU83" s="124"/>
      <c r="DV83" s="124"/>
      <c r="DW83" s="124"/>
      <c r="DX83" s="124"/>
      <c r="DY83" s="125"/>
      <c r="DZ83" s="126"/>
      <c r="EA83" s="124"/>
      <c r="EB83" s="124"/>
      <c r="EC83" s="127"/>
      <c r="ED83" s="123"/>
      <c r="EE83" s="124"/>
      <c r="EF83" s="124"/>
      <c r="EG83" s="124"/>
      <c r="EH83" s="124"/>
      <c r="EI83" s="124"/>
      <c r="EJ83" s="124"/>
      <c r="EK83" s="124"/>
      <c r="EL83" s="124"/>
      <c r="EM83" s="124"/>
      <c r="EN83" s="124"/>
      <c r="EO83" s="125"/>
      <c r="EP83" s="301"/>
      <c r="EQ83" s="151"/>
      <c r="ER83" s="131">
        <f>SUM(DP83:EQ83)</f>
      </c>
      <c r="ES83" s="121"/>
      <c r="ET83" s="122"/>
      <c r="EU83" s="123"/>
      <c r="EV83" s="124"/>
      <c r="EW83" s="124"/>
      <c r="EX83" s="124"/>
      <c r="EY83" s="124"/>
      <c r="EZ83" s="124"/>
      <c r="FA83" s="124"/>
      <c r="FB83" s="125"/>
      <c r="FC83" s="126"/>
      <c r="FD83" s="124"/>
      <c r="FE83" s="124"/>
      <c r="FF83" s="127"/>
      <c r="FG83" s="123"/>
      <c r="FH83" s="124"/>
      <c r="FI83" s="124"/>
      <c r="FJ83" s="124"/>
      <c r="FK83" s="124"/>
      <c r="FL83" s="124"/>
      <c r="FM83" s="124"/>
      <c r="FN83" s="124"/>
      <c r="FO83" s="124"/>
      <c r="FP83" s="124"/>
      <c r="FQ83" s="124"/>
      <c r="FR83" s="125"/>
      <c r="FS83" s="301"/>
      <c r="FT83" s="151"/>
      <c r="FU83" s="131">
        <f>SUM(ES83:FT83)</f>
      </c>
      <c r="FV83" s="121"/>
      <c r="FW83" s="122"/>
      <c r="FX83" s="123"/>
      <c r="FY83" s="124"/>
      <c r="FZ83" s="124"/>
      <c r="GA83" s="124"/>
      <c r="GB83" s="124"/>
      <c r="GC83" s="124"/>
      <c r="GD83" s="124"/>
      <c r="GE83" s="125"/>
      <c r="GF83" s="126"/>
      <c r="GG83" s="124"/>
      <c r="GH83" s="124"/>
      <c r="GI83" s="127"/>
      <c r="GJ83" s="123"/>
      <c r="GK83" s="124"/>
      <c r="GL83" s="124"/>
      <c r="GM83" s="124"/>
      <c r="GN83" s="124"/>
      <c r="GO83" s="124"/>
      <c r="GP83" s="124"/>
      <c r="GQ83" s="124"/>
      <c r="GR83" s="124"/>
      <c r="GS83" s="124"/>
      <c r="GT83" s="124"/>
      <c r="GU83" s="125"/>
      <c r="GV83" s="301"/>
      <c r="GW83" s="151"/>
      <c r="GX83" s="131">
        <f>SUM(FV83:GW83)</f>
      </c>
      <c r="GY83" s="150">
        <f>AF83+BI83+CL83+DO83+ER83+FU83+GX83</f>
      </c>
      <c r="GZ83" s="302">
        <f>(COUNTIF(D83:GX83,"H")+COUNTIF(D83:GX83,"S")+COUNTIF(D83:GX83,"L")+COUNTIF(D83:GX83,"E")+COUNTIF(D83:GX83,"C"))/2</f>
      </c>
      <c r="HA83" s="131">
        <f>GY83+GZ83</f>
      </c>
      <c r="HB83" s="374"/>
      <c r="HC83" s="375"/>
      <c r="HD83" s="15"/>
      <c r="HE83" s="143">
        <v>0.5</v>
      </c>
      <c r="HF83" s="143">
        <v>0.5</v>
      </c>
      <c r="HG83" s="143">
        <v>0.5</v>
      </c>
      <c r="HH83" s="143">
        <v>0.5</v>
      </c>
      <c r="HI83" s="143">
        <v>0.5</v>
      </c>
      <c r="HJ83" s="143">
        <v>0.5</v>
      </c>
      <c r="HK83" s="154">
        <v>0.5</v>
      </c>
      <c r="HL83" s="412"/>
      <c r="HM83" s="19"/>
      <c r="HN83" s="143">
        <v>0.5</v>
      </c>
      <c r="HO83" s="340">
        <v>0.5</v>
      </c>
      <c r="HP83" s="339">
        <v>0.5</v>
      </c>
      <c r="HQ83" s="143">
        <v>0.5</v>
      </c>
      <c r="HR83" s="143">
        <v>0.5</v>
      </c>
      <c r="HS83" s="143">
        <v>0.5</v>
      </c>
      <c r="HT83" s="143">
        <v>0.5</v>
      </c>
      <c r="HU83" s="143">
        <v>0.5</v>
      </c>
      <c r="HV83" s="143">
        <v>0.5</v>
      </c>
      <c r="HW83" s="19"/>
      <c r="HX83" s="19"/>
      <c r="HY83" s="19"/>
      <c r="HZ83" s="19"/>
      <c r="IA83" s="414"/>
      <c r="IB83" s="407"/>
      <c r="IC83" s="408"/>
      <c r="ID83" s="131">
        <f>SUM(HB83:IC83)</f>
      </c>
      <c r="IE83" s="374"/>
      <c r="IF83" s="375"/>
      <c r="IG83" s="15"/>
      <c r="IH83" s="143">
        <v>0.5</v>
      </c>
      <c r="II83" s="143">
        <v>0.5</v>
      </c>
      <c r="IJ83" s="143">
        <v>0.5</v>
      </c>
      <c r="IK83" s="143">
        <v>0.5</v>
      </c>
      <c r="IL83" s="143">
        <v>0.5</v>
      </c>
      <c r="IM83" s="143">
        <v>0.5</v>
      </c>
      <c r="IN83" s="154">
        <v>0.5</v>
      </c>
      <c r="IO83" s="412"/>
      <c r="IP83" s="19"/>
      <c r="IQ83" s="143">
        <v>0.5</v>
      </c>
      <c r="IR83" s="340">
        <v>0.5</v>
      </c>
      <c r="IS83" s="339">
        <v>0.5</v>
      </c>
      <c r="IT83" s="143">
        <v>0.5</v>
      </c>
      <c r="IU83" s="143">
        <v>0.5</v>
      </c>
      <c r="IV83" s="143">
        <v>0.5</v>
      </c>
      <c r="IW83" s="143">
        <v>0.5</v>
      </c>
      <c r="IX83" s="143">
        <v>0.5</v>
      </c>
      <c r="IY83" s="143">
        <v>0.5</v>
      </c>
      <c r="IZ83" s="19"/>
      <c r="JA83" s="19"/>
      <c r="JB83" s="19"/>
      <c r="JC83" s="19"/>
      <c r="JD83" s="414"/>
      <c r="JE83" s="407"/>
      <c r="JF83" s="408"/>
      <c r="JG83" s="131">
        <f>SUM(IE83:JF83)</f>
      </c>
      <c r="JH83" s="374"/>
      <c r="JI83" s="375"/>
      <c r="JJ83" s="15"/>
      <c r="JK83" s="143">
        <v>0.5</v>
      </c>
      <c r="JL83" s="143">
        <v>0.5</v>
      </c>
      <c r="JM83" s="143">
        <v>0.5</v>
      </c>
      <c r="JN83" s="143">
        <v>0.5</v>
      </c>
      <c r="JO83" s="143">
        <v>0.5</v>
      </c>
      <c r="JP83" s="143">
        <v>0.5</v>
      </c>
      <c r="JQ83" s="154">
        <v>0.5</v>
      </c>
      <c r="JR83" s="412"/>
      <c r="JS83" s="19"/>
      <c r="JT83" s="143">
        <v>0.5</v>
      </c>
      <c r="JU83" s="340">
        <v>0.5</v>
      </c>
      <c r="JV83" s="339">
        <v>0.5</v>
      </c>
      <c r="JW83" s="143">
        <v>0.5</v>
      </c>
      <c r="JX83" s="143">
        <v>0.5</v>
      </c>
      <c r="JY83" s="143">
        <v>0.5</v>
      </c>
      <c r="JZ83" s="143">
        <v>0.5</v>
      </c>
      <c r="KA83" s="143">
        <v>0.5</v>
      </c>
      <c r="KB83" s="143">
        <v>0.5</v>
      </c>
      <c r="KC83" s="19"/>
      <c r="KD83" s="19"/>
      <c r="KE83" s="19"/>
      <c r="KF83" s="19"/>
      <c r="KG83" s="414"/>
      <c r="KH83" s="407"/>
      <c r="KI83" s="408"/>
      <c r="KJ83" s="131">
        <f>SUM(JH83:KI83)</f>
      </c>
      <c r="KK83" s="374"/>
      <c r="KL83" s="375"/>
      <c r="KM83" s="15"/>
      <c r="KN83" s="143">
        <v>0.5</v>
      </c>
      <c r="KO83" s="143">
        <v>0.5</v>
      </c>
      <c r="KP83" s="143">
        <v>0.5</v>
      </c>
      <c r="KQ83" s="143">
        <v>0.5</v>
      </c>
      <c r="KR83" s="143">
        <v>0.5</v>
      </c>
      <c r="KS83" s="143">
        <v>0.5</v>
      </c>
      <c r="KT83" s="154">
        <v>0.5</v>
      </c>
      <c r="KU83" s="412"/>
      <c r="KV83" s="19"/>
      <c r="KW83" s="143">
        <v>0.5</v>
      </c>
      <c r="KX83" s="340">
        <v>0.5</v>
      </c>
      <c r="KY83" s="339">
        <v>0.5</v>
      </c>
      <c r="KZ83" s="143">
        <v>0.5</v>
      </c>
      <c r="LA83" s="143">
        <v>0.5</v>
      </c>
      <c r="LB83" s="143">
        <v>0.5</v>
      </c>
      <c r="LC83" s="143">
        <v>0.5</v>
      </c>
      <c r="LD83" s="143">
        <v>0.5</v>
      </c>
      <c r="LE83" s="143">
        <v>0.5</v>
      </c>
      <c r="LF83" s="19"/>
      <c r="LG83" s="19"/>
      <c r="LH83" s="19"/>
      <c r="LI83" s="19"/>
      <c r="LJ83" s="414"/>
      <c r="LK83" s="407"/>
      <c r="LL83" s="408"/>
      <c r="LM83" s="131">
        <f>SUM(KK83:LL83)</f>
      </c>
      <c r="LN83" s="374"/>
      <c r="LO83" s="375"/>
      <c r="LP83" s="15"/>
      <c r="LQ83" s="26" t="s">
        <v>9</v>
      </c>
      <c r="LR83" s="26" t="s">
        <v>9</v>
      </c>
      <c r="LS83" s="26" t="s">
        <v>9</v>
      </c>
      <c r="LT83" s="26" t="s">
        <v>9</v>
      </c>
      <c r="LU83" s="26" t="s">
        <v>9</v>
      </c>
      <c r="LV83" s="26" t="s">
        <v>9</v>
      </c>
      <c r="LW83" s="409" t="s">
        <v>9</v>
      </c>
      <c r="LX83" s="412"/>
      <c r="LY83" s="19"/>
      <c r="LZ83" s="143">
        <v>0.5</v>
      </c>
      <c r="MA83" s="340">
        <v>0.5</v>
      </c>
      <c r="MB83" s="339">
        <v>0.5</v>
      </c>
      <c r="MC83" s="143">
        <v>0.5</v>
      </c>
      <c r="MD83" s="143">
        <v>0.5</v>
      </c>
      <c r="ME83" s="143">
        <v>0.5</v>
      </c>
      <c r="MF83" s="143">
        <v>0.5</v>
      </c>
      <c r="MG83" s="143">
        <v>0.5</v>
      </c>
      <c r="MH83" s="143">
        <v>0.5</v>
      </c>
      <c r="MI83" s="19"/>
      <c r="MJ83" s="19"/>
      <c r="MK83" s="19"/>
      <c r="ML83" s="19"/>
      <c r="MM83" s="414"/>
      <c r="MN83" s="407"/>
      <c r="MO83" s="408"/>
      <c r="MP83" s="131">
        <f>SUM(LN83:MO83)</f>
      </c>
      <c r="MQ83" s="121"/>
      <c r="MR83" s="122"/>
      <c r="MS83" s="123"/>
      <c r="MT83" s="124"/>
      <c r="MU83" s="124"/>
      <c r="MV83" s="124"/>
      <c r="MW83" s="124"/>
      <c r="MX83" s="124"/>
      <c r="MY83" s="124"/>
      <c r="MZ83" s="125"/>
      <c r="NA83" s="126"/>
      <c r="NB83" s="124"/>
      <c r="NC83" s="124"/>
      <c r="ND83" s="127"/>
      <c r="NE83" s="123"/>
      <c r="NF83" s="124"/>
      <c r="NG83" s="124"/>
      <c r="NH83" s="124"/>
      <c r="NI83" s="124"/>
      <c r="NJ83" s="124"/>
      <c r="NK83" s="124"/>
      <c r="NL83" s="124"/>
      <c r="NM83" s="124"/>
      <c r="NN83" s="124"/>
      <c r="NO83" s="124"/>
      <c r="NP83" s="125"/>
      <c r="NQ83" s="301"/>
      <c r="NR83" s="151"/>
      <c r="NS83" s="131">
        <f>SUM(MQ83:NR83)</f>
      </c>
      <c r="NT83" s="121"/>
      <c r="NU83" s="122"/>
      <c r="NV83" s="123"/>
      <c r="NW83" s="124"/>
      <c r="NX83" s="124"/>
      <c r="NY83" s="124"/>
      <c r="NZ83" s="124"/>
      <c r="OA83" s="124"/>
      <c r="OB83" s="124"/>
      <c r="OC83" s="125"/>
      <c r="OD83" s="126"/>
      <c r="OE83" s="124"/>
      <c r="OF83" s="124"/>
      <c r="OG83" s="127"/>
      <c r="OH83" s="123"/>
      <c r="OI83" s="124"/>
      <c r="OJ83" s="124"/>
      <c r="OK83" s="124"/>
      <c r="OL83" s="124"/>
      <c r="OM83" s="124"/>
      <c r="ON83" s="124"/>
      <c r="OO83" s="124"/>
      <c r="OP83" s="124"/>
      <c r="OQ83" s="124"/>
      <c r="OR83" s="124"/>
      <c r="OS83" s="125"/>
      <c r="OT83" s="301"/>
      <c r="OU83" s="151"/>
      <c r="OV83" s="131">
        <f>SUM(NT83:OU83)</f>
      </c>
      <c r="OW83" s="150">
        <f>ID83+JG83+KJ83+LM83+MP83+NS83+OV83</f>
      </c>
      <c r="OX83" s="302">
        <f>(COUNTIF(HB83:OV83,"H")+COUNTIF(HB83:OV83,"S")+COUNTIF(HB83:OV83,"L")+COUNTIF(HB83:OV83,"E")+COUNTIF(HB83:OV83,"C"))/2</f>
      </c>
      <c r="OY83" s="131">
        <f>OW83+OX83</f>
      </c>
      <c r="OZ83" s="374"/>
      <c r="PA83" s="375"/>
      <c r="PB83" s="15"/>
      <c r="PC83" s="143">
        <v>0.5</v>
      </c>
      <c r="PD83" s="143">
        <v>0.5</v>
      </c>
      <c r="PE83" s="143">
        <v>0.5</v>
      </c>
      <c r="PF83" s="143">
        <v>0.5</v>
      </c>
      <c r="PG83" s="143">
        <v>0.5</v>
      </c>
      <c r="PH83" s="143">
        <v>0.5</v>
      </c>
      <c r="PI83" s="154">
        <v>0.5</v>
      </c>
      <c r="PJ83" s="404">
        <v>0.5</v>
      </c>
      <c r="PK83" s="143">
        <v>0.5</v>
      </c>
      <c r="PL83" s="19"/>
      <c r="PM83" s="323"/>
      <c r="PN83" s="339">
        <v>0.5</v>
      </c>
      <c r="PO83" s="143">
        <v>0.5</v>
      </c>
      <c r="PP83" s="143">
        <v>0.5</v>
      </c>
      <c r="PQ83" s="143">
        <v>0.5</v>
      </c>
      <c r="PR83" s="143">
        <v>0.5</v>
      </c>
      <c r="PS83" s="143">
        <v>0.5</v>
      </c>
      <c r="PT83" s="143">
        <v>0.5</v>
      </c>
      <c r="PU83" s="19"/>
      <c r="PV83" s="19"/>
      <c r="PW83" s="19"/>
      <c r="PX83" s="19"/>
      <c r="PY83" s="414"/>
      <c r="PZ83" s="407"/>
      <c r="QA83" s="408"/>
      <c r="QB83" s="131">
        <f>SUM(OZ83:QA83)</f>
      </c>
      <c r="QC83" s="374"/>
      <c r="QD83" s="375"/>
      <c r="QE83" s="15"/>
      <c r="QF83" s="143">
        <v>0.5</v>
      </c>
      <c r="QG83" s="143">
        <v>0.5</v>
      </c>
      <c r="QH83" s="143">
        <v>0.5</v>
      </c>
      <c r="QI83" s="143">
        <v>0.5</v>
      </c>
      <c r="QJ83" s="143">
        <v>0.5</v>
      </c>
      <c r="QK83" s="143">
        <v>0.5</v>
      </c>
      <c r="QL83" s="154">
        <v>0.5</v>
      </c>
      <c r="QM83" s="404">
        <v>0.5</v>
      </c>
      <c r="QN83" s="143">
        <v>0.5</v>
      </c>
      <c r="QO83" s="19"/>
      <c r="QP83" s="323"/>
      <c r="QQ83" s="339">
        <v>0.5</v>
      </c>
      <c r="QR83" s="143">
        <v>0.5</v>
      </c>
      <c r="QS83" s="143">
        <v>0.5</v>
      </c>
      <c r="QT83" s="143">
        <v>0.5</v>
      </c>
      <c r="QU83" s="143">
        <v>0.5</v>
      </c>
      <c r="QV83" s="143">
        <v>0.5</v>
      </c>
      <c r="QW83" s="143">
        <v>0.5</v>
      </c>
      <c r="QX83" s="19"/>
      <c r="QY83" s="19"/>
      <c r="QZ83" s="19"/>
      <c r="RA83" s="19"/>
      <c r="RB83" s="414"/>
      <c r="RC83" s="407"/>
      <c r="RD83" s="408"/>
      <c r="RE83" s="131">
        <f>SUM(QC83:RD83)</f>
      </c>
      <c r="RF83" s="374"/>
      <c r="RG83" s="375"/>
      <c r="RH83" s="15"/>
      <c r="RI83" s="143">
        <v>0.5</v>
      </c>
      <c r="RJ83" s="143">
        <v>0.5</v>
      </c>
      <c r="RK83" s="143">
        <v>0.5</v>
      </c>
      <c r="RL83" s="143">
        <v>0.5</v>
      </c>
      <c r="RM83" s="143">
        <v>0.5</v>
      </c>
      <c r="RN83" s="143">
        <v>0.5</v>
      </c>
      <c r="RO83" s="154">
        <v>0.5</v>
      </c>
      <c r="RP83" s="404">
        <v>0.5</v>
      </c>
      <c r="RQ83" s="143">
        <v>0.5</v>
      </c>
      <c r="RR83" s="19"/>
      <c r="RS83" s="323"/>
      <c r="RT83" s="339">
        <v>0.5</v>
      </c>
      <c r="RU83" s="143">
        <v>0.5</v>
      </c>
      <c r="RV83" s="143">
        <v>0.5</v>
      </c>
      <c r="RW83" s="143">
        <v>0.5</v>
      </c>
      <c r="RX83" s="143">
        <v>0.5</v>
      </c>
      <c r="RY83" s="143">
        <v>0.5</v>
      </c>
      <c r="RZ83" s="143">
        <v>0.5</v>
      </c>
      <c r="SA83" s="19"/>
      <c r="SB83" s="19"/>
      <c r="SC83" s="19"/>
      <c r="SD83" s="19"/>
      <c r="SE83" s="414"/>
      <c r="SF83" s="407"/>
      <c r="SG83" s="408"/>
      <c r="SH83" s="131">
        <f>SUM(RF83:SG83)</f>
      </c>
      <c r="SI83" s="374"/>
      <c r="SJ83" s="375"/>
      <c r="SK83" s="15"/>
      <c r="SL83" s="143">
        <v>0.5</v>
      </c>
      <c r="SM83" s="143">
        <v>0.5</v>
      </c>
      <c r="SN83" s="143">
        <v>0.5</v>
      </c>
      <c r="SO83" s="143">
        <v>0.5</v>
      </c>
      <c r="SP83" s="143">
        <v>0.5</v>
      </c>
      <c r="SQ83" s="143">
        <v>0.5</v>
      </c>
      <c r="SR83" s="154">
        <v>0.5</v>
      </c>
      <c r="SS83" s="404">
        <v>0.5</v>
      </c>
      <c r="ST83" s="143">
        <v>0.5</v>
      </c>
      <c r="SU83" s="19"/>
      <c r="SV83" s="323"/>
      <c r="SW83" s="339">
        <v>0.5</v>
      </c>
      <c r="SX83" s="143">
        <v>0.5</v>
      </c>
      <c r="SY83" s="143">
        <v>0.5</v>
      </c>
      <c r="SZ83" s="143">
        <v>0.5</v>
      </c>
      <c r="TA83" s="143">
        <v>0.5</v>
      </c>
      <c r="TB83" s="143">
        <v>0.5</v>
      </c>
      <c r="TC83" s="143">
        <v>0.5</v>
      </c>
      <c r="TD83" s="19"/>
      <c r="TE83" s="19"/>
      <c r="TF83" s="19"/>
      <c r="TG83" s="19"/>
      <c r="TH83" s="414"/>
      <c r="TI83" s="407"/>
      <c r="TJ83" s="408"/>
      <c r="TK83" s="131">
        <f>SUM(SI83:TJ83)</f>
      </c>
      <c r="TL83" s="374"/>
      <c r="TM83" s="375"/>
      <c r="TN83" s="15"/>
      <c r="TO83" s="143">
        <v>0.5</v>
      </c>
      <c r="TP83" s="143">
        <v>0.5</v>
      </c>
      <c r="TQ83" s="143">
        <v>0.5</v>
      </c>
      <c r="TR83" s="143">
        <v>0.5</v>
      </c>
      <c r="TS83" s="143">
        <v>0.5</v>
      </c>
      <c r="TT83" s="143">
        <v>0.5</v>
      </c>
      <c r="TU83" s="154">
        <v>0.5</v>
      </c>
      <c r="TV83" s="404">
        <v>0.5</v>
      </c>
      <c r="TW83" s="143">
        <v>0.5</v>
      </c>
      <c r="TX83" s="19"/>
      <c r="TY83" s="323"/>
      <c r="TZ83" s="339">
        <v>0.5</v>
      </c>
      <c r="UA83" s="143">
        <v>0.5</v>
      </c>
      <c r="UB83" s="143">
        <v>0.5</v>
      </c>
      <c r="UC83" s="143">
        <v>0.5</v>
      </c>
      <c r="UD83" s="143">
        <v>0.5</v>
      </c>
      <c r="UE83" s="143">
        <v>0.5</v>
      </c>
      <c r="UF83" s="143">
        <v>0.5</v>
      </c>
      <c r="UG83" s="19"/>
      <c r="UH83" s="19"/>
      <c r="UI83" s="19"/>
      <c r="UJ83" s="19"/>
      <c r="UK83" s="414"/>
      <c r="UL83" s="407"/>
      <c r="UM83" s="408"/>
      <c r="UN83" s="131">
        <f>SUM(TL83:UM83)</f>
      </c>
      <c r="UO83" s="121"/>
      <c r="UP83" s="122"/>
      <c r="UQ83" s="123"/>
      <c r="UR83" s="124"/>
      <c r="US83" s="124"/>
      <c r="UT83" s="124"/>
      <c r="UU83" s="124"/>
      <c r="UV83" s="124"/>
      <c r="UW83" s="124"/>
      <c r="UX83" s="125"/>
      <c r="UY83" s="126"/>
      <c r="UZ83" s="124"/>
      <c r="VA83" s="124"/>
      <c r="VB83" s="127"/>
      <c r="VC83" s="123"/>
      <c r="VD83" s="124"/>
      <c r="VE83" s="124"/>
      <c r="VF83" s="124"/>
      <c r="VG83" s="124"/>
      <c r="VH83" s="124"/>
      <c r="VI83" s="124"/>
      <c r="VJ83" s="124"/>
      <c r="VK83" s="124"/>
      <c r="VL83" s="124"/>
      <c r="VM83" s="124"/>
      <c r="VN83" s="125"/>
      <c r="VO83" s="301"/>
      <c r="VP83" s="151"/>
      <c r="VQ83" s="131">
        <f>SUM(UO83:VP83)</f>
      </c>
      <c r="VR83" s="121"/>
      <c r="VS83" s="122"/>
      <c r="VT83" s="123"/>
      <c r="VU83" s="124"/>
      <c r="VV83" s="124"/>
      <c r="VW83" s="124"/>
      <c r="VX83" s="124"/>
      <c r="VY83" s="124"/>
      <c r="VZ83" s="124"/>
      <c r="WA83" s="125"/>
      <c r="WB83" s="126"/>
      <c r="WC83" s="124"/>
      <c r="WD83" s="124"/>
      <c r="WE83" s="127"/>
      <c r="WF83" s="123"/>
      <c r="WG83" s="124"/>
      <c r="WH83" s="124"/>
      <c r="WI83" s="124"/>
      <c r="WJ83" s="124"/>
      <c r="WK83" s="124"/>
      <c r="WL83" s="124"/>
      <c r="WM83" s="124"/>
      <c r="WN83" s="124"/>
      <c r="WO83" s="124"/>
      <c r="WP83" s="124"/>
      <c r="WQ83" s="125"/>
      <c r="WR83" s="301"/>
      <c r="WS83" s="151"/>
      <c r="WT83" s="131">
        <f>SUM(VR83:WS83)</f>
      </c>
      <c r="WU83" s="150">
        <f>QB83+RE83+SH83+TK83+UN83+VQ83+WT83</f>
      </c>
      <c r="WV83" s="302">
        <f>(COUNTIF(OZ83:WT83,"H")+COUNTIF(OZ83:WT83,"S")+COUNTIF(OZ83:WT83,"L")+COUNTIF(OZ83:WT83,"E")+COUNTIF(OZ83:WT83,"C"))/2</f>
      </c>
      <c r="WW83" s="131">
        <f>WU83+WV83</f>
      </c>
      <c r="WX83" s="374"/>
      <c r="WY83" s="375"/>
      <c r="WZ83" s="15"/>
      <c r="XA83" s="143">
        <v>0.5</v>
      </c>
      <c r="XB83" s="143">
        <v>0.5</v>
      </c>
      <c r="XC83" s="143">
        <v>0.5</v>
      </c>
      <c r="XD83" s="143">
        <v>0.5</v>
      </c>
      <c r="XE83" s="143">
        <v>0.5</v>
      </c>
      <c r="XF83" s="143">
        <v>0.5</v>
      </c>
      <c r="XG83" s="154">
        <v>0.5</v>
      </c>
      <c r="XH83" s="404">
        <v>0.5</v>
      </c>
      <c r="XI83" s="143">
        <v>0.5</v>
      </c>
      <c r="XJ83" s="19"/>
      <c r="XK83" s="323"/>
      <c r="XL83" s="339">
        <v>0.5</v>
      </c>
      <c r="XM83" s="143">
        <v>0.5</v>
      </c>
      <c r="XN83" s="143">
        <v>0.5</v>
      </c>
      <c r="XO83" s="143">
        <v>0.5</v>
      </c>
      <c r="XP83" s="143">
        <v>0.5</v>
      </c>
      <c r="XQ83" s="143">
        <v>0.5</v>
      </c>
      <c r="XR83" s="143">
        <v>0.5</v>
      </c>
      <c r="XS83" s="19"/>
      <c r="XT83" s="19"/>
      <c r="XU83" s="19"/>
      <c r="XV83" s="19"/>
      <c r="XW83" s="414"/>
      <c r="XX83" s="407"/>
      <c r="XY83" s="408"/>
      <c r="XZ83" s="131">
        <f>SUM(WX83:XY83)</f>
      </c>
      <c r="YA83" s="374"/>
      <c r="YB83" s="375"/>
      <c r="YC83" s="15"/>
      <c r="YD83" s="143">
        <v>0.5</v>
      </c>
      <c r="YE83" s="143">
        <v>0.5</v>
      </c>
      <c r="YF83" s="143">
        <v>0.5</v>
      </c>
      <c r="YG83" s="143">
        <v>0.5</v>
      </c>
      <c r="YH83" s="143">
        <v>0.5</v>
      </c>
      <c r="YI83" s="143">
        <v>0.5</v>
      </c>
      <c r="YJ83" s="154">
        <v>0.5</v>
      </c>
      <c r="YK83" s="404">
        <v>0.5</v>
      </c>
      <c r="YL83" s="143">
        <v>0.5</v>
      </c>
      <c r="YM83" s="19"/>
      <c r="YN83" s="323"/>
      <c r="YO83" s="339">
        <v>0.5</v>
      </c>
      <c r="YP83" s="143">
        <v>0.5</v>
      </c>
      <c r="YQ83" s="143">
        <v>0.5</v>
      </c>
      <c r="YR83" s="143">
        <v>0.5</v>
      </c>
      <c r="YS83" s="143">
        <v>0.5</v>
      </c>
      <c r="YT83" s="143">
        <v>0.5</v>
      </c>
      <c r="YU83" s="143">
        <v>0.5</v>
      </c>
      <c r="YV83" s="19"/>
      <c r="YW83" s="19"/>
      <c r="YX83" s="19"/>
      <c r="YY83" s="19"/>
      <c r="YZ83" s="414"/>
      <c r="ZA83" s="407"/>
      <c r="ZB83" s="408"/>
      <c r="ZC83" s="131">
        <f>SUM(YA83:ZB83)</f>
      </c>
      <c r="ZD83" s="374"/>
      <c r="ZE83" s="375"/>
      <c r="ZF83" s="15"/>
      <c r="ZG83" s="143">
        <v>0.5</v>
      </c>
      <c r="ZH83" s="143">
        <v>0.5</v>
      </c>
      <c r="ZI83" s="143">
        <v>0.5</v>
      </c>
      <c r="ZJ83" s="143">
        <v>0.5</v>
      </c>
      <c r="ZK83" s="143">
        <v>0.5</v>
      </c>
      <c r="ZL83" s="143">
        <v>0.5</v>
      </c>
      <c r="ZM83" s="154">
        <v>0.5</v>
      </c>
      <c r="ZN83" s="404">
        <v>0.5</v>
      </c>
      <c r="ZO83" s="143">
        <v>0.5</v>
      </c>
      <c r="ZP83" s="19"/>
      <c r="ZQ83" s="323"/>
      <c r="ZR83" s="339">
        <v>0.5</v>
      </c>
      <c r="ZS83" s="143">
        <v>0.5</v>
      </c>
      <c r="ZT83" s="143">
        <v>0.5</v>
      </c>
      <c r="ZU83" s="143">
        <v>0.5</v>
      </c>
      <c r="ZV83" s="143">
        <v>0.5</v>
      </c>
      <c r="ZW83" s="143">
        <v>0.5</v>
      </c>
      <c r="ZX83" s="143">
        <v>0.5</v>
      </c>
      <c r="ZY83" s="19"/>
      <c r="ZZ83" s="19"/>
      <c r="AAA83" s="19"/>
      <c r="AAB83" s="19"/>
      <c r="AAC83" s="414"/>
      <c r="AAD83" s="407"/>
      <c r="AAE83" s="408"/>
      <c r="AAF83" s="131">
        <f>SUM(ZD83:AAE83)</f>
      </c>
      <c r="AAG83" s="374"/>
      <c r="AAH83" s="375"/>
      <c r="AAI83" s="15"/>
      <c r="AAJ83" s="143">
        <v>0.5</v>
      </c>
      <c r="AAK83" s="143">
        <v>0.5</v>
      </c>
      <c r="AAL83" s="143">
        <v>0.5</v>
      </c>
      <c r="AAM83" s="143">
        <v>0.5</v>
      </c>
      <c r="AAN83" s="143">
        <v>0.5</v>
      </c>
      <c r="AAO83" s="143">
        <v>0.5</v>
      </c>
      <c r="AAP83" s="154">
        <v>0.5</v>
      </c>
      <c r="AAQ83" s="404">
        <v>0.5</v>
      </c>
      <c r="AAR83" s="143">
        <v>0.5</v>
      </c>
      <c r="AAS83" s="19"/>
      <c r="AAT83" s="323"/>
      <c r="AAU83" s="339">
        <v>0.5</v>
      </c>
      <c r="AAV83" s="143">
        <v>0.5</v>
      </c>
      <c r="AAW83" s="143">
        <v>0.5</v>
      </c>
      <c r="AAX83" s="143">
        <v>0.5</v>
      </c>
      <c r="AAY83" s="143">
        <v>0.5</v>
      </c>
      <c r="AAZ83" s="143">
        <v>0.5</v>
      </c>
      <c r="ABA83" s="143">
        <v>0.5</v>
      </c>
      <c r="ABB83" s="19"/>
      <c r="ABC83" s="19"/>
      <c r="ABD83" s="19"/>
      <c r="ABE83" s="19"/>
      <c r="ABF83" s="414"/>
      <c r="ABG83" s="407"/>
      <c r="ABH83" s="408"/>
      <c r="ABI83" s="131">
        <f>SUM(AAG83:ABH83)</f>
      </c>
      <c r="ABJ83" s="374"/>
      <c r="ABK83" s="375"/>
      <c r="ABL83" s="15"/>
      <c r="ABM83" s="143">
        <v>0.5</v>
      </c>
      <c r="ABN83" s="143">
        <v>0.5</v>
      </c>
      <c r="ABO83" s="143">
        <v>0.5</v>
      </c>
      <c r="ABP83" s="143">
        <v>0.5</v>
      </c>
      <c r="ABQ83" s="143">
        <v>0.5</v>
      </c>
      <c r="ABR83" s="143">
        <v>0.5</v>
      </c>
      <c r="ABS83" s="154">
        <v>0.5</v>
      </c>
      <c r="ABT83" s="404">
        <v>0.5</v>
      </c>
      <c r="ABU83" s="143">
        <v>0.5</v>
      </c>
      <c r="ABV83" s="19"/>
      <c r="ABW83" s="323"/>
      <c r="ABX83" s="339">
        <v>0.5</v>
      </c>
      <c r="ABY83" s="143">
        <v>0.5</v>
      </c>
      <c r="ABZ83" s="143">
        <v>0.5</v>
      </c>
      <c r="ACA83" s="143">
        <v>0.5</v>
      </c>
      <c r="ACB83" s="143">
        <v>0.5</v>
      </c>
      <c r="ACC83" s="143">
        <v>0.5</v>
      </c>
      <c r="ACD83" s="143">
        <v>0.5</v>
      </c>
      <c r="ACE83" s="19"/>
      <c r="ACF83" s="19"/>
      <c r="ACG83" s="19"/>
      <c r="ACH83" s="19"/>
      <c r="ACI83" s="414"/>
      <c r="ACJ83" s="407"/>
      <c r="ACK83" s="408"/>
      <c r="ACL83" s="131">
        <f>SUM(ABJ83:ACK83)</f>
      </c>
      <c r="ACM83" s="121"/>
      <c r="ACN83" s="122"/>
      <c r="ACO83" s="123"/>
      <c r="ACP83" s="124"/>
      <c r="ACQ83" s="124"/>
      <c r="ACR83" s="124"/>
      <c r="ACS83" s="124"/>
      <c r="ACT83" s="124"/>
      <c r="ACU83" s="124"/>
      <c r="ACV83" s="125"/>
      <c r="ACW83" s="126"/>
      <c r="ACX83" s="124"/>
      <c r="ACY83" s="124"/>
      <c r="ACZ83" s="127"/>
      <c r="ADA83" s="123"/>
      <c r="ADB83" s="124"/>
      <c r="ADC83" s="124"/>
      <c r="ADD83" s="124"/>
      <c r="ADE83" s="124"/>
      <c r="ADF83" s="124"/>
      <c r="ADG83" s="124"/>
      <c r="ADH83" s="124"/>
      <c r="ADI83" s="124"/>
      <c r="ADJ83" s="124"/>
      <c r="ADK83" s="124"/>
      <c r="ADL83" s="125"/>
      <c r="ADM83" s="301"/>
      <c r="ADN83" s="151"/>
      <c r="ADO83" s="131">
        <f>SUM(ACM83:ADN83)</f>
      </c>
      <c r="ADP83" s="121"/>
      <c r="ADQ83" s="122"/>
      <c r="ADR83" s="123"/>
      <c r="ADS83" s="124"/>
      <c r="ADT83" s="124"/>
      <c r="ADU83" s="124"/>
      <c r="ADV83" s="124"/>
      <c r="ADW83" s="124"/>
      <c r="ADX83" s="124"/>
      <c r="ADY83" s="125"/>
      <c r="ADZ83" s="126"/>
      <c r="AEA83" s="124"/>
      <c r="AEB83" s="124"/>
      <c r="AEC83" s="127"/>
      <c r="AED83" s="123"/>
      <c r="AEE83" s="124"/>
      <c r="AEF83" s="124"/>
      <c r="AEG83" s="124"/>
      <c r="AEH83" s="124"/>
      <c r="AEI83" s="124"/>
      <c r="AEJ83" s="124"/>
      <c r="AEK83" s="124"/>
      <c r="AEL83" s="124"/>
      <c r="AEM83" s="124"/>
      <c r="AEN83" s="124"/>
      <c r="AEO83" s="125"/>
      <c r="AEP83" s="301"/>
      <c r="AEQ83" s="151"/>
      <c r="AER83" s="131">
        <f>SUM(ADP83:AEQ83)</f>
      </c>
      <c r="AES83" s="150">
        <f>XZ83+ZC83+AAF83+ABI83+ACL83+ADO83+AER83</f>
      </c>
      <c r="AET83" s="302">
        <f>(COUNTIF(WX83:AER83,"H")+COUNTIF(WX83:AER83,"S")+COUNTIF(WX83:AER83,"L")+COUNTIF(WX83:AER83,"E")+COUNTIF(WX83:AER83,"C"))/2</f>
      </c>
      <c r="AEU83" s="131">
        <f>AES83+AET83</f>
      </c>
      <c r="AEV83" s="374"/>
      <c r="AEW83" s="375"/>
      <c r="AEX83" s="15"/>
      <c r="AEY83" s="143">
        <v>0.5</v>
      </c>
      <c r="AEZ83" s="143">
        <v>0.5</v>
      </c>
      <c r="AFA83" s="143">
        <v>0.5</v>
      </c>
      <c r="AFB83" s="143">
        <v>0.5</v>
      </c>
      <c r="AFC83" s="143">
        <v>0.5</v>
      </c>
      <c r="AFD83" s="143">
        <v>0.5</v>
      </c>
      <c r="AFE83" s="154">
        <v>0.5</v>
      </c>
      <c r="AFF83" s="412"/>
      <c r="AFG83" s="19"/>
      <c r="AFH83" s="143">
        <v>0.5</v>
      </c>
      <c r="AFI83" s="340">
        <v>0.5</v>
      </c>
      <c r="AFJ83" s="339">
        <v>0.5</v>
      </c>
      <c r="AFK83" s="143">
        <v>0.5</v>
      </c>
      <c r="AFL83" s="143">
        <v>0.5</v>
      </c>
      <c r="AFM83" s="143">
        <v>0.5</v>
      </c>
      <c r="AFN83" s="143">
        <v>0.5</v>
      </c>
      <c r="AFO83" s="143">
        <v>0.5</v>
      </c>
      <c r="AFP83" s="143">
        <v>0.5</v>
      </c>
      <c r="AFQ83" s="19"/>
      <c r="AFR83" s="19"/>
      <c r="AFS83" s="19"/>
      <c r="AFT83" s="19"/>
      <c r="AFU83" s="414"/>
      <c r="AFV83" s="407"/>
      <c r="AFW83" s="408"/>
      <c r="AFX83" s="131">
        <f>SUM(AEV83:AFW83)</f>
      </c>
      <c r="AFY83" s="374"/>
      <c r="AFZ83" s="375"/>
      <c r="AGA83" s="15"/>
      <c r="AGB83" s="143">
        <v>0.5</v>
      </c>
      <c r="AGC83" s="143">
        <v>0.5</v>
      </c>
      <c r="AGD83" s="143">
        <v>0.5</v>
      </c>
      <c r="AGE83" s="143">
        <v>0.5</v>
      </c>
      <c r="AGF83" s="143">
        <v>0.5</v>
      </c>
      <c r="AGG83" s="143">
        <v>0.5</v>
      </c>
      <c r="AGH83" s="154">
        <v>0.5</v>
      </c>
      <c r="AGI83" s="412"/>
      <c r="AGJ83" s="19"/>
      <c r="AGK83" s="143">
        <v>0.5</v>
      </c>
      <c r="AGL83" s="340">
        <v>0.5</v>
      </c>
      <c r="AGM83" s="339">
        <v>0.5</v>
      </c>
      <c r="AGN83" s="143">
        <v>0.5</v>
      </c>
      <c r="AGO83" s="143">
        <v>0.5</v>
      </c>
      <c r="AGP83" s="143">
        <v>0.5</v>
      </c>
      <c r="AGQ83" s="143">
        <v>0.5</v>
      </c>
      <c r="AGR83" s="143">
        <v>0.5</v>
      </c>
      <c r="AGS83" s="143">
        <v>0.5</v>
      </c>
      <c r="AGT83" s="19"/>
      <c r="AGU83" s="19"/>
      <c r="AGV83" s="19"/>
      <c r="AGW83" s="19"/>
      <c r="AGX83" s="414"/>
      <c r="AGY83" s="407"/>
      <c r="AGZ83" s="408"/>
      <c r="AHA83" s="131">
        <f>SUM(AFY83:AGZ83)</f>
      </c>
      <c r="AHB83" s="374"/>
      <c r="AHC83" s="375"/>
      <c r="AHD83" s="15"/>
      <c r="AHE83" s="143">
        <v>0.5</v>
      </c>
      <c r="AHF83" s="143">
        <v>0.5</v>
      </c>
      <c r="AHG83" s="143">
        <v>0.5</v>
      </c>
      <c r="AHH83" s="143">
        <v>0.5</v>
      </c>
      <c r="AHI83" s="143">
        <v>0.5</v>
      </c>
      <c r="AHJ83" s="143">
        <v>0.5</v>
      </c>
      <c r="AHK83" s="154">
        <v>0.5</v>
      </c>
      <c r="AHL83" s="412"/>
      <c r="AHM83" s="19"/>
      <c r="AHN83" s="143">
        <v>0.5</v>
      </c>
      <c r="AHO83" s="340">
        <v>0.5</v>
      </c>
      <c r="AHP83" s="339">
        <v>0.5</v>
      </c>
      <c r="AHQ83" s="143">
        <v>0.5</v>
      </c>
      <c r="AHR83" s="143">
        <v>0.5</v>
      </c>
      <c r="AHS83" s="143">
        <v>0.5</v>
      </c>
      <c r="AHT83" s="143">
        <v>0.5</v>
      </c>
      <c r="AHU83" s="143">
        <v>0.5</v>
      </c>
      <c r="AHV83" s="143">
        <v>0.5</v>
      </c>
      <c r="AHW83" s="19"/>
      <c r="AHX83" s="19"/>
      <c r="AHY83" s="19"/>
      <c r="AHZ83" s="19"/>
      <c r="AIA83" s="414"/>
      <c r="AIB83" s="407"/>
      <c r="AIC83" s="408"/>
      <c r="AID83" s="131">
        <f>SUM(AHB83:AIC83)</f>
      </c>
      <c r="AIE83" s="374"/>
      <c r="AIF83" s="375"/>
      <c r="AIG83" s="15"/>
      <c r="AIH83" s="143">
        <v>0.5</v>
      </c>
      <c r="AII83" s="143">
        <v>0.5</v>
      </c>
      <c r="AIJ83" s="143">
        <v>0.5</v>
      </c>
      <c r="AIK83" s="143">
        <v>0.5</v>
      </c>
      <c r="AIL83" s="143">
        <v>0.5</v>
      </c>
      <c r="AIM83" s="143">
        <v>0.5</v>
      </c>
      <c r="AIN83" s="154">
        <v>0.5</v>
      </c>
      <c r="AIO83" s="412"/>
      <c r="AIP83" s="19"/>
      <c r="AIQ83" s="143">
        <v>0.5</v>
      </c>
      <c r="AIR83" s="340">
        <v>0.5</v>
      </c>
      <c r="AIS83" s="339">
        <v>0.5</v>
      </c>
      <c r="AIT83" s="143">
        <v>0.5</v>
      </c>
      <c r="AIU83" s="143">
        <v>0.5</v>
      </c>
      <c r="AIV83" s="143">
        <v>0.5</v>
      </c>
      <c r="AIW83" s="143">
        <v>0.5</v>
      </c>
      <c r="AIX83" s="143">
        <v>0.5</v>
      </c>
      <c r="AIY83" s="143">
        <v>0.5</v>
      </c>
      <c r="AIZ83" s="19"/>
      <c r="AJA83" s="19"/>
      <c r="AJB83" s="19"/>
      <c r="AJC83" s="19"/>
      <c r="AJD83" s="414"/>
      <c r="AJE83" s="407"/>
      <c r="AJF83" s="408"/>
      <c r="AJG83" s="131">
        <f>SUM(AIE83:AJF83)</f>
      </c>
      <c r="AJH83" s="374"/>
      <c r="AJI83" s="375"/>
      <c r="AJJ83" s="15"/>
      <c r="AJK83" s="143">
        <v>0.5</v>
      </c>
      <c r="AJL83" s="143">
        <v>0.5</v>
      </c>
      <c r="AJM83" s="143">
        <v>0.5</v>
      </c>
      <c r="AJN83" s="143">
        <v>0.5</v>
      </c>
      <c r="AJO83" s="143">
        <v>0.5</v>
      </c>
      <c r="AJP83" s="143">
        <v>0.5</v>
      </c>
      <c r="AJQ83" s="154">
        <v>0.5</v>
      </c>
      <c r="AJR83" s="412"/>
      <c r="AJS83" s="19"/>
      <c r="AJT83" s="143">
        <v>0.5</v>
      </c>
      <c r="AJU83" s="340">
        <v>0.5</v>
      </c>
      <c r="AJV83" s="339">
        <v>0.5</v>
      </c>
      <c r="AJW83" s="143">
        <v>0.5</v>
      </c>
      <c r="AJX83" s="143">
        <v>0.5</v>
      </c>
      <c r="AJY83" s="143">
        <v>0.5</v>
      </c>
      <c r="AJZ83" s="143">
        <v>0.5</v>
      </c>
      <c r="AKA83" s="143">
        <v>0.5</v>
      </c>
      <c r="AKB83" s="143">
        <v>0.5</v>
      </c>
      <c r="AKC83" s="19"/>
      <c r="AKD83" s="19"/>
      <c r="AKE83" s="19"/>
      <c r="AKF83" s="19"/>
      <c r="AKG83" s="414"/>
      <c r="AKH83" s="407"/>
      <c r="AKI83" s="408"/>
      <c r="AKJ83" s="131">
        <f>SUM(AJH83:AKI83)</f>
      </c>
      <c r="AKK83" s="121"/>
      <c r="AKL83" s="122"/>
      <c r="AKM83" s="123"/>
      <c r="AKN83" s="124"/>
      <c r="AKO83" s="124"/>
      <c r="AKP83" s="124"/>
      <c r="AKQ83" s="124"/>
      <c r="AKR83" s="124"/>
      <c r="AKS83" s="124"/>
      <c r="AKT83" s="125"/>
      <c r="AKU83" s="126"/>
      <c r="AKV83" s="124"/>
      <c r="AKW83" s="124"/>
      <c r="AKX83" s="127"/>
      <c r="AKY83" s="123"/>
      <c r="AKZ83" s="124"/>
      <c r="ALA83" s="124"/>
      <c r="ALB83" s="124"/>
      <c r="ALC83" s="124"/>
      <c r="ALD83" s="124"/>
      <c r="ALE83" s="124"/>
      <c r="ALF83" s="124"/>
      <c r="ALG83" s="124"/>
      <c r="ALH83" s="124"/>
      <c r="ALI83" s="124"/>
      <c r="ALJ83" s="125"/>
      <c r="ALK83" s="301"/>
      <c r="ALL83" s="151"/>
      <c r="ALM83" s="131">
        <f>SUM(AKK83:ALL83)</f>
      </c>
      <c r="ALN83" s="121"/>
      <c r="ALO83" s="122"/>
      <c r="ALP83" s="123"/>
      <c r="ALQ83" s="124"/>
      <c r="ALR83" s="124"/>
      <c r="ALS83" s="124"/>
      <c r="ALT83" s="124"/>
      <c r="ALU83" s="124"/>
      <c r="ALV83" s="124"/>
      <c r="ALW83" s="125"/>
      <c r="ALX83" s="126"/>
      <c r="ALY83" s="124"/>
      <c r="ALZ83" s="124"/>
      <c r="AMA83" s="127"/>
      <c r="AMB83" s="123"/>
      <c r="AMC83" s="124"/>
      <c r="AMD83" s="124"/>
      <c r="AME83" s="124"/>
      <c r="AMF83" s="124"/>
      <c r="AMG83" s="124"/>
      <c r="AMH83" s="124"/>
      <c r="AMI83" s="124"/>
      <c r="AMJ83" s="124"/>
      <c r="AMK83" s="124"/>
      <c r="AML83" s="124"/>
      <c r="AMM83" s="125"/>
      <c r="AMN83" s="301"/>
      <c r="AMO83" s="151"/>
      <c r="AMP83" s="131">
        <f>SUM(ALN83:AMO83)</f>
      </c>
      <c r="AMQ83" s="150">
        <f>AFX83+AHA83+AID83+AJG83+AKJ83+ALM83+AMP83</f>
      </c>
      <c r="AMR83" s="302">
        <f>(COUNTIF(AEV83:AMP83,"H")+COUNTIF(AEV83:AMP83,"S")+COUNTIF(AEV83:AMP83,"L")+COUNTIF(AEV83:AMP83,"E")+COUNTIF(AEV83:AMP83,"C"))/2</f>
      </c>
      <c r="AMS83" s="131">
        <f>AMQ83+AMR83</f>
      </c>
      <c r="AMT83" s="4"/>
      <c r="AMU83" s="4"/>
      <c r="AMV83" s="4"/>
      <c r="AMW83" s="4"/>
      <c r="AMX83" s="4"/>
      <c r="AMY83" s="4"/>
      <c r="AMZ83" s="4"/>
      <c r="ANA83" s="4"/>
      <c r="ANB83" s="4"/>
      <c r="ANC83" s="4"/>
      <c r="AND83" s="4"/>
      <c r="ANE83" s="4"/>
      <c r="ANF83" s="4"/>
      <c r="ANG83" s="4"/>
      <c r="ANH83" s="4"/>
      <c r="ANI83" s="4"/>
      <c r="ANJ83" s="13"/>
      <c r="ANK83" s="13"/>
      <c r="ANL83" s="4"/>
      <c r="ANM83" s="4"/>
      <c r="ANN83" s="4"/>
      <c r="ANO83" s="4"/>
      <c r="ANP83" s="4"/>
      <c r="ANQ83" s="4"/>
      <c r="ANR83" s="4"/>
      <c r="ANS83" s="4"/>
      <c r="ANT83" s="4"/>
      <c r="ANU83" s="4"/>
      <c r="ANV83" s="4"/>
      <c r="ANW83" s="4"/>
      <c r="ANX83" s="4"/>
      <c r="ANY83" s="4"/>
      <c r="ANZ83" s="4"/>
      <c r="AOA83" s="4"/>
      <c r="AOB83" s="4"/>
      <c r="AOC83" s="4"/>
      <c r="AOD83" s="4"/>
      <c r="AOE83" s="4"/>
      <c r="AOF83" s="4"/>
      <c r="AOG83" s="4"/>
      <c r="AOH83" s="4"/>
      <c r="AOI83" s="4"/>
      <c r="AOJ83" s="4"/>
      <c r="AOK83" s="4"/>
      <c r="AOL83" s="4"/>
      <c r="AOM83" s="4"/>
      <c r="AON83" s="4"/>
      <c r="AOO83" s="4"/>
      <c r="AOP83" s="4"/>
      <c r="AOQ83" s="4"/>
      <c r="AOR83" s="4"/>
      <c r="AOS83" s="4"/>
      <c r="AOT83" s="4"/>
      <c r="AOU83" s="4"/>
      <c r="AOV83" s="4"/>
      <c r="AOW83" s="4"/>
      <c r="AOX83" s="4"/>
      <c r="AOY83" s="4"/>
      <c r="AOZ83" s="4"/>
      <c r="APA83" s="4"/>
      <c r="APB83" s="4"/>
      <c r="APC83" s="4"/>
      <c r="APD83" s="4"/>
      <c r="APE83" s="4"/>
      <c r="APF83" s="4"/>
      <c r="APG83" s="4"/>
      <c r="APH83" s="4"/>
      <c r="API83" s="4"/>
      <c r="APJ83" s="4"/>
      <c r="APK83" s="4"/>
      <c r="APL83" s="4"/>
      <c r="APM83" s="4"/>
      <c r="APN83" s="4"/>
      <c r="APO83" s="4"/>
      <c r="APP83" s="4"/>
      <c r="APQ83" s="4"/>
      <c r="APR83" s="4"/>
      <c r="APS83" s="4"/>
      <c r="APT83" s="4"/>
      <c r="APU83" s="4"/>
      <c r="APV83" s="4"/>
      <c r="APW83" s="4"/>
      <c r="APX83" s="4"/>
      <c r="APY83" s="4"/>
      <c r="APZ83" s="4"/>
      <c r="AQA83" s="4"/>
      <c r="AQB83" s="4"/>
      <c r="AQC83" s="4"/>
      <c r="AQD83" s="4"/>
      <c r="AQE83" s="4"/>
      <c r="AQF83" s="4"/>
      <c r="AQG83" s="4"/>
      <c r="AQH83" s="4"/>
      <c r="AQI83" s="4"/>
      <c r="AQJ83" s="4"/>
      <c r="AQK83" s="4"/>
      <c r="AQL83" s="4"/>
      <c r="AQM83" s="4"/>
      <c r="AQN83" s="4"/>
      <c r="AQO83" s="4"/>
      <c r="AQP83" s="4"/>
      <c r="AQQ83" s="4"/>
      <c r="AQR83" s="4"/>
      <c r="AQS83" s="4"/>
      <c r="AQT83" s="4"/>
      <c r="AQU83" s="4"/>
      <c r="AQV83" s="4"/>
      <c r="AQW83" s="4"/>
      <c r="AQX83" s="4"/>
      <c r="AQY83" s="4"/>
      <c r="AQZ83" s="4"/>
      <c r="ARA83" s="4"/>
      <c r="ARB83" s="4"/>
      <c r="ARC83" s="4"/>
      <c r="ARD83" s="4"/>
      <c r="ARE83" s="4"/>
      <c r="ARF83" s="4"/>
      <c r="ARG83" s="4"/>
      <c r="ARH83" s="4"/>
      <c r="ARI83" s="4"/>
      <c r="ARJ83" s="4"/>
      <c r="ARK83" s="4"/>
      <c r="ARL83" s="4"/>
      <c r="ARM83" s="4"/>
      <c r="ARN83" s="4"/>
      <c r="ARO83" s="4"/>
      <c r="ARP83" s="4"/>
      <c r="ARQ83" s="4"/>
      <c r="ARR83" s="4"/>
      <c r="ARS83" s="4"/>
      <c r="ART83" s="4"/>
      <c r="ARU83" s="4"/>
      <c r="ARV83" s="4"/>
      <c r="ARW83" s="4"/>
      <c r="ARX83" s="4"/>
      <c r="ARY83" s="4"/>
      <c r="ARZ83" s="4"/>
      <c r="ASA83" s="4"/>
      <c r="ASB83" s="4"/>
      <c r="ASC83" s="4"/>
      <c r="ASD83" s="4"/>
      <c r="ASE83" s="4"/>
      <c r="ASF83" s="4"/>
      <c r="ASG83" s="4"/>
      <c r="ASH83" s="4"/>
      <c r="ASI83" s="4"/>
      <c r="ASJ83" s="4"/>
      <c r="ASK83" s="4"/>
      <c r="ASL83" s="4"/>
      <c r="ASM83" s="4"/>
      <c r="ASN83" s="4"/>
      <c r="ASO83" s="4"/>
      <c r="ASP83" s="4"/>
      <c r="ASQ83" s="4"/>
      <c r="ASR83" s="4"/>
      <c r="ASS83" s="4"/>
      <c r="AST83" s="4"/>
      <c r="ASU83" s="4"/>
    </row>
    <row r="84" ht="15" customHeight="1" spans="1:1191" x14ac:dyDescent="0.25">
      <c r="A84" s="156"/>
      <c r="B84" s="477" t="s">
        <v>122</v>
      </c>
      <c r="C84" s="478" t="s">
        <v>123</v>
      </c>
      <c r="D84" s="479"/>
      <c r="E84" s="435"/>
      <c r="F84" s="436"/>
      <c r="G84" s="437"/>
      <c r="H84" s="437"/>
      <c r="I84" s="437"/>
      <c r="J84" s="437"/>
      <c r="K84" s="437"/>
      <c r="L84" s="437"/>
      <c r="M84" s="438"/>
      <c r="N84" s="439"/>
      <c r="O84" s="437"/>
      <c r="P84" s="437"/>
      <c r="Q84" s="440"/>
      <c r="R84" s="436"/>
      <c r="S84" s="437"/>
      <c r="T84" s="437"/>
      <c r="U84" s="437"/>
      <c r="V84" s="437"/>
      <c r="W84" s="437"/>
      <c r="X84" s="437"/>
      <c r="Y84" s="437"/>
      <c r="Z84" s="437"/>
      <c r="AA84" s="437"/>
      <c r="AB84" s="480"/>
      <c r="AC84" s="481"/>
      <c r="AD84" s="441"/>
      <c r="AE84" s="482"/>
      <c r="AF84" s="131">
        <f>SUM(D84:AE84)</f>
      </c>
      <c r="AG84" s="483"/>
      <c r="AH84" s="484"/>
      <c r="AI84" s="485"/>
      <c r="AJ84" s="486"/>
      <c r="AK84" s="486"/>
      <c r="AL84" s="486"/>
      <c r="AM84" s="486"/>
      <c r="AN84" s="486"/>
      <c r="AO84" s="486"/>
      <c r="AP84" s="487"/>
      <c r="AQ84" s="488"/>
      <c r="AR84" s="486"/>
      <c r="AS84" s="486"/>
      <c r="AT84" s="489"/>
      <c r="AU84" s="485"/>
      <c r="AV84" s="486"/>
      <c r="AW84" s="486"/>
      <c r="AX84" s="486"/>
      <c r="AY84" s="486"/>
      <c r="AZ84" s="486"/>
      <c r="BA84" s="486"/>
      <c r="BB84" s="486"/>
      <c r="BC84" s="486"/>
      <c r="BD84" s="486"/>
      <c r="BE84" s="486"/>
      <c r="BF84" s="487"/>
      <c r="BG84" s="490"/>
      <c r="BH84" s="491"/>
      <c r="BI84" s="492">
        <f>SUM(AG84:BH84)</f>
      </c>
      <c r="BJ84" s="483"/>
      <c r="BK84" s="484"/>
      <c r="BL84" s="485"/>
      <c r="BM84" s="486"/>
      <c r="BN84" s="486"/>
      <c r="BO84" s="486"/>
      <c r="BP84" s="486"/>
      <c r="BQ84" s="486"/>
      <c r="BR84" s="486"/>
      <c r="BS84" s="487"/>
      <c r="BT84" s="488"/>
      <c r="BU84" s="486"/>
      <c r="BV84" s="486"/>
      <c r="BW84" s="489"/>
      <c r="BX84" s="485"/>
      <c r="BY84" s="486"/>
      <c r="BZ84" s="486"/>
      <c r="CA84" s="486"/>
      <c r="CB84" s="486"/>
      <c r="CC84" s="486"/>
      <c r="CD84" s="486"/>
      <c r="CE84" s="486"/>
      <c r="CF84" s="486"/>
      <c r="CG84" s="486"/>
      <c r="CH84" s="486"/>
      <c r="CI84" s="487"/>
      <c r="CJ84" s="490"/>
      <c r="CK84" s="493"/>
      <c r="CL84" s="492">
        <f>SUM(BJ84:CK84)</f>
      </c>
      <c r="CM84" s="483"/>
      <c r="CN84" s="484"/>
      <c r="CO84" s="485"/>
      <c r="CP84" s="486"/>
      <c r="CQ84" s="486"/>
      <c r="CR84" s="486"/>
      <c r="CS84" s="486"/>
      <c r="CT84" s="486"/>
      <c r="CU84" s="486"/>
      <c r="CV84" s="487"/>
      <c r="CW84" s="488"/>
      <c r="CX84" s="486"/>
      <c r="CY84" s="486"/>
      <c r="CZ84" s="489"/>
      <c r="DA84" s="485"/>
      <c r="DB84" s="486"/>
      <c r="DC84" s="486"/>
      <c r="DD84" s="486"/>
      <c r="DE84" s="486"/>
      <c r="DF84" s="486"/>
      <c r="DG84" s="486"/>
      <c r="DH84" s="486"/>
      <c r="DI84" s="486"/>
      <c r="DJ84" s="486"/>
      <c r="DK84" s="486"/>
      <c r="DL84" s="487"/>
      <c r="DM84" s="490"/>
      <c r="DN84" s="493"/>
      <c r="DO84" s="492">
        <f>SUM(CM84:DN84)</f>
      </c>
      <c r="DP84" s="483"/>
      <c r="DQ84" s="484"/>
      <c r="DR84" s="485"/>
      <c r="DS84" s="486"/>
      <c r="DT84" s="486"/>
      <c r="DU84" s="486"/>
      <c r="DV84" s="486"/>
      <c r="DW84" s="486"/>
      <c r="DX84" s="486"/>
      <c r="DY84" s="487"/>
      <c r="DZ84" s="488"/>
      <c r="EA84" s="486"/>
      <c r="EB84" s="486"/>
      <c r="EC84" s="489"/>
      <c r="ED84" s="485"/>
      <c r="EE84" s="486"/>
      <c r="EF84" s="486"/>
      <c r="EG84" s="486"/>
      <c r="EH84" s="486"/>
      <c r="EI84" s="486"/>
      <c r="EJ84" s="486"/>
      <c r="EK84" s="486"/>
      <c r="EL84" s="486"/>
      <c r="EM84" s="486"/>
      <c r="EN84" s="486"/>
      <c r="EO84" s="487"/>
      <c r="EP84" s="490"/>
      <c r="EQ84" s="493"/>
      <c r="ER84" s="492">
        <f>SUM(DP84:EQ84)</f>
      </c>
      <c r="ES84" s="483"/>
      <c r="ET84" s="484"/>
      <c r="EU84" s="485"/>
      <c r="EV84" s="486"/>
      <c r="EW84" s="486"/>
      <c r="EX84" s="486"/>
      <c r="EY84" s="486"/>
      <c r="EZ84" s="486"/>
      <c r="FA84" s="486"/>
      <c r="FB84" s="487"/>
      <c r="FC84" s="488"/>
      <c r="FD84" s="486"/>
      <c r="FE84" s="486"/>
      <c r="FF84" s="489"/>
      <c r="FG84" s="485"/>
      <c r="FH84" s="486"/>
      <c r="FI84" s="486"/>
      <c r="FJ84" s="486"/>
      <c r="FK84" s="486"/>
      <c r="FL84" s="486"/>
      <c r="FM84" s="486"/>
      <c r="FN84" s="486"/>
      <c r="FO84" s="486"/>
      <c r="FP84" s="486"/>
      <c r="FQ84" s="486"/>
      <c r="FR84" s="487"/>
      <c r="FS84" s="490"/>
      <c r="FT84" s="493"/>
      <c r="FU84" s="492">
        <f>SUM(ES84:FT84)</f>
      </c>
      <c r="FV84" s="483"/>
      <c r="FW84" s="484"/>
      <c r="FX84" s="485"/>
      <c r="FY84" s="486"/>
      <c r="FZ84" s="486"/>
      <c r="GA84" s="486"/>
      <c r="GB84" s="486"/>
      <c r="GC84" s="486"/>
      <c r="GD84" s="486"/>
      <c r="GE84" s="487"/>
      <c r="GF84" s="488"/>
      <c r="GG84" s="486"/>
      <c r="GH84" s="486"/>
      <c r="GI84" s="489"/>
      <c r="GJ84" s="485"/>
      <c r="GK84" s="486"/>
      <c r="GL84" s="486"/>
      <c r="GM84" s="486"/>
      <c r="GN84" s="486"/>
      <c r="GO84" s="486"/>
      <c r="GP84" s="486"/>
      <c r="GQ84" s="486"/>
      <c r="GR84" s="486"/>
      <c r="GS84" s="486"/>
      <c r="GT84" s="486"/>
      <c r="GU84" s="487"/>
      <c r="GV84" s="490"/>
      <c r="GW84" s="493"/>
      <c r="GX84" s="492">
        <f>SUM(FV84:GW84)</f>
      </c>
      <c r="GY84" s="494">
        <f>AF84+BI84+CL84+DO84+ER84+FU84+GX84</f>
      </c>
      <c r="GZ84" s="495">
        <f>(COUNTIF(D84:GX84,"H")+COUNTIF(D84:GX84,"S")+COUNTIF(D84:GX84,"L")+COUNTIF(D84:GX84,"E")+COUNTIF(D84:GX84,"C"))/2</f>
      </c>
      <c r="HA84" s="492">
        <f>GY84+GZ84</f>
      </c>
      <c r="HB84" s="496"/>
      <c r="HC84" s="497"/>
      <c r="HD84" s="498"/>
      <c r="HE84" s="499">
        <v>0.5</v>
      </c>
      <c r="HF84" s="499">
        <v>0.5</v>
      </c>
      <c r="HG84" s="499">
        <v>0.5</v>
      </c>
      <c r="HH84" s="499">
        <v>0.5</v>
      </c>
      <c r="HI84" s="499">
        <v>0.5</v>
      </c>
      <c r="HJ84" s="499">
        <v>0.5</v>
      </c>
      <c r="HK84" s="500">
        <v>0.5</v>
      </c>
      <c r="HL84" s="501"/>
      <c r="HM84" s="502"/>
      <c r="HN84" s="499">
        <v>0.5</v>
      </c>
      <c r="HO84" s="503">
        <v>0.5</v>
      </c>
      <c r="HP84" s="504">
        <v>0.5</v>
      </c>
      <c r="HQ84" s="499">
        <v>0.5</v>
      </c>
      <c r="HR84" s="499">
        <v>0.5</v>
      </c>
      <c r="HS84" s="499">
        <v>0.5</v>
      </c>
      <c r="HT84" s="499">
        <v>0.5</v>
      </c>
      <c r="HU84" s="499">
        <v>0.5</v>
      </c>
      <c r="HV84" s="499">
        <v>0.5</v>
      </c>
      <c r="HW84" s="502"/>
      <c r="HX84" s="502"/>
      <c r="HY84" s="502"/>
      <c r="HZ84" s="502"/>
      <c r="IA84" s="505"/>
      <c r="IB84" s="506"/>
      <c r="IC84" s="507"/>
      <c r="ID84" s="492">
        <f>SUM(HB84:IC84)</f>
      </c>
      <c r="IE84" s="496"/>
      <c r="IF84" s="497"/>
      <c r="IG84" s="498"/>
      <c r="IH84" s="499">
        <v>0.5</v>
      </c>
      <c r="II84" s="499">
        <v>0.5</v>
      </c>
      <c r="IJ84" s="499">
        <v>0.5</v>
      </c>
      <c r="IK84" s="499">
        <v>0.5</v>
      </c>
      <c r="IL84" s="499">
        <v>0.5</v>
      </c>
      <c r="IM84" s="499">
        <v>0.5</v>
      </c>
      <c r="IN84" s="500">
        <v>0.5</v>
      </c>
      <c r="IO84" s="501"/>
      <c r="IP84" s="502"/>
      <c r="IQ84" s="499">
        <v>0.5</v>
      </c>
      <c r="IR84" s="503">
        <v>0.5</v>
      </c>
      <c r="IS84" s="504">
        <v>0.5</v>
      </c>
      <c r="IT84" s="499">
        <v>0.5</v>
      </c>
      <c r="IU84" s="499">
        <v>0.5</v>
      </c>
      <c r="IV84" s="499">
        <v>0.5</v>
      </c>
      <c r="IW84" s="499">
        <v>0.5</v>
      </c>
      <c r="IX84" s="499">
        <v>0.5</v>
      </c>
      <c r="IY84" s="499">
        <v>0.5</v>
      </c>
      <c r="IZ84" s="502"/>
      <c r="JA84" s="502"/>
      <c r="JB84" s="502"/>
      <c r="JC84" s="502"/>
      <c r="JD84" s="505"/>
      <c r="JE84" s="506"/>
      <c r="JF84" s="507"/>
      <c r="JG84" s="492">
        <f>SUM(IE84:JF84)</f>
      </c>
      <c r="JH84" s="496"/>
      <c r="JI84" s="497"/>
      <c r="JJ84" s="498"/>
      <c r="JK84" s="499">
        <v>0.5</v>
      </c>
      <c r="JL84" s="499">
        <v>0.5</v>
      </c>
      <c r="JM84" s="499">
        <v>0.5</v>
      </c>
      <c r="JN84" s="499">
        <v>0.5</v>
      </c>
      <c r="JO84" s="499">
        <v>0.5</v>
      </c>
      <c r="JP84" s="499">
        <v>0.5</v>
      </c>
      <c r="JQ84" s="500">
        <v>0.5</v>
      </c>
      <c r="JR84" s="501"/>
      <c r="JS84" s="502"/>
      <c r="JT84" s="499">
        <v>0.5</v>
      </c>
      <c r="JU84" s="503">
        <v>0.5</v>
      </c>
      <c r="JV84" s="504">
        <v>0.5</v>
      </c>
      <c r="JW84" s="499">
        <v>0.5</v>
      </c>
      <c r="JX84" s="499">
        <v>0.5</v>
      </c>
      <c r="JY84" s="499">
        <v>0.5</v>
      </c>
      <c r="JZ84" s="499">
        <v>0.5</v>
      </c>
      <c r="KA84" s="499">
        <v>0.5</v>
      </c>
      <c r="KB84" s="499">
        <v>0.5</v>
      </c>
      <c r="KC84" s="502"/>
      <c r="KD84" s="502"/>
      <c r="KE84" s="502"/>
      <c r="KF84" s="502"/>
      <c r="KG84" s="505"/>
      <c r="KH84" s="506"/>
      <c r="KI84" s="507"/>
      <c r="KJ84" s="492">
        <f>SUM(JH84:KI84)</f>
      </c>
      <c r="KK84" s="496"/>
      <c r="KL84" s="497"/>
      <c r="KM84" s="498"/>
      <c r="KN84" s="499">
        <v>0.5</v>
      </c>
      <c r="KO84" s="499">
        <v>0.5</v>
      </c>
      <c r="KP84" s="499">
        <v>0.5</v>
      </c>
      <c r="KQ84" s="499">
        <v>0.5</v>
      </c>
      <c r="KR84" s="499">
        <v>0.5</v>
      </c>
      <c r="KS84" s="499">
        <v>0.5</v>
      </c>
      <c r="KT84" s="500">
        <v>0.5</v>
      </c>
      <c r="KU84" s="501"/>
      <c r="KV84" s="502"/>
      <c r="KW84" s="499">
        <v>0.5</v>
      </c>
      <c r="KX84" s="503">
        <v>0.5</v>
      </c>
      <c r="KY84" s="504">
        <v>0.5</v>
      </c>
      <c r="KZ84" s="499">
        <v>0.5</v>
      </c>
      <c r="LA84" s="499">
        <v>0.5</v>
      </c>
      <c r="LB84" s="499">
        <v>0.5</v>
      </c>
      <c r="LC84" s="499">
        <v>0.5</v>
      </c>
      <c r="LD84" s="499">
        <v>0.5</v>
      </c>
      <c r="LE84" s="499">
        <v>0.5</v>
      </c>
      <c r="LF84" s="502"/>
      <c r="LG84" s="502"/>
      <c r="LH84" s="502"/>
      <c r="LI84" s="502"/>
      <c r="LJ84" s="505"/>
      <c r="LK84" s="506"/>
      <c r="LL84" s="507"/>
      <c r="LM84" s="492">
        <f>SUM(KK84:LL84)</f>
      </c>
      <c r="LN84" s="496"/>
      <c r="LO84" s="497"/>
      <c r="LP84" s="498"/>
      <c r="LQ84" s="508" t="s">
        <v>4</v>
      </c>
      <c r="LR84" s="508" t="s">
        <v>4</v>
      </c>
      <c r="LS84" s="508" t="s">
        <v>4</v>
      </c>
      <c r="LT84" s="508" t="s">
        <v>4</v>
      </c>
      <c r="LU84" s="508" t="s">
        <v>4</v>
      </c>
      <c r="LV84" s="508" t="s">
        <v>4</v>
      </c>
      <c r="LW84" s="509" t="s">
        <v>4</v>
      </c>
      <c r="LX84" s="501"/>
      <c r="LY84" s="502"/>
      <c r="LZ84" s="508" t="s">
        <v>4</v>
      </c>
      <c r="MA84" s="510" t="s">
        <v>4</v>
      </c>
      <c r="MB84" s="511" t="s">
        <v>4</v>
      </c>
      <c r="MC84" s="508" t="s">
        <v>4</v>
      </c>
      <c r="MD84" s="508" t="s">
        <v>4</v>
      </c>
      <c r="ME84" s="508" t="s">
        <v>4</v>
      </c>
      <c r="MF84" s="508" t="s">
        <v>4</v>
      </c>
      <c r="MG84" s="508" t="s">
        <v>4</v>
      </c>
      <c r="MH84" s="508" t="s">
        <v>4</v>
      </c>
      <c r="MI84" s="502"/>
      <c r="MJ84" s="502"/>
      <c r="MK84" s="502"/>
      <c r="ML84" s="502"/>
      <c r="MM84" s="505"/>
      <c r="MN84" s="506"/>
      <c r="MO84" s="507"/>
      <c r="MP84" s="492">
        <f>SUM(LN84:MO84)</f>
      </c>
      <c r="MQ84" s="483"/>
      <c r="MR84" s="484"/>
      <c r="MS84" s="485"/>
      <c r="MT84" s="486"/>
      <c r="MU84" s="486"/>
      <c r="MV84" s="486"/>
      <c r="MW84" s="486"/>
      <c r="MX84" s="486"/>
      <c r="MY84" s="486"/>
      <c r="MZ84" s="487"/>
      <c r="NA84" s="488"/>
      <c r="NB84" s="486"/>
      <c r="NC84" s="486"/>
      <c r="ND84" s="489"/>
      <c r="NE84" s="485"/>
      <c r="NF84" s="486"/>
      <c r="NG84" s="486"/>
      <c r="NH84" s="486"/>
      <c r="NI84" s="486"/>
      <c r="NJ84" s="486"/>
      <c r="NK84" s="486"/>
      <c r="NL84" s="486"/>
      <c r="NM84" s="486"/>
      <c r="NN84" s="486"/>
      <c r="NO84" s="486"/>
      <c r="NP84" s="487"/>
      <c r="NQ84" s="490"/>
      <c r="NR84" s="493"/>
      <c r="NS84" s="492">
        <f>SUM(MQ84:NR84)</f>
      </c>
      <c r="NT84" s="483"/>
      <c r="NU84" s="484"/>
      <c r="NV84" s="485"/>
      <c r="NW84" s="486"/>
      <c r="NX84" s="486"/>
      <c r="NY84" s="486"/>
      <c r="NZ84" s="486"/>
      <c r="OA84" s="486"/>
      <c r="OB84" s="486"/>
      <c r="OC84" s="487"/>
      <c r="OD84" s="488"/>
      <c r="OE84" s="486"/>
      <c r="OF84" s="486"/>
      <c r="OG84" s="489"/>
      <c r="OH84" s="485"/>
      <c r="OI84" s="486"/>
      <c r="OJ84" s="486"/>
      <c r="OK84" s="486"/>
      <c r="OL84" s="486"/>
      <c r="OM84" s="486"/>
      <c r="ON84" s="486"/>
      <c r="OO84" s="486"/>
      <c r="OP84" s="486"/>
      <c r="OQ84" s="486"/>
      <c r="OR84" s="486"/>
      <c r="OS84" s="487"/>
      <c r="OT84" s="490"/>
      <c r="OU84" s="493"/>
      <c r="OV84" s="492">
        <f>SUM(NT84:OU84)</f>
      </c>
      <c r="OW84" s="494">
        <f>ID84+JG84+KJ84+LM84+MP84+NS84+OV84</f>
      </c>
      <c r="OX84" s="495">
        <f>(COUNTIF(HB84:OV84,"H")+COUNTIF(HB84:OV84,"S")+COUNTIF(HB84:OV84,"L")+COUNTIF(HB84:OV84,"E")+COUNTIF(HB84:OV84,"C"))/2</f>
      </c>
      <c r="OY84" s="492">
        <f>OW84+OX84</f>
      </c>
      <c r="OZ84" s="496"/>
      <c r="PA84" s="497"/>
      <c r="PB84" s="498"/>
      <c r="PC84" s="499">
        <v>0.5</v>
      </c>
      <c r="PD84" s="499">
        <v>0.5</v>
      </c>
      <c r="PE84" s="499">
        <v>0.5</v>
      </c>
      <c r="PF84" s="499">
        <v>0.5</v>
      </c>
      <c r="PG84" s="499">
        <v>0.5</v>
      </c>
      <c r="PH84" s="499">
        <v>0.5</v>
      </c>
      <c r="PI84" s="500">
        <v>0.5</v>
      </c>
      <c r="PJ84" s="501"/>
      <c r="PK84" s="502"/>
      <c r="PL84" s="499">
        <v>0.5</v>
      </c>
      <c r="PM84" s="503">
        <v>0.5</v>
      </c>
      <c r="PN84" s="504">
        <v>0.5</v>
      </c>
      <c r="PO84" s="499">
        <v>0.5</v>
      </c>
      <c r="PP84" s="499">
        <v>0.5</v>
      </c>
      <c r="PQ84" s="499">
        <v>0.5</v>
      </c>
      <c r="PR84" s="499">
        <v>0.5</v>
      </c>
      <c r="PS84" s="499">
        <v>0.5</v>
      </c>
      <c r="PT84" s="499">
        <v>0.5</v>
      </c>
      <c r="PU84" s="502"/>
      <c r="PV84" s="502"/>
      <c r="PW84" s="502"/>
      <c r="PX84" s="502"/>
      <c r="PY84" s="505"/>
      <c r="PZ84" s="506"/>
      <c r="QA84" s="507"/>
      <c r="QB84" s="492">
        <f>SUM(OZ84:QA84)</f>
      </c>
      <c r="QC84" s="496"/>
      <c r="QD84" s="497"/>
      <c r="QE84" s="498"/>
      <c r="QF84" s="499">
        <v>0.5</v>
      </c>
      <c r="QG84" s="499">
        <v>0.5</v>
      </c>
      <c r="QH84" s="499">
        <v>0.5</v>
      </c>
      <c r="QI84" s="499">
        <v>0.5</v>
      </c>
      <c r="QJ84" s="499">
        <v>0.5</v>
      </c>
      <c r="QK84" s="499">
        <v>0.5</v>
      </c>
      <c r="QL84" s="500">
        <v>0.5</v>
      </c>
      <c r="QM84" s="501"/>
      <c r="QN84" s="502"/>
      <c r="QO84" s="499">
        <v>0.5</v>
      </c>
      <c r="QP84" s="503">
        <v>0.5</v>
      </c>
      <c r="QQ84" s="504">
        <v>0.5</v>
      </c>
      <c r="QR84" s="499">
        <v>0.5</v>
      </c>
      <c r="QS84" s="499">
        <v>0.5</v>
      </c>
      <c r="QT84" s="499">
        <v>0.5</v>
      </c>
      <c r="QU84" s="499">
        <v>0.5</v>
      </c>
      <c r="QV84" s="499">
        <v>0.5</v>
      </c>
      <c r="QW84" s="499">
        <v>0.5</v>
      </c>
      <c r="QX84" s="502"/>
      <c r="QY84" s="502"/>
      <c r="QZ84" s="502"/>
      <c r="RA84" s="502"/>
      <c r="RB84" s="505"/>
      <c r="RC84" s="506"/>
      <c r="RD84" s="507"/>
      <c r="RE84" s="492">
        <f>SUM(QC84:RD84)</f>
      </c>
      <c r="RF84" s="496"/>
      <c r="RG84" s="497"/>
      <c r="RH84" s="498"/>
      <c r="RI84" s="499">
        <v>0.5</v>
      </c>
      <c r="RJ84" s="499">
        <v>0.5</v>
      </c>
      <c r="RK84" s="499">
        <v>0.5</v>
      </c>
      <c r="RL84" s="499">
        <v>0.5</v>
      </c>
      <c r="RM84" s="499">
        <v>0.5</v>
      </c>
      <c r="RN84" s="499">
        <v>0.5</v>
      </c>
      <c r="RO84" s="500">
        <v>0.5</v>
      </c>
      <c r="RP84" s="501"/>
      <c r="RQ84" s="502"/>
      <c r="RR84" s="499">
        <v>0.5</v>
      </c>
      <c r="RS84" s="503">
        <v>0.5</v>
      </c>
      <c r="RT84" s="504">
        <v>0.5</v>
      </c>
      <c r="RU84" s="499">
        <v>0.5</v>
      </c>
      <c r="RV84" s="499">
        <v>0.5</v>
      </c>
      <c r="RW84" s="499">
        <v>0.5</v>
      </c>
      <c r="RX84" s="499">
        <v>0.5</v>
      </c>
      <c r="RY84" s="499">
        <v>0.5</v>
      </c>
      <c r="RZ84" s="499">
        <v>0.5</v>
      </c>
      <c r="SA84" s="502"/>
      <c r="SB84" s="502"/>
      <c r="SC84" s="502"/>
      <c r="SD84" s="502"/>
      <c r="SE84" s="505"/>
      <c r="SF84" s="506"/>
      <c r="SG84" s="507"/>
      <c r="SH84" s="492">
        <f>SUM(RF84:SG84)</f>
      </c>
      <c r="SI84" s="496"/>
      <c r="SJ84" s="497"/>
      <c r="SK84" s="498"/>
      <c r="SL84" s="499">
        <v>0.5</v>
      </c>
      <c r="SM84" s="499">
        <v>0.5</v>
      </c>
      <c r="SN84" s="499">
        <v>0.5</v>
      </c>
      <c r="SO84" s="499">
        <v>0.5</v>
      </c>
      <c r="SP84" s="499">
        <v>0.5</v>
      </c>
      <c r="SQ84" s="499">
        <v>0.5</v>
      </c>
      <c r="SR84" s="500">
        <v>0.5</v>
      </c>
      <c r="SS84" s="501"/>
      <c r="ST84" s="502"/>
      <c r="SU84" s="499">
        <v>0.5</v>
      </c>
      <c r="SV84" s="503">
        <v>0.5</v>
      </c>
      <c r="SW84" s="504">
        <v>0.5</v>
      </c>
      <c r="SX84" s="499">
        <v>0.5</v>
      </c>
      <c r="SY84" s="499">
        <v>0.5</v>
      </c>
      <c r="SZ84" s="499">
        <v>0.5</v>
      </c>
      <c r="TA84" s="499">
        <v>0.5</v>
      </c>
      <c r="TB84" s="499">
        <v>0.5</v>
      </c>
      <c r="TC84" s="499">
        <v>0.5</v>
      </c>
      <c r="TD84" s="502"/>
      <c r="TE84" s="502"/>
      <c r="TF84" s="502"/>
      <c r="TG84" s="502"/>
      <c r="TH84" s="505"/>
      <c r="TI84" s="506"/>
      <c r="TJ84" s="507"/>
      <c r="TK84" s="492">
        <f>SUM(SI84:TJ84)</f>
      </c>
      <c r="TL84" s="496"/>
      <c r="TM84" s="497"/>
      <c r="TN84" s="498"/>
      <c r="TO84" s="499">
        <v>0.5</v>
      </c>
      <c r="TP84" s="499">
        <v>0.5</v>
      </c>
      <c r="TQ84" s="499">
        <v>0.5</v>
      </c>
      <c r="TR84" s="499">
        <v>0.5</v>
      </c>
      <c r="TS84" s="499">
        <v>0.5</v>
      </c>
      <c r="TT84" s="499">
        <v>0.5</v>
      </c>
      <c r="TU84" s="500">
        <v>0.5</v>
      </c>
      <c r="TV84" s="501"/>
      <c r="TW84" s="502"/>
      <c r="TX84" s="499">
        <v>0.5</v>
      </c>
      <c r="TY84" s="503">
        <v>0.5</v>
      </c>
      <c r="TZ84" s="504">
        <v>0.5</v>
      </c>
      <c r="UA84" s="499">
        <v>0.5</v>
      </c>
      <c r="UB84" s="499">
        <v>0.5</v>
      </c>
      <c r="UC84" s="499">
        <v>0.5</v>
      </c>
      <c r="UD84" s="499">
        <v>0.5</v>
      </c>
      <c r="UE84" s="499">
        <v>0.5</v>
      </c>
      <c r="UF84" s="499">
        <v>0.5</v>
      </c>
      <c r="UG84" s="502"/>
      <c r="UH84" s="502"/>
      <c r="UI84" s="502"/>
      <c r="UJ84" s="502"/>
      <c r="UK84" s="505"/>
      <c r="UL84" s="506"/>
      <c r="UM84" s="507"/>
      <c r="UN84" s="492">
        <f>SUM(TL84:UM84)</f>
      </c>
      <c r="UO84" s="483"/>
      <c r="UP84" s="484"/>
      <c r="UQ84" s="485"/>
      <c r="UR84" s="486"/>
      <c r="US84" s="486"/>
      <c r="UT84" s="486"/>
      <c r="UU84" s="486"/>
      <c r="UV84" s="486"/>
      <c r="UW84" s="486"/>
      <c r="UX84" s="487"/>
      <c r="UY84" s="488"/>
      <c r="UZ84" s="486"/>
      <c r="VA84" s="486"/>
      <c r="VB84" s="489"/>
      <c r="VC84" s="485"/>
      <c r="VD84" s="486"/>
      <c r="VE84" s="486"/>
      <c r="VF84" s="486"/>
      <c r="VG84" s="486"/>
      <c r="VH84" s="486"/>
      <c r="VI84" s="486"/>
      <c r="VJ84" s="486"/>
      <c r="VK84" s="486"/>
      <c r="VL84" s="486"/>
      <c r="VM84" s="486"/>
      <c r="VN84" s="487"/>
      <c r="VO84" s="490"/>
      <c r="VP84" s="493"/>
      <c r="VQ84" s="492">
        <f>SUM(UO84:VP84)</f>
      </c>
      <c r="VR84" s="483"/>
      <c r="VS84" s="484"/>
      <c r="VT84" s="485"/>
      <c r="VU84" s="486"/>
      <c r="VV84" s="486"/>
      <c r="VW84" s="486"/>
      <c r="VX84" s="486"/>
      <c r="VY84" s="486"/>
      <c r="VZ84" s="486"/>
      <c r="WA84" s="487"/>
      <c r="WB84" s="488"/>
      <c r="WC84" s="486"/>
      <c r="WD84" s="486"/>
      <c r="WE84" s="489"/>
      <c r="WF84" s="485"/>
      <c r="WG84" s="486"/>
      <c r="WH84" s="486"/>
      <c r="WI84" s="486"/>
      <c r="WJ84" s="486"/>
      <c r="WK84" s="486"/>
      <c r="WL84" s="486"/>
      <c r="WM84" s="486"/>
      <c r="WN84" s="486"/>
      <c r="WO84" s="486"/>
      <c r="WP84" s="486"/>
      <c r="WQ84" s="487"/>
      <c r="WR84" s="490"/>
      <c r="WS84" s="493"/>
      <c r="WT84" s="492">
        <f>SUM(VR84:WS84)</f>
      </c>
      <c r="WU84" s="494">
        <f>QB84+RE84+SH84+TK84+UN84+VQ84+WT84</f>
      </c>
      <c r="WV84" s="495">
        <f>(COUNTIF(OZ84:WT84,"H")+COUNTIF(OZ84:WT84,"S")+COUNTIF(OZ84:WT84,"L")+COUNTIF(OZ84:WT84,"E")+COUNTIF(OZ84:WT84,"C"))/2</f>
      </c>
      <c r="WW84" s="492">
        <f>WU84+WV84</f>
      </c>
      <c r="WX84" s="496"/>
      <c r="WY84" s="497"/>
      <c r="WZ84" s="498"/>
      <c r="XA84" s="499">
        <v>0.5</v>
      </c>
      <c r="XB84" s="499">
        <v>0.5</v>
      </c>
      <c r="XC84" s="499">
        <v>0.5</v>
      </c>
      <c r="XD84" s="499">
        <v>0.5</v>
      </c>
      <c r="XE84" s="499">
        <v>0.5</v>
      </c>
      <c r="XF84" s="499">
        <v>0.5</v>
      </c>
      <c r="XG84" s="500">
        <v>0.5</v>
      </c>
      <c r="XH84" s="501"/>
      <c r="XI84" s="502"/>
      <c r="XJ84" s="499">
        <v>0.5</v>
      </c>
      <c r="XK84" s="503">
        <v>0.5</v>
      </c>
      <c r="XL84" s="504">
        <v>0.5</v>
      </c>
      <c r="XM84" s="499">
        <v>0.5</v>
      </c>
      <c r="XN84" s="499">
        <v>0.5</v>
      </c>
      <c r="XO84" s="499">
        <v>0.5</v>
      </c>
      <c r="XP84" s="499">
        <v>0.5</v>
      </c>
      <c r="XQ84" s="499">
        <v>0.5</v>
      </c>
      <c r="XR84" s="499">
        <v>0.5</v>
      </c>
      <c r="XS84" s="502"/>
      <c r="XT84" s="502"/>
      <c r="XU84" s="502"/>
      <c r="XV84" s="502"/>
      <c r="XW84" s="505"/>
      <c r="XX84" s="506"/>
      <c r="XY84" s="507"/>
      <c r="XZ84" s="492">
        <f>SUM(WX84:XY84)</f>
      </c>
      <c r="YA84" s="496"/>
      <c r="YB84" s="497"/>
      <c r="YC84" s="498"/>
      <c r="YD84" s="499">
        <v>0.5</v>
      </c>
      <c r="YE84" s="499">
        <v>0.5</v>
      </c>
      <c r="YF84" s="499">
        <v>0.5</v>
      </c>
      <c r="YG84" s="499">
        <v>0.5</v>
      </c>
      <c r="YH84" s="499">
        <v>0.5</v>
      </c>
      <c r="YI84" s="499">
        <v>0.5</v>
      </c>
      <c r="YJ84" s="500">
        <v>0.5</v>
      </c>
      <c r="YK84" s="501"/>
      <c r="YL84" s="502"/>
      <c r="YM84" s="499">
        <v>0.5</v>
      </c>
      <c r="YN84" s="503">
        <v>0.5</v>
      </c>
      <c r="YO84" s="504">
        <v>0.5</v>
      </c>
      <c r="YP84" s="499">
        <v>0.5</v>
      </c>
      <c r="YQ84" s="499">
        <v>0.5</v>
      </c>
      <c r="YR84" s="499">
        <v>0.5</v>
      </c>
      <c r="YS84" s="499">
        <v>0.5</v>
      </c>
      <c r="YT84" s="499">
        <v>0.5</v>
      </c>
      <c r="YU84" s="499">
        <v>0.5</v>
      </c>
      <c r="YV84" s="502"/>
      <c r="YW84" s="502"/>
      <c r="YX84" s="502"/>
      <c r="YY84" s="502"/>
      <c r="YZ84" s="505"/>
      <c r="ZA84" s="506"/>
      <c r="ZB84" s="507"/>
      <c r="ZC84" s="492">
        <f>SUM(YA84:ZB84)</f>
      </c>
      <c r="ZD84" s="496"/>
      <c r="ZE84" s="497"/>
      <c r="ZF84" s="498"/>
      <c r="ZG84" s="499">
        <v>0.5</v>
      </c>
      <c r="ZH84" s="499">
        <v>0.5</v>
      </c>
      <c r="ZI84" s="499">
        <v>0.5</v>
      </c>
      <c r="ZJ84" s="499">
        <v>0.5</v>
      </c>
      <c r="ZK84" s="499">
        <v>0.5</v>
      </c>
      <c r="ZL84" s="499">
        <v>0.5</v>
      </c>
      <c r="ZM84" s="500">
        <v>0.5</v>
      </c>
      <c r="ZN84" s="501"/>
      <c r="ZO84" s="502"/>
      <c r="ZP84" s="499">
        <v>0.5</v>
      </c>
      <c r="ZQ84" s="503">
        <v>0.5</v>
      </c>
      <c r="ZR84" s="504">
        <v>0.5</v>
      </c>
      <c r="ZS84" s="499">
        <v>0.5</v>
      </c>
      <c r="ZT84" s="499">
        <v>0.5</v>
      </c>
      <c r="ZU84" s="499">
        <v>0.5</v>
      </c>
      <c r="ZV84" s="499">
        <v>0.5</v>
      </c>
      <c r="ZW84" s="499">
        <v>0.5</v>
      </c>
      <c r="ZX84" s="499">
        <v>0.5</v>
      </c>
      <c r="ZY84" s="502"/>
      <c r="ZZ84" s="502"/>
      <c r="AAA84" s="502"/>
      <c r="AAB84" s="502"/>
      <c r="AAC84" s="505"/>
      <c r="AAD84" s="506"/>
      <c r="AAE84" s="507"/>
      <c r="AAF84" s="492">
        <f>SUM(ZD84:AAE84)</f>
      </c>
      <c r="AAG84" s="496"/>
      <c r="AAH84" s="497"/>
      <c r="AAI84" s="498"/>
      <c r="AAJ84" s="499">
        <v>0.5</v>
      </c>
      <c r="AAK84" s="499">
        <v>0.5</v>
      </c>
      <c r="AAL84" s="499">
        <v>0.5</v>
      </c>
      <c r="AAM84" s="499">
        <v>0.5</v>
      </c>
      <c r="AAN84" s="499">
        <v>0.5</v>
      </c>
      <c r="AAO84" s="499">
        <v>0.5</v>
      </c>
      <c r="AAP84" s="500">
        <v>0.5</v>
      </c>
      <c r="AAQ84" s="501"/>
      <c r="AAR84" s="502"/>
      <c r="AAS84" s="499">
        <v>0.5</v>
      </c>
      <c r="AAT84" s="503">
        <v>0.5</v>
      </c>
      <c r="AAU84" s="504">
        <v>0.5</v>
      </c>
      <c r="AAV84" s="499">
        <v>0.5</v>
      </c>
      <c r="AAW84" s="499">
        <v>0.5</v>
      </c>
      <c r="AAX84" s="499">
        <v>0.5</v>
      </c>
      <c r="AAY84" s="499">
        <v>0.5</v>
      </c>
      <c r="AAZ84" s="499">
        <v>0.5</v>
      </c>
      <c r="ABA84" s="499">
        <v>0.5</v>
      </c>
      <c r="ABB84" s="502"/>
      <c r="ABC84" s="502"/>
      <c r="ABD84" s="502"/>
      <c r="ABE84" s="502"/>
      <c r="ABF84" s="505"/>
      <c r="ABG84" s="506"/>
      <c r="ABH84" s="507"/>
      <c r="ABI84" s="492">
        <f>SUM(AAG84:ABH84)</f>
      </c>
      <c r="ABJ84" s="496"/>
      <c r="ABK84" s="497"/>
      <c r="ABL84" s="498"/>
      <c r="ABM84" s="499">
        <v>0.5</v>
      </c>
      <c r="ABN84" s="499">
        <v>0.5</v>
      </c>
      <c r="ABO84" s="499">
        <v>0.5</v>
      </c>
      <c r="ABP84" s="499">
        <v>0.5</v>
      </c>
      <c r="ABQ84" s="499">
        <v>0.5</v>
      </c>
      <c r="ABR84" s="499">
        <v>0.5</v>
      </c>
      <c r="ABS84" s="500">
        <v>0.5</v>
      </c>
      <c r="ABT84" s="501"/>
      <c r="ABU84" s="502"/>
      <c r="ABV84" s="499">
        <v>0.5</v>
      </c>
      <c r="ABW84" s="503">
        <v>0.5</v>
      </c>
      <c r="ABX84" s="504">
        <v>0.5</v>
      </c>
      <c r="ABY84" s="499">
        <v>0.5</v>
      </c>
      <c r="ABZ84" s="499">
        <v>0.5</v>
      </c>
      <c r="ACA84" s="499">
        <v>0.5</v>
      </c>
      <c r="ACB84" s="499">
        <v>0.5</v>
      </c>
      <c r="ACC84" s="499">
        <v>0.5</v>
      </c>
      <c r="ACD84" s="499">
        <v>0.5</v>
      </c>
      <c r="ACE84" s="502"/>
      <c r="ACF84" s="502"/>
      <c r="ACG84" s="502"/>
      <c r="ACH84" s="502"/>
      <c r="ACI84" s="505"/>
      <c r="ACJ84" s="506"/>
      <c r="ACK84" s="507"/>
      <c r="ACL84" s="492">
        <f>SUM(ABJ84:ACK84)</f>
      </c>
      <c r="ACM84" s="483"/>
      <c r="ACN84" s="484"/>
      <c r="ACO84" s="485"/>
      <c r="ACP84" s="486"/>
      <c r="ACQ84" s="486"/>
      <c r="ACR84" s="486"/>
      <c r="ACS84" s="486"/>
      <c r="ACT84" s="486"/>
      <c r="ACU84" s="486"/>
      <c r="ACV84" s="487"/>
      <c r="ACW84" s="488"/>
      <c r="ACX84" s="486"/>
      <c r="ACY84" s="486"/>
      <c r="ACZ84" s="489"/>
      <c r="ADA84" s="485"/>
      <c r="ADB84" s="486"/>
      <c r="ADC84" s="486"/>
      <c r="ADD84" s="486"/>
      <c r="ADE84" s="486"/>
      <c r="ADF84" s="486"/>
      <c r="ADG84" s="486"/>
      <c r="ADH84" s="486"/>
      <c r="ADI84" s="486"/>
      <c r="ADJ84" s="486"/>
      <c r="ADK84" s="486"/>
      <c r="ADL84" s="487"/>
      <c r="ADM84" s="490"/>
      <c r="ADN84" s="493"/>
      <c r="ADO84" s="492">
        <f>SUM(ACM84:ADN84)</f>
      </c>
      <c r="ADP84" s="483"/>
      <c r="ADQ84" s="484"/>
      <c r="ADR84" s="485"/>
      <c r="ADS84" s="486"/>
      <c r="ADT84" s="486"/>
      <c r="ADU84" s="486"/>
      <c r="ADV84" s="486"/>
      <c r="ADW84" s="486"/>
      <c r="ADX84" s="486"/>
      <c r="ADY84" s="487"/>
      <c r="ADZ84" s="488"/>
      <c r="AEA84" s="486"/>
      <c r="AEB84" s="486"/>
      <c r="AEC84" s="489"/>
      <c r="AED84" s="485"/>
      <c r="AEE84" s="486"/>
      <c r="AEF84" s="486"/>
      <c r="AEG84" s="486"/>
      <c r="AEH84" s="486"/>
      <c r="AEI84" s="486"/>
      <c r="AEJ84" s="486"/>
      <c r="AEK84" s="486"/>
      <c r="AEL84" s="486"/>
      <c r="AEM84" s="486"/>
      <c r="AEN84" s="486"/>
      <c r="AEO84" s="487"/>
      <c r="AEP84" s="490"/>
      <c r="AEQ84" s="493"/>
      <c r="AER84" s="492">
        <f>SUM(ADP84:AEQ84)</f>
      </c>
      <c r="AES84" s="494">
        <f>XZ84+ZC84+AAF84+ABI84+ACL84+ADO84+AER84</f>
      </c>
      <c r="AET84" s="495">
        <f>(COUNTIF(WX84:AER84,"H")+COUNTIF(WX84:AER84,"S")+COUNTIF(WX84:AER84,"L")+COUNTIF(WX84:AER84,"E")+COUNTIF(WX84:AER84,"C"))/2</f>
      </c>
      <c r="AEU84" s="492">
        <f>AES84+AET84</f>
      </c>
      <c r="AEV84" s="496"/>
      <c r="AEW84" s="497"/>
      <c r="AEX84" s="498"/>
      <c r="AEY84" s="508" t="s">
        <v>4</v>
      </c>
      <c r="AEZ84" s="508" t="s">
        <v>4</v>
      </c>
      <c r="AFA84" s="508" t="s">
        <v>4</v>
      </c>
      <c r="AFB84" s="508" t="s">
        <v>4</v>
      </c>
      <c r="AFC84" s="508" t="s">
        <v>4</v>
      </c>
      <c r="AFD84" s="508" t="s">
        <v>4</v>
      </c>
      <c r="AFE84" s="509" t="s">
        <v>4</v>
      </c>
      <c r="AFF84" s="501"/>
      <c r="AFG84" s="502"/>
      <c r="AFH84" s="508" t="s">
        <v>4</v>
      </c>
      <c r="AFI84" s="510" t="s">
        <v>4</v>
      </c>
      <c r="AFJ84" s="511" t="s">
        <v>4</v>
      </c>
      <c r="AFK84" s="508" t="s">
        <v>4</v>
      </c>
      <c r="AFL84" s="508" t="s">
        <v>4</v>
      </c>
      <c r="AFM84" s="508" t="s">
        <v>4</v>
      </c>
      <c r="AFN84" s="508" t="s">
        <v>4</v>
      </c>
      <c r="AFO84" s="508" t="s">
        <v>4</v>
      </c>
      <c r="AFP84" s="508" t="s">
        <v>4</v>
      </c>
      <c r="AFQ84" s="502"/>
      <c r="AFR84" s="502"/>
      <c r="AFS84" s="502"/>
      <c r="AFT84" s="502"/>
      <c r="AFU84" s="505"/>
      <c r="AFV84" s="506"/>
      <c r="AFW84" s="507"/>
      <c r="AFX84" s="492">
        <f>SUM(AEV84:AFW84)</f>
      </c>
      <c r="AFY84" s="496"/>
      <c r="AFZ84" s="497"/>
      <c r="AGA84" s="498"/>
      <c r="AGB84" s="508" t="s">
        <v>4</v>
      </c>
      <c r="AGC84" s="508" t="s">
        <v>4</v>
      </c>
      <c r="AGD84" s="508" t="s">
        <v>4</v>
      </c>
      <c r="AGE84" s="508" t="s">
        <v>4</v>
      </c>
      <c r="AGF84" s="508" t="s">
        <v>4</v>
      </c>
      <c r="AGG84" s="508" t="s">
        <v>4</v>
      </c>
      <c r="AGH84" s="509" t="s">
        <v>4</v>
      </c>
      <c r="AGI84" s="501"/>
      <c r="AGJ84" s="502"/>
      <c r="AGK84" s="508" t="s">
        <v>4</v>
      </c>
      <c r="AGL84" s="510" t="s">
        <v>4</v>
      </c>
      <c r="AGM84" s="511" t="s">
        <v>4</v>
      </c>
      <c r="AGN84" s="508" t="s">
        <v>4</v>
      </c>
      <c r="AGO84" s="508" t="s">
        <v>4</v>
      </c>
      <c r="AGP84" s="508" t="s">
        <v>4</v>
      </c>
      <c r="AGQ84" s="508" t="s">
        <v>4</v>
      </c>
      <c r="AGR84" s="508" t="s">
        <v>4</v>
      </c>
      <c r="AGS84" s="508" t="s">
        <v>4</v>
      </c>
      <c r="AGT84" s="502"/>
      <c r="AGU84" s="502"/>
      <c r="AGV84" s="502"/>
      <c r="AGW84" s="502"/>
      <c r="AGX84" s="505"/>
      <c r="AGY84" s="506"/>
      <c r="AGZ84" s="507"/>
      <c r="AHA84" s="492">
        <f>SUM(AFY84:AGZ84)</f>
      </c>
      <c r="AHB84" s="496"/>
      <c r="AHC84" s="497"/>
      <c r="AHD84" s="498"/>
      <c r="AHE84" s="508" t="s">
        <v>4</v>
      </c>
      <c r="AHF84" s="508" t="s">
        <v>4</v>
      </c>
      <c r="AHG84" s="508" t="s">
        <v>4</v>
      </c>
      <c r="AHH84" s="508" t="s">
        <v>4</v>
      </c>
      <c r="AHI84" s="508" t="s">
        <v>4</v>
      </c>
      <c r="AHJ84" s="508" t="s">
        <v>4</v>
      </c>
      <c r="AHK84" s="509" t="s">
        <v>4</v>
      </c>
      <c r="AHL84" s="501"/>
      <c r="AHM84" s="502"/>
      <c r="AHN84" s="508" t="s">
        <v>4</v>
      </c>
      <c r="AHO84" s="510" t="s">
        <v>4</v>
      </c>
      <c r="AHP84" s="511" t="s">
        <v>4</v>
      </c>
      <c r="AHQ84" s="508" t="s">
        <v>4</v>
      </c>
      <c r="AHR84" s="508" t="s">
        <v>4</v>
      </c>
      <c r="AHS84" s="508" t="s">
        <v>4</v>
      </c>
      <c r="AHT84" s="508" t="s">
        <v>4</v>
      </c>
      <c r="AHU84" s="508" t="s">
        <v>4</v>
      </c>
      <c r="AHV84" s="508" t="s">
        <v>4</v>
      </c>
      <c r="AHW84" s="502"/>
      <c r="AHX84" s="502"/>
      <c r="AHY84" s="502"/>
      <c r="AHZ84" s="502"/>
      <c r="AIA84" s="505"/>
      <c r="AIB84" s="506"/>
      <c r="AIC84" s="507"/>
      <c r="AID84" s="492">
        <f>SUM(AHB84:AIC84)</f>
      </c>
      <c r="AIE84" s="496"/>
      <c r="AIF84" s="497"/>
      <c r="AIG84" s="498"/>
      <c r="AIH84" s="508" t="s">
        <v>4</v>
      </c>
      <c r="AII84" s="508" t="s">
        <v>4</v>
      </c>
      <c r="AIJ84" s="508" t="s">
        <v>4</v>
      </c>
      <c r="AIK84" s="508" t="s">
        <v>4</v>
      </c>
      <c r="AIL84" s="508" t="s">
        <v>4</v>
      </c>
      <c r="AIM84" s="508" t="s">
        <v>4</v>
      </c>
      <c r="AIN84" s="509" t="s">
        <v>4</v>
      </c>
      <c r="AIO84" s="501"/>
      <c r="AIP84" s="502"/>
      <c r="AIQ84" s="508" t="s">
        <v>4</v>
      </c>
      <c r="AIR84" s="510" t="s">
        <v>4</v>
      </c>
      <c r="AIS84" s="511" t="s">
        <v>4</v>
      </c>
      <c r="AIT84" s="508" t="s">
        <v>4</v>
      </c>
      <c r="AIU84" s="508" t="s">
        <v>4</v>
      </c>
      <c r="AIV84" s="508" t="s">
        <v>4</v>
      </c>
      <c r="AIW84" s="508" t="s">
        <v>4</v>
      </c>
      <c r="AIX84" s="508" t="s">
        <v>4</v>
      </c>
      <c r="AIY84" s="508" t="s">
        <v>4</v>
      </c>
      <c r="AIZ84" s="502"/>
      <c r="AJA84" s="502"/>
      <c r="AJB84" s="502"/>
      <c r="AJC84" s="502"/>
      <c r="AJD84" s="505"/>
      <c r="AJE84" s="506"/>
      <c r="AJF84" s="507"/>
      <c r="AJG84" s="492">
        <f>SUM(AIE84:AJF84)</f>
      </c>
      <c r="AJH84" s="496"/>
      <c r="AJI84" s="497"/>
      <c r="AJJ84" s="498"/>
      <c r="AJK84" s="508" t="s">
        <v>4</v>
      </c>
      <c r="AJL84" s="508" t="s">
        <v>4</v>
      </c>
      <c r="AJM84" s="508" t="s">
        <v>4</v>
      </c>
      <c r="AJN84" s="508" t="s">
        <v>4</v>
      </c>
      <c r="AJO84" s="508" t="s">
        <v>4</v>
      </c>
      <c r="AJP84" s="508" t="s">
        <v>4</v>
      </c>
      <c r="AJQ84" s="509" t="s">
        <v>4</v>
      </c>
      <c r="AJR84" s="501"/>
      <c r="AJS84" s="502"/>
      <c r="AJT84" s="508" t="s">
        <v>4</v>
      </c>
      <c r="AJU84" s="510" t="s">
        <v>4</v>
      </c>
      <c r="AJV84" s="511" t="s">
        <v>4</v>
      </c>
      <c r="AJW84" s="508" t="s">
        <v>4</v>
      </c>
      <c r="AJX84" s="508" t="s">
        <v>4</v>
      </c>
      <c r="AJY84" s="508" t="s">
        <v>4</v>
      </c>
      <c r="AJZ84" s="508" t="s">
        <v>4</v>
      </c>
      <c r="AKA84" s="508" t="s">
        <v>4</v>
      </c>
      <c r="AKB84" s="508" t="s">
        <v>4</v>
      </c>
      <c r="AKC84" s="502"/>
      <c r="AKD84" s="502"/>
      <c r="AKE84" s="502"/>
      <c r="AKF84" s="502"/>
      <c r="AKG84" s="505"/>
      <c r="AKH84" s="506"/>
      <c r="AKI84" s="507"/>
      <c r="AKJ84" s="492">
        <f>SUM(AJH84:AKI84)</f>
      </c>
      <c r="AKK84" s="483"/>
      <c r="AKL84" s="484"/>
      <c r="AKM84" s="485"/>
      <c r="AKN84" s="486"/>
      <c r="AKO84" s="486"/>
      <c r="AKP84" s="486"/>
      <c r="AKQ84" s="486"/>
      <c r="AKR84" s="486"/>
      <c r="AKS84" s="486"/>
      <c r="AKT84" s="487"/>
      <c r="AKU84" s="488"/>
      <c r="AKV84" s="486"/>
      <c r="AKW84" s="486"/>
      <c r="AKX84" s="489"/>
      <c r="AKY84" s="485"/>
      <c r="AKZ84" s="486"/>
      <c r="ALA84" s="486"/>
      <c r="ALB84" s="486"/>
      <c r="ALC84" s="486"/>
      <c r="ALD84" s="486"/>
      <c r="ALE84" s="486"/>
      <c r="ALF84" s="486"/>
      <c r="ALG84" s="486"/>
      <c r="ALH84" s="486"/>
      <c r="ALI84" s="486"/>
      <c r="ALJ84" s="487"/>
      <c r="ALK84" s="490"/>
      <c r="ALL84" s="493"/>
      <c r="ALM84" s="492">
        <f>SUM(AKK84:ALL84)</f>
      </c>
      <c r="ALN84" s="483"/>
      <c r="ALO84" s="484"/>
      <c r="ALP84" s="485"/>
      <c r="ALQ84" s="486"/>
      <c r="ALR84" s="486"/>
      <c r="ALS84" s="486"/>
      <c r="ALT84" s="486"/>
      <c r="ALU84" s="486"/>
      <c r="ALV84" s="486"/>
      <c r="ALW84" s="487"/>
      <c r="ALX84" s="488"/>
      <c r="ALY84" s="486"/>
      <c r="ALZ84" s="486"/>
      <c r="AMA84" s="489"/>
      <c r="AMB84" s="485"/>
      <c r="AMC84" s="486"/>
      <c r="AMD84" s="486"/>
      <c r="AME84" s="486"/>
      <c r="AMF84" s="486"/>
      <c r="AMG84" s="486"/>
      <c r="AMH84" s="486"/>
      <c r="AMI84" s="486"/>
      <c r="AMJ84" s="486"/>
      <c r="AMK84" s="486"/>
      <c r="AML84" s="486"/>
      <c r="AMM84" s="487"/>
      <c r="AMN84" s="490"/>
      <c r="AMO84" s="493"/>
      <c r="AMP84" s="492">
        <f>SUM(ALN84:AMO84)</f>
      </c>
      <c r="AMQ84" s="494">
        <f>AFX84+AHA84+AID84+AJG84+AKJ84+ALM84+AMP84</f>
      </c>
      <c r="AMR84" s="495">
        <f>(COUNTIF(AEV84:AMP84,"H")+COUNTIF(AEV84:AMP84,"S")+COUNTIF(AEV84:AMP84,"L")+COUNTIF(AEV84:AMP84,"E")+COUNTIF(AEV84:AMP84,"C"))/2</f>
      </c>
      <c r="AMS84" s="492">
        <f>AMQ84+AMR84</f>
      </c>
      <c r="AMT84" s="4"/>
      <c r="AMU84" s="4"/>
      <c r="AMV84" s="4"/>
      <c r="AMW84" s="4"/>
      <c r="AMX84" s="4"/>
      <c r="AMY84" s="4"/>
      <c r="AMZ84" s="4"/>
      <c r="ANA84" s="4"/>
      <c r="ANB84" s="4"/>
      <c r="ANC84" s="4"/>
      <c r="AND84" s="4"/>
      <c r="ANE84" s="4"/>
      <c r="ANF84" s="4"/>
      <c r="ANG84" s="4"/>
      <c r="ANH84" s="4"/>
      <c r="ANI84" s="4"/>
      <c r="ANJ84" s="13"/>
      <c r="ANK84" s="13"/>
      <c r="ANL84" s="4"/>
      <c r="ANM84" s="4"/>
      <c r="ANN84" s="4"/>
      <c r="ANO84" s="4"/>
      <c r="ANP84" s="4"/>
      <c r="ANQ84" s="4"/>
      <c r="ANR84" s="4"/>
      <c r="ANS84" s="4"/>
      <c r="ANT84" s="4"/>
      <c r="ANU84" s="4"/>
      <c r="ANV84" s="4"/>
      <c r="ANW84" s="4"/>
      <c r="ANX84" s="4"/>
      <c r="ANY84" s="4"/>
      <c r="ANZ84" s="4"/>
      <c r="AOA84" s="4"/>
      <c r="AOB84" s="4"/>
      <c r="AOC84" s="4"/>
      <c r="AOD84" s="4"/>
      <c r="AOE84" s="4"/>
      <c r="AOF84" s="4"/>
      <c r="AOG84" s="4"/>
      <c r="AOH84" s="4"/>
      <c r="AOI84" s="4"/>
      <c r="AOJ84" s="4"/>
      <c r="AOK84" s="4"/>
      <c r="AOL84" s="4"/>
      <c r="AOM84" s="4"/>
      <c r="AON84" s="4"/>
      <c r="AOO84" s="4"/>
      <c r="AOP84" s="4"/>
      <c r="AOQ84" s="4"/>
      <c r="AOR84" s="4"/>
      <c r="AOS84" s="4"/>
      <c r="AOT84" s="4"/>
      <c r="AOU84" s="4"/>
      <c r="AOV84" s="4"/>
      <c r="AOW84" s="4"/>
      <c r="AOX84" s="4"/>
      <c r="AOY84" s="4"/>
      <c r="AOZ84" s="4"/>
      <c r="APA84" s="4"/>
      <c r="APB84" s="4"/>
      <c r="APC84" s="4"/>
      <c r="APD84" s="4"/>
      <c r="APE84" s="4"/>
      <c r="APF84" s="4"/>
      <c r="APG84" s="4"/>
      <c r="APH84" s="4"/>
      <c r="API84" s="4"/>
      <c r="APJ84" s="4"/>
      <c r="APK84" s="4"/>
      <c r="APL84" s="4"/>
      <c r="APM84" s="4"/>
      <c r="APN84" s="4"/>
      <c r="APO84" s="4"/>
      <c r="APP84" s="4"/>
      <c r="APQ84" s="4"/>
      <c r="APR84" s="4"/>
      <c r="APS84" s="4"/>
      <c r="APT84" s="4"/>
      <c r="APU84" s="4"/>
      <c r="APV84" s="4"/>
      <c r="APW84" s="4"/>
      <c r="APX84" s="4"/>
      <c r="APY84" s="4"/>
      <c r="APZ84" s="4"/>
      <c r="AQA84" s="4"/>
      <c r="AQB84" s="4"/>
      <c r="AQC84" s="4"/>
      <c r="AQD84" s="4"/>
      <c r="AQE84" s="4"/>
      <c r="AQF84" s="4"/>
      <c r="AQG84" s="4"/>
      <c r="AQH84" s="4"/>
      <c r="AQI84" s="4"/>
      <c r="AQJ84" s="4"/>
      <c r="AQK84" s="4"/>
      <c r="AQL84" s="4"/>
      <c r="AQM84" s="4"/>
      <c r="AQN84" s="4"/>
      <c r="AQO84" s="4"/>
      <c r="AQP84" s="4"/>
      <c r="AQQ84" s="4"/>
      <c r="AQR84" s="4"/>
      <c r="AQS84" s="4"/>
      <c r="AQT84" s="4"/>
      <c r="AQU84" s="4"/>
      <c r="AQV84" s="4"/>
      <c r="AQW84" s="4"/>
      <c r="AQX84" s="4"/>
      <c r="AQY84" s="4"/>
      <c r="AQZ84" s="4"/>
      <c r="ARA84" s="4"/>
      <c r="ARB84" s="4"/>
      <c r="ARC84" s="4"/>
      <c r="ARD84" s="4"/>
      <c r="ARE84" s="4"/>
      <c r="ARF84" s="4"/>
      <c r="ARG84" s="4"/>
      <c r="ARH84" s="4"/>
      <c r="ARI84" s="4"/>
      <c r="ARJ84" s="4"/>
      <c r="ARK84" s="4"/>
      <c r="ARL84" s="4"/>
      <c r="ARM84" s="4"/>
      <c r="ARN84" s="4"/>
      <c r="ARO84" s="4"/>
      <c r="ARP84" s="4"/>
      <c r="ARQ84" s="4"/>
      <c r="ARR84" s="4"/>
      <c r="ARS84" s="4"/>
      <c r="ART84" s="4"/>
      <c r="ARU84" s="4"/>
      <c r="ARV84" s="4"/>
      <c r="ARW84" s="4"/>
      <c r="ARX84" s="4"/>
      <c r="ARY84" s="4"/>
      <c r="ARZ84" s="4"/>
      <c r="ASA84" s="4"/>
      <c r="ASB84" s="4"/>
      <c r="ASC84" s="4"/>
      <c r="ASD84" s="4"/>
      <c r="ASE84" s="4"/>
      <c r="ASF84" s="4"/>
      <c r="ASG84" s="4"/>
      <c r="ASH84" s="4"/>
      <c r="ASI84" s="4"/>
      <c r="ASJ84" s="4"/>
      <c r="ASK84" s="4"/>
      <c r="ASL84" s="4"/>
      <c r="ASM84" s="4"/>
      <c r="ASN84" s="4"/>
      <c r="ASO84" s="4"/>
      <c r="ASP84" s="4"/>
      <c r="ASQ84" s="4"/>
      <c r="ASR84" s="4"/>
      <c r="ASS84" s="4"/>
      <c r="AST84" s="4"/>
      <c r="ASU84" s="4"/>
    </row>
    <row r="85" ht="15.75" customHeight="1" spans="1:1191" x14ac:dyDescent="0.25">
      <c r="A85" s="4"/>
      <c r="B85" s="512"/>
      <c r="C85" s="512"/>
      <c r="D85" s="4"/>
      <c r="E85" s="513"/>
      <c r="F85" s="513"/>
      <c r="G85" s="513"/>
      <c r="H85" s="513"/>
      <c r="I85" s="513"/>
      <c r="J85" s="513"/>
      <c r="K85" s="513"/>
      <c r="L85" s="513"/>
      <c r="M85" s="513"/>
      <c r="N85" s="513"/>
      <c r="O85" s="513"/>
      <c r="P85" s="513"/>
      <c r="Q85" s="513"/>
      <c r="R85" s="513"/>
      <c r="S85" s="513"/>
      <c r="T85" s="513"/>
      <c r="U85" s="513"/>
      <c r="V85" s="513"/>
      <c r="W85" s="513"/>
      <c r="X85" s="513"/>
      <c r="Y85" s="513"/>
      <c r="Z85" s="513"/>
      <c r="AA85" s="513"/>
      <c r="AB85" s="513"/>
      <c r="AC85" s="513"/>
      <c r="AD85" s="513"/>
      <c r="AE85" s="513"/>
      <c r="AF85" s="514"/>
      <c r="AG85" s="4"/>
      <c r="AH85" s="515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16"/>
      <c r="BH85" s="516"/>
      <c r="BI85" s="4"/>
      <c r="BJ85" s="4"/>
      <c r="BK85" s="515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515"/>
      <c r="CK85" s="515"/>
      <c r="CL85" s="4"/>
      <c r="CM85" s="4"/>
      <c r="CN85" s="515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516"/>
      <c r="DN85" s="516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516"/>
      <c r="ER85" s="4"/>
      <c r="ES85" s="4"/>
      <c r="ET85" s="515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516"/>
      <c r="GW85" s="516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515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515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515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515"/>
      <c r="LL85" s="515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516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515"/>
      <c r="QA85" s="4"/>
      <c r="QB85" s="4"/>
      <c r="QC85" s="4"/>
      <c r="QD85" s="515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515"/>
      <c r="SH85" s="4"/>
      <c r="SI85" s="4"/>
      <c r="SJ85" s="515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515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516"/>
      <c r="VP85" s="516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515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515"/>
      <c r="ZC85" s="4"/>
      <c r="ZD85" s="4"/>
      <c r="ZE85" s="515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  <c r="AAA85" s="4"/>
      <c r="AAB85" s="4"/>
      <c r="AAC85" s="4"/>
      <c r="AAD85" s="4"/>
      <c r="AAE85" s="515"/>
      <c r="AAF85" s="4"/>
      <c r="AAG85" s="4"/>
      <c r="AAH85" s="4"/>
      <c r="AAI85" s="4"/>
      <c r="AAJ85" s="4"/>
      <c r="AAK85" s="4"/>
      <c r="AAL85" s="4"/>
      <c r="AAM85" s="4"/>
      <c r="AAN85" s="4"/>
      <c r="AAO85" s="4"/>
      <c r="AAP85" s="4"/>
      <c r="AAQ85" s="4"/>
      <c r="AAR85" s="4"/>
      <c r="AAS85" s="4"/>
      <c r="AAT85" s="4"/>
      <c r="AAU85" s="4"/>
      <c r="AAV85" s="4"/>
      <c r="AAW85" s="4"/>
      <c r="AAX85" s="4"/>
      <c r="AAY85" s="4"/>
      <c r="AAZ85" s="4"/>
      <c r="ABA85" s="4"/>
      <c r="ABB85" s="4"/>
      <c r="ABC85" s="4"/>
      <c r="ABD85" s="4"/>
      <c r="ABE85" s="4"/>
      <c r="ABF85" s="4"/>
      <c r="ABG85" s="4"/>
      <c r="ABH85" s="515"/>
      <c r="ABI85" s="4"/>
      <c r="ABJ85" s="4"/>
      <c r="ABK85" s="4"/>
      <c r="ABL85" s="4"/>
      <c r="ABM85" s="4"/>
      <c r="ABN85" s="4"/>
      <c r="ABO85" s="4"/>
      <c r="ABP85" s="4"/>
      <c r="ABQ85" s="4"/>
      <c r="ABR85" s="4"/>
      <c r="ABS85" s="4"/>
      <c r="ABT85" s="4"/>
      <c r="ABU85" s="4"/>
      <c r="ABV85" s="4"/>
      <c r="ABW85" s="4"/>
      <c r="ABX85" s="4"/>
      <c r="ABY85" s="4"/>
      <c r="ABZ85" s="4"/>
      <c r="ACA85" s="4"/>
      <c r="ACB85" s="4"/>
      <c r="ACC85" s="4"/>
      <c r="ACD85" s="4"/>
      <c r="ACE85" s="4"/>
      <c r="ACF85" s="4"/>
      <c r="ACG85" s="4"/>
      <c r="ACH85" s="4"/>
      <c r="ACI85" s="4"/>
      <c r="ACJ85" s="515"/>
      <c r="ACK85" s="4"/>
      <c r="ACL85" s="4"/>
      <c r="ACM85" s="4"/>
      <c r="ACN85" s="515"/>
      <c r="ACO85" s="4"/>
      <c r="ACP85" s="4"/>
      <c r="ACQ85" s="4"/>
      <c r="ACR85" s="4"/>
      <c r="ACS85" s="4"/>
      <c r="ACT85" s="4"/>
      <c r="ACU85" s="4"/>
      <c r="ACV85" s="4"/>
      <c r="ACW85" s="4"/>
      <c r="ACX85" s="4"/>
      <c r="ACY85" s="4"/>
      <c r="ACZ85" s="4"/>
      <c r="ADA85" s="4"/>
      <c r="ADB85" s="4"/>
      <c r="ADC85" s="4"/>
      <c r="ADD85" s="4"/>
      <c r="ADE85" s="4"/>
      <c r="ADF85" s="4"/>
      <c r="ADG85" s="4"/>
      <c r="ADH85" s="4"/>
      <c r="ADI85" s="4"/>
      <c r="ADJ85" s="4"/>
      <c r="ADK85" s="4"/>
      <c r="ADL85" s="4"/>
      <c r="ADM85" s="4"/>
      <c r="ADN85" s="4"/>
      <c r="ADO85" s="4"/>
      <c r="ADP85" s="4"/>
      <c r="ADQ85" s="515"/>
      <c r="ADR85" s="4"/>
      <c r="ADS85" s="4"/>
      <c r="ADT85" s="4"/>
      <c r="ADU85" s="4"/>
      <c r="ADV85" s="4"/>
      <c r="ADW85" s="4"/>
      <c r="ADX85" s="4"/>
      <c r="ADY85" s="4"/>
      <c r="ADZ85" s="4"/>
      <c r="AEA85" s="4"/>
      <c r="AEB85" s="4"/>
      <c r="AEC85" s="4"/>
      <c r="AED85" s="4"/>
      <c r="AEE85" s="4"/>
      <c r="AEF85" s="4"/>
      <c r="AEG85" s="4"/>
      <c r="AEH85" s="4"/>
      <c r="AEI85" s="4"/>
      <c r="AEJ85" s="4"/>
      <c r="AEK85" s="4"/>
      <c r="AEL85" s="4"/>
      <c r="AEM85" s="4"/>
      <c r="AEN85" s="4"/>
      <c r="AEO85" s="4"/>
      <c r="AEP85" s="516"/>
      <c r="AEQ85" s="4"/>
      <c r="AER85" s="4"/>
      <c r="AES85" s="4"/>
      <c r="AET85" s="4"/>
      <c r="AEU85" s="4"/>
      <c r="AEV85" s="4"/>
      <c r="AEW85" s="4"/>
      <c r="AEX85" s="4"/>
      <c r="AEY85" s="4"/>
      <c r="AEZ85" s="4"/>
      <c r="AFA85" s="4"/>
      <c r="AFB85" s="4"/>
      <c r="AFC85" s="4"/>
      <c r="AFD85" s="4"/>
      <c r="AFE85" s="4"/>
      <c r="AFF85" s="4"/>
      <c r="AFG85" s="4"/>
      <c r="AFH85" s="4"/>
      <c r="AFI85" s="4"/>
      <c r="AFJ85" s="4"/>
      <c r="AFK85" s="4"/>
      <c r="AFL85" s="4"/>
      <c r="AFM85" s="4"/>
      <c r="AFN85" s="4"/>
      <c r="AFO85" s="4"/>
      <c r="AFP85" s="4"/>
      <c r="AFQ85" s="4"/>
      <c r="AFR85" s="4"/>
      <c r="AFS85" s="4"/>
      <c r="AFT85" s="4"/>
      <c r="AFU85" s="4"/>
      <c r="AFV85" s="4"/>
      <c r="AFW85" s="4"/>
      <c r="AFX85" s="4"/>
      <c r="AFY85" s="4"/>
      <c r="AFZ85" s="4"/>
      <c r="AGA85" s="4"/>
      <c r="AGB85" s="4"/>
      <c r="AGC85" s="4"/>
      <c r="AGD85" s="4"/>
      <c r="AGE85" s="4"/>
      <c r="AGF85" s="4"/>
      <c r="AGG85" s="4"/>
      <c r="AGH85" s="4"/>
      <c r="AGI85" s="4"/>
      <c r="AGJ85" s="4"/>
      <c r="AGK85" s="4"/>
      <c r="AGL85" s="4"/>
      <c r="AGM85" s="4"/>
      <c r="AGN85" s="4"/>
      <c r="AGO85" s="4"/>
      <c r="AGP85" s="4"/>
      <c r="AGQ85" s="4"/>
      <c r="AGR85" s="4"/>
      <c r="AGS85" s="4"/>
      <c r="AGT85" s="4"/>
      <c r="AGU85" s="4"/>
      <c r="AGV85" s="4"/>
      <c r="AGW85" s="4"/>
      <c r="AGX85" s="4"/>
      <c r="AGY85" s="515"/>
      <c r="AGZ85" s="4"/>
      <c r="AHA85" s="4"/>
      <c r="AHB85" s="4"/>
      <c r="AHC85" s="515"/>
      <c r="AHD85" s="4"/>
      <c r="AHE85" s="4"/>
      <c r="AHF85" s="4"/>
      <c r="AHG85" s="4"/>
      <c r="AHH85" s="4"/>
      <c r="AHI85" s="4"/>
      <c r="AHJ85" s="4"/>
      <c r="AHK85" s="4"/>
      <c r="AHL85" s="4"/>
      <c r="AHM85" s="4"/>
      <c r="AHN85" s="4"/>
      <c r="AHO85" s="4"/>
      <c r="AHP85" s="4"/>
      <c r="AHQ85" s="4"/>
      <c r="AHR85" s="4"/>
      <c r="AHS85" s="4"/>
      <c r="AHT85" s="4"/>
      <c r="AHU85" s="4"/>
      <c r="AHV85" s="4"/>
      <c r="AHW85" s="4"/>
      <c r="AHX85" s="4"/>
      <c r="AHY85" s="4"/>
      <c r="AHZ85" s="4"/>
      <c r="AIA85" s="4"/>
      <c r="AIB85" s="4"/>
      <c r="AIC85" s="515"/>
      <c r="AID85" s="4"/>
      <c r="AIE85" s="4"/>
      <c r="AIF85" s="515"/>
      <c r="AIG85" s="4"/>
      <c r="AIH85" s="4"/>
      <c r="AII85" s="4"/>
      <c r="AIJ85" s="4"/>
      <c r="AIK85" s="4"/>
      <c r="AIL85" s="4"/>
      <c r="AIM85" s="4"/>
      <c r="AIN85" s="4"/>
      <c r="AIO85" s="4"/>
      <c r="AIP85" s="4"/>
      <c r="AIQ85" s="4"/>
      <c r="AIR85" s="4"/>
      <c r="AIS85" s="4"/>
      <c r="AIT85" s="4"/>
      <c r="AIU85" s="4"/>
      <c r="AIV85" s="4"/>
      <c r="AIW85" s="4"/>
      <c r="AIX85" s="4"/>
      <c r="AIY85" s="4"/>
      <c r="AIZ85" s="4"/>
      <c r="AJA85" s="4"/>
      <c r="AJB85" s="4"/>
      <c r="AJC85" s="4"/>
      <c r="AJD85" s="4"/>
      <c r="AJE85" s="4"/>
      <c r="AJF85" s="4"/>
      <c r="AJG85" s="4"/>
      <c r="AJH85" s="4"/>
      <c r="AJI85" s="4"/>
      <c r="AJJ85" s="4"/>
      <c r="AJK85" s="4"/>
      <c r="AJL85" s="4"/>
      <c r="AJM85" s="4"/>
      <c r="AJN85" s="4"/>
      <c r="AJO85" s="4"/>
      <c r="AJP85" s="4"/>
      <c r="AJQ85" s="4"/>
      <c r="AJR85" s="4"/>
      <c r="AJS85" s="4"/>
      <c r="AJT85" s="4"/>
      <c r="AJU85" s="4"/>
      <c r="AJV85" s="4"/>
      <c r="AJW85" s="4"/>
      <c r="AJX85" s="4"/>
      <c r="AJY85" s="4"/>
      <c r="AJZ85" s="4"/>
      <c r="AKA85" s="4"/>
      <c r="AKB85" s="4"/>
      <c r="AKC85" s="4"/>
      <c r="AKD85" s="4"/>
      <c r="AKE85" s="4"/>
      <c r="AKF85" s="4"/>
      <c r="AKG85" s="4"/>
      <c r="AKH85" s="4"/>
      <c r="AKI85" s="4"/>
      <c r="AKJ85" s="4"/>
      <c r="AKK85" s="4"/>
      <c r="AKL85" s="515"/>
      <c r="AKM85" s="4"/>
      <c r="AKN85" s="4"/>
      <c r="AKO85" s="4"/>
      <c r="AKP85" s="4"/>
      <c r="AKQ85" s="4"/>
      <c r="AKR85" s="4"/>
      <c r="AKS85" s="4"/>
      <c r="AKT85" s="4"/>
      <c r="AKU85" s="4"/>
      <c r="AKV85" s="4"/>
      <c r="AKW85" s="4"/>
      <c r="AKX85" s="4"/>
      <c r="AKY85" s="4"/>
      <c r="AKZ85" s="4"/>
      <c r="ALA85" s="4"/>
      <c r="ALB85" s="4"/>
      <c r="ALC85" s="4"/>
      <c r="ALD85" s="4"/>
      <c r="ALE85" s="4"/>
      <c r="ALF85" s="4"/>
      <c r="ALG85" s="4"/>
      <c r="ALH85" s="4"/>
      <c r="ALI85" s="4"/>
      <c r="ALJ85" s="4"/>
      <c r="ALK85" s="4"/>
      <c r="ALL85" s="4"/>
      <c r="ALM85" s="4"/>
      <c r="ALN85" s="4"/>
      <c r="ALO85" s="4"/>
      <c r="ALP85" s="4"/>
      <c r="ALQ85" s="4"/>
      <c r="ALR85" s="4"/>
      <c r="ALS85" s="4"/>
      <c r="ALT85" s="4"/>
      <c r="ALU85" s="4"/>
      <c r="ALV85" s="4"/>
      <c r="ALW85" s="4"/>
      <c r="ALX85" s="4"/>
      <c r="ALY85" s="4"/>
      <c r="ALZ85" s="4"/>
      <c r="AMA85" s="4"/>
      <c r="AMB85" s="4"/>
      <c r="AMC85" s="4"/>
      <c r="AMD85" s="4"/>
      <c r="AME85" s="4"/>
      <c r="AMF85" s="4"/>
      <c r="AMG85" s="4"/>
      <c r="AMH85" s="4"/>
      <c r="AMI85" s="4"/>
      <c r="AMJ85" s="4"/>
      <c r="AMK85" s="4"/>
      <c r="AML85" s="4"/>
      <c r="AMM85" s="4"/>
      <c r="AMN85" s="516"/>
      <c r="AMO85" s="516"/>
      <c r="AMP85" s="4"/>
      <c r="AMQ85" s="4"/>
      <c r="AMR85" s="4"/>
      <c r="AMS85" s="4"/>
      <c r="AMT85" s="4"/>
      <c r="AMU85" s="4"/>
      <c r="AMV85" s="4"/>
      <c r="AMW85" s="4"/>
      <c r="AMX85" s="4"/>
      <c r="AMY85" s="4"/>
      <c r="AMZ85" s="4"/>
      <c r="ANA85" s="4"/>
      <c r="ANB85" s="4"/>
      <c r="ANC85" s="4"/>
      <c r="AND85" s="4"/>
      <c r="ANE85" s="4"/>
      <c r="ANF85" s="4"/>
      <c r="ANG85" s="4"/>
      <c r="ANH85" s="4"/>
      <c r="ANI85" s="4"/>
      <c r="ANJ85" s="4"/>
      <c r="ANK85" s="4"/>
      <c r="ANL85" s="4"/>
      <c r="ANM85" s="4"/>
      <c r="ANN85" s="4"/>
      <c r="ANO85" s="4"/>
      <c r="ANP85" s="4"/>
      <c r="ANQ85" s="4"/>
      <c r="ANR85" s="4"/>
      <c r="ANS85" s="4"/>
      <c r="ANT85" s="4"/>
      <c r="ANU85" s="4"/>
      <c r="ANV85" s="4"/>
      <c r="ANW85" s="4"/>
      <c r="ANX85" s="4"/>
      <c r="ANY85" s="4"/>
      <c r="ANZ85" s="4"/>
      <c r="AOA85" s="4"/>
      <c r="AOB85" s="4"/>
      <c r="AOC85" s="4"/>
      <c r="AOD85" s="4"/>
      <c r="AOE85" s="4"/>
      <c r="AOF85" s="4"/>
      <c r="AOG85" s="4"/>
      <c r="AOH85" s="4"/>
      <c r="AOI85" s="4"/>
      <c r="AOJ85" s="4"/>
      <c r="AOK85" s="4"/>
      <c r="AOL85" s="4"/>
      <c r="AOM85" s="4"/>
      <c r="AON85" s="4"/>
      <c r="AOO85" s="4"/>
      <c r="AOP85" s="4"/>
      <c r="AOQ85" s="4"/>
      <c r="AOR85" s="4"/>
      <c r="AOS85" s="4"/>
      <c r="AOT85" s="4"/>
      <c r="AOU85" s="4"/>
      <c r="AOV85" s="4"/>
      <c r="AOW85" s="4"/>
      <c r="AOX85" s="4"/>
      <c r="AOY85" s="4"/>
      <c r="AOZ85" s="4"/>
      <c r="APA85" s="4"/>
      <c r="APB85" s="4"/>
      <c r="APC85" s="4"/>
      <c r="APD85" s="4"/>
      <c r="APE85" s="4"/>
      <c r="APF85" s="4"/>
      <c r="APG85" s="4"/>
      <c r="APH85" s="4"/>
      <c r="API85" s="4"/>
      <c r="APJ85" s="4"/>
      <c r="APK85" s="4"/>
      <c r="APL85" s="4"/>
      <c r="APM85" s="4"/>
      <c r="APN85" s="4"/>
      <c r="APO85" s="4"/>
      <c r="APP85" s="4"/>
      <c r="APQ85" s="4"/>
      <c r="APR85" s="4"/>
      <c r="APS85" s="4"/>
      <c r="APT85" s="4"/>
      <c r="APU85" s="4"/>
      <c r="APV85" s="4"/>
      <c r="APW85" s="4"/>
      <c r="APX85" s="4"/>
      <c r="APY85" s="4"/>
      <c r="APZ85" s="4"/>
      <c r="AQA85" s="4"/>
      <c r="AQB85" s="4"/>
      <c r="AQC85" s="4"/>
      <c r="AQD85" s="4"/>
      <c r="AQE85" s="4"/>
      <c r="AQF85" s="4"/>
      <c r="AQG85" s="4"/>
      <c r="AQH85" s="4"/>
      <c r="AQI85" s="4"/>
      <c r="AQJ85" s="4"/>
      <c r="AQK85" s="4"/>
      <c r="AQL85" s="4"/>
      <c r="AQM85" s="4"/>
      <c r="AQN85" s="4"/>
      <c r="AQO85" s="4"/>
      <c r="AQP85" s="4"/>
      <c r="AQQ85" s="4"/>
      <c r="AQR85" s="4"/>
      <c r="AQS85" s="4"/>
      <c r="AQT85" s="4"/>
      <c r="AQU85" s="4"/>
      <c r="AQV85" s="4"/>
      <c r="AQW85" s="4"/>
      <c r="AQX85" s="4"/>
      <c r="AQY85" s="4"/>
      <c r="AQZ85" s="4"/>
      <c r="ARA85" s="4"/>
      <c r="ARB85" s="4"/>
      <c r="ARC85" s="4"/>
      <c r="ARD85" s="4"/>
      <c r="ARE85" s="4"/>
      <c r="ARF85" s="4"/>
      <c r="ARG85" s="4"/>
      <c r="ARH85" s="4"/>
      <c r="ARI85" s="4"/>
      <c r="ARJ85" s="4"/>
      <c r="ARK85" s="4"/>
      <c r="ARL85" s="4"/>
      <c r="ARM85" s="4"/>
      <c r="ARN85" s="4"/>
      <c r="ARO85" s="4"/>
      <c r="ARP85" s="4"/>
      <c r="ARQ85" s="4"/>
      <c r="ARR85" s="4"/>
      <c r="ARS85" s="4"/>
      <c r="ART85" s="4"/>
      <c r="ARU85" s="4"/>
      <c r="ARV85" s="4"/>
      <c r="ARW85" s="4"/>
      <c r="ARX85" s="4"/>
      <c r="ARY85" s="4"/>
      <c r="ARZ85" s="4"/>
      <c r="ASA85" s="4"/>
      <c r="ASB85" s="4"/>
      <c r="ASC85" s="4"/>
      <c r="ASD85" s="4"/>
      <c r="ASE85" s="4"/>
      <c r="ASF85" s="4"/>
      <c r="ASG85" s="4"/>
      <c r="ASH85" s="4"/>
      <c r="ASI85" s="4"/>
      <c r="ASJ85" s="4"/>
      <c r="ASK85" s="4"/>
      <c r="ASL85" s="4"/>
      <c r="ASM85" s="4"/>
      <c r="ASN85" s="4"/>
      <c r="ASO85" s="4"/>
      <c r="ASP85" s="4"/>
      <c r="ASQ85" s="4"/>
      <c r="ASR85" s="4"/>
      <c r="ASS85" s="4"/>
      <c r="AST85" s="4"/>
      <c r="ASU85" s="4"/>
    </row>
    <row r="86" ht="15" customHeight="1" spans="1:1191" x14ac:dyDescent="0.25">
      <c r="A86" s="517" t="s">
        <v>48</v>
      </c>
      <c r="B86" s="518" t="s">
        <v>124</v>
      </c>
      <c r="C86" s="519" t="s">
        <v>55</v>
      </c>
      <c r="D86" s="520"/>
      <c r="E86" s="521"/>
      <c r="F86" s="522"/>
      <c r="G86" s="523"/>
      <c r="H86" s="523"/>
      <c r="I86" s="523"/>
      <c r="J86" s="523"/>
      <c r="K86" s="523"/>
      <c r="L86" s="523"/>
      <c r="M86" s="524"/>
      <c r="N86" s="525"/>
      <c r="O86" s="523"/>
      <c r="P86" s="523"/>
      <c r="Q86" s="526"/>
      <c r="R86" s="522"/>
      <c r="S86" s="523"/>
      <c r="T86" s="523"/>
      <c r="U86" s="523"/>
      <c r="V86" s="523"/>
      <c r="W86" s="523"/>
      <c r="X86" s="523"/>
      <c r="Y86" s="523"/>
      <c r="Z86" s="523"/>
      <c r="AA86" s="523"/>
      <c r="AB86" s="523"/>
      <c r="AC86" s="524"/>
      <c r="AD86" s="521"/>
      <c r="AE86" s="521"/>
      <c r="AF86" s="527">
        <f>SUM(D86:AE86)</f>
      </c>
      <c r="AG86" s="520"/>
      <c r="AH86" s="521"/>
      <c r="AI86" s="522"/>
      <c r="AJ86" s="523"/>
      <c r="AK86" s="523"/>
      <c r="AL86" s="523"/>
      <c r="AM86" s="523"/>
      <c r="AN86" s="523"/>
      <c r="AO86" s="523"/>
      <c r="AP86" s="524"/>
      <c r="AQ86" s="525"/>
      <c r="AR86" s="523"/>
      <c r="AS86" s="523"/>
      <c r="AT86" s="526"/>
      <c r="AU86" s="522"/>
      <c r="AV86" s="523"/>
      <c r="AW86" s="523"/>
      <c r="AX86" s="523"/>
      <c r="AY86" s="523"/>
      <c r="AZ86" s="523"/>
      <c r="BA86" s="523"/>
      <c r="BB86" s="523"/>
      <c r="BC86" s="523"/>
      <c r="BD86" s="523"/>
      <c r="BE86" s="523"/>
      <c r="BF86" s="524"/>
      <c r="BG86" s="521"/>
      <c r="BH86" s="521"/>
      <c r="BI86" s="527">
        <f>SUM(AG86:BH86)</f>
      </c>
      <c r="BJ86" s="520"/>
      <c r="BK86" s="122"/>
      <c r="BL86" s="522"/>
      <c r="BM86" s="523"/>
      <c r="BN86" s="523"/>
      <c r="BO86" s="523"/>
      <c r="BP86" s="523"/>
      <c r="BQ86" s="523"/>
      <c r="BR86" s="523"/>
      <c r="BS86" s="524"/>
      <c r="BT86" s="525"/>
      <c r="BU86" s="523"/>
      <c r="BV86" s="523"/>
      <c r="BW86" s="526"/>
      <c r="BX86" s="522"/>
      <c r="BY86" s="523"/>
      <c r="BZ86" s="523"/>
      <c r="CA86" s="523"/>
      <c r="CB86" s="523"/>
      <c r="CC86" s="523"/>
      <c r="CD86" s="523"/>
      <c r="CE86" s="523"/>
      <c r="CF86" s="523"/>
      <c r="CG86" s="523"/>
      <c r="CH86" s="523"/>
      <c r="CI86" s="524"/>
      <c r="CJ86" s="521"/>
      <c r="CK86" s="521"/>
      <c r="CL86" s="527">
        <f>SUM(BJ86:CK86)</f>
      </c>
      <c r="CM86" s="520"/>
      <c r="CN86" s="122"/>
      <c r="CO86" s="522"/>
      <c r="CP86" s="523"/>
      <c r="CQ86" s="523"/>
      <c r="CR86" s="523"/>
      <c r="CS86" s="523"/>
      <c r="CT86" s="523"/>
      <c r="CU86" s="523"/>
      <c r="CV86" s="524"/>
      <c r="CW86" s="525"/>
      <c r="CX86" s="523"/>
      <c r="CY86" s="523"/>
      <c r="CZ86" s="526"/>
      <c r="DA86" s="522"/>
      <c r="DB86" s="523"/>
      <c r="DC86" s="523"/>
      <c r="DD86" s="523"/>
      <c r="DE86" s="523"/>
      <c r="DF86" s="523"/>
      <c r="DG86" s="523"/>
      <c r="DH86" s="523"/>
      <c r="DI86" s="523"/>
      <c r="DJ86" s="523"/>
      <c r="DK86" s="523"/>
      <c r="DL86" s="524"/>
      <c r="DM86" s="521"/>
      <c r="DN86" s="521"/>
      <c r="DO86" s="527">
        <f>SUM(CM86:DN86)</f>
      </c>
      <c r="DP86" s="520"/>
      <c r="DQ86" s="521"/>
      <c r="DR86" s="522"/>
      <c r="DS86" s="523"/>
      <c r="DT86" s="523"/>
      <c r="DU86" s="523"/>
      <c r="DV86" s="523"/>
      <c r="DW86" s="523"/>
      <c r="DX86" s="523"/>
      <c r="DY86" s="524"/>
      <c r="DZ86" s="525"/>
      <c r="EA86" s="523"/>
      <c r="EB86" s="523"/>
      <c r="EC86" s="526"/>
      <c r="ED86" s="522"/>
      <c r="EE86" s="523"/>
      <c r="EF86" s="523"/>
      <c r="EG86" s="523"/>
      <c r="EH86" s="523"/>
      <c r="EI86" s="523"/>
      <c r="EJ86" s="523"/>
      <c r="EK86" s="523"/>
      <c r="EL86" s="523"/>
      <c r="EM86" s="523"/>
      <c r="EN86" s="523"/>
      <c r="EO86" s="524"/>
      <c r="EP86" s="521"/>
      <c r="EQ86" s="521"/>
      <c r="ER86" s="527">
        <f>SUM(DP86:EQ86)</f>
      </c>
      <c r="ES86" s="520"/>
      <c r="ET86" s="122"/>
      <c r="EU86" s="522"/>
      <c r="EV86" s="523"/>
      <c r="EW86" s="523"/>
      <c r="EX86" s="523"/>
      <c r="EY86" s="523"/>
      <c r="EZ86" s="523"/>
      <c r="FA86" s="523"/>
      <c r="FB86" s="524"/>
      <c r="FC86" s="525"/>
      <c r="FD86" s="523"/>
      <c r="FE86" s="523"/>
      <c r="FF86" s="526"/>
      <c r="FG86" s="522"/>
      <c r="FH86" s="523"/>
      <c r="FI86" s="523"/>
      <c r="FJ86" s="523"/>
      <c r="FK86" s="523"/>
      <c r="FL86" s="523"/>
      <c r="FM86" s="523"/>
      <c r="FN86" s="523"/>
      <c r="FO86" s="523"/>
      <c r="FP86" s="523"/>
      <c r="FQ86" s="523"/>
      <c r="FR86" s="524"/>
      <c r="FS86" s="521"/>
      <c r="FT86" s="521"/>
      <c r="FU86" s="528">
        <f>SUM(ES86:FT86)</f>
      </c>
      <c r="FV86" s="520"/>
      <c r="FW86" s="521"/>
      <c r="FX86" s="522"/>
      <c r="FY86" s="523"/>
      <c r="FZ86" s="523"/>
      <c r="GA86" s="523"/>
      <c r="GB86" s="523"/>
      <c r="GC86" s="523"/>
      <c r="GD86" s="523"/>
      <c r="GE86" s="524"/>
      <c r="GF86" s="525"/>
      <c r="GG86" s="523"/>
      <c r="GH86" s="523"/>
      <c r="GI86" s="526"/>
      <c r="GJ86" s="522"/>
      <c r="GK86" s="523"/>
      <c r="GL86" s="523"/>
      <c r="GM86" s="523"/>
      <c r="GN86" s="523"/>
      <c r="GO86" s="523"/>
      <c r="GP86" s="523"/>
      <c r="GQ86" s="523"/>
      <c r="GR86" s="523"/>
      <c r="GS86" s="523"/>
      <c r="GT86" s="523"/>
      <c r="GU86" s="524"/>
      <c r="GV86" s="122"/>
      <c r="GW86" s="194"/>
      <c r="GX86" s="528">
        <f>SUM(FV86:GW86)</f>
      </c>
      <c r="GY86" s="529">
        <f>AF86+BI86+CL86+DO86+ER86+FU86+GX86</f>
      </c>
      <c r="GZ86" s="530">
        <f>(COUNTIF(D86:GX86,"H")+COUNTIF(D86:GX86,"S")+COUNTIF(D86:GX86,"L")+COUNTIF(D86:GX86,"E")+COUNTIF(D86:GX86,"C"))/2</f>
      </c>
      <c r="HA86" s="527">
        <f>GY86+GZ86</f>
      </c>
      <c r="HB86" s="531"/>
      <c r="HC86" s="532"/>
      <c r="HD86" s="533">
        <v>0.5</v>
      </c>
      <c r="HE86" s="534">
        <v>0.5</v>
      </c>
      <c r="HF86" s="534">
        <v>0.5</v>
      </c>
      <c r="HG86" s="534">
        <v>0.5</v>
      </c>
      <c r="HH86" s="534">
        <v>0.5</v>
      </c>
      <c r="HI86" s="534">
        <v>0.5</v>
      </c>
      <c r="HJ86" s="534">
        <v>0.5</v>
      </c>
      <c r="HK86" s="535">
        <v>0.5</v>
      </c>
      <c r="HL86" s="536">
        <v>0.5</v>
      </c>
      <c r="HM86" s="534">
        <v>0.5</v>
      </c>
      <c r="HN86" s="537"/>
      <c r="HO86" s="538"/>
      <c r="HP86" s="539">
        <v>0.5</v>
      </c>
      <c r="HQ86" s="540">
        <v>0.5</v>
      </c>
      <c r="HR86" s="541">
        <v>0.5</v>
      </c>
      <c r="HS86" s="541">
        <v>0.5</v>
      </c>
      <c r="HT86" s="541">
        <v>0.5</v>
      </c>
      <c r="HU86" s="541">
        <v>0.5</v>
      </c>
      <c r="HV86" s="537"/>
      <c r="HW86" s="537"/>
      <c r="HX86" s="537"/>
      <c r="HY86" s="537"/>
      <c r="HZ86" s="537"/>
      <c r="IA86" s="542"/>
      <c r="IB86" s="532"/>
      <c r="IC86" s="532"/>
      <c r="ID86" s="527">
        <f>SUM(HB86:IC86)</f>
      </c>
      <c r="IE86" s="531"/>
      <c r="IF86" s="135"/>
      <c r="IG86" s="533">
        <v>0.5</v>
      </c>
      <c r="IH86" s="534">
        <v>0.5</v>
      </c>
      <c r="II86" s="534">
        <v>0.5</v>
      </c>
      <c r="IJ86" s="534">
        <v>0.5</v>
      </c>
      <c r="IK86" s="534">
        <v>0.5</v>
      </c>
      <c r="IL86" s="534">
        <v>0.5</v>
      </c>
      <c r="IM86" s="534">
        <v>0.5</v>
      </c>
      <c r="IN86" s="535">
        <v>0.5</v>
      </c>
      <c r="IO86" s="536">
        <v>0.5</v>
      </c>
      <c r="IP86" s="534">
        <v>0.5</v>
      </c>
      <c r="IQ86" s="537"/>
      <c r="IR86" s="538"/>
      <c r="IS86" s="539">
        <v>0.5</v>
      </c>
      <c r="IT86" s="540">
        <v>0.5</v>
      </c>
      <c r="IU86" s="541">
        <v>0.5</v>
      </c>
      <c r="IV86" s="541">
        <v>0.5</v>
      </c>
      <c r="IW86" s="541">
        <v>0.5</v>
      </c>
      <c r="IX86" s="541">
        <v>0.5</v>
      </c>
      <c r="IY86" s="537"/>
      <c r="IZ86" s="537"/>
      <c r="JA86" s="537"/>
      <c r="JB86" s="537"/>
      <c r="JC86" s="537"/>
      <c r="JD86" s="543"/>
      <c r="JE86" s="532"/>
      <c r="JF86" s="532"/>
      <c r="JG86" s="527">
        <f>SUM(IE86:JF86)</f>
      </c>
      <c r="JH86" s="531"/>
      <c r="JI86" s="135"/>
      <c r="JJ86" s="533">
        <v>0.5</v>
      </c>
      <c r="JK86" s="534">
        <v>0.5</v>
      </c>
      <c r="JL86" s="534">
        <v>0.5</v>
      </c>
      <c r="JM86" s="534">
        <v>0.5</v>
      </c>
      <c r="JN86" s="534">
        <v>0.5</v>
      </c>
      <c r="JO86" s="534">
        <v>0.5</v>
      </c>
      <c r="JP86" s="534">
        <v>0.5</v>
      </c>
      <c r="JQ86" s="535">
        <v>0.5</v>
      </c>
      <c r="JR86" s="536">
        <v>0.5</v>
      </c>
      <c r="JS86" s="534">
        <v>0.5</v>
      </c>
      <c r="JT86" s="537"/>
      <c r="JU86" s="538"/>
      <c r="JV86" s="539">
        <v>0.5</v>
      </c>
      <c r="JW86" s="540">
        <v>0.5</v>
      </c>
      <c r="JX86" s="541">
        <v>0.5</v>
      </c>
      <c r="JY86" s="541">
        <v>0.5</v>
      </c>
      <c r="JZ86" s="541">
        <v>0.5</v>
      </c>
      <c r="KA86" s="541">
        <v>0.5</v>
      </c>
      <c r="KB86" s="537"/>
      <c r="KC86" s="537"/>
      <c r="KD86" s="537"/>
      <c r="KE86" s="537"/>
      <c r="KF86" s="537"/>
      <c r="KG86" s="543"/>
      <c r="KH86" s="532"/>
      <c r="KI86" s="201"/>
      <c r="KJ86" s="527">
        <f>SUM(JH86:KI86)</f>
      </c>
      <c r="KK86" s="531"/>
      <c r="KL86" s="532"/>
      <c r="KM86" s="533">
        <v>0.5</v>
      </c>
      <c r="KN86" s="534">
        <v>0.5</v>
      </c>
      <c r="KO86" s="534">
        <v>0.5</v>
      </c>
      <c r="KP86" s="534">
        <v>0.5</v>
      </c>
      <c r="KQ86" s="534">
        <v>0.5</v>
      </c>
      <c r="KR86" s="534">
        <v>0.5</v>
      </c>
      <c r="KS86" s="534">
        <v>0.5</v>
      </c>
      <c r="KT86" s="535">
        <v>0.5</v>
      </c>
      <c r="KU86" s="544"/>
      <c r="KV86" s="537"/>
      <c r="KW86" s="537"/>
      <c r="KX86" s="538"/>
      <c r="KY86" s="545" t="s">
        <v>22</v>
      </c>
      <c r="KZ86" s="546" t="s">
        <v>22</v>
      </c>
      <c r="LA86" s="546" t="s">
        <v>22</v>
      </c>
      <c r="LB86" s="546" t="s">
        <v>22</v>
      </c>
      <c r="LC86" s="546" t="s">
        <v>22</v>
      </c>
      <c r="LD86" s="546" t="s">
        <v>22</v>
      </c>
      <c r="LE86" s="546" t="s">
        <v>22</v>
      </c>
      <c r="LF86" s="546" t="s">
        <v>22</v>
      </c>
      <c r="LG86" s="537"/>
      <c r="LH86" s="537"/>
      <c r="LI86" s="537"/>
      <c r="LJ86" s="543"/>
      <c r="LK86" s="135"/>
      <c r="LL86" s="201"/>
      <c r="LM86" s="527">
        <f>SUM(KK86:LL86)</f>
      </c>
      <c r="LN86" s="531"/>
      <c r="LO86" s="532"/>
      <c r="LP86" s="545" t="s">
        <v>22</v>
      </c>
      <c r="LQ86" s="546" t="s">
        <v>22</v>
      </c>
      <c r="LR86" s="546" t="s">
        <v>22</v>
      </c>
      <c r="LS86" s="546" t="s">
        <v>22</v>
      </c>
      <c r="LT86" s="546" t="s">
        <v>22</v>
      </c>
      <c r="LU86" s="546" t="s">
        <v>22</v>
      </c>
      <c r="LV86" s="546" t="s">
        <v>22</v>
      </c>
      <c r="LW86" s="547" t="s">
        <v>22</v>
      </c>
      <c r="LX86" s="548" t="s">
        <v>22</v>
      </c>
      <c r="LY86" s="546" t="s">
        <v>22</v>
      </c>
      <c r="LZ86" s="537"/>
      <c r="MA86" s="538"/>
      <c r="MB86" s="545" t="s">
        <v>22</v>
      </c>
      <c r="MC86" s="546" t="s">
        <v>22</v>
      </c>
      <c r="MD86" s="546" t="s">
        <v>22</v>
      </c>
      <c r="ME86" s="546" t="s">
        <v>22</v>
      </c>
      <c r="MF86" s="546" t="s">
        <v>22</v>
      </c>
      <c r="MG86" s="546" t="s">
        <v>22</v>
      </c>
      <c r="MH86" s="537"/>
      <c r="MI86" s="537"/>
      <c r="MJ86" s="537"/>
      <c r="MK86" s="537"/>
      <c r="ML86" s="537"/>
      <c r="MM86" s="543"/>
      <c r="MN86" s="532"/>
      <c r="MO86" s="532"/>
      <c r="MP86" s="527">
        <f>SUM(LN86:MO86)</f>
      </c>
      <c r="MQ86" s="520"/>
      <c r="MR86" s="521"/>
      <c r="MS86" s="522"/>
      <c r="MT86" s="523"/>
      <c r="MU86" s="523"/>
      <c r="MV86" s="523"/>
      <c r="MW86" s="523"/>
      <c r="MX86" s="523"/>
      <c r="MY86" s="523"/>
      <c r="MZ86" s="524"/>
      <c r="NA86" s="525"/>
      <c r="NB86" s="523"/>
      <c r="NC86" s="523"/>
      <c r="ND86" s="526"/>
      <c r="NE86" s="522"/>
      <c r="NF86" s="523"/>
      <c r="NG86" s="523"/>
      <c r="NH86" s="523"/>
      <c r="NI86" s="523"/>
      <c r="NJ86" s="523"/>
      <c r="NK86" s="523"/>
      <c r="NL86" s="523"/>
      <c r="NM86" s="523"/>
      <c r="NN86" s="523"/>
      <c r="NO86" s="523"/>
      <c r="NP86" s="524"/>
      <c r="NQ86" s="521"/>
      <c r="NR86" s="521"/>
      <c r="NS86" s="528">
        <f>SUM(MQ86:NR86)</f>
      </c>
      <c r="NT86" s="520"/>
      <c r="NU86" s="521"/>
      <c r="NV86" s="522"/>
      <c r="NW86" s="523"/>
      <c r="NX86" s="523"/>
      <c r="NY86" s="523"/>
      <c r="NZ86" s="523"/>
      <c r="OA86" s="523"/>
      <c r="OB86" s="523"/>
      <c r="OC86" s="524"/>
      <c r="OD86" s="525"/>
      <c r="OE86" s="523"/>
      <c r="OF86" s="523"/>
      <c r="OG86" s="526"/>
      <c r="OH86" s="522"/>
      <c r="OI86" s="523"/>
      <c r="OJ86" s="523"/>
      <c r="OK86" s="523"/>
      <c r="OL86" s="523"/>
      <c r="OM86" s="523"/>
      <c r="ON86" s="523"/>
      <c r="OO86" s="523"/>
      <c r="OP86" s="523"/>
      <c r="OQ86" s="523"/>
      <c r="OR86" s="523"/>
      <c r="OS86" s="524"/>
      <c r="OT86" s="521"/>
      <c r="OU86" s="194"/>
      <c r="OV86" s="528">
        <f>SUM(NT86:OU86)</f>
      </c>
      <c r="OW86" s="529">
        <f>ID86+JG86+KJ86+LM86+MP86+NS86+OV86</f>
      </c>
      <c r="OX86" s="530">
        <f>(COUNTIF(HB86:OV86,"H")+COUNTIF(HB86:OV86,"S")+COUNTIF(HB86:OV86,"L")+COUNTIF(HB86:OV86,"E")+COUNTIF(HB86:OV86,"C"))/2</f>
      </c>
      <c r="OY86" s="527">
        <f>OW86+OX86</f>
      </c>
      <c r="OZ86" s="531"/>
      <c r="PA86" s="532"/>
      <c r="PB86" s="549"/>
      <c r="PC86" s="537"/>
      <c r="PD86" s="537"/>
      <c r="PE86" s="541">
        <v>0.5</v>
      </c>
      <c r="PF86" s="541">
        <v>0.5</v>
      </c>
      <c r="PG86" s="541">
        <v>0.5</v>
      </c>
      <c r="PH86" s="540">
        <v>0.5</v>
      </c>
      <c r="PI86" s="550">
        <v>0.5</v>
      </c>
      <c r="PJ86" s="544"/>
      <c r="PK86" s="537"/>
      <c r="PL86" s="540">
        <v>0.5</v>
      </c>
      <c r="PM86" s="551">
        <v>0.5</v>
      </c>
      <c r="PN86" s="539">
        <v>0.5</v>
      </c>
      <c r="PO86" s="540">
        <v>0.5</v>
      </c>
      <c r="PP86" s="540">
        <v>0.5</v>
      </c>
      <c r="PQ86" s="540">
        <v>0.5</v>
      </c>
      <c r="PR86" s="540">
        <v>0.5</v>
      </c>
      <c r="PS86" s="540">
        <v>0.5</v>
      </c>
      <c r="PT86" s="540">
        <v>0.5</v>
      </c>
      <c r="PU86" s="540">
        <v>0.5</v>
      </c>
      <c r="PV86" s="540">
        <v>0.5</v>
      </c>
      <c r="PW86" s="537"/>
      <c r="PX86" s="537"/>
      <c r="PY86" s="542"/>
      <c r="PZ86" s="135"/>
      <c r="QA86" s="532"/>
      <c r="QB86" s="528">
        <f>SUM(OZ86:QA86)</f>
      </c>
      <c r="QC86" s="531"/>
      <c r="QD86" s="135"/>
      <c r="QE86" s="549"/>
      <c r="QF86" s="537"/>
      <c r="QG86" s="537"/>
      <c r="QH86" s="541">
        <v>0.5</v>
      </c>
      <c r="QI86" s="541">
        <v>0.5</v>
      </c>
      <c r="QJ86" s="541">
        <v>0.5</v>
      </c>
      <c r="QK86" s="540">
        <v>0.5</v>
      </c>
      <c r="QL86" s="550">
        <v>0.5</v>
      </c>
      <c r="QM86" s="544"/>
      <c r="QN86" s="537"/>
      <c r="QO86" s="540">
        <v>0.5</v>
      </c>
      <c r="QP86" s="551">
        <v>0.5</v>
      </c>
      <c r="QQ86" s="539">
        <v>0.5</v>
      </c>
      <c r="QR86" s="540">
        <v>0.5</v>
      </c>
      <c r="QS86" s="540">
        <v>0.5</v>
      </c>
      <c r="QT86" s="540">
        <v>0.5</v>
      </c>
      <c r="QU86" s="540">
        <v>0.5</v>
      </c>
      <c r="QV86" s="540">
        <v>0.5</v>
      </c>
      <c r="QW86" s="540">
        <v>0.5</v>
      </c>
      <c r="QX86" s="540">
        <v>0.5</v>
      </c>
      <c r="QY86" s="540">
        <v>0.5</v>
      </c>
      <c r="QZ86" s="537"/>
      <c r="RA86" s="537"/>
      <c r="RB86" s="542"/>
      <c r="RC86" s="532"/>
      <c r="RD86" s="532"/>
      <c r="RE86" s="528">
        <f>SUM(QC86:RD86)</f>
      </c>
      <c r="RF86" s="531"/>
      <c r="RG86" s="532"/>
      <c r="RH86" s="549"/>
      <c r="RI86" s="537"/>
      <c r="RJ86" s="537"/>
      <c r="RK86" s="541">
        <v>0.5</v>
      </c>
      <c r="RL86" s="541">
        <v>0.5</v>
      </c>
      <c r="RM86" s="541">
        <v>0.5</v>
      </c>
      <c r="RN86" s="540">
        <v>0.5</v>
      </c>
      <c r="RO86" s="550">
        <v>0.5</v>
      </c>
      <c r="RP86" s="544"/>
      <c r="RQ86" s="537"/>
      <c r="RR86" s="540">
        <v>0.5</v>
      </c>
      <c r="RS86" s="551">
        <v>0.5</v>
      </c>
      <c r="RT86" s="539">
        <v>0.5</v>
      </c>
      <c r="RU86" s="540">
        <v>0.5</v>
      </c>
      <c r="RV86" s="540">
        <v>0.5</v>
      </c>
      <c r="RW86" s="540">
        <v>0.5</v>
      </c>
      <c r="RX86" s="540">
        <v>0.5</v>
      </c>
      <c r="RY86" s="540">
        <v>0.5</v>
      </c>
      <c r="RZ86" s="540">
        <v>0.5</v>
      </c>
      <c r="SA86" s="540">
        <v>0.5</v>
      </c>
      <c r="SB86" s="540">
        <v>0.5</v>
      </c>
      <c r="SC86" s="537"/>
      <c r="SD86" s="537"/>
      <c r="SE86" s="542"/>
      <c r="SF86" s="532"/>
      <c r="SG86" s="201"/>
      <c r="SH86" s="528">
        <f>SUM(RF86:SG86)</f>
      </c>
      <c r="SI86" s="531"/>
      <c r="SJ86" s="135"/>
      <c r="SK86" s="549"/>
      <c r="SL86" s="537"/>
      <c r="SM86" s="537"/>
      <c r="SN86" s="541">
        <v>0.5</v>
      </c>
      <c r="SO86" s="541">
        <v>0.5</v>
      </c>
      <c r="SP86" s="541">
        <v>0.5</v>
      </c>
      <c r="SQ86" s="540">
        <v>0.5</v>
      </c>
      <c r="SR86" s="550">
        <v>0.5</v>
      </c>
      <c r="SS86" s="544"/>
      <c r="ST86" s="537"/>
      <c r="SU86" s="540">
        <v>0.5</v>
      </c>
      <c r="SV86" s="551">
        <v>0.5</v>
      </c>
      <c r="SW86" s="539">
        <v>0.5</v>
      </c>
      <c r="SX86" s="540">
        <v>0.5</v>
      </c>
      <c r="SY86" s="540">
        <v>0.5</v>
      </c>
      <c r="SZ86" s="540">
        <v>0.5</v>
      </c>
      <c r="TA86" s="540">
        <v>0.5</v>
      </c>
      <c r="TB86" s="540">
        <v>0.5</v>
      </c>
      <c r="TC86" s="540">
        <v>0.5</v>
      </c>
      <c r="TD86" s="540">
        <v>0.5</v>
      </c>
      <c r="TE86" s="540">
        <v>0.5</v>
      </c>
      <c r="TF86" s="537"/>
      <c r="TG86" s="537"/>
      <c r="TH86" s="542"/>
      <c r="TI86" s="532"/>
      <c r="TJ86" s="532"/>
      <c r="TK86" s="528">
        <f>SUM(SI86:TJ86)</f>
      </c>
      <c r="TL86" s="531"/>
      <c r="TM86" s="532"/>
      <c r="TN86" s="549"/>
      <c r="TO86" s="537"/>
      <c r="TP86" s="537"/>
      <c r="TQ86" s="541">
        <v>0.5</v>
      </c>
      <c r="TR86" s="541">
        <v>0.5</v>
      </c>
      <c r="TS86" s="541">
        <v>0.5</v>
      </c>
      <c r="TT86" s="540">
        <v>0.5</v>
      </c>
      <c r="TU86" s="550">
        <v>0.5</v>
      </c>
      <c r="TV86" s="544"/>
      <c r="TW86" s="537"/>
      <c r="TX86" s="540">
        <v>0.5</v>
      </c>
      <c r="TY86" s="551">
        <v>0.5</v>
      </c>
      <c r="TZ86" s="539">
        <v>0.5</v>
      </c>
      <c r="UA86" s="540">
        <v>0.5</v>
      </c>
      <c r="UB86" s="540">
        <v>0.5</v>
      </c>
      <c r="UC86" s="540">
        <v>0.5</v>
      </c>
      <c r="UD86" s="540">
        <v>0.5</v>
      </c>
      <c r="UE86" s="540">
        <v>0.5</v>
      </c>
      <c r="UF86" s="540">
        <v>0.5</v>
      </c>
      <c r="UG86" s="540">
        <v>0.5</v>
      </c>
      <c r="UH86" s="540">
        <v>0.5</v>
      </c>
      <c r="UI86" s="537"/>
      <c r="UJ86" s="537"/>
      <c r="UK86" s="542"/>
      <c r="UL86" s="532"/>
      <c r="UM86" s="532"/>
      <c r="UN86" s="528">
        <f>SUM(TL86:UM86)</f>
      </c>
      <c r="UO86" s="520"/>
      <c r="UP86" s="122"/>
      <c r="UQ86" s="522"/>
      <c r="UR86" s="523"/>
      <c r="US86" s="523"/>
      <c r="UT86" s="523"/>
      <c r="UU86" s="523"/>
      <c r="UV86" s="523"/>
      <c r="UW86" s="523"/>
      <c r="UX86" s="524"/>
      <c r="UY86" s="525"/>
      <c r="UZ86" s="523"/>
      <c r="VA86" s="523"/>
      <c r="VB86" s="526"/>
      <c r="VC86" s="522"/>
      <c r="VD86" s="523"/>
      <c r="VE86" s="523"/>
      <c r="VF86" s="523"/>
      <c r="VG86" s="523"/>
      <c r="VH86" s="523"/>
      <c r="VI86" s="523"/>
      <c r="VJ86" s="523"/>
      <c r="VK86" s="523"/>
      <c r="VL86" s="523"/>
      <c r="VM86" s="523"/>
      <c r="VN86" s="524"/>
      <c r="VO86" s="122"/>
      <c r="VP86" s="194"/>
      <c r="VQ86" s="528">
        <f>SUM(UO86:VP86)</f>
      </c>
      <c r="VR86" s="520"/>
      <c r="VS86" s="521"/>
      <c r="VT86" s="522"/>
      <c r="VU86" s="523"/>
      <c r="VV86" s="523"/>
      <c r="VW86" s="523"/>
      <c r="VX86" s="523"/>
      <c r="VY86" s="523"/>
      <c r="VZ86" s="523"/>
      <c r="WA86" s="524"/>
      <c r="WB86" s="525"/>
      <c r="WC86" s="523"/>
      <c r="WD86" s="523"/>
      <c r="WE86" s="526"/>
      <c r="WF86" s="522"/>
      <c r="WG86" s="523"/>
      <c r="WH86" s="523"/>
      <c r="WI86" s="523"/>
      <c r="WJ86" s="523"/>
      <c r="WK86" s="523"/>
      <c r="WL86" s="523"/>
      <c r="WM86" s="523"/>
      <c r="WN86" s="523"/>
      <c r="WO86" s="523"/>
      <c r="WP86" s="523"/>
      <c r="WQ86" s="524"/>
      <c r="WR86" s="521"/>
      <c r="WS86" s="521"/>
      <c r="WT86" s="528">
        <f>SUM(VR86:WS86)</f>
      </c>
      <c r="WU86" s="529">
        <f>QB86+RE86+SH86+TK86+UN86+VQ86+WT86</f>
      </c>
      <c r="WV86" s="530">
        <f>(COUNTIF(OZ86:WT86,"H")+COUNTIF(OZ86:WT86,"S")+COUNTIF(OZ86:WT86,"L")+COUNTIF(OZ86:WT86,"E")+COUNTIF(OZ86:WT86,"C"))/2</f>
      </c>
      <c r="WW86" s="527">
        <f>WU86+WV86</f>
      </c>
      <c r="WX86" s="531"/>
      <c r="WY86" s="532"/>
      <c r="WZ86" s="549"/>
      <c r="XA86" s="537"/>
      <c r="XB86" s="537"/>
      <c r="XC86" s="541">
        <v>0.5</v>
      </c>
      <c r="XD86" s="541">
        <v>0.5</v>
      </c>
      <c r="XE86" s="541">
        <v>0.5</v>
      </c>
      <c r="XF86" s="540">
        <v>0.5</v>
      </c>
      <c r="XG86" s="550">
        <v>0.5</v>
      </c>
      <c r="XH86" s="544"/>
      <c r="XI86" s="537"/>
      <c r="XJ86" s="534">
        <v>0.5</v>
      </c>
      <c r="XK86" s="552">
        <v>0.5</v>
      </c>
      <c r="XL86" s="553">
        <v>0.5</v>
      </c>
      <c r="XM86" s="534">
        <v>0.5</v>
      </c>
      <c r="XN86" s="534">
        <v>0.5</v>
      </c>
      <c r="XO86" s="534">
        <v>0.5</v>
      </c>
      <c r="XP86" s="534">
        <v>0.5</v>
      </c>
      <c r="XQ86" s="534">
        <v>0.5</v>
      </c>
      <c r="XR86" s="534">
        <v>0.5</v>
      </c>
      <c r="XS86" s="534">
        <v>0.5</v>
      </c>
      <c r="XT86" s="534">
        <v>0.5</v>
      </c>
      <c r="XU86" s="537"/>
      <c r="XV86" s="537"/>
      <c r="XW86" s="543"/>
      <c r="XX86" s="532"/>
      <c r="XY86" s="201"/>
      <c r="XZ86" s="527">
        <f>SUM(WX86:XY86)</f>
      </c>
      <c r="YA86" s="531"/>
      <c r="YB86" s="532"/>
      <c r="YC86" s="549"/>
      <c r="YD86" s="537"/>
      <c r="YE86" s="537"/>
      <c r="YF86" s="541">
        <v>0.5</v>
      </c>
      <c r="YG86" s="541">
        <v>0.5</v>
      </c>
      <c r="YH86" s="541">
        <v>0.5</v>
      </c>
      <c r="YI86" s="540">
        <v>0.5</v>
      </c>
      <c r="YJ86" s="550">
        <v>0.5</v>
      </c>
      <c r="YK86" s="544"/>
      <c r="YL86" s="537"/>
      <c r="YM86" s="534">
        <v>0.5</v>
      </c>
      <c r="YN86" s="552">
        <v>0.5</v>
      </c>
      <c r="YO86" s="553">
        <v>0.5</v>
      </c>
      <c r="YP86" s="534">
        <v>0.5</v>
      </c>
      <c r="YQ86" s="534">
        <v>0.5</v>
      </c>
      <c r="YR86" s="534">
        <v>0.5</v>
      </c>
      <c r="YS86" s="534">
        <v>0.5</v>
      </c>
      <c r="YT86" s="534">
        <v>0.5</v>
      </c>
      <c r="YU86" s="534">
        <v>0.5</v>
      </c>
      <c r="YV86" s="534">
        <v>0.5</v>
      </c>
      <c r="YW86" s="534">
        <v>0.5</v>
      </c>
      <c r="YX86" s="537"/>
      <c r="YY86" s="537"/>
      <c r="YZ86" s="543"/>
      <c r="ZA86" s="532"/>
      <c r="ZB86" s="201"/>
      <c r="ZC86" s="528">
        <f>SUM(YA86:ZB86)</f>
      </c>
      <c r="ZD86" s="531"/>
      <c r="ZE86" s="135"/>
      <c r="ZF86" s="549"/>
      <c r="ZG86" s="537"/>
      <c r="ZH86" s="537"/>
      <c r="ZI86" s="541">
        <v>0.5</v>
      </c>
      <c r="ZJ86" s="541">
        <v>0.5</v>
      </c>
      <c r="ZK86" s="541">
        <v>0.5</v>
      </c>
      <c r="ZL86" s="540">
        <v>0.5</v>
      </c>
      <c r="ZM86" s="550">
        <v>0.5</v>
      </c>
      <c r="ZN86" s="544"/>
      <c r="ZO86" s="537"/>
      <c r="ZP86" s="534">
        <v>0.5</v>
      </c>
      <c r="ZQ86" s="552">
        <v>0.5</v>
      </c>
      <c r="ZR86" s="553">
        <v>0.5</v>
      </c>
      <c r="ZS86" s="534">
        <v>0.5</v>
      </c>
      <c r="ZT86" s="534">
        <v>0.5</v>
      </c>
      <c r="ZU86" s="534">
        <v>0.5</v>
      </c>
      <c r="ZV86" s="534">
        <v>0.5</v>
      </c>
      <c r="ZW86" s="534">
        <v>0.5</v>
      </c>
      <c r="ZX86" s="534">
        <v>0.5</v>
      </c>
      <c r="ZY86" s="534">
        <v>0.5</v>
      </c>
      <c r="ZZ86" s="534">
        <v>0.5</v>
      </c>
      <c r="AAA86" s="537"/>
      <c r="AAB86" s="537"/>
      <c r="AAC86" s="543"/>
      <c r="AAD86" s="532"/>
      <c r="AAE86" s="201"/>
      <c r="AAF86" s="527">
        <f>SUM(ZD86:AAE86)</f>
      </c>
      <c r="AAG86" s="531"/>
      <c r="AAH86" s="532"/>
      <c r="AAI86" s="549"/>
      <c r="AAJ86" s="537"/>
      <c r="AAK86" s="537"/>
      <c r="AAL86" s="541">
        <v>0.5</v>
      </c>
      <c r="AAM86" s="541">
        <v>0.5</v>
      </c>
      <c r="AAN86" s="541">
        <v>0.5</v>
      </c>
      <c r="AAO86" s="540">
        <v>0.5</v>
      </c>
      <c r="AAP86" s="550">
        <v>0.5</v>
      </c>
      <c r="AAQ86" s="544"/>
      <c r="AAR86" s="537"/>
      <c r="AAS86" s="534">
        <v>0.5</v>
      </c>
      <c r="AAT86" s="552">
        <v>0.5</v>
      </c>
      <c r="AAU86" s="553">
        <v>0.5</v>
      </c>
      <c r="AAV86" s="534">
        <v>0.5</v>
      </c>
      <c r="AAW86" s="534">
        <v>0.5</v>
      </c>
      <c r="AAX86" s="534">
        <v>0.5</v>
      </c>
      <c r="AAY86" s="534">
        <v>0.5</v>
      </c>
      <c r="AAZ86" s="534">
        <v>0.5</v>
      </c>
      <c r="ABA86" s="534">
        <v>0.5</v>
      </c>
      <c r="ABB86" s="534">
        <v>0.5</v>
      </c>
      <c r="ABC86" s="534">
        <v>0.5</v>
      </c>
      <c r="ABD86" s="537"/>
      <c r="ABE86" s="537"/>
      <c r="ABF86" s="542"/>
      <c r="ABG86" s="532"/>
      <c r="ABH86" s="201"/>
      <c r="ABI86" s="527">
        <f>SUM(AAG86:ABH86)</f>
      </c>
      <c r="ABJ86" s="531"/>
      <c r="ABK86" s="532"/>
      <c r="ABL86" s="549"/>
      <c r="ABM86" s="537"/>
      <c r="ABN86" s="537"/>
      <c r="ABO86" s="541">
        <v>0.5</v>
      </c>
      <c r="ABP86" s="541">
        <v>0.5</v>
      </c>
      <c r="ABQ86" s="541">
        <v>0.5</v>
      </c>
      <c r="ABR86" s="540">
        <v>0.5</v>
      </c>
      <c r="ABS86" s="550">
        <v>0.5</v>
      </c>
      <c r="ABT86" s="544"/>
      <c r="ABU86" s="537"/>
      <c r="ABV86" s="534">
        <v>0.5</v>
      </c>
      <c r="ABW86" s="551">
        <v>0.5</v>
      </c>
      <c r="ABX86" s="539">
        <v>0.5</v>
      </c>
      <c r="ABY86" s="540">
        <v>0.5</v>
      </c>
      <c r="ABZ86" s="540">
        <v>0.5</v>
      </c>
      <c r="ACA86" s="540">
        <v>0.5</v>
      </c>
      <c r="ACB86" s="540">
        <v>0.5</v>
      </c>
      <c r="ACC86" s="540">
        <v>0.5</v>
      </c>
      <c r="ACD86" s="540">
        <v>0.5</v>
      </c>
      <c r="ACE86" s="540">
        <v>0.5</v>
      </c>
      <c r="ACF86" s="540">
        <v>0.5</v>
      </c>
      <c r="ACG86" s="537"/>
      <c r="ACH86" s="537"/>
      <c r="ACI86" s="542"/>
      <c r="ACJ86" s="532"/>
      <c r="ACK86" s="532"/>
      <c r="ACL86" s="527">
        <f>SUM(ABJ86:ACK86)</f>
      </c>
      <c r="ACM86" s="520"/>
      <c r="ACN86" s="122"/>
      <c r="ACO86" s="522"/>
      <c r="ACP86" s="523"/>
      <c r="ACQ86" s="523"/>
      <c r="ACR86" s="523"/>
      <c r="ACS86" s="523"/>
      <c r="ACT86" s="523"/>
      <c r="ACU86" s="523"/>
      <c r="ACV86" s="524"/>
      <c r="ACW86" s="525"/>
      <c r="ACX86" s="523"/>
      <c r="ACY86" s="523"/>
      <c r="ACZ86" s="526"/>
      <c r="ADA86" s="522"/>
      <c r="ADB86" s="523"/>
      <c r="ADC86" s="523"/>
      <c r="ADD86" s="523"/>
      <c r="ADE86" s="523"/>
      <c r="ADF86" s="523"/>
      <c r="ADG86" s="523"/>
      <c r="ADH86" s="523"/>
      <c r="ADI86" s="523"/>
      <c r="ADJ86" s="523"/>
      <c r="ADK86" s="523"/>
      <c r="ADL86" s="524"/>
      <c r="ADM86" s="521"/>
      <c r="ADN86" s="521"/>
      <c r="ADO86" s="528">
        <f>SUM(ACM86:ADN86)</f>
      </c>
      <c r="ADP86" s="520"/>
      <c r="ADQ86" s="122"/>
      <c r="ADR86" s="522"/>
      <c r="ADS86" s="523"/>
      <c r="ADT86" s="523"/>
      <c r="ADU86" s="523"/>
      <c r="ADV86" s="523"/>
      <c r="ADW86" s="523"/>
      <c r="ADX86" s="523"/>
      <c r="ADY86" s="524"/>
      <c r="ADZ86" s="525"/>
      <c r="AEA86" s="523"/>
      <c r="AEB86" s="523"/>
      <c r="AEC86" s="526"/>
      <c r="AED86" s="522"/>
      <c r="AEE86" s="523"/>
      <c r="AEF86" s="523"/>
      <c r="AEG86" s="523"/>
      <c r="AEH86" s="523"/>
      <c r="AEI86" s="523"/>
      <c r="AEJ86" s="523"/>
      <c r="AEK86" s="523"/>
      <c r="AEL86" s="523"/>
      <c r="AEM86" s="523"/>
      <c r="AEN86" s="523"/>
      <c r="AEO86" s="524"/>
      <c r="AEP86" s="122"/>
      <c r="AEQ86" s="521"/>
      <c r="AER86" s="528">
        <f>SUM(ADP86:AEQ86)</f>
      </c>
      <c r="AES86" s="529">
        <f>XZ86+ZC86+AAF86+ABI86+ACL86+ADO86+AER86</f>
      </c>
      <c r="AET86" s="530">
        <f>(COUNTIF(WX86:AER86,"H")+COUNTIF(WX86:AER86,"S")+COUNTIF(WX86:AER86,"L")+COUNTIF(WX86:AER86,"E")+COUNTIF(WX86:AER86,"C"))/2</f>
      </c>
      <c r="AEU86" s="527">
        <f>AES86+AET86</f>
      </c>
      <c r="AEV86" s="531"/>
      <c r="AEW86" s="532"/>
      <c r="AEX86" s="533">
        <v>0.5</v>
      </c>
      <c r="AEY86" s="541">
        <v>0.5</v>
      </c>
      <c r="AEZ86" s="541">
        <v>0.5</v>
      </c>
      <c r="AFA86" s="541">
        <v>0.5</v>
      </c>
      <c r="AFB86" s="541">
        <v>0.5</v>
      </c>
      <c r="AFC86" s="541">
        <v>0.5</v>
      </c>
      <c r="AFD86" s="540">
        <v>0.5</v>
      </c>
      <c r="AFE86" s="550">
        <v>0.5</v>
      </c>
      <c r="AFF86" s="554">
        <v>0.5</v>
      </c>
      <c r="AFG86" s="540">
        <v>0.5</v>
      </c>
      <c r="AFH86" s="537"/>
      <c r="AFI86" s="538"/>
      <c r="AFJ86" s="539">
        <v>0.5</v>
      </c>
      <c r="AFK86" s="540">
        <v>0.5</v>
      </c>
      <c r="AFL86" s="541">
        <v>0.5</v>
      </c>
      <c r="AFM86" s="541">
        <v>0.5</v>
      </c>
      <c r="AFN86" s="541">
        <v>0.5</v>
      </c>
      <c r="AFO86" s="541">
        <v>0.5</v>
      </c>
      <c r="AFP86" s="537"/>
      <c r="AFQ86" s="537"/>
      <c r="AFR86" s="537"/>
      <c r="AFS86" s="537"/>
      <c r="AFT86" s="537"/>
      <c r="AFU86" s="542"/>
      <c r="AFV86" s="532"/>
      <c r="AFW86" s="532"/>
      <c r="AFX86" s="527">
        <f>SUM(AEV86:AFW86)</f>
      </c>
      <c r="AFY86" s="531"/>
      <c r="AFZ86" s="532"/>
      <c r="AGA86" s="533">
        <v>0.5</v>
      </c>
      <c r="AGB86" s="541">
        <v>0.5</v>
      </c>
      <c r="AGC86" s="541">
        <v>0.5</v>
      </c>
      <c r="AGD86" s="541">
        <v>0.5</v>
      </c>
      <c r="AGE86" s="541">
        <v>0.5</v>
      </c>
      <c r="AGF86" s="541">
        <v>0.5</v>
      </c>
      <c r="AGG86" s="540">
        <v>0.5</v>
      </c>
      <c r="AGH86" s="550">
        <v>0.5</v>
      </c>
      <c r="AGI86" s="554">
        <v>0.5</v>
      </c>
      <c r="AGJ86" s="540">
        <v>0.5</v>
      </c>
      <c r="AGK86" s="537"/>
      <c r="AGL86" s="538"/>
      <c r="AGM86" s="539">
        <v>0.5</v>
      </c>
      <c r="AGN86" s="540">
        <v>0.5</v>
      </c>
      <c r="AGO86" s="541">
        <v>0.5</v>
      </c>
      <c r="AGP86" s="541">
        <v>0.5</v>
      </c>
      <c r="AGQ86" s="541">
        <v>0.5</v>
      </c>
      <c r="AGR86" s="541">
        <v>0.5</v>
      </c>
      <c r="AGS86" s="537"/>
      <c r="AGT86" s="537"/>
      <c r="AGU86" s="537"/>
      <c r="AGV86" s="537"/>
      <c r="AGW86" s="537"/>
      <c r="AGX86" s="542"/>
      <c r="AGY86" s="532"/>
      <c r="AGZ86" s="532"/>
      <c r="AHA86" s="527">
        <f>SUM(AFY86:AGZ86)</f>
      </c>
      <c r="AHB86" s="531"/>
      <c r="AHC86" s="135"/>
      <c r="AHD86" s="533">
        <v>0.5</v>
      </c>
      <c r="AHE86" s="541">
        <v>0.5</v>
      </c>
      <c r="AHF86" s="541">
        <v>0.5</v>
      </c>
      <c r="AHG86" s="541">
        <v>0.5</v>
      </c>
      <c r="AHH86" s="541">
        <v>0.5</v>
      </c>
      <c r="AHI86" s="541">
        <v>0.5</v>
      </c>
      <c r="AHJ86" s="540">
        <v>0.5</v>
      </c>
      <c r="AHK86" s="550">
        <v>0.5</v>
      </c>
      <c r="AHL86" s="554">
        <v>0.5</v>
      </c>
      <c r="AHM86" s="540">
        <v>0.5</v>
      </c>
      <c r="AHN86" s="537"/>
      <c r="AHO86" s="538"/>
      <c r="AHP86" s="539">
        <v>0.5</v>
      </c>
      <c r="AHQ86" s="540">
        <v>0.5</v>
      </c>
      <c r="AHR86" s="541">
        <v>0.5</v>
      </c>
      <c r="AHS86" s="541">
        <v>0.5</v>
      </c>
      <c r="AHT86" s="541">
        <v>0.5</v>
      </c>
      <c r="AHU86" s="541">
        <v>0.5</v>
      </c>
      <c r="AHV86" s="537"/>
      <c r="AHW86" s="537"/>
      <c r="AHX86" s="537"/>
      <c r="AHY86" s="537"/>
      <c r="AHZ86" s="537"/>
      <c r="AIA86" s="542"/>
      <c r="AIB86" s="532"/>
      <c r="AIC86" s="532"/>
      <c r="AID86" s="527">
        <f>SUM(AHB86:AIC86)</f>
      </c>
      <c r="AIE86" s="531"/>
      <c r="AIF86" s="135"/>
      <c r="AIG86" s="533">
        <v>0.5</v>
      </c>
      <c r="AIH86" s="541">
        <v>0.5</v>
      </c>
      <c r="AII86" s="541">
        <v>0.5</v>
      </c>
      <c r="AIJ86" s="541">
        <v>0.5</v>
      </c>
      <c r="AIK86" s="541">
        <v>0.5</v>
      </c>
      <c r="AIL86" s="541">
        <v>0.5</v>
      </c>
      <c r="AIM86" s="540">
        <v>0.5</v>
      </c>
      <c r="AIN86" s="550">
        <v>0.5</v>
      </c>
      <c r="AIO86" s="554">
        <v>0.5</v>
      </c>
      <c r="AIP86" s="540">
        <v>0.5</v>
      </c>
      <c r="AIQ86" s="537"/>
      <c r="AIR86" s="538"/>
      <c r="AIS86" s="539">
        <v>0.5</v>
      </c>
      <c r="AIT86" s="540">
        <v>0.5</v>
      </c>
      <c r="AIU86" s="541">
        <v>0.5</v>
      </c>
      <c r="AIV86" s="541">
        <v>0.5</v>
      </c>
      <c r="AIW86" s="541">
        <v>0.5</v>
      </c>
      <c r="AIX86" s="541">
        <v>0.5</v>
      </c>
      <c r="AIY86" s="537"/>
      <c r="AIZ86" s="537"/>
      <c r="AJA86" s="537"/>
      <c r="AJB86" s="537"/>
      <c r="AJC86" s="537"/>
      <c r="AJD86" s="542"/>
      <c r="AJE86" s="532"/>
      <c r="AJF86" s="532"/>
      <c r="AJG86" s="527">
        <f>SUM(AIE86:AJF86)</f>
      </c>
      <c r="AJH86" s="531"/>
      <c r="AJI86" s="532"/>
      <c r="AJJ86" s="533">
        <v>0.5</v>
      </c>
      <c r="AJK86" s="541">
        <v>0.5</v>
      </c>
      <c r="AJL86" s="541">
        <v>0.5</v>
      </c>
      <c r="AJM86" s="541">
        <v>0.5</v>
      </c>
      <c r="AJN86" s="541">
        <v>0.5</v>
      </c>
      <c r="AJO86" s="541">
        <v>0.5</v>
      </c>
      <c r="AJP86" s="540">
        <v>0.5</v>
      </c>
      <c r="AJQ86" s="550">
        <v>0.5</v>
      </c>
      <c r="AJR86" s="554">
        <v>0.5</v>
      </c>
      <c r="AJS86" s="540">
        <v>0.5</v>
      </c>
      <c r="AJT86" s="537"/>
      <c r="AJU86" s="538"/>
      <c r="AJV86" s="539">
        <v>0.5</v>
      </c>
      <c r="AJW86" s="540">
        <v>0.5</v>
      </c>
      <c r="AJX86" s="541">
        <v>0.5</v>
      </c>
      <c r="AJY86" s="541">
        <v>0.5</v>
      </c>
      <c r="AJZ86" s="541">
        <v>0.5</v>
      </c>
      <c r="AKA86" s="541">
        <v>0.5</v>
      </c>
      <c r="AKB86" s="537"/>
      <c r="AKC86" s="537"/>
      <c r="AKD86" s="537"/>
      <c r="AKE86" s="537"/>
      <c r="AKF86" s="537"/>
      <c r="AKG86" s="542"/>
      <c r="AKH86" s="532"/>
      <c r="AKI86" s="532"/>
      <c r="AKJ86" s="527">
        <f>SUM(AJH86:AKI86)</f>
      </c>
      <c r="AKK86" s="520"/>
      <c r="AKL86" s="122"/>
      <c r="AKM86" s="522"/>
      <c r="AKN86" s="523"/>
      <c r="AKO86" s="523"/>
      <c r="AKP86" s="523"/>
      <c r="AKQ86" s="523"/>
      <c r="AKR86" s="523"/>
      <c r="AKS86" s="523"/>
      <c r="AKT86" s="524"/>
      <c r="AKU86" s="525"/>
      <c r="AKV86" s="523"/>
      <c r="AKW86" s="523"/>
      <c r="AKX86" s="526"/>
      <c r="AKY86" s="522"/>
      <c r="AKZ86" s="523"/>
      <c r="ALA86" s="523"/>
      <c r="ALB86" s="523"/>
      <c r="ALC86" s="523"/>
      <c r="ALD86" s="523"/>
      <c r="ALE86" s="523"/>
      <c r="ALF86" s="523"/>
      <c r="ALG86" s="523"/>
      <c r="ALH86" s="523"/>
      <c r="ALI86" s="523"/>
      <c r="ALJ86" s="524"/>
      <c r="ALK86" s="521"/>
      <c r="ALL86" s="521"/>
      <c r="ALM86" s="528">
        <f>SUM(AKK86:ALL86)</f>
      </c>
      <c r="ALN86" s="520"/>
      <c r="ALO86" s="521"/>
      <c r="ALP86" s="522"/>
      <c r="ALQ86" s="523"/>
      <c r="ALR86" s="523"/>
      <c r="ALS86" s="523"/>
      <c r="ALT86" s="523"/>
      <c r="ALU86" s="523"/>
      <c r="ALV86" s="523"/>
      <c r="ALW86" s="524"/>
      <c r="ALX86" s="525"/>
      <c r="ALY86" s="523"/>
      <c r="ALZ86" s="523"/>
      <c r="AMA86" s="526"/>
      <c r="AMB86" s="522"/>
      <c r="AMC86" s="523"/>
      <c r="AMD86" s="523"/>
      <c r="AME86" s="523"/>
      <c r="AMF86" s="523"/>
      <c r="AMG86" s="523"/>
      <c r="AMH86" s="523"/>
      <c r="AMI86" s="523"/>
      <c r="AMJ86" s="523"/>
      <c r="AMK86" s="523"/>
      <c r="AML86" s="523"/>
      <c r="AMM86" s="524"/>
      <c r="AMN86" s="122"/>
      <c r="AMO86" s="194"/>
      <c r="AMP86" s="528">
        <f>SUM(ALN86:AMO86)</f>
      </c>
      <c r="AMQ86" s="529">
        <f>AFX86+AHA86+AID86+AJG86+AKJ86+ALM86+AMP86</f>
      </c>
      <c r="AMR86" s="530">
        <f>(COUNTIF(AEV86:AMP86,"H")+COUNTIF(AEV86:AMP86,"S")+COUNTIF(AEV86:AMP86,"L")+COUNTIF(AEV86:AMP86,"E")+COUNTIF(AEV86:AMP86,"C"))/2</f>
      </c>
      <c r="AMS86" s="527">
        <f>AMQ86+AMR86</f>
      </c>
      <c r="AMT86" s="4"/>
      <c r="AMU86" s="4"/>
      <c r="AMV86" s="4"/>
      <c r="AMW86" s="4"/>
      <c r="AMX86" s="4"/>
      <c r="AMY86" s="4"/>
      <c r="AMZ86" s="4"/>
      <c r="ANA86" s="4"/>
      <c r="ANB86" s="4"/>
      <c r="ANC86" s="4"/>
      <c r="AND86" s="4"/>
      <c r="ANE86" s="4"/>
      <c r="ANF86" s="4"/>
      <c r="ANG86" s="4"/>
      <c r="ANH86" s="4"/>
      <c r="ANI86" s="4"/>
      <c r="ANJ86" s="13"/>
      <c r="ANK86" s="13"/>
      <c r="ANL86" s="4"/>
      <c r="ANM86" s="4"/>
      <c r="ANN86" s="4"/>
      <c r="ANO86" s="4"/>
      <c r="ANP86" s="4"/>
      <c r="ANQ86" s="4"/>
      <c r="ANR86" s="4"/>
      <c r="ANS86" s="4"/>
      <c r="ANT86" s="4"/>
      <c r="ANU86" s="4"/>
      <c r="ANV86" s="4"/>
      <c r="ANW86" s="4"/>
      <c r="ANX86" s="4"/>
      <c r="ANY86" s="4"/>
      <c r="ANZ86" s="4"/>
      <c r="AOA86" s="4"/>
      <c r="AOB86" s="4"/>
      <c r="AOC86" s="4"/>
      <c r="AOD86" s="4"/>
      <c r="AOE86" s="4"/>
      <c r="AOF86" s="4"/>
      <c r="AOG86" s="4"/>
      <c r="AOH86" s="4"/>
      <c r="AOI86" s="4"/>
      <c r="AOJ86" s="4"/>
      <c r="AOK86" s="4"/>
      <c r="AOL86" s="4"/>
      <c r="AOM86" s="4"/>
      <c r="AON86" s="4"/>
      <c r="AOO86" s="4"/>
      <c r="AOP86" s="4"/>
      <c r="AOQ86" s="4"/>
      <c r="AOR86" s="4"/>
      <c r="AOS86" s="4"/>
      <c r="AOT86" s="4"/>
      <c r="AOU86" s="4"/>
      <c r="AOV86" s="4"/>
      <c r="AOW86" s="4"/>
      <c r="AOX86" s="4"/>
      <c r="AOY86" s="4"/>
      <c r="AOZ86" s="4"/>
      <c r="APA86" s="4"/>
      <c r="APB86" s="4"/>
      <c r="APC86" s="4"/>
      <c r="APD86" s="4"/>
      <c r="APE86" s="4"/>
      <c r="APF86" s="4"/>
      <c r="APG86" s="4"/>
      <c r="APH86" s="4"/>
      <c r="API86" s="4"/>
      <c r="APJ86" s="4"/>
      <c r="APK86" s="4"/>
      <c r="APL86" s="4"/>
      <c r="APM86" s="4"/>
      <c r="APN86" s="4"/>
      <c r="APO86" s="4"/>
      <c r="APP86" s="4"/>
      <c r="APQ86" s="4"/>
      <c r="APR86" s="4"/>
      <c r="APS86" s="4"/>
      <c r="APT86" s="4"/>
      <c r="APU86" s="4"/>
      <c r="APV86" s="4"/>
      <c r="APW86" s="4"/>
      <c r="APX86" s="4"/>
      <c r="APY86" s="4"/>
      <c r="APZ86" s="4"/>
      <c r="AQA86" s="4"/>
      <c r="AQB86" s="4"/>
      <c r="AQC86" s="4"/>
      <c r="AQD86" s="4"/>
      <c r="AQE86" s="4"/>
      <c r="AQF86" s="4"/>
      <c r="AQG86" s="4"/>
      <c r="AQH86" s="4"/>
      <c r="AQI86" s="4"/>
      <c r="AQJ86" s="4"/>
      <c r="AQK86" s="4"/>
      <c r="AQL86" s="4"/>
      <c r="AQM86" s="4"/>
      <c r="AQN86" s="4"/>
      <c r="AQO86" s="4"/>
      <c r="AQP86" s="4"/>
      <c r="AQQ86" s="4"/>
      <c r="AQR86" s="4"/>
      <c r="AQS86" s="4"/>
      <c r="AQT86" s="4"/>
      <c r="AQU86" s="4"/>
      <c r="AQV86" s="4"/>
      <c r="AQW86" s="4"/>
      <c r="AQX86" s="4"/>
      <c r="AQY86" s="4"/>
      <c r="AQZ86" s="4"/>
      <c r="ARA86" s="4"/>
      <c r="ARB86" s="4"/>
      <c r="ARC86" s="4"/>
      <c r="ARD86" s="4"/>
      <c r="ARE86" s="4"/>
      <c r="ARF86" s="4"/>
      <c r="ARG86" s="4"/>
      <c r="ARH86" s="4"/>
      <c r="ARI86" s="4"/>
      <c r="ARJ86" s="4"/>
      <c r="ARK86" s="4"/>
      <c r="ARL86" s="4"/>
      <c r="ARM86" s="4"/>
      <c r="ARN86" s="4"/>
      <c r="ARO86" s="4"/>
      <c r="ARP86" s="4"/>
      <c r="ARQ86" s="4"/>
      <c r="ARR86" s="4"/>
      <c r="ARS86" s="4"/>
      <c r="ART86" s="4"/>
      <c r="ARU86" s="4"/>
      <c r="ARV86" s="4"/>
      <c r="ARW86" s="4"/>
      <c r="ARX86" s="4"/>
      <c r="ARY86" s="4"/>
      <c r="ARZ86" s="4"/>
      <c r="ASA86" s="4"/>
      <c r="ASB86" s="4"/>
      <c r="ASC86" s="4"/>
      <c r="ASD86" s="4"/>
      <c r="ASE86" s="4"/>
      <c r="ASF86" s="4"/>
      <c r="ASG86" s="4"/>
      <c r="ASH86" s="4"/>
      <c r="ASI86" s="4"/>
      <c r="ASJ86" s="4"/>
      <c r="ASK86" s="4"/>
      <c r="ASL86" s="4"/>
      <c r="ASM86" s="4"/>
      <c r="ASN86" s="4"/>
      <c r="ASO86" s="4"/>
      <c r="ASP86" s="4"/>
      <c r="ASQ86" s="4"/>
      <c r="ASR86" s="4"/>
      <c r="ASS86" s="4"/>
      <c r="AST86" s="4"/>
      <c r="ASU86" s="4"/>
    </row>
    <row r="87" ht="15" customHeight="1" spans="1:1191" x14ac:dyDescent="0.25">
      <c r="A87" s="118"/>
      <c r="B87" s="403" t="s">
        <v>125</v>
      </c>
      <c r="C87" s="289" t="s">
        <v>55</v>
      </c>
      <c r="D87" s="121"/>
      <c r="E87" s="122"/>
      <c r="F87" s="123"/>
      <c r="G87" s="124"/>
      <c r="H87" s="124"/>
      <c r="I87" s="124"/>
      <c r="J87" s="124"/>
      <c r="K87" s="124"/>
      <c r="L87" s="124"/>
      <c r="M87" s="125"/>
      <c r="N87" s="126"/>
      <c r="O87" s="124"/>
      <c r="P87" s="124"/>
      <c r="Q87" s="127"/>
      <c r="R87" s="123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5"/>
      <c r="AD87" s="301"/>
      <c r="AE87" s="151"/>
      <c r="AF87" s="131">
        <f>SUM(D87:AE87)</f>
      </c>
      <c r="AG87" s="121"/>
      <c r="AH87" s="122"/>
      <c r="AI87" s="123"/>
      <c r="AJ87" s="124"/>
      <c r="AK87" s="124"/>
      <c r="AL87" s="124"/>
      <c r="AM87" s="124"/>
      <c r="AN87" s="124"/>
      <c r="AO87" s="124"/>
      <c r="AP87" s="125"/>
      <c r="AQ87" s="126"/>
      <c r="AR87" s="124"/>
      <c r="AS87" s="124"/>
      <c r="AT87" s="127"/>
      <c r="AU87" s="123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5"/>
      <c r="BG87" s="301"/>
      <c r="BH87" s="151"/>
      <c r="BI87" s="131">
        <f>SUM(AG87:BH87)</f>
      </c>
      <c r="BJ87" s="121"/>
      <c r="BK87" s="122"/>
      <c r="BL87" s="123"/>
      <c r="BM87" s="124"/>
      <c r="BN87" s="124"/>
      <c r="BO87" s="124"/>
      <c r="BP87" s="124"/>
      <c r="BQ87" s="124"/>
      <c r="BR87" s="124"/>
      <c r="BS87" s="125"/>
      <c r="BT87" s="126"/>
      <c r="BU87" s="124"/>
      <c r="BV87" s="124"/>
      <c r="BW87" s="127"/>
      <c r="BX87" s="123"/>
      <c r="BY87" s="124"/>
      <c r="BZ87" s="124"/>
      <c r="CA87" s="124"/>
      <c r="CB87" s="124"/>
      <c r="CC87" s="124"/>
      <c r="CD87" s="124"/>
      <c r="CE87" s="124"/>
      <c r="CF87" s="124"/>
      <c r="CG87" s="124"/>
      <c r="CH87" s="124"/>
      <c r="CI87" s="125"/>
      <c r="CJ87" s="301"/>
      <c r="CK87" s="151"/>
      <c r="CL87" s="131">
        <f>SUM(BJ87:CK87)</f>
      </c>
      <c r="CM87" s="121"/>
      <c r="CN87" s="122"/>
      <c r="CO87" s="123"/>
      <c r="CP87" s="124"/>
      <c r="CQ87" s="124"/>
      <c r="CR87" s="124"/>
      <c r="CS87" s="124"/>
      <c r="CT87" s="124"/>
      <c r="CU87" s="124"/>
      <c r="CV87" s="125"/>
      <c r="CW87" s="126"/>
      <c r="CX87" s="124"/>
      <c r="CY87" s="124"/>
      <c r="CZ87" s="127"/>
      <c r="DA87" s="123"/>
      <c r="DB87" s="124"/>
      <c r="DC87" s="124"/>
      <c r="DD87" s="124"/>
      <c r="DE87" s="124"/>
      <c r="DF87" s="124"/>
      <c r="DG87" s="124"/>
      <c r="DH87" s="124"/>
      <c r="DI87" s="124"/>
      <c r="DJ87" s="124"/>
      <c r="DK87" s="124"/>
      <c r="DL87" s="125"/>
      <c r="DM87" s="301"/>
      <c r="DN87" s="151"/>
      <c r="DO87" s="131">
        <f>SUM(CM87:DN87)</f>
      </c>
      <c r="DP87" s="121"/>
      <c r="DQ87" s="122"/>
      <c r="DR87" s="123"/>
      <c r="DS87" s="124"/>
      <c r="DT87" s="124"/>
      <c r="DU87" s="124"/>
      <c r="DV87" s="124"/>
      <c r="DW87" s="124"/>
      <c r="DX87" s="124"/>
      <c r="DY87" s="125"/>
      <c r="DZ87" s="126"/>
      <c r="EA87" s="124"/>
      <c r="EB87" s="124"/>
      <c r="EC87" s="127"/>
      <c r="ED87" s="123"/>
      <c r="EE87" s="124"/>
      <c r="EF87" s="124"/>
      <c r="EG87" s="124"/>
      <c r="EH87" s="124"/>
      <c r="EI87" s="124"/>
      <c r="EJ87" s="124"/>
      <c r="EK87" s="124"/>
      <c r="EL87" s="124"/>
      <c r="EM87" s="124"/>
      <c r="EN87" s="124"/>
      <c r="EO87" s="125"/>
      <c r="EP87" s="301"/>
      <c r="EQ87" s="151"/>
      <c r="ER87" s="131">
        <f>SUM(DP87:EQ87)</f>
      </c>
      <c r="ES87" s="121"/>
      <c r="ET87" s="122"/>
      <c r="EU87" s="123"/>
      <c r="EV87" s="124"/>
      <c r="EW87" s="124"/>
      <c r="EX87" s="124"/>
      <c r="EY87" s="124"/>
      <c r="EZ87" s="124"/>
      <c r="FA87" s="124"/>
      <c r="FB87" s="125"/>
      <c r="FC87" s="126"/>
      <c r="FD87" s="124"/>
      <c r="FE87" s="124"/>
      <c r="FF87" s="127"/>
      <c r="FG87" s="123"/>
      <c r="FH87" s="124"/>
      <c r="FI87" s="124"/>
      <c r="FJ87" s="124"/>
      <c r="FK87" s="124"/>
      <c r="FL87" s="124"/>
      <c r="FM87" s="124"/>
      <c r="FN87" s="124"/>
      <c r="FO87" s="124"/>
      <c r="FP87" s="124"/>
      <c r="FQ87" s="124"/>
      <c r="FR87" s="125"/>
      <c r="FS87" s="301"/>
      <c r="FT87" s="151"/>
      <c r="FU87" s="131">
        <f>SUM(ES87:FT87)</f>
      </c>
      <c r="FV87" s="121"/>
      <c r="FW87" s="122"/>
      <c r="FX87" s="123"/>
      <c r="FY87" s="124"/>
      <c r="FZ87" s="124"/>
      <c r="GA87" s="124"/>
      <c r="GB87" s="124"/>
      <c r="GC87" s="124"/>
      <c r="GD87" s="124"/>
      <c r="GE87" s="125"/>
      <c r="GF87" s="126"/>
      <c r="GG87" s="124"/>
      <c r="GH87" s="124"/>
      <c r="GI87" s="127"/>
      <c r="GJ87" s="123"/>
      <c r="GK87" s="124"/>
      <c r="GL87" s="124"/>
      <c r="GM87" s="124"/>
      <c r="GN87" s="124"/>
      <c r="GO87" s="124"/>
      <c r="GP87" s="124"/>
      <c r="GQ87" s="124"/>
      <c r="GR87" s="124"/>
      <c r="GS87" s="124"/>
      <c r="GT87" s="124"/>
      <c r="GU87" s="125"/>
      <c r="GV87" s="301"/>
      <c r="GW87" s="151"/>
      <c r="GX87" s="131">
        <f>SUM(FV87:GW87)</f>
      </c>
      <c r="GY87" s="150">
        <f>AF87+BI87+CL87+DO87+ER87+FU87+GX87</f>
      </c>
      <c r="GZ87" s="302">
        <f>(COUNTIF(D87:GX87,"H")+COUNTIF(D87:GX87,"S")+COUNTIF(D87:GX87,"L")+COUNTIF(D87:GX87,"E")+COUNTIF(D87:GX87,"C"))/2</f>
      </c>
      <c r="HA87" s="131">
        <f>GY87+GZ87</f>
      </c>
      <c r="HB87" s="134"/>
      <c r="HC87" s="135"/>
      <c r="HD87" s="142">
        <v>0.5</v>
      </c>
      <c r="HE87" s="138">
        <v>0.5</v>
      </c>
      <c r="HF87" s="138">
        <v>0.5</v>
      </c>
      <c r="HG87" s="138">
        <v>0.5</v>
      </c>
      <c r="HH87" s="138">
        <v>0.5</v>
      </c>
      <c r="HI87" s="138">
        <v>0.5</v>
      </c>
      <c r="HJ87" s="138">
        <v>0.5</v>
      </c>
      <c r="HK87" s="139">
        <v>0.5</v>
      </c>
      <c r="HL87" s="147"/>
      <c r="HM87" s="148"/>
      <c r="HN87" s="138">
        <v>0.5</v>
      </c>
      <c r="HO87" s="149">
        <v>0.5</v>
      </c>
      <c r="HP87" s="142">
        <v>0.5</v>
      </c>
      <c r="HQ87" s="138">
        <v>0.5</v>
      </c>
      <c r="HR87" s="138">
        <v>0.5</v>
      </c>
      <c r="HS87" s="138">
        <v>0.5</v>
      </c>
      <c r="HT87" s="138">
        <v>0.5</v>
      </c>
      <c r="HU87" s="138">
        <v>0.5</v>
      </c>
      <c r="HV87" s="137"/>
      <c r="HW87" s="137"/>
      <c r="HX87" s="137"/>
      <c r="HY87" s="137"/>
      <c r="HZ87" s="137"/>
      <c r="IA87" s="153"/>
      <c r="IB87" s="304"/>
      <c r="IC87" s="152"/>
      <c r="ID87" s="131">
        <f>SUM(HB87:IC87)</f>
      </c>
      <c r="IE87" s="134"/>
      <c r="IF87" s="135"/>
      <c r="IG87" s="142">
        <v>0.5</v>
      </c>
      <c r="IH87" s="138">
        <v>0.5</v>
      </c>
      <c r="II87" s="138">
        <v>0.5</v>
      </c>
      <c r="IJ87" s="138">
        <v>0.5</v>
      </c>
      <c r="IK87" s="138">
        <v>0.5</v>
      </c>
      <c r="IL87" s="138">
        <v>0.5</v>
      </c>
      <c r="IM87" s="138">
        <v>0.5</v>
      </c>
      <c r="IN87" s="139">
        <v>0.5</v>
      </c>
      <c r="IO87" s="147"/>
      <c r="IP87" s="148"/>
      <c r="IQ87" s="138">
        <v>0.5</v>
      </c>
      <c r="IR87" s="149">
        <v>0.5</v>
      </c>
      <c r="IS87" s="142">
        <v>0.5</v>
      </c>
      <c r="IT87" s="138">
        <v>0.5</v>
      </c>
      <c r="IU87" s="138">
        <v>0.5</v>
      </c>
      <c r="IV87" s="138">
        <v>0.5</v>
      </c>
      <c r="IW87" s="138">
        <v>0.5</v>
      </c>
      <c r="IX87" s="138">
        <v>0.5</v>
      </c>
      <c r="IY87" s="137"/>
      <c r="IZ87" s="137"/>
      <c r="JA87" s="137"/>
      <c r="JB87" s="137"/>
      <c r="JC87" s="137"/>
      <c r="JD87" s="153"/>
      <c r="JE87" s="304"/>
      <c r="JF87" s="152"/>
      <c r="JG87" s="131">
        <f>SUM(IE87:JF87)</f>
      </c>
      <c r="JH87" s="134"/>
      <c r="JI87" s="135"/>
      <c r="JJ87" s="142">
        <v>0.5</v>
      </c>
      <c r="JK87" s="138">
        <v>0.5</v>
      </c>
      <c r="JL87" s="138">
        <v>0.5</v>
      </c>
      <c r="JM87" s="138">
        <v>0.5</v>
      </c>
      <c r="JN87" s="138">
        <v>0.5</v>
      </c>
      <c r="JO87" s="138">
        <v>0.5</v>
      </c>
      <c r="JP87" s="138">
        <v>0.5</v>
      </c>
      <c r="JQ87" s="139">
        <v>0.5</v>
      </c>
      <c r="JR87" s="147"/>
      <c r="JS87" s="148"/>
      <c r="JT87" s="138">
        <v>0.5</v>
      </c>
      <c r="JU87" s="149">
        <v>0.5</v>
      </c>
      <c r="JV87" s="142">
        <v>0.5</v>
      </c>
      <c r="JW87" s="138">
        <v>0.5</v>
      </c>
      <c r="JX87" s="138">
        <v>0.5</v>
      </c>
      <c r="JY87" s="138">
        <v>0.5</v>
      </c>
      <c r="JZ87" s="138">
        <v>0.5</v>
      </c>
      <c r="KA87" s="138">
        <v>0.5</v>
      </c>
      <c r="KB87" s="137"/>
      <c r="KC87" s="137"/>
      <c r="KD87" s="137"/>
      <c r="KE87" s="137"/>
      <c r="KF87" s="137"/>
      <c r="KG87" s="153"/>
      <c r="KH87" s="304"/>
      <c r="KI87" s="152"/>
      <c r="KJ87" s="131">
        <f>SUM(JH87:KI87)</f>
      </c>
      <c r="KK87" s="134"/>
      <c r="KL87" s="135"/>
      <c r="KM87" s="142">
        <v>0.5</v>
      </c>
      <c r="KN87" s="138">
        <v>0.5</v>
      </c>
      <c r="KO87" s="138">
        <v>0.5</v>
      </c>
      <c r="KP87" s="138">
        <v>0.5</v>
      </c>
      <c r="KQ87" s="138">
        <v>0.5</v>
      </c>
      <c r="KR87" s="138">
        <v>0.5</v>
      </c>
      <c r="KS87" s="138">
        <v>0.5</v>
      </c>
      <c r="KT87" s="139">
        <v>0.5</v>
      </c>
      <c r="KU87" s="147"/>
      <c r="KV87" s="148"/>
      <c r="KW87" s="138">
        <v>0.5</v>
      </c>
      <c r="KX87" s="149">
        <v>0.5</v>
      </c>
      <c r="KY87" s="142">
        <v>0.5</v>
      </c>
      <c r="KZ87" s="138">
        <v>0.5</v>
      </c>
      <c r="LA87" s="138">
        <v>0.5</v>
      </c>
      <c r="LB87" s="138">
        <v>0.5</v>
      </c>
      <c r="LC87" s="138">
        <v>0.5</v>
      </c>
      <c r="LD87" s="138">
        <v>0.5</v>
      </c>
      <c r="LE87" s="137"/>
      <c r="LF87" s="137"/>
      <c r="LG87" s="137"/>
      <c r="LH87" s="137"/>
      <c r="LI87" s="137"/>
      <c r="LJ87" s="153"/>
      <c r="LK87" s="304"/>
      <c r="LL87" s="152"/>
      <c r="LM87" s="131">
        <f>SUM(KK87:LL87)</f>
      </c>
      <c r="LN87" s="134"/>
      <c r="LO87" s="135"/>
      <c r="LP87" s="339">
        <v>0.5</v>
      </c>
      <c r="LQ87" s="34">
        <v>0.5</v>
      </c>
      <c r="LR87" s="34">
        <v>0.5</v>
      </c>
      <c r="LS87" s="34">
        <v>0.5</v>
      </c>
      <c r="LT87" s="34">
        <v>0.5</v>
      </c>
      <c r="LU87" s="34">
        <v>0.5</v>
      </c>
      <c r="LV87" s="34">
        <v>0.5</v>
      </c>
      <c r="LW87" s="555">
        <v>0.5</v>
      </c>
      <c r="LX87" s="556">
        <v>0.5</v>
      </c>
      <c r="LY87" s="34">
        <v>0.5</v>
      </c>
      <c r="LZ87" s="137"/>
      <c r="MA87" s="141"/>
      <c r="MB87" s="142">
        <v>0.5</v>
      </c>
      <c r="MC87" s="138">
        <v>0.5</v>
      </c>
      <c r="MD87" s="143">
        <v>0.5</v>
      </c>
      <c r="ME87" s="143">
        <v>0.5</v>
      </c>
      <c r="MF87" s="143">
        <v>0.5</v>
      </c>
      <c r="MG87" s="143">
        <v>0.5</v>
      </c>
      <c r="MH87" s="137"/>
      <c r="MI87" s="137"/>
      <c r="MJ87" s="137"/>
      <c r="MK87" s="137"/>
      <c r="ML87" s="137"/>
      <c r="MM87" s="153"/>
      <c r="MN87" s="304"/>
      <c r="MO87" s="152"/>
      <c r="MP87" s="131">
        <f>SUM(LN87:MO87)</f>
      </c>
      <c r="MQ87" s="121"/>
      <c r="MR87" s="122"/>
      <c r="MS87" s="123"/>
      <c r="MT87" s="124"/>
      <c r="MU87" s="124"/>
      <c r="MV87" s="124"/>
      <c r="MW87" s="124"/>
      <c r="MX87" s="124"/>
      <c r="MY87" s="124"/>
      <c r="MZ87" s="125"/>
      <c r="NA87" s="126"/>
      <c r="NB87" s="124"/>
      <c r="NC87" s="124"/>
      <c r="ND87" s="127"/>
      <c r="NE87" s="123"/>
      <c r="NF87" s="124"/>
      <c r="NG87" s="124"/>
      <c r="NH87" s="124"/>
      <c r="NI87" s="124"/>
      <c r="NJ87" s="124"/>
      <c r="NK87" s="124"/>
      <c r="NL87" s="124"/>
      <c r="NM87" s="124"/>
      <c r="NN87" s="124"/>
      <c r="NO87" s="124"/>
      <c r="NP87" s="125"/>
      <c r="NQ87" s="301"/>
      <c r="NR87" s="151"/>
      <c r="NS87" s="131">
        <f>SUM(MQ87:NR87)</f>
      </c>
      <c r="NT87" s="121"/>
      <c r="NU87" s="122"/>
      <c r="NV87" s="123"/>
      <c r="NW87" s="124"/>
      <c r="NX87" s="124"/>
      <c r="NY87" s="124"/>
      <c r="NZ87" s="124"/>
      <c r="OA87" s="124"/>
      <c r="OB87" s="124"/>
      <c r="OC87" s="125"/>
      <c r="OD87" s="126"/>
      <c r="OE87" s="124"/>
      <c r="OF87" s="124"/>
      <c r="OG87" s="127"/>
      <c r="OH87" s="123"/>
      <c r="OI87" s="124"/>
      <c r="OJ87" s="124"/>
      <c r="OK87" s="124"/>
      <c r="OL87" s="124"/>
      <c r="OM87" s="124"/>
      <c r="ON87" s="124"/>
      <c r="OO87" s="124"/>
      <c r="OP87" s="124"/>
      <c r="OQ87" s="124"/>
      <c r="OR87" s="124"/>
      <c r="OS87" s="125"/>
      <c r="OT87" s="301"/>
      <c r="OU87" s="151"/>
      <c r="OV87" s="131">
        <f>SUM(NT87:OU87)</f>
      </c>
      <c r="OW87" s="150">
        <f>ID87+JG87+KJ87+LM87+MP87+NS87+OV87</f>
      </c>
      <c r="OX87" s="302">
        <f>(COUNTIF(HB87:OV87,"H")+COUNTIF(HB87:OV87,"S")+COUNTIF(HB87:OV87,"L")+COUNTIF(HB87:OV87,"E")+COUNTIF(HB87:OV87,"C"))/2</f>
      </c>
      <c r="OY87" s="131">
        <f>OW87+OX87</f>
      </c>
      <c r="OZ87" s="134"/>
      <c r="PA87" s="135"/>
      <c r="PB87" s="142">
        <v>0.5</v>
      </c>
      <c r="PC87" s="138">
        <v>0.5</v>
      </c>
      <c r="PD87" s="138">
        <v>0.5</v>
      </c>
      <c r="PE87" s="138">
        <v>0.5</v>
      </c>
      <c r="PF87" s="138">
        <v>0.5</v>
      </c>
      <c r="PG87" s="138">
        <v>0.5</v>
      </c>
      <c r="PH87" s="138">
        <v>0.5</v>
      </c>
      <c r="PI87" s="139">
        <v>0.5</v>
      </c>
      <c r="PJ87" s="147"/>
      <c r="PK87" s="148"/>
      <c r="PL87" s="138">
        <v>0.5</v>
      </c>
      <c r="PM87" s="149">
        <v>0.5</v>
      </c>
      <c r="PN87" s="142">
        <v>0.5</v>
      </c>
      <c r="PO87" s="138">
        <v>0.5</v>
      </c>
      <c r="PP87" s="138">
        <v>0.5</v>
      </c>
      <c r="PQ87" s="138">
        <v>0.5</v>
      </c>
      <c r="PR87" s="138">
        <v>0.5</v>
      </c>
      <c r="PS87" s="138">
        <v>0.5</v>
      </c>
      <c r="PT87" s="137"/>
      <c r="PU87" s="137"/>
      <c r="PV87" s="137"/>
      <c r="PW87" s="137"/>
      <c r="PX87" s="137"/>
      <c r="PY87" s="153"/>
      <c r="PZ87" s="304"/>
      <c r="QA87" s="152"/>
      <c r="QB87" s="131">
        <f>SUM(OZ87:QA87)</f>
      </c>
      <c r="QC87" s="134"/>
      <c r="QD87" s="135"/>
      <c r="QE87" s="142">
        <v>0.5</v>
      </c>
      <c r="QF87" s="138">
        <v>0.5</v>
      </c>
      <c r="QG87" s="138">
        <v>0.5</v>
      </c>
      <c r="QH87" s="138">
        <v>0.5</v>
      </c>
      <c r="QI87" s="138">
        <v>0.5</v>
      </c>
      <c r="QJ87" s="138">
        <v>0.5</v>
      </c>
      <c r="QK87" s="138">
        <v>0.5</v>
      </c>
      <c r="QL87" s="139">
        <v>0.5</v>
      </c>
      <c r="QM87" s="147"/>
      <c r="QN87" s="148"/>
      <c r="QO87" s="138">
        <v>0.5</v>
      </c>
      <c r="QP87" s="149">
        <v>0.5</v>
      </c>
      <c r="QQ87" s="142">
        <v>0.5</v>
      </c>
      <c r="QR87" s="138">
        <v>0.5</v>
      </c>
      <c r="QS87" s="138">
        <v>0.5</v>
      </c>
      <c r="QT87" s="138">
        <v>0.5</v>
      </c>
      <c r="QU87" s="138">
        <v>0.5</v>
      </c>
      <c r="QV87" s="138">
        <v>0.5</v>
      </c>
      <c r="QW87" s="137"/>
      <c r="QX87" s="137"/>
      <c r="QY87" s="137"/>
      <c r="QZ87" s="137"/>
      <c r="RA87" s="137"/>
      <c r="RB87" s="153"/>
      <c r="RC87" s="304"/>
      <c r="RD87" s="152"/>
      <c r="RE87" s="131">
        <f>SUM(QC87:RD87)</f>
      </c>
      <c r="RF87" s="134"/>
      <c r="RG87" s="135"/>
      <c r="RH87" s="136"/>
      <c r="RI87" s="18" t="s">
        <v>4</v>
      </c>
      <c r="RJ87" s="18" t="s">
        <v>4</v>
      </c>
      <c r="RK87" s="18" t="s">
        <v>4</v>
      </c>
      <c r="RL87" s="18" t="s">
        <v>4</v>
      </c>
      <c r="RM87" s="18" t="s">
        <v>4</v>
      </c>
      <c r="RN87" s="18" t="s">
        <v>4</v>
      </c>
      <c r="RO87" s="222" t="s">
        <v>4</v>
      </c>
      <c r="RP87" s="223" t="s">
        <v>4</v>
      </c>
      <c r="RQ87" s="137"/>
      <c r="RR87" s="137"/>
      <c r="RS87" s="224" t="s">
        <v>4</v>
      </c>
      <c r="RT87" s="225" t="s">
        <v>4</v>
      </c>
      <c r="RU87" s="18" t="s">
        <v>4</v>
      </c>
      <c r="RV87" s="18" t="s">
        <v>4</v>
      </c>
      <c r="RW87" s="18" t="s">
        <v>4</v>
      </c>
      <c r="RX87" s="18" t="s">
        <v>4</v>
      </c>
      <c r="RY87" s="18" t="s">
        <v>4</v>
      </c>
      <c r="RZ87" s="18" t="s">
        <v>4</v>
      </c>
      <c r="SA87" s="137"/>
      <c r="SB87" s="137"/>
      <c r="SC87" s="137"/>
      <c r="SD87" s="137"/>
      <c r="SE87" s="153"/>
      <c r="SF87" s="304"/>
      <c r="SG87" s="152"/>
      <c r="SH87" s="131">
        <f>SUM(RF87:SG87)</f>
      </c>
      <c r="SI87" s="134"/>
      <c r="SJ87" s="135"/>
      <c r="SK87" s="136"/>
      <c r="SL87" s="18" t="s">
        <v>4</v>
      </c>
      <c r="SM87" s="18" t="s">
        <v>4</v>
      </c>
      <c r="SN87" s="18" t="s">
        <v>4</v>
      </c>
      <c r="SO87" s="18" t="s">
        <v>4</v>
      </c>
      <c r="SP87" s="18" t="s">
        <v>4</v>
      </c>
      <c r="SQ87" s="18" t="s">
        <v>4</v>
      </c>
      <c r="SR87" s="222" t="s">
        <v>4</v>
      </c>
      <c r="SS87" s="223" t="s">
        <v>4</v>
      </c>
      <c r="ST87" s="137"/>
      <c r="SU87" s="137"/>
      <c r="SV87" s="224" t="s">
        <v>4</v>
      </c>
      <c r="SW87" s="225" t="s">
        <v>4</v>
      </c>
      <c r="SX87" s="18" t="s">
        <v>4</v>
      </c>
      <c r="SY87" s="18" t="s">
        <v>4</v>
      </c>
      <c r="SZ87" s="18" t="s">
        <v>4</v>
      </c>
      <c r="TA87" s="18" t="s">
        <v>4</v>
      </c>
      <c r="TB87" s="18" t="s">
        <v>4</v>
      </c>
      <c r="TC87" s="18" t="s">
        <v>4</v>
      </c>
      <c r="TD87" s="137"/>
      <c r="TE87" s="137"/>
      <c r="TF87" s="137"/>
      <c r="TG87" s="137"/>
      <c r="TH87" s="153"/>
      <c r="TI87" s="304"/>
      <c r="TJ87" s="152"/>
      <c r="TK87" s="131">
        <f>SUM(SI87:TJ87)</f>
      </c>
      <c r="TL87" s="134"/>
      <c r="TM87" s="135"/>
      <c r="TN87" s="142">
        <v>0.5</v>
      </c>
      <c r="TO87" s="138">
        <v>0.5</v>
      </c>
      <c r="TP87" s="138">
        <v>0.5</v>
      </c>
      <c r="TQ87" s="138">
        <v>0.5</v>
      </c>
      <c r="TR87" s="138">
        <v>0.5</v>
      </c>
      <c r="TS87" s="138">
        <v>0.5</v>
      </c>
      <c r="TT87" s="138">
        <v>0.5</v>
      </c>
      <c r="TU87" s="139">
        <v>0.5</v>
      </c>
      <c r="TV87" s="147"/>
      <c r="TW87" s="148"/>
      <c r="TX87" s="138">
        <v>0.5</v>
      </c>
      <c r="TY87" s="149">
        <v>0.5</v>
      </c>
      <c r="TZ87" s="142">
        <v>0.5</v>
      </c>
      <c r="UA87" s="138">
        <v>0.5</v>
      </c>
      <c r="UB87" s="138">
        <v>0.5</v>
      </c>
      <c r="UC87" s="138">
        <v>0.5</v>
      </c>
      <c r="UD87" s="138">
        <v>0.5</v>
      </c>
      <c r="UE87" s="138">
        <v>0.5</v>
      </c>
      <c r="UF87" s="137"/>
      <c r="UG87" s="137"/>
      <c r="UH87" s="137"/>
      <c r="UI87" s="137"/>
      <c r="UJ87" s="137"/>
      <c r="UK87" s="153"/>
      <c r="UL87" s="304"/>
      <c r="UM87" s="152"/>
      <c r="UN87" s="131">
        <f>SUM(TL87:UM87)</f>
      </c>
      <c r="UO87" s="121"/>
      <c r="UP87" s="122"/>
      <c r="UQ87" s="123"/>
      <c r="UR87" s="124"/>
      <c r="US87" s="124"/>
      <c r="UT87" s="124"/>
      <c r="UU87" s="124"/>
      <c r="UV87" s="124"/>
      <c r="UW87" s="124"/>
      <c r="UX87" s="125"/>
      <c r="UY87" s="126"/>
      <c r="UZ87" s="124"/>
      <c r="VA87" s="124"/>
      <c r="VB87" s="127"/>
      <c r="VC87" s="123"/>
      <c r="VD87" s="124"/>
      <c r="VE87" s="124"/>
      <c r="VF87" s="124"/>
      <c r="VG87" s="124"/>
      <c r="VH87" s="124"/>
      <c r="VI87" s="124"/>
      <c r="VJ87" s="124"/>
      <c r="VK87" s="124"/>
      <c r="VL87" s="124"/>
      <c r="VM87" s="124"/>
      <c r="VN87" s="125"/>
      <c r="VO87" s="301"/>
      <c r="VP87" s="151"/>
      <c r="VQ87" s="131">
        <f>SUM(UO87:VP87)</f>
      </c>
      <c r="VR87" s="121"/>
      <c r="VS87" s="122"/>
      <c r="VT87" s="123"/>
      <c r="VU87" s="124"/>
      <c r="VV87" s="124"/>
      <c r="VW87" s="124"/>
      <c r="VX87" s="124"/>
      <c r="VY87" s="124"/>
      <c r="VZ87" s="124"/>
      <c r="WA87" s="125"/>
      <c r="WB87" s="126"/>
      <c r="WC87" s="124"/>
      <c r="WD87" s="124"/>
      <c r="WE87" s="127"/>
      <c r="WF87" s="123"/>
      <c r="WG87" s="124"/>
      <c r="WH87" s="124"/>
      <c r="WI87" s="124"/>
      <c r="WJ87" s="124"/>
      <c r="WK87" s="124"/>
      <c r="WL87" s="124"/>
      <c r="WM87" s="124"/>
      <c r="WN87" s="124"/>
      <c r="WO87" s="124"/>
      <c r="WP87" s="124"/>
      <c r="WQ87" s="125"/>
      <c r="WR87" s="301"/>
      <c r="WS87" s="151"/>
      <c r="WT87" s="131">
        <f>SUM(VR87:WS87)</f>
      </c>
      <c r="WU87" s="150">
        <f>QB87+RE87+SH87+TK87+UN87+VQ87+WT87</f>
      </c>
      <c r="WV87" s="302">
        <f>(COUNTIF(OZ87:WT87,"H")+COUNTIF(OZ87:WT87,"S")+COUNTIF(OZ87:WT87,"L")+COUNTIF(OZ87:WT87,"E")+COUNTIF(OZ87:WT87,"C"))/2</f>
      </c>
      <c r="WW87" s="131">
        <f>WU87+WV87</f>
      </c>
      <c r="WX87" s="374"/>
      <c r="WY87" s="375"/>
      <c r="WZ87" s="15"/>
      <c r="XA87" s="19"/>
      <c r="XB87" s="19"/>
      <c r="XC87" s="19"/>
      <c r="XD87" s="19"/>
      <c r="XE87" s="307">
        <v>0.5</v>
      </c>
      <c r="XF87" s="307">
        <v>0.5</v>
      </c>
      <c r="XG87" s="314">
        <v>0.5</v>
      </c>
      <c r="XH87" s="319">
        <v>0.5</v>
      </c>
      <c r="XI87" s="307">
        <v>0.5</v>
      </c>
      <c r="XJ87" s="19"/>
      <c r="XK87" s="323"/>
      <c r="XL87" s="313">
        <v>0.5</v>
      </c>
      <c r="XM87" s="308">
        <v>0.5</v>
      </c>
      <c r="XN87" s="308">
        <v>0.5</v>
      </c>
      <c r="XO87" s="308">
        <v>0.5</v>
      </c>
      <c r="XP87" s="308">
        <v>0.5</v>
      </c>
      <c r="XQ87" s="308">
        <v>0.5</v>
      </c>
      <c r="XR87" s="308">
        <v>0.5</v>
      </c>
      <c r="XS87" s="308">
        <v>0.5</v>
      </c>
      <c r="XT87" s="308">
        <v>0.5</v>
      </c>
      <c r="XU87" s="19"/>
      <c r="XV87" s="19"/>
      <c r="XW87" s="414"/>
      <c r="XX87" s="407"/>
      <c r="XY87" s="408"/>
      <c r="XZ87" s="131">
        <f>SUM(WX87:XY87)</f>
      </c>
      <c r="YA87" s="374"/>
      <c r="YB87" s="375"/>
      <c r="YC87" s="313">
        <v>0.5</v>
      </c>
      <c r="YD87" s="308">
        <v>0.5</v>
      </c>
      <c r="YE87" s="308">
        <v>0.5</v>
      </c>
      <c r="YF87" s="308">
        <v>0.5</v>
      </c>
      <c r="YG87" s="308">
        <v>0.5</v>
      </c>
      <c r="YH87" s="308">
        <v>0.5</v>
      </c>
      <c r="YI87" s="308">
        <v>0.5</v>
      </c>
      <c r="YJ87" s="309">
        <v>0.5</v>
      </c>
      <c r="YK87" s="412"/>
      <c r="YL87" s="19"/>
      <c r="YM87" s="308">
        <v>0.5</v>
      </c>
      <c r="YN87" s="312">
        <v>0.5</v>
      </c>
      <c r="YO87" s="313">
        <v>0.5</v>
      </c>
      <c r="YP87" s="308">
        <v>0.5</v>
      </c>
      <c r="YQ87" s="308">
        <v>0.5</v>
      </c>
      <c r="YR87" s="308">
        <v>0.5</v>
      </c>
      <c r="YS87" s="308">
        <v>0.5</v>
      </c>
      <c r="YT87" s="308">
        <v>0.5</v>
      </c>
      <c r="YU87" s="308">
        <v>0.5</v>
      </c>
      <c r="YV87" s="308">
        <v>0.5</v>
      </c>
      <c r="YW87" s="19"/>
      <c r="YX87" s="19"/>
      <c r="YY87" s="19"/>
      <c r="YZ87" s="414"/>
      <c r="ZA87" s="407"/>
      <c r="ZB87" s="408"/>
      <c r="ZC87" s="131">
        <f>SUM(YA87:ZB87)</f>
      </c>
      <c r="ZD87" s="374"/>
      <c r="ZE87" s="375"/>
      <c r="ZF87" s="313">
        <v>0.5</v>
      </c>
      <c r="ZG87" s="308">
        <v>0.5</v>
      </c>
      <c r="ZH87" s="308">
        <v>0.5</v>
      </c>
      <c r="ZI87" s="308">
        <v>0.5</v>
      </c>
      <c r="ZJ87" s="308">
        <v>0.5</v>
      </c>
      <c r="ZK87" s="308">
        <v>0.5</v>
      </c>
      <c r="ZL87" s="308">
        <v>0.5</v>
      </c>
      <c r="ZM87" s="309">
        <v>0.5</v>
      </c>
      <c r="ZN87" s="412"/>
      <c r="ZO87" s="19"/>
      <c r="ZP87" s="308">
        <v>0.5</v>
      </c>
      <c r="ZQ87" s="312">
        <v>0.5</v>
      </c>
      <c r="ZR87" s="313">
        <v>0.5</v>
      </c>
      <c r="ZS87" s="308">
        <v>0.5</v>
      </c>
      <c r="ZT87" s="308">
        <v>0.5</v>
      </c>
      <c r="ZU87" s="308">
        <v>0.5</v>
      </c>
      <c r="ZV87" s="308">
        <v>0.5</v>
      </c>
      <c r="ZW87" s="308">
        <v>0.5</v>
      </c>
      <c r="ZX87" s="308">
        <v>0.5</v>
      </c>
      <c r="ZY87" s="308">
        <v>0.5</v>
      </c>
      <c r="ZZ87" s="19"/>
      <c r="AAA87" s="19"/>
      <c r="AAB87" s="19"/>
      <c r="AAC87" s="414"/>
      <c r="AAD87" s="407"/>
      <c r="AAE87" s="408"/>
      <c r="AAF87" s="131">
        <f>SUM(ZD87:AAE87)</f>
      </c>
      <c r="AAG87" s="374"/>
      <c r="AAH87" s="375"/>
      <c r="AAI87" s="313">
        <v>0.5</v>
      </c>
      <c r="AAJ87" s="308">
        <v>0.5</v>
      </c>
      <c r="AAK87" s="308">
        <v>0.5</v>
      </c>
      <c r="AAL87" s="308">
        <v>0.5</v>
      </c>
      <c r="AAM87" s="308">
        <v>0.5</v>
      </c>
      <c r="AAN87" s="308">
        <v>0.5</v>
      </c>
      <c r="AAO87" s="308">
        <v>0.5</v>
      </c>
      <c r="AAP87" s="309">
        <v>0.5</v>
      </c>
      <c r="AAQ87" s="412"/>
      <c r="AAR87" s="19"/>
      <c r="AAS87" s="307">
        <v>0.5</v>
      </c>
      <c r="AAT87" s="416">
        <v>0.5</v>
      </c>
      <c r="AAU87" s="306">
        <v>0.5</v>
      </c>
      <c r="AAV87" s="307">
        <v>0.5</v>
      </c>
      <c r="AAW87" s="307">
        <v>0.5</v>
      </c>
      <c r="AAX87" s="307">
        <v>0.5</v>
      </c>
      <c r="AAY87" s="19"/>
      <c r="AAZ87" s="19"/>
      <c r="ABA87" s="19"/>
      <c r="ABB87" s="19"/>
      <c r="ABC87" s="19"/>
      <c r="ABD87" s="19"/>
      <c r="ABE87" s="19"/>
      <c r="ABF87" s="414"/>
      <c r="ABG87" s="407"/>
      <c r="ABH87" s="408"/>
      <c r="ABI87" s="131">
        <f>SUM(AAG87:ABH87)</f>
      </c>
      <c r="ABJ87" s="374"/>
      <c r="ABK87" s="375"/>
      <c r="ABL87" s="339">
        <v>0.5</v>
      </c>
      <c r="ABM87" s="143">
        <v>0.5</v>
      </c>
      <c r="ABN87" s="143">
        <v>0.5</v>
      </c>
      <c r="ABO87" s="143">
        <v>0.5</v>
      </c>
      <c r="ABP87" s="143">
        <v>0.5</v>
      </c>
      <c r="ABQ87" s="143">
        <v>0.5</v>
      </c>
      <c r="ABR87" s="143">
        <v>0.5</v>
      </c>
      <c r="ABS87" s="154">
        <v>0.5</v>
      </c>
      <c r="ABT87" s="412"/>
      <c r="ABU87" s="19"/>
      <c r="ABV87" s="143">
        <v>0.5</v>
      </c>
      <c r="ABW87" s="340">
        <v>0.5</v>
      </c>
      <c r="ABX87" s="339">
        <v>0.5</v>
      </c>
      <c r="ABY87" s="143">
        <v>0.5</v>
      </c>
      <c r="ABZ87" s="143">
        <v>0.5</v>
      </c>
      <c r="ACA87" s="143">
        <v>0.5</v>
      </c>
      <c r="ACB87" s="143">
        <v>0.5</v>
      </c>
      <c r="ACC87" s="143">
        <v>0.5</v>
      </c>
      <c r="ACD87" s="19"/>
      <c r="ACE87" s="19"/>
      <c r="ACF87" s="19"/>
      <c r="ACG87" s="19"/>
      <c r="ACH87" s="19"/>
      <c r="ACI87" s="414"/>
      <c r="ACJ87" s="407"/>
      <c r="ACK87" s="408"/>
      <c r="ACL87" s="131">
        <f>SUM(ABJ87:ACK87)</f>
      </c>
      <c r="ACM87" s="121"/>
      <c r="ACN87" s="122"/>
      <c r="ACO87" s="123"/>
      <c r="ACP87" s="124"/>
      <c r="ACQ87" s="124"/>
      <c r="ACR87" s="124"/>
      <c r="ACS87" s="124"/>
      <c r="ACT87" s="124"/>
      <c r="ACU87" s="124"/>
      <c r="ACV87" s="125"/>
      <c r="ACW87" s="126"/>
      <c r="ACX87" s="124"/>
      <c r="ACY87" s="124"/>
      <c r="ACZ87" s="127"/>
      <c r="ADA87" s="123"/>
      <c r="ADB87" s="124"/>
      <c r="ADC87" s="124"/>
      <c r="ADD87" s="124"/>
      <c r="ADE87" s="124"/>
      <c r="ADF87" s="124"/>
      <c r="ADG87" s="124"/>
      <c r="ADH87" s="124"/>
      <c r="ADI87" s="124"/>
      <c r="ADJ87" s="124"/>
      <c r="ADK87" s="124"/>
      <c r="ADL87" s="125"/>
      <c r="ADM87" s="301"/>
      <c r="ADN87" s="151"/>
      <c r="ADO87" s="131">
        <f>SUM(ACM87:ADN87)</f>
      </c>
      <c r="ADP87" s="121"/>
      <c r="ADQ87" s="122"/>
      <c r="ADR87" s="123"/>
      <c r="ADS87" s="124"/>
      <c r="ADT87" s="124"/>
      <c r="ADU87" s="124"/>
      <c r="ADV87" s="124"/>
      <c r="ADW87" s="124"/>
      <c r="ADX87" s="124"/>
      <c r="ADY87" s="125"/>
      <c r="ADZ87" s="126"/>
      <c r="AEA87" s="124"/>
      <c r="AEB87" s="124"/>
      <c r="AEC87" s="127"/>
      <c r="AED87" s="123"/>
      <c r="AEE87" s="124"/>
      <c r="AEF87" s="124"/>
      <c r="AEG87" s="124"/>
      <c r="AEH87" s="124"/>
      <c r="AEI87" s="124"/>
      <c r="AEJ87" s="124"/>
      <c r="AEK87" s="124"/>
      <c r="AEL87" s="124"/>
      <c r="AEM87" s="124"/>
      <c r="AEN87" s="124"/>
      <c r="AEO87" s="125"/>
      <c r="AEP87" s="301"/>
      <c r="AEQ87" s="151"/>
      <c r="AER87" s="131">
        <f>SUM(ADP87:AEQ87)</f>
      </c>
      <c r="AES87" s="150">
        <f>XZ87+ZC87+AAF87+ABI87+ACL87+ADO87+AER87</f>
      </c>
      <c r="AET87" s="302">
        <f>(COUNTIF(WX87:AER87,"H")+COUNTIF(WX87:AER87,"S")+COUNTIF(WX87:AER87,"L")+COUNTIF(WX87:AER87,"E")+COUNTIF(WX87:AER87,"C"))/2</f>
      </c>
      <c r="AEU87" s="131">
        <f>AES87+AET87</f>
      </c>
      <c r="AEV87" s="134"/>
      <c r="AEW87" s="135"/>
      <c r="AEX87" s="142">
        <v>0.5</v>
      </c>
      <c r="AEY87" s="138">
        <v>0.5</v>
      </c>
      <c r="AEZ87" s="138">
        <v>0.5</v>
      </c>
      <c r="AFA87" s="138">
        <v>0.5</v>
      </c>
      <c r="AFB87" s="138">
        <v>0.5</v>
      </c>
      <c r="AFC87" s="138">
        <v>0.5</v>
      </c>
      <c r="AFD87" s="138">
        <v>0.5</v>
      </c>
      <c r="AFE87" s="139">
        <v>0.5</v>
      </c>
      <c r="AFF87" s="147"/>
      <c r="AFG87" s="148"/>
      <c r="AFH87" s="138">
        <v>0.5</v>
      </c>
      <c r="AFI87" s="149">
        <v>0.5</v>
      </c>
      <c r="AFJ87" s="142">
        <v>0.5</v>
      </c>
      <c r="AFK87" s="138">
        <v>0.5</v>
      </c>
      <c r="AFL87" s="138">
        <v>0.5</v>
      </c>
      <c r="AFM87" s="138">
        <v>0.5</v>
      </c>
      <c r="AFN87" s="138">
        <v>0.5</v>
      </c>
      <c r="AFO87" s="138">
        <v>0.5</v>
      </c>
      <c r="AFP87" s="137"/>
      <c r="AFQ87" s="137"/>
      <c r="AFR87" s="137"/>
      <c r="AFS87" s="137"/>
      <c r="AFT87" s="137"/>
      <c r="AFU87" s="153"/>
      <c r="AFV87" s="304"/>
      <c r="AFW87" s="152"/>
      <c r="AFX87" s="131">
        <f>SUM(AEV87:AFW87)</f>
      </c>
      <c r="AFY87" s="134"/>
      <c r="AFZ87" s="135"/>
      <c r="AGA87" s="142">
        <v>0.5</v>
      </c>
      <c r="AGB87" s="138">
        <v>0.5</v>
      </c>
      <c r="AGC87" s="138">
        <v>0.5</v>
      </c>
      <c r="AGD87" s="138">
        <v>0.5</v>
      </c>
      <c r="AGE87" s="138">
        <v>0.5</v>
      </c>
      <c r="AGF87" s="138">
        <v>0.5</v>
      </c>
      <c r="AGG87" s="138">
        <v>0.5</v>
      </c>
      <c r="AGH87" s="139">
        <v>0.5</v>
      </c>
      <c r="AGI87" s="147"/>
      <c r="AGJ87" s="148"/>
      <c r="AGK87" s="138">
        <v>0.5</v>
      </c>
      <c r="AGL87" s="149">
        <v>0.5</v>
      </c>
      <c r="AGM87" s="142">
        <v>0.5</v>
      </c>
      <c r="AGN87" s="138">
        <v>0.5</v>
      </c>
      <c r="AGO87" s="138">
        <v>0.5</v>
      </c>
      <c r="AGP87" s="138">
        <v>0.5</v>
      </c>
      <c r="AGQ87" s="138">
        <v>0.5</v>
      </c>
      <c r="AGR87" s="138">
        <v>0.5</v>
      </c>
      <c r="AGS87" s="137"/>
      <c r="AGT87" s="137"/>
      <c r="AGU87" s="137"/>
      <c r="AGV87" s="137"/>
      <c r="AGW87" s="137"/>
      <c r="AGX87" s="153"/>
      <c r="AGY87" s="304"/>
      <c r="AGZ87" s="152"/>
      <c r="AHA87" s="131">
        <f>SUM(AFY87:AGZ87)</f>
      </c>
      <c r="AHB87" s="134"/>
      <c r="AHC87" s="135"/>
      <c r="AHD87" s="142">
        <v>0.5</v>
      </c>
      <c r="AHE87" s="138">
        <v>0.5</v>
      </c>
      <c r="AHF87" s="138">
        <v>0.5</v>
      </c>
      <c r="AHG87" s="138">
        <v>0.5</v>
      </c>
      <c r="AHH87" s="138">
        <v>0.5</v>
      </c>
      <c r="AHI87" s="138">
        <v>0.5</v>
      </c>
      <c r="AHJ87" s="138">
        <v>0.5</v>
      </c>
      <c r="AHK87" s="139">
        <v>0.5</v>
      </c>
      <c r="AHL87" s="147"/>
      <c r="AHM87" s="148"/>
      <c r="AHN87" s="138">
        <v>0.5</v>
      </c>
      <c r="AHO87" s="149">
        <v>0.5</v>
      </c>
      <c r="AHP87" s="142">
        <v>0.5</v>
      </c>
      <c r="AHQ87" s="138">
        <v>0.5</v>
      </c>
      <c r="AHR87" s="138">
        <v>0.5</v>
      </c>
      <c r="AHS87" s="138">
        <v>0.5</v>
      </c>
      <c r="AHT87" s="138">
        <v>0.5</v>
      </c>
      <c r="AHU87" s="138">
        <v>0.5</v>
      </c>
      <c r="AHV87" s="137"/>
      <c r="AHW87" s="137"/>
      <c r="AHX87" s="137"/>
      <c r="AHY87" s="137"/>
      <c r="AHZ87" s="137"/>
      <c r="AIA87" s="153"/>
      <c r="AIB87" s="304"/>
      <c r="AIC87" s="152"/>
      <c r="AID87" s="131">
        <f>SUM(AHB87:AIC87)</f>
      </c>
      <c r="AIE87" s="134"/>
      <c r="AIF87" s="135"/>
      <c r="AIG87" s="142">
        <v>0.5</v>
      </c>
      <c r="AIH87" s="138">
        <v>0.5</v>
      </c>
      <c r="AII87" s="138">
        <v>0.5</v>
      </c>
      <c r="AIJ87" s="138">
        <v>0.5</v>
      </c>
      <c r="AIK87" s="138">
        <v>0.5</v>
      </c>
      <c r="AIL87" s="138">
        <v>0.5</v>
      </c>
      <c r="AIM87" s="138">
        <v>0.5</v>
      </c>
      <c r="AIN87" s="139">
        <v>0.5</v>
      </c>
      <c r="AIO87" s="147"/>
      <c r="AIP87" s="148"/>
      <c r="AIQ87" s="138">
        <v>0.5</v>
      </c>
      <c r="AIR87" s="149">
        <v>0.5</v>
      </c>
      <c r="AIS87" s="142">
        <v>0.5</v>
      </c>
      <c r="AIT87" s="138">
        <v>0.5</v>
      </c>
      <c r="AIU87" s="138">
        <v>0.5</v>
      </c>
      <c r="AIV87" s="138">
        <v>0.5</v>
      </c>
      <c r="AIW87" s="138">
        <v>0.5</v>
      </c>
      <c r="AIX87" s="138">
        <v>0.5</v>
      </c>
      <c r="AIY87" s="137"/>
      <c r="AIZ87" s="137"/>
      <c r="AJA87" s="137"/>
      <c r="AJB87" s="137"/>
      <c r="AJC87" s="137"/>
      <c r="AJD87" s="153"/>
      <c r="AJE87" s="304"/>
      <c r="AJF87" s="152"/>
      <c r="AJG87" s="131">
        <f>SUM(AIE87:AJF87)</f>
      </c>
      <c r="AJH87" s="134"/>
      <c r="AJI87" s="135"/>
      <c r="AJJ87" s="142">
        <v>0.5</v>
      </c>
      <c r="AJK87" s="138">
        <v>0.5</v>
      </c>
      <c r="AJL87" s="138">
        <v>0.5</v>
      </c>
      <c r="AJM87" s="138">
        <v>0.5</v>
      </c>
      <c r="AJN87" s="138">
        <v>0.5</v>
      </c>
      <c r="AJO87" s="138">
        <v>0.5</v>
      </c>
      <c r="AJP87" s="138">
        <v>0.5</v>
      </c>
      <c r="AJQ87" s="139">
        <v>0.5</v>
      </c>
      <c r="AJR87" s="147"/>
      <c r="AJS87" s="148"/>
      <c r="AJT87" s="138">
        <v>0.5</v>
      </c>
      <c r="AJU87" s="149">
        <v>0.5</v>
      </c>
      <c r="AJV87" s="142">
        <v>0.5</v>
      </c>
      <c r="AJW87" s="138">
        <v>0.5</v>
      </c>
      <c r="AJX87" s="138">
        <v>0.5</v>
      </c>
      <c r="AJY87" s="138">
        <v>0.5</v>
      </c>
      <c r="AJZ87" s="138">
        <v>0.5</v>
      </c>
      <c r="AKA87" s="138">
        <v>0.5</v>
      </c>
      <c r="AKB87" s="137"/>
      <c r="AKC87" s="137"/>
      <c r="AKD87" s="137"/>
      <c r="AKE87" s="137"/>
      <c r="AKF87" s="137"/>
      <c r="AKG87" s="153"/>
      <c r="AKH87" s="304"/>
      <c r="AKI87" s="152"/>
      <c r="AKJ87" s="131">
        <f>SUM(AJH87:AKI87)</f>
      </c>
      <c r="AKK87" s="121"/>
      <c r="AKL87" s="122"/>
      <c r="AKM87" s="123"/>
      <c r="AKN87" s="124"/>
      <c r="AKO87" s="124"/>
      <c r="AKP87" s="124"/>
      <c r="AKQ87" s="124"/>
      <c r="AKR87" s="124"/>
      <c r="AKS87" s="124"/>
      <c r="AKT87" s="125"/>
      <c r="AKU87" s="126"/>
      <c r="AKV87" s="124"/>
      <c r="AKW87" s="124"/>
      <c r="AKX87" s="127"/>
      <c r="AKY87" s="123"/>
      <c r="AKZ87" s="124"/>
      <c r="ALA87" s="124"/>
      <c r="ALB87" s="124"/>
      <c r="ALC87" s="124"/>
      <c r="ALD87" s="124"/>
      <c r="ALE87" s="124"/>
      <c r="ALF87" s="124"/>
      <c r="ALG87" s="124"/>
      <c r="ALH87" s="124"/>
      <c r="ALI87" s="124"/>
      <c r="ALJ87" s="125"/>
      <c r="ALK87" s="301"/>
      <c r="ALL87" s="151"/>
      <c r="ALM87" s="131">
        <f>SUM(AKK87:ALL87)</f>
      </c>
      <c r="ALN87" s="121"/>
      <c r="ALO87" s="122"/>
      <c r="ALP87" s="123"/>
      <c r="ALQ87" s="124"/>
      <c r="ALR87" s="124"/>
      <c r="ALS87" s="124"/>
      <c r="ALT87" s="124"/>
      <c r="ALU87" s="124"/>
      <c r="ALV87" s="124"/>
      <c r="ALW87" s="125"/>
      <c r="ALX87" s="126"/>
      <c r="ALY87" s="124"/>
      <c r="ALZ87" s="124"/>
      <c r="AMA87" s="127"/>
      <c r="AMB87" s="123"/>
      <c r="AMC87" s="124"/>
      <c r="AMD87" s="124"/>
      <c r="AME87" s="124"/>
      <c r="AMF87" s="124"/>
      <c r="AMG87" s="124"/>
      <c r="AMH87" s="124"/>
      <c r="AMI87" s="124"/>
      <c r="AMJ87" s="124"/>
      <c r="AMK87" s="124"/>
      <c r="AML87" s="124"/>
      <c r="AMM87" s="125"/>
      <c r="AMN87" s="301"/>
      <c r="AMO87" s="151"/>
      <c r="AMP87" s="131">
        <f>SUM(ALN87:AMO87)</f>
      </c>
      <c r="AMQ87" s="150">
        <f>AFX87+AHA87+AID87+AJG87+AKJ87+ALM87+AMP87</f>
      </c>
      <c r="AMR87" s="302">
        <f>(COUNTIF(AEV87:AMP87,"H")+COUNTIF(AEV87:AMP87,"S")+COUNTIF(AEV87:AMP87,"L")+COUNTIF(AEV87:AMP87,"E")+COUNTIF(AEV87:AMP87,"C"))/2</f>
      </c>
      <c r="AMS87" s="131">
        <f>AMQ87+AMR87</f>
      </c>
      <c r="AMT87" s="4"/>
      <c r="AMU87" s="4"/>
      <c r="AMV87" s="4"/>
      <c r="AMW87" s="4"/>
      <c r="AMX87" s="4"/>
      <c r="AMY87" s="4"/>
      <c r="AMZ87" s="4"/>
      <c r="ANA87" s="4"/>
      <c r="ANB87" s="4"/>
      <c r="ANC87" s="4"/>
      <c r="AND87" s="4"/>
      <c r="ANE87" s="4"/>
      <c r="ANF87" s="4"/>
      <c r="ANG87" s="4"/>
      <c r="ANH87" s="4"/>
      <c r="ANI87" s="4"/>
      <c r="ANJ87" s="13"/>
      <c r="ANK87" s="13"/>
      <c r="ANL87" s="4"/>
      <c r="ANM87" s="4"/>
      <c r="ANN87" s="4"/>
      <c r="ANO87" s="4"/>
      <c r="ANP87" s="4"/>
      <c r="ANQ87" s="4"/>
      <c r="ANR87" s="4"/>
      <c r="ANS87" s="4"/>
      <c r="ANT87" s="4"/>
      <c r="ANU87" s="4"/>
      <c r="ANV87" s="4"/>
      <c r="ANW87" s="4"/>
      <c r="ANX87" s="4"/>
      <c r="ANY87" s="4"/>
      <c r="ANZ87" s="4"/>
      <c r="AOA87" s="4"/>
      <c r="AOB87" s="4"/>
      <c r="AOC87" s="4"/>
      <c r="AOD87" s="4"/>
      <c r="AOE87" s="4"/>
      <c r="AOF87" s="4"/>
      <c r="AOG87" s="4"/>
      <c r="AOH87" s="4"/>
      <c r="AOI87" s="4"/>
      <c r="AOJ87" s="4"/>
      <c r="AOK87" s="4"/>
      <c r="AOL87" s="4"/>
      <c r="AOM87" s="4"/>
      <c r="AON87" s="4"/>
      <c r="AOO87" s="4"/>
      <c r="AOP87" s="4"/>
      <c r="AOQ87" s="4"/>
      <c r="AOR87" s="4"/>
      <c r="AOS87" s="4"/>
      <c r="AOT87" s="4"/>
      <c r="AOU87" s="4"/>
      <c r="AOV87" s="4"/>
      <c r="AOW87" s="4"/>
      <c r="AOX87" s="4"/>
      <c r="AOY87" s="4"/>
      <c r="AOZ87" s="4"/>
      <c r="APA87" s="4"/>
      <c r="APB87" s="4"/>
      <c r="APC87" s="4"/>
      <c r="APD87" s="4"/>
      <c r="APE87" s="4"/>
      <c r="APF87" s="4"/>
      <c r="APG87" s="4"/>
      <c r="APH87" s="4"/>
      <c r="API87" s="4"/>
      <c r="APJ87" s="4"/>
      <c r="APK87" s="4"/>
      <c r="APL87" s="4"/>
      <c r="APM87" s="4"/>
      <c r="APN87" s="4"/>
      <c r="APO87" s="4"/>
      <c r="APP87" s="4"/>
      <c r="APQ87" s="4"/>
      <c r="APR87" s="4"/>
      <c r="APS87" s="4"/>
      <c r="APT87" s="4"/>
      <c r="APU87" s="4"/>
      <c r="APV87" s="4"/>
      <c r="APW87" s="4"/>
      <c r="APX87" s="4"/>
      <c r="APY87" s="4"/>
      <c r="APZ87" s="4"/>
      <c r="AQA87" s="4"/>
      <c r="AQB87" s="4"/>
      <c r="AQC87" s="4"/>
      <c r="AQD87" s="4"/>
      <c r="AQE87" s="4"/>
      <c r="AQF87" s="4"/>
      <c r="AQG87" s="4"/>
      <c r="AQH87" s="4"/>
      <c r="AQI87" s="4"/>
      <c r="AQJ87" s="4"/>
      <c r="AQK87" s="4"/>
      <c r="AQL87" s="4"/>
      <c r="AQM87" s="4"/>
      <c r="AQN87" s="4"/>
      <c r="AQO87" s="4"/>
      <c r="AQP87" s="4"/>
      <c r="AQQ87" s="4"/>
      <c r="AQR87" s="4"/>
      <c r="AQS87" s="4"/>
      <c r="AQT87" s="4"/>
      <c r="AQU87" s="4"/>
      <c r="AQV87" s="4"/>
      <c r="AQW87" s="4"/>
      <c r="AQX87" s="4"/>
      <c r="AQY87" s="4"/>
      <c r="AQZ87" s="4"/>
      <c r="ARA87" s="4"/>
      <c r="ARB87" s="4"/>
      <c r="ARC87" s="4"/>
      <c r="ARD87" s="4"/>
      <c r="ARE87" s="4"/>
      <c r="ARF87" s="4"/>
      <c r="ARG87" s="4"/>
      <c r="ARH87" s="4"/>
      <c r="ARI87" s="4"/>
      <c r="ARJ87" s="4"/>
      <c r="ARK87" s="4"/>
      <c r="ARL87" s="4"/>
      <c r="ARM87" s="4"/>
      <c r="ARN87" s="4"/>
      <c r="ARO87" s="4"/>
      <c r="ARP87" s="4"/>
      <c r="ARQ87" s="4"/>
      <c r="ARR87" s="4"/>
      <c r="ARS87" s="4"/>
      <c r="ART87" s="4"/>
      <c r="ARU87" s="4"/>
      <c r="ARV87" s="4"/>
      <c r="ARW87" s="4"/>
      <c r="ARX87" s="4"/>
      <c r="ARY87" s="4"/>
      <c r="ARZ87" s="4"/>
      <c r="ASA87" s="4"/>
      <c r="ASB87" s="4"/>
      <c r="ASC87" s="4"/>
      <c r="ASD87" s="4"/>
      <c r="ASE87" s="4"/>
      <c r="ASF87" s="4"/>
      <c r="ASG87" s="4"/>
      <c r="ASH87" s="4"/>
      <c r="ASI87" s="4"/>
      <c r="ASJ87" s="4"/>
      <c r="ASK87" s="4"/>
      <c r="ASL87" s="4"/>
      <c r="ASM87" s="4"/>
      <c r="ASN87" s="4"/>
      <c r="ASO87" s="4"/>
      <c r="ASP87" s="4"/>
      <c r="ASQ87" s="4"/>
      <c r="ASR87" s="4"/>
      <c r="ASS87" s="4"/>
      <c r="AST87" s="4"/>
      <c r="ASU87" s="4"/>
    </row>
    <row r="88" ht="15" customHeight="1" spans="1:1191" x14ac:dyDescent="0.25">
      <c r="A88" s="118"/>
      <c r="B88" s="417" t="s">
        <v>126</v>
      </c>
      <c r="C88" s="321" t="s">
        <v>81</v>
      </c>
      <c r="D88" s="121"/>
      <c r="E88" s="122"/>
      <c r="F88" s="123"/>
      <c r="G88" s="124"/>
      <c r="H88" s="124"/>
      <c r="I88" s="124"/>
      <c r="J88" s="124"/>
      <c r="K88" s="124"/>
      <c r="L88" s="124"/>
      <c r="M88" s="125"/>
      <c r="N88" s="126"/>
      <c r="O88" s="124"/>
      <c r="P88" s="124"/>
      <c r="Q88" s="127"/>
      <c r="R88" s="123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5"/>
      <c r="AD88" s="301"/>
      <c r="AE88" s="151"/>
      <c r="AF88" s="131">
        <f>SUM(D88:AE88)</f>
      </c>
      <c r="AG88" s="121"/>
      <c r="AH88" s="122"/>
      <c r="AI88" s="123"/>
      <c r="AJ88" s="124"/>
      <c r="AK88" s="124"/>
      <c r="AL88" s="124"/>
      <c r="AM88" s="124"/>
      <c r="AN88" s="124"/>
      <c r="AO88" s="124"/>
      <c r="AP88" s="125"/>
      <c r="AQ88" s="126"/>
      <c r="AR88" s="124"/>
      <c r="AS88" s="124"/>
      <c r="AT88" s="127"/>
      <c r="AU88" s="123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5"/>
      <c r="BG88" s="301"/>
      <c r="BH88" s="151"/>
      <c r="BI88" s="131">
        <f>SUM(AG88:BH88)</f>
      </c>
      <c r="BJ88" s="121"/>
      <c r="BK88" s="122"/>
      <c r="BL88" s="123"/>
      <c r="BM88" s="124"/>
      <c r="BN88" s="124"/>
      <c r="BO88" s="124"/>
      <c r="BP88" s="124"/>
      <c r="BQ88" s="124"/>
      <c r="BR88" s="124"/>
      <c r="BS88" s="125"/>
      <c r="BT88" s="126"/>
      <c r="BU88" s="124"/>
      <c r="BV88" s="124"/>
      <c r="BW88" s="127"/>
      <c r="BX88" s="123"/>
      <c r="BY88" s="124"/>
      <c r="BZ88" s="124"/>
      <c r="CA88" s="124"/>
      <c r="CB88" s="124"/>
      <c r="CC88" s="124"/>
      <c r="CD88" s="124"/>
      <c r="CE88" s="124"/>
      <c r="CF88" s="124"/>
      <c r="CG88" s="124"/>
      <c r="CH88" s="124"/>
      <c r="CI88" s="125"/>
      <c r="CJ88" s="301"/>
      <c r="CK88" s="151"/>
      <c r="CL88" s="131">
        <f>SUM(BJ88:CK88)</f>
      </c>
      <c r="CM88" s="121"/>
      <c r="CN88" s="122"/>
      <c r="CO88" s="123"/>
      <c r="CP88" s="124"/>
      <c r="CQ88" s="124"/>
      <c r="CR88" s="124"/>
      <c r="CS88" s="124"/>
      <c r="CT88" s="124"/>
      <c r="CU88" s="124"/>
      <c r="CV88" s="125"/>
      <c r="CW88" s="126"/>
      <c r="CX88" s="124"/>
      <c r="CY88" s="124"/>
      <c r="CZ88" s="127"/>
      <c r="DA88" s="123"/>
      <c r="DB88" s="124"/>
      <c r="DC88" s="124"/>
      <c r="DD88" s="124"/>
      <c r="DE88" s="124"/>
      <c r="DF88" s="124"/>
      <c r="DG88" s="124"/>
      <c r="DH88" s="124"/>
      <c r="DI88" s="124"/>
      <c r="DJ88" s="124"/>
      <c r="DK88" s="124"/>
      <c r="DL88" s="125"/>
      <c r="DM88" s="301"/>
      <c r="DN88" s="151"/>
      <c r="DO88" s="131">
        <f>SUM(CM88:DN88)</f>
      </c>
      <c r="DP88" s="121"/>
      <c r="DQ88" s="122"/>
      <c r="DR88" s="123"/>
      <c r="DS88" s="124"/>
      <c r="DT88" s="124"/>
      <c r="DU88" s="124"/>
      <c r="DV88" s="124"/>
      <c r="DW88" s="124"/>
      <c r="DX88" s="124"/>
      <c r="DY88" s="125"/>
      <c r="DZ88" s="126"/>
      <c r="EA88" s="124"/>
      <c r="EB88" s="124"/>
      <c r="EC88" s="127"/>
      <c r="ED88" s="123"/>
      <c r="EE88" s="124"/>
      <c r="EF88" s="124"/>
      <c r="EG88" s="124"/>
      <c r="EH88" s="124"/>
      <c r="EI88" s="124"/>
      <c r="EJ88" s="124"/>
      <c r="EK88" s="124"/>
      <c r="EL88" s="124"/>
      <c r="EM88" s="124"/>
      <c r="EN88" s="124"/>
      <c r="EO88" s="125"/>
      <c r="EP88" s="301"/>
      <c r="EQ88" s="151"/>
      <c r="ER88" s="131">
        <f>SUM(DP88:EQ88)</f>
      </c>
      <c r="ES88" s="121"/>
      <c r="ET88" s="122"/>
      <c r="EU88" s="123"/>
      <c r="EV88" s="124"/>
      <c r="EW88" s="124"/>
      <c r="EX88" s="124"/>
      <c r="EY88" s="124"/>
      <c r="EZ88" s="124"/>
      <c r="FA88" s="124"/>
      <c r="FB88" s="125"/>
      <c r="FC88" s="126"/>
      <c r="FD88" s="124"/>
      <c r="FE88" s="124"/>
      <c r="FF88" s="127"/>
      <c r="FG88" s="123"/>
      <c r="FH88" s="124"/>
      <c r="FI88" s="124"/>
      <c r="FJ88" s="124"/>
      <c r="FK88" s="124"/>
      <c r="FL88" s="124"/>
      <c r="FM88" s="124"/>
      <c r="FN88" s="124"/>
      <c r="FO88" s="124"/>
      <c r="FP88" s="124"/>
      <c r="FQ88" s="124"/>
      <c r="FR88" s="125"/>
      <c r="FS88" s="301"/>
      <c r="FT88" s="151"/>
      <c r="FU88" s="131">
        <f>SUM(ES88:FT88)</f>
      </c>
      <c r="FV88" s="121"/>
      <c r="FW88" s="122"/>
      <c r="FX88" s="123"/>
      <c r="FY88" s="124"/>
      <c r="FZ88" s="124"/>
      <c r="GA88" s="124"/>
      <c r="GB88" s="124"/>
      <c r="GC88" s="124"/>
      <c r="GD88" s="124"/>
      <c r="GE88" s="125"/>
      <c r="GF88" s="126"/>
      <c r="GG88" s="124"/>
      <c r="GH88" s="124"/>
      <c r="GI88" s="127"/>
      <c r="GJ88" s="123"/>
      <c r="GK88" s="124"/>
      <c r="GL88" s="124"/>
      <c r="GM88" s="124"/>
      <c r="GN88" s="124"/>
      <c r="GO88" s="124"/>
      <c r="GP88" s="124"/>
      <c r="GQ88" s="124"/>
      <c r="GR88" s="124"/>
      <c r="GS88" s="124"/>
      <c r="GT88" s="124"/>
      <c r="GU88" s="125"/>
      <c r="GV88" s="301"/>
      <c r="GW88" s="151"/>
      <c r="GX88" s="131">
        <f>SUM(FV88:GW88)</f>
      </c>
      <c r="GY88" s="150">
        <f>AF88+BI88+CL88+DO88+ER88+FU88+GX88</f>
      </c>
      <c r="GZ88" s="302">
        <f>(COUNTIF(D88:GX88,"H")+COUNTIF(D88:GX88,"S")+COUNTIF(D88:GX88,"L")+COUNTIF(D88:GX88,"E")+COUNTIF(D88:GX88,"C"))/2</f>
      </c>
      <c r="HA88" s="131">
        <f>GY88+GZ88</f>
      </c>
      <c r="HB88" s="134"/>
      <c r="HC88" s="135"/>
      <c r="HD88" s="136"/>
      <c r="HE88" s="18" t="s">
        <v>4</v>
      </c>
      <c r="HF88" s="18" t="s">
        <v>4</v>
      </c>
      <c r="HG88" s="18" t="s">
        <v>4</v>
      </c>
      <c r="HH88" s="18" t="s">
        <v>4</v>
      </c>
      <c r="HI88" s="18" t="s">
        <v>4</v>
      </c>
      <c r="HJ88" s="18" t="s">
        <v>4</v>
      </c>
      <c r="HK88" s="222" t="s">
        <v>4</v>
      </c>
      <c r="HL88" s="223" t="s">
        <v>4</v>
      </c>
      <c r="HM88" s="137"/>
      <c r="HN88" s="137"/>
      <c r="HO88" s="224" t="s">
        <v>4</v>
      </c>
      <c r="HP88" s="225" t="s">
        <v>4</v>
      </c>
      <c r="HQ88" s="18" t="s">
        <v>4</v>
      </c>
      <c r="HR88" s="18" t="s">
        <v>4</v>
      </c>
      <c r="HS88" s="18" t="s">
        <v>4</v>
      </c>
      <c r="HT88" s="18" t="s">
        <v>4</v>
      </c>
      <c r="HU88" s="18" t="s">
        <v>4</v>
      </c>
      <c r="HV88" s="18" t="s">
        <v>4</v>
      </c>
      <c r="HW88" s="137"/>
      <c r="HX88" s="137"/>
      <c r="HY88" s="137"/>
      <c r="HZ88" s="137"/>
      <c r="IA88" s="153"/>
      <c r="IB88" s="304"/>
      <c r="IC88" s="152"/>
      <c r="ID88" s="131">
        <f>SUM(HB88:IC88)</f>
      </c>
      <c r="IE88" s="134"/>
      <c r="IF88" s="135"/>
      <c r="IG88" s="136"/>
      <c r="IH88" s="18" t="s">
        <v>4</v>
      </c>
      <c r="II88" s="18" t="s">
        <v>4</v>
      </c>
      <c r="IJ88" s="18" t="s">
        <v>4</v>
      </c>
      <c r="IK88" s="18" t="s">
        <v>4</v>
      </c>
      <c r="IL88" s="18" t="s">
        <v>4</v>
      </c>
      <c r="IM88" s="18" t="s">
        <v>4</v>
      </c>
      <c r="IN88" s="222" t="s">
        <v>4</v>
      </c>
      <c r="IO88" s="223" t="s">
        <v>4</v>
      </c>
      <c r="IP88" s="137"/>
      <c r="IQ88" s="137"/>
      <c r="IR88" s="224" t="s">
        <v>4</v>
      </c>
      <c r="IS88" s="225" t="s">
        <v>4</v>
      </c>
      <c r="IT88" s="18" t="s">
        <v>4</v>
      </c>
      <c r="IU88" s="18" t="s">
        <v>4</v>
      </c>
      <c r="IV88" s="18" t="s">
        <v>4</v>
      </c>
      <c r="IW88" s="18" t="s">
        <v>4</v>
      </c>
      <c r="IX88" s="18" t="s">
        <v>4</v>
      </c>
      <c r="IY88" s="18" t="s">
        <v>4</v>
      </c>
      <c r="IZ88" s="137"/>
      <c r="JA88" s="137"/>
      <c r="JB88" s="137"/>
      <c r="JC88" s="137"/>
      <c r="JD88" s="153"/>
      <c r="JE88" s="304"/>
      <c r="JF88" s="152"/>
      <c r="JG88" s="131">
        <f>SUM(IE88:JF88)</f>
      </c>
      <c r="JH88" s="134"/>
      <c r="JI88" s="135"/>
      <c r="JJ88" s="136"/>
      <c r="JK88" s="18" t="s">
        <v>4</v>
      </c>
      <c r="JL88" s="18" t="s">
        <v>4</v>
      </c>
      <c r="JM88" s="18" t="s">
        <v>4</v>
      </c>
      <c r="JN88" s="18" t="s">
        <v>4</v>
      </c>
      <c r="JO88" s="18" t="s">
        <v>4</v>
      </c>
      <c r="JP88" s="18" t="s">
        <v>4</v>
      </c>
      <c r="JQ88" s="222" t="s">
        <v>4</v>
      </c>
      <c r="JR88" s="223" t="s">
        <v>4</v>
      </c>
      <c r="JS88" s="137"/>
      <c r="JT88" s="137"/>
      <c r="JU88" s="224" t="s">
        <v>4</v>
      </c>
      <c r="JV88" s="225" t="s">
        <v>4</v>
      </c>
      <c r="JW88" s="18" t="s">
        <v>4</v>
      </c>
      <c r="JX88" s="18" t="s">
        <v>4</v>
      </c>
      <c r="JY88" s="18" t="s">
        <v>4</v>
      </c>
      <c r="JZ88" s="18" t="s">
        <v>4</v>
      </c>
      <c r="KA88" s="18" t="s">
        <v>4</v>
      </c>
      <c r="KB88" s="18" t="s">
        <v>4</v>
      </c>
      <c r="KC88" s="137"/>
      <c r="KD88" s="137"/>
      <c r="KE88" s="137"/>
      <c r="KF88" s="137"/>
      <c r="KG88" s="153"/>
      <c r="KH88" s="304"/>
      <c r="KI88" s="152"/>
      <c r="KJ88" s="131">
        <f>SUM(JH88:KI88)</f>
      </c>
      <c r="KK88" s="134"/>
      <c r="KL88" s="135"/>
      <c r="KM88" s="136"/>
      <c r="KN88" s="18" t="s">
        <v>4</v>
      </c>
      <c r="KO88" s="18" t="s">
        <v>4</v>
      </c>
      <c r="KP88" s="18" t="s">
        <v>4</v>
      </c>
      <c r="KQ88" s="18" t="s">
        <v>4</v>
      </c>
      <c r="KR88" s="18" t="s">
        <v>4</v>
      </c>
      <c r="KS88" s="18" t="s">
        <v>4</v>
      </c>
      <c r="KT88" s="222" t="s">
        <v>4</v>
      </c>
      <c r="KU88" s="223" t="s">
        <v>4</v>
      </c>
      <c r="KV88" s="137"/>
      <c r="KW88" s="137"/>
      <c r="KX88" s="224" t="s">
        <v>4</v>
      </c>
      <c r="KY88" s="225" t="s">
        <v>4</v>
      </c>
      <c r="KZ88" s="18" t="s">
        <v>4</v>
      </c>
      <c r="LA88" s="18" t="s">
        <v>4</v>
      </c>
      <c r="LB88" s="18" t="s">
        <v>4</v>
      </c>
      <c r="LC88" s="18" t="s">
        <v>4</v>
      </c>
      <c r="LD88" s="18" t="s">
        <v>4</v>
      </c>
      <c r="LE88" s="18" t="s">
        <v>4</v>
      </c>
      <c r="LF88" s="137"/>
      <c r="LG88" s="137"/>
      <c r="LH88" s="137"/>
      <c r="LI88" s="137"/>
      <c r="LJ88" s="153"/>
      <c r="LK88" s="304"/>
      <c r="LL88" s="152"/>
      <c r="LM88" s="131">
        <f>SUM(KK88:LL88)</f>
      </c>
      <c r="LN88" s="134"/>
      <c r="LO88" s="135"/>
      <c r="LP88" s="136"/>
      <c r="LQ88" s="18" t="s">
        <v>4</v>
      </c>
      <c r="LR88" s="18" t="s">
        <v>4</v>
      </c>
      <c r="LS88" s="18" t="s">
        <v>4</v>
      </c>
      <c r="LT88" s="18" t="s">
        <v>4</v>
      </c>
      <c r="LU88" s="18" t="s">
        <v>4</v>
      </c>
      <c r="LV88" s="18" t="s">
        <v>4</v>
      </c>
      <c r="LW88" s="222" t="s">
        <v>4</v>
      </c>
      <c r="LX88" s="223" t="s">
        <v>4</v>
      </c>
      <c r="LY88" s="137"/>
      <c r="LZ88" s="137"/>
      <c r="MA88" s="224" t="s">
        <v>4</v>
      </c>
      <c r="MB88" s="225" t="s">
        <v>4</v>
      </c>
      <c r="MC88" s="18" t="s">
        <v>4</v>
      </c>
      <c r="MD88" s="18" t="s">
        <v>4</v>
      </c>
      <c r="ME88" s="18" t="s">
        <v>4</v>
      </c>
      <c r="MF88" s="18" t="s">
        <v>4</v>
      </c>
      <c r="MG88" s="18" t="s">
        <v>4</v>
      </c>
      <c r="MH88" s="18" t="s">
        <v>4</v>
      </c>
      <c r="MI88" s="137"/>
      <c r="MJ88" s="137"/>
      <c r="MK88" s="137"/>
      <c r="ML88" s="137"/>
      <c r="MM88" s="153"/>
      <c r="MN88" s="304"/>
      <c r="MO88" s="152"/>
      <c r="MP88" s="131">
        <f>SUM(LN88:MO88)</f>
      </c>
      <c r="MQ88" s="121"/>
      <c r="MR88" s="122"/>
      <c r="MS88" s="123"/>
      <c r="MT88" s="124"/>
      <c r="MU88" s="124"/>
      <c r="MV88" s="124"/>
      <c r="MW88" s="124"/>
      <c r="MX88" s="124"/>
      <c r="MY88" s="124"/>
      <c r="MZ88" s="125"/>
      <c r="NA88" s="126"/>
      <c r="NB88" s="124"/>
      <c r="NC88" s="124"/>
      <c r="ND88" s="127"/>
      <c r="NE88" s="123"/>
      <c r="NF88" s="124"/>
      <c r="NG88" s="124"/>
      <c r="NH88" s="124"/>
      <c r="NI88" s="124"/>
      <c r="NJ88" s="124"/>
      <c r="NK88" s="124"/>
      <c r="NL88" s="124"/>
      <c r="NM88" s="124"/>
      <c r="NN88" s="124"/>
      <c r="NO88" s="124"/>
      <c r="NP88" s="125"/>
      <c r="NQ88" s="301"/>
      <c r="NR88" s="151"/>
      <c r="NS88" s="131">
        <f>SUM(MQ88:NR88)</f>
      </c>
      <c r="NT88" s="121"/>
      <c r="NU88" s="122"/>
      <c r="NV88" s="123"/>
      <c r="NW88" s="124"/>
      <c r="NX88" s="124"/>
      <c r="NY88" s="124"/>
      <c r="NZ88" s="124"/>
      <c r="OA88" s="124"/>
      <c r="OB88" s="124"/>
      <c r="OC88" s="125"/>
      <c r="OD88" s="126"/>
      <c r="OE88" s="124"/>
      <c r="OF88" s="124"/>
      <c r="OG88" s="127"/>
      <c r="OH88" s="123"/>
      <c r="OI88" s="124"/>
      <c r="OJ88" s="124"/>
      <c r="OK88" s="124"/>
      <c r="OL88" s="124"/>
      <c r="OM88" s="124"/>
      <c r="ON88" s="124"/>
      <c r="OO88" s="124"/>
      <c r="OP88" s="124"/>
      <c r="OQ88" s="124"/>
      <c r="OR88" s="124"/>
      <c r="OS88" s="125"/>
      <c r="OT88" s="301"/>
      <c r="OU88" s="151"/>
      <c r="OV88" s="131">
        <f>SUM(NT88:OU88)</f>
      </c>
      <c r="OW88" s="150">
        <f>ID88+JG88+KJ88+LM88+MP88+NS88+OV88</f>
      </c>
      <c r="OX88" s="302">
        <f>(COUNTIF(HB88:OV88,"H")+COUNTIF(HB88:OV88,"S")+COUNTIF(HB88:OV88,"L")+COUNTIF(HB88:OV88,"E")+COUNTIF(HB88:OV88,"C"))/2</f>
      </c>
      <c r="OY88" s="131">
        <f>OW88+OX88</f>
      </c>
      <c r="OZ88" s="134"/>
      <c r="PA88" s="135"/>
      <c r="PB88" s="136"/>
      <c r="PC88" s="137"/>
      <c r="PD88" s="137"/>
      <c r="PE88" s="143">
        <v>0.5</v>
      </c>
      <c r="PF88" s="143">
        <v>0.5</v>
      </c>
      <c r="PG88" s="143">
        <v>0.5</v>
      </c>
      <c r="PH88" s="138">
        <v>0.5</v>
      </c>
      <c r="PI88" s="139">
        <v>0.5</v>
      </c>
      <c r="PJ88" s="155"/>
      <c r="PK88" s="137"/>
      <c r="PL88" s="138">
        <v>0.5</v>
      </c>
      <c r="PM88" s="149">
        <v>0.5</v>
      </c>
      <c r="PN88" s="142">
        <v>0.5</v>
      </c>
      <c r="PO88" s="138">
        <v>0.5</v>
      </c>
      <c r="PP88" s="143">
        <v>0.5</v>
      </c>
      <c r="PQ88" s="143">
        <v>0.5</v>
      </c>
      <c r="PR88" s="143">
        <v>0.5</v>
      </c>
      <c r="PS88" s="143">
        <v>0.5</v>
      </c>
      <c r="PT88" s="143">
        <v>0.5</v>
      </c>
      <c r="PU88" s="143">
        <v>0.5</v>
      </c>
      <c r="PV88" s="143">
        <v>0.5</v>
      </c>
      <c r="PW88" s="137"/>
      <c r="PX88" s="137"/>
      <c r="PY88" s="153"/>
      <c r="PZ88" s="304"/>
      <c r="QA88" s="152"/>
      <c r="QB88" s="131">
        <f>SUM(OZ88:QA88)</f>
      </c>
      <c r="QC88" s="134"/>
      <c r="QD88" s="135"/>
      <c r="QE88" s="136"/>
      <c r="QF88" s="137"/>
      <c r="QG88" s="137"/>
      <c r="QH88" s="143">
        <v>0.5</v>
      </c>
      <c r="QI88" s="143">
        <v>0.5</v>
      </c>
      <c r="QJ88" s="143">
        <v>0.5</v>
      </c>
      <c r="QK88" s="138">
        <v>0.5</v>
      </c>
      <c r="QL88" s="139">
        <v>0.5</v>
      </c>
      <c r="QM88" s="155"/>
      <c r="QN88" s="137"/>
      <c r="QO88" s="138">
        <v>0.5</v>
      </c>
      <c r="QP88" s="149">
        <v>0.5</v>
      </c>
      <c r="QQ88" s="142">
        <v>0.5</v>
      </c>
      <c r="QR88" s="138">
        <v>0.5</v>
      </c>
      <c r="QS88" s="143">
        <v>0.5</v>
      </c>
      <c r="QT88" s="143">
        <v>0.5</v>
      </c>
      <c r="QU88" s="143">
        <v>0.5</v>
      </c>
      <c r="QV88" s="143">
        <v>0.5</v>
      </c>
      <c r="QW88" s="143">
        <v>0.5</v>
      </c>
      <c r="QX88" s="143">
        <v>0.5</v>
      </c>
      <c r="QY88" s="143">
        <v>0.5</v>
      </c>
      <c r="QZ88" s="137"/>
      <c r="RA88" s="137"/>
      <c r="RB88" s="153"/>
      <c r="RC88" s="304"/>
      <c r="RD88" s="152"/>
      <c r="RE88" s="131">
        <f>SUM(QC88:RD88)</f>
      </c>
      <c r="RF88" s="134"/>
      <c r="RG88" s="135"/>
      <c r="RH88" s="136"/>
      <c r="RI88" s="137"/>
      <c r="RJ88" s="137"/>
      <c r="RK88" s="143">
        <v>0.5</v>
      </c>
      <c r="RL88" s="143">
        <v>0.5</v>
      </c>
      <c r="RM88" s="143">
        <v>0.5</v>
      </c>
      <c r="RN88" s="138">
        <v>0.5</v>
      </c>
      <c r="RO88" s="139">
        <v>0.5</v>
      </c>
      <c r="RP88" s="155"/>
      <c r="RQ88" s="137"/>
      <c r="RR88" s="138">
        <v>0.5</v>
      </c>
      <c r="RS88" s="149">
        <v>0.5</v>
      </c>
      <c r="RT88" s="142">
        <v>0.5</v>
      </c>
      <c r="RU88" s="138">
        <v>0.5</v>
      </c>
      <c r="RV88" s="143">
        <v>0.5</v>
      </c>
      <c r="RW88" s="143">
        <v>0.5</v>
      </c>
      <c r="RX88" s="143">
        <v>0.5</v>
      </c>
      <c r="RY88" s="143">
        <v>0.5</v>
      </c>
      <c r="RZ88" s="143">
        <v>0.5</v>
      </c>
      <c r="SA88" s="143">
        <v>0.5</v>
      </c>
      <c r="SB88" s="143">
        <v>0.5</v>
      </c>
      <c r="SC88" s="137"/>
      <c r="SD88" s="137"/>
      <c r="SE88" s="153"/>
      <c r="SF88" s="304"/>
      <c r="SG88" s="152"/>
      <c r="SH88" s="131">
        <f>SUM(RF88:SG88)</f>
      </c>
      <c r="SI88" s="134"/>
      <c r="SJ88" s="135"/>
      <c r="SK88" s="136"/>
      <c r="SL88" s="137"/>
      <c r="SM88" s="137"/>
      <c r="SN88" s="143">
        <v>0.5</v>
      </c>
      <c r="SO88" s="143">
        <v>0.5</v>
      </c>
      <c r="SP88" s="143">
        <v>0.5</v>
      </c>
      <c r="SQ88" s="138">
        <v>0.5</v>
      </c>
      <c r="SR88" s="139">
        <v>0.5</v>
      </c>
      <c r="SS88" s="155"/>
      <c r="ST88" s="137"/>
      <c r="SU88" s="138">
        <v>0.5</v>
      </c>
      <c r="SV88" s="149">
        <v>0.5</v>
      </c>
      <c r="SW88" s="142">
        <v>0.5</v>
      </c>
      <c r="SX88" s="138">
        <v>0.5</v>
      </c>
      <c r="SY88" s="143">
        <v>0.5</v>
      </c>
      <c r="SZ88" s="143">
        <v>0.5</v>
      </c>
      <c r="TA88" s="143">
        <v>0.5</v>
      </c>
      <c r="TB88" s="143">
        <v>0.5</v>
      </c>
      <c r="TC88" s="143">
        <v>0.5</v>
      </c>
      <c r="TD88" s="143">
        <v>0.5</v>
      </c>
      <c r="TE88" s="143">
        <v>0.5</v>
      </c>
      <c r="TF88" s="137"/>
      <c r="TG88" s="137"/>
      <c r="TH88" s="153"/>
      <c r="TI88" s="304"/>
      <c r="TJ88" s="152"/>
      <c r="TK88" s="131">
        <f>SUM(SI88:TJ88)</f>
      </c>
      <c r="TL88" s="134"/>
      <c r="TM88" s="135"/>
      <c r="TN88" s="136"/>
      <c r="TO88" s="137"/>
      <c r="TP88" s="137"/>
      <c r="TQ88" s="143">
        <v>0.5</v>
      </c>
      <c r="TR88" s="143">
        <v>0.5</v>
      </c>
      <c r="TS88" s="143">
        <v>0.5</v>
      </c>
      <c r="TT88" s="138">
        <v>0.5</v>
      </c>
      <c r="TU88" s="139">
        <v>0.5</v>
      </c>
      <c r="TV88" s="155"/>
      <c r="TW88" s="137"/>
      <c r="TX88" s="138">
        <v>0.5</v>
      </c>
      <c r="TY88" s="149">
        <v>0.5</v>
      </c>
      <c r="TZ88" s="142">
        <v>0.5</v>
      </c>
      <c r="UA88" s="138">
        <v>0.5</v>
      </c>
      <c r="UB88" s="143">
        <v>0.5</v>
      </c>
      <c r="UC88" s="143">
        <v>0.5</v>
      </c>
      <c r="UD88" s="143">
        <v>0.5</v>
      </c>
      <c r="UE88" s="143">
        <v>0.5</v>
      </c>
      <c r="UF88" s="143">
        <v>0.5</v>
      </c>
      <c r="UG88" s="143">
        <v>0.5</v>
      </c>
      <c r="UH88" s="143">
        <v>0.5</v>
      </c>
      <c r="UI88" s="137"/>
      <c r="UJ88" s="137"/>
      <c r="UK88" s="153"/>
      <c r="UL88" s="304"/>
      <c r="UM88" s="152"/>
      <c r="UN88" s="131">
        <f>SUM(TL88:UM88)</f>
      </c>
      <c r="UO88" s="121"/>
      <c r="UP88" s="122"/>
      <c r="UQ88" s="123"/>
      <c r="UR88" s="124"/>
      <c r="US88" s="124"/>
      <c r="UT88" s="124"/>
      <c r="UU88" s="124"/>
      <c r="UV88" s="124"/>
      <c r="UW88" s="124"/>
      <c r="UX88" s="125"/>
      <c r="UY88" s="126"/>
      <c r="UZ88" s="124"/>
      <c r="VA88" s="124"/>
      <c r="VB88" s="127"/>
      <c r="VC88" s="123"/>
      <c r="VD88" s="124"/>
      <c r="VE88" s="124"/>
      <c r="VF88" s="124"/>
      <c r="VG88" s="124"/>
      <c r="VH88" s="124"/>
      <c r="VI88" s="124"/>
      <c r="VJ88" s="124"/>
      <c r="VK88" s="124"/>
      <c r="VL88" s="124"/>
      <c r="VM88" s="124"/>
      <c r="VN88" s="125"/>
      <c r="VO88" s="301"/>
      <c r="VP88" s="151"/>
      <c r="VQ88" s="131">
        <f>SUM(UO88:VP88)</f>
      </c>
      <c r="VR88" s="121"/>
      <c r="VS88" s="122"/>
      <c r="VT88" s="123"/>
      <c r="VU88" s="124"/>
      <c r="VV88" s="124"/>
      <c r="VW88" s="124"/>
      <c r="VX88" s="124"/>
      <c r="VY88" s="124"/>
      <c r="VZ88" s="124"/>
      <c r="WA88" s="125"/>
      <c r="WB88" s="126"/>
      <c r="WC88" s="124"/>
      <c r="WD88" s="124"/>
      <c r="WE88" s="127"/>
      <c r="WF88" s="123"/>
      <c r="WG88" s="124"/>
      <c r="WH88" s="124"/>
      <c r="WI88" s="124"/>
      <c r="WJ88" s="124"/>
      <c r="WK88" s="124"/>
      <c r="WL88" s="124"/>
      <c r="WM88" s="124"/>
      <c r="WN88" s="124"/>
      <c r="WO88" s="124"/>
      <c r="WP88" s="124"/>
      <c r="WQ88" s="125"/>
      <c r="WR88" s="301"/>
      <c r="WS88" s="151"/>
      <c r="WT88" s="131">
        <f>SUM(VR88:WS88)</f>
      </c>
      <c r="WU88" s="150">
        <f>QB88+RE88+SH88+TK88+UN88+VQ88+WT88</f>
      </c>
      <c r="WV88" s="302">
        <f>(COUNTIF(OZ88:WT88,"H")+COUNTIF(OZ88:WT88,"S")+COUNTIF(OZ88:WT88,"L")+COUNTIF(OZ88:WT88,"E")+COUNTIF(OZ88:WT88,"C"))/2</f>
      </c>
      <c r="WW88" s="131">
        <f>WU88+WV88</f>
      </c>
      <c r="WX88" s="134"/>
      <c r="WY88" s="135"/>
      <c r="WZ88" s="339">
        <v>0.5</v>
      </c>
      <c r="XA88" s="34">
        <v>0.5</v>
      </c>
      <c r="XB88" s="34">
        <v>0.5</v>
      </c>
      <c r="XC88" s="34">
        <v>0.5</v>
      </c>
      <c r="XD88" s="34">
        <v>0.5</v>
      </c>
      <c r="XE88" s="34">
        <v>0.5</v>
      </c>
      <c r="XF88" s="34">
        <v>0.5</v>
      </c>
      <c r="XG88" s="555">
        <v>0.5</v>
      </c>
      <c r="XH88" s="556">
        <v>0.5</v>
      </c>
      <c r="XI88" s="34">
        <v>0.5</v>
      </c>
      <c r="XJ88" s="137"/>
      <c r="XK88" s="141"/>
      <c r="XL88" s="142">
        <v>0.5</v>
      </c>
      <c r="XM88" s="138">
        <v>0.5</v>
      </c>
      <c r="XN88" s="143">
        <v>0.5</v>
      </c>
      <c r="XO88" s="143">
        <v>0.5</v>
      </c>
      <c r="XP88" s="143">
        <v>0.5</v>
      </c>
      <c r="XQ88" s="143">
        <v>0.5</v>
      </c>
      <c r="XR88" s="137"/>
      <c r="XS88" s="137"/>
      <c r="XT88" s="137"/>
      <c r="XU88" s="137"/>
      <c r="XV88" s="137"/>
      <c r="XW88" s="153"/>
      <c r="XX88" s="304"/>
      <c r="XY88" s="152"/>
      <c r="XZ88" s="131">
        <f>SUM(WX88:XY88)</f>
      </c>
      <c r="YA88" s="134"/>
      <c r="YB88" s="135"/>
      <c r="YC88" s="339">
        <v>0.5</v>
      </c>
      <c r="YD88" s="34">
        <v>0.5</v>
      </c>
      <c r="YE88" s="34">
        <v>0.5</v>
      </c>
      <c r="YF88" s="34">
        <v>0.5</v>
      </c>
      <c r="YG88" s="34">
        <v>0.5</v>
      </c>
      <c r="YH88" s="34">
        <v>0.5</v>
      </c>
      <c r="YI88" s="34">
        <v>0.5</v>
      </c>
      <c r="YJ88" s="555">
        <v>0.5</v>
      </c>
      <c r="YK88" s="556">
        <v>0.5</v>
      </c>
      <c r="YL88" s="34">
        <v>0.5</v>
      </c>
      <c r="YM88" s="137"/>
      <c r="YN88" s="141"/>
      <c r="YO88" s="142">
        <v>0.5</v>
      </c>
      <c r="YP88" s="138">
        <v>0.5</v>
      </c>
      <c r="YQ88" s="143">
        <v>0.5</v>
      </c>
      <c r="YR88" s="143">
        <v>0.5</v>
      </c>
      <c r="YS88" s="143">
        <v>0.5</v>
      </c>
      <c r="YT88" s="143">
        <v>0.5</v>
      </c>
      <c r="YU88" s="137"/>
      <c r="YV88" s="137"/>
      <c r="YW88" s="137"/>
      <c r="YX88" s="137"/>
      <c r="YY88" s="137"/>
      <c r="YZ88" s="153"/>
      <c r="ZA88" s="304"/>
      <c r="ZB88" s="152"/>
      <c r="ZC88" s="131">
        <f>SUM(YA88:ZB88)</f>
      </c>
      <c r="ZD88" s="134"/>
      <c r="ZE88" s="135"/>
      <c r="ZF88" s="339">
        <v>0.5</v>
      </c>
      <c r="ZG88" s="34">
        <v>0.5</v>
      </c>
      <c r="ZH88" s="34">
        <v>0.5</v>
      </c>
      <c r="ZI88" s="34">
        <v>0.5</v>
      </c>
      <c r="ZJ88" s="34">
        <v>0.5</v>
      </c>
      <c r="ZK88" s="34">
        <v>0.5</v>
      </c>
      <c r="ZL88" s="34">
        <v>0.5</v>
      </c>
      <c r="ZM88" s="555">
        <v>0.5</v>
      </c>
      <c r="ZN88" s="556">
        <v>0.5</v>
      </c>
      <c r="ZO88" s="34">
        <v>0.5</v>
      </c>
      <c r="ZP88" s="137"/>
      <c r="ZQ88" s="141"/>
      <c r="ZR88" s="142">
        <v>0.5</v>
      </c>
      <c r="ZS88" s="138">
        <v>0.5</v>
      </c>
      <c r="ZT88" s="143">
        <v>0.5</v>
      </c>
      <c r="ZU88" s="143">
        <v>0.5</v>
      </c>
      <c r="ZV88" s="143">
        <v>0.5</v>
      </c>
      <c r="ZW88" s="143">
        <v>0.5</v>
      </c>
      <c r="ZX88" s="137"/>
      <c r="ZY88" s="137"/>
      <c r="ZZ88" s="137"/>
      <c r="AAA88" s="137"/>
      <c r="AAB88" s="137"/>
      <c r="AAC88" s="153"/>
      <c r="AAD88" s="304"/>
      <c r="AAE88" s="152"/>
      <c r="AAF88" s="131">
        <f>SUM(ZD88:AAE88)</f>
      </c>
      <c r="AAG88" s="134"/>
      <c r="AAH88" s="135"/>
      <c r="AAI88" s="339">
        <v>0.5</v>
      </c>
      <c r="AAJ88" s="34">
        <v>0.5</v>
      </c>
      <c r="AAK88" s="34">
        <v>0.5</v>
      </c>
      <c r="AAL88" s="34">
        <v>0.5</v>
      </c>
      <c r="AAM88" s="34">
        <v>0.5</v>
      </c>
      <c r="AAN88" s="34">
        <v>0.5</v>
      </c>
      <c r="AAO88" s="34">
        <v>0.5</v>
      </c>
      <c r="AAP88" s="555">
        <v>0.5</v>
      </c>
      <c r="AAQ88" s="556">
        <v>0.5</v>
      </c>
      <c r="AAR88" s="34">
        <v>0.5</v>
      </c>
      <c r="AAS88" s="137"/>
      <c r="AAT88" s="141"/>
      <c r="AAU88" s="142">
        <v>0.5</v>
      </c>
      <c r="AAV88" s="138">
        <v>0.5</v>
      </c>
      <c r="AAW88" s="143">
        <v>0.5</v>
      </c>
      <c r="AAX88" s="143">
        <v>0.5</v>
      </c>
      <c r="AAY88" s="143">
        <v>0.5</v>
      </c>
      <c r="AAZ88" s="143">
        <v>0.5</v>
      </c>
      <c r="ABA88" s="137"/>
      <c r="ABB88" s="137"/>
      <c r="ABC88" s="137"/>
      <c r="ABD88" s="137"/>
      <c r="ABE88" s="137"/>
      <c r="ABF88" s="153"/>
      <c r="ABG88" s="304"/>
      <c r="ABH88" s="152"/>
      <c r="ABI88" s="131">
        <f>SUM(AAG88:ABH88)</f>
      </c>
      <c r="ABJ88" s="134"/>
      <c r="ABK88" s="135"/>
      <c r="ABL88" s="339">
        <v>0.5</v>
      </c>
      <c r="ABM88" s="34">
        <v>0.5</v>
      </c>
      <c r="ABN88" s="34">
        <v>0.5</v>
      </c>
      <c r="ABO88" s="34">
        <v>0.5</v>
      </c>
      <c r="ABP88" s="34">
        <v>0.5</v>
      </c>
      <c r="ABQ88" s="34">
        <v>0.5</v>
      </c>
      <c r="ABR88" s="34">
        <v>0.5</v>
      </c>
      <c r="ABS88" s="555">
        <v>0.5</v>
      </c>
      <c r="ABT88" s="556">
        <v>0.5</v>
      </c>
      <c r="ABU88" s="34">
        <v>0.5</v>
      </c>
      <c r="ABV88" s="137"/>
      <c r="ABW88" s="141"/>
      <c r="ABX88" s="142">
        <v>0.5</v>
      </c>
      <c r="ABY88" s="138">
        <v>0.5</v>
      </c>
      <c r="ABZ88" s="143">
        <v>0.5</v>
      </c>
      <c r="ACA88" s="143">
        <v>0.5</v>
      </c>
      <c r="ACB88" s="143">
        <v>0.5</v>
      </c>
      <c r="ACC88" s="143">
        <v>0.5</v>
      </c>
      <c r="ACD88" s="137"/>
      <c r="ACE88" s="137"/>
      <c r="ACF88" s="137"/>
      <c r="ACG88" s="137"/>
      <c r="ACH88" s="137"/>
      <c r="ACI88" s="153"/>
      <c r="ACJ88" s="304"/>
      <c r="ACK88" s="152"/>
      <c r="ACL88" s="131">
        <f>SUM(ABJ88:ACK88)</f>
      </c>
      <c r="ACM88" s="121"/>
      <c r="ACN88" s="122"/>
      <c r="ACO88" s="123"/>
      <c r="ACP88" s="124"/>
      <c r="ACQ88" s="124"/>
      <c r="ACR88" s="124"/>
      <c r="ACS88" s="124"/>
      <c r="ACT88" s="124"/>
      <c r="ACU88" s="124"/>
      <c r="ACV88" s="125"/>
      <c r="ACW88" s="126"/>
      <c r="ACX88" s="124"/>
      <c r="ACY88" s="124"/>
      <c r="ACZ88" s="127"/>
      <c r="ADA88" s="123"/>
      <c r="ADB88" s="124"/>
      <c r="ADC88" s="124"/>
      <c r="ADD88" s="124"/>
      <c r="ADE88" s="124"/>
      <c r="ADF88" s="124"/>
      <c r="ADG88" s="124"/>
      <c r="ADH88" s="124"/>
      <c r="ADI88" s="124"/>
      <c r="ADJ88" s="124"/>
      <c r="ADK88" s="124"/>
      <c r="ADL88" s="125"/>
      <c r="ADM88" s="301"/>
      <c r="ADN88" s="151"/>
      <c r="ADO88" s="131">
        <f>SUM(ACM88:ADN88)</f>
      </c>
      <c r="ADP88" s="121"/>
      <c r="ADQ88" s="122"/>
      <c r="ADR88" s="123"/>
      <c r="ADS88" s="124"/>
      <c r="ADT88" s="124"/>
      <c r="ADU88" s="124"/>
      <c r="ADV88" s="124"/>
      <c r="ADW88" s="124"/>
      <c r="ADX88" s="124"/>
      <c r="ADY88" s="125"/>
      <c r="ADZ88" s="126"/>
      <c r="AEA88" s="124"/>
      <c r="AEB88" s="124"/>
      <c r="AEC88" s="127"/>
      <c r="AED88" s="123"/>
      <c r="AEE88" s="124"/>
      <c r="AEF88" s="124"/>
      <c r="AEG88" s="124"/>
      <c r="AEH88" s="124"/>
      <c r="AEI88" s="124"/>
      <c r="AEJ88" s="124"/>
      <c r="AEK88" s="124"/>
      <c r="AEL88" s="124"/>
      <c r="AEM88" s="124"/>
      <c r="AEN88" s="124"/>
      <c r="AEO88" s="125"/>
      <c r="AEP88" s="301"/>
      <c r="AEQ88" s="151"/>
      <c r="AER88" s="131">
        <f>SUM(ADP88:AEQ88)</f>
      </c>
      <c r="AES88" s="150">
        <f>XZ88+ZC88+AAF88+ABI88+ACL88+ADO88+AER88</f>
      </c>
      <c r="AET88" s="302">
        <f>(COUNTIF(WX88:AER88,"H")+COUNTIF(WX88:AER88,"S")+COUNTIF(WX88:AER88,"L")+COUNTIF(WX88:AER88,"E")+COUNTIF(WX88:AER88,"C"))/2</f>
      </c>
      <c r="AEU88" s="131">
        <f>AES88+AET88</f>
      </c>
      <c r="AEV88" s="134"/>
      <c r="AEW88" s="135"/>
      <c r="AEX88" s="136"/>
      <c r="AEY88" s="137"/>
      <c r="AEZ88" s="137"/>
      <c r="AFA88" s="143">
        <v>0.5</v>
      </c>
      <c r="AFB88" s="143">
        <v>0.5</v>
      </c>
      <c r="AFC88" s="143">
        <v>0.5</v>
      </c>
      <c r="AFD88" s="138">
        <v>0.5</v>
      </c>
      <c r="AFE88" s="139">
        <v>0.5</v>
      </c>
      <c r="AFF88" s="155"/>
      <c r="AFG88" s="137"/>
      <c r="AFH88" s="138">
        <v>0.5</v>
      </c>
      <c r="AFI88" s="149">
        <v>0.5</v>
      </c>
      <c r="AFJ88" s="142">
        <v>0.5</v>
      </c>
      <c r="AFK88" s="138">
        <v>0.5</v>
      </c>
      <c r="AFL88" s="143">
        <v>0.5</v>
      </c>
      <c r="AFM88" s="143">
        <v>0.5</v>
      </c>
      <c r="AFN88" s="143">
        <v>0.5</v>
      </c>
      <c r="AFO88" s="143">
        <v>0.5</v>
      </c>
      <c r="AFP88" s="143">
        <v>0.5</v>
      </c>
      <c r="AFQ88" s="143">
        <v>0.5</v>
      </c>
      <c r="AFR88" s="143">
        <v>0.5</v>
      </c>
      <c r="AFS88" s="137"/>
      <c r="AFT88" s="137"/>
      <c r="AFU88" s="153"/>
      <c r="AFV88" s="304"/>
      <c r="AFW88" s="152"/>
      <c r="AFX88" s="131">
        <f>SUM(AEV88:AFW88)</f>
      </c>
      <c r="AFY88" s="134"/>
      <c r="AFZ88" s="135"/>
      <c r="AGA88" s="136"/>
      <c r="AGB88" s="137"/>
      <c r="AGC88" s="137"/>
      <c r="AGD88" s="143">
        <v>0.5</v>
      </c>
      <c r="AGE88" s="143">
        <v>0.5</v>
      </c>
      <c r="AGF88" s="143">
        <v>0.5</v>
      </c>
      <c r="AGG88" s="138">
        <v>0.5</v>
      </c>
      <c r="AGH88" s="139">
        <v>0.5</v>
      </c>
      <c r="AGI88" s="155"/>
      <c r="AGJ88" s="137"/>
      <c r="AGK88" s="138">
        <v>0.5</v>
      </c>
      <c r="AGL88" s="149">
        <v>0.5</v>
      </c>
      <c r="AGM88" s="142">
        <v>0.5</v>
      </c>
      <c r="AGN88" s="138">
        <v>0.5</v>
      </c>
      <c r="AGO88" s="143">
        <v>0.5</v>
      </c>
      <c r="AGP88" s="143">
        <v>0.5</v>
      </c>
      <c r="AGQ88" s="143">
        <v>0.5</v>
      </c>
      <c r="AGR88" s="143">
        <v>0.5</v>
      </c>
      <c r="AGS88" s="143">
        <v>0.5</v>
      </c>
      <c r="AGT88" s="143">
        <v>0.5</v>
      </c>
      <c r="AGU88" s="143">
        <v>0.5</v>
      </c>
      <c r="AGV88" s="137"/>
      <c r="AGW88" s="137"/>
      <c r="AGX88" s="153"/>
      <c r="AGY88" s="304"/>
      <c r="AGZ88" s="152"/>
      <c r="AHA88" s="131">
        <f>SUM(AFY88:AGZ88)</f>
      </c>
      <c r="AHB88" s="134"/>
      <c r="AHC88" s="135"/>
      <c r="AHD88" s="136"/>
      <c r="AHE88" s="137"/>
      <c r="AHF88" s="137"/>
      <c r="AHG88" s="143">
        <v>0.5</v>
      </c>
      <c r="AHH88" s="143">
        <v>0.5</v>
      </c>
      <c r="AHI88" s="143">
        <v>0.5</v>
      </c>
      <c r="AHJ88" s="138">
        <v>0.5</v>
      </c>
      <c r="AHK88" s="139">
        <v>0.5</v>
      </c>
      <c r="AHL88" s="155"/>
      <c r="AHM88" s="137"/>
      <c r="AHN88" s="138">
        <v>0.5</v>
      </c>
      <c r="AHO88" s="149">
        <v>0.5</v>
      </c>
      <c r="AHP88" s="142">
        <v>0.5</v>
      </c>
      <c r="AHQ88" s="138">
        <v>0.5</v>
      </c>
      <c r="AHR88" s="143">
        <v>0.5</v>
      </c>
      <c r="AHS88" s="143">
        <v>0.5</v>
      </c>
      <c r="AHT88" s="143">
        <v>0.5</v>
      </c>
      <c r="AHU88" s="143">
        <v>0.5</v>
      </c>
      <c r="AHV88" s="143">
        <v>0.5</v>
      </c>
      <c r="AHW88" s="143">
        <v>0.5</v>
      </c>
      <c r="AHX88" s="143">
        <v>0.5</v>
      </c>
      <c r="AHY88" s="137"/>
      <c r="AHZ88" s="137"/>
      <c r="AIA88" s="153"/>
      <c r="AIB88" s="304"/>
      <c r="AIC88" s="152"/>
      <c r="AID88" s="131">
        <f>SUM(AHB88:AIC88)</f>
      </c>
      <c r="AIE88" s="134"/>
      <c r="AIF88" s="135"/>
      <c r="AIG88" s="136"/>
      <c r="AIH88" s="137"/>
      <c r="AII88" s="137"/>
      <c r="AIJ88" s="143">
        <v>0.5</v>
      </c>
      <c r="AIK88" s="143">
        <v>0.5</v>
      </c>
      <c r="AIL88" s="143">
        <v>0.5</v>
      </c>
      <c r="AIM88" s="138">
        <v>0.5</v>
      </c>
      <c r="AIN88" s="139">
        <v>0.5</v>
      </c>
      <c r="AIO88" s="155"/>
      <c r="AIP88" s="137"/>
      <c r="AIQ88" s="138">
        <v>0.5</v>
      </c>
      <c r="AIR88" s="149">
        <v>0.5</v>
      </c>
      <c r="AIS88" s="142">
        <v>0.5</v>
      </c>
      <c r="AIT88" s="138">
        <v>0.5</v>
      </c>
      <c r="AIU88" s="143">
        <v>0.5</v>
      </c>
      <c r="AIV88" s="143">
        <v>0.5</v>
      </c>
      <c r="AIW88" s="143">
        <v>0.5</v>
      </c>
      <c r="AIX88" s="143">
        <v>0.5</v>
      </c>
      <c r="AIY88" s="143">
        <v>0.5</v>
      </c>
      <c r="AIZ88" s="143">
        <v>0.5</v>
      </c>
      <c r="AJA88" s="143">
        <v>0.5</v>
      </c>
      <c r="AJB88" s="137"/>
      <c r="AJC88" s="137"/>
      <c r="AJD88" s="153"/>
      <c r="AJE88" s="304"/>
      <c r="AJF88" s="152"/>
      <c r="AJG88" s="131">
        <f>SUM(AIE88:AJF88)</f>
      </c>
      <c r="AJH88" s="134"/>
      <c r="AJI88" s="135"/>
      <c r="AJJ88" s="136"/>
      <c r="AJK88" s="137"/>
      <c r="AJL88" s="137"/>
      <c r="AJM88" s="143">
        <v>0.5</v>
      </c>
      <c r="AJN88" s="143">
        <v>0.5</v>
      </c>
      <c r="AJO88" s="143">
        <v>0.5</v>
      </c>
      <c r="AJP88" s="138">
        <v>0.5</v>
      </c>
      <c r="AJQ88" s="139">
        <v>0.5</v>
      </c>
      <c r="AJR88" s="155"/>
      <c r="AJS88" s="137"/>
      <c r="AJT88" s="138">
        <v>0.5</v>
      </c>
      <c r="AJU88" s="149">
        <v>0.5</v>
      </c>
      <c r="AJV88" s="142">
        <v>0.5</v>
      </c>
      <c r="AJW88" s="138">
        <v>0.5</v>
      </c>
      <c r="AJX88" s="143">
        <v>0.5</v>
      </c>
      <c r="AJY88" s="143">
        <v>0.5</v>
      </c>
      <c r="AJZ88" s="143">
        <v>0.5</v>
      </c>
      <c r="AKA88" s="143">
        <v>0.5</v>
      </c>
      <c r="AKB88" s="143">
        <v>0.5</v>
      </c>
      <c r="AKC88" s="143">
        <v>0.5</v>
      </c>
      <c r="AKD88" s="143">
        <v>0.5</v>
      </c>
      <c r="AKE88" s="137"/>
      <c r="AKF88" s="137"/>
      <c r="AKG88" s="153"/>
      <c r="AKH88" s="304"/>
      <c r="AKI88" s="152"/>
      <c r="AKJ88" s="131">
        <f>SUM(AJH88:AKI88)</f>
      </c>
      <c r="AKK88" s="121"/>
      <c r="AKL88" s="122"/>
      <c r="AKM88" s="123"/>
      <c r="AKN88" s="124"/>
      <c r="AKO88" s="124"/>
      <c r="AKP88" s="124"/>
      <c r="AKQ88" s="124"/>
      <c r="AKR88" s="124"/>
      <c r="AKS88" s="124"/>
      <c r="AKT88" s="125"/>
      <c r="AKU88" s="126"/>
      <c r="AKV88" s="124"/>
      <c r="AKW88" s="124"/>
      <c r="AKX88" s="127"/>
      <c r="AKY88" s="123"/>
      <c r="AKZ88" s="124"/>
      <c r="ALA88" s="124"/>
      <c r="ALB88" s="124"/>
      <c r="ALC88" s="124"/>
      <c r="ALD88" s="124"/>
      <c r="ALE88" s="124"/>
      <c r="ALF88" s="124"/>
      <c r="ALG88" s="124"/>
      <c r="ALH88" s="124"/>
      <c r="ALI88" s="124"/>
      <c r="ALJ88" s="125"/>
      <c r="ALK88" s="301"/>
      <c r="ALL88" s="151"/>
      <c r="ALM88" s="131">
        <f>SUM(AKK88:ALL88)</f>
      </c>
      <c r="ALN88" s="121"/>
      <c r="ALO88" s="122"/>
      <c r="ALP88" s="123"/>
      <c r="ALQ88" s="124"/>
      <c r="ALR88" s="124"/>
      <c r="ALS88" s="124"/>
      <c r="ALT88" s="124"/>
      <c r="ALU88" s="124"/>
      <c r="ALV88" s="124"/>
      <c r="ALW88" s="125"/>
      <c r="ALX88" s="126"/>
      <c r="ALY88" s="124"/>
      <c r="ALZ88" s="124"/>
      <c r="AMA88" s="127"/>
      <c r="AMB88" s="123"/>
      <c r="AMC88" s="124"/>
      <c r="AMD88" s="124"/>
      <c r="AME88" s="124"/>
      <c r="AMF88" s="124"/>
      <c r="AMG88" s="124"/>
      <c r="AMH88" s="124"/>
      <c r="AMI88" s="124"/>
      <c r="AMJ88" s="124"/>
      <c r="AMK88" s="124"/>
      <c r="AML88" s="124"/>
      <c r="AMM88" s="125"/>
      <c r="AMN88" s="301"/>
      <c r="AMO88" s="151"/>
      <c r="AMP88" s="131">
        <f>SUM(ALN88:AMO88)</f>
      </c>
      <c r="AMQ88" s="150">
        <f>AFX88+AHA88+AID88+AJG88+AKJ88+ALM88+AMP88</f>
      </c>
      <c r="AMR88" s="302">
        <f>(COUNTIF(AEV88:AMP88,"H")+COUNTIF(AEV88:AMP88,"S")+COUNTIF(AEV88:AMP88,"L")+COUNTIF(AEV88:AMP88,"E")+COUNTIF(AEV88:AMP88,"C"))/2</f>
      </c>
      <c r="AMS88" s="131">
        <f>AMQ88+AMR88</f>
      </c>
      <c r="AMT88" s="4"/>
      <c r="AMU88" s="4"/>
      <c r="AMV88" s="4"/>
      <c r="AMW88" s="4"/>
      <c r="AMX88" s="4"/>
      <c r="AMY88" s="4"/>
      <c r="AMZ88" s="4"/>
      <c r="ANA88" s="4"/>
      <c r="ANB88" s="4"/>
      <c r="ANC88" s="4"/>
      <c r="AND88" s="4"/>
      <c r="ANE88" s="4"/>
      <c r="ANF88" s="4"/>
      <c r="ANG88" s="4"/>
      <c r="ANH88" s="4"/>
      <c r="ANI88" s="4"/>
      <c r="ANJ88" s="13"/>
      <c r="ANK88" s="13"/>
      <c r="ANL88" s="4"/>
      <c r="ANM88" s="4"/>
      <c r="ANN88" s="4"/>
      <c r="ANO88" s="4"/>
      <c r="ANP88" s="4"/>
      <c r="ANQ88" s="4"/>
      <c r="ANR88" s="4"/>
      <c r="ANS88" s="4"/>
      <c r="ANT88" s="4"/>
      <c r="ANU88" s="4"/>
      <c r="ANV88" s="4"/>
      <c r="ANW88" s="4"/>
      <c r="ANX88" s="4"/>
      <c r="ANY88" s="4"/>
      <c r="ANZ88" s="4"/>
      <c r="AOA88" s="4"/>
      <c r="AOB88" s="4"/>
      <c r="AOC88" s="4"/>
      <c r="AOD88" s="4"/>
      <c r="AOE88" s="4"/>
      <c r="AOF88" s="4"/>
      <c r="AOG88" s="4"/>
      <c r="AOH88" s="4"/>
      <c r="AOI88" s="4"/>
      <c r="AOJ88" s="4"/>
      <c r="AOK88" s="4"/>
      <c r="AOL88" s="4"/>
      <c r="AOM88" s="4"/>
      <c r="AON88" s="4"/>
      <c r="AOO88" s="4"/>
      <c r="AOP88" s="4"/>
      <c r="AOQ88" s="4"/>
      <c r="AOR88" s="4"/>
      <c r="AOS88" s="4"/>
      <c r="AOT88" s="4"/>
      <c r="AOU88" s="4"/>
      <c r="AOV88" s="4"/>
      <c r="AOW88" s="4"/>
      <c r="AOX88" s="4"/>
      <c r="AOY88" s="4"/>
      <c r="AOZ88" s="4"/>
      <c r="APA88" s="4"/>
      <c r="APB88" s="4"/>
      <c r="APC88" s="4"/>
      <c r="APD88" s="4"/>
      <c r="APE88" s="4"/>
      <c r="APF88" s="4"/>
      <c r="APG88" s="4"/>
      <c r="APH88" s="4"/>
      <c r="API88" s="4"/>
      <c r="APJ88" s="4"/>
      <c r="APK88" s="4"/>
      <c r="APL88" s="4"/>
      <c r="APM88" s="4"/>
      <c r="APN88" s="4"/>
      <c r="APO88" s="4"/>
      <c r="APP88" s="4"/>
      <c r="APQ88" s="4"/>
      <c r="APR88" s="4"/>
      <c r="APS88" s="4"/>
      <c r="APT88" s="4"/>
      <c r="APU88" s="4"/>
      <c r="APV88" s="4"/>
      <c r="APW88" s="4"/>
      <c r="APX88" s="4"/>
      <c r="APY88" s="4"/>
      <c r="APZ88" s="4"/>
      <c r="AQA88" s="4"/>
      <c r="AQB88" s="4"/>
      <c r="AQC88" s="4"/>
      <c r="AQD88" s="4"/>
      <c r="AQE88" s="4"/>
      <c r="AQF88" s="4"/>
      <c r="AQG88" s="4"/>
      <c r="AQH88" s="4"/>
      <c r="AQI88" s="4"/>
      <c r="AQJ88" s="4"/>
      <c r="AQK88" s="4"/>
      <c r="AQL88" s="4"/>
      <c r="AQM88" s="4"/>
      <c r="AQN88" s="4"/>
      <c r="AQO88" s="4"/>
      <c r="AQP88" s="4"/>
      <c r="AQQ88" s="4"/>
      <c r="AQR88" s="4"/>
      <c r="AQS88" s="4"/>
      <c r="AQT88" s="4"/>
      <c r="AQU88" s="4"/>
      <c r="AQV88" s="4"/>
      <c r="AQW88" s="4"/>
      <c r="AQX88" s="4"/>
      <c r="AQY88" s="4"/>
      <c r="AQZ88" s="4"/>
      <c r="ARA88" s="4"/>
      <c r="ARB88" s="4"/>
      <c r="ARC88" s="4"/>
      <c r="ARD88" s="4"/>
      <c r="ARE88" s="4"/>
      <c r="ARF88" s="4"/>
      <c r="ARG88" s="4"/>
      <c r="ARH88" s="4"/>
      <c r="ARI88" s="4"/>
      <c r="ARJ88" s="4"/>
      <c r="ARK88" s="4"/>
      <c r="ARL88" s="4"/>
      <c r="ARM88" s="4"/>
      <c r="ARN88" s="4"/>
      <c r="ARO88" s="4"/>
      <c r="ARP88" s="4"/>
      <c r="ARQ88" s="4"/>
      <c r="ARR88" s="4"/>
      <c r="ARS88" s="4"/>
      <c r="ART88" s="4"/>
      <c r="ARU88" s="4"/>
      <c r="ARV88" s="4"/>
      <c r="ARW88" s="4"/>
      <c r="ARX88" s="4"/>
      <c r="ARY88" s="4"/>
      <c r="ARZ88" s="4"/>
      <c r="ASA88" s="4"/>
      <c r="ASB88" s="4"/>
      <c r="ASC88" s="4"/>
      <c r="ASD88" s="4"/>
      <c r="ASE88" s="4"/>
      <c r="ASF88" s="4"/>
      <c r="ASG88" s="4"/>
      <c r="ASH88" s="4"/>
      <c r="ASI88" s="4"/>
      <c r="ASJ88" s="4"/>
      <c r="ASK88" s="4"/>
      <c r="ASL88" s="4"/>
      <c r="ASM88" s="4"/>
      <c r="ASN88" s="4"/>
      <c r="ASO88" s="4"/>
      <c r="ASP88" s="4"/>
      <c r="ASQ88" s="4"/>
      <c r="ASR88" s="4"/>
      <c r="ASS88" s="4"/>
      <c r="AST88" s="4"/>
      <c r="ASU88" s="4"/>
    </row>
    <row r="89" ht="15" customHeight="1" spans="1:1191" x14ac:dyDescent="0.25">
      <c r="A89" s="118"/>
      <c r="B89" s="417" t="s">
        <v>127</v>
      </c>
      <c r="C89" s="321" t="s">
        <v>81</v>
      </c>
      <c r="D89" s="121"/>
      <c r="E89" s="122"/>
      <c r="F89" s="123"/>
      <c r="G89" s="124"/>
      <c r="H89" s="124"/>
      <c r="I89" s="124"/>
      <c r="J89" s="124"/>
      <c r="K89" s="124"/>
      <c r="L89" s="124"/>
      <c r="M89" s="125"/>
      <c r="N89" s="126"/>
      <c r="O89" s="124"/>
      <c r="P89" s="124"/>
      <c r="Q89" s="127"/>
      <c r="R89" s="123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5"/>
      <c r="AD89" s="301"/>
      <c r="AE89" s="151"/>
      <c r="AF89" s="131">
        <f>SUM(D89:AE89)</f>
      </c>
      <c r="AG89" s="121"/>
      <c r="AH89" s="122"/>
      <c r="AI89" s="123"/>
      <c r="AJ89" s="124"/>
      <c r="AK89" s="124"/>
      <c r="AL89" s="124"/>
      <c r="AM89" s="124"/>
      <c r="AN89" s="124"/>
      <c r="AO89" s="124"/>
      <c r="AP89" s="125"/>
      <c r="AQ89" s="126"/>
      <c r="AR89" s="124"/>
      <c r="AS89" s="124"/>
      <c r="AT89" s="127"/>
      <c r="AU89" s="123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5"/>
      <c r="BG89" s="301"/>
      <c r="BH89" s="151"/>
      <c r="BI89" s="131">
        <f>SUM(AG89:BH89)</f>
      </c>
      <c r="BJ89" s="121"/>
      <c r="BK89" s="122"/>
      <c r="BL89" s="123"/>
      <c r="BM89" s="124"/>
      <c r="BN89" s="124"/>
      <c r="BO89" s="124"/>
      <c r="BP89" s="124"/>
      <c r="BQ89" s="124"/>
      <c r="BR89" s="124"/>
      <c r="BS89" s="125"/>
      <c r="BT89" s="126"/>
      <c r="BU89" s="124"/>
      <c r="BV89" s="124"/>
      <c r="BW89" s="127"/>
      <c r="BX89" s="123"/>
      <c r="BY89" s="124"/>
      <c r="BZ89" s="124"/>
      <c r="CA89" s="124"/>
      <c r="CB89" s="124"/>
      <c r="CC89" s="124"/>
      <c r="CD89" s="124"/>
      <c r="CE89" s="124"/>
      <c r="CF89" s="124"/>
      <c r="CG89" s="124"/>
      <c r="CH89" s="124"/>
      <c r="CI89" s="125"/>
      <c r="CJ89" s="301"/>
      <c r="CK89" s="151"/>
      <c r="CL89" s="131">
        <f>SUM(BJ89:CK89)</f>
      </c>
      <c r="CM89" s="121"/>
      <c r="CN89" s="122"/>
      <c r="CO89" s="123"/>
      <c r="CP89" s="124"/>
      <c r="CQ89" s="124"/>
      <c r="CR89" s="124"/>
      <c r="CS89" s="124"/>
      <c r="CT89" s="124"/>
      <c r="CU89" s="124"/>
      <c r="CV89" s="125"/>
      <c r="CW89" s="126"/>
      <c r="CX89" s="124"/>
      <c r="CY89" s="124"/>
      <c r="CZ89" s="127"/>
      <c r="DA89" s="123"/>
      <c r="DB89" s="124"/>
      <c r="DC89" s="124"/>
      <c r="DD89" s="124"/>
      <c r="DE89" s="124"/>
      <c r="DF89" s="124"/>
      <c r="DG89" s="124"/>
      <c r="DH89" s="124"/>
      <c r="DI89" s="124"/>
      <c r="DJ89" s="124"/>
      <c r="DK89" s="124"/>
      <c r="DL89" s="125"/>
      <c r="DM89" s="301"/>
      <c r="DN89" s="151"/>
      <c r="DO89" s="131">
        <f>SUM(CM89:DN89)</f>
      </c>
      <c r="DP89" s="121"/>
      <c r="DQ89" s="122"/>
      <c r="DR89" s="123"/>
      <c r="DS89" s="124"/>
      <c r="DT89" s="124"/>
      <c r="DU89" s="124"/>
      <c r="DV89" s="124"/>
      <c r="DW89" s="124"/>
      <c r="DX89" s="124"/>
      <c r="DY89" s="125"/>
      <c r="DZ89" s="126"/>
      <c r="EA89" s="124"/>
      <c r="EB89" s="124"/>
      <c r="EC89" s="127"/>
      <c r="ED89" s="123"/>
      <c r="EE89" s="124"/>
      <c r="EF89" s="124"/>
      <c r="EG89" s="124"/>
      <c r="EH89" s="124"/>
      <c r="EI89" s="124"/>
      <c r="EJ89" s="124"/>
      <c r="EK89" s="124"/>
      <c r="EL89" s="124"/>
      <c r="EM89" s="124"/>
      <c r="EN89" s="124"/>
      <c r="EO89" s="125"/>
      <c r="EP89" s="301"/>
      <c r="EQ89" s="151"/>
      <c r="ER89" s="131">
        <f>SUM(DP89:EQ89)</f>
      </c>
      <c r="ES89" s="121"/>
      <c r="ET89" s="122"/>
      <c r="EU89" s="123"/>
      <c r="EV89" s="124"/>
      <c r="EW89" s="124"/>
      <c r="EX89" s="124"/>
      <c r="EY89" s="124"/>
      <c r="EZ89" s="124"/>
      <c r="FA89" s="124"/>
      <c r="FB89" s="125"/>
      <c r="FC89" s="126"/>
      <c r="FD89" s="124"/>
      <c r="FE89" s="124"/>
      <c r="FF89" s="127"/>
      <c r="FG89" s="123"/>
      <c r="FH89" s="124"/>
      <c r="FI89" s="124"/>
      <c r="FJ89" s="124"/>
      <c r="FK89" s="124"/>
      <c r="FL89" s="124"/>
      <c r="FM89" s="124"/>
      <c r="FN89" s="124"/>
      <c r="FO89" s="124"/>
      <c r="FP89" s="124"/>
      <c r="FQ89" s="124"/>
      <c r="FR89" s="125"/>
      <c r="FS89" s="301"/>
      <c r="FT89" s="151"/>
      <c r="FU89" s="131">
        <f>SUM(ES89:FT89)</f>
      </c>
      <c r="FV89" s="121"/>
      <c r="FW89" s="122"/>
      <c r="FX89" s="123"/>
      <c r="FY89" s="124"/>
      <c r="FZ89" s="124"/>
      <c r="GA89" s="124"/>
      <c r="GB89" s="124"/>
      <c r="GC89" s="124"/>
      <c r="GD89" s="124"/>
      <c r="GE89" s="125"/>
      <c r="GF89" s="126"/>
      <c r="GG89" s="124"/>
      <c r="GH89" s="124"/>
      <c r="GI89" s="127"/>
      <c r="GJ89" s="123"/>
      <c r="GK89" s="124"/>
      <c r="GL89" s="124"/>
      <c r="GM89" s="124"/>
      <c r="GN89" s="124"/>
      <c r="GO89" s="124"/>
      <c r="GP89" s="124"/>
      <c r="GQ89" s="124"/>
      <c r="GR89" s="124"/>
      <c r="GS89" s="124"/>
      <c r="GT89" s="124"/>
      <c r="GU89" s="125"/>
      <c r="GV89" s="301"/>
      <c r="GW89" s="151"/>
      <c r="GX89" s="131">
        <f>SUM(FV89:GW89)</f>
      </c>
      <c r="GY89" s="150">
        <f>AF89+BI89+CL89+DO89+ER89+FU89+GX89</f>
      </c>
      <c r="GZ89" s="302">
        <f>(COUNTIF(D89:GX89,"H")+COUNTIF(D89:GX89,"S")+COUNTIF(D89:GX89,"L")+COUNTIF(D89:GX89,"E")+COUNTIF(D89:GX89,"C"))/2</f>
      </c>
      <c r="HA89" s="131">
        <f>GY89+GZ89</f>
      </c>
      <c r="HB89" s="134"/>
      <c r="HC89" s="135"/>
      <c r="HD89" s="339">
        <v>0.5</v>
      </c>
      <c r="HE89" s="34">
        <v>0.5</v>
      </c>
      <c r="HF89" s="34">
        <v>0.5</v>
      </c>
      <c r="HG89" s="34">
        <v>0.5</v>
      </c>
      <c r="HH89" s="34">
        <v>0.5</v>
      </c>
      <c r="HI89" s="34">
        <v>0.5</v>
      </c>
      <c r="HJ89" s="34">
        <v>0.5</v>
      </c>
      <c r="HK89" s="555">
        <v>0.5</v>
      </c>
      <c r="HL89" s="556">
        <v>0.5</v>
      </c>
      <c r="HM89" s="34">
        <v>0.5</v>
      </c>
      <c r="HN89" s="137"/>
      <c r="HO89" s="141"/>
      <c r="HP89" s="142">
        <v>0.5</v>
      </c>
      <c r="HQ89" s="138">
        <v>0.5</v>
      </c>
      <c r="HR89" s="143">
        <v>0.5</v>
      </c>
      <c r="HS89" s="143">
        <v>0.5</v>
      </c>
      <c r="HT89" s="143">
        <v>0.5</v>
      </c>
      <c r="HU89" s="143">
        <v>0.5</v>
      </c>
      <c r="HV89" s="137"/>
      <c r="HW89" s="137"/>
      <c r="HX89" s="137"/>
      <c r="HY89" s="137"/>
      <c r="HZ89" s="137"/>
      <c r="IA89" s="153"/>
      <c r="IB89" s="304"/>
      <c r="IC89" s="152"/>
      <c r="ID89" s="131">
        <f>SUM(HB89:IC89)</f>
      </c>
      <c r="IE89" s="134"/>
      <c r="IF89" s="135"/>
      <c r="IG89" s="339">
        <v>0.5</v>
      </c>
      <c r="IH89" s="34">
        <v>0.5</v>
      </c>
      <c r="II89" s="34">
        <v>0.5</v>
      </c>
      <c r="IJ89" s="34">
        <v>0.5</v>
      </c>
      <c r="IK89" s="34">
        <v>0.5</v>
      </c>
      <c r="IL89" s="34">
        <v>0.5</v>
      </c>
      <c r="IM89" s="34">
        <v>0.5</v>
      </c>
      <c r="IN89" s="555">
        <v>0.5</v>
      </c>
      <c r="IO89" s="556">
        <v>0.5</v>
      </c>
      <c r="IP89" s="34">
        <v>0.5</v>
      </c>
      <c r="IQ89" s="137"/>
      <c r="IR89" s="141"/>
      <c r="IS89" s="142">
        <v>0.5</v>
      </c>
      <c r="IT89" s="138">
        <v>0.5</v>
      </c>
      <c r="IU89" s="143">
        <v>0.5</v>
      </c>
      <c r="IV89" s="143">
        <v>0.5</v>
      </c>
      <c r="IW89" s="143">
        <v>0.5</v>
      </c>
      <c r="IX89" s="143">
        <v>0.5</v>
      </c>
      <c r="IY89" s="137"/>
      <c r="IZ89" s="137"/>
      <c r="JA89" s="137"/>
      <c r="JB89" s="137"/>
      <c r="JC89" s="137"/>
      <c r="JD89" s="153"/>
      <c r="JE89" s="304"/>
      <c r="JF89" s="152"/>
      <c r="JG89" s="131">
        <f>SUM(IE89:JF89)</f>
      </c>
      <c r="JH89" s="134"/>
      <c r="JI89" s="135"/>
      <c r="JJ89" s="136"/>
      <c r="JK89" s="26" t="s">
        <v>9</v>
      </c>
      <c r="JL89" s="26" t="s">
        <v>9</v>
      </c>
      <c r="JM89" s="26" t="s">
        <v>9</v>
      </c>
      <c r="JN89" s="26" t="s">
        <v>9</v>
      </c>
      <c r="JO89" s="26" t="s">
        <v>9</v>
      </c>
      <c r="JP89" s="26" t="s">
        <v>9</v>
      </c>
      <c r="JQ89" s="409" t="s">
        <v>9</v>
      </c>
      <c r="JR89" s="410" t="s">
        <v>9</v>
      </c>
      <c r="JS89" s="137"/>
      <c r="JT89" s="137"/>
      <c r="JU89" s="413" t="s">
        <v>9</v>
      </c>
      <c r="JV89" s="411" t="s">
        <v>9</v>
      </c>
      <c r="JW89" s="26" t="s">
        <v>9</v>
      </c>
      <c r="JX89" s="26" t="s">
        <v>9</v>
      </c>
      <c r="JY89" s="26" t="s">
        <v>9</v>
      </c>
      <c r="JZ89" s="26" t="s">
        <v>9</v>
      </c>
      <c r="KA89" s="26" t="s">
        <v>9</v>
      </c>
      <c r="KB89" s="26" t="s">
        <v>9</v>
      </c>
      <c r="KC89" s="137"/>
      <c r="KD89" s="137"/>
      <c r="KE89" s="137"/>
      <c r="KF89" s="137"/>
      <c r="KG89" s="153"/>
      <c r="KH89" s="304"/>
      <c r="KI89" s="152"/>
      <c r="KJ89" s="131">
        <f>SUM(JH89:KI89)</f>
      </c>
      <c r="KK89" s="134"/>
      <c r="KL89" s="135"/>
      <c r="KM89" s="339">
        <v>0.5</v>
      </c>
      <c r="KN89" s="34">
        <v>0.5</v>
      </c>
      <c r="KO89" s="34">
        <v>0.5</v>
      </c>
      <c r="KP89" s="34">
        <v>0.5</v>
      </c>
      <c r="KQ89" s="34">
        <v>0.5</v>
      </c>
      <c r="KR89" s="34">
        <v>0.5</v>
      </c>
      <c r="KS89" s="34">
        <v>0.5</v>
      </c>
      <c r="KT89" s="555">
        <v>0.5</v>
      </c>
      <c r="KU89" s="556">
        <v>0.5</v>
      </c>
      <c r="KV89" s="34">
        <v>0.5</v>
      </c>
      <c r="KW89" s="137"/>
      <c r="KX89" s="141"/>
      <c r="KY89" s="142">
        <v>0.5</v>
      </c>
      <c r="KZ89" s="138">
        <v>0.5</v>
      </c>
      <c r="LA89" s="143">
        <v>0.5</v>
      </c>
      <c r="LB89" s="143">
        <v>0.5</v>
      </c>
      <c r="LC89" s="143">
        <v>0.5</v>
      </c>
      <c r="LD89" s="143">
        <v>0.5</v>
      </c>
      <c r="LE89" s="137"/>
      <c r="LF89" s="137"/>
      <c r="LG89" s="137"/>
      <c r="LH89" s="137"/>
      <c r="LI89" s="137"/>
      <c r="LJ89" s="153"/>
      <c r="LK89" s="304"/>
      <c r="LL89" s="152"/>
      <c r="LM89" s="131">
        <f>SUM(KK89:LL89)</f>
      </c>
      <c r="LN89" s="134"/>
      <c r="LO89" s="135"/>
      <c r="LP89" s="136"/>
      <c r="LQ89" s="26" t="s">
        <v>9</v>
      </c>
      <c r="LR89" s="26" t="s">
        <v>9</v>
      </c>
      <c r="LS89" s="26" t="s">
        <v>9</v>
      </c>
      <c r="LT89" s="26" t="s">
        <v>9</v>
      </c>
      <c r="LU89" s="26" t="s">
        <v>9</v>
      </c>
      <c r="LV89" s="26" t="s">
        <v>9</v>
      </c>
      <c r="LW89" s="409" t="s">
        <v>9</v>
      </c>
      <c r="LX89" s="410" t="s">
        <v>9</v>
      </c>
      <c r="LY89" s="137"/>
      <c r="LZ89" s="137"/>
      <c r="MA89" s="413" t="s">
        <v>9</v>
      </c>
      <c r="MB89" s="411" t="s">
        <v>9</v>
      </c>
      <c r="MC89" s="26" t="s">
        <v>9</v>
      </c>
      <c r="MD89" s="26" t="s">
        <v>9</v>
      </c>
      <c r="ME89" s="26" t="s">
        <v>9</v>
      </c>
      <c r="MF89" s="26" t="s">
        <v>9</v>
      </c>
      <c r="MG89" s="26" t="s">
        <v>9</v>
      </c>
      <c r="MH89" s="26" t="s">
        <v>9</v>
      </c>
      <c r="MI89" s="137"/>
      <c r="MJ89" s="137"/>
      <c r="MK89" s="137"/>
      <c r="ML89" s="137"/>
      <c r="MM89" s="153"/>
      <c r="MN89" s="304"/>
      <c r="MO89" s="152"/>
      <c r="MP89" s="131">
        <f>SUM(LN89:MO89)</f>
      </c>
      <c r="MQ89" s="121"/>
      <c r="MR89" s="122"/>
      <c r="MS89" s="123"/>
      <c r="MT89" s="124"/>
      <c r="MU89" s="124"/>
      <c r="MV89" s="124"/>
      <c r="MW89" s="124"/>
      <c r="MX89" s="124"/>
      <c r="MY89" s="124"/>
      <c r="MZ89" s="125"/>
      <c r="NA89" s="126"/>
      <c r="NB89" s="124"/>
      <c r="NC89" s="124"/>
      <c r="ND89" s="127"/>
      <c r="NE89" s="123"/>
      <c r="NF89" s="124"/>
      <c r="NG89" s="124"/>
      <c r="NH89" s="124"/>
      <c r="NI89" s="124"/>
      <c r="NJ89" s="124"/>
      <c r="NK89" s="124"/>
      <c r="NL89" s="124"/>
      <c r="NM89" s="124"/>
      <c r="NN89" s="124"/>
      <c r="NO89" s="124"/>
      <c r="NP89" s="125"/>
      <c r="NQ89" s="301"/>
      <c r="NR89" s="151"/>
      <c r="NS89" s="131">
        <f>SUM(MQ89:NR89)</f>
      </c>
      <c r="NT89" s="121"/>
      <c r="NU89" s="122"/>
      <c r="NV89" s="123"/>
      <c r="NW89" s="124"/>
      <c r="NX89" s="124"/>
      <c r="NY89" s="124"/>
      <c r="NZ89" s="124"/>
      <c r="OA89" s="124"/>
      <c r="OB89" s="124"/>
      <c r="OC89" s="125"/>
      <c r="OD89" s="126"/>
      <c r="OE89" s="124"/>
      <c r="OF89" s="124"/>
      <c r="OG89" s="127"/>
      <c r="OH89" s="123"/>
      <c r="OI89" s="124"/>
      <c r="OJ89" s="124"/>
      <c r="OK89" s="124"/>
      <c r="OL89" s="124"/>
      <c r="OM89" s="124"/>
      <c r="ON89" s="124"/>
      <c r="OO89" s="124"/>
      <c r="OP89" s="124"/>
      <c r="OQ89" s="124"/>
      <c r="OR89" s="124"/>
      <c r="OS89" s="125"/>
      <c r="OT89" s="301"/>
      <c r="OU89" s="151"/>
      <c r="OV89" s="131">
        <f>SUM(NT89:OU89)</f>
      </c>
      <c r="OW89" s="150">
        <f>ID89+JG89+KJ89+LM89+MP89+NS89+OV89</f>
      </c>
      <c r="OX89" s="302">
        <f>(COUNTIF(HB89:OV89,"H")+COUNTIF(HB89:OV89,"S")+COUNTIF(HB89:OV89,"L")+COUNTIF(HB89:OV89,"E")+COUNTIF(HB89:OV89,"C"))/2</f>
      </c>
      <c r="OY89" s="131">
        <f>OW89+OX89</f>
      </c>
      <c r="OZ89" s="134"/>
      <c r="PA89" s="135"/>
      <c r="PB89" s="136"/>
      <c r="PC89" s="137"/>
      <c r="PD89" s="137"/>
      <c r="PE89" s="143">
        <v>0.5</v>
      </c>
      <c r="PF89" s="143">
        <v>0.5</v>
      </c>
      <c r="PG89" s="143">
        <v>0.5</v>
      </c>
      <c r="PH89" s="138">
        <v>0.5</v>
      </c>
      <c r="PI89" s="139">
        <v>0.5</v>
      </c>
      <c r="PJ89" s="155"/>
      <c r="PK89" s="137"/>
      <c r="PL89" s="34">
        <v>0.5</v>
      </c>
      <c r="PM89" s="557">
        <v>0.5</v>
      </c>
      <c r="PN89" s="558">
        <v>0.5</v>
      </c>
      <c r="PO89" s="34">
        <v>0.5</v>
      </c>
      <c r="PP89" s="34">
        <v>0.5</v>
      </c>
      <c r="PQ89" s="34">
        <v>0.5</v>
      </c>
      <c r="PR89" s="34">
        <v>0.5</v>
      </c>
      <c r="PS89" s="34">
        <v>0.5</v>
      </c>
      <c r="PT89" s="34">
        <v>0.5</v>
      </c>
      <c r="PU89" s="34">
        <v>0.5</v>
      </c>
      <c r="PV89" s="34">
        <v>0.5</v>
      </c>
      <c r="PW89" s="137"/>
      <c r="PX89" s="137"/>
      <c r="PY89" s="153"/>
      <c r="PZ89" s="304"/>
      <c r="QA89" s="152"/>
      <c r="QB89" s="131">
        <f>SUM(OZ89:QA89)</f>
      </c>
      <c r="QC89" s="134"/>
      <c r="QD89" s="135"/>
      <c r="QE89" s="339">
        <v>0.5</v>
      </c>
      <c r="QF89" s="34">
        <v>0.5</v>
      </c>
      <c r="QG89" s="34">
        <v>0.5</v>
      </c>
      <c r="QH89" s="34">
        <v>0.5</v>
      </c>
      <c r="QI89" s="34">
        <v>0.5</v>
      </c>
      <c r="QJ89" s="34">
        <v>0.5</v>
      </c>
      <c r="QK89" s="34">
        <v>0.5</v>
      </c>
      <c r="QL89" s="555">
        <v>0.5</v>
      </c>
      <c r="QM89" s="556">
        <v>0.5</v>
      </c>
      <c r="QN89" s="34">
        <v>0.5</v>
      </c>
      <c r="QO89" s="137"/>
      <c r="QP89" s="141"/>
      <c r="QQ89" s="142">
        <v>0.5</v>
      </c>
      <c r="QR89" s="138">
        <v>0.5</v>
      </c>
      <c r="QS89" s="143">
        <v>0.5</v>
      </c>
      <c r="QT89" s="143">
        <v>0.5</v>
      </c>
      <c r="QU89" s="143">
        <v>0.5</v>
      </c>
      <c r="QV89" s="143">
        <v>0.5</v>
      </c>
      <c r="QW89" s="137"/>
      <c r="QX89" s="137"/>
      <c r="QY89" s="137"/>
      <c r="QZ89" s="137"/>
      <c r="RA89" s="137"/>
      <c r="RB89" s="153"/>
      <c r="RC89" s="304"/>
      <c r="RD89" s="152"/>
      <c r="RE89" s="131">
        <f>SUM(QC89:RD89)</f>
      </c>
      <c r="RF89" s="134"/>
      <c r="RG89" s="135"/>
      <c r="RH89" s="136"/>
      <c r="RI89" s="137"/>
      <c r="RJ89" s="137"/>
      <c r="RK89" s="143">
        <v>0.5</v>
      </c>
      <c r="RL89" s="143">
        <v>0.5</v>
      </c>
      <c r="RM89" s="143">
        <v>0.5</v>
      </c>
      <c r="RN89" s="138">
        <v>0.5</v>
      </c>
      <c r="RO89" s="139">
        <v>0.5</v>
      </c>
      <c r="RP89" s="155"/>
      <c r="RQ89" s="137"/>
      <c r="RR89" s="34">
        <v>0.5</v>
      </c>
      <c r="RS89" s="557">
        <v>0.5</v>
      </c>
      <c r="RT89" s="558">
        <v>0.5</v>
      </c>
      <c r="RU89" s="34">
        <v>0.5</v>
      </c>
      <c r="RV89" s="34">
        <v>0.5</v>
      </c>
      <c r="RW89" s="34">
        <v>0.5</v>
      </c>
      <c r="RX89" s="34">
        <v>0.5</v>
      </c>
      <c r="RY89" s="34">
        <v>0.5</v>
      </c>
      <c r="RZ89" s="34">
        <v>0.5</v>
      </c>
      <c r="SA89" s="34">
        <v>0.5</v>
      </c>
      <c r="SB89" s="34">
        <v>0.5</v>
      </c>
      <c r="SC89" s="137"/>
      <c r="SD89" s="137"/>
      <c r="SE89" s="153"/>
      <c r="SF89" s="304"/>
      <c r="SG89" s="152"/>
      <c r="SH89" s="131">
        <f>SUM(RF89:SG89)</f>
      </c>
      <c r="SI89" s="134"/>
      <c r="SJ89" s="135"/>
      <c r="SK89" s="136"/>
      <c r="SL89" s="137"/>
      <c r="SM89" s="137"/>
      <c r="SN89" s="143">
        <v>0.5</v>
      </c>
      <c r="SO89" s="143">
        <v>0.5</v>
      </c>
      <c r="SP89" s="143">
        <v>0.5</v>
      </c>
      <c r="SQ89" s="138">
        <v>0.5</v>
      </c>
      <c r="SR89" s="139">
        <v>0.5</v>
      </c>
      <c r="SS89" s="155"/>
      <c r="ST89" s="137"/>
      <c r="SU89" s="34">
        <v>0.5</v>
      </c>
      <c r="SV89" s="557">
        <v>0.5</v>
      </c>
      <c r="SW89" s="558">
        <v>0.5</v>
      </c>
      <c r="SX89" s="34">
        <v>0.5</v>
      </c>
      <c r="SY89" s="34">
        <v>0.5</v>
      </c>
      <c r="SZ89" s="34">
        <v>0.5</v>
      </c>
      <c r="TA89" s="34">
        <v>0.5</v>
      </c>
      <c r="TB89" s="34">
        <v>0.5</v>
      </c>
      <c r="TC89" s="34">
        <v>0.5</v>
      </c>
      <c r="TD89" s="34">
        <v>0.5</v>
      </c>
      <c r="TE89" s="34">
        <v>0.5</v>
      </c>
      <c r="TF89" s="137"/>
      <c r="TG89" s="137"/>
      <c r="TH89" s="153"/>
      <c r="TI89" s="304"/>
      <c r="TJ89" s="152"/>
      <c r="TK89" s="131">
        <f>SUM(SI89:TJ89)</f>
      </c>
      <c r="TL89" s="134"/>
      <c r="TM89" s="135"/>
      <c r="TN89" s="136"/>
      <c r="TO89" s="137"/>
      <c r="TP89" s="137"/>
      <c r="TQ89" s="143">
        <v>0.5</v>
      </c>
      <c r="TR89" s="143">
        <v>0.5</v>
      </c>
      <c r="TS89" s="143">
        <v>0.5</v>
      </c>
      <c r="TT89" s="138">
        <v>0.5</v>
      </c>
      <c r="TU89" s="139">
        <v>0.5</v>
      </c>
      <c r="TV89" s="155"/>
      <c r="TW89" s="137"/>
      <c r="TX89" s="34">
        <v>0.5</v>
      </c>
      <c r="TY89" s="557">
        <v>0.5</v>
      </c>
      <c r="TZ89" s="558">
        <v>0.5</v>
      </c>
      <c r="UA89" s="34">
        <v>0.5</v>
      </c>
      <c r="UB89" s="34">
        <v>0.5</v>
      </c>
      <c r="UC89" s="34">
        <v>0.5</v>
      </c>
      <c r="UD89" s="34">
        <v>0.5</v>
      </c>
      <c r="UE89" s="34">
        <v>0.5</v>
      </c>
      <c r="UF89" s="34">
        <v>0.5</v>
      </c>
      <c r="UG89" s="34">
        <v>0.5</v>
      </c>
      <c r="UH89" s="34">
        <v>0.5</v>
      </c>
      <c r="UI89" s="137"/>
      <c r="UJ89" s="137"/>
      <c r="UK89" s="153"/>
      <c r="UL89" s="304"/>
      <c r="UM89" s="152"/>
      <c r="UN89" s="131">
        <f>SUM(TL89:UM89)</f>
      </c>
      <c r="UO89" s="121"/>
      <c r="UP89" s="122"/>
      <c r="UQ89" s="123"/>
      <c r="UR89" s="124"/>
      <c r="US89" s="124"/>
      <c r="UT89" s="124"/>
      <c r="UU89" s="124"/>
      <c r="UV89" s="124"/>
      <c r="UW89" s="124"/>
      <c r="UX89" s="125"/>
      <c r="UY89" s="126"/>
      <c r="UZ89" s="124"/>
      <c r="VA89" s="124"/>
      <c r="VB89" s="127"/>
      <c r="VC89" s="123"/>
      <c r="VD89" s="124"/>
      <c r="VE89" s="124"/>
      <c r="VF89" s="124"/>
      <c r="VG89" s="124"/>
      <c r="VH89" s="124"/>
      <c r="VI89" s="124"/>
      <c r="VJ89" s="124"/>
      <c r="VK89" s="124"/>
      <c r="VL89" s="124"/>
      <c r="VM89" s="124"/>
      <c r="VN89" s="125"/>
      <c r="VO89" s="301"/>
      <c r="VP89" s="151"/>
      <c r="VQ89" s="131">
        <f>SUM(UO89:VP89)</f>
      </c>
      <c r="VR89" s="121"/>
      <c r="VS89" s="122"/>
      <c r="VT89" s="123"/>
      <c r="VU89" s="124"/>
      <c r="VV89" s="124"/>
      <c r="VW89" s="124"/>
      <c r="VX89" s="124"/>
      <c r="VY89" s="124"/>
      <c r="VZ89" s="124"/>
      <c r="WA89" s="125"/>
      <c r="WB89" s="126"/>
      <c r="WC89" s="124"/>
      <c r="WD89" s="124"/>
      <c r="WE89" s="127"/>
      <c r="WF89" s="123"/>
      <c r="WG89" s="124"/>
      <c r="WH89" s="124"/>
      <c r="WI89" s="124"/>
      <c r="WJ89" s="124"/>
      <c r="WK89" s="124"/>
      <c r="WL89" s="124"/>
      <c r="WM89" s="124"/>
      <c r="WN89" s="124"/>
      <c r="WO89" s="124"/>
      <c r="WP89" s="124"/>
      <c r="WQ89" s="125"/>
      <c r="WR89" s="301"/>
      <c r="WS89" s="151"/>
      <c r="WT89" s="131">
        <f>SUM(VR89:WS89)</f>
      </c>
      <c r="WU89" s="150">
        <f>QB89+RE89+SH89+TK89+UN89+VQ89+WT89</f>
      </c>
      <c r="WV89" s="302">
        <f>(COUNTIF(OZ89:WT89,"H")+COUNTIF(OZ89:WT89,"S")+COUNTIF(OZ89:WT89,"L")+COUNTIF(OZ89:WT89,"E")+COUNTIF(OZ89:WT89,"C"))/2</f>
      </c>
      <c r="WW89" s="131">
        <f>WU89+WV89</f>
      </c>
      <c r="WX89" s="134"/>
      <c r="WY89" s="135"/>
      <c r="WZ89" s="339">
        <v>0.5</v>
      </c>
      <c r="XA89" s="143">
        <v>0.5</v>
      </c>
      <c r="XB89" s="143">
        <v>0.5</v>
      </c>
      <c r="XC89" s="143">
        <v>0.5</v>
      </c>
      <c r="XD89" s="143">
        <v>0.5</v>
      </c>
      <c r="XE89" s="143">
        <v>0.5</v>
      </c>
      <c r="XF89" s="138">
        <v>0.5</v>
      </c>
      <c r="XG89" s="139">
        <v>0.5</v>
      </c>
      <c r="XH89" s="140">
        <v>0.5</v>
      </c>
      <c r="XI89" s="138">
        <v>0.5</v>
      </c>
      <c r="XJ89" s="137"/>
      <c r="XK89" s="141"/>
      <c r="XL89" s="142">
        <v>0.5</v>
      </c>
      <c r="XM89" s="138">
        <v>0.5</v>
      </c>
      <c r="XN89" s="143">
        <v>0.5</v>
      </c>
      <c r="XO89" s="143">
        <v>0.5</v>
      </c>
      <c r="XP89" s="143">
        <v>0.5</v>
      </c>
      <c r="XQ89" s="143">
        <v>0.5</v>
      </c>
      <c r="XR89" s="137"/>
      <c r="XS89" s="137"/>
      <c r="XT89" s="137"/>
      <c r="XU89" s="137"/>
      <c r="XV89" s="137"/>
      <c r="XW89" s="153"/>
      <c r="XX89" s="304"/>
      <c r="XY89" s="152"/>
      <c r="XZ89" s="131">
        <f>SUM(WX89:XY89)</f>
      </c>
      <c r="YA89" s="134"/>
      <c r="YB89" s="135"/>
      <c r="YC89" s="339">
        <v>0.5</v>
      </c>
      <c r="YD89" s="143">
        <v>0.5</v>
      </c>
      <c r="YE89" s="143">
        <v>0.5</v>
      </c>
      <c r="YF89" s="143">
        <v>0.5</v>
      </c>
      <c r="YG89" s="143">
        <v>0.5</v>
      </c>
      <c r="YH89" s="143">
        <v>0.5</v>
      </c>
      <c r="YI89" s="138">
        <v>0.5</v>
      </c>
      <c r="YJ89" s="139">
        <v>0.5</v>
      </c>
      <c r="YK89" s="140">
        <v>0.5</v>
      </c>
      <c r="YL89" s="138">
        <v>0.5</v>
      </c>
      <c r="YM89" s="137"/>
      <c r="YN89" s="141"/>
      <c r="YO89" s="142">
        <v>0.5</v>
      </c>
      <c r="YP89" s="138">
        <v>0.5</v>
      </c>
      <c r="YQ89" s="143">
        <v>0.5</v>
      </c>
      <c r="YR89" s="143">
        <v>0.5</v>
      </c>
      <c r="YS89" s="143">
        <v>0.5</v>
      </c>
      <c r="YT89" s="143">
        <v>0.5</v>
      </c>
      <c r="YU89" s="137"/>
      <c r="YV89" s="137"/>
      <c r="YW89" s="137"/>
      <c r="YX89" s="137"/>
      <c r="YY89" s="137"/>
      <c r="YZ89" s="153"/>
      <c r="ZA89" s="304"/>
      <c r="ZB89" s="152"/>
      <c r="ZC89" s="131">
        <f>SUM(YA89:ZB89)</f>
      </c>
      <c r="ZD89" s="134"/>
      <c r="ZE89" s="135"/>
      <c r="ZF89" s="339">
        <v>0.5</v>
      </c>
      <c r="ZG89" s="143">
        <v>0.5</v>
      </c>
      <c r="ZH89" s="143">
        <v>0.5</v>
      </c>
      <c r="ZI89" s="143">
        <v>0.5</v>
      </c>
      <c r="ZJ89" s="143">
        <v>0.5</v>
      </c>
      <c r="ZK89" s="143">
        <v>0.5</v>
      </c>
      <c r="ZL89" s="138">
        <v>0.5</v>
      </c>
      <c r="ZM89" s="139">
        <v>0.5</v>
      </c>
      <c r="ZN89" s="140">
        <v>0.5</v>
      </c>
      <c r="ZO89" s="138">
        <v>0.5</v>
      </c>
      <c r="ZP89" s="137"/>
      <c r="ZQ89" s="141"/>
      <c r="ZR89" s="142">
        <v>0.5</v>
      </c>
      <c r="ZS89" s="138">
        <v>0.5</v>
      </c>
      <c r="ZT89" s="143">
        <v>0.5</v>
      </c>
      <c r="ZU89" s="143">
        <v>0.5</v>
      </c>
      <c r="ZV89" s="143">
        <v>0.5</v>
      </c>
      <c r="ZW89" s="143">
        <v>0.5</v>
      </c>
      <c r="ZX89" s="137"/>
      <c r="ZY89" s="137"/>
      <c r="ZZ89" s="137"/>
      <c r="AAA89" s="137"/>
      <c r="AAB89" s="137"/>
      <c r="AAC89" s="153"/>
      <c r="AAD89" s="304"/>
      <c r="AAE89" s="152"/>
      <c r="AAF89" s="131">
        <f>SUM(ZD89:AAE89)</f>
      </c>
      <c r="AAG89" s="134"/>
      <c r="AAH89" s="135"/>
      <c r="AAI89" s="339">
        <v>0.5</v>
      </c>
      <c r="AAJ89" s="143">
        <v>0.5</v>
      </c>
      <c r="AAK89" s="143">
        <v>0.5</v>
      </c>
      <c r="AAL89" s="143">
        <v>0.5</v>
      </c>
      <c r="AAM89" s="143">
        <v>0.5</v>
      </c>
      <c r="AAN89" s="143">
        <v>0.5</v>
      </c>
      <c r="AAO89" s="138">
        <v>0.5</v>
      </c>
      <c r="AAP89" s="139">
        <v>0.5</v>
      </c>
      <c r="AAQ89" s="140">
        <v>0.5</v>
      </c>
      <c r="AAR89" s="138">
        <v>0.5</v>
      </c>
      <c r="AAS89" s="137"/>
      <c r="AAT89" s="141"/>
      <c r="AAU89" s="142">
        <v>0.5</v>
      </c>
      <c r="AAV89" s="138">
        <v>0.5</v>
      </c>
      <c r="AAW89" s="143">
        <v>0.5</v>
      </c>
      <c r="AAX89" s="143">
        <v>0.5</v>
      </c>
      <c r="AAY89" s="143">
        <v>0.5</v>
      </c>
      <c r="AAZ89" s="143">
        <v>0.5</v>
      </c>
      <c r="ABA89" s="137"/>
      <c r="ABB89" s="137"/>
      <c r="ABC89" s="137"/>
      <c r="ABD89" s="137"/>
      <c r="ABE89" s="137"/>
      <c r="ABF89" s="153"/>
      <c r="ABG89" s="304"/>
      <c r="ABH89" s="152"/>
      <c r="ABI89" s="131">
        <f>SUM(AAG89:ABH89)</f>
      </c>
      <c r="ABJ89" s="134"/>
      <c r="ABK89" s="135"/>
      <c r="ABL89" s="339">
        <v>0.5</v>
      </c>
      <c r="ABM89" s="143">
        <v>0.5</v>
      </c>
      <c r="ABN89" s="143">
        <v>0.5</v>
      </c>
      <c r="ABO89" s="143">
        <v>0.5</v>
      </c>
      <c r="ABP89" s="143">
        <v>0.5</v>
      </c>
      <c r="ABQ89" s="143">
        <v>0.5</v>
      </c>
      <c r="ABR89" s="138">
        <v>0.5</v>
      </c>
      <c r="ABS89" s="139">
        <v>0.5</v>
      </c>
      <c r="ABT89" s="140">
        <v>0.5</v>
      </c>
      <c r="ABU89" s="138">
        <v>0.5</v>
      </c>
      <c r="ABV89" s="137"/>
      <c r="ABW89" s="141"/>
      <c r="ABX89" s="142">
        <v>0.5</v>
      </c>
      <c r="ABY89" s="138">
        <v>0.5</v>
      </c>
      <c r="ABZ89" s="143">
        <v>0.5</v>
      </c>
      <c r="ACA89" s="143">
        <v>0.5</v>
      </c>
      <c r="ACB89" s="143">
        <v>0.5</v>
      </c>
      <c r="ACC89" s="143">
        <v>0.5</v>
      </c>
      <c r="ACD89" s="137"/>
      <c r="ACE89" s="137"/>
      <c r="ACF89" s="137"/>
      <c r="ACG89" s="137"/>
      <c r="ACH89" s="137"/>
      <c r="ACI89" s="153"/>
      <c r="ACJ89" s="304"/>
      <c r="ACK89" s="152"/>
      <c r="ACL89" s="131">
        <f>SUM(ABJ89:ACK89)</f>
      </c>
      <c r="ACM89" s="121"/>
      <c r="ACN89" s="122"/>
      <c r="ACO89" s="123"/>
      <c r="ACP89" s="124"/>
      <c r="ACQ89" s="124"/>
      <c r="ACR89" s="124"/>
      <c r="ACS89" s="124"/>
      <c r="ACT89" s="124"/>
      <c r="ACU89" s="124"/>
      <c r="ACV89" s="125"/>
      <c r="ACW89" s="126"/>
      <c r="ACX89" s="124"/>
      <c r="ACY89" s="124"/>
      <c r="ACZ89" s="127"/>
      <c r="ADA89" s="123"/>
      <c r="ADB89" s="124"/>
      <c r="ADC89" s="124"/>
      <c r="ADD89" s="124"/>
      <c r="ADE89" s="124"/>
      <c r="ADF89" s="124"/>
      <c r="ADG89" s="124"/>
      <c r="ADH89" s="124"/>
      <c r="ADI89" s="124"/>
      <c r="ADJ89" s="124"/>
      <c r="ADK89" s="124"/>
      <c r="ADL89" s="125"/>
      <c r="ADM89" s="301"/>
      <c r="ADN89" s="151"/>
      <c r="ADO89" s="131">
        <f>SUM(ACM89:ADN89)</f>
      </c>
      <c r="ADP89" s="121"/>
      <c r="ADQ89" s="122"/>
      <c r="ADR89" s="123"/>
      <c r="ADS89" s="124"/>
      <c r="ADT89" s="124"/>
      <c r="ADU89" s="124"/>
      <c r="ADV89" s="124"/>
      <c r="ADW89" s="124"/>
      <c r="ADX89" s="124"/>
      <c r="ADY89" s="125"/>
      <c r="ADZ89" s="126"/>
      <c r="AEA89" s="124"/>
      <c r="AEB89" s="124"/>
      <c r="AEC89" s="127"/>
      <c r="AED89" s="123"/>
      <c r="AEE89" s="124"/>
      <c r="AEF89" s="124"/>
      <c r="AEG89" s="124"/>
      <c r="AEH89" s="124"/>
      <c r="AEI89" s="124"/>
      <c r="AEJ89" s="124"/>
      <c r="AEK89" s="124"/>
      <c r="AEL89" s="124"/>
      <c r="AEM89" s="124"/>
      <c r="AEN89" s="124"/>
      <c r="AEO89" s="125"/>
      <c r="AEP89" s="301"/>
      <c r="AEQ89" s="151"/>
      <c r="AER89" s="131">
        <f>SUM(ADP89:AEQ89)</f>
      </c>
      <c r="AES89" s="150">
        <f>XZ89+ZC89+AAF89+ABI89+ACL89+ADO89+AER89</f>
      </c>
      <c r="AET89" s="302">
        <f>(COUNTIF(WX89:AER89,"H")+COUNTIF(WX89:AER89,"S")+COUNTIF(WX89:AER89,"L")+COUNTIF(WX89:AER89,"E")+COUNTIF(WX89:AER89,"C"))/2</f>
      </c>
      <c r="AEU89" s="131">
        <f>AES89+AET89</f>
      </c>
      <c r="AEV89" s="134"/>
      <c r="AEW89" s="135"/>
      <c r="AEX89" s="136"/>
      <c r="AEY89" s="137"/>
      <c r="AEZ89" s="137"/>
      <c r="AFA89" s="143">
        <v>0.5</v>
      </c>
      <c r="AFB89" s="143">
        <v>0.5</v>
      </c>
      <c r="AFC89" s="143">
        <v>0.5</v>
      </c>
      <c r="AFD89" s="138">
        <v>0.5</v>
      </c>
      <c r="AFE89" s="139">
        <v>0.5</v>
      </c>
      <c r="AFF89" s="155"/>
      <c r="AFG89" s="137"/>
      <c r="AFH89" s="34">
        <v>0.5</v>
      </c>
      <c r="AFI89" s="557">
        <v>0.5</v>
      </c>
      <c r="AFJ89" s="558">
        <v>0.5</v>
      </c>
      <c r="AFK89" s="34">
        <v>0.5</v>
      </c>
      <c r="AFL89" s="34">
        <v>0.5</v>
      </c>
      <c r="AFM89" s="34">
        <v>0.5</v>
      </c>
      <c r="AFN89" s="34">
        <v>0.5</v>
      </c>
      <c r="AFO89" s="34">
        <v>0.5</v>
      </c>
      <c r="AFP89" s="34">
        <v>0.5</v>
      </c>
      <c r="AFQ89" s="34">
        <v>0.5</v>
      </c>
      <c r="AFR89" s="34">
        <v>0.5</v>
      </c>
      <c r="AFS89" s="137"/>
      <c r="AFT89" s="137"/>
      <c r="AFU89" s="153"/>
      <c r="AFV89" s="304"/>
      <c r="AFW89" s="152"/>
      <c r="AFX89" s="131">
        <f>SUM(AEV89:AFW89)</f>
      </c>
      <c r="AFY89" s="134"/>
      <c r="AFZ89" s="135"/>
      <c r="AGA89" s="136"/>
      <c r="AGB89" s="137"/>
      <c r="AGC89" s="137"/>
      <c r="AGD89" s="143">
        <v>0.5</v>
      </c>
      <c r="AGE89" s="143">
        <v>0.5</v>
      </c>
      <c r="AGF89" s="143">
        <v>0.5</v>
      </c>
      <c r="AGG89" s="138">
        <v>0.5</v>
      </c>
      <c r="AGH89" s="139">
        <v>0.5</v>
      </c>
      <c r="AGI89" s="155"/>
      <c r="AGJ89" s="137"/>
      <c r="AGK89" s="34">
        <v>0.5</v>
      </c>
      <c r="AGL89" s="557">
        <v>0.5</v>
      </c>
      <c r="AGM89" s="558">
        <v>0.5</v>
      </c>
      <c r="AGN89" s="34">
        <v>0.5</v>
      </c>
      <c r="AGO89" s="34">
        <v>0.5</v>
      </c>
      <c r="AGP89" s="34">
        <v>0.5</v>
      </c>
      <c r="AGQ89" s="34">
        <v>0.5</v>
      </c>
      <c r="AGR89" s="34">
        <v>0.5</v>
      </c>
      <c r="AGS89" s="34">
        <v>0.5</v>
      </c>
      <c r="AGT89" s="34">
        <v>0.5</v>
      </c>
      <c r="AGU89" s="34">
        <v>0.5</v>
      </c>
      <c r="AGV89" s="137"/>
      <c r="AGW89" s="137"/>
      <c r="AGX89" s="153"/>
      <c r="AGY89" s="304"/>
      <c r="AGZ89" s="152"/>
      <c r="AHA89" s="131">
        <f>SUM(AFY89:AGZ89)</f>
      </c>
      <c r="AHB89" s="134"/>
      <c r="AHC89" s="135"/>
      <c r="AHD89" s="136"/>
      <c r="AHE89" s="137"/>
      <c r="AHF89" s="137"/>
      <c r="AHG89" s="143">
        <v>0.5</v>
      </c>
      <c r="AHH89" s="143">
        <v>0.5</v>
      </c>
      <c r="AHI89" s="143">
        <v>0.5</v>
      </c>
      <c r="AHJ89" s="138">
        <v>0.5</v>
      </c>
      <c r="AHK89" s="139">
        <v>0.5</v>
      </c>
      <c r="AHL89" s="155"/>
      <c r="AHM89" s="137"/>
      <c r="AHN89" s="34">
        <v>0.5</v>
      </c>
      <c r="AHO89" s="557">
        <v>0.5</v>
      </c>
      <c r="AHP89" s="558">
        <v>0.5</v>
      </c>
      <c r="AHQ89" s="34">
        <v>0.5</v>
      </c>
      <c r="AHR89" s="34">
        <v>0.5</v>
      </c>
      <c r="AHS89" s="34">
        <v>0.5</v>
      </c>
      <c r="AHT89" s="34">
        <v>0.5</v>
      </c>
      <c r="AHU89" s="34">
        <v>0.5</v>
      </c>
      <c r="AHV89" s="34">
        <v>0.5</v>
      </c>
      <c r="AHW89" s="34">
        <v>0.5</v>
      </c>
      <c r="AHX89" s="34">
        <v>0.5</v>
      </c>
      <c r="AHY89" s="137"/>
      <c r="AHZ89" s="137"/>
      <c r="AIA89" s="153"/>
      <c r="AIB89" s="304"/>
      <c r="AIC89" s="152"/>
      <c r="AID89" s="131">
        <f>SUM(AHB89:AIC89)</f>
      </c>
      <c r="AIE89" s="134"/>
      <c r="AIF89" s="135"/>
      <c r="AIG89" s="136"/>
      <c r="AIH89" s="137"/>
      <c r="AII89" s="137"/>
      <c r="AIJ89" s="143">
        <v>0.5</v>
      </c>
      <c r="AIK89" s="143">
        <v>0.5</v>
      </c>
      <c r="AIL89" s="143">
        <v>0.5</v>
      </c>
      <c r="AIM89" s="138">
        <v>0.5</v>
      </c>
      <c r="AIN89" s="139">
        <v>0.5</v>
      </c>
      <c r="AIO89" s="155"/>
      <c r="AIP89" s="137"/>
      <c r="AIQ89" s="34">
        <v>0.5</v>
      </c>
      <c r="AIR89" s="557">
        <v>0.5</v>
      </c>
      <c r="AIS89" s="558">
        <v>0.5</v>
      </c>
      <c r="AIT89" s="34">
        <v>0.5</v>
      </c>
      <c r="AIU89" s="34">
        <v>0.5</v>
      </c>
      <c r="AIV89" s="34">
        <v>0.5</v>
      </c>
      <c r="AIW89" s="34">
        <v>0.5</v>
      </c>
      <c r="AIX89" s="34">
        <v>0.5</v>
      </c>
      <c r="AIY89" s="34">
        <v>0.5</v>
      </c>
      <c r="AIZ89" s="34">
        <v>0.5</v>
      </c>
      <c r="AJA89" s="34">
        <v>0.5</v>
      </c>
      <c r="AJB89" s="137"/>
      <c r="AJC89" s="137"/>
      <c r="AJD89" s="153"/>
      <c r="AJE89" s="304"/>
      <c r="AJF89" s="152"/>
      <c r="AJG89" s="131">
        <f>SUM(AIE89:AJF89)</f>
      </c>
      <c r="AJH89" s="134"/>
      <c r="AJI89" s="135"/>
      <c r="AJJ89" s="136"/>
      <c r="AJK89" s="137"/>
      <c r="AJL89" s="137"/>
      <c r="AJM89" s="143">
        <v>0.5</v>
      </c>
      <c r="AJN89" s="143">
        <v>0.5</v>
      </c>
      <c r="AJO89" s="143">
        <v>0.5</v>
      </c>
      <c r="AJP89" s="138">
        <v>0.5</v>
      </c>
      <c r="AJQ89" s="139">
        <v>0.5</v>
      </c>
      <c r="AJR89" s="155"/>
      <c r="AJS89" s="137"/>
      <c r="AJT89" s="34">
        <v>0.5</v>
      </c>
      <c r="AJU89" s="149">
        <v>0.5</v>
      </c>
      <c r="AJV89" s="142">
        <v>0.5</v>
      </c>
      <c r="AJW89" s="138">
        <v>0.5</v>
      </c>
      <c r="AJX89" s="138">
        <v>0.5</v>
      </c>
      <c r="AJY89" s="138">
        <v>0.5</v>
      </c>
      <c r="AJZ89" s="138">
        <v>0.5</v>
      </c>
      <c r="AKA89" s="138">
        <v>0.5</v>
      </c>
      <c r="AKB89" s="138">
        <v>0.5</v>
      </c>
      <c r="AKC89" s="138">
        <v>0.5</v>
      </c>
      <c r="AKD89" s="138">
        <v>0.5</v>
      </c>
      <c r="AKE89" s="137"/>
      <c r="AKF89" s="137"/>
      <c r="AKG89" s="153"/>
      <c r="AKH89" s="304"/>
      <c r="AKI89" s="152"/>
      <c r="AKJ89" s="131">
        <f>SUM(AJH89:AKI89)</f>
      </c>
      <c r="AKK89" s="121"/>
      <c r="AKL89" s="122"/>
      <c r="AKM89" s="123"/>
      <c r="AKN89" s="124"/>
      <c r="AKO89" s="124"/>
      <c r="AKP89" s="124"/>
      <c r="AKQ89" s="124"/>
      <c r="AKR89" s="124"/>
      <c r="AKS89" s="124"/>
      <c r="AKT89" s="125"/>
      <c r="AKU89" s="126"/>
      <c r="AKV89" s="124"/>
      <c r="AKW89" s="124"/>
      <c r="AKX89" s="127"/>
      <c r="AKY89" s="123"/>
      <c r="AKZ89" s="124"/>
      <c r="ALA89" s="124"/>
      <c r="ALB89" s="124"/>
      <c r="ALC89" s="124"/>
      <c r="ALD89" s="124"/>
      <c r="ALE89" s="124"/>
      <c r="ALF89" s="124"/>
      <c r="ALG89" s="124"/>
      <c r="ALH89" s="124"/>
      <c r="ALI89" s="124"/>
      <c r="ALJ89" s="125"/>
      <c r="ALK89" s="301"/>
      <c r="ALL89" s="151"/>
      <c r="ALM89" s="131">
        <f>SUM(AKK89:ALL89)</f>
      </c>
      <c r="ALN89" s="121"/>
      <c r="ALO89" s="122"/>
      <c r="ALP89" s="123"/>
      <c r="ALQ89" s="124"/>
      <c r="ALR89" s="124"/>
      <c r="ALS89" s="124"/>
      <c r="ALT89" s="124"/>
      <c r="ALU89" s="124"/>
      <c r="ALV89" s="124"/>
      <c r="ALW89" s="125"/>
      <c r="ALX89" s="126"/>
      <c r="ALY89" s="124"/>
      <c r="ALZ89" s="124"/>
      <c r="AMA89" s="127"/>
      <c r="AMB89" s="123"/>
      <c r="AMC89" s="124"/>
      <c r="AMD89" s="124"/>
      <c r="AME89" s="124"/>
      <c r="AMF89" s="124"/>
      <c r="AMG89" s="124"/>
      <c r="AMH89" s="124"/>
      <c r="AMI89" s="124"/>
      <c r="AMJ89" s="124"/>
      <c r="AMK89" s="124"/>
      <c r="AML89" s="124"/>
      <c r="AMM89" s="125"/>
      <c r="AMN89" s="301"/>
      <c r="AMO89" s="151"/>
      <c r="AMP89" s="131">
        <f>SUM(ALN89:AMO89)</f>
      </c>
      <c r="AMQ89" s="150">
        <f>AFX89+AHA89+AID89+AJG89+AKJ89+ALM89+AMP89</f>
      </c>
      <c r="AMR89" s="302">
        <f>(COUNTIF(AEV89:AMP89,"H")+COUNTIF(AEV89:AMP89,"S")+COUNTIF(AEV89:AMP89,"L")+COUNTIF(AEV89:AMP89,"E")+COUNTIF(AEV89:AMP89,"C"))/2</f>
      </c>
      <c r="AMS89" s="131">
        <f>AMQ89+AMR89</f>
      </c>
      <c r="AMT89" s="4"/>
      <c r="AMU89" s="4"/>
      <c r="AMV89" s="4"/>
      <c r="AMW89" s="4"/>
      <c r="AMX89" s="4"/>
      <c r="AMY89" s="4"/>
      <c r="AMZ89" s="4"/>
      <c r="ANA89" s="4"/>
      <c r="ANB89" s="4"/>
      <c r="ANC89" s="4"/>
      <c r="AND89" s="4"/>
      <c r="ANE89" s="4"/>
      <c r="ANF89" s="4"/>
      <c r="ANG89" s="4"/>
      <c r="ANH89" s="4"/>
      <c r="ANI89" s="4"/>
      <c r="ANJ89" s="13"/>
      <c r="ANK89" s="13"/>
      <c r="ANL89" s="4"/>
      <c r="ANM89" s="4"/>
      <c r="ANN89" s="4"/>
      <c r="ANO89" s="4"/>
      <c r="ANP89" s="4"/>
      <c r="ANQ89" s="4"/>
      <c r="ANR89" s="4"/>
      <c r="ANS89" s="4"/>
      <c r="ANT89" s="4"/>
      <c r="ANU89" s="4"/>
      <c r="ANV89" s="4"/>
      <c r="ANW89" s="4"/>
      <c r="ANX89" s="4"/>
      <c r="ANY89" s="4"/>
      <c r="ANZ89" s="4"/>
      <c r="AOA89" s="4"/>
      <c r="AOB89" s="4"/>
      <c r="AOC89" s="4"/>
      <c r="AOD89" s="4"/>
      <c r="AOE89" s="4"/>
      <c r="AOF89" s="4"/>
      <c r="AOG89" s="4"/>
      <c r="AOH89" s="4"/>
      <c r="AOI89" s="4"/>
      <c r="AOJ89" s="4"/>
      <c r="AOK89" s="4"/>
      <c r="AOL89" s="4"/>
      <c r="AOM89" s="4"/>
      <c r="AON89" s="4"/>
      <c r="AOO89" s="4"/>
      <c r="AOP89" s="4"/>
      <c r="AOQ89" s="4"/>
      <c r="AOR89" s="4"/>
      <c r="AOS89" s="4"/>
      <c r="AOT89" s="4"/>
      <c r="AOU89" s="4"/>
      <c r="AOV89" s="4"/>
      <c r="AOW89" s="4"/>
      <c r="AOX89" s="4"/>
      <c r="AOY89" s="4"/>
      <c r="AOZ89" s="4"/>
      <c r="APA89" s="4"/>
      <c r="APB89" s="4"/>
      <c r="APC89" s="4"/>
      <c r="APD89" s="4"/>
      <c r="APE89" s="4"/>
      <c r="APF89" s="4"/>
      <c r="APG89" s="4"/>
      <c r="APH89" s="4"/>
      <c r="API89" s="4"/>
      <c r="APJ89" s="4"/>
      <c r="APK89" s="4"/>
      <c r="APL89" s="4"/>
      <c r="APM89" s="4"/>
      <c r="APN89" s="4"/>
      <c r="APO89" s="4"/>
      <c r="APP89" s="4"/>
      <c r="APQ89" s="4"/>
      <c r="APR89" s="4"/>
      <c r="APS89" s="4"/>
      <c r="APT89" s="4"/>
      <c r="APU89" s="4"/>
      <c r="APV89" s="4"/>
      <c r="APW89" s="4"/>
      <c r="APX89" s="4"/>
      <c r="APY89" s="4"/>
      <c r="APZ89" s="4"/>
      <c r="AQA89" s="4"/>
      <c r="AQB89" s="4"/>
      <c r="AQC89" s="4"/>
      <c r="AQD89" s="4"/>
      <c r="AQE89" s="4"/>
      <c r="AQF89" s="4"/>
      <c r="AQG89" s="4"/>
      <c r="AQH89" s="4"/>
      <c r="AQI89" s="4"/>
      <c r="AQJ89" s="4"/>
      <c r="AQK89" s="4"/>
      <c r="AQL89" s="4"/>
      <c r="AQM89" s="4"/>
      <c r="AQN89" s="4"/>
      <c r="AQO89" s="4"/>
      <c r="AQP89" s="4"/>
      <c r="AQQ89" s="4"/>
      <c r="AQR89" s="4"/>
      <c r="AQS89" s="4"/>
      <c r="AQT89" s="4"/>
      <c r="AQU89" s="4"/>
      <c r="AQV89" s="4"/>
      <c r="AQW89" s="4"/>
      <c r="AQX89" s="4"/>
      <c r="AQY89" s="4"/>
      <c r="AQZ89" s="4"/>
      <c r="ARA89" s="4"/>
      <c r="ARB89" s="4"/>
      <c r="ARC89" s="4"/>
      <c r="ARD89" s="4"/>
      <c r="ARE89" s="4"/>
      <c r="ARF89" s="4"/>
      <c r="ARG89" s="4"/>
      <c r="ARH89" s="4"/>
      <c r="ARI89" s="4"/>
      <c r="ARJ89" s="4"/>
      <c r="ARK89" s="4"/>
      <c r="ARL89" s="4"/>
      <c r="ARM89" s="4"/>
      <c r="ARN89" s="4"/>
      <c r="ARO89" s="4"/>
      <c r="ARP89" s="4"/>
      <c r="ARQ89" s="4"/>
      <c r="ARR89" s="4"/>
      <c r="ARS89" s="4"/>
      <c r="ART89" s="4"/>
      <c r="ARU89" s="4"/>
      <c r="ARV89" s="4"/>
      <c r="ARW89" s="4"/>
      <c r="ARX89" s="4"/>
      <c r="ARY89" s="4"/>
      <c r="ARZ89" s="4"/>
      <c r="ASA89" s="4"/>
      <c r="ASB89" s="4"/>
      <c r="ASC89" s="4"/>
      <c r="ASD89" s="4"/>
      <c r="ASE89" s="4"/>
      <c r="ASF89" s="4"/>
      <c r="ASG89" s="4"/>
      <c r="ASH89" s="4"/>
      <c r="ASI89" s="4"/>
      <c r="ASJ89" s="4"/>
      <c r="ASK89" s="4"/>
      <c r="ASL89" s="4"/>
      <c r="ASM89" s="4"/>
      <c r="ASN89" s="4"/>
      <c r="ASO89" s="4"/>
      <c r="ASP89" s="4"/>
      <c r="ASQ89" s="4"/>
      <c r="ASR89" s="4"/>
      <c r="ASS89" s="4"/>
      <c r="AST89" s="4"/>
      <c r="ASU89" s="4"/>
    </row>
    <row r="90" ht="15" customHeight="1" spans="1:1191" x14ac:dyDescent="0.25">
      <c r="A90" s="118"/>
      <c r="B90" s="367" t="s">
        <v>128</v>
      </c>
      <c r="C90" s="289" t="s">
        <v>55</v>
      </c>
      <c r="D90" s="121"/>
      <c r="E90" s="122"/>
      <c r="F90" s="292"/>
      <c r="G90" s="196"/>
      <c r="H90" s="196"/>
      <c r="I90" s="196"/>
      <c r="J90" s="196"/>
      <c r="K90" s="196"/>
      <c r="L90" s="196"/>
      <c r="M90" s="195"/>
      <c r="N90" s="197"/>
      <c r="O90" s="196"/>
      <c r="P90" s="196"/>
      <c r="Q90" s="198"/>
      <c r="R90" s="292"/>
      <c r="S90" s="196"/>
      <c r="T90" s="196"/>
      <c r="U90" s="196"/>
      <c r="V90" s="196"/>
      <c r="W90" s="196"/>
      <c r="X90" s="196"/>
      <c r="Y90" s="196"/>
      <c r="Z90" s="196"/>
      <c r="AA90" s="196"/>
      <c r="AB90" s="196"/>
      <c r="AC90" s="195"/>
      <c r="AD90" s="301"/>
      <c r="AE90" s="151"/>
      <c r="AF90" s="130">
        <f>SUM(D90:AE90)</f>
      </c>
      <c r="AG90" s="121"/>
      <c r="AH90" s="122"/>
      <c r="AI90" s="292"/>
      <c r="AJ90" s="196"/>
      <c r="AK90" s="196"/>
      <c r="AL90" s="196"/>
      <c r="AM90" s="196"/>
      <c r="AN90" s="196"/>
      <c r="AO90" s="196"/>
      <c r="AP90" s="195"/>
      <c r="AQ90" s="197"/>
      <c r="AR90" s="196"/>
      <c r="AS90" s="196"/>
      <c r="AT90" s="198"/>
      <c r="AU90" s="292"/>
      <c r="AV90" s="196"/>
      <c r="AW90" s="196"/>
      <c r="AX90" s="196"/>
      <c r="AY90" s="196"/>
      <c r="AZ90" s="196"/>
      <c r="BA90" s="196"/>
      <c r="BB90" s="196"/>
      <c r="BC90" s="196"/>
      <c r="BD90" s="196"/>
      <c r="BE90" s="196"/>
      <c r="BF90" s="195"/>
      <c r="BG90" s="301"/>
      <c r="BH90" s="151"/>
      <c r="BI90" s="130">
        <f>SUM(AG90:BH90)</f>
      </c>
      <c r="BJ90" s="121"/>
      <c r="BK90" s="122"/>
      <c r="BL90" s="292"/>
      <c r="BM90" s="196"/>
      <c r="BN90" s="196"/>
      <c r="BO90" s="196"/>
      <c r="BP90" s="196"/>
      <c r="BQ90" s="196"/>
      <c r="BR90" s="196"/>
      <c r="BS90" s="195"/>
      <c r="BT90" s="197"/>
      <c r="BU90" s="196"/>
      <c r="BV90" s="196"/>
      <c r="BW90" s="198"/>
      <c r="BX90" s="292"/>
      <c r="BY90" s="196"/>
      <c r="BZ90" s="196"/>
      <c r="CA90" s="196"/>
      <c r="CB90" s="196"/>
      <c r="CC90" s="196"/>
      <c r="CD90" s="196"/>
      <c r="CE90" s="196"/>
      <c r="CF90" s="196"/>
      <c r="CG90" s="196"/>
      <c r="CH90" s="196"/>
      <c r="CI90" s="195"/>
      <c r="CJ90" s="301"/>
      <c r="CK90" s="151"/>
      <c r="CL90" s="130">
        <f>SUM(BJ90:CK90)</f>
      </c>
      <c r="CM90" s="121"/>
      <c r="CN90" s="122"/>
      <c r="CO90" s="292"/>
      <c r="CP90" s="196"/>
      <c r="CQ90" s="196"/>
      <c r="CR90" s="196"/>
      <c r="CS90" s="196"/>
      <c r="CT90" s="196"/>
      <c r="CU90" s="196"/>
      <c r="CV90" s="195"/>
      <c r="CW90" s="197"/>
      <c r="CX90" s="196"/>
      <c r="CY90" s="196"/>
      <c r="CZ90" s="198"/>
      <c r="DA90" s="292"/>
      <c r="DB90" s="196"/>
      <c r="DC90" s="196"/>
      <c r="DD90" s="196"/>
      <c r="DE90" s="196"/>
      <c r="DF90" s="196"/>
      <c r="DG90" s="196"/>
      <c r="DH90" s="196"/>
      <c r="DI90" s="196"/>
      <c r="DJ90" s="196"/>
      <c r="DK90" s="196"/>
      <c r="DL90" s="195"/>
      <c r="DM90" s="301"/>
      <c r="DN90" s="151"/>
      <c r="DO90" s="130">
        <f>SUM(CM90:DN90)</f>
      </c>
      <c r="DP90" s="121"/>
      <c r="DQ90" s="122"/>
      <c r="DR90" s="292"/>
      <c r="DS90" s="196"/>
      <c r="DT90" s="196"/>
      <c r="DU90" s="196"/>
      <c r="DV90" s="196"/>
      <c r="DW90" s="196"/>
      <c r="DX90" s="196"/>
      <c r="DY90" s="195"/>
      <c r="DZ90" s="197"/>
      <c r="EA90" s="196"/>
      <c r="EB90" s="196"/>
      <c r="EC90" s="198"/>
      <c r="ED90" s="292"/>
      <c r="EE90" s="196"/>
      <c r="EF90" s="196"/>
      <c r="EG90" s="196"/>
      <c r="EH90" s="196"/>
      <c r="EI90" s="196"/>
      <c r="EJ90" s="196"/>
      <c r="EK90" s="196"/>
      <c r="EL90" s="196"/>
      <c r="EM90" s="196"/>
      <c r="EN90" s="196"/>
      <c r="EO90" s="195"/>
      <c r="EP90" s="301"/>
      <c r="EQ90" s="151"/>
      <c r="ER90" s="130">
        <f>SUM(DP90:EQ90)</f>
      </c>
      <c r="ES90" s="121"/>
      <c r="ET90" s="122"/>
      <c r="EU90" s="292"/>
      <c r="EV90" s="196"/>
      <c r="EW90" s="196"/>
      <c r="EX90" s="196"/>
      <c r="EY90" s="196"/>
      <c r="EZ90" s="196"/>
      <c r="FA90" s="196"/>
      <c r="FB90" s="195"/>
      <c r="FC90" s="197"/>
      <c r="FD90" s="196"/>
      <c r="FE90" s="196"/>
      <c r="FF90" s="198"/>
      <c r="FG90" s="292"/>
      <c r="FH90" s="196"/>
      <c r="FI90" s="196"/>
      <c r="FJ90" s="196"/>
      <c r="FK90" s="196"/>
      <c r="FL90" s="196"/>
      <c r="FM90" s="196"/>
      <c r="FN90" s="196"/>
      <c r="FO90" s="196"/>
      <c r="FP90" s="196"/>
      <c r="FQ90" s="196"/>
      <c r="FR90" s="195"/>
      <c r="FS90" s="301"/>
      <c r="FT90" s="151"/>
      <c r="FU90" s="130">
        <f>SUM(ES90:FT90)</f>
      </c>
      <c r="FV90" s="121"/>
      <c r="FW90" s="122"/>
      <c r="FX90" s="292"/>
      <c r="FY90" s="196"/>
      <c r="FZ90" s="196"/>
      <c r="GA90" s="196"/>
      <c r="GB90" s="196"/>
      <c r="GC90" s="196"/>
      <c r="GD90" s="196"/>
      <c r="GE90" s="195"/>
      <c r="GF90" s="197"/>
      <c r="GG90" s="196"/>
      <c r="GH90" s="196"/>
      <c r="GI90" s="198"/>
      <c r="GJ90" s="292"/>
      <c r="GK90" s="196"/>
      <c r="GL90" s="196"/>
      <c r="GM90" s="196"/>
      <c r="GN90" s="196"/>
      <c r="GO90" s="196"/>
      <c r="GP90" s="196"/>
      <c r="GQ90" s="196"/>
      <c r="GR90" s="196"/>
      <c r="GS90" s="196"/>
      <c r="GT90" s="196"/>
      <c r="GU90" s="195"/>
      <c r="GV90" s="301"/>
      <c r="GW90" s="151"/>
      <c r="GX90" s="130">
        <f>SUM(FV90:GW90)</f>
      </c>
      <c r="GY90" s="150">
        <f>AF90+BI90+CL90+DO90+ER90+FU90+GX90</f>
      </c>
      <c r="GZ90" s="302">
        <f>(COUNTIF(D90:GX90,"H")+COUNTIF(D90:GX90,"S")+COUNTIF(D90:GX90,"L")+COUNTIF(D90:GX90,"E")+COUNTIF(D90:GX90,"C"))/2</f>
      </c>
      <c r="HA90" s="131">
        <f>GY90+GZ90</f>
      </c>
      <c r="HB90" s="134"/>
      <c r="HC90" s="135"/>
      <c r="HD90" s="295"/>
      <c r="HE90" s="369" t="s">
        <v>9</v>
      </c>
      <c r="HF90" s="369" t="s">
        <v>9</v>
      </c>
      <c r="HG90" s="369" t="s">
        <v>9</v>
      </c>
      <c r="HH90" s="369" t="s">
        <v>9</v>
      </c>
      <c r="HI90" s="369" t="s">
        <v>9</v>
      </c>
      <c r="HJ90" s="369" t="s">
        <v>9</v>
      </c>
      <c r="HK90" s="370" t="s">
        <v>9</v>
      </c>
      <c r="HL90" s="371" t="s">
        <v>9</v>
      </c>
      <c r="HM90" s="207"/>
      <c r="HN90" s="207"/>
      <c r="HO90" s="372" t="s">
        <v>9</v>
      </c>
      <c r="HP90" s="373" t="s">
        <v>9</v>
      </c>
      <c r="HQ90" s="369" t="s">
        <v>9</v>
      </c>
      <c r="HR90" s="369" t="s">
        <v>9</v>
      </c>
      <c r="HS90" s="369" t="s">
        <v>9</v>
      </c>
      <c r="HT90" s="369" t="s">
        <v>9</v>
      </c>
      <c r="HU90" s="369" t="s">
        <v>9</v>
      </c>
      <c r="HV90" s="369" t="s">
        <v>9</v>
      </c>
      <c r="HW90" s="207"/>
      <c r="HX90" s="207"/>
      <c r="HY90" s="207"/>
      <c r="HZ90" s="207"/>
      <c r="IA90" s="202"/>
      <c r="IB90" s="304"/>
      <c r="IC90" s="152"/>
      <c r="ID90" s="130">
        <f>SUM(HB90:IC90)</f>
      </c>
      <c r="IE90" s="134"/>
      <c r="IF90" s="135"/>
      <c r="IG90" s="377">
        <v>0.5</v>
      </c>
      <c r="IH90" s="15">
        <v>0.5</v>
      </c>
      <c r="II90" s="15">
        <v>0.5</v>
      </c>
      <c r="IJ90" s="15">
        <v>0.5</v>
      </c>
      <c r="IK90" s="15">
        <v>0.5</v>
      </c>
      <c r="IL90" s="15">
        <v>0.5</v>
      </c>
      <c r="IM90" s="212">
        <v>0.5</v>
      </c>
      <c r="IN90" s="213">
        <v>0.5</v>
      </c>
      <c r="IO90" s="214">
        <v>0.5</v>
      </c>
      <c r="IP90" s="212">
        <v>0.5</v>
      </c>
      <c r="IQ90" s="207"/>
      <c r="IR90" s="208"/>
      <c r="IS90" s="298">
        <v>0.5</v>
      </c>
      <c r="IT90" s="212">
        <v>0.5</v>
      </c>
      <c r="IU90" s="15">
        <v>0.5</v>
      </c>
      <c r="IV90" s="15">
        <v>0.5</v>
      </c>
      <c r="IW90" s="15">
        <v>0.5</v>
      </c>
      <c r="IX90" s="15">
        <v>0.5</v>
      </c>
      <c r="IY90" s="207"/>
      <c r="IZ90" s="207"/>
      <c r="JA90" s="207"/>
      <c r="JB90" s="207"/>
      <c r="JC90" s="207"/>
      <c r="JD90" s="202"/>
      <c r="JE90" s="304"/>
      <c r="JF90" s="152"/>
      <c r="JG90" s="130">
        <f>SUM(IE90:JF90)</f>
      </c>
      <c r="JH90" s="134"/>
      <c r="JI90" s="135"/>
      <c r="JJ90" s="377">
        <v>0.5</v>
      </c>
      <c r="JK90" s="15">
        <v>0.5</v>
      </c>
      <c r="JL90" s="15">
        <v>0.5</v>
      </c>
      <c r="JM90" s="15">
        <v>0.5</v>
      </c>
      <c r="JN90" s="15">
        <v>0.5</v>
      </c>
      <c r="JO90" s="15">
        <v>0.5</v>
      </c>
      <c r="JP90" s="212">
        <v>0.5</v>
      </c>
      <c r="JQ90" s="213">
        <v>0.5</v>
      </c>
      <c r="JR90" s="214">
        <v>0.5</v>
      </c>
      <c r="JS90" s="212">
        <v>0.5</v>
      </c>
      <c r="JT90" s="207"/>
      <c r="JU90" s="208"/>
      <c r="JV90" s="298">
        <v>0.5</v>
      </c>
      <c r="JW90" s="212">
        <v>0.5</v>
      </c>
      <c r="JX90" s="15">
        <v>0.5</v>
      </c>
      <c r="JY90" s="15">
        <v>0.5</v>
      </c>
      <c r="JZ90" s="15">
        <v>0.5</v>
      </c>
      <c r="KA90" s="15">
        <v>0.5</v>
      </c>
      <c r="KB90" s="207"/>
      <c r="KC90" s="207"/>
      <c r="KD90" s="207"/>
      <c r="KE90" s="207"/>
      <c r="KF90" s="207"/>
      <c r="KG90" s="202"/>
      <c r="KH90" s="304"/>
      <c r="KI90" s="152"/>
      <c r="KJ90" s="130">
        <f>SUM(JH90:KI90)</f>
      </c>
      <c r="KK90" s="134"/>
      <c r="KL90" s="135"/>
      <c r="KM90" s="377">
        <v>0.5</v>
      </c>
      <c r="KN90" s="15">
        <v>0.5</v>
      </c>
      <c r="KO90" s="15">
        <v>0.5</v>
      </c>
      <c r="KP90" s="15">
        <v>0.5</v>
      </c>
      <c r="KQ90" s="15">
        <v>0.5</v>
      </c>
      <c r="KR90" s="15">
        <v>0.5</v>
      </c>
      <c r="KS90" s="212">
        <v>0.5</v>
      </c>
      <c r="KT90" s="213">
        <v>0.5</v>
      </c>
      <c r="KU90" s="214">
        <v>0.5</v>
      </c>
      <c r="KV90" s="212">
        <v>0.5</v>
      </c>
      <c r="KW90" s="207"/>
      <c r="KX90" s="208"/>
      <c r="KY90" s="298">
        <v>0.5</v>
      </c>
      <c r="KZ90" s="212">
        <v>0.5</v>
      </c>
      <c r="LA90" s="15">
        <v>0.5</v>
      </c>
      <c r="LB90" s="15">
        <v>0.5</v>
      </c>
      <c r="LC90" s="15">
        <v>0.5</v>
      </c>
      <c r="LD90" s="15">
        <v>0.5</v>
      </c>
      <c r="LE90" s="207"/>
      <c r="LF90" s="207"/>
      <c r="LG90" s="207"/>
      <c r="LH90" s="207"/>
      <c r="LI90" s="207"/>
      <c r="LJ90" s="202"/>
      <c r="LK90" s="304"/>
      <c r="LL90" s="152"/>
      <c r="LM90" s="130">
        <f>SUM(KK90:LL90)</f>
      </c>
      <c r="LN90" s="134"/>
      <c r="LO90" s="135"/>
      <c r="LP90" s="295"/>
      <c r="LQ90" s="377" t="s">
        <v>4</v>
      </c>
      <c r="LR90" s="377" t="s">
        <v>4</v>
      </c>
      <c r="LS90" s="377" t="s">
        <v>4</v>
      </c>
      <c r="LT90" s="377" t="s">
        <v>4</v>
      </c>
      <c r="LU90" s="377" t="s">
        <v>4</v>
      </c>
      <c r="LV90" s="377" t="s">
        <v>4</v>
      </c>
      <c r="LW90" s="377" t="s">
        <v>4</v>
      </c>
      <c r="LX90" s="381" t="s">
        <v>4</v>
      </c>
      <c r="LY90" s="207"/>
      <c r="LZ90" s="207"/>
      <c r="MA90" s="382" t="s">
        <v>4</v>
      </c>
      <c r="MB90" s="383" t="s">
        <v>4</v>
      </c>
      <c r="MC90" s="377" t="s">
        <v>4</v>
      </c>
      <c r="MD90" s="377" t="s">
        <v>4</v>
      </c>
      <c r="ME90" s="377" t="s">
        <v>4</v>
      </c>
      <c r="MF90" s="377" t="s">
        <v>4</v>
      </c>
      <c r="MG90" s="377" t="s">
        <v>4</v>
      </c>
      <c r="MH90" s="377" t="s">
        <v>4</v>
      </c>
      <c r="MI90" s="207"/>
      <c r="MJ90" s="207"/>
      <c r="MK90" s="207"/>
      <c r="ML90" s="207"/>
      <c r="MM90" s="202"/>
      <c r="MN90" s="304"/>
      <c r="MO90" s="152"/>
      <c r="MP90" s="130">
        <f>SUM(LN90:MO90)</f>
      </c>
      <c r="MQ90" s="121"/>
      <c r="MR90" s="122"/>
      <c r="MS90" s="292"/>
      <c r="MT90" s="196"/>
      <c r="MU90" s="196"/>
      <c r="MV90" s="196"/>
      <c r="MW90" s="196"/>
      <c r="MX90" s="196"/>
      <c r="MY90" s="196"/>
      <c r="MZ90" s="195"/>
      <c r="NA90" s="197"/>
      <c r="NB90" s="196"/>
      <c r="NC90" s="196"/>
      <c r="ND90" s="198"/>
      <c r="NE90" s="292"/>
      <c r="NF90" s="196"/>
      <c r="NG90" s="196"/>
      <c r="NH90" s="196"/>
      <c r="NI90" s="196"/>
      <c r="NJ90" s="196"/>
      <c r="NK90" s="196"/>
      <c r="NL90" s="196"/>
      <c r="NM90" s="196"/>
      <c r="NN90" s="196"/>
      <c r="NO90" s="196"/>
      <c r="NP90" s="195"/>
      <c r="NQ90" s="301"/>
      <c r="NR90" s="151"/>
      <c r="NS90" s="130">
        <f>SUM(MQ90:NR90)</f>
      </c>
      <c r="NT90" s="121"/>
      <c r="NU90" s="122"/>
      <c r="NV90" s="292"/>
      <c r="NW90" s="196"/>
      <c r="NX90" s="196"/>
      <c r="NY90" s="196"/>
      <c r="NZ90" s="196"/>
      <c r="OA90" s="196"/>
      <c r="OB90" s="196"/>
      <c r="OC90" s="195"/>
      <c r="OD90" s="197"/>
      <c r="OE90" s="196"/>
      <c r="OF90" s="196"/>
      <c r="OG90" s="198"/>
      <c r="OH90" s="292"/>
      <c r="OI90" s="196"/>
      <c r="OJ90" s="196"/>
      <c r="OK90" s="196"/>
      <c r="OL90" s="196"/>
      <c r="OM90" s="196"/>
      <c r="ON90" s="196"/>
      <c r="OO90" s="196"/>
      <c r="OP90" s="196"/>
      <c r="OQ90" s="196"/>
      <c r="OR90" s="196"/>
      <c r="OS90" s="195"/>
      <c r="OT90" s="301"/>
      <c r="OU90" s="151"/>
      <c r="OV90" s="130">
        <f>SUM(NT90:OU90)</f>
      </c>
      <c r="OW90" s="132">
        <f>ID90+JG90+KJ90+LM90+MP90+NS90+OV90</f>
      </c>
      <c r="OX90" s="302">
        <f>(COUNTIF(HB90:OV90,"H")+COUNTIF(HB90:OV90,"S")+COUNTIF(HB90:OV90,"L")+COUNTIF(HB90:OV90,"E")+COUNTIF(HB90:OV90,"C"))/2</f>
      </c>
      <c r="OY90" s="130">
        <f>OW90+OX90</f>
      </c>
      <c r="OZ90" s="134"/>
      <c r="PA90" s="135"/>
      <c r="PB90" s="295"/>
      <c r="PC90" s="377" t="s">
        <v>4</v>
      </c>
      <c r="PD90" s="377" t="s">
        <v>4</v>
      </c>
      <c r="PE90" s="377" t="s">
        <v>4</v>
      </c>
      <c r="PF90" s="377" t="s">
        <v>4</v>
      </c>
      <c r="PG90" s="377" t="s">
        <v>4</v>
      </c>
      <c r="PH90" s="377" t="s">
        <v>4</v>
      </c>
      <c r="PI90" s="377" t="s">
        <v>4</v>
      </c>
      <c r="PJ90" s="381" t="s">
        <v>4</v>
      </c>
      <c r="PK90" s="207"/>
      <c r="PL90" s="207"/>
      <c r="PM90" s="382" t="s">
        <v>4</v>
      </c>
      <c r="PN90" s="383" t="s">
        <v>4</v>
      </c>
      <c r="PO90" s="377" t="s">
        <v>4</v>
      </c>
      <c r="PP90" s="377" t="s">
        <v>4</v>
      </c>
      <c r="PQ90" s="377" t="s">
        <v>4</v>
      </c>
      <c r="PR90" s="377" t="s">
        <v>4</v>
      </c>
      <c r="PS90" s="377" t="s">
        <v>4</v>
      </c>
      <c r="PT90" s="377" t="s">
        <v>4</v>
      </c>
      <c r="PU90" s="207"/>
      <c r="PV90" s="207"/>
      <c r="PW90" s="207"/>
      <c r="PX90" s="207"/>
      <c r="PY90" s="202"/>
      <c r="PZ90" s="304"/>
      <c r="QA90" s="152"/>
      <c r="QB90" s="130">
        <f>SUM(OZ90:QA90)</f>
      </c>
      <c r="QC90" s="134"/>
      <c r="QD90" s="135"/>
      <c r="QE90" s="295"/>
      <c r="QF90" s="207"/>
      <c r="QG90" s="207"/>
      <c r="QH90" s="15">
        <v>0.5</v>
      </c>
      <c r="QI90" s="15">
        <v>0.5</v>
      </c>
      <c r="QJ90" s="15">
        <v>0.5</v>
      </c>
      <c r="QK90" s="212">
        <v>0.5</v>
      </c>
      <c r="QL90" s="213">
        <v>0.5</v>
      </c>
      <c r="QM90" s="296"/>
      <c r="QN90" s="207"/>
      <c r="QO90" s="212">
        <v>0.5</v>
      </c>
      <c r="QP90" s="297">
        <v>0.5</v>
      </c>
      <c r="QQ90" s="298">
        <v>0.5</v>
      </c>
      <c r="QR90" s="212">
        <v>0.5</v>
      </c>
      <c r="QS90" s="15">
        <v>0.5</v>
      </c>
      <c r="QT90" s="15">
        <v>0.5</v>
      </c>
      <c r="QU90" s="15">
        <v>0.5</v>
      </c>
      <c r="QV90" s="15">
        <v>0.5</v>
      </c>
      <c r="QW90" s="15">
        <v>0.5</v>
      </c>
      <c r="QX90" s="15">
        <v>0.5</v>
      </c>
      <c r="QY90" s="15">
        <v>0.5</v>
      </c>
      <c r="QZ90" s="207"/>
      <c r="RA90" s="207"/>
      <c r="RB90" s="202"/>
      <c r="RC90" s="304"/>
      <c r="RD90" s="152"/>
      <c r="RE90" s="130">
        <f>SUM(QC90:RD90)</f>
      </c>
      <c r="RF90" s="134"/>
      <c r="RG90" s="135"/>
      <c r="RH90" s="295"/>
      <c r="RI90" s="207"/>
      <c r="RJ90" s="207"/>
      <c r="RK90" s="15">
        <v>0.5</v>
      </c>
      <c r="RL90" s="15">
        <v>0.5</v>
      </c>
      <c r="RM90" s="15">
        <v>0.5</v>
      </c>
      <c r="RN90" s="212">
        <v>0.5</v>
      </c>
      <c r="RO90" s="213">
        <v>0.5</v>
      </c>
      <c r="RP90" s="296"/>
      <c r="RQ90" s="207"/>
      <c r="RR90" s="212">
        <v>0.5</v>
      </c>
      <c r="RS90" s="297">
        <v>0.5</v>
      </c>
      <c r="RT90" s="298">
        <v>0.5</v>
      </c>
      <c r="RU90" s="212">
        <v>0.5</v>
      </c>
      <c r="RV90" s="15">
        <v>0.5</v>
      </c>
      <c r="RW90" s="15">
        <v>0.5</v>
      </c>
      <c r="RX90" s="15">
        <v>0.5</v>
      </c>
      <c r="RY90" s="15">
        <v>0.5</v>
      </c>
      <c r="RZ90" s="15">
        <v>0.5</v>
      </c>
      <c r="SA90" s="15">
        <v>0.5</v>
      </c>
      <c r="SB90" s="15">
        <v>0.5</v>
      </c>
      <c r="SC90" s="207"/>
      <c r="SD90" s="207"/>
      <c r="SE90" s="202"/>
      <c r="SF90" s="304"/>
      <c r="SG90" s="152"/>
      <c r="SH90" s="130">
        <f>SUM(RF90:SG90)</f>
      </c>
      <c r="SI90" s="134"/>
      <c r="SJ90" s="135"/>
      <c r="SK90" s="295"/>
      <c r="SL90" s="207"/>
      <c r="SM90" s="207"/>
      <c r="SN90" s="15">
        <v>0.5</v>
      </c>
      <c r="SO90" s="15">
        <v>0.5</v>
      </c>
      <c r="SP90" s="15">
        <v>0.5</v>
      </c>
      <c r="SQ90" s="212">
        <v>0.5</v>
      </c>
      <c r="SR90" s="213">
        <v>0.5</v>
      </c>
      <c r="SS90" s="296"/>
      <c r="ST90" s="207"/>
      <c r="SU90" s="212">
        <v>0.5</v>
      </c>
      <c r="SV90" s="297">
        <v>0.5</v>
      </c>
      <c r="SW90" s="298">
        <v>0.5</v>
      </c>
      <c r="SX90" s="212">
        <v>0.5</v>
      </c>
      <c r="SY90" s="15">
        <v>0.5</v>
      </c>
      <c r="SZ90" s="15">
        <v>0.5</v>
      </c>
      <c r="TA90" s="15">
        <v>0.5</v>
      </c>
      <c r="TB90" s="15">
        <v>0.5</v>
      </c>
      <c r="TC90" s="15">
        <v>0.5</v>
      </c>
      <c r="TD90" s="15">
        <v>0.5</v>
      </c>
      <c r="TE90" s="15">
        <v>0.5</v>
      </c>
      <c r="TF90" s="207"/>
      <c r="TG90" s="207"/>
      <c r="TH90" s="202"/>
      <c r="TI90" s="304"/>
      <c r="TJ90" s="152"/>
      <c r="TK90" s="130">
        <f>SUM(SI90:TJ90)</f>
      </c>
      <c r="TL90" s="134"/>
      <c r="TM90" s="135"/>
      <c r="TN90" s="295"/>
      <c r="TO90" s="207"/>
      <c r="TP90" s="207"/>
      <c r="TQ90" s="15">
        <v>0.5</v>
      </c>
      <c r="TR90" s="15">
        <v>0.5</v>
      </c>
      <c r="TS90" s="15">
        <v>0.5</v>
      </c>
      <c r="TT90" s="212">
        <v>0.5</v>
      </c>
      <c r="TU90" s="213">
        <v>0.5</v>
      </c>
      <c r="TV90" s="296"/>
      <c r="TW90" s="207"/>
      <c r="TX90" s="212">
        <v>0.5</v>
      </c>
      <c r="TY90" s="297">
        <v>0.5</v>
      </c>
      <c r="TZ90" s="298">
        <v>0.5</v>
      </c>
      <c r="UA90" s="212">
        <v>0.5</v>
      </c>
      <c r="UB90" s="15">
        <v>0.5</v>
      </c>
      <c r="UC90" s="15">
        <v>0.5</v>
      </c>
      <c r="UD90" s="15">
        <v>0.5</v>
      </c>
      <c r="UE90" s="15">
        <v>0.5</v>
      </c>
      <c r="UF90" s="15">
        <v>0.5</v>
      </c>
      <c r="UG90" s="15">
        <v>0.5</v>
      </c>
      <c r="UH90" s="15">
        <v>0.5</v>
      </c>
      <c r="UI90" s="207"/>
      <c r="UJ90" s="207"/>
      <c r="UK90" s="202"/>
      <c r="UL90" s="304"/>
      <c r="UM90" s="152"/>
      <c r="UN90" s="130">
        <f>SUM(TL90:UM90)</f>
      </c>
      <c r="UO90" s="121"/>
      <c r="UP90" s="122"/>
      <c r="UQ90" s="292"/>
      <c r="UR90" s="196"/>
      <c r="US90" s="196"/>
      <c r="UT90" s="196"/>
      <c r="UU90" s="196"/>
      <c r="UV90" s="196"/>
      <c r="UW90" s="196"/>
      <c r="UX90" s="195"/>
      <c r="UY90" s="197"/>
      <c r="UZ90" s="196"/>
      <c r="VA90" s="196"/>
      <c r="VB90" s="198"/>
      <c r="VC90" s="292"/>
      <c r="VD90" s="196"/>
      <c r="VE90" s="196"/>
      <c r="VF90" s="196"/>
      <c r="VG90" s="196"/>
      <c r="VH90" s="196"/>
      <c r="VI90" s="196"/>
      <c r="VJ90" s="196"/>
      <c r="VK90" s="196"/>
      <c r="VL90" s="196"/>
      <c r="VM90" s="196"/>
      <c r="VN90" s="195"/>
      <c r="VO90" s="301"/>
      <c r="VP90" s="151"/>
      <c r="VQ90" s="130">
        <f>SUM(UO90:VP90)</f>
      </c>
      <c r="VR90" s="121"/>
      <c r="VS90" s="122"/>
      <c r="VT90" s="292"/>
      <c r="VU90" s="196"/>
      <c r="VV90" s="196"/>
      <c r="VW90" s="196"/>
      <c r="VX90" s="196"/>
      <c r="VY90" s="196"/>
      <c r="VZ90" s="196"/>
      <c r="WA90" s="195"/>
      <c r="WB90" s="197"/>
      <c r="WC90" s="196"/>
      <c r="WD90" s="196"/>
      <c r="WE90" s="198"/>
      <c r="WF90" s="292"/>
      <c r="WG90" s="196"/>
      <c r="WH90" s="196"/>
      <c r="WI90" s="196"/>
      <c r="WJ90" s="196"/>
      <c r="WK90" s="196"/>
      <c r="WL90" s="196"/>
      <c r="WM90" s="196"/>
      <c r="WN90" s="196"/>
      <c r="WO90" s="196"/>
      <c r="WP90" s="196"/>
      <c r="WQ90" s="195"/>
      <c r="WR90" s="301"/>
      <c r="WS90" s="151"/>
      <c r="WT90" s="130">
        <f>SUM(VR90:WS90)</f>
      </c>
      <c r="WU90" s="132">
        <f>QB90+RE90+SH90+TK90+UN90+VQ90+WT90</f>
      </c>
      <c r="WV90" s="302">
        <f>(COUNTIF(OZ90:WT90,"H")+COUNTIF(OZ90:WT90,"S")+COUNTIF(OZ90:WT90,"L")+COUNTIF(OZ90:WT90,"E")+COUNTIF(OZ90:WT90,"C"))/2</f>
      </c>
      <c r="WW90" s="130">
        <f>WU90+WV90</f>
      </c>
      <c r="WX90" s="134"/>
      <c r="WY90" s="135"/>
      <c r="WZ90" s="377">
        <v>0.5</v>
      </c>
      <c r="XA90" s="559">
        <v>0.5</v>
      </c>
      <c r="XB90" s="559">
        <v>0.5</v>
      </c>
      <c r="XC90" s="559">
        <v>0.5</v>
      </c>
      <c r="XD90" s="559">
        <v>0.5</v>
      </c>
      <c r="XE90" s="559">
        <v>0.5</v>
      </c>
      <c r="XF90" s="559">
        <v>0.5</v>
      </c>
      <c r="XG90" s="560">
        <v>0.5</v>
      </c>
      <c r="XH90" s="561">
        <v>0.5</v>
      </c>
      <c r="XI90" s="559">
        <v>0.5</v>
      </c>
      <c r="XJ90" s="207"/>
      <c r="XK90" s="208"/>
      <c r="XL90" s="298">
        <v>0.5</v>
      </c>
      <c r="XM90" s="212">
        <v>0.5</v>
      </c>
      <c r="XN90" s="15">
        <v>0.5</v>
      </c>
      <c r="XO90" s="15">
        <v>0.5</v>
      </c>
      <c r="XP90" s="15">
        <v>0.5</v>
      </c>
      <c r="XQ90" s="15">
        <v>0.5</v>
      </c>
      <c r="XR90" s="207"/>
      <c r="XS90" s="207"/>
      <c r="XT90" s="207"/>
      <c r="XU90" s="207"/>
      <c r="XV90" s="207"/>
      <c r="XW90" s="202"/>
      <c r="XX90" s="304"/>
      <c r="XY90" s="152"/>
      <c r="XZ90" s="130">
        <f>SUM(WX90:XY90)</f>
      </c>
      <c r="YA90" s="134"/>
      <c r="YB90" s="135"/>
      <c r="YC90" s="377">
        <v>0.5</v>
      </c>
      <c r="YD90" s="559">
        <v>0.5</v>
      </c>
      <c r="YE90" s="559">
        <v>0.5</v>
      </c>
      <c r="YF90" s="559">
        <v>0.5</v>
      </c>
      <c r="YG90" s="559">
        <v>0.5</v>
      </c>
      <c r="YH90" s="559">
        <v>0.5</v>
      </c>
      <c r="YI90" s="559">
        <v>0.5</v>
      </c>
      <c r="YJ90" s="560">
        <v>0.5</v>
      </c>
      <c r="YK90" s="561">
        <v>0.5</v>
      </c>
      <c r="YL90" s="559">
        <v>0.5</v>
      </c>
      <c r="YM90" s="207"/>
      <c r="YN90" s="208"/>
      <c r="YO90" s="298">
        <v>0.5</v>
      </c>
      <c r="YP90" s="212">
        <v>0.5</v>
      </c>
      <c r="YQ90" s="15">
        <v>0.5</v>
      </c>
      <c r="YR90" s="15">
        <v>0.5</v>
      </c>
      <c r="YS90" s="15">
        <v>0.5</v>
      </c>
      <c r="YT90" s="15">
        <v>0.5</v>
      </c>
      <c r="YU90" s="207"/>
      <c r="YV90" s="207"/>
      <c r="YW90" s="207"/>
      <c r="YX90" s="207"/>
      <c r="YY90" s="207"/>
      <c r="YZ90" s="202"/>
      <c r="ZA90" s="304"/>
      <c r="ZB90" s="152"/>
      <c r="ZC90" s="130">
        <f>SUM(YA90:ZB90)</f>
      </c>
      <c r="ZD90" s="134"/>
      <c r="ZE90" s="135"/>
      <c r="ZF90" s="377">
        <v>0.5</v>
      </c>
      <c r="ZG90" s="559">
        <v>0.5</v>
      </c>
      <c r="ZH90" s="559">
        <v>0.5</v>
      </c>
      <c r="ZI90" s="559">
        <v>0.5</v>
      </c>
      <c r="ZJ90" s="559">
        <v>0.5</v>
      </c>
      <c r="ZK90" s="559">
        <v>0.5</v>
      </c>
      <c r="ZL90" s="559">
        <v>0.5</v>
      </c>
      <c r="ZM90" s="560">
        <v>0.5</v>
      </c>
      <c r="ZN90" s="561">
        <v>0.5</v>
      </c>
      <c r="ZO90" s="559">
        <v>0.5</v>
      </c>
      <c r="ZP90" s="207"/>
      <c r="ZQ90" s="208"/>
      <c r="ZR90" s="298">
        <v>0.5</v>
      </c>
      <c r="ZS90" s="212">
        <v>0.5</v>
      </c>
      <c r="ZT90" s="15">
        <v>0.5</v>
      </c>
      <c r="ZU90" s="15">
        <v>0.5</v>
      </c>
      <c r="ZV90" s="15">
        <v>0.5</v>
      </c>
      <c r="ZW90" s="15">
        <v>0.5</v>
      </c>
      <c r="ZX90" s="207"/>
      <c r="ZY90" s="207"/>
      <c r="ZZ90" s="207"/>
      <c r="AAA90" s="207"/>
      <c r="AAB90" s="207"/>
      <c r="AAC90" s="202"/>
      <c r="AAD90" s="304"/>
      <c r="AAE90" s="152"/>
      <c r="AAF90" s="130">
        <f>SUM(ZD90:AAE90)</f>
      </c>
      <c r="AAG90" s="134"/>
      <c r="AAH90" s="135"/>
      <c r="AAI90" s="377">
        <v>0.5</v>
      </c>
      <c r="AAJ90" s="559">
        <v>0.5</v>
      </c>
      <c r="AAK90" s="559">
        <v>0.5</v>
      </c>
      <c r="AAL90" s="559">
        <v>0.5</v>
      </c>
      <c r="AAM90" s="559">
        <v>0.5</v>
      </c>
      <c r="AAN90" s="559">
        <v>0.5</v>
      </c>
      <c r="AAO90" s="559">
        <v>0.5</v>
      </c>
      <c r="AAP90" s="560">
        <v>0.5</v>
      </c>
      <c r="AAQ90" s="561">
        <v>0.5</v>
      </c>
      <c r="AAR90" s="559">
        <v>0.5</v>
      </c>
      <c r="AAS90" s="207"/>
      <c r="AAT90" s="208"/>
      <c r="AAU90" s="298">
        <v>0.5</v>
      </c>
      <c r="AAV90" s="212">
        <v>0.5</v>
      </c>
      <c r="AAW90" s="15">
        <v>0.5</v>
      </c>
      <c r="AAX90" s="15">
        <v>0.5</v>
      </c>
      <c r="AAY90" s="15">
        <v>0.5</v>
      </c>
      <c r="AAZ90" s="15">
        <v>0.5</v>
      </c>
      <c r="ABA90" s="207"/>
      <c r="ABB90" s="207"/>
      <c r="ABC90" s="207"/>
      <c r="ABD90" s="207"/>
      <c r="ABE90" s="207"/>
      <c r="ABF90" s="202"/>
      <c r="ABG90" s="304"/>
      <c r="ABH90" s="152"/>
      <c r="ABI90" s="130">
        <f>SUM(AAG90:ABH90)</f>
      </c>
      <c r="ABJ90" s="134"/>
      <c r="ABK90" s="135"/>
      <c r="ABL90" s="377">
        <v>0.5</v>
      </c>
      <c r="ABM90" s="559">
        <v>0.5</v>
      </c>
      <c r="ABN90" s="559">
        <v>0.5</v>
      </c>
      <c r="ABO90" s="559">
        <v>0.5</v>
      </c>
      <c r="ABP90" s="559">
        <v>0.5</v>
      </c>
      <c r="ABQ90" s="559">
        <v>0.5</v>
      </c>
      <c r="ABR90" s="559">
        <v>0.5</v>
      </c>
      <c r="ABS90" s="560">
        <v>0.5</v>
      </c>
      <c r="ABT90" s="561">
        <v>0.5</v>
      </c>
      <c r="ABU90" s="559">
        <v>0.5</v>
      </c>
      <c r="ABV90" s="207"/>
      <c r="ABW90" s="208"/>
      <c r="ABX90" s="298">
        <v>0.5</v>
      </c>
      <c r="ABY90" s="212">
        <v>0.5</v>
      </c>
      <c r="ABZ90" s="15">
        <v>0.5</v>
      </c>
      <c r="ACA90" s="15">
        <v>0.5</v>
      </c>
      <c r="ACB90" s="15">
        <v>0.5</v>
      </c>
      <c r="ACC90" s="15">
        <v>0.5</v>
      </c>
      <c r="ACD90" s="207"/>
      <c r="ACE90" s="207"/>
      <c r="ACF90" s="207"/>
      <c r="ACG90" s="207"/>
      <c r="ACH90" s="207"/>
      <c r="ACI90" s="202"/>
      <c r="ACJ90" s="304"/>
      <c r="ACK90" s="152"/>
      <c r="ACL90" s="130">
        <f>SUM(ABJ90:ACK90)</f>
      </c>
      <c r="ACM90" s="121"/>
      <c r="ACN90" s="122"/>
      <c r="ACO90" s="292"/>
      <c r="ACP90" s="196"/>
      <c r="ACQ90" s="196"/>
      <c r="ACR90" s="196"/>
      <c r="ACS90" s="196"/>
      <c r="ACT90" s="196"/>
      <c r="ACU90" s="196"/>
      <c r="ACV90" s="195"/>
      <c r="ACW90" s="197"/>
      <c r="ACX90" s="196"/>
      <c r="ACY90" s="196"/>
      <c r="ACZ90" s="198"/>
      <c r="ADA90" s="292"/>
      <c r="ADB90" s="196"/>
      <c r="ADC90" s="196"/>
      <c r="ADD90" s="196"/>
      <c r="ADE90" s="196"/>
      <c r="ADF90" s="196"/>
      <c r="ADG90" s="196"/>
      <c r="ADH90" s="196"/>
      <c r="ADI90" s="196"/>
      <c r="ADJ90" s="196"/>
      <c r="ADK90" s="196"/>
      <c r="ADL90" s="195"/>
      <c r="ADM90" s="301"/>
      <c r="ADN90" s="151"/>
      <c r="ADO90" s="130">
        <f>SUM(ACM90:ADN90)</f>
      </c>
      <c r="ADP90" s="121"/>
      <c r="ADQ90" s="122"/>
      <c r="ADR90" s="292"/>
      <c r="ADS90" s="196"/>
      <c r="ADT90" s="196"/>
      <c r="ADU90" s="196"/>
      <c r="ADV90" s="196"/>
      <c r="ADW90" s="196"/>
      <c r="ADX90" s="196"/>
      <c r="ADY90" s="195"/>
      <c r="ADZ90" s="197"/>
      <c r="AEA90" s="196"/>
      <c r="AEB90" s="196"/>
      <c r="AEC90" s="198"/>
      <c r="AED90" s="292"/>
      <c r="AEE90" s="196"/>
      <c r="AEF90" s="196"/>
      <c r="AEG90" s="196"/>
      <c r="AEH90" s="196"/>
      <c r="AEI90" s="196"/>
      <c r="AEJ90" s="196"/>
      <c r="AEK90" s="196"/>
      <c r="AEL90" s="196"/>
      <c r="AEM90" s="196"/>
      <c r="AEN90" s="196"/>
      <c r="AEO90" s="195"/>
      <c r="AEP90" s="301"/>
      <c r="AEQ90" s="151"/>
      <c r="AER90" s="130">
        <f>SUM(ADP90:AEQ90)</f>
      </c>
      <c r="AES90" s="132">
        <f>XZ90+ZC90+AAF90+ABI90+ACL90+ADO90+AER90</f>
      </c>
      <c r="AET90" s="302">
        <f>(COUNTIF(WX90:AER90,"H")+COUNTIF(WX90:AER90,"S")+COUNTIF(WX90:AER90,"L")+COUNTIF(WX90:AER90,"E")+COUNTIF(WX90:AER90,"C"))/2</f>
      </c>
      <c r="AEU90" s="130">
        <f>AES90+AET90</f>
      </c>
      <c r="AEV90" s="134"/>
      <c r="AEW90" s="135"/>
      <c r="AEX90" s="295"/>
      <c r="AEY90" s="207"/>
      <c r="AEZ90" s="207"/>
      <c r="AFA90" s="15">
        <v>0.5</v>
      </c>
      <c r="AFB90" s="15">
        <v>0.5</v>
      </c>
      <c r="AFC90" s="15">
        <v>0.5</v>
      </c>
      <c r="AFD90" s="212">
        <v>0.5</v>
      </c>
      <c r="AFE90" s="213">
        <v>0.5</v>
      </c>
      <c r="AFF90" s="296"/>
      <c r="AFG90" s="207"/>
      <c r="AFH90" s="559">
        <v>0.5</v>
      </c>
      <c r="AFI90" s="562">
        <v>0.5</v>
      </c>
      <c r="AFJ90" s="563">
        <v>0.5</v>
      </c>
      <c r="AFK90" s="559">
        <v>0.5</v>
      </c>
      <c r="AFL90" s="559">
        <v>0.5</v>
      </c>
      <c r="AFM90" s="559">
        <v>0.5</v>
      </c>
      <c r="AFN90" s="559">
        <v>0.5</v>
      </c>
      <c r="AFO90" s="559">
        <v>0.5</v>
      </c>
      <c r="AFP90" s="559">
        <v>0.5</v>
      </c>
      <c r="AFQ90" s="559">
        <v>0.5</v>
      </c>
      <c r="AFR90" s="559">
        <v>0.5</v>
      </c>
      <c r="AFS90" s="207"/>
      <c r="AFT90" s="207"/>
      <c r="AFU90" s="202"/>
      <c r="AFV90" s="304"/>
      <c r="AFW90" s="152"/>
      <c r="AFX90" s="130">
        <f>SUM(AEV90:AFW90)</f>
      </c>
      <c r="AFY90" s="134"/>
      <c r="AFZ90" s="135"/>
      <c r="AGA90" s="295"/>
      <c r="AGB90" s="207"/>
      <c r="AGC90" s="207"/>
      <c r="AGD90" s="15">
        <v>0.5</v>
      </c>
      <c r="AGE90" s="15">
        <v>0.5</v>
      </c>
      <c r="AGF90" s="15">
        <v>0.5</v>
      </c>
      <c r="AGG90" s="212">
        <v>0.5</v>
      </c>
      <c r="AGH90" s="213">
        <v>0.5</v>
      </c>
      <c r="AGI90" s="296"/>
      <c r="AGJ90" s="207"/>
      <c r="AGK90" s="559">
        <v>0.5</v>
      </c>
      <c r="AGL90" s="562">
        <v>0.5</v>
      </c>
      <c r="AGM90" s="563">
        <v>0.5</v>
      </c>
      <c r="AGN90" s="559">
        <v>0.5</v>
      </c>
      <c r="AGO90" s="559">
        <v>0.5</v>
      </c>
      <c r="AGP90" s="559">
        <v>0.5</v>
      </c>
      <c r="AGQ90" s="559">
        <v>0.5</v>
      </c>
      <c r="AGR90" s="559">
        <v>0.5</v>
      </c>
      <c r="AGS90" s="559">
        <v>0.5</v>
      </c>
      <c r="AGT90" s="559">
        <v>0.5</v>
      </c>
      <c r="AGU90" s="559">
        <v>0.5</v>
      </c>
      <c r="AGV90" s="207"/>
      <c r="AGW90" s="207"/>
      <c r="AGX90" s="202"/>
      <c r="AGY90" s="304"/>
      <c r="AGZ90" s="152"/>
      <c r="AHA90" s="130">
        <f>SUM(AFY90:AGZ90)</f>
      </c>
      <c r="AHB90" s="134"/>
      <c r="AHC90" s="135"/>
      <c r="AHD90" s="295"/>
      <c r="AHE90" s="207"/>
      <c r="AHF90" s="207"/>
      <c r="AHG90" s="15">
        <v>0.5</v>
      </c>
      <c r="AHH90" s="15">
        <v>0.5</v>
      </c>
      <c r="AHI90" s="15">
        <v>0.5</v>
      </c>
      <c r="AHJ90" s="212">
        <v>0.5</v>
      </c>
      <c r="AHK90" s="213">
        <v>0.5</v>
      </c>
      <c r="AHL90" s="296"/>
      <c r="AHM90" s="207"/>
      <c r="AHN90" s="559">
        <v>0.5</v>
      </c>
      <c r="AHO90" s="562">
        <v>0.5</v>
      </c>
      <c r="AHP90" s="563">
        <v>0.5</v>
      </c>
      <c r="AHQ90" s="559">
        <v>0.5</v>
      </c>
      <c r="AHR90" s="559">
        <v>0.5</v>
      </c>
      <c r="AHS90" s="559">
        <v>0.5</v>
      </c>
      <c r="AHT90" s="559">
        <v>0.5</v>
      </c>
      <c r="AHU90" s="559">
        <v>0.5</v>
      </c>
      <c r="AHV90" s="559">
        <v>0.5</v>
      </c>
      <c r="AHW90" s="559">
        <v>0.5</v>
      </c>
      <c r="AHX90" s="559">
        <v>0.5</v>
      </c>
      <c r="AHY90" s="207"/>
      <c r="AHZ90" s="207"/>
      <c r="AIA90" s="202"/>
      <c r="AIB90" s="304"/>
      <c r="AIC90" s="152"/>
      <c r="AID90" s="130">
        <f>SUM(AHB90:AIC90)</f>
      </c>
      <c r="AIE90" s="134"/>
      <c r="AIF90" s="135"/>
      <c r="AIG90" s="295"/>
      <c r="AIH90" s="207"/>
      <c r="AII90" s="207"/>
      <c r="AIJ90" s="15">
        <v>0.5</v>
      </c>
      <c r="AIK90" s="15">
        <v>0.5</v>
      </c>
      <c r="AIL90" s="15">
        <v>0.5</v>
      </c>
      <c r="AIM90" s="212">
        <v>0.5</v>
      </c>
      <c r="AIN90" s="213">
        <v>0.5</v>
      </c>
      <c r="AIO90" s="296"/>
      <c r="AIP90" s="207"/>
      <c r="AIQ90" s="559">
        <v>0.5</v>
      </c>
      <c r="AIR90" s="562">
        <v>0.5</v>
      </c>
      <c r="AIS90" s="563">
        <v>0.5</v>
      </c>
      <c r="AIT90" s="559">
        <v>0.5</v>
      </c>
      <c r="AIU90" s="559">
        <v>0.5</v>
      </c>
      <c r="AIV90" s="559">
        <v>0.5</v>
      </c>
      <c r="AIW90" s="559">
        <v>0.5</v>
      </c>
      <c r="AIX90" s="559">
        <v>0.5</v>
      </c>
      <c r="AIY90" s="559">
        <v>0.5</v>
      </c>
      <c r="AIZ90" s="559">
        <v>0.5</v>
      </c>
      <c r="AJA90" s="559">
        <v>0.5</v>
      </c>
      <c r="AJB90" s="207"/>
      <c r="AJC90" s="207"/>
      <c r="AJD90" s="202"/>
      <c r="AJE90" s="304"/>
      <c r="AJF90" s="152"/>
      <c r="AJG90" s="130">
        <f>SUM(AIE90:AJF90)</f>
      </c>
      <c r="AJH90" s="134"/>
      <c r="AJI90" s="135"/>
      <c r="AJJ90" s="295"/>
      <c r="AJK90" s="207"/>
      <c r="AJL90" s="207"/>
      <c r="AJM90" s="15">
        <v>0.5</v>
      </c>
      <c r="AJN90" s="15">
        <v>0.5</v>
      </c>
      <c r="AJO90" s="15">
        <v>0.5</v>
      </c>
      <c r="AJP90" s="212">
        <v>0.5</v>
      </c>
      <c r="AJQ90" s="213">
        <v>0.5</v>
      </c>
      <c r="AJR90" s="296"/>
      <c r="AJS90" s="207"/>
      <c r="AJT90" s="559">
        <v>0.5</v>
      </c>
      <c r="AJU90" s="297">
        <v>0.5</v>
      </c>
      <c r="AJV90" s="298">
        <v>0.5</v>
      </c>
      <c r="AJW90" s="212">
        <v>0.5</v>
      </c>
      <c r="AJX90" s="212">
        <v>0.5</v>
      </c>
      <c r="AJY90" s="212">
        <v>0.5</v>
      </c>
      <c r="AJZ90" s="212">
        <v>0.5</v>
      </c>
      <c r="AKA90" s="212">
        <v>0.5</v>
      </c>
      <c r="AKB90" s="212">
        <v>0.5</v>
      </c>
      <c r="AKC90" s="212">
        <v>0.5</v>
      </c>
      <c r="AKD90" s="212">
        <v>0.5</v>
      </c>
      <c r="AKE90" s="207"/>
      <c r="AKF90" s="207"/>
      <c r="AKG90" s="202"/>
      <c r="AKH90" s="304"/>
      <c r="AKI90" s="152"/>
      <c r="AKJ90" s="130">
        <f>SUM(AJH90:AKI90)</f>
      </c>
      <c r="AKK90" s="121"/>
      <c r="AKL90" s="122"/>
      <c r="AKM90" s="292"/>
      <c r="AKN90" s="196"/>
      <c r="AKO90" s="196"/>
      <c r="AKP90" s="196"/>
      <c r="AKQ90" s="196"/>
      <c r="AKR90" s="196"/>
      <c r="AKS90" s="196"/>
      <c r="AKT90" s="195"/>
      <c r="AKU90" s="197"/>
      <c r="AKV90" s="196"/>
      <c r="AKW90" s="196"/>
      <c r="AKX90" s="198"/>
      <c r="AKY90" s="292"/>
      <c r="AKZ90" s="196"/>
      <c r="ALA90" s="196"/>
      <c r="ALB90" s="196"/>
      <c r="ALC90" s="196"/>
      <c r="ALD90" s="196"/>
      <c r="ALE90" s="196"/>
      <c r="ALF90" s="196"/>
      <c r="ALG90" s="196"/>
      <c r="ALH90" s="196"/>
      <c r="ALI90" s="196"/>
      <c r="ALJ90" s="195"/>
      <c r="ALK90" s="301"/>
      <c r="ALL90" s="151"/>
      <c r="ALM90" s="130">
        <f>SUM(AKK90:ALL90)</f>
      </c>
      <c r="ALN90" s="121"/>
      <c r="ALO90" s="122"/>
      <c r="ALP90" s="292"/>
      <c r="ALQ90" s="196"/>
      <c r="ALR90" s="196"/>
      <c r="ALS90" s="196"/>
      <c r="ALT90" s="196"/>
      <c r="ALU90" s="196"/>
      <c r="ALV90" s="196"/>
      <c r="ALW90" s="195"/>
      <c r="ALX90" s="197"/>
      <c r="ALY90" s="196"/>
      <c r="ALZ90" s="196"/>
      <c r="AMA90" s="198"/>
      <c r="AMB90" s="292"/>
      <c r="AMC90" s="196"/>
      <c r="AMD90" s="196"/>
      <c r="AME90" s="196"/>
      <c r="AMF90" s="196"/>
      <c r="AMG90" s="196"/>
      <c r="AMH90" s="196"/>
      <c r="AMI90" s="196"/>
      <c r="AMJ90" s="196"/>
      <c r="AMK90" s="196"/>
      <c r="AML90" s="196"/>
      <c r="AMM90" s="195"/>
      <c r="AMN90" s="301"/>
      <c r="AMO90" s="151"/>
      <c r="AMP90" s="130">
        <f>SUM(ALN90:AMO90)</f>
      </c>
      <c r="AMQ90" s="132">
        <f>AFX90+AHA90+AID90+AJG90+AKJ90+ALM90+AMP90</f>
      </c>
      <c r="AMR90" s="302">
        <f>(COUNTIF(AEV90:AMP90,"H")+COUNTIF(AEV90:AMP90,"S")+COUNTIF(AEV90:AMP90,"L")+COUNTIF(AEV90:AMP90,"E")+COUNTIF(AEV90:AMP90,"C"))/2</f>
      </c>
      <c r="AMS90" s="130">
        <f>AMQ90+AMR90</f>
      </c>
      <c r="AMT90" s="4"/>
      <c r="AMU90" s="4"/>
      <c r="AMV90" s="4"/>
      <c r="AMW90" s="4"/>
      <c r="AMX90" s="4"/>
      <c r="AMY90" s="4"/>
      <c r="AMZ90" s="4"/>
      <c r="ANA90" s="4"/>
      <c r="ANB90" s="4"/>
      <c r="ANC90" s="4"/>
      <c r="AND90" s="4"/>
      <c r="ANE90" s="4"/>
      <c r="ANF90" s="4"/>
      <c r="ANG90" s="4"/>
      <c r="ANH90" s="4"/>
      <c r="ANI90" s="4"/>
      <c r="ANJ90" s="13"/>
      <c r="ANK90" s="13"/>
      <c r="ANL90" s="4"/>
      <c r="ANM90" s="4"/>
      <c r="ANN90" s="4"/>
      <c r="ANO90" s="4"/>
      <c r="ANP90" s="4"/>
      <c r="ANQ90" s="4"/>
      <c r="ANR90" s="4"/>
      <c r="ANS90" s="4"/>
      <c r="ANT90" s="4"/>
      <c r="ANU90" s="4"/>
      <c r="ANV90" s="4"/>
      <c r="ANW90" s="4"/>
      <c r="ANX90" s="4"/>
      <c r="ANY90" s="4"/>
      <c r="ANZ90" s="4"/>
      <c r="AOA90" s="4"/>
      <c r="AOB90" s="4"/>
      <c r="AOC90" s="4"/>
      <c r="AOD90" s="4"/>
      <c r="AOE90" s="4"/>
      <c r="AOF90" s="4"/>
      <c r="AOG90" s="4"/>
      <c r="AOH90" s="4"/>
      <c r="AOI90" s="4"/>
      <c r="AOJ90" s="4"/>
      <c r="AOK90" s="4"/>
      <c r="AOL90" s="4"/>
      <c r="AOM90" s="4"/>
      <c r="AON90" s="4"/>
      <c r="AOO90" s="4"/>
      <c r="AOP90" s="4"/>
      <c r="AOQ90" s="4"/>
      <c r="AOR90" s="4"/>
      <c r="AOS90" s="4"/>
      <c r="AOT90" s="4"/>
      <c r="AOU90" s="4"/>
      <c r="AOV90" s="4"/>
      <c r="AOW90" s="4"/>
      <c r="AOX90" s="4"/>
      <c r="AOY90" s="4"/>
      <c r="AOZ90" s="4"/>
      <c r="APA90" s="4"/>
      <c r="APB90" s="4"/>
      <c r="APC90" s="4"/>
      <c r="APD90" s="4"/>
      <c r="APE90" s="4"/>
      <c r="APF90" s="4"/>
      <c r="APG90" s="4"/>
      <c r="APH90" s="4"/>
      <c r="API90" s="4"/>
      <c r="APJ90" s="4"/>
      <c r="APK90" s="4"/>
      <c r="APL90" s="4"/>
      <c r="APM90" s="4"/>
      <c r="APN90" s="4"/>
      <c r="APO90" s="4"/>
      <c r="APP90" s="4"/>
      <c r="APQ90" s="4"/>
      <c r="APR90" s="4"/>
      <c r="APS90" s="4"/>
      <c r="APT90" s="4"/>
      <c r="APU90" s="4"/>
      <c r="APV90" s="4"/>
      <c r="APW90" s="4"/>
      <c r="APX90" s="4"/>
      <c r="APY90" s="4"/>
      <c r="APZ90" s="4"/>
      <c r="AQA90" s="4"/>
      <c r="AQB90" s="4"/>
      <c r="AQC90" s="4"/>
      <c r="AQD90" s="4"/>
      <c r="AQE90" s="4"/>
      <c r="AQF90" s="4"/>
      <c r="AQG90" s="4"/>
      <c r="AQH90" s="4"/>
      <c r="AQI90" s="4"/>
      <c r="AQJ90" s="4"/>
      <c r="AQK90" s="4"/>
      <c r="AQL90" s="4"/>
      <c r="AQM90" s="4"/>
      <c r="AQN90" s="4"/>
      <c r="AQO90" s="4"/>
      <c r="AQP90" s="4"/>
      <c r="AQQ90" s="4"/>
      <c r="AQR90" s="4"/>
      <c r="AQS90" s="4"/>
      <c r="AQT90" s="4"/>
      <c r="AQU90" s="4"/>
      <c r="AQV90" s="4"/>
      <c r="AQW90" s="4"/>
      <c r="AQX90" s="4"/>
      <c r="AQY90" s="4"/>
      <c r="AQZ90" s="4"/>
      <c r="ARA90" s="4"/>
      <c r="ARB90" s="4"/>
      <c r="ARC90" s="4"/>
      <c r="ARD90" s="4"/>
      <c r="ARE90" s="4"/>
      <c r="ARF90" s="4"/>
      <c r="ARG90" s="4"/>
      <c r="ARH90" s="4"/>
      <c r="ARI90" s="4"/>
      <c r="ARJ90" s="4"/>
      <c r="ARK90" s="4"/>
      <c r="ARL90" s="4"/>
      <c r="ARM90" s="4"/>
      <c r="ARN90" s="4"/>
      <c r="ARO90" s="4"/>
      <c r="ARP90" s="4"/>
      <c r="ARQ90" s="4"/>
      <c r="ARR90" s="4"/>
      <c r="ARS90" s="4"/>
      <c r="ART90" s="4"/>
      <c r="ARU90" s="4"/>
      <c r="ARV90" s="4"/>
      <c r="ARW90" s="4"/>
      <c r="ARX90" s="4"/>
      <c r="ARY90" s="4"/>
      <c r="ARZ90" s="4"/>
      <c r="ASA90" s="4"/>
      <c r="ASB90" s="4"/>
      <c r="ASC90" s="4"/>
      <c r="ASD90" s="4"/>
      <c r="ASE90" s="4"/>
      <c r="ASF90" s="4"/>
      <c r="ASG90" s="4"/>
      <c r="ASH90" s="4"/>
      <c r="ASI90" s="4"/>
      <c r="ASJ90" s="4"/>
      <c r="ASK90" s="4"/>
      <c r="ASL90" s="4"/>
      <c r="ASM90" s="4"/>
      <c r="ASN90" s="4"/>
      <c r="ASO90" s="4"/>
      <c r="ASP90" s="4"/>
      <c r="ASQ90" s="4"/>
      <c r="ASR90" s="4"/>
      <c r="ASS90" s="4"/>
      <c r="AST90" s="4"/>
      <c r="ASU90" s="4"/>
    </row>
    <row r="91" ht="15" customHeight="1" spans="1:1191" x14ac:dyDescent="0.25">
      <c r="A91" s="118"/>
      <c r="B91" s="367" t="s">
        <v>129</v>
      </c>
      <c r="C91" s="289" t="s">
        <v>55</v>
      </c>
      <c r="D91" s="121"/>
      <c r="E91" s="122"/>
      <c r="F91" s="292"/>
      <c r="G91" s="196"/>
      <c r="H91" s="196"/>
      <c r="I91" s="196"/>
      <c r="J91" s="196"/>
      <c r="K91" s="196"/>
      <c r="L91" s="196"/>
      <c r="M91" s="195"/>
      <c r="N91" s="197"/>
      <c r="O91" s="196"/>
      <c r="P91" s="196"/>
      <c r="Q91" s="198"/>
      <c r="R91" s="292"/>
      <c r="S91" s="196"/>
      <c r="T91" s="196"/>
      <c r="U91" s="196"/>
      <c r="V91" s="196"/>
      <c r="W91" s="196"/>
      <c r="X91" s="196"/>
      <c r="Y91" s="196"/>
      <c r="Z91" s="196"/>
      <c r="AA91" s="196"/>
      <c r="AB91" s="196"/>
      <c r="AC91" s="195"/>
      <c r="AD91" s="301"/>
      <c r="AE91" s="151"/>
      <c r="AF91" s="130">
        <f>SUM(D91:AE91)</f>
      </c>
      <c r="AG91" s="121"/>
      <c r="AH91" s="122"/>
      <c r="AI91" s="292"/>
      <c r="AJ91" s="196"/>
      <c r="AK91" s="196"/>
      <c r="AL91" s="196"/>
      <c r="AM91" s="196"/>
      <c r="AN91" s="196"/>
      <c r="AO91" s="196"/>
      <c r="AP91" s="195"/>
      <c r="AQ91" s="197"/>
      <c r="AR91" s="196"/>
      <c r="AS91" s="196"/>
      <c r="AT91" s="198"/>
      <c r="AU91" s="292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5"/>
      <c r="BG91" s="301"/>
      <c r="BH91" s="151"/>
      <c r="BI91" s="130">
        <f>SUM(AG91:BH91)</f>
      </c>
      <c r="BJ91" s="121"/>
      <c r="BK91" s="122"/>
      <c r="BL91" s="292"/>
      <c r="BM91" s="196"/>
      <c r="BN91" s="196"/>
      <c r="BO91" s="196"/>
      <c r="BP91" s="196"/>
      <c r="BQ91" s="196"/>
      <c r="BR91" s="196"/>
      <c r="BS91" s="195"/>
      <c r="BT91" s="197"/>
      <c r="BU91" s="196"/>
      <c r="BV91" s="196"/>
      <c r="BW91" s="198"/>
      <c r="BX91" s="292"/>
      <c r="BY91" s="196"/>
      <c r="BZ91" s="196"/>
      <c r="CA91" s="196"/>
      <c r="CB91" s="196"/>
      <c r="CC91" s="196"/>
      <c r="CD91" s="196"/>
      <c r="CE91" s="196"/>
      <c r="CF91" s="196"/>
      <c r="CG91" s="196"/>
      <c r="CH91" s="196"/>
      <c r="CI91" s="195"/>
      <c r="CJ91" s="301"/>
      <c r="CK91" s="151"/>
      <c r="CL91" s="130">
        <f>SUM(BJ91:CK91)</f>
      </c>
      <c r="CM91" s="121"/>
      <c r="CN91" s="122"/>
      <c r="CO91" s="292"/>
      <c r="CP91" s="196"/>
      <c r="CQ91" s="196"/>
      <c r="CR91" s="196"/>
      <c r="CS91" s="196"/>
      <c r="CT91" s="196"/>
      <c r="CU91" s="196"/>
      <c r="CV91" s="195"/>
      <c r="CW91" s="197"/>
      <c r="CX91" s="196"/>
      <c r="CY91" s="196"/>
      <c r="CZ91" s="198"/>
      <c r="DA91" s="292"/>
      <c r="DB91" s="196"/>
      <c r="DC91" s="196"/>
      <c r="DD91" s="196"/>
      <c r="DE91" s="196"/>
      <c r="DF91" s="196"/>
      <c r="DG91" s="196"/>
      <c r="DH91" s="196"/>
      <c r="DI91" s="196"/>
      <c r="DJ91" s="196"/>
      <c r="DK91" s="196"/>
      <c r="DL91" s="195"/>
      <c r="DM91" s="301"/>
      <c r="DN91" s="151"/>
      <c r="DO91" s="130">
        <f>SUM(CM91:DN91)</f>
      </c>
      <c r="DP91" s="121"/>
      <c r="DQ91" s="122"/>
      <c r="DR91" s="292"/>
      <c r="DS91" s="15">
        <v>0.5</v>
      </c>
      <c r="DT91" s="15">
        <v>0.5</v>
      </c>
      <c r="DU91" s="15">
        <v>0.5</v>
      </c>
      <c r="DV91" s="15">
        <v>0.5</v>
      </c>
      <c r="DW91" s="15">
        <v>0.5</v>
      </c>
      <c r="DX91" s="15">
        <v>0.5</v>
      </c>
      <c r="DY91" s="211">
        <v>0.5</v>
      </c>
      <c r="DZ91" s="424">
        <v>0.5</v>
      </c>
      <c r="EA91" s="196"/>
      <c r="EB91" s="196"/>
      <c r="EC91" s="378">
        <v>0.5</v>
      </c>
      <c r="ED91" s="377">
        <v>0.5</v>
      </c>
      <c r="EE91" s="15">
        <v>0.5</v>
      </c>
      <c r="EF91" s="15">
        <v>0.5</v>
      </c>
      <c r="EG91" s="15">
        <v>0.5</v>
      </c>
      <c r="EH91" s="15">
        <v>0.5</v>
      </c>
      <c r="EI91" s="15">
        <v>0.5</v>
      </c>
      <c r="EJ91" s="15">
        <v>0.5</v>
      </c>
      <c r="EK91" s="196"/>
      <c r="EL91" s="196"/>
      <c r="EM91" s="196"/>
      <c r="EN91" s="196"/>
      <c r="EO91" s="195"/>
      <c r="EP91" s="301"/>
      <c r="EQ91" s="151"/>
      <c r="ER91" s="130">
        <f>SUM(DP91:EQ91)</f>
      </c>
      <c r="ES91" s="121"/>
      <c r="ET91" s="122"/>
      <c r="EU91" s="292"/>
      <c r="EV91" s="196"/>
      <c r="EW91" s="196"/>
      <c r="EX91" s="196"/>
      <c r="EY91" s="196"/>
      <c r="EZ91" s="196"/>
      <c r="FA91" s="196"/>
      <c r="FB91" s="195"/>
      <c r="FC91" s="197"/>
      <c r="FD91" s="196"/>
      <c r="FE91" s="196"/>
      <c r="FF91" s="198"/>
      <c r="FG91" s="292"/>
      <c r="FH91" s="196"/>
      <c r="FI91" s="196"/>
      <c r="FJ91" s="196"/>
      <c r="FK91" s="196"/>
      <c r="FL91" s="196"/>
      <c r="FM91" s="196"/>
      <c r="FN91" s="196"/>
      <c r="FO91" s="196"/>
      <c r="FP91" s="196"/>
      <c r="FQ91" s="196"/>
      <c r="FR91" s="195"/>
      <c r="FS91" s="301"/>
      <c r="FT91" s="151"/>
      <c r="FU91" s="130">
        <f>SUM(ES91:FT91)</f>
      </c>
      <c r="FV91" s="121"/>
      <c r="FW91" s="122"/>
      <c r="FX91" s="292"/>
      <c r="FY91" s="196"/>
      <c r="FZ91" s="196"/>
      <c r="GA91" s="196"/>
      <c r="GB91" s="196"/>
      <c r="GC91" s="196"/>
      <c r="GD91" s="196"/>
      <c r="GE91" s="195"/>
      <c r="GF91" s="197"/>
      <c r="GG91" s="196"/>
      <c r="GH91" s="196"/>
      <c r="GI91" s="198"/>
      <c r="GJ91" s="292"/>
      <c r="GK91" s="196"/>
      <c r="GL91" s="196"/>
      <c r="GM91" s="196"/>
      <c r="GN91" s="196"/>
      <c r="GO91" s="196"/>
      <c r="GP91" s="196"/>
      <c r="GQ91" s="196"/>
      <c r="GR91" s="196"/>
      <c r="GS91" s="196"/>
      <c r="GT91" s="196"/>
      <c r="GU91" s="195"/>
      <c r="GV91" s="301"/>
      <c r="GW91" s="151"/>
      <c r="GX91" s="130">
        <f>SUM(FV91:GW91)</f>
      </c>
      <c r="GY91" s="150">
        <f>AF91+BI91+CL91+DO91+ER91+FU91+GX91</f>
      </c>
      <c r="GZ91" s="302">
        <f>(COUNTIF(D91:GX91,"H")+COUNTIF(D91:GX91,"S")+COUNTIF(D91:GX91,"L")+COUNTIF(D91:GX91,"E")+COUNTIF(D91:GX91,"C"))/2</f>
      </c>
      <c r="HA91" s="131">
        <f>GY91+GZ91</f>
      </c>
      <c r="HB91" s="134"/>
      <c r="HC91" s="135"/>
      <c r="HD91" s="295"/>
      <c r="HE91" s="207"/>
      <c r="HF91" s="207"/>
      <c r="HG91" s="15">
        <v>0.5</v>
      </c>
      <c r="HH91" s="15">
        <v>0.5</v>
      </c>
      <c r="HI91" s="15">
        <v>0.5</v>
      </c>
      <c r="HJ91" s="212">
        <v>0.5</v>
      </c>
      <c r="HK91" s="213">
        <v>0.5</v>
      </c>
      <c r="HL91" s="296"/>
      <c r="HM91" s="207"/>
      <c r="HN91" s="559">
        <v>0.5</v>
      </c>
      <c r="HO91" s="562">
        <v>0.5</v>
      </c>
      <c r="HP91" s="563">
        <v>0.5</v>
      </c>
      <c r="HQ91" s="559">
        <v>0.5</v>
      </c>
      <c r="HR91" s="559">
        <v>0.5</v>
      </c>
      <c r="HS91" s="559">
        <v>0.5</v>
      </c>
      <c r="HT91" s="559">
        <v>0.5</v>
      </c>
      <c r="HU91" s="559">
        <v>0.5</v>
      </c>
      <c r="HV91" s="559">
        <v>0.5</v>
      </c>
      <c r="HW91" s="559">
        <v>0.5</v>
      </c>
      <c r="HX91" s="559">
        <v>0.5</v>
      </c>
      <c r="HY91" s="207"/>
      <c r="HZ91" s="207"/>
      <c r="IA91" s="202"/>
      <c r="IB91" s="304"/>
      <c r="IC91" s="152"/>
      <c r="ID91" s="130">
        <f>SUM(HB91:IC91)</f>
      </c>
      <c r="IE91" s="134"/>
      <c r="IF91" s="135"/>
      <c r="IG91" s="295"/>
      <c r="IH91" s="207"/>
      <c r="II91" s="207"/>
      <c r="IJ91" s="15">
        <v>0.5</v>
      </c>
      <c r="IK91" s="15">
        <v>0.5</v>
      </c>
      <c r="IL91" s="15">
        <v>0.5</v>
      </c>
      <c r="IM91" s="212">
        <v>0.5</v>
      </c>
      <c r="IN91" s="213">
        <v>0.5</v>
      </c>
      <c r="IO91" s="296"/>
      <c r="IP91" s="207"/>
      <c r="IQ91" s="559">
        <v>0.5</v>
      </c>
      <c r="IR91" s="562">
        <v>0.5</v>
      </c>
      <c r="IS91" s="563">
        <v>0.5</v>
      </c>
      <c r="IT91" s="559">
        <v>0.5</v>
      </c>
      <c r="IU91" s="559">
        <v>0.5</v>
      </c>
      <c r="IV91" s="559">
        <v>0.5</v>
      </c>
      <c r="IW91" s="559">
        <v>0.5</v>
      </c>
      <c r="IX91" s="559">
        <v>0.5</v>
      </c>
      <c r="IY91" s="559">
        <v>0.5</v>
      </c>
      <c r="IZ91" s="559">
        <v>0.5</v>
      </c>
      <c r="JA91" s="559">
        <v>0.5</v>
      </c>
      <c r="JB91" s="207"/>
      <c r="JC91" s="207"/>
      <c r="JD91" s="202"/>
      <c r="JE91" s="304"/>
      <c r="JF91" s="152"/>
      <c r="JG91" s="130">
        <f>SUM(IE91:JF91)</f>
      </c>
      <c r="JH91" s="134"/>
      <c r="JI91" s="135"/>
      <c r="JJ91" s="295"/>
      <c r="JK91" s="207"/>
      <c r="JL91" s="207"/>
      <c r="JM91" s="15">
        <v>0.5</v>
      </c>
      <c r="JN91" s="15">
        <v>0.5</v>
      </c>
      <c r="JO91" s="15">
        <v>0.5</v>
      </c>
      <c r="JP91" s="212">
        <v>0.5</v>
      </c>
      <c r="JQ91" s="213">
        <v>0.5</v>
      </c>
      <c r="JR91" s="296"/>
      <c r="JS91" s="207"/>
      <c r="JT91" s="559">
        <v>0.5</v>
      </c>
      <c r="JU91" s="562">
        <v>0.5</v>
      </c>
      <c r="JV91" s="563">
        <v>0.5</v>
      </c>
      <c r="JW91" s="559">
        <v>0.5</v>
      </c>
      <c r="JX91" s="559">
        <v>0.5</v>
      </c>
      <c r="JY91" s="559">
        <v>0.5</v>
      </c>
      <c r="JZ91" s="559">
        <v>0.5</v>
      </c>
      <c r="KA91" s="559">
        <v>0.5</v>
      </c>
      <c r="KB91" s="559">
        <v>0.5</v>
      </c>
      <c r="KC91" s="559">
        <v>0.5</v>
      </c>
      <c r="KD91" s="559">
        <v>0.5</v>
      </c>
      <c r="KE91" s="207"/>
      <c r="KF91" s="207"/>
      <c r="KG91" s="202"/>
      <c r="KH91" s="304"/>
      <c r="KI91" s="152"/>
      <c r="KJ91" s="130">
        <f>SUM(JH91:KI91)</f>
      </c>
      <c r="KK91" s="134"/>
      <c r="KL91" s="135"/>
      <c r="KM91" s="295"/>
      <c r="KN91" s="207"/>
      <c r="KO91" s="207"/>
      <c r="KP91" s="15">
        <v>0.5</v>
      </c>
      <c r="KQ91" s="15">
        <v>0.5</v>
      </c>
      <c r="KR91" s="15">
        <v>0.5</v>
      </c>
      <c r="KS91" s="212">
        <v>0.5</v>
      </c>
      <c r="KT91" s="213">
        <v>0.5</v>
      </c>
      <c r="KU91" s="296"/>
      <c r="KV91" s="207"/>
      <c r="KW91" s="559">
        <v>0.5</v>
      </c>
      <c r="KX91" s="562">
        <v>0.5</v>
      </c>
      <c r="KY91" s="563">
        <v>0.5</v>
      </c>
      <c r="KZ91" s="559">
        <v>0.5</v>
      </c>
      <c r="LA91" s="559">
        <v>0.5</v>
      </c>
      <c r="LB91" s="559">
        <v>0.5</v>
      </c>
      <c r="LC91" s="559">
        <v>0.5</v>
      </c>
      <c r="LD91" s="559">
        <v>0.5</v>
      </c>
      <c r="LE91" s="559">
        <v>0.5</v>
      </c>
      <c r="LF91" s="559">
        <v>0.5</v>
      </c>
      <c r="LG91" s="559">
        <v>0.5</v>
      </c>
      <c r="LH91" s="207"/>
      <c r="LI91" s="207"/>
      <c r="LJ91" s="202"/>
      <c r="LK91" s="304"/>
      <c r="LL91" s="152"/>
      <c r="LM91" s="130">
        <f>SUM(KK91:LL91)</f>
      </c>
      <c r="LN91" s="134"/>
      <c r="LO91" s="135"/>
      <c r="LP91" s="295"/>
      <c r="LQ91" s="207"/>
      <c r="LR91" s="207"/>
      <c r="LS91" s="15">
        <v>0.5</v>
      </c>
      <c r="LT91" s="15">
        <v>0.5</v>
      </c>
      <c r="LU91" s="15">
        <v>0.5</v>
      </c>
      <c r="LV91" s="212">
        <v>0.5</v>
      </c>
      <c r="LW91" s="213">
        <v>0.5</v>
      </c>
      <c r="LX91" s="296"/>
      <c r="LY91" s="207"/>
      <c r="LZ91" s="559">
        <v>0.5</v>
      </c>
      <c r="MA91" s="297">
        <v>0.5</v>
      </c>
      <c r="MB91" s="298">
        <v>0.5</v>
      </c>
      <c r="MC91" s="212">
        <v>0.5</v>
      </c>
      <c r="MD91" s="212">
        <v>0.5</v>
      </c>
      <c r="ME91" s="212">
        <v>0.5</v>
      </c>
      <c r="MF91" s="212">
        <v>0.5</v>
      </c>
      <c r="MG91" s="212">
        <v>0.5</v>
      </c>
      <c r="MH91" s="212">
        <v>0.5</v>
      </c>
      <c r="MI91" s="212">
        <v>0.5</v>
      </c>
      <c r="MJ91" s="212">
        <v>0.5</v>
      </c>
      <c r="MK91" s="207"/>
      <c r="ML91" s="207"/>
      <c r="MM91" s="202"/>
      <c r="MN91" s="304"/>
      <c r="MO91" s="152"/>
      <c r="MP91" s="130">
        <f>SUM(LN91:MO91)</f>
      </c>
      <c r="MQ91" s="121"/>
      <c r="MR91" s="122"/>
      <c r="MS91" s="292"/>
      <c r="MT91" s="196"/>
      <c r="MU91" s="196"/>
      <c r="MV91" s="196"/>
      <c r="MW91" s="196"/>
      <c r="MX91" s="196"/>
      <c r="MY91" s="196"/>
      <c r="MZ91" s="195"/>
      <c r="NA91" s="197"/>
      <c r="NB91" s="196"/>
      <c r="NC91" s="196"/>
      <c r="ND91" s="198"/>
      <c r="NE91" s="292"/>
      <c r="NF91" s="196"/>
      <c r="NG91" s="196"/>
      <c r="NH91" s="196"/>
      <c r="NI91" s="196"/>
      <c r="NJ91" s="196"/>
      <c r="NK91" s="196"/>
      <c r="NL91" s="196"/>
      <c r="NM91" s="196"/>
      <c r="NN91" s="196"/>
      <c r="NO91" s="196"/>
      <c r="NP91" s="195"/>
      <c r="NQ91" s="301"/>
      <c r="NR91" s="151"/>
      <c r="NS91" s="130">
        <f>SUM(MQ91:NR91)</f>
      </c>
      <c r="NT91" s="121"/>
      <c r="NU91" s="122"/>
      <c r="NV91" s="292"/>
      <c r="NW91" s="196"/>
      <c r="NX91" s="196"/>
      <c r="NY91" s="196"/>
      <c r="NZ91" s="196"/>
      <c r="OA91" s="196"/>
      <c r="OB91" s="196"/>
      <c r="OC91" s="195"/>
      <c r="OD91" s="197"/>
      <c r="OE91" s="196"/>
      <c r="OF91" s="196"/>
      <c r="OG91" s="198"/>
      <c r="OH91" s="292"/>
      <c r="OI91" s="196"/>
      <c r="OJ91" s="196"/>
      <c r="OK91" s="196"/>
      <c r="OL91" s="196"/>
      <c r="OM91" s="196"/>
      <c r="ON91" s="196"/>
      <c r="OO91" s="196"/>
      <c r="OP91" s="196"/>
      <c r="OQ91" s="196"/>
      <c r="OR91" s="196"/>
      <c r="OS91" s="195"/>
      <c r="OT91" s="301"/>
      <c r="OU91" s="151"/>
      <c r="OV91" s="130">
        <f>SUM(NT91:OU91)</f>
      </c>
      <c r="OW91" s="132">
        <f>ID91+JG91+KJ91+LM91+MP91+NS91+OV91</f>
      </c>
      <c r="OX91" s="302">
        <f>(COUNTIF(HB91:OV91,"H")+COUNTIF(HB91:OV91,"S")+COUNTIF(HB91:OV91,"L")+COUNTIF(HB91:OV91,"E")+COUNTIF(HB91:OV91,"C"))/2</f>
      </c>
      <c r="OY91" s="130">
        <f>OW91+OX91</f>
      </c>
      <c r="OZ91" s="134"/>
      <c r="PA91" s="135"/>
      <c r="PB91" s="295"/>
      <c r="PC91" s="369" t="s">
        <v>9</v>
      </c>
      <c r="PD91" s="369" t="s">
        <v>9</v>
      </c>
      <c r="PE91" s="369" t="s">
        <v>9</v>
      </c>
      <c r="PF91" s="369" t="s">
        <v>9</v>
      </c>
      <c r="PG91" s="369" t="s">
        <v>9</v>
      </c>
      <c r="PH91" s="369" t="s">
        <v>9</v>
      </c>
      <c r="PI91" s="370" t="s">
        <v>9</v>
      </c>
      <c r="PJ91" s="371" t="s">
        <v>9</v>
      </c>
      <c r="PK91" s="207"/>
      <c r="PL91" s="207"/>
      <c r="PM91" s="372" t="s">
        <v>9</v>
      </c>
      <c r="PN91" s="373" t="s">
        <v>9</v>
      </c>
      <c r="PO91" s="369" t="s">
        <v>9</v>
      </c>
      <c r="PP91" s="369" t="s">
        <v>9</v>
      </c>
      <c r="PQ91" s="369" t="s">
        <v>9</v>
      </c>
      <c r="PR91" s="369" t="s">
        <v>9</v>
      </c>
      <c r="PS91" s="369" t="s">
        <v>9</v>
      </c>
      <c r="PT91" s="369" t="s">
        <v>9</v>
      </c>
      <c r="PU91" s="207"/>
      <c r="PV91" s="207"/>
      <c r="PW91" s="207"/>
      <c r="PX91" s="207"/>
      <c r="PY91" s="202"/>
      <c r="PZ91" s="304"/>
      <c r="QA91" s="152"/>
      <c r="QB91" s="130">
        <f>SUM(OZ91:QA91)</f>
      </c>
      <c r="QC91" s="134"/>
      <c r="QD91" s="135"/>
      <c r="QE91" s="295"/>
      <c r="QF91" s="207"/>
      <c r="QG91" s="207"/>
      <c r="QH91" s="15">
        <v>0.5</v>
      </c>
      <c r="QI91" s="15">
        <v>0.5</v>
      </c>
      <c r="QJ91" s="15">
        <v>0.5</v>
      </c>
      <c r="QK91" s="212">
        <v>0.5</v>
      </c>
      <c r="QL91" s="213">
        <v>0.5</v>
      </c>
      <c r="QM91" s="296"/>
      <c r="QN91" s="207"/>
      <c r="QO91" s="559">
        <v>0.5</v>
      </c>
      <c r="QP91" s="562">
        <v>0.5</v>
      </c>
      <c r="QQ91" s="563">
        <v>0.5</v>
      </c>
      <c r="QR91" s="559">
        <v>0.5</v>
      </c>
      <c r="QS91" s="559">
        <v>0.5</v>
      </c>
      <c r="QT91" s="559">
        <v>0.5</v>
      </c>
      <c r="QU91" s="559">
        <v>0.5</v>
      </c>
      <c r="QV91" s="559">
        <v>0.5</v>
      </c>
      <c r="QW91" s="559">
        <v>0.5</v>
      </c>
      <c r="QX91" s="559">
        <v>0.5</v>
      </c>
      <c r="QY91" s="559">
        <v>0.5</v>
      </c>
      <c r="QZ91" s="207"/>
      <c r="RA91" s="207"/>
      <c r="RB91" s="202"/>
      <c r="RC91" s="304"/>
      <c r="RD91" s="152"/>
      <c r="RE91" s="130">
        <f>SUM(QC91:RD91)</f>
      </c>
      <c r="RF91" s="134"/>
      <c r="RG91" s="135"/>
      <c r="RH91" s="377">
        <v>0.5</v>
      </c>
      <c r="RI91" s="559">
        <v>0.5</v>
      </c>
      <c r="RJ91" s="559">
        <v>0.5</v>
      </c>
      <c r="RK91" s="559">
        <v>0.5</v>
      </c>
      <c r="RL91" s="559">
        <v>0.5</v>
      </c>
      <c r="RM91" s="559">
        <v>0.5</v>
      </c>
      <c r="RN91" s="559">
        <v>0.5</v>
      </c>
      <c r="RO91" s="560">
        <v>0.5</v>
      </c>
      <c r="RP91" s="561">
        <v>0.5</v>
      </c>
      <c r="RQ91" s="559">
        <v>0.5</v>
      </c>
      <c r="RR91" s="207"/>
      <c r="RS91" s="208"/>
      <c r="RT91" s="298">
        <v>0.5</v>
      </c>
      <c r="RU91" s="212">
        <v>0.5</v>
      </c>
      <c r="RV91" s="15">
        <v>0.5</v>
      </c>
      <c r="RW91" s="15">
        <v>0.5</v>
      </c>
      <c r="RX91" s="15">
        <v>0.5</v>
      </c>
      <c r="RY91" s="15">
        <v>0.5</v>
      </c>
      <c r="RZ91" s="207"/>
      <c r="SA91" s="207"/>
      <c r="SB91" s="207"/>
      <c r="SC91" s="207"/>
      <c r="SD91" s="207"/>
      <c r="SE91" s="202"/>
      <c r="SF91" s="304"/>
      <c r="SG91" s="152"/>
      <c r="SH91" s="130">
        <f>SUM(RF91:SG91)</f>
      </c>
      <c r="SI91" s="134"/>
      <c r="SJ91" s="135"/>
      <c r="SK91" s="377">
        <v>0.5</v>
      </c>
      <c r="SL91" s="559">
        <v>0.5</v>
      </c>
      <c r="SM91" s="559">
        <v>0.5</v>
      </c>
      <c r="SN91" s="559">
        <v>0.5</v>
      </c>
      <c r="SO91" s="559">
        <v>0.5</v>
      </c>
      <c r="SP91" s="559">
        <v>0.5</v>
      </c>
      <c r="SQ91" s="559">
        <v>0.5</v>
      </c>
      <c r="SR91" s="560">
        <v>0.5</v>
      </c>
      <c r="SS91" s="561">
        <v>0.5</v>
      </c>
      <c r="ST91" s="559">
        <v>0.5</v>
      </c>
      <c r="SU91" s="207"/>
      <c r="SV91" s="208"/>
      <c r="SW91" s="298">
        <v>0.5</v>
      </c>
      <c r="SX91" s="212">
        <v>0.5</v>
      </c>
      <c r="SY91" s="15">
        <v>0.5</v>
      </c>
      <c r="SZ91" s="15">
        <v>0.5</v>
      </c>
      <c r="TA91" s="15">
        <v>0.5</v>
      </c>
      <c r="TB91" s="15">
        <v>0.5</v>
      </c>
      <c r="TC91" s="207"/>
      <c r="TD91" s="207"/>
      <c r="TE91" s="207"/>
      <c r="TF91" s="207"/>
      <c r="TG91" s="207"/>
      <c r="TH91" s="202"/>
      <c r="TI91" s="304"/>
      <c r="TJ91" s="152"/>
      <c r="TK91" s="130">
        <f>SUM(SI91:TJ91)</f>
      </c>
      <c r="TL91" s="134"/>
      <c r="TM91" s="135"/>
      <c r="TN91" s="377">
        <v>0.5</v>
      </c>
      <c r="TO91" s="559">
        <v>0.5</v>
      </c>
      <c r="TP91" s="559">
        <v>0.5</v>
      </c>
      <c r="TQ91" s="559">
        <v>0.5</v>
      </c>
      <c r="TR91" s="559">
        <v>0.5</v>
      </c>
      <c r="TS91" s="559">
        <v>0.5</v>
      </c>
      <c r="TT91" s="559">
        <v>0.5</v>
      </c>
      <c r="TU91" s="560">
        <v>0.5</v>
      </c>
      <c r="TV91" s="561">
        <v>0.5</v>
      </c>
      <c r="TW91" s="559">
        <v>0.5</v>
      </c>
      <c r="TX91" s="207"/>
      <c r="TY91" s="208"/>
      <c r="TZ91" s="298">
        <v>0.5</v>
      </c>
      <c r="UA91" s="212">
        <v>0.5</v>
      </c>
      <c r="UB91" s="15">
        <v>0.5</v>
      </c>
      <c r="UC91" s="15">
        <v>0.5</v>
      </c>
      <c r="UD91" s="15">
        <v>0.5</v>
      </c>
      <c r="UE91" s="15">
        <v>0.5</v>
      </c>
      <c r="UF91" s="207"/>
      <c r="UG91" s="207"/>
      <c r="UH91" s="207"/>
      <c r="UI91" s="207"/>
      <c r="UJ91" s="207"/>
      <c r="UK91" s="202"/>
      <c r="UL91" s="304"/>
      <c r="UM91" s="152"/>
      <c r="UN91" s="130">
        <f>SUM(TL91:UM91)</f>
      </c>
      <c r="UO91" s="121"/>
      <c r="UP91" s="122"/>
      <c r="UQ91" s="292"/>
      <c r="UR91" s="196"/>
      <c r="US91" s="196"/>
      <c r="UT91" s="196"/>
      <c r="UU91" s="196"/>
      <c r="UV91" s="196"/>
      <c r="UW91" s="196"/>
      <c r="UX91" s="195"/>
      <c r="UY91" s="197"/>
      <c r="UZ91" s="196"/>
      <c r="VA91" s="196"/>
      <c r="VB91" s="198"/>
      <c r="VC91" s="292"/>
      <c r="VD91" s="196"/>
      <c r="VE91" s="196"/>
      <c r="VF91" s="196"/>
      <c r="VG91" s="196"/>
      <c r="VH91" s="196"/>
      <c r="VI91" s="196"/>
      <c r="VJ91" s="196"/>
      <c r="VK91" s="196"/>
      <c r="VL91" s="196"/>
      <c r="VM91" s="196"/>
      <c r="VN91" s="195"/>
      <c r="VO91" s="301"/>
      <c r="VP91" s="151"/>
      <c r="VQ91" s="130">
        <f>SUM(UO91:VP91)</f>
      </c>
      <c r="VR91" s="121"/>
      <c r="VS91" s="122"/>
      <c r="VT91" s="292"/>
      <c r="VU91" s="196"/>
      <c r="VV91" s="196"/>
      <c r="VW91" s="196"/>
      <c r="VX91" s="196"/>
      <c r="VY91" s="196"/>
      <c r="VZ91" s="196"/>
      <c r="WA91" s="195"/>
      <c r="WB91" s="197"/>
      <c r="WC91" s="196"/>
      <c r="WD91" s="196"/>
      <c r="WE91" s="198"/>
      <c r="WF91" s="292"/>
      <c r="WG91" s="196"/>
      <c r="WH91" s="196"/>
      <c r="WI91" s="196"/>
      <c r="WJ91" s="196"/>
      <c r="WK91" s="196"/>
      <c r="WL91" s="196"/>
      <c r="WM91" s="196"/>
      <c r="WN91" s="196"/>
      <c r="WO91" s="196"/>
      <c r="WP91" s="196"/>
      <c r="WQ91" s="195"/>
      <c r="WR91" s="301"/>
      <c r="WS91" s="151"/>
      <c r="WT91" s="130">
        <f>SUM(VR91:WS91)</f>
      </c>
      <c r="WU91" s="132">
        <f>QB91+RE91+SH91+TK91+UN91+VQ91+WT91</f>
      </c>
      <c r="WV91" s="302">
        <f>(COUNTIF(OZ91:WT91,"H")+COUNTIF(OZ91:WT91,"S")+COUNTIF(OZ91:WT91,"L")+COUNTIF(OZ91:WT91,"E")+COUNTIF(OZ91:WT91,"C"))/2</f>
      </c>
      <c r="WW91" s="130">
        <f>WU91+WV91</f>
      </c>
      <c r="WX91" s="374"/>
      <c r="WY91" s="375"/>
      <c r="WZ91" s="376"/>
      <c r="XA91" s="15"/>
      <c r="XB91" s="15"/>
      <c r="XC91" s="15"/>
      <c r="XD91" s="15"/>
      <c r="XE91" s="33">
        <v>0.5</v>
      </c>
      <c r="XF91" s="33">
        <v>0.5</v>
      </c>
      <c r="XG91" s="384">
        <v>0.5</v>
      </c>
      <c r="XH91" s="385">
        <v>0.5</v>
      </c>
      <c r="XI91" s="33">
        <v>0.5</v>
      </c>
      <c r="XJ91" s="15"/>
      <c r="XK91" s="392"/>
      <c r="XL91" s="376"/>
      <c r="XM91" s="15"/>
      <c r="XN91" s="15"/>
      <c r="XO91" s="29">
        <v>0.5</v>
      </c>
      <c r="XP91" s="29">
        <v>0.5</v>
      </c>
      <c r="XQ91" s="29">
        <v>0.5</v>
      </c>
      <c r="XR91" s="29">
        <v>0.5</v>
      </c>
      <c r="XS91" s="29">
        <v>0.5</v>
      </c>
      <c r="XT91" s="29">
        <v>0.5</v>
      </c>
      <c r="XU91" s="29">
        <v>0.5</v>
      </c>
      <c r="XV91" s="29">
        <v>0.5</v>
      </c>
      <c r="XW91" s="388">
        <v>0.5</v>
      </c>
      <c r="XX91" s="407"/>
      <c r="XY91" s="408"/>
      <c r="XZ91" s="130">
        <f>SUM(WX91:XY91)</f>
      </c>
      <c r="YA91" s="374"/>
      <c r="YB91" s="375"/>
      <c r="YC91" s="376"/>
      <c r="YD91" s="15"/>
      <c r="YE91" s="15"/>
      <c r="YF91" s="15"/>
      <c r="YG91" s="29">
        <v>0.5</v>
      </c>
      <c r="YH91" s="29">
        <v>0.5</v>
      </c>
      <c r="YI91" s="29">
        <v>0.5</v>
      </c>
      <c r="YJ91" s="388">
        <v>0.5</v>
      </c>
      <c r="YK91" s="390">
        <v>0.5</v>
      </c>
      <c r="YL91" s="29">
        <v>0.5</v>
      </c>
      <c r="YM91" s="15"/>
      <c r="YN91" s="392"/>
      <c r="YO91" s="387">
        <v>0.5</v>
      </c>
      <c r="YP91" s="29">
        <v>0.5</v>
      </c>
      <c r="YQ91" s="29">
        <v>0.5</v>
      </c>
      <c r="YR91" s="29">
        <v>0.5</v>
      </c>
      <c r="YS91" s="29">
        <v>0.5</v>
      </c>
      <c r="YT91" s="29">
        <v>0.5</v>
      </c>
      <c r="YU91" s="29">
        <v>0.5</v>
      </c>
      <c r="YV91" s="29">
        <v>0.5</v>
      </c>
      <c r="YW91" s="29">
        <v>0.5</v>
      </c>
      <c r="YX91" s="29">
        <v>0.5</v>
      </c>
      <c r="YY91" s="29">
        <v>0.5</v>
      </c>
      <c r="YZ91" s="388">
        <v>0.5</v>
      </c>
      <c r="ZA91" s="407"/>
      <c r="ZB91" s="408"/>
      <c r="ZC91" s="130">
        <f>SUM(YA91:ZB91)</f>
      </c>
      <c r="ZD91" s="374"/>
      <c r="ZE91" s="375"/>
      <c r="ZF91" s="376"/>
      <c r="ZG91" s="15"/>
      <c r="ZH91" s="15"/>
      <c r="ZI91" s="15"/>
      <c r="ZJ91" s="29">
        <v>0.5</v>
      </c>
      <c r="ZK91" s="29">
        <v>0.5</v>
      </c>
      <c r="ZL91" s="29">
        <v>0.5</v>
      </c>
      <c r="ZM91" s="388">
        <v>0.5</v>
      </c>
      <c r="ZN91" s="390">
        <v>0.5</v>
      </c>
      <c r="ZO91" s="29">
        <v>0.5</v>
      </c>
      <c r="ZP91" s="15"/>
      <c r="ZQ91" s="392"/>
      <c r="ZR91" s="387">
        <v>0.5</v>
      </c>
      <c r="ZS91" s="29">
        <v>0.5</v>
      </c>
      <c r="ZT91" s="29">
        <v>0.5</v>
      </c>
      <c r="ZU91" s="29">
        <v>0.5</v>
      </c>
      <c r="ZV91" s="29">
        <v>0.5</v>
      </c>
      <c r="ZW91" s="29">
        <v>0.5</v>
      </c>
      <c r="ZX91" s="29">
        <v>0.5</v>
      </c>
      <c r="ZY91" s="29">
        <v>0.5</v>
      </c>
      <c r="ZZ91" s="29">
        <v>0.5</v>
      </c>
      <c r="AAA91" s="29">
        <v>0.5</v>
      </c>
      <c r="AAB91" s="29">
        <v>0.5</v>
      </c>
      <c r="AAC91" s="388">
        <v>0.5</v>
      </c>
      <c r="AAD91" s="407"/>
      <c r="AAE91" s="408"/>
      <c r="AAF91" s="130">
        <f>SUM(ZD91:AAE91)</f>
      </c>
      <c r="AAG91" s="374"/>
      <c r="AAH91" s="375"/>
      <c r="AAI91" s="387">
        <v>0.5</v>
      </c>
      <c r="AAJ91" s="29">
        <v>0.5</v>
      </c>
      <c r="AAK91" s="29">
        <v>0.5</v>
      </c>
      <c r="AAL91" s="29">
        <v>0.5</v>
      </c>
      <c r="AAM91" s="29">
        <v>0.5</v>
      </c>
      <c r="AAN91" s="29">
        <v>0.5</v>
      </c>
      <c r="AAO91" s="29">
        <v>0.5</v>
      </c>
      <c r="AAP91" s="388">
        <v>0.5</v>
      </c>
      <c r="AAQ91" s="377"/>
      <c r="AAR91" s="15"/>
      <c r="AAS91" s="33">
        <v>0.5</v>
      </c>
      <c r="AAT91" s="386">
        <v>0.5</v>
      </c>
      <c r="AAU91" s="391">
        <v>0.5</v>
      </c>
      <c r="AAV91" s="33">
        <v>0.5</v>
      </c>
      <c r="AAW91" s="33">
        <v>0.5</v>
      </c>
      <c r="AAX91" s="33">
        <v>0.5</v>
      </c>
      <c r="AAY91" s="15"/>
      <c r="AAZ91" s="15"/>
      <c r="ABA91" s="15"/>
      <c r="ABB91" s="15"/>
      <c r="ABC91" s="15"/>
      <c r="ABD91" s="15"/>
      <c r="ABE91" s="15"/>
      <c r="ABF91" s="379"/>
      <c r="ABG91" s="407"/>
      <c r="ABH91" s="408"/>
      <c r="ABI91" s="130">
        <f>SUM(AAG91:ABH91)</f>
      </c>
      <c r="ABJ91" s="374"/>
      <c r="ABK91" s="375"/>
      <c r="ABL91" s="295"/>
      <c r="ABM91" s="207"/>
      <c r="ABN91" s="207"/>
      <c r="ABO91" s="15">
        <v>0.5</v>
      </c>
      <c r="ABP91" s="15">
        <v>0.5</v>
      </c>
      <c r="ABQ91" s="15">
        <v>0.5</v>
      </c>
      <c r="ABR91" s="212">
        <v>0.5</v>
      </c>
      <c r="ABS91" s="213">
        <v>0.5</v>
      </c>
      <c r="ABT91" s="296"/>
      <c r="ABU91" s="207"/>
      <c r="ABV91" s="212">
        <v>0.5</v>
      </c>
      <c r="ABW91" s="297">
        <v>0.5</v>
      </c>
      <c r="ABX91" s="298">
        <v>0.5</v>
      </c>
      <c r="ABY91" s="212">
        <v>0.5</v>
      </c>
      <c r="ABZ91" s="15">
        <v>0.5</v>
      </c>
      <c r="ACA91" s="15">
        <v>0.5</v>
      </c>
      <c r="ACB91" s="15">
        <v>0.5</v>
      </c>
      <c r="ACC91" s="15">
        <v>0.5</v>
      </c>
      <c r="ACD91" s="15">
        <v>0.5</v>
      </c>
      <c r="ACE91" s="15">
        <v>0.5</v>
      </c>
      <c r="ACF91" s="15">
        <v>0.5</v>
      </c>
      <c r="ACG91" s="207"/>
      <c r="ACH91" s="207"/>
      <c r="ACI91" s="379"/>
      <c r="ACJ91" s="407"/>
      <c r="ACK91" s="408"/>
      <c r="ACL91" s="130">
        <f>SUM(ABJ91:ACK91)</f>
      </c>
      <c r="ACM91" s="121"/>
      <c r="ACN91" s="122"/>
      <c r="ACO91" s="292"/>
      <c r="ACP91" s="196"/>
      <c r="ACQ91" s="196"/>
      <c r="ACR91" s="196"/>
      <c r="ACS91" s="196"/>
      <c r="ACT91" s="196"/>
      <c r="ACU91" s="196"/>
      <c r="ACV91" s="195"/>
      <c r="ACW91" s="197"/>
      <c r="ACX91" s="196"/>
      <c r="ACY91" s="196"/>
      <c r="ACZ91" s="198"/>
      <c r="ADA91" s="292"/>
      <c r="ADB91" s="196"/>
      <c r="ADC91" s="196"/>
      <c r="ADD91" s="196"/>
      <c r="ADE91" s="196"/>
      <c r="ADF91" s="196"/>
      <c r="ADG91" s="196"/>
      <c r="ADH91" s="196"/>
      <c r="ADI91" s="196"/>
      <c r="ADJ91" s="196"/>
      <c r="ADK91" s="196"/>
      <c r="ADL91" s="195"/>
      <c r="ADM91" s="301"/>
      <c r="ADN91" s="151"/>
      <c r="ADO91" s="130">
        <f>SUM(ACM91:ADN91)</f>
      </c>
      <c r="ADP91" s="121"/>
      <c r="ADQ91" s="122"/>
      <c r="ADR91" s="292"/>
      <c r="ADS91" s="196"/>
      <c r="ADT91" s="196"/>
      <c r="ADU91" s="196"/>
      <c r="ADV91" s="196"/>
      <c r="ADW91" s="196"/>
      <c r="ADX91" s="196"/>
      <c r="ADY91" s="195"/>
      <c r="ADZ91" s="197"/>
      <c r="AEA91" s="196"/>
      <c r="AEB91" s="196"/>
      <c r="AEC91" s="198"/>
      <c r="AED91" s="292"/>
      <c r="AEE91" s="196"/>
      <c r="AEF91" s="196"/>
      <c r="AEG91" s="196"/>
      <c r="AEH91" s="196"/>
      <c r="AEI91" s="196"/>
      <c r="AEJ91" s="196"/>
      <c r="AEK91" s="196"/>
      <c r="AEL91" s="196"/>
      <c r="AEM91" s="196"/>
      <c r="AEN91" s="196"/>
      <c r="AEO91" s="195"/>
      <c r="AEP91" s="301"/>
      <c r="AEQ91" s="151"/>
      <c r="AER91" s="130">
        <f>SUM(ADP91:AEQ91)</f>
      </c>
      <c r="AES91" s="132">
        <f>XZ91+ZC91+AAF91+ABI91+ACL91+ADO91+AER91</f>
      </c>
      <c r="AET91" s="302">
        <f>(COUNTIF(WX91:AER91,"H")+COUNTIF(WX91:AER91,"S")+COUNTIF(WX91:AER91,"L")+COUNTIF(WX91:AER91,"E")+COUNTIF(WX91:AER91,"C"))/2</f>
      </c>
      <c r="AEU91" s="130">
        <f>AES91+AET91</f>
      </c>
      <c r="AEV91" s="134"/>
      <c r="AEW91" s="135"/>
      <c r="AEX91" s="377">
        <v>0.5</v>
      </c>
      <c r="AEY91" s="559">
        <v>0.5</v>
      </c>
      <c r="AEZ91" s="559">
        <v>0.5</v>
      </c>
      <c r="AFA91" s="559">
        <v>0.5</v>
      </c>
      <c r="AFB91" s="559">
        <v>0.5</v>
      </c>
      <c r="AFC91" s="559">
        <v>0.5</v>
      </c>
      <c r="AFD91" s="559">
        <v>0.5</v>
      </c>
      <c r="AFE91" s="560">
        <v>0.5</v>
      </c>
      <c r="AFF91" s="561">
        <v>0.5</v>
      </c>
      <c r="AFG91" s="559">
        <v>0.5</v>
      </c>
      <c r="AFH91" s="207"/>
      <c r="AFI91" s="208"/>
      <c r="AFJ91" s="298">
        <v>0.5</v>
      </c>
      <c r="AFK91" s="212">
        <v>0.5</v>
      </c>
      <c r="AFL91" s="15">
        <v>0.5</v>
      </c>
      <c r="AFM91" s="15">
        <v>0.5</v>
      </c>
      <c r="AFN91" s="15">
        <v>0.5</v>
      </c>
      <c r="AFO91" s="15">
        <v>0.5</v>
      </c>
      <c r="AFP91" s="207"/>
      <c r="AFQ91" s="207"/>
      <c r="AFR91" s="207"/>
      <c r="AFS91" s="207"/>
      <c r="AFT91" s="207"/>
      <c r="AFU91" s="202"/>
      <c r="AFV91" s="304"/>
      <c r="AFW91" s="152"/>
      <c r="AFX91" s="130">
        <f>SUM(AEV91:AFW91)</f>
      </c>
      <c r="AFY91" s="134"/>
      <c r="AFZ91" s="135"/>
      <c r="AGA91" s="377">
        <v>0.5</v>
      </c>
      <c r="AGB91" s="559">
        <v>0.5</v>
      </c>
      <c r="AGC91" s="559">
        <v>0.5</v>
      </c>
      <c r="AGD91" s="559">
        <v>0.5</v>
      </c>
      <c r="AGE91" s="559">
        <v>0.5</v>
      </c>
      <c r="AGF91" s="559">
        <v>0.5</v>
      </c>
      <c r="AGG91" s="559">
        <v>0.5</v>
      </c>
      <c r="AGH91" s="560">
        <v>0.5</v>
      </c>
      <c r="AGI91" s="561">
        <v>0.5</v>
      </c>
      <c r="AGJ91" s="559">
        <v>0.5</v>
      </c>
      <c r="AGK91" s="207"/>
      <c r="AGL91" s="208"/>
      <c r="AGM91" s="298">
        <v>0.5</v>
      </c>
      <c r="AGN91" s="212">
        <v>0.5</v>
      </c>
      <c r="AGO91" s="15">
        <v>0.5</v>
      </c>
      <c r="AGP91" s="15">
        <v>0.5</v>
      </c>
      <c r="AGQ91" s="15">
        <v>0.5</v>
      </c>
      <c r="AGR91" s="15">
        <v>0.5</v>
      </c>
      <c r="AGS91" s="207"/>
      <c r="AGT91" s="207"/>
      <c r="AGU91" s="207"/>
      <c r="AGV91" s="207"/>
      <c r="AGW91" s="207"/>
      <c r="AGX91" s="202"/>
      <c r="AGY91" s="304"/>
      <c r="AGZ91" s="152"/>
      <c r="AHA91" s="130">
        <f>SUM(AFY91:AGZ91)</f>
      </c>
      <c r="AHB91" s="134"/>
      <c r="AHC91" s="135"/>
      <c r="AHD91" s="377">
        <v>0.5</v>
      </c>
      <c r="AHE91" s="559">
        <v>0.5</v>
      </c>
      <c r="AHF91" s="559">
        <v>0.5</v>
      </c>
      <c r="AHG91" s="559">
        <v>0.5</v>
      </c>
      <c r="AHH91" s="559">
        <v>0.5</v>
      </c>
      <c r="AHI91" s="559">
        <v>0.5</v>
      </c>
      <c r="AHJ91" s="559">
        <v>0.5</v>
      </c>
      <c r="AHK91" s="560">
        <v>0.5</v>
      </c>
      <c r="AHL91" s="561">
        <v>0.5</v>
      </c>
      <c r="AHM91" s="559">
        <v>0.5</v>
      </c>
      <c r="AHN91" s="207"/>
      <c r="AHO91" s="208"/>
      <c r="AHP91" s="298">
        <v>0.5</v>
      </c>
      <c r="AHQ91" s="212">
        <v>0.5</v>
      </c>
      <c r="AHR91" s="15">
        <v>0.5</v>
      </c>
      <c r="AHS91" s="15">
        <v>0.5</v>
      </c>
      <c r="AHT91" s="15">
        <v>0.5</v>
      </c>
      <c r="AHU91" s="15">
        <v>0.5</v>
      </c>
      <c r="AHV91" s="207"/>
      <c r="AHW91" s="207"/>
      <c r="AHX91" s="207"/>
      <c r="AHY91" s="207"/>
      <c r="AHZ91" s="207"/>
      <c r="AIA91" s="202"/>
      <c r="AIB91" s="304"/>
      <c r="AIC91" s="152"/>
      <c r="AID91" s="130">
        <f>SUM(AHB91:AIC91)</f>
      </c>
      <c r="AIE91" s="134"/>
      <c r="AIF91" s="135"/>
      <c r="AIG91" s="377">
        <v>0.5</v>
      </c>
      <c r="AIH91" s="559">
        <v>0.5</v>
      </c>
      <c r="AII91" s="559">
        <v>0.5</v>
      </c>
      <c r="AIJ91" s="559">
        <v>0.5</v>
      </c>
      <c r="AIK91" s="559">
        <v>0.5</v>
      </c>
      <c r="AIL91" s="559">
        <v>0.5</v>
      </c>
      <c r="AIM91" s="559">
        <v>0.5</v>
      </c>
      <c r="AIN91" s="560">
        <v>0.5</v>
      </c>
      <c r="AIO91" s="561">
        <v>0.5</v>
      </c>
      <c r="AIP91" s="559">
        <v>0.5</v>
      </c>
      <c r="AIQ91" s="207"/>
      <c r="AIR91" s="208"/>
      <c r="AIS91" s="298">
        <v>0.5</v>
      </c>
      <c r="AIT91" s="212">
        <v>0.5</v>
      </c>
      <c r="AIU91" s="15">
        <v>0.5</v>
      </c>
      <c r="AIV91" s="15">
        <v>0.5</v>
      </c>
      <c r="AIW91" s="15">
        <v>0.5</v>
      </c>
      <c r="AIX91" s="15">
        <v>0.5</v>
      </c>
      <c r="AIY91" s="207"/>
      <c r="AIZ91" s="207"/>
      <c r="AJA91" s="207"/>
      <c r="AJB91" s="207"/>
      <c r="AJC91" s="207"/>
      <c r="AJD91" s="202"/>
      <c r="AJE91" s="304"/>
      <c r="AJF91" s="152"/>
      <c r="AJG91" s="130">
        <f>SUM(AIE91:AJF91)</f>
      </c>
      <c r="AJH91" s="134"/>
      <c r="AJI91" s="135"/>
      <c r="AJJ91" s="377">
        <v>0.5</v>
      </c>
      <c r="AJK91" s="559">
        <v>0.5</v>
      </c>
      <c r="AJL91" s="559">
        <v>0.5</v>
      </c>
      <c r="AJM91" s="559">
        <v>0.5</v>
      </c>
      <c r="AJN91" s="559">
        <v>0.5</v>
      </c>
      <c r="AJO91" s="559">
        <v>0.5</v>
      </c>
      <c r="AJP91" s="559">
        <v>0.5</v>
      </c>
      <c r="AJQ91" s="560">
        <v>0.5</v>
      </c>
      <c r="AJR91" s="561">
        <v>0.5</v>
      </c>
      <c r="AJS91" s="559">
        <v>0.5</v>
      </c>
      <c r="AJT91" s="207"/>
      <c r="AJU91" s="208"/>
      <c r="AJV91" s="298">
        <v>0.5</v>
      </c>
      <c r="AJW91" s="212">
        <v>0.5</v>
      </c>
      <c r="AJX91" s="15">
        <v>0.5</v>
      </c>
      <c r="AJY91" s="15">
        <v>0.5</v>
      </c>
      <c r="AJZ91" s="15">
        <v>0.5</v>
      </c>
      <c r="AKA91" s="15">
        <v>0.5</v>
      </c>
      <c r="AKB91" s="207"/>
      <c r="AKC91" s="207"/>
      <c r="AKD91" s="207"/>
      <c r="AKE91" s="207"/>
      <c r="AKF91" s="207"/>
      <c r="AKG91" s="202"/>
      <c r="AKH91" s="304"/>
      <c r="AKI91" s="152"/>
      <c r="AKJ91" s="130">
        <f>SUM(AJH91:AKI91)</f>
      </c>
      <c r="AKK91" s="121"/>
      <c r="AKL91" s="122"/>
      <c r="AKM91" s="292"/>
      <c r="AKN91" s="196"/>
      <c r="AKO91" s="196"/>
      <c r="AKP91" s="196"/>
      <c r="AKQ91" s="196"/>
      <c r="AKR91" s="196"/>
      <c r="AKS91" s="196"/>
      <c r="AKT91" s="195"/>
      <c r="AKU91" s="197"/>
      <c r="AKV91" s="196"/>
      <c r="AKW91" s="196"/>
      <c r="AKX91" s="198"/>
      <c r="AKY91" s="292"/>
      <c r="AKZ91" s="196"/>
      <c r="ALA91" s="196"/>
      <c r="ALB91" s="196"/>
      <c r="ALC91" s="196"/>
      <c r="ALD91" s="196"/>
      <c r="ALE91" s="196"/>
      <c r="ALF91" s="196"/>
      <c r="ALG91" s="196"/>
      <c r="ALH91" s="196"/>
      <c r="ALI91" s="196"/>
      <c r="ALJ91" s="195"/>
      <c r="ALK91" s="301"/>
      <c r="ALL91" s="151"/>
      <c r="ALM91" s="130">
        <f>SUM(AKK91:ALL91)</f>
      </c>
      <c r="ALN91" s="121"/>
      <c r="ALO91" s="122"/>
      <c r="ALP91" s="292"/>
      <c r="ALQ91" s="196"/>
      <c r="ALR91" s="196"/>
      <c r="ALS91" s="196"/>
      <c r="ALT91" s="196"/>
      <c r="ALU91" s="196"/>
      <c r="ALV91" s="196"/>
      <c r="ALW91" s="195"/>
      <c r="ALX91" s="197"/>
      <c r="ALY91" s="196"/>
      <c r="ALZ91" s="196"/>
      <c r="AMA91" s="198"/>
      <c r="AMB91" s="292"/>
      <c r="AMC91" s="196"/>
      <c r="AMD91" s="196"/>
      <c r="AME91" s="196"/>
      <c r="AMF91" s="196"/>
      <c r="AMG91" s="196"/>
      <c r="AMH91" s="196"/>
      <c r="AMI91" s="196"/>
      <c r="AMJ91" s="196"/>
      <c r="AMK91" s="196"/>
      <c r="AML91" s="196"/>
      <c r="AMM91" s="195"/>
      <c r="AMN91" s="301"/>
      <c r="AMO91" s="151"/>
      <c r="AMP91" s="130">
        <f>SUM(ALN91:AMO91)</f>
      </c>
      <c r="AMQ91" s="132">
        <f>AFX91+AHA91+AID91+AJG91+AKJ91+ALM91+AMP91</f>
      </c>
      <c r="AMR91" s="302">
        <f>(COUNTIF(AEV91:AMP91,"H")+COUNTIF(AEV91:AMP91,"S")+COUNTIF(AEV91:AMP91,"L")+COUNTIF(AEV91:AMP91,"E")+COUNTIF(AEV91:AMP91,"C"))/2</f>
      </c>
      <c r="AMS91" s="130">
        <f>AMQ91+AMR91</f>
      </c>
      <c r="AMT91" s="4"/>
      <c r="AMU91" s="4"/>
      <c r="AMV91" s="4"/>
      <c r="AMW91" s="4"/>
      <c r="AMX91" s="4"/>
      <c r="AMY91" s="4"/>
      <c r="AMZ91" s="4"/>
      <c r="ANA91" s="4"/>
      <c r="ANB91" s="4"/>
      <c r="ANC91" s="4"/>
      <c r="AND91" s="4"/>
      <c r="ANE91" s="4"/>
      <c r="ANF91" s="4"/>
      <c r="ANG91" s="4"/>
      <c r="ANH91" s="4"/>
      <c r="ANI91" s="4"/>
      <c r="ANJ91" s="13"/>
      <c r="ANK91" s="13"/>
      <c r="ANL91" s="4"/>
      <c r="ANM91" s="4"/>
      <c r="ANN91" s="4"/>
      <c r="ANO91" s="4"/>
      <c r="ANP91" s="4"/>
      <c r="ANQ91" s="4"/>
      <c r="ANR91" s="4"/>
      <c r="ANS91" s="4"/>
      <c r="ANT91" s="4"/>
      <c r="ANU91" s="4"/>
      <c r="ANV91" s="4"/>
      <c r="ANW91" s="4"/>
      <c r="ANX91" s="4"/>
      <c r="ANY91" s="4"/>
      <c r="ANZ91" s="4"/>
      <c r="AOA91" s="4"/>
      <c r="AOB91" s="4"/>
      <c r="AOC91" s="4"/>
      <c r="AOD91" s="4"/>
      <c r="AOE91" s="4"/>
      <c r="AOF91" s="4"/>
      <c r="AOG91" s="4"/>
      <c r="AOH91" s="4"/>
      <c r="AOI91" s="4"/>
      <c r="AOJ91" s="4"/>
      <c r="AOK91" s="4"/>
      <c r="AOL91" s="4"/>
      <c r="AOM91" s="4"/>
      <c r="AON91" s="4"/>
      <c r="AOO91" s="4"/>
      <c r="AOP91" s="4"/>
      <c r="AOQ91" s="4"/>
      <c r="AOR91" s="4"/>
      <c r="AOS91" s="4"/>
      <c r="AOT91" s="4"/>
      <c r="AOU91" s="4"/>
      <c r="AOV91" s="4"/>
      <c r="AOW91" s="4"/>
      <c r="AOX91" s="4"/>
      <c r="AOY91" s="4"/>
      <c r="AOZ91" s="4"/>
      <c r="APA91" s="4"/>
      <c r="APB91" s="4"/>
      <c r="APC91" s="4"/>
      <c r="APD91" s="4"/>
      <c r="APE91" s="4"/>
      <c r="APF91" s="4"/>
      <c r="APG91" s="4"/>
      <c r="APH91" s="4"/>
      <c r="API91" s="4"/>
      <c r="APJ91" s="4"/>
      <c r="APK91" s="4"/>
      <c r="APL91" s="4"/>
      <c r="APM91" s="4"/>
      <c r="APN91" s="4"/>
      <c r="APO91" s="4"/>
      <c r="APP91" s="4"/>
      <c r="APQ91" s="4"/>
      <c r="APR91" s="4"/>
      <c r="APS91" s="4"/>
      <c r="APT91" s="4"/>
      <c r="APU91" s="4"/>
      <c r="APV91" s="4"/>
      <c r="APW91" s="4"/>
      <c r="APX91" s="4"/>
      <c r="APY91" s="4"/>
      <c r="APZ91" s="4"/>
      <c r="AQA91" s="4"/>
      <c r="AQB91" s="4"/>
      <c r="AQC91" s="4"/>
      <c r="AQD91" s="4"/>
      <c r="AQE91" s="4"/>
      <c r="AQF91" s="4"/>
      <c r="AQG91" s="4"/>
      <c r="AQH91" s="4"/>
      <c r="AQI91" s="4"/>
      <c r="AQJ91" s="4"/>
      <c r="AQK91" s="4"/>
      <c r="AQL91" s="4"/>
      <c r="AQM91" s="4"/>
      <c r="AQN91" s="4"/>
      <c r="AQO91" s="4"/>
      <c r="AQP91" s="4"/>
      <c r="AQQ91" s="4"/>
      <c r="AQR91" s="4"/>
      <c r="AQS91" s="4"/>
      <c r="AQT91" s="4"/>
      <c r="AQU91" s="4"/>
      <c r="AQV91" s="4"/>
      <c r="AQW91" s="4"/>
      <c r="AQX91" s="4"/>
      <c r="AQY91" s="4"/>
      <c r="AQZ91" s="4"/>
      <c r="ARA91" s="4"/>
      <c r="ARB91" s="4"/>
      <c r="ARC91" s="4"/>
      <c r="ARD91" s="4"/>
      <c r="ARE91" s="4"/>
      <c r="ARF91" s="4"/>
      <c r="ARG91" s="4"/>
      <c r="ARH91" s="4"/>
      <c r="ARI91" s="4"/>
      <c r="ARJ91" s="4"/>
      <c r="ARK91" s="4"/>
      <c r="ARL91" s="4"/>
      <c r="ARM91" s="4"/>
      <c r="ARN91" s="4"/>
      <c r="ARO91" s="4"/>
      <c r="ARP91" s="4"/>
      <c r="ARQ91" s="4"/>
      <c r="ARR91" s="4"/>
      <c r="ARS91" s="4"/>
      <c r="ART91" s="4"/>
      <c r="ARU91" s="4"/>
      <c r="ARV91" s="4"/>
      <c r="ARW91" s="4"/>
      <c r="ARX91" s="4"/>
      <c r="ARY91" s="4"/>
      <c r="ARZ91" s="4"/>
      <c r="ASA91" s="4"/>
      <c r="ASB91" s="4"/>
      <c r="ASC91" s="4"/>
      <c r="ASD91" s="4"/>
      <c r="ASE91" s="4"/>
      <c r="ASF91" s="4"/>
      <c r="ASG91" s="4"/>
      <c r="ASH91" s="4"/>
      <c r="ASI91" s="4"/>
      <c r="ASJ91" s="4"/>
      <c r="ASK91" s="4"/>
      <c r="ASL91" s="4"/>
      <c r="ASM91" s="4"/>
      <c r="ASN91" s="4"/>
      <c r="ASO91" s="4"/>
      <c r="ASP91" s="4"/>
      <c r="ASQ91" s="4"/>
      <c r="ASR91" s="4"/>
      <c r="ASS91" s="4"/>
      <c r="AST91" s="4"/>
      <c r="ASU91" s="4"/>
    </row>
    <row r="92" ht="15" customHeight="1" spans="1:1191" x14ac:dyDescent="0.25">
      <c r="A92" s="118"/>
      <c r="B92" s="564" t="s">
        <v>130</v>
      </c>
      <c r="C92" s="321" t="s">
        <v>81</v>
      </c>
      <c r="D92" s="121"/>
      <c r="E92" s="122"/>
      <c r="F92" s="292"/>
      <c r="G92" s="196"/>
      <c r="H92" s="196"/>
      <c r="I92" s="196"/>
      <c r="J92" s="196"/>
      <c r="K92" s="196"/>
      <c r="L92" s="196"/>
      <c r="M92" s="195"/>
      <c r="N92" s="197"/>
      <c r="O92" s="196"/>
      <c r="P92" s="196"/>
      <c r="Q92" s="198"/>
      <c r="R92" s="292"/>
      <c r="S92" s="196"/>
      <c r="T92" s="196"/>
      <c r="U92" s="196"/>
      <c r="V92" s="196"/>
      <c r="W92" s="196"/>
      <c r="X92" s="196"/>
      <c r="Y92" s="196"/>
      <c r="Z92" s="196"/>
      <c r="AA92" s="196"/>
      <c r="AB92" s="196"/>
      <c r="AC92" s="195"/>
      <c r="AD92" s="301"/>
      <c r="AE92" s="151"/>
      <c r="AF92" s="130">
        <f>SUM(D92:AE92)</f>
      </c>
      <c r="AG92" s="121"/>
      <c r="AH92" s="122"/>
      <c r="AI92" s="292"/>
      <c r="AJ92" s="196"/>
      <c r="AK92" s="196"/>
      <c r="AL92" s="196"/>
      <c r="AM92" s="196"/>
      <c r="AN92" s="196"/>
      <c r="AO92" s="196"/>
      <c r="AP92" s="195"/>
      <c r="AQ92" s="197"/>
      <c r="AR92" s="196"/>
      <c r="AS92" s="196"/>
      <c r="AT92" s="198"/>
      <c r="AU92" s="292"/>
      <c r="AV92" s="196"/>
      <c r="AW92" s="196"/>
      <c r="AX92" s="196"/>
      <c r="AY92" s="196"/>
      <c r="AZ92" s="196"/>
      <c r="BA92" s="196"/>
      <c r="BB92" s="196"/>
      <c r="BC92" s="196"/>
      <c r="BD92" s="196"/>
      <c r="BE92" s="196"/>
      <c r="BF92" s="195"/>
      <c r="BG92" s="301"/>
      <c r="BH92" s="151"/>
      <c r="BI92" s="130">
        <f>SUM(AG92:BH92)</f>
      </c>
      <c r="BJ92" s="121"/>
      <c r="BK92" s="122"/>
      <c r="BL92" s="292"/>
      <c r="BM92" s="196"/>
      <c r="BN92" s="196"/>
      <c r="BO92" s="196"/>
      <c r="BP92" s="196"/>
      <c r="BQ92" s="196"/>
      <c r="BR92" s="196"/>
      <c r="BS92" s="195"/>
      <c r="BT92" s="197"/>
      <c r="BU92" s="196"/>
      <c r="BV92" s="196"/>
      <c r="BW92" s="198"/>
      <c r="BX92" s="292"/>
      <c r="BY92" s="196"/>
      <c r="BZ92" s="196"/>
      <c r="CA92" s="196"/>
      <c r="CB92" s="196"/>
      <c r="CC92" s="196"/>
      <c r="CD92" s="196"/>
      <c r="CE92" s="196"/>
      <c r="CF92" s="196"/>
      <c r="CG92" s="196"/>
      <c r="CH92" s="196"/>
      <c r="CI92" s="195"/>
      <c r="CJ92" s="301"/>
      <c r="CK92" s="151"/>
      <c r="CL92" s="130">
        <f>SUM(BJ92:CK92)</f>
      </c>
      <c r="CM92" s="121"/>
      <c r="CN92" s="122"/>
      <c r="CO92" s="292"/>
      <c r="CP92" s="196"/>
      <c r="CQ92" s="196"/>
      <c r="CR92" s="196"/>
      <c r="CS92" s="196"/>
      <c r="CT92" s="196"/>
      <c r="CU92" s="196"/>
      <c r="CV92" s="195"/>
      <c r="CW92" s="197"/>
      <c r="CX92" s="196"/>
      <c r="CY92" s="196"/>
      <c r="CZ92" s="198"/>
      <c r="DA92" s="292"/>
      <c r="DB92" s="196"/>
      <c r="DC92" s="196"/>
      <c r="DD92" s="196"/>
      <c r="DE92" s="196"/>
      <c r="DF92" s="196"/>
      <c r="DG92" s="196"/>
      <c r="DH92" s="196"/>
      <c r="DI92" s="196"/>
      <c r="DJ92" s="196"/>
      <c r="DK92" s="196"/>
      <c r="DL92" s="195"/>
      <c r="DM92" s="301"/>
      <c r="DN92" s="151"/>
      <c r="DO92" s="130">
        <f>SUM(CM92:DN92)</f>
      </c>
      <c r="DP92" s="121"/>
      <c r="DQ92" s="122"/>
      <c r="DR92" s="292"/>
      <c r="DS92" s="196"/>
      <c r="DT92" s="196"/>
      <c r="DU92" s="196"/>
      <c r="DV92" s="196"/>
      <c r="DW92" s="196"/>
      <c r="DX92" s="196"/>
      <c r="DY92" s="195"/>
      <c r="DZ92" s="197"/>
      <c r="EA92" s="196"/>
      <c r="EB92" s="196"/>
      <c r="EC92" s="198"/>
      <c r="ED92" s="292"/>
      <c r="EE92" s="196"/>
      <c r="EF92" s="196"/>
      <c r="EG92" s="196"/>
      <c r="EH92" s="196"/>
      <c r="EI92" s="196"/>
      <c r="EJ92" s="196"/>
      <c r="EK92" s="196"/>
      <c r="EL92" s="196"/>
      <c r="EM92" s="196"/>
      <c r="EN92" s="196"/>
      <c r="EO92" s="195"/>
      <c r="EP92" s="301"/>
      <c r="EQ92" s="151"/>
      <c r="ER92" s="130">
        <f>SUM(DP92:EQ92)</f>
      </c>
      <c r="ES92" s="121"/>
      <c r="ET92" s="122"/>
      <c r="EU92" s="292"/>
      <c r="EV92" s="196"/>
      <c r="EW92" s="196"/>
      <c r="EX92" s="196"/>
      <c r="EY92" s="196"/>
      <c r="EZ92" s="196"/>
      <c r="FA92" s="196"/>
      <c r="FB92" s="195"/>
      <c r="FC92" s="197"/>
      <c r="FD92" s="196"/>
      <c r="FE92" s="196"/>
      <c r="FF92" s="198"/>
      <c r="FG92" s="292"/>
      <c r="FH92" s="196"/>
      <c r="FI92" s="196"/>
      <c r="FJ92" s="196"/>
      <c r="FK92" s="196"/>
      <c r="FL92" s="196"/>
      <c r="FM92" s="196"/>
      <c r="FN92" s="196"/>
      <c r="FO92" s="196"/>
      <c r="FP92" s="196"/>
      <c r="FQ92" s="196"/>
      <c r="FR92" s="195"/>
      <c r="FS92" s="301"/>
      <c r="FT92" s="151"/>
      <c r="FU92" s="130">
        <f>SUM(ES92:FT92)</f>
      </c>
      <c r="FV92" s="121"/>
      <c r="FW92" s="122"/>
      <c r="FX92" s="292"/>
      <c r="FY92" s="196"/>
      <c r="FZ92" s="196"/>
      <c r="GA92" s="196"/>
      <c r="GB92" s="196"/>
      <c r="GC92" s="196"/>
      <c r="GD92" s="196"/>
      <c r="GE92" s="195"/>
      <c r="GF92" s="197"/>
      <c r="GG92" s="196"/>
      <c r="GH92" s="196"/>
      <c r="GI92" s="198"/>
      <c r="GJ92" s="292"/>
      <c r="GK92" s="196"/>
      <c r="GL92" s="196"/>
      <c r="GM92" s="196"/>
      <c r="GN92" s="196"/>
      <c r="GO92" s="196"/>
      <c r="GP92" s="196"/>
      <c r="GQ92" s="196"/>
      <c r="GR92" s="196"/>
      <c r="GS92" s="196"/>
      <c r="GT92" s="196"/>
      <c r="GU92" s="195"/>
      <c r="GV92" s="301"/>
      <c r="GW92" s="151"/>
      <c r="GX92" s="130">
        <f>SUM(FV92:GW92)</f>
      </c>
      <c r="GY92" s="150">
        <f>AF92+BI92+CL92+DO92+ER92+FU92+GX92</f>
      </c>
      <c r="GZ92" s="302">
        <f>(COUNTIF(D92:GX92,"H")+COUNTIF(D92:GX92,"S")+COUNTIF(D92:GX92,"L")+COUNTIF(D92:GX92,"E")+COUNTIF(D92:GX92,"C"))/2</f>
      </c>
      <c r="HA92" s="131">
        <f>GY92+GZ92</f>
      </c>
      <c r="HB92" s="134"/>
      <c r="HC92" s="135"/>
      <c r="HD92" s="377">
        <v>0.5</v>
      </c>
      <c r="HE92" s="15">
        <v>0.5</v>
      </c>
      <c r="HF92" s="15">
        <v>0.5</v>
      </c>
      <c r="HG92" s="15">
        <v>0.5</v>
      </c>
      <c r="HH92" s="15">
        <v>0.5</v>
      </c>
      <c r="HI92" s="15">
        <v>0.5</v>
      </c>
      <c r="HJ92" s="212">
        <v>0.5</v>
      </c>
      <c r="HK92" s="213">
        <v>0.5</v>
      </c>
      <c r="HL92" s="214">
        <v>0.5</v>
      </c>
      <c r="HM92" s="212">
        <v>0.5</v>
      </c>
      <c r="HN92" s="207"/>
      <c r="HO92" s="208"/>
      <c r="HP92" s="298">
        <v>0.5</v>
      </c>
      <c r="HQ92" s="212">
        <v>0.5</v>
      </c>
      <c r="HR92" s="15">
        <v>0.5</v>
      </c>
      <c r="HS92" s="15">
        <v>0.5</v>
      </c>
      <c r="HT92" s="15">
        <v>0.5</v>
      </c>
      <c r="HU92" s="15">
        <v>0.5</v>
      </c>
      <c r="HV92" s="207"/>
      <c r="HW92" s="207"/>
      <c r="HX92" s="207"/>
      <c r="HY92" s="207"/>
      <c r="HZ92" s="207"/>
      <c r="IA92" s="202"/>
      <c r="IB92" s="304"/>
      <c r="IC92" s="152"/>
      <c r="ID92" s="130">
        <f>SUM(HB92:IC92)</f>
      </c>
      <c r="IE92" s="134"/>
      <c r="IF92" s="135"/>
      <c r="IG92" s="377">
        <v>0.5</v>
      </c>
      <c r="IH92" s="15">
        <v>0.5</v>
      </c>
      <c r="II92" s="15">
        <v>0.5</v>
      </c>
      <c r="IJ92" s="15">
        <v>0.5</v>
      </c>
      <c r="IK92" s="15">
        <v>0.5</v>
      </c>
      <c r="IL92" s="15">
        <v>0.5</v>
      </c>
      <c r="IM92" s="212">
        <v>0.5</v>
      </c>
      <c r="IN92" s="213">
        <v>0.5</v>
      </c>
      <c r="IO92" s="214">
        <v>0.5</v>
      </c>
      <c r="IP92" s="212">
        <v>0.5</v>
      </c>
      <c r="IQ92" s="207"/>
      <c r="IR92" s="208"/>
      <c r="IS92" s="298">
        <v>0.5</v>
      </c>
      <c r="IT92" s="212">
        <v>0.5</v>
      </c>
      <c r="IU92" s="15">
        <v>0.5</v>
      </c>
      <c r="IV92" s="15">
        <v>0.5</v>
      </c>
      <c r="IW92" s="15">
        <v>0.5</v>
      </c>
      <c r="IX92" s="15">
        <v>0.5</v>
      </c>
      <c r="IY92" s="207"/>
      <c r="IZ92" s="207"/>
      <c r="JA92" s="207"/>
      <c r="JB92" s="207"/>
      <c r="JC92" s="207"/>
      <c r="JD92" s="202"/>
      <c r="JE92" s="304"/>
      <c r="JF92" s="152"/>
      <c r="JG92" s="130">
        <f>SUM(IE92:JF92)</f>
      </c>
      <c r="JH92" s="134"/>
      <c r="JI92" s="135"/>
      <c r="JJ92" s="377">
        <v>0.5</v>
      </c>
      <c r="JK92" s="559">
        <v>0.5</v>
      </c>
      <c r="JL92" s="559">
        <v>0.5</v>
      </c>
      <c r="JM92" s="559">
        <v>0.5</v>
      </c>
      <c r="JN92" s="559">
        <v>0.5</v>
      </c>
      <c r="JO92" s="559">
        <v>0.5</v>
      </c>
      <c r="JP92" s="559">
        <v>0.5</v>
      </c>
      <c r="JQ92" s="560">
        <v>0.5</v>
      </c>
      <c r="JR92" s="561">
        <v>0.5</v>
      </c>
      <c r="JS92" s="559">
        <v>0.5</v>
      </c>
      <c r="JT92" s="207"/>
      <c r="JU92" s="208"/>
      <c r="JV92" s="298">
        <v>0.5</v>
      </c>
      <c r="JW92" s="212">
        <v>0.5</v>
      </c>
      <c r="JX92" s="15">
        <v>0.5</v>
      </c>
      <c r="JY92" s="15">
        <v>0.5</v>
      </c>
      <c r="JZ92" s="15">
        <v>0.5</v>
      </c>
      <c r="KA92" s="15">
        <v>0.5</v>
      </c>
      <c r="KB92" s="207"/>
      <c r="KC92" s="207"/>
      <c r="KD92" s="207"/>
      <c r="KE92" s="207"/>
      <c r="KF92" s="207"/>
      <c r="KG92" s="202"/>
      <c r="KH92" s="304"/>
      <c r="KI92" s="152"/>
      <c r="KJ92" s="130">
        <f>SUM(JH92:KI92)</f>
      </c>
      <c r="KK92" s="134"/>
      <c r="KL92" s="135"/>
      <c r="KM92" s="377">
        <v>0.5</v>
      </c>
      <c r="KN92" s="15">
        <v>0.5</v>
      </c>
      <c r="KO92" s="15">
        <v>0.5</v>
      </c>
      <c r="KP92" s="15">
        <v>0.5</v>
      </c>
      <c r="KQ92" s="15">
        <v>0.5</v>
      </c>
      <c r="KR92" s="15">
        <v>0.5</v>
      </c>
      <c r="KS92" s="212">
        <v>0.5</v>
      </c>
      <c r="KT92" s="213">
        <v>0.5</v>
      </c>
      <c r="KU92" s="214">
        <v>0.5</v>
      </c>
      <c r="KV92" s="212">
        <v>0.5</v>
      </c>
      <c r="KW92" s="207"/>
      <c r="KX92" s="208"/>
      <c r="KY92" s="298">
        <v>0.5</v>
      </c>
      <c r="KZ92" s="212">
        <v>0.5</v>
      </c>
      <c r="LA92" s="15">
        <v>0.5</v>
      </c>
      <c r="LB92" s="15">
        <v>0.5</v>
      </c>
      <c r="LC92" s="15">
        <v>0.5</v>
      </c>
      <c r="LD92" s="15">
        <v>0.5</v>
      </c>
      <c r="LE92" s="207"/>
      <c r="LF92" s="207"/>
      <c r="LG92" s="207"/>
      <c r="LH92" s="207"/>
      <c r="LI92" s="207"/>
      <c r="LJ92" s="202"/>
      <c r="LK92" s="304"/>
      <c r="LL92" s="152"/>
      <c r="LM92" s="130">
        <f>SUM(KK92:LL92)</f>
      </c>
      <c r="LN92" s="134"/>
      <c r="LO92" s="135"/>
      <c r="LP92" s="377">
        <v>0.5</v>
      </c>
      <c r="LQ92" s="559">
        <v>0.5</v>
      </c>
      <c r="LR92" s="559">
        <v>0.5</v>
      </c>
      <c r="LS92" s="559">
        <v>0.5</v>
      </c>
      <c r="LT92" s="559">
        <v>0.5</v>
      </c>
      <c r="LU92" s="559">
        <v>0.5</v>
      </c>
      <c r="LV92" s="559">
        <v>0.5</v>
      </c>
      <c r="LW92" s="560">
        <v>0.5</v>
      </c>
      <c r="LX92" s="561">
        <v>0.5</v>
      </c>
      <c r="LY92" s="559">
        <v>0.5</v>
      </c>
      <c r="LZ92" s="207"/>
      <c r="MA92" s="208"/>
      <c r="MB92" s="298">
        <v>0.5</v>
      </c>
      <c r="MC92" s="212">
        <v>0.5</v>
      </c>
      <c r="MD92" s="15">
        <v>0.5</v>
      </c>
      <c r="ME92" s="15">
        <v>0.5</v>
      </c>
      <c r="MF92" s="15">
        <v>0.5</v>
      </c>
      <c r="MG92" s="15">
        <v>0.5</v>
      </c>
      <c r="MH92" s="207"/>
      <c r="MI92" s="207"/>
      <c r="MJ92" s="207"/>
      <c r="MK92" s="207"/>
      <c r="ML92" s="207"/>
      <c r="MM92" s="202"/>
      <c r="MN92" s="304"/>
      <c r="MO92" s="152"/>
      <c r="MP92" s="130">
        <f>SUM(LN92:MO92)</f>
      </c>
      <c r="MQ92" s="121"/>
      <c r="MR92" s="122"/>
      <c r="MS92" s="292"/>
      <c r="MT92" s="196"/>
      <c r="MU92" s="196"/>
      <c r="MV92" s="196"/>
      <c r="MW92" s="196"/>
      <c r="MX92" s="196"/>
      <c r="MY92" s="196"/>
      <c r="MZ92" s="195"/>
      <c r="NA92" s="197"/>
      <c r="NB92" s="196"/>
      <c r="NC92" s="196"/>
      <c r="ND92" s="198"/>
      <c r="NE92" s="292"/>
      <c r="NF92" s="196"/>
      <c r="NG92" s="196"/>
      <c r="NH92" s="196"/>
      <c r="NI92" s="196"/>
      <c r="NJ92" s="196"/>
      <c r="NK92" s="196"/>
      <c r="NL92" s="196"/>
      <c r="NM92" s="196"/>
      <c r="NN92" s="196"/>
      <c r="NO92" s="196"/>
      <c r="NP92" s="195"/>
      <c r="NQ92" s="301"/>
      <c r="NR92" s="151"/>
      <c r="NS92" s="130">
        <f>SUM(MQ92:NR92)</f>
      </c>
      <c r="NT92" s="121"/>
      <c r="NU92" s="122"/>
      <c r="NV92" s="292"/>
      <c r="NW92" s="196"/>
      <c r="NX92" s="196"/>
      <c r="NY92" s="196"/>
      <c r="NZ92" s="196"/>
      <c r="OA92" s="196"/>
      <c r="OB92" s="196"/>
      <c r="OC92" s="195"/>
      <c r="OD92" s="197"/>
      <c r="OE92" s="196"/>
      <c r="OF92" s="196"/>
      <c r="OG92" s="198"/>
      <c r="OH92" s="292"/>
      <c r="OI92" s="196"/>
      <c r="OJ92" s="196"/>
      <c r="OK92" s="196"/>
      <c r="OL92" s="196"/>
      <c r="OM92" s="196"/>
      <c r="ON92" s="196"/>
      <c r="OO92" s="196"/>
      <c r="OP92" s="196"/>
      <c r="OQ92" s="196"/>
      <c r="OR92" s="196"/>
      <c r="OS92" s="195"/>
      <c r="OT92" s="301"/>
      <c r="OU92" s="151"/>
      <c r="OV92" s="130">
        <f>SUM(NT92:OU92)</f>
      </c>
      <c r="OW92" s="132">
        <f>ID92+JG92+KJ92+LM92+MP92+NS92+OV92</f>
      </c>
      <c r="OX92" s="302">
        <f>(COUNTIF(HB92:OV92,"H")+COUNTIF(HB92:OV92,"S")+COUNTIF(HB92:OV92,"L")+COUNTIF(HB92:OV92,"E")+COUNTIF(HB92:OV92,"C"))/2</f>
      </c>
      <c r="OY92" s="130">
        <f>OW92+OX92</f>
      </c>
      <c r="OZ92" s="134"/>
      <c r="PA92" s="135"/>
      <c r="PB92" s="295"/>
      <c r="PC92" s="207"/>
      <c r="PD92" s="207"/>
      <c r="PE92" s="15">
        <v>0.5</v>
      </c>
      <c r="PF92" s="15">
        <v>0.5</v>
      </c>
      <c r="PG92" s="15">
        <v>0.5</v>
      </c>
      <c r="PH92" s="212">
        <v>0.5</v>
      </c>
      <c r="PI92" s="213">
        <v>0.5</v>
      </c>
      <c r="PJ92" s="296"/>
      <c r="PK92" s="207"/>
      <c r="PL92" s="559">
        <v>0.5</v>
      </c>
      <c r="PM92" s="562">
        <v>0.5</v>
      </c>
      <c r="PN92" s="563">
        <v>0.5</v>
      </c>
      <c r="PO92" s="559">
        <v>0.5</v>
      </c>
      <c r="PP92" s="559">
        <v>0.5</v>
      </c>
      <c r="PQ92" s="559">
        <v>0.5</v>
      </c>
      <c r="PR92" s="559">
        <v>0.5</v>
      </c>
      <c r="PS92" s="559">
        <v>0.5</v>
      </c>
      <c r="PT92" s="559">
        <v>0.5</v>
      </c>
      <c r="PU92" s="559">
        <v>0.5</v>
      </c>
      <c r="PV92" s="559">
        <v>0.5</v>
      </c>
      <c r="PW92" s="207"/>
      <c r="PX92" s="207"/>
      <c r="PY92" s="202"/>
      <c r="PZ92" s="304"/>
      <c r="QA92" s="152"/>
      <c r="QB92" s="130">
        <f>SUM(OZ92:QA92)</f>
      </c>
      <c r="QC92" s="134"/>
      <c r="QD92" s="135"/>
      <c r="QE92" s="295"/>
      <c r="QF92" s="207"/>
      <c r="QG92" s="207"/>
      <c r="QH92" s="15">
        <v>0.5</v>
      </c>
      <c r="QI92" s="15">
        <v>0.5</v>
      </c>
      <c r="QJ92" s="15">
        <v>0.5</v>
      </c>
      <c r="QK92" s="212">
        <v>0.5</v>
      </c>
      <c r="QL92" s="213">
        <v>0.5</v>
      </c>
      <c r="QM92" s="296"/>
      <c r="QN92" s="207"/>
      <c r="QO92" s="559">
        <v>0.5</v>
      </c>
      <c r="QP92" s="562">
        <v>0.5</v>
      </c>
      <c r="QQ92" s="563">
        <v>0.5</v>
      </c>
      <c r="QR92" s="559">
        <v>0.5</v>
      </c>
      <c r="QS92" s="559">
        <v>0.5</v>
      </c>
      <c r="QT92" s="559">
        <v>0.5</v>
      </c>
      <c r="QU92" s="559">
        <v>0.5</v>
      </c>
      <c r="QV92" s="559">
        <v>0.5</v>
      </c>
      <c r="QW92" s="559">
        <v>0.5</v>
      </c>
      <c r="QX92" s="559">
        <v>0.5</v>
      </c>
      <c r="QY92" s="559">
        <v>0.5</v>
      </c>
      <c r="QZ92" s="207"/>
      <c r="RA92" s="207"/>
      <c r="RB92" s="202"/>
      <c r="RC92" s="304"/>
      <c r="RD92" s="152"/>
      <c r="RE92" s="130">
        <f>SUM(QC92:RD92)</f>
      </c>
      <c r="RF92" s="134"/>
      <c r="RG92" s="135"/>
      <c r="RH92" s="295"/>
      <c r="RI92" s="207"/>
      <c r="RJ92" s="207"/>
      <c r="RK92" s="15">
        <v>0.5</v>
      </c>
      <c r="RL92" s="15">
        <v>0.5</v>
      </c>
      <c r="RM92" s="15">
        <v>0.5</v>
      </c>
      <c r="RN92" s="212">
        <v>0.5</v>
      </c>
      <c r="RO92" s="213">
        <v>0.5</v>
      </c>
      <c r="RP92" s="296"/>
      <c r="RQ92" s="207"/>
      <c r="RR92" s="559">
        <v>0.5</v>
      </c>
      <c r="RS92" s="562">
        <v>0.5</v>
      </c>
      <c r="RT92" s="563">
        <v>0.5</v>
      </c>
      <c r="RU92" s="559">
        <v>0.5</v>
      </c>
      <c r="RV92" s="559">
        <v>0.5</v>
      </c>
      <c r="RW92" s="559">
        <v>0.5</v>
      </c>
      <c r="RX92" s="559">
        <v>0.5</v>
      </c>
      <c r="RY92" s="559">
        <v>0.5</v>
      </c>
      <c r="RZ92" s="559">
        <v>0.5</v>
      </c>
      <c r="SA92" s="559">
        <v>0.5</v>
      </c>
      <c r="SB92" s="559">
        <v>0.5</v>
      </c>
      <c r="SC92" s="207"/>
      <c r="SD92" s="207"/>
      <c r="SE92" s="202"/>
      <c r="SF92" s="304"/>
      <c r="SG92" s="152"/>
      <c r="SH92" s="130">
        <f>SUM(RF92:SG92)</f>
      </c>
      <c r="SI92" s="134"/>
      <c r="SJ92" s="135"/>
      <c r="SK92" s="295"/>
      <c r="SL92" s="207"/>
      <c r="SM92" s="207"/>
      <c r="SN92" s="15">
        <v>0.5</v>
      </c>
      <c r="SO92" s="15">
        <v>0.5</v>
      </c>
      <c r="SP92" s="15">
        <v>0.5</v>
      </c>
      <c r="SQ92" s="212">
        <v>0.5</v>
      </c>
      <c r="SR92" s="213">
        <v>0.5</v>
      </c>
      <c r="SS92" s="296"/>
      <c r="ST92" s="207"/>
      <c r="SU92" s="559">
        <v>0.5</v>
      </c>
      <c r="SV92" s="562">
        <v>0.5</v>
      </c>
      <c r="SW92" s="563">
        <v>0.5</v>
      </c>
      <c r="SX92" s="559">
        <v>0.5</v>
      </c>
      <c r="SY92" s="559">
        <v>0.5</v>
      </c>
      <c r="SZ92" s="559">
        <v>0.5</v>
      </c>
      <c r="TA92" s="559">
        <v>0.5</v>
      </c>
      <c r="TB92" s="559">
        <v>0.5</v>
      </c>
      <c r="TC92" s="559">
        <v>0.5</v>
      </c>
      <c r="TD92" s="559">
        <v>0.5</v>
      </c>
      <c r="TE92" s="559">
        <v>0.5</v>
      </c>
      <c r="TF92" s="207"/>
      <c r="TG92" s="207"/>
      <c r="TH92" s="202"/>
      <c r="TI92" s="304"/>
      <c r="TJ92" s="152"/>
      <c r="TK92" s="130">
        <f>SUM(SI92:TJ92)</f>
      </c>
      <c r="TL92" s="134"/>
      <c r="TM92" s="135"/>
      <c r="TN92" s="295"/>
      <c r="TO92" s="207"/>
      <c r="TP92" s="207"/>
      <c r="TQ92" s="15">
        <v>0.5</v>
      </c>
      <c r="TR92" s="15">
        <v>0.5</v>
      </c>
      <c r="TS92" s="15">
        <v>0.5</v>
      </c>
      <c r="TT92" s="212">
        <v>0.5</v>
      </c>
      <c r="TU92" s="213">
        <v>0.5</v>
      </c>
      <c r="TV92" s="296"/>
      <c r="TW92" s="207"/>
      <c r="TX92" s="559">
        <v>0.5</v>
      </c>
      <c r="TY92" s="562">
        <v>0.5</v>
      </c>
      <c r="TZ92" s="563">
        <v>0.5</v>
      </c>
      <c r="UA92" s="559">
        <v>0.5</v>
      </c>
      <c r="UB92" s="559">
        <v>0.5</v>
      </c>
      <c r="UC92" s="559">
        <v>0.5</v>
      </c>
      <c r="UD92" s="559">
        <v>0.5</v>
      </c>
      <c r="UE92" s="559">
        <v>0.5</v>
      </c>
      <c r="UF92" s="559">
        <v>0.5</v>
      </c>
      <c r="UG92" s="559">
        <v>0.5</v>
      </c>
      <c r="UH92" s="559">
        <v>0.5</v>
      </c>
      <c r="UI92" s="207"/>
      <c r="UJ92" s="207"/>
      <c r="UK92" s="202"/>
      <c r="UL92" s="304"/>
      <c r="UM92" s="152"/>
      <c r="UN92" s="130">
        <f>SUM(TL92:UM92)</f>
      </c>
      <c r="UO92" s="121"/>
      <c r="UP92" s="122"/>
      <c r="UQ92" s="292"/>
      <c r="UR92" s="196"/>
      <c r="US92" s="196"/>
      <c r="UT92" s="196"/>
      <c r="UU92" s="196"/>
      <c r="UV92" s="196"/>
      <c r="UW92" s="196"/>
      <c r="UX92" s="195"/>
      <c r="UY92" s="197"/>
      <c r="UZ92" s="196"/>
      <c r="VA92" s="196"/>
      <c r="VB92" s="198"/>
      <c r="VC92" s="292"/>
      <c r="VD92" s="196"/>
      <c r="VE92" s="196"/>
      <c r="VF92" s="196"/>
      <c r="VG92" s="196"/>
      <c r="VH92" s="196"/>
      <c r="VI92" s="196"/>
      <c r="VJ92" s="196"/>
      <c r="VK92" s="196"/>
      <c r="VL92" s="196"/>
      <c r="VM92" s="196"/>
      <c r="VN92" s="195"/>
      <c r="VO92" s="301"/>
      <c r="VP92" s="151"/>
      <c r="VQ92" s="130">
        <f>SUM(UO92:VP92)</f>
      </c>
      <c r="VR92" s="121"/>
      <c r="VS92" s="122"/>
      <c r="VT92" s="292"/>
      <c r="VU92" s="196"/>
      <c r="VV92" s="196"/>
      <c r="VW92" s="196"/>
      <c r="VX92" s="196"/>
      <c r="VY92" s="196"/>
      <c r="VZ92" s="196"/>
      <c r="WA92" s="195"/>
      <c r="WB92" s="197"/>
      <c r="WC92" s="196"/>
      <c r="WD92" s="196"/>
      <c r="WE92" s="198"/>
      <c r="WF92" s="292"/>
      <c r="WG92" s="196"/>
      <c r="WH92" s="196"/>
      <c r="WI92" s="196"/>
      <c r="WJ92" s="196"/>
      <c r="WK92" s="196"/>
      <c r="WL92" s="196"/>
      <c r="WM92" s="196"/>
      <c r="WN92" s="196"/>
      <c r="WO92" s="196"/>
      <c r="WP92" s="196"/>
      <c r="WQ92" s="195"/>
      <c r="WR92" s="301"/>
      <c r="WS92" s="151"/>
      <c r="WT92" s="130">
        <f>SUM(VR92:WS92)</f>
      </c>
      <c r="WU92" s="132">
        <f>QB92+RE92+SH92+TK92+UN92+VQ92+WT92</f>
      </c>
      <c r="WV92" s="302">
        <f>(COUNTIF(OZ92:WT92,"H")+COUNTIF(OZ92:WT92,"S")+COUNTIF(OZ92:WT92,"L")+COUNTIF(OZ92:WT92,"E")+COUNTIF(OZ92:WT92,"C"))/2</f>
      </c>
      <c r="WW92" s="130">
        <f>WU92+WV92</f>
      </c>
      <c r="WX92" s="374"/>
      <c r="WY92" s="375"/>
      <c r="WZ92" s="376"/>
      <c r="XA92" s="15"/>
      <c r="XB92" s="15"/>
      <c r="XC92" s="15"/>
      <c r="XD92" s="15"/>
      <c r="XE92" s="15"/>
      <c r="XF92" s="15"/>
      <c r="XG92" s="379"/>
      <c r="XH92" s="377"/>
      <c r="XI92" s="15"/>
      <c r="XJ92" s="15"/>
      <c r="XK92" s="392"/>
      <c r="XL92" s="387">
        <v>0.5</v>
      </c>
      <c r="XM92" s="29">
        <v>0.5</v>
      </c>
      <c r="XN92" s="29">
        <v>0.5</v>
      </c>
      <c r="XO92" s="29">
        <v>0.5</v>
      </c>
      <c r="XP92" s="29">
        <v>0.5</v>
      </c>
      <c r="XQ92" s="29">
        <v>0.5</v>
      </c>
      <c r="XR92" s="29">
        <v>0.5</v>
      </c>
      <c r="XS92" s="29">
        <v>0.5</v>
      </c>
      <c r="XT92" s="207"/>
      <c r="XU92" s="207"/>
      <c r="XV92" s="207"/>
      <c r="XW92" s="202"/>
      <c r="XX92" s="407"/>
      <c r="XY92" s="408"/>
      <c r="XZ92" s="130">
        <f>SUM(WX92:XY92)</f>
      </c>
      <c r="YA92" s="374"/>
      <c r="YB92" s="375"/>
      <c r="YC92" s="387">
        <v>0.5</v>
      </c>
      <c r="YD92" s="29">
        <v>0.5</v>
      </c>
      <c r="YE92" s="29">
        <v>0.5</v>
      </c>
      <c r="YF92" s="29">
        <v>0.5</v>
      </c>
      <c r="YG92" s="29">
        <v>0.5</v>
      </c>
      <c r="YH92" s="29">
        <v>0.5</v>
      </c>
      <c r="YI92" s="29">
        <v>0.5</v>
      </c>
      <c r="YJ92" s="388">
        <v>0.5</v>
      </c>
      <c r="YK92" s="377"/>
      <c r="YL92" s="15"/>
      <c r="YM92" s="29">
        <v>0.5</v>
      </c>
      <c r="YN92" s="389">
        <v>0.5</v>
      </c>
      <c r="YO92" s="387">
        <v>0.5</v>
      </c>
      <c r="YP92" s="29">
        <v>0.5</v>
      </c>
      <c r="YQ92" s="29">
        <v>0.5</v>
      </c>
      <c r="YR92" s="29">
        <v>0.5</v>
      </c>
      <c r="YS92" s="29">
        <v>0.5</v>
      </c>
      <c r="YT92" s="29">
        <v>0.5</v>
      </c>
      <c r="YU92" s="29">
        <v>0.5</v>
      </c>
      <c r="YV92" s="29">
        <v>0.5</v>
      </c>
      <c r="YW92" s="15"/>
      <c r="YX92" s="15"/>
      <c r="YY92" s="15"/>
      <c r="YZ92" s="379"/>
      <c r="ZA92" s="407"/>
      <c r="ZB92" s="408"/>
      <c r="ZC92" s="130">
        <f>SUM(YA92:ZB92)</f>
      </c>
      <c r="ZD92" s="374"/>
      <c r="ZE92" s="375"/>
      <c r="ZF92" s="376"/>
      <c r="ZG92" s="15"/>
      <c r="ZH92" s="15"/>
      <c r="ZI92" s="15"/>
      <c r="ZJ92" s="29">
        <v>0.5</v>
      </c>
      <c r="ZK92" s="29">
        <v>0.5</v>
      </c>
      <c r="ZL92" s="29">
        <v>0.5</v>
      </c>
      <c r="ZM92" s="388">
        <v>0.5</v>
      </c>
      <c r="ZN92" s="390">
        <v>0.5</v>
      </c>
      <c r="ZO92" s="29">
        <v>0.5</v>
      </c>
      <c r="ZP92" s="15"/>
      <c r="ZQ92" s="392"/>
      <c r="ZR92" s="387">
        <v>0.5</v>
      </c>
      <c r="ZS92" s="29">
        <v>0.5</v>
      </c>
      <c r="ZT92" s="29">
        <v>0.5</v>
      </c>
      <c r="ZU92" s="29">
        <v>0.5</v>
      </c>
      <c r="ZV92" s="29">
        <v>0.5</v>
      </c>
      <c r="ZW92" s="29">
        <v>0.5</v>
      </c>
      <c r="ZX92" s="29">
        <v>0.5</v>
      </c>
      <c r="ZY92" s="29">
        <v>0.5</v>
      </c>
      <c r="ZZ92" s="29">
        <v>0.5</v>
      </c>
      <c r="AAA92" s="29">
        <v>0.5</v>
      </c>
      <c r="AAB92" s="29">
        <v>0.5</v>
      </c>
      <c r="AAC92" s="388">
        <v>0.5</v>
      </c>
      <c r="AAD92" s="407"/>
      <c r="AAE92" s="408"/>
      <c r="AAF92" s="130">
        <f>SUM(ZD92:AAE92)</f>
      </c>
      <c r="AAG92" s="374"/>
      <c r="AAH92" s="375"/>
      <c r="AAI92" s="387">
        <v>0.5</v>
      </c>
      <c r="AAJ92" s="29">
        <v>0.5</v>
      </c>
      <c r="AAK92" s="29">
        <v>0.5</v>
      </c>
      <c r="AAL92" s="29">
        <v>0.5</v>
      </c>
      <c r="AAM92" s="29">
        <v>0.5</v>
      </c>
      <c r="AAN92" s="29">
        <v>0.5</v>
      </c>
      <c r="AAO92" s="29">
        <v>0.5</v>
      </c>
      <c r="AAP92" s="388">
        <v>0.5</v>
      </c>
      <c r="AAQ92" s="377"/>
      <c r="AAR92" s="15"/>
      <c r="AAS92" s="15"/>
      <c r="AAT92" s="392"/>
      <c r="AAU92" s="376"/>
      <c r="AAV92" s="15"/>
      <c r="AAW92" s="15"/>
      <c r="AAX92" s="15"/>
      <c r="AAY92" s="15"/>
      <c r="AAZ92" s="15"/>
      <c r="ABA92" s="15"/>
      <c r="ABB92" s="15"/>
      <c r="ABC92" s="15"/>
      <c r="ABD92" s="15"/>
      <c r="ABE92" s="15"/>
      <c r="ABF92" s="379"/>
      <c r="ABG92" s="407"/>
      <c r="ABH92" s="408"/>
      <c r="ABI92" s="130">
        <f>SUM(AAG92:ABH92)</f>
      </c>
      <c r="ABJ92" s="374"/>
      <c r="ABK92" s="375"/>
      <c r="ABL92" s="377">
        <v>0.5</v>
      </c>
      <c r="ABM92" s="15">
        <v>0.5</v>
      </c>
      <c r="ABN92" s="15">
        <v>0.5</v>
      </c>
      <c r="ABO92" s="15">
        <v>0.5</v>
      </c>
      <c r="ABP92" s="15">
        <v>0.5</v>
      </c>
      <c r="ABQ92" s="15">
        <v>0.5</v>
      </c>
      <c r="ABR92" s="212">
        <v>0.5</v>
      </c>
      <c r="ABS92" s="213">
        <v>0.5</v>
      </c>
      <c r="ABT92" s="214">
        <v>0.5</v>
      </c>
      <c r="ABU92" s="212">
        <v>0.5</v>
      </c>
      <c r="ABV92" s="207"/>
      <c r="ABW92" s="208"/>
      <c r="ABX92" s="298">
        <v>0.5</v>
      </c>
      <c r="ABY92" s="212">
        <v>0.5</v>
      </c>
      <c r="ABZ92" s="15">
        <v>0.5</v>
      </c>
      <c r="ACA92" s="15">
        <v>0.5</v>
      </c>
      <c r="ACB92" s="15">
        <v>0.5</v>
      </c>
      <c r="ACC92" s="15">
        <v>0.5</v>
      </c>
      <c r="ACD92" s="207"/>
      <c r="ACE92" s="207"/>
      <c r="ACF92" s="207"/>
      <c r="ACG92" s="207"/>
      <c r="ACH92" s="15"/>
      <c r="ACI92" s="379"/>
      <c r="ACJ92" s="407"/>
      <c r="ACK92" s="408"/>
      <c r="ACL92" s="130">
        <f>SUM(ABJ92:ACK92)</f>
      </c>
      <c r="ACM92" s="121"/>
      <c r="ACN92" s="122"/>
      <c r="ACO92" s="292"/>
      <c r="ACP92" s="196"/>
      <c r="ACQ92" s="196"/>
      <c r="ACR92" s="196"/>
      <c r="ACS92" s="196"/>
      <c r="ACT92" s="196"/>
      <c r="ACU92" s="196"/>
      <c r="ACV92" s="195"/>
      <c r="ACW92" s="197"/>
      <c r="ACX92" s="196"/>
      <c r="ACY92" s="196"/>
      <c r="ACZ92" s="198"/>
      <c r="ADA92" s="292"/>
      <c r="ADB92" s="196"/>
      <c r="ADC92" s="196"/>
      <c r="ADD92" s="196"/>
      <c r="ADE92" s="196"/>
      <c r="ADF92" s="196"/>
      <c r="ADG92" s="196"/>
      <c r="ADH92" s="196"/>
      <c r="ADI92" s="196"/>
      <c r="ADJ92" s="196"/>
      <c r="ADK92" s="196"/>
      <c r="ADL92" s="195"/>
      <c r="ADM92" s="301"/>
      <c r="ADN92" s="151"/>
      <c r="ADO92" s="130">
        <f>SUM(ACM92:ADN92)</f>
      </c>
      <c r="ADP92" s="121"/>
      <c r="ADQ92" s="122"/>
      <c r="ADR92" s="292"/>
      <c r="ADS92" s="196"/>
      <c r="ADT92" s="196"/>
      <c r="ADU92" s="196"/>
      <c r="ADV92" s="196"/>
      <c r="ADW92" s="196"/>
      <c r="ADX92" s="196"/>
      <c r="ADY92" s="195"/>
      <c r="ADZ92" s="197"/>
      <c r="AEA92" s="196"/>
      <c r="AEB92" s="196"/>
      <c r="AEC92" s="198"/>
      <c r="AED92" s="292"/>
      <c r="AEE92" s="196"/>
      <c r="AEF92" s="196"/>
      <c r="AEG92" s="196"/>
      <c r="AEH92" s="196"/>
      <c r="AEI92" s="196"/>
      <c r="AEJ92" s="196"/>
      <c r="AEK92" s="196"/>
      <c r="AEL92" s="196"/>
      <c r="AEM92" s="196"/>
      <c r="AEN92" s="196"/>
      <c r="AEO92" s="195"/>
      <c r="AEP92" s="301"/>
      <c r="AEQ92" s="151"/>
      <c r="AER92" s="130">
        <f>SUM(ADP92:AEQ92)</f>
      </c>
      <c r="AES92" s="132">
        <f>XZ92+ZC92+AAF92+ABI92+ACL92+ADO92+AER92</f>
      </c>
      <c r="AET92" s="302">
        <f>(COUNTIF(WX92:AER92,"H")+COUNTIF(WX92:AER92,"S")+COUNTIF(WX92:AER92,"L")+COUNTIF(WX92:AER92,"E")+COUNTIF(WX92:AER92,"C"))/2</f>
      </c>
      <c r="AEU92" s="130">
        <f>AES92+AET92</f>
      </c>
      <c r="AEV92" s="134"/>
      <c r="AEW92" s="135"/>
      <c r="AEX92" s="295"/>
      <c r="AEY92" s="207"/>
      <c r="AEZ92" s="207"/>
      <c r="AFA92" s="15">
        <v>0.5</v>
      </c>
      <c r="AFB92" s="15">
        <v>0.5</v>
      </c>
      <c r="AFC92" s="15">
        <v>0.5</v>
      </c>
      <c r="AFD92" s="212">
        <v>0.5</v>
      </c>
      <c r="AFE92" s="213">
        <v>0.5</v>
      </c>
      <c r="AFF92" s="296"/>
      <c r="AFG92" s="207"/>
      <c r="AFH92" s="212">
        <v>0.5</v>
      </c>
      <c r="AFI92" s="297">
        <v>0.5</v>
      </c>
      <c r="AFJ92" s="298">
        <v>0.5</v>
      </c>
      <c r="AFK92" s="212">
        <v>0.5</v>
      </c>
      <c r="AFL92" s="15">
        <v>0.5</v>
      </c>
      <c r="AFM92" s="15">
        <v>0.5</v>
      </c>
      <c r="AFN92" s="15">
        <v>0.5</v>
      </c>
      <c r="AFO92" s="15">
        <v>0.5</v>
      </c>
      <c r="AFP92" s="15">
        <v>0.5</v>
      </c>
      <c r="AFQ92" s="15">
        <v>0.5</v>
      </c>
      <c r="AFR92" s="15">
        <v>0.5</v>
      </c>
      <c r="AFS92" s="207"/>
      <c r="AFT92" s="207"/>
      <c r="AFU92" s="202"/>
      <c r="AFV92" s="304"/>
      <c r="AFW92" s="152"/>
      <c r="AFX92" s="130">
        <f>SUM(AEV92:AFW92)</f>
      </c>
      <c r="AFY92" s="134"/>
      <c r="AFZ92" s="135"/>
      <c r="AGA92" s="295"/>
      <c r="AGB92" s="207"/>
      <c r="AGC92" s="207"/>
      <c r="AGD92" s="15">
        <v>0.5</v>
      </c>
      <c r="AGE92" s="15">
        <v>0.5</v>
      </c>
      <c r="AGF92" s="15">
        <v>0.5</v>
      </c>
      <c r="AGG92" s="212">
        <v>0.5</v>
      </c>
      <c r="AGH92" s="213">
        <v>0.5</v>
      </c>
      <c r="AGI92" s="296"/>
      <c r="AGJ92" s="207"/>
      <c r="AGK92" s="212">
        <v>0.5</v>
      </c>
      <c r="AGL92" s="297">
        <v>0.5</v>
      </c>
      <c r="AGM92" s="298">
        <v>0.5</v>
      </c>
      <c r="AGN92" s="212">
        <v>0.5</v>
      </c>
      <c r="AGO92" s="15">
        <v>0.5</v>
      </c>
      <c r="AGP92" s="15">
        <v>0.5</v>
      </c>
      <c r="AGQ92" s="15">
        <v>0.5</v>
      </c>
      <c r="AGR92" s="15">
        <v>0.5</v>
      </c>
      <c r="AGS92" s="15">
        <v>0.5</v>
      </c>
      <c r="AGT92" s="15">
        <v>0.5</v>
      </c>
      <c r="AGU92" s="15">
        <v>0.5</v>
      </c>
      <c r="AGV92" s="207"/>
      <c r="AGW92" s="207"/>
      <c r="AGX92" s="202"/>
      <c r="AGY92" s="304"/>
      <c r="AGZ92" s="152"/>
      <c r="AHA92" s="130">
        <f>SUM(AFY92:AGZ92)</f>
      </c>
      <c r="AHB92" s="134"/>
      <c r="AHC92" s="135"/>
      <c r="AHD92" s="295"/>
      <c r="AHE92" s="207"/>
      <c r="AHF92" s="207"/>
      <c r="AHG92" s="15">
        <v>0.5</v>
      </c>
      <c r="AHH92" s="15">
        <v>0.5</v>
      </c>
      <c r="AHI92" s="15">
        <v>0.5</v>
      </c>
      <c r="AHJ92" s="212">
        <v>0.5</v>
      </c>
      <c r="AHK92" s="213">
        <v>0.5</v>
      </c>
      <c r="AHL92" s="296"/>
      <c r="AHM92" s="207"/>
      <c r="AHN92" s="212">
        <v>0.5</v>
      </c>
      <c r="AHO92" s="297">
        <v>0.5</v>
      </c>
      <c r="AHP92" s="298">
        <v>0.5</v>
      </c>
      <c r="AHQ92" s="212">
        <v>0.5</v>
      </c>
      <c r="AHR92" s="15">
        <v>0.5</v>
      </c>
      <c r="AHS92" s="15">
        <v>0.5</v>
      </c>
      <c r="AHT92" s="15">
        <v>0.5</v>
      </c>
      <c r="AHU92" s="15">
        <v>0.5</v>
      </c>
      <c r="AHV92" s="15">
        <v>0.5</v>
      </c>
      <c r="AHW92" s="15">
        <v>0.5</v>
      </c>
      <c r="AHX92" s="15">
        <v>0.5</v>
      </c>
      <c r="AHY92" s="207"/>
      <c r="AHZ92" s="207"/>
      <c r="AIA92" s="202"/>
      <c r="AIB92" s="304"/>
      <c r="AIC92" s="152"/>
      <c r="AID92" s="130">
        <f>SUM(AHB92:AIC92)</f>
      </c>
      <c r="AIE92" s="134"/>
      <c r="AIF92" s="135"/>
      <c r="AIG92" s="295"/>
      <c r="AIH92" s="207"/>
      <c r="AII92" s="207"/>
      <c r="AIJ92" s="15">
        <v>0.5</v>
      </c>
      <c r="AIK92" s="15">
        <v>0.5</v>
      </c>
      <c r="AIL92" s="15">
        <v>0.5</v>
      </c>
      <c r="AIM92" s="212">
        <v>0.5</v>
      </c>
      <c r="AIN92" s="213">
        <v>0.5</v>
      </c>
      <c r="AIO92" s="296"/>
      <c r="AIP92" s="207"/>
      <c r="AIQ92" s="212">
        <v>0.5</v>
      </c>
      <c r="AIR92" s="297">
        <v>0.5</v>
      </c>
      <c r="AIS92" s="298">
        <v>0.5</v>
      </c>
      <c r="AIT92" s="212">
        <v>0.5</v>
      </c>
      <c r="AIU92" s="15">
        <v>0.5</v>
      </c>
      <c r="AIV92" s="15">
        <v>0.5</v>
      </c>
      <c r="AIW92" s="15">
        <v>0.5</v>
      </c>
      <c r="AIX92" s="15">
        <v>0.5</v>
      </c>
      <c r="AIY92" s="15">
        <v>0.5</v>
      </c>
      <c r="AIZ92" s="15">
        <v>0.5</v>
      </c>
      <c r="AJA92" s="15">
        <v>0.5</v>
      </c>
      <c r="AJB92" s="207"/>
      <c r="AJC92" s="207"/>
      <c r="AJD92" s="202"/>
      <c r="AJE92" s="304"/>
      <c r="AJF92" s="152"/>
      <c r="AJG92" s="130">
        <f>SUM(AIE92:AJF92)</f>
      </c>
      <c r="AJH92" s="134"/>
      <c r="AJI92" s="135"/>
      <c r="AJJ92" s="295"/>
      <c r="AJK92" s="207"/>
      <c r="AJL92" s="207"/>
      <c r="AJM92" s="15">
        <v>0.5</v>
      </c>
      <c r="AJN92" s="15">
        <v>0.5</v>
      </c>
      <c r="AJO92" s="15">
        <v>0.5</v>
      </c>
      <c r="AJP92" s="212">
        <v>0.5</v>
      </c>
      <c r="AJQ92" s="213">
        <v>0.5</v>
      </c>
      <c r="AJR92" s="296"/>
      <c r="AJS92" s="207"/>
      <c r="AJT92" s="212">
        <v>0.5</v>
      </c>
      <c r="AJU92" s="297">
        <v>0.5</v>
      </c>
      <c r="AJV92" s="298">
        <v>0.5</v>
      </c>
      <c r="AJW92" s="212">
        <v>0.5</v>
      </c>
      <c r="AJX92" s="15">
        <v>0.5</v>
      </c>
      <c r="AJY92" s="15">
        <v>0.5</v>
      </c>
      <c r="AJZ92" s="15">
        <v>0.5</v>
      </c>
      <c r="AKA92" s="15">
        <v>0.5</v>
      </c>
      <c r="AKB92" s="15">
        <v>0.5</v>
      </c>
      <c r="AKC92" s="15">
        <v>0.5</v>
      </c>
      <c r="AKD92" s="15">
        <v>0.5</v>
      </c>
      <c r="AKE92" s="207"/>
      <c r="AKF92" s="207"/>
      <c r="AKG92" s="202"/>
      <c r="AKH92" s="304"/>
      <c r="AKI92" s="152"/>
      <c r="AKJ92" s="130">
        <f>SUM(AJH92:AKI92)</f>
      </c>
      <c r="AKK92" s="121"/>
      <c r="AKL92" s="122"/>
      <c r="AKM92" s="292"/>
      <c r="AKN92" s="196"/>
      <c r="AKO92" s="196"/>
      <c r="AKP92" s="196"/>
      <c r="AKQ92" s="196"/>
      <c r="AKR92" s="196"/>
      <c r="AKS92" s="196"/>
      <c r="AKT92" s="195"/>
      <c r="AKU92" s="197"/>
      <c r="AKV92" s="196"/>
      <c r="AKW92" s="196"/>
      <c r="AKX92" s="198"/>
      <c r="AKY92" s="292"/>
      <c r="AKZ92" s="196"/>
      <c r="ALA92" s="196"/>
      <c r="ALB92" s="196"/>
      <c r="ALC92" s="196"/>
      <c r="ALD92" s="196"/>
      <c r="ALE92" s="196"/>
      <c r="ALF92" s="196"/>
      <c r="ALG92" s="196"/>
      <c r="ALH92" s="196"/>
      <c r="ALI92" s="196"/>
      <c r="ALJ92" s="195"/>
      <c r="ALK92" s="301"/>
      <c r="ALL92" s="151"/>
      <c r="ALM92" s="130">
        <f>SUM(AKK92:ALL92)</f>
      </c>
      <c r="ALN92" s="121"/>
      <c r="ALO92" s="122"/>
      <c r="ALP92" s="292"/>
      <c r="ALQ92" s="196"/>
      <c r="ALR92" s="196"/>
      <c r="ALS92" s="196"/>
      <c r="ALT92" s="196"/>
      <c r="ALU92" s="196"/>
      <c r="ALV92" s="196"/>
      <c r="ALW92" s="195"/>
      <c r="ALX92" s="197"/>
      <c r="ALY92" s="196"/>
      <c r="ALZ92" s="196"/>
      <c r="AMA92" s="198"/>
      <c r="AMB92" s="292"/>
      <c r="AMC92" s="196"/>
      <c r="AMD92" s="196"/>
      <c r="AME92" s="196"/>
      <c r="AMF92" s="196"/>
      <c r="AMG92" s="196"/>
      <c r="AMH92" s="196"/>
      <c r="AMI92" s="196"/>
      <c r="AMJ92" s="196"/>
      <c r="AMK92" s="196"/>
      <c r="AML92" s="196"/>
      <c r="AMM92" s="195"/>
      <c r="AMN92" s="301"/>
      <c r="AMO92" s="151"/>
      <c r="AMP92" s="130">
        <f>SUM(ALN92:AMO92)</f>
      </c>
      <c r="AMQ92" s="132">
        <f>AFX92+AHA92+AID92+AJG92+AKJ92+ALM92+AMP92</f>
      </c>
      <c r="AMR92" s="302">
        <f>(COUNTIF(AEV92:AMP92,"H")+COUNTIF(AEV92:AMP92,"S")+COUNTIF(AEV92:AMP92,"L")+COUNTIF(AEV92:AMP92,"E")+COUNTIF(AEV92:AMP92,"C"))/2</f>
      </c>
      <c r="AMS92" s="130">
        <f>AMQ92+AMR92</f>
      </c>
      <c r="AMT92" s="4"/>
      <c r="AMU92" s="4"/>
      <c r="AMV92" s="4"/>
      <c r="AMW92" s="4"/>
      <c r="AMX92" s="4"/>
      <c r="AMY92" s="4"/>
      <c r="AMZ92" s="4"/>
      <c r="ANA92" s="4"/>
      <c r="ANB92" s="4"/>
      <c r="ANC92" s="4"/>
      <c r="AND92" s="4"/>
      <c r="ANE92" s="4"/>
      <c r="ANF92" s="4"/>
      <c r="ANG92" s="4"/>
      <c r="ANH92" s="4"/>
      <c r="ANI92" s="4"/>
      <c r="ANJ92" s="13"/>
      <c r="ANK92" s="13"/>
      <c r="ANL92" s="4"/>
      <c r="ANM92" s="4"/>
      <c r="ANN92" s="4"/>
      <c r="ANO92" s="4"/>
      <c r="ANP92" s="4"/>
      <c r="ANQ92" s="4"/>
      <c r="ANR92" s="4"/>
      <c r="ANS92" s="4"/>
      <c r="ANT92" s="4"/>
      <c r="ANU92" s="4"/>
      <c r="ANV92" s="4"/>
      <c r="ANW92" s="4"/>
      <c r="ANX92" s="4"/>
      <c r="ANY92" s="4"/>
      <c r="ANZ92" s="4"/>
      <c r="AOA92" s="4"/>
      <c r="AOB92" s="4"/>
      <c r="AOC92" s="4"/>
      <c r="AOD92" s="4"/>
      <c r="AOE92" s="4"/>
      <c r="AOF92" s="4"/>
      <c r="AOG92" s="4"/>
      <c r="AOH92" s="4"/>
      <c r="AOI92" s="4"/>
      <c r="AOJ92" s="4"/>
      <c r="AOK92" s="4"/>
      <c r="AOL92" s="4"/>
      <c r="AOM92" s="4"/>
      <c r="AON92" s="4"/>
      <c r="AOO92" s="4"/>
      <c r="AOP92" s="4"/>
      <c r="AOQ92" s="4"/>
      <c r="AOR92" s="4"/>
      <c r="AOS92" s="4"/>
      <c r="AOT92" s="4"/>
      <c r="AOU92" s="4"/>
      <c r="AOV92" s="4"/>
      <c r="AOW92" s="4"/>
      <c r="AOX92" s="4"/>
      <c r="AOY92" s="4"/>
      <c r="AOZ92" s="4"/>
      <c r="APA92" s="4"/>
      <c r="APB92" s="4"/>
      <c r="APC92" s="4"/>
      <c r="APD92" s="4"/>
      <c r="APE92" s="4"/>
      <c r="APF92" s="4"/>
      <c r="APG92" s="4"/>
      <c r="APH92" s="4"/>
      <c r="API92" s="4"/>
      <c r="APJ92" s="4"/>
      <c r="APK92" s="4"/>
      <c r="APL92" s="4"/>
      <c r="APM92" s="4"/>
      <c r="APN92" s="4"/>
      <c r="APO92" s="4"/>
      <c r="APP92" s="4"/>
      <c r="APQ92" s="4"/>
      <c r="APR92" s="4"/>
      <c r="APS92" s="4"/>
      <c r="APT92" s="4"/>
      <c r="APU92" s="4"/>
      <c r="APV92" s="4"/>
      <c r="APW92" s="4"/>
      <c r="APX92" s="4"/>
      <c r="APY92" s="4"/>
      <c r="APZ92" s="4"/>
      <c r="AQA92" s="4"/>
      <c r="AQB92" s="4"/>
      <c r="AQC92" s="4"/>
      <c r="AQD92" s="4"/>
      <c r="AQE92" s="4"/>
      <c r="AQF92" s="4"/>
      <c r="AQG92" s="4"/>
      <c r="AQH92" s="4"/>
      <c r="AQI92" s="4"/>
      <c r="AQJ92" s="4"/>
      <c r="AQK92" s="4"/>
      <c r="AQL92" s="4"/>
      <c r="AQM92" s="4"/>
      <c r="AQN92" s="4"/>
      <c r="AQO92" s="4"/>
      <c r="AQP92" s="4"/>
      <c r="AQQ92" s="4"/>
      <c r="AQR92" s="4"/>
      <c r="AQS92" s="4"/>
      <c r="AQT92" s="4"/>
      <c r="AQU92" s="4"/>
      <c r="AQV92" s="4"/>
      <c r="AQW92" s="4"/>
      <c r="AQX92" s="4"/>
      <c r="AQY92" s="4"/>
      <c r="AQZ92" s="4"/>
      <c r="ARA92" s="4"/>
      <c r="ARB92" s="4"/>
      <c r="ARC92" s="4"/>
      <c r="ARD92" s="4"/>
      <c r="ARE92" s="4"/>
      <c r="ARF92" s="4"/>
      <c r="ARG92" s="4"/>
      <c r="ARH92" s="4"/>
      <c r="ARI92" s="4"/>
      <c r="ARJ92" s="4"/>
      <c r="ARK92" s="4"/>
      <c r="ARL92" s="4"/>
      <c r="ARM92" s="4"/>
      <c r="ARN92" s="4"/>
      <c r="ARO92" s="4"/>
      <c r="ARP92" s="4"/>
      <c r="ARQ92" s="4"/>
      <c r="ARR92" s="4"/>
      <c r="ARS92" s="4"/>
      <c r="ART92" s="4"/>
      <c r="ARU92" s="4"/>
      <c r="ARV92" s="4"/>
      <c r="ARW92" s="4"/>
      <c r="ARX92" s="4"/>
      <c r="ARY92" s="4"/>
      <c r="ARZ92" s="4"/>
      <c r="ASA92" s="4"/>
      <c r="ASB92" s="4"/>
      <c r="ASC92" s="4"/>
      <c r="ASD92" s="4"/>
      <c r="ASE92" s="4"/>
      <c r="ASF92" s="4"/>
      <c r="ASG92" s="4"/>
      <c r="ASH92" s="4"/>
      <c r="ASI92" s="4"/>
      <c r="ASJ92" s="4"/>
      <c r="ASK92" s="4"/>
      <c r="ASL92" s="4"/>
      <c r="ASM92" s="4"/>
      <c r="ASN92" s="4"/>
      <c r="ASO92" s="4"/>
      <c r="ASP92" s="4"/>
      <c r="ASQ92" s="4"/>
      <c r="ASR92" s="4"/>
      <c r="ASS92" s="4"/>
      <c r="AST92" s="4"/>
      <c r="ASU92" s="4"/>
    </row>
    <row r="93" ht="15" customHeight="1" spans="1:1191" x14ac:dyDescent="0.25">
      <c r="A93" s="118"/>
      <c r="B93" s="564" t="s">
        <v>131</v>
      </c>
      <c r="C93" s="321" t="s">
        <v>81</v>
      </c>
      <c r="D93" s="121"/>
      <c r="E93" s="122"/>
      <c r="F93" s="292"/>
      <c r="G93" s="196"/>
      <c r="H93" s="196"/>
      <c r="I93" s="196"/>
      <c r="J93" s="196"/>
      <c r="K93" s="196"/>
      <c r="L93" s="196"/>
      <c r="M93" s="195"/>
      <c r="N93" s="197"/>
      <c r="O93" s="196"/>
      <c r="P93" s="196"/>
      <c r="Q93" s="198"/>
      <c r="R93" s="292"/>
      <c r="S93" s="196"/>
      <c r="T93" s="196"/>
      <c r="U93" s="196"/>
      <c r="V93" s="196"/>
      <c r="W93" s="196"/>
      <c r="X93" s="196"/>
      <c r="Y93" s="196"/>
      <c r="Z93" s="196"/>
      <c r="AA93" s="196"/>
      <c r="AB93" s="196"/>
      <c r="AC93" s="195"/>
      <c r="AD93" s="301"/>
      <c r="AE93" s="151"/>
      <c r="AF93" s="130">
        <f>SUM(D93:AE93)</f>
      </c>
      <c r="AG93" s="121"/>
      <c r="AH93" s="122"/>
      <c r="AI93" s="292"/>
      <c r="AJ93" s="196"/>
      <c r="AK93" s="196"/>
      <c r="AL93" s="196"/>
      <c r="AM93" s="196"/>
      <c r="AN93" s="196"/>
      <c r="AO93" s="196"/>
      <c r="AP93" s="195"/>
      <c r="AQ93" s="197"/>
      <c r="AR93" s="196"/>
      <c r="AS93" s="196"/>
      <c r="AT93" s="198"/>
      <c r="AU93" s="292"/>
      <c r="AV93" s="196"/>
      <c r="AW93" s="196"/>
      <c r="AX93" s="196"/>
      <c r="AY93" s="196"/>
      <c r="AZ93" s="196"/>
      <c r="BA93" s="196"/>
      <c r="BB93" s="196"/>
      <c r="BC93" s="196"/>
      <c r="BD93" s="196"/>
      <c r="BE93" s="196"/>
      <c r="BF93" s="195"/>
      <c r="BG93" s="301"/>
      <c r="BH93" s="151"/>
      <c r="BI93" s="130">
        <f>SUM(AG93:BH93)</f>
      </c>
      <c r="BJ93" s="121"/>
      <c r="BK93" s="122"/>
      <c r="BL93" s="292"/>
      <c r="BM93" s="196"/>
      <c r="BN93" s="196"/>
      <c r="BO93" s="196"/>
      <c r="BP93" s="196"/>
      <c r="BQ93" s="196"/>
      <c r="BR93" s="196"/>
      <c r="BS93" s="195"/>
      <c r="BT93" s="197"/>
      <c r="BU93" s="196"/>
      <c r="BV93" s="196"/>
      <c r="BW93" s="198"/>
      <c r="BX93" s="292"/>
      <c r="BY93" s="196"/>
      <c r="BZ93" s="196"/>
      <c r="CA93" s="196"/>
      <c r="CB93" s="196"/>
      <c r="CC93" s="196"/>
      <c r="CD93" s="196"/>
      <c r="CE93" s="196"/>
      <c r="CF93" s="196"/>
      <c r="CG93" s="196"/>
      <c r="CH93" s="196"/>
      <c r="CI93" s="195"/>
      <c r="CJ93" s="301"/>
      <c r="CK93" s="151"/>
      <c r="CL93" s="130">
        <f>SUM(BJ93:CK93)</f>
      </c>
      <c r="CM93" s="121"/>
      <c r="CN93" s="122"/>
      <c r="CO93" s="292"/>
      <c r="CP93" s="196"/>
      <c r="CQ93" s="196"/>
      <c r="CR93" s="196"/>
      <c r="CS93" s="196"/>
      <c r="CT93" s="196"/>
      <c r="CU93" s="196"/>
      <c r="CV93" s="195"/>
      <c r="CW93" s="197"/>
      <c r="CX93" s="196"/>
      <c r="CY93" s="196"/>
      <c r="CZ93" s="198"/>
      <c r="DA93" s="292"/>
      <c r="DB93" s="196"/>
      <c r="DC93" s="196"/>
      <c r="DD93" s="196"/>
      <c r="DE93" s="196"/>
      <c r="DF93" s="196"/>
      <c r="DG93" s="196"/>
      <c r="DH93" s="196"/>
      <c r="DI93" s="196"/>
      <c r="DJ93" s="196"/>
      <c r="DK93" s="196"/>
      <c r="DL93" s="195"/>
      <c r="DM93" s="301"/>
      <c r="DN93" s="151"/>
      <c r="DO93" s="130">
        <f>SUM(CM93:DN93)</f>
      </c>
      <c r="DP93" s="121"/>
      <c r="DQ93" s="122"/>
      <c r="DR93" s="292"/>
      <c r="DS93" s="196"/>
      <c r="DT93" s="196"/>
      <c r="DU93" s="196"/>
      <c r="DV93" s="196"/>
      <c r="DW93" s="196"/>
      <c r="DX93" s="196"/>
      <c r="DY93" s="195"/>
      <c r="DZ93" s="197"/>
      <c r="EA93" s="196"/>
      <c r="EB93" s="196"/>
      <c r="EC93" s="198"/>
      <c r="ED93" s="292"/>
      <c r="EE93" s="196"/>
      <c r="EF93" s="196"/>
      <c r="EG93" s="196"/>
      <c r="EH93" s="196"/>
      <c r="EI93" s="196"/>
      <c r="EJ93" s="196"/>
      <c r="EK93" s="196"/>
      <c r="EL93" s="196"/>
      <c r="EM93" s="196"/>
      <c r="EN93" s="196"/>
      <c r="EO93" s="195"/>
      <c r="EP93" s="301"/>
      <c r="EQ93" s="151"/>
      <c r="ER93" s="130">
        <f>SUM(DP93:EQ93)</f>
      </c>
      <c r="ES93" s="121"/>
      <c r="ET93" s="122"/>
      <c r="EU93" s="292"/>
      <c r="EV93" s="196"/>
      <c r="EW93" s="196"/>
      <c r="EX93" s="196"/>
      <c r="EY93" s="196"/>
      <c r="EZ93" s="196"/>
      <c r="FA93" s="196"/>
      <c r="FB93" s="195"/>
      <c r="FC93" s="197"/>
      <c r="FD93" s="196"/>
      <c r="FE93" s="196"/>
      <c r="FF93" s="198"/>
      <c r="FG93" s="292"/>
      <c r="FH93" s="196"/>
      <c r="FI93" s="196"/>
      <c r="FJ93" s="196"/>
      <c r="FK93" s="196"/>
      <c r="FL93" s="196"/>
      <c r="FM93" s="196"/>
      <c r="FN93" s="196"/>
      <c r="FO93" s="196"/>
      <c r="FP93" s="196"/>
      <c r="FQ93" s="196"/>
      <c r="FR93" s="195"/>
      <c r="FS93" s="301"/>
      <c r="FT93" s="151"/>
      <c r="FU93" s="130">
        <f>SUM(ES93:FT93)</f>
      </c>
      <c r="FV93" s="121"/>
      <c r="FW93" s="122"/>
      <c r="FX93" s="292"/>
      <c r="FY93" s="196"/>
      <c r="FZ93" s="196"/>
      <c r="GA93" s="196"/>
      <c r="GB93" s="196"/>
      <c r="GC93" s="196"/>
      <c r="GD93" s="196"/>
      <c r="GE93" s="195"/>
      <c r="GF93" s="197"/>
      <c r="GG93" s="196"/>
      <c r="GH93" s="196"/>
      <c r="GI93" s="198"/>
      <c r="GJ93" s="292"/>
      <c r="GK93" s="196"/>
      <c r="GL93" s="196"/>
      <c r="GM93" s="196"/>
      <c r="GN93" s="196"/>
      <c r="GO93" s="196"/>
      <c r="GP93" s="196"/>
      <c r="GQ93" s="196"/>
      <c r="GR93" s="196"/>
      <c r="GS93" s="196"/>
      <c r="GT93" s="196"/>
      <c r="GU93" s="195"/>
      <c r="GV93" s="301"/>
      <c r="GW93" s="151"/>
      <c r="GX93" s="130">
        <f>SUM(FV93:GW93)</f>
      </c>
      <c r="GY93" s="150">
        <f>AF93+BI93+CL93+DO93+ER93+FU93+GX93</f>
      </c>
      <c r="GZ93" s="302">
        <f>(COUNTIF(D93:GX93,"H")+COUNTIF(D93:GX93,"S")+COUNTIF(D93:GX93,"L")+COUNTIF(D93:GX93,"E")+COUNTIF(D93:GX93,"C"))/2</f>
      </c>
      <c r="HA93" s="131">
        <f>GY93+GZ93</f>
      </c>
      <c r="HB93" s="134"/>
      <c r="HC93" s="135"/>
      <c r="HD93" s="295"/>
      <c r="HE93" s="207"/>
      <c r="HF93" s="207"/>
      <c r="HG93" s="15">
        <v>0.5</v>
      </c>
      <c r="HH93" s="15">
        <v>0.5</v>
      </c>
      <c r="HI93" s="15">
        <v>0.5</v>
      </c>
      <c r="HJ93" s="212">
        <v>0.5</v>
      </c>
      <c r="HK93" s="213">
        <v>0.5</v>
      </c>
      <c r="HL93" s="296"/>
      <c r="HM93" s="207"/>
      <c r="HN93" s="559">
        <v>0.5</v>
      </c>
      <c r="HO93" s="562">
        <v>0.5</v>
      </c>
      <c r="HP93" s="563">
        <v>0.5</v>
      </c>
      <c r="HQ93" s="559">
        <v>0.5</v>
      </c>
      <c r="HR93" s="559">
        <v>0.5</v>
      </c>
      <c r="HS93" s="559">
        <v>0.5</v>
      </c>
      <c r="HT93" s="559">
        <v>0.5</v>
      </c>
      <c r="HU93" s="559">
        <v>0.5</v>
      </c>
      <c r="HV93" s="559">
        <v>0.5</v>
      </c>
      <c r="HW93" s="559">
        <v>0.5</v>
      </c>
      <c r="HX93" s="559">
        <v>0.5</v>
      </c>
      <c r="HY93" s="207"/>
      <c r="HZ93" s="207"/>
      <c r="IA93" s="202"/>
      <c r="IB93" s="304"/>
      <c r="IC93" s="152"/>
      <c r="ID93" s="130">
        <f>SUM(HB93:IC93)</f>
      </c>
      <c r="IE93" s="134"/>
      <c r="IF93" s="135"/>
      <c r="IG93" s="295"/>
      <c r="IH93" s="207"/>
      <c r="II93" s="207"/>
      <c r="IJ93" s="15">
        <v>0.5</v>
      </c>
      <c r="IK93" s="15">
        <v>0.5</v>
      </c>
      <c r="IL93" s="15">
        <v>0.5</v>
      </c>
      <c r="IM93" s="212">
        <v>0.5</v>
      </c>
      <c r="IN93" s="213">
        <v>0.5</v>
      </c>
      <c r="IO93" s="296"/>
      <c r="IP93" s="207"/>
      <c r="IQ93" s="559">
        <v>0.5</v>
      </c>
      <c r="IR93" s="562">
        <v>0.5</v>
      </c>
      <c r="IS93" s="563">
        <v>0.5</v>
      </c>
      <c r="IT93" s="559">
        <v>0.5</v>
      </c>
      <c r="IU93" s="559">
        <v>0.5</v>
      </c>
      <c r="IV93" s="559">
        <v>0.5</v>
      </c>
      <c r="IW93" s="559">
        <v>0.5</v>
      </c>
      <c r="IX93" s="559">
        <v>0.5</v>
      </c>
      <c r="IY93" s="559">
        <v>0.5</v>
      </c>
      <c r="IZ93" s="559">
        <v>0.5</v>
      </c>
      <c r="JA93" s="559">
        <v>0.5</v>
      </c>
      <c r="JB93" s="207"/>
      <c r="JC93" s="207"/>
      <c r="JD93" s="202"/>
      <c r="JE93" s="304"/>
      <c r="JF93" s="152"/>
      <c r="JG93" s="130">
        <f>SUM(IE93:JF93)</f>
      </c>
      <c r="JH93" s="134"/>
      <c r="JI93" s="135"/>
      <c r="JJ93" s="295"/>
      <c r="JK93" s="207"/>
      <c r="JL93" s="207"/>
      <c r="JM93" s="15">
        <v>0.5</v>
      </c>
      <c r="JN93" s="15">
        <v>0.5</v>
      </c>
      <c r="JO93" s="15">
        <v>0.5</v>
      </c>
      <c r="JP93" s="212">
        <v>0.5</v>
      </c>
      <c r="JQ93" s="213">
        <v>0.5</v>
      </c>
      <c r="JR93" s="296"/>
      <c r="JS93" s="207"/>
      <c r="JT93" s="559">
        <v>0.5</v>
      </c>
      <c r="JU93" s="562">
        <v>0.5</v>
      </c>
      <c r="JV93" s="563">
        <v>0.5</v>
      </c>
      <c r="JW93" s="559">
        <v>0.5</v>
      </c>
      <c r="JX93" s="559">
        <v>0.5</v>
      </c>
      <c r="JY93" s="559">
        <v>0.5</v>
      </c>
      <c r="JZ93" s="559">
        <v>0.5</v>
      </c>
      <c r="KA93" s="559">
        <v>0.5</v>
      </c>
      <c r="KB93" s="559">
        <v>0.5</v>
      </c>
      <c r="KC93" s="559">
        <v>0.5</v>
      </c>
      <c r="KD93" s="559">
        <v>0.5</v>
      </c>
      <c r="KE93" s="207"/>
      <c r="KF93" s="207"/>
      <c r="KG93" s="202"/>
      <c r="KH93" s="304"/>
      <c r="KI93" s="152"/>
      <c r="KJ93" s="130">
        <f>SUM(JH93:KI93)</f>
      </c>
      <c r="KK93" s="134"/>
      <c r="KL93" s="135"/>
      <c r="KM93" s="295"/>
      <c r="KN93" s="207"/>
      <c r="KO93" s="207"/>
      <c r="KP93" s="15">
        <v>0.5</v>
      </c>
      <c r="KQ93" s="15">
        <v>0.5</v>
      </c>
      <c r="KR93" s="15">
        <v>0.5</v>
      </c>
      <c r="KS93" s="212">
        <v>0.5</v>
      </c>
      <c r="KT93" s="213">
        <v>0.5</v>
      </c>
      <c r="KU93" s="296"/>
      <c r="KV93" s="207"/>
      <c r="KW93" s="559">
        <v>0.5</v>
      </c>
      <c r="KX93" s="562">
        <v>0.5</v>
      </c>
      <c r="KY93" s="563">
        <v>0.5</v>
      </c>
      <c r="KZ93" s="559">
        <v>0.5</v>
      </c>
      <c r="LA93" s="559">
        <v>0.5</v>
      </c>
      <c r="LB93" s="559">
        <v>0.5</v>
      </c>
      <c r="LC93" s="559">
        <v>0.5</v>
      </c>
      <c r="LD93" s="559">
        <v>0.5</v>
      </c>
      <c r="LE93" s="559">
        <v>0.5</v>
      </c>
      <c r="LF93" s="559">
        <v>0.5</v>
      </c>
      <c r="LG93" s="559">
        <v>0.5</v>
      </c>
      <c r="LH93" s="207"/>
      <c r="LI93" s="207"/>
      <c r="LJ93" s="202"/>
      <c r="LK93" s="304"/>
      <c r="LL93" s="152"/>
      <c r="LM93" s="130">
        <f>SUM(KK93:LL93)</f>
      </c>
      <c r="LN93" s="134"/>
      <c r="LO93" s="135"/>
      <c r="LP93" s="295"/>
      <c r="LQ93" s="207"/>
      <c r="LR93" s="207"/>
      <c r="LS93" s="15">
        <v>0.5</v>
      </c>
      <c r="LT93" s="15">
        <v>0.5</v>
      </c>
      <c r="LU93" s="15">
        <v>0.5</v>
      </c>
      <c r="LV93" s="212">
        <v>0.5</v>
      </c>
      <c r="LW93" s="213">
        <v>0.5</v>
      </c>
      <c r="LX93" s="296"/>
      <c r="LY93" s="207"/>
      <c r="LZ93" s="559">
        <v>0.5</v>
      </c>
      <c r="MA93" s="297">
        <v>0.5</v>
      </c>
      <c r="MB93" s="298">
        <v>0.5</v>
      </c>
      <c r="MC93" s="212">
        <v>0.5</v>
      </c>
      <c r="MD93" s="212">
        <v>0.5</v>
      </c>
      <c r="ME93" s="212">
        <v>0.5</v>
      </c>
      <c r="MF93" s="212">
        <v>0.5</v>
      </c>
      <c r="MG93" s="212">
        <v>0.5</v>
      </c>
      <c r="MH93" s="212">
        <v>0.5</v>
      </c>
      <c r="MI93" s="212">
        <v>0.5</v>
      </c>
      <c r="MJ93" s="212">
        <v>0.5</v>
      </c>
      <c r="MK93" s="207"/>
      <c r="ML93" s="207"/>
      <c r="MM93" s="202"/>
      <c r="MN93" s="304"/>
      <c r="MO93" s="152"/>
      <c r="MP93" s="130">
        <f>SUM(LN93:MO93)</f>
      </c>
      <c r="MQ93" s="121"/>
      <c r="MR93" s="122"/>
      <c r="MS93" s="292"/>
      <c r="MT93" s="196"/>
      <c r="MU93" s="196"/>
      <c r="MV93" s="196"/>
      <c r="MW93" s="196"/>
      <c r="MX93" s="196"/>
      <c r="MY93" s="196"/>
      <c r="MZ93" s="195"/>
      <c r="NA93" s="197"/>
      <c r="NB93" s="196"/>
      <c r="NC93" s="196"/>
      <c r="ND93" s="198"/>
      <c r="NE93" s="292"/>
      <c r="NF93" s="196"/>
      <c r="NG93" s="196"/>
      <c r="NH93" s="196"/>
      <c r="NI93" s="196"/>
      <c r="NJ93" s="196"/>
      <c r="NK93" s="196"/>
      <c r="NL93" s="196"/>
      <c r="NM93" s="196"/>
      <c r="NN93" s="196"/>
      <c r="NO93" s="196"/>
      <c r="NP93" s="195"/>
      <c r="NQ93" s="301"/>
      <c r="NR93" s="151"/>
      <c r="NS93" s="130">
        <f>SUM(MQ93:NR93)</f>
      </c>
      <c r="NT93" s="121"/>
      <c r="NU93" s="122"/>
      <c r="NV93" s="292"/>
      <c r="NW93" s="196"/>
      <c r="NX93" s="196"/>
      <c r="NY93" s="196"/>
      <c r="NZ93" s="196"/>
      <c r="OA93" s="196"/>
      <c r="OB93" s="196"/>
      <c r="OC93" s="195"/>
      <c r="OD93" s="197"/>
      <c r="OE93" s="196"/>
      <c r="OF93" s="196"/>
      <c r="OG93" s="198"/>
      <c r="OH93" s="292"/>
      <c r="OI93" s="196"/>
      <c r="OJ93" s="196"/>
      <c r="OK93" s="196"/>
      <c r="OL93" s="196"/>
      <c r="OM93" s="196"/>
      <c r="ON93" s="196"/>
      <c r="OO93" s="196"/>
      <c r="OP93" s="196"/>
      <c r="OQ93" s="196"/>
      <c r="OR93" s="196"/>
      <c r="OS93" s="195"/>
      <c r="OT93" s="301"/>
      <c r="OU93" s="151"/>
      <c r="OV93" s="130">
        <f>SUM(NT93:OU93)</f>
      </c>
      <c r="OW93" s="132">
        <f>ID93+JG93+KJ93+LM93+MP93+NS93+OV93</f>
      </c>
      <c r="OX93" s="302">
        <f>(COUNTIF(HB93:OV93,"H")+COUNTIF(HB93:OV93,"S")+COUNTIF(HB93:OV93,"L")+COUNTIF(HB93:OV93,"E")+COUNTIF(HB93:OV93,"C"))/2</f>
      </c>
      <c r="OY93" s="130">
        <f>OW93+OX93</f>
      </c>
      <c r="OZ93" s="134"/>
      <c r="PA93" s="135"/>
      <c r="PB93" s="377">
        <v>0.5</v>
      </c>
      <c r="PC93" s="559">
        <v>0.5</v>
      </c>
      <c r="PD93" s="559">
        <v>0.5</v>
      </c>
      <c r="PE93" s="559">
        <v>0.5</v>
      </c>
      <c r="PF93" s="559">
        <v>0.5</v>
      </c>
      <c r="PG93" s="559">
        <v>0.5</v>
      </c>
      <c r="PH93" s="559">
        <v>0.5</v>
      </c>
      <c r="PI93" s="560">
        <v>0.5</v>
      </c>
      <c r="PJ93" s="561">
        <v>0.5</v>
      </c>
      <c r="PK93" s="559">
        <v>0.5</v>
      </c>
      <c r="PL93" s="207"/>
      <c r="PM93" s="208"/>
      <c r="PN93" s="298">
        <v>0.5</v>
      </c>
      <c r="PO93" s="212">
        <v>0.5</v>
      </c>
      <c r="PP93" s="15">
        <v>0.5</v>
      </c>
      <c r="PQ93" s="15">
        <v>0.5</v>
      </c>
      <c r="PR93" s="15">
        <v>0.5</v>
      </c>
      <c r="PS93" s="15">
        <v>0.5</v>
      </c>
      <c r="PT93" s="207"/>
      <c r="PU93" s="207"/>
      <c r="PV93" s="207"/>
      <c r="PW93" s="207"/>
      <c r="PX93" s="207"/>
      <c r="PY93" s="202"/>
      <c r="PZ93" s="304"/>
      <c r="QA93" s="152"/>
      <c r="QB93" s="130">
        <f>SUM(OZ93:QA93)</f>
      </c>
      <c r="QC93" s="134"/>
      <c r="QD93" s="135"/>
      <c r="QE93" s="377">
        <v>0.5</v>
      </c>
      <c r="QF93" s="559">
        <v>0.5</v>
      </c>
      <c r="QG93" s="559">
        <v>0.5</v>
      </c>
      <c r="QH93" s="559">
        <v>0.5</v>
      </c>
      <c r="QI93" s="559">
        <v>0.5</v>
      </c>
      <c r="QJ93" s="559">
        <v>0.5</v>
      </c>
      <c r="QK93" s="559">
        <v>0.5</v>
      </c>
      <c r="QL93" s="560">
        <v>0.5</v>
      </c>
      <c r="QM93" s="561">
        <v>0.5</v>
      </c>
      <c r="QN93" s="559">
        <v>0.5</v>
      </c>
      <c r="QO93" s="207"/>
      <c r="QP93" s="208"/>
      <c r="QQ93" s="298">
        <v>0.5</v>
      </c>
      <c r="QR93" s="212">
        <v>0.5</v>
      </c>
      <c r="QS93" s="15">
        <v>0.5</v>
      </c>
      <c r="QT93" s="15">
        <v>0.5</v>
      </c>
      <c r="QU93" s="15">
        <v>0.5</v>
      </c>
      <c r="QV93" s="15">
        <v>0.5</v>
      </c>
      <c r="QW93" s="207"/>
      <c r="QX93" s="207"/>
      <c r="QY93" s="207"/>
      <c r="QZ93" s="207"/>
      <c r="RA93" s="207"/>
      <c r="RB93" s="202"/>
      <c r="RC93" s="304"/>
      <c r="RD93" s="152"/>
      <c r="RE93" s="130">
        <f>SUM(QC93:RD93)</f>
      </c>
      <c r="RF93" s="134"/>
      <c r="RG93" s="135"/>
      <c r="RH93" s="377">
        <v>0.5</v>
      </c>
      <c r="RI93" s="559">
        <v>0.5</v>
      </c>
      <c r="RJ93" s="559">
        <v>0.5</v>
      </c>
      <c r="RK93" s="559">
        <v>0.5</v>
      </c>
      <c r="RL93" s="559">
        <v>0.5</v>
      </c>
      <c r="RM93" s="559">
        <v>0.5</v>
      </c>
      <c r="RN93" s="559">
        <v>0.5</v>
      </c>
      <c r="RO93" s="560">
        <v>0.5</v>
      </c>
      <c r="RP93" s="561">
        <v>0.5</v>
      </c>
      <c r="RQ93" s="559">
        <v>0.5</v>
      </c>
      <c r="RR93" s="207"/>
      <c r="RS93" s="208"/>
      <c r="RT93" s="298">
        <v>0.5</v>
      </c>
      <c r="RU93" s="212">
        <v>0.5</v>
      </c>
      <c r="RV93" s="15">
        <v>0.5</v>
      </c>
      <c r="RW93" s="15">
        <v>0.5</v>
      </c>
      <c r="RX93" s="15">
        <v>0.5</v>
      </c>
      <c r="RY93" s="15">
        <v>0.5</v>
      </c>
      <c r="RZ93" s="207"/>
      <c r="SA93" s="207"/>
      <c r="SB93" s="207"/>
      <c r="SC93" s="207"/>
      <c r="SD93" s="207"/>
      <c r="SE93" s="202"/>
      <c r="SF93" s="304"/>
      <c r="SG93" s="152"/>
      <c r="SH93" s="130">
        <f>SUM(RF93:SG93)</f>
      </c>
      <c r="SI93" s="134"/>
      <c r="SJ93" s="135"/>
      <c r="SK93" s="377">
        <v>0.5</v>
      </c>
      <c r="SL93" s="559">
        <v>0.5</v>
      </c>
      <c r="SM93" s="559">
        <v>0.5</v>
      </c>
      <c r="SN93" s="559">
        <v>0.5</v>
      </c>
      <c r="SO93" s="559">
        <v>0.5</v>
      </c>
      <c r="SP93" s="559">
        <v>0.5</v>
      </c>
      <c r="SQ93" s="559">
        <v>0.5</v>
      </c>
      <c r="SR93" s="560">
        <v>0.5</v>
      </c>
      <c r="SS93" s="561">
        <v>0.5</v>
      </c>
      <c r="ST93" s="559">
        <v>0.5</v>
      </c>
      <c r="SU93" s="207"/>
      <c r="SV93" s="208"/>
      <c r="SW93" s="298">
        <v>0.5</v>
      </c>
      <c r="SX93" s="212">
        <v>0.5</v>
      </c>
      <c r="SY93" s="15">
        <v>0.5</v>
      </c>
      <c r="SZ93" s="15">
        <v>0.5</v>
      </c>
      <c r="TA93" s="15">
        <v>0.5</v>
      </c>
      <c r="TB93" s="15">
        <v>0.5</v>
      </c>
      <c r="TC93" s="207"/>
      <c r="TD93" s="207"/>
      <c r="TE93" s="207"/>
      <c r="TF93" s="207"/>
      <c r="TG93" s="207"/>
      <c r="TH93" s="202"/>
      <c r="TI93" s="304"/>
      <c r="TJ93" s="152"/>
      <c r="TK93" s="130">
        <f>SUM(SI93:TJ93)</f>
      </c>
      <c r="TL93" s="134"/>
      <c r="TM93" s="135"/>
      <c r="TN93" s="377">
        <v>0.5</v>
      </c>
      <c r="TO93" s="559">
        <v>0.5</v>
      </c>
      <c r="TP93" s="559">
        <v>0.5</v>
      </c>
      <c r="TQ93" s="559">
        <v>0.5</v>
      </c>
      <c r="TR93" s="559">
        <v>0.5</v>
      </c>
      <c r="TS93" s="559">
        <v>0.5</v>
      </c>
      <c r="TT93" s="559">
        <v>0.5</v>
      </c>
      <c r="TU93" s="560">
        <v>0.5</v>
      </c>
      <c r="TV93" s="561">
        <v>0.5</v>
      </c>
      <c r="TW93" s="559">
        <v>0.5</v>
      </c>
      <c r="TX93" s="207"/>
      <c r="TY93" s="208"/>
      <c r="TZ93" s="298">
        <v>0.5</v>
      </c>
      <c r="UA93" s="212">
        <v>0.5</v>
      </c>
      <c r="UB93" s="15">
        <v>0.5</v>
      </c>
      <c r="UC93" s="15">
        <v>0.5</v>
      </c>
      <c r="UD93" s="15">
        <v>0.5</v>
      </c>
      <c r="UE93" s="15">
        <v>0.5</v>
      </c>
      <c r="UF93" s="207"/>
      <c r="UG93" s="207"/>
      <c r="UH93" s="207"/>
      <c r="UI93" s="207"/>
      <c r="UJ93" s="207"/>
      <c r="UK93" s="202"/>
      <c r="UL93" s="304"/>
      <c r="UM93" s="152"/>
      <c r="UN93" s="130">
        <f>SUM(TL93:UM93)</f>
      </c>
      <c r="UO93" s="121"/>
      <c r="UP93" s="122"/>
      <c r="UQ93" s="292"/>
      <c r="UR93" s="196"/>
      <c r="US93" s="196"/>
      <c r="UT93" s="196"/>
      <c r="UU93" s="196"/>
      <c r="UV93" s="196"/>
      <c r="UW93" s="196"/>
      <c r="UX93" s="195"/>
      <c r="UY93" s="197"/>
      <c r="UZ93" s="196"/>
      <c r="VA93" s="196"/>
      <c r="VB93" s="198"/>
      <c r="VC93" s="292"/>
      <c r="VD93" s="196"/>
      <c r="VE93" s="196"/>
      <c r="VF93" s="196"/>
      <c r="VG93" s="196"/>
      <c r="VH93" s="196"/>
      <c r="VI93" s="196"/>
      <c r="VJ93" s="196"/>
      <c r="VK93" s="196"/>
      <c r="VL93" s="196"/>
      <c r="VM93" s="196"/>
      <c r="VN93" s="195"/>
      <c r="VO93" s="301"/>
      <c r="VP93" s="151"/>
      <c r="VQ93" s="130">
        <f>SUM(UO93:VP93)</f>
      </c>
      <c r="VR93" s="121"/>
      <c r="VS93" s="122"/>
      <c r="VT93" s="292"/>
      <c r="VU93" s="196"/>
      <c r="VV93" s="196"/>
      <c r="VW93" s="196"/>
      <c r="VX93" s="196"/>
      <c r="VY93" s="196"/>
      <c r="VZ93" s="196"/>
      <c r="WA93" s="195"/>
      <c r="WB93" s="197"/>
      <c r="WC93" s="196"/>
      <c r="WD93" s="196"/>
      <c r="WE93" s="198"/>
      <c r="WF93" s="292"/>
      <c r="WG93" s="196"/>
      <c r="WH93" s="196"/>
      <c r="WI93" s="196"/>
      <c r="WJ93" s="196"/>
      <c r="WK93" s="196"/>
      <c r="WL93" s="196"/>
      <c r="WM93" s="196"/>
      <c r="WN93" s="196"/>
      <c r="WO93" s="196"/>
      <c r="WP93" s="196"/>
      <c r="WQ93" s="195"/>
      <c r="WR93" s="301"/>
      <c r="WS93" s="151"/>
      <c r="WT93" s="130">
        <f>SUM(VR93:WS93)</f>
      </c>
      <c r="WU93" s="132">
        <f>QB93+RE93+SH93+TK93+UN93+VQ93+WT93</f>
      </c>
      <c r="WV93" s="302">
        <f>(COUNTIF(OZ93:WT93,"H")+COUNTIF(OZ93:WT93,"S")+COUNTIF(OZ93:WT93,"L")+COUNTIF(OZ93:WT93,"E")+COUNTIF(OZ93:WT93,"C"))/2</f>
      </c>
      <c r="WW93" s="130">
        <f>WU93+WV93</f>
      </c>
      <c r="WX93" s="134"/>
      <c r="WY93" s="135"/>
      <c r="WZ93" s="295"/>
      <c r="XA93" s="207"/>
      <c r="XB93" s="207"/>
      <c r="XC93" s="15">
        <v>0.5</v>
      </c>
      <c r="XD93" s="15">
        <v>0.5</v>
      </c>
      <c r="XE93" s="15">
        <v>0.5</v>
      </c>
      <c r="XF93" s="212">
        <v>0.5</v>
      </c>
      <c r="XG93" s="213">
        <v>0.5</v>
      </c>
      <c r="XH93" s="296"/>
      <c r="XI93" s="207"/>
      <c r="XJ93" s="559">
        <v>0.5</v>
      </c>
      <c r="XK93" s="562">
        <v>0.5</v>
      </c>
      <c r="XL93" s="563">
        <v>0.5</v>
      </c>
      <c r="XM93" s="559">
        <v>0.5</v>
      </c>
      <c r="XN93" s="559">
        <v>0.5</v>
      </c>
      <c r="XO93" s="559">
        <v>0.5</v>
      </c>
      <c r="XP93" s="559">
        <v>0.5</v>
      </c>
      <c r="XQ93" s="559">
        <v>0.5</v>
      </c>
      <c r="XR93" s="559">
        <v>0.5</v>
      </c>
      <c r="XS93" s="559">
        <v>0.5</v>
      </c>
      <c r="XT93" s="559">
        <v>0.5</v>
      </c>
      <c r="XU93" s="207"/>
      <c r="XV93" s="207"/>
      <c r="XW93" s="202"/>
      <c r="XX93" s="304"/>
      <c r="XY93" s="152"/>
      <c r="XZ93" s="130">
        <f>SUM(WX93:XY93)</f>
      </c>
      <c r="YA93" s="134"/>
      <c r="YB93" s="135"/>
      <c r="YC93" s="295"/>
      <c r="YD93" s="207"/>
      <c r="YE93" s="207"/>
      <c r="YF93" s="15">
        <v>0.5</v>
      </c>
      <c r="YG93" s="15">
        <v>0.5</v>
      </c>
      <c r="YH93" s="15">
        <v>0.5</v>
      </c>
      <c r="YI93" s="212">
        <v>0.5</v>
      </c>
      <c r="YJ93" s="213">
        <v>0.5</v>
      </c>
      <c r="YK93" s="296"/>
      <c r="YL93" s="207"/>
      <c r="YM93" s="559">
        <v>0.5</v>
      </c>
      <c r="YN93" s="562">
        <v>0.5</v>
      </c>
      <c r="YO93" s="563">
        <v>0.5</v>
      </c>
      <c r="YP93" s="559">
        <v>0.5</v>
      </c>
      <c r="YQ93" s="559">
        <v>0.5</v>
      </c>
      <c r="YR93" s="559">
        <v>0.5</v>
      </c>
      <c r="YS93" s="559">
        <v>0.5</v>
      </c>
      <c r="YT93" s="559">
        <v>0.5</v>
      </c>
      <c r="YU93" s="559">
        <v>0.5</v>
      </c>
      <c r="YV93" s="559">
        <v>0.5</v>
      </c>
      <c r="YW93" s="559">
        <v>0.5</v>
      </c>
      <c r="YX93" s="207"/>
      <c r="YY93" s="207"/>
      <c r="YZ93" s="202"/>
      <c r="ZA93" s="304"/>
      <c r="ZB93" s="152"/>
      <c r="ZC93" s="130">
        <f>SUM(YA93:ZB93)</f>
      </c>
      <c r="ZD93" s="134"/>
      <c r="ZE93" s="135"/>
      <c r="ZF93" s="295"/>
      <c r="ZG93" s="207"/>
      <c r="ZH93" s="207"/>
      <c r="ZI93" s="15">
        <v>0.5</v>
      </c>
      <c r="ZJ93" s="15">
        <v>0.5</v>
      </c>
      <c r="ZK93" s="15">
        <v>0.5</v>
      </c>
      <c r="ZL93" s="212">
        <v>0.5</v>
      </c>
      <c r="ZM93" s="213">
        <v>0.5</v>
      </c>
      <c r="ZN93" s="296"/>
      <c r="ZO93" s="207"/>
      <c r="ZP93" s="559">
        <v>0.5</v>
      </c>
      <c r="ZQ93" s="562">
        <v>0.5</v>
      </c>
      <c r="ZR93" s="563">
        <v>0.5</v>
      </c>
      <c r="ZS93" s="559">
        <v>0.5</v>
      </c>
      <c r="ZT93" s="559">
        <v>0.5</v>
      </c>
      <c r="ZU93" s="559">
        <v>0.5</v>
      </c>
      <c r="ZV93" s="559">
        <v>0.5</v>
      </c>
      <c r="ZW93" s="559">
        <v>0.5</v>
      </c>
      <c r="ZX93" s="559">
        <v>0.5</v>
      </c>
      <c r="ZY93" s="559">
        <v>0.5</v>
      </c>
      <c r="ZZ93" s="559">
        <v>0.5</v>
      </c>
      <c r="AAA93" s="207"/>
      <c r="AAB93" s="207"/>
      <c r="AAC93" s="202"/>
      <c r="AAD93" s="304"/>
      <c r="AAE93" s="152"/>
      <c r="AAF93" s="130">
        <f>SUM(ZD93:AAE93)</f>
      </c>
      <c r="AAG93" s="134"/>
      <c r="AAH93" s="135"/>
      <c r="AAI93" s="295"/>
      <c r="AAJ93" s="207"/>
      <c r="AAK93" s="207"/>
      <c r="AAL93" s="15">
        <v>0.5</v>
      </c>
      <c r="AAM93" s="15">
        <v>0.5</v>
      </c>
      <c r="AAN93" s="15">
        <v>0.5</v>
      </c>
      <c r="AAO93" s="212">
        <v>0.5</v>
      </c>
      <c r="AAP93" s="213">
        <v>0.5</v>
      </c>
      <c r="AAQ93" s="296"/>
      <c r="AAR93" s="207"/>
      <c r="AAS93" s="559">
        <v>0.5</v>
      </c>
      <c r="AAT93" s="562">
        <v>0.5</v>
      </c>
      <c r="AAU93" s="563">
        <v>0.5</v>
      </c>
      <c r="AAV93" s="559">
        <v>0.5</v>
      </c>
      <c r="AAW93" s="559">
        <v>0.5</v>
      </c>
      <c r="AAX93" s="559">
        <v>0.5</v>
      </c>
      <c r="AAY93" s="559">
        <v>0.5</v>
      </c>
      <c r="AAZ93" s="559">
        <v>0.5</v>
      </c>
      <c r="ABA93" s="559">
        <v>0.5</v>
      </c>
      <c r="ABB93" s="559">
        <v>0.5</v>
      </c>
      <c r="ABC93" s="559">
        <v>0.5</v>
      </c>
      <c r="ABD93" s="207"/>
      <c r="ABE93" s="207"/>
      <c r="ABF93" s="202"/>
      <c r="ABG93" s="304"/>
      <c r="ABH93" s="152"/>
      <c r="ABI93" s="130">
        <f>SUM(AAG93:ABH93)</f>
      </c>
      <c r="ABJ93" s="134"/>
      <c r="ABK93" s="135"/>
      <c r="ABL93" s="295"/>
      <c r="ABM93" s="207"/>
      <c r="ABN93" s="207"/>
      <c r="ABO93" s="15">
        <v>0.5</v>
      </c>
      <c r="ABP93" s="15">
        <v>0.5</v>
      </c>
      <c r="ABQ93" s="15">
        <v>0.5</v>
      </c>
      <c r="ABR93" s="212">
        <v>0.5</v>
      </c>
      <c r="ABS93" s="213">
        <v>0.5</v>
      </c>
      <c r="ABT93" s="296"/>
      <c r="ABU93" s="207"/>
      <c r="ABV93" s="559">
        <v>0.5</v>
      </c>
      <c r="ABW93" s="297">
        <v>0.5</v>
      </c>
      <c r="ABX93" s="298">
        <v>0.5</v>
      </c>
      <c r="ABY93" s="212">
        <v>0.5</v>
      </c>
      <c r="ABZ93" s="212">
        <v>0.5</v>
      </c>
      <c r="ACA93" s="212">
        <v>0.5</v>
      </c>
      <c r="ACB93" s="212">
        <v>0.5</v>
      </c>
      <c r="ACC93" s="212">
        <v>0.5</v>
      </c>
      <c r="ACD93" s="212">
        <v>0.5</v>
      </c>
      <c r="ACE93" s="212">
        <v>0.5</v>
      </c>
      <c r="ACF93" s="212">
        <v>0.5</v>
      </c>
      <c r="ACG93" s="207"/>
      <c r="ACH93" s="207"/>
      <c r="ACI93" s="202"/>
      <c r="ACJ93" s="304"/>
      <c r="ACK93" s="152"/>
      <c r="ACL93" s="130">
        <f>SUM(ABJ93:ACK93)</f>
      </c>
      <c r="ACM93" s="121"/>
      <c r="ACN93" s="122"/>
      <c r="ACO93" s="292"/>
      <c r="ACP93" s="196"/>
      <c r="ACQ93" s="196"/>
      <c r="ACR93" s="196"/>
      <c r="ACS93" s="196"/>
      <c r="ACT93" s="196"/>
      <c r="ACU93" s="196"/>
      <c r="ACV93" s="195"/>
      <c r="ACW93" s="197"/>
      <c r="ACX93" s="196"/>
      <c r="ACY93" s="196"/>
      <c r="ACZ93" s="198"/>
      <c r="ADA93" s="292"/>
      <c r="ADB93" s="196"/>
      <c r="ADC93" s="196"/>
      <c r="ADD93" s="196"/>
      <c r="ADE93" s="196"/>
      <c r="ADF93" s="196"/>
      <c r="ADG93" s="196"/>
      <c r="ADH93" s="196"/>
      <c r="ADI93" s="196"/>
      <c r="ADJ93" s="196"/>
      <c r="ADK93" s="196"/>
      <c r="ADL93" s="195"/>
      <c r="ADM93" s="301"/>
      <c r="ADN93" s="151"/>
      <c r="ADO93" s="130">
        <f>SUM(ACM93:ADN93)</f>
      </c>
      <c r="ADP93" s="121"/>
      <c r="ADQ93" s="122"/>
      <c r="ADR93" s="292"/>
      <c r="ADS93" s="196"/>
      <c r="ADT93" s="196"/>
      <c r="ADU93" s="196"/>
      <c r="ADV93" s="196"/>
      <c r="ADW93" s="196"/>
      <c r="ADX93" s="196"/>
      <c r="ADY93" s="195"/>
      <c r="ADZ93" s="197"/>
      <c r="AEA93" s="196"/>
      <c r="AEB93" s="196"/>
      <c r="AEC93" s="198"/>
      <c r="AED93" s="292"/>
      <c r="AEE93" s="196"/>
      <c r="AEF93" s="196"/>
      <c r="AEG93" s="196"/>
      <c r="AEH93" s="196"/>
      <c r="AEI93" s="196"/>
      <c r="AEJ93" s="196"/>
      <c r="AEK93" s="196"/>
      <c r="AEL93" s="196"/>
      <c r="AEM93" s="196"/>
      <c r="AEN93" s="196"/>
      <c r="AEO93" s="195"/>
      <c r="AEP93" s="301"/>
      <c r="AEQ93" s="151"/>
      <c r="AER93" s="130">
        <f>SUM(ADP93:AEQ93)</f>
      </c>
      <c r="AES93" s="132">
        <f>XZ93+ZC93+AAF93+ABI93+ACL93+ADO93+AER93</f>
      </c>
      <c r="AET93" s="302">
        <f>(COUNTIF(WX93:AER93,"H")+COUNTIF(WX93:AER93,"S")+COUNTIF(WX93:AER93,"L")+COUNTIF(WX93:AER93,"E")+COUNTIF(WX93:AER93,"C"))/2</f>
      </c>
      <c r="AEU93" s="130">
        <f>AES93+AET93</f>
      </c>
      <c r="AEV93" s="134"/>
      <c r="AEW93" s="135"/>
      <c r="AEX93" s="377">
        <v>0.5</v>
      </c>
      <c r="AEY93" s="15">
        <v>0.5</v>
      </c>
      <c r="AEZ93" s="15">
        <v>0.5</v>
      </c>
      <c r="AFA93" s="15">
        <v>0.5</v>
      </c>
      <c r="AFB93" s="15">
        <v>0.5</v>
      </c>
      <c r="AFC93" s="15">
        <v>0.5</v>
      </c>
      <c r="AFD93" s="212">
        <v>0.5</v>
      </c>
      <c r="AFE93" s="213">
        <v>0.5</v>
      </c>
      <c r="AFF93" s="214">
        <v>0.5</v>
      </c>
      <c r="AFG93" s="212">
        <v>0.5</v>
      </c>
      <c r="AFH93" s="207"/>
      <c r="AFI93" s="208"/>
      <c r="AFJ93" s="298">
        <v>0.5</v>
      </c>
      <c r="AFK93" s="212">
        <v>0.5</v>
      </c>
      <c r="AFL93" s="15">
        <v>0.5</v>
      </c>
      <c r="AFM93" s="15">
        <v>0.5</v>
      </c>
      <c r="AFN93" s="15">
        <v>0.5</v>
      </c>
      <c r="AFO93" s="15">
        <v>0.5</v>
      </c>
      <c r="AFP93" s="207"/>
      <c r="AFQ93" s="207"/>
      <c r="AFR93" s="207"/>
      <c r="AFS93" s="207"/>
      <c r="AFT93" s="207"/>
      <c r="AFU93" s="202"/>
      <c r="AFV93" s="304"/>
      <c r="AFW93" s="152"/>
      <c r="AFX93" s="130">
        <f>SUM(AEV93:AFW93)</f>
      </c>
      <c r="AFY93" s="134"/>
      <c r="AFZ93" s="135"/>
      <c r="AGA93" s="377">
        <v>0.5</v>
      </c>
      <c r="AGB93" s="15">
        <v>0.5</v>
      </c>
      <c r="AGC93" s="15">
        <v>0.5</v>
      </c>
      <c r="AGD93" s="15">
        <v>0.5</v>
      </c>
      <c r="AGE93" s="15">
        <v>0.5</v>
      </c>
      <c r="AGF93" s="15">
        <v>0.5</v>
      </c>
      <c r="AGG93" s="212">
        <v>0.5</v>
      </c>
      <c r="AGH93" s="213">
        <v>0.5</v>
      </c>
      <c r="AGI93" s="214">
        <v>0.5</v>
      </c>
      <c r="AGJ93" s="212">
        <v>0.5</v>
      </c>
      <c r="AGK93" s="207"/>
      <c r="AGL93" s="208"/>
      <c r="AGM93" s="298">
        <v>0.5</v>
      </c>
      <c r="AGN93" s="212">
        <v>0.5</v>
      </c>
      <c r="AGO93" s="15">
        <v>0.5</v>
      </c>
      <c r="AGP93" s="15">
        <v>0.5</v>
      </c>
      <c r="AGQ93" s="15">
        <v>0.5</v>
      </c>
      <c r="AGR93" s="15">
        <v>0.5</v>
      </c>
      <c r="AGS93" s="207"/>
      <c r="AGT93" s="207"/>
      <c r="AGU93" s="207"/>
      <c r="AGV93" s="207"/>
      <c r="AGW93" s="207"/>
      <c r="AGX93" s="202"/>
      <c r="AGY93" s="304"/>
      <c r="AGZ93" s="152"/>
      <c r="AHA93" s="130">
        <f>SUM(AFY93:AGZ93)</f>
      </c>
      <c r="AHB93" s="134"/>
      <c r="AHC93" s="135"/>
      <c r="AHD93" s="377">
        <v>0.5</v>
      </c>
      <c r="AHE93" s="15">
        <v>0.5</v>
      </c>
      <c r="AHF93" s="15">
        <v>0.5</v>
      </c>
      <c r="AHG93" s="15">
        <v>0.5</v>
      </c>
      <c r="AHH93" s="15">
        <v>0.5</v>
      </c>
      <c r="AHI93" s="15">
        <v>0.5</v>
      </c>
      <c r="AHJ93" s="212">
        <v>0.5</v>
      </c>
      <c r="AHK93" s="213">
        <v>0.5</v>
      </c>
      <c r="AHL93" s="214">
        <v>0.5</v>
      </c>
      <c r="AHM93" s="212">
        <v>0.5</v>
      </c>
      <c r="AHN93" s="207"/>
      <c r="AHO93" s="208"/>
      <c r="AHP93" s="298">
        <v>0.5</v>
      </c>
      <c r="AHQ93" s="212">
        <v>0.5</v>
      </c>
      <c r="AHR93" s="15">
        <v>0.5</v>
      </c>
      <c r="AHS93" s="15">
        <v>0.5</v>
      </c>
      <c r="AHT93" s="15">
        <v>0.5</v>
      </c>
      <c r="AHU93" s="15">
        <v>0.5</v>
      </c>
      <c r="AHV93" s="207"/>
      <c r="AHW93" s="207"/>
      <c r="AHX93" s="207"/>
      <c r="AHY93" s="207"/>
      <c r="AHZ93" s="207"/>
      <c r="AIA93" s="202"/>
      <c r="AIB93" s="304"/>
      <c r="AIC93" s="152"/>
      <c r="AID93" s="130">
        <f>SUM(AHB93:AIC93)</f>
      </c>
      <c r="AIE93" s="134"/>
      <c r="AIF93" s="135"/>
      <c r="AIG93" s="377">
        <v>0.5</v>
      </c>
      <c r="AIH93" s="15">
        <v>0.5</v>
      </c>
      <c r="AII93" s="15">
        <v>0.5</v>
      </c>
      <c r="AIJ93" s="15">
        <v>0.5</v>
      </c>
      <c r="AIK93" s="15">
        <v>0.5</v>
      </c>
      <c r="AIL93" s="15">
        <v>0.5</v>
      </c>
      <c r="AIM93" s="212">
        <v>0.5</v>
      </c>
      <c r="AIN93" s="213">
        <v>0.5</v>
      </c>
      <c r="AIO93" s="214">
        <v>0.5</v>
      </c>
      <c r="AIP93" s="212">
        <v>0.5</v>
      </c>
      <c r="AIQ93" s="207"/>
      <c r="AIR93" s="208"/>
      <c r="AIS93" s="298">
        <v>0.5</v>
      </c>
      <c r="AIT93" s="212">
        <v>0.5</v>
      </c>
      <c r="AIU93" s="15">
        <v>0.5</v>
      </c>
      <c r="AIV93" s="15">
        <v>0.5</v>
      </c>
      <c r="AIW93" s="15">
        <v>0.5</v>
      </c>
      <c r="AIX93" s="15">
        <v>0.5</v>
      </c>
      <c r="AIY93" s="207"/>
      <c r="AIZ93" s="207"/>
      <c r="AJA93" s="207"/>
      <c r="AJB93" s="207"/>
      <c r="AJC93" s="207"/>
      <c r="AJD93" s="202"/>
      <c r="AJE93" s="304"/>
      <c r="AJF93" s="152"/>
      <c r="AJG93" s="130">
        <f>SUM(AIE93:AJF93)</f>
      </c>
      <c r="AJH93" s="134"/>
      <c r="AJI93" s="135"/>
      <c r="AJJ93" s="377">
        <v>0.5</v>
      </c>
      <c r="AJK93" s="15">
        <v>0.5</v>
      </c>
      <c r="AJL93" s="15">
        <v>0.5</v>
      </c>
      <c r="AJM93" s="15">
        <v>0.5</v>
      </c>
      <c r="AJN93" s="15">
        <v>0.5</v>
      </c>
      <c r="AJO93" s="15">
        <v>0.5</v>
      </c>
      <c r="AJP93" s="212">
        <v>0.5</v>
      </c>
      <c r="AJQ93" s="213">
        <v>0.5</v>
      </c>
      <c r="AJR93" s="214">
        <v>0.5</v>
      </c>
      <c r="AJS93" s="212">
        <v>0.5</v>
      </c>
      <c r="AJT93" s="207"/>
      <c r="AJU93" s="208"/>
      <c r="AJV93" s="298">
        <v>0.5</v>
      </c>
      <c r="AJW93" s="212">
        <v>0.5</v>
      </c>
      <c r="AJX93" s="15">
        <v>0.5</v>
      </c>
      <c r="AJY93" s="15">
        <v>0.5</v>
      </c>
      <c r="AJZ93" s="15">
        <v>0.5</v>
      </c>
      <c r="AKA93" s="15">
        <v>0.5</v>
      </c>
      <c r="AKB93" s="207"/>
      <c r="AKC93" s="207"/>
      <c r="AKD93" s="207"/>
      <c r="AKE93" s="207"/>
      <c r="AKF93" s="207"/>
      <c r="AKG93" s="202"/>
      <c r="AKH93" s="304"/>
      <c r="AKI93" s="152"/>
      <c r="AKJ93" s="130">
        <f>SUM(AJH93:AKI93)</f>
      </c>
      <c r="AKK93" s="121"/>
      <c r="AKL93" s="122"/>
      <c r="AKM93" s="292"/>
      <c r="AKN93" s="196"/>
      <c r="AKO93" s="196"/>
      <c r="AKP93" s="196"/>
      <c r="AKQ93" s="196"/>
      <c r="AKR93" s="196"/>
      <c r="AKS93" s="196"/>
      <c r="AKT93" s="195"/>
      <c r="AKU93" s="197"/>
      <c r="AKV93" s="196"/>
      <c r="AKW93" s="196"/>
      <c r="AKX93" s="198"/>
      <c r="AKY93" s="292"/>
      <c r="AKZ93" s="196"/>
      <c r="ALA93" s="196"/>
      <c r="ALB93" s="196"/>
      <c r="ALC93" s="196"/>
      <c r="ALD93" s="196"/>
      <c r="ALE93" s="196"/>
      <c r="ALF93" s="196"/>
      <c r="ALG93" s="196"/>
      <c r="ALH93" s="196"/>
      <c r="ALI93" s="196"/>
      <c r="ALJ93" s="195"/>
      <c r="ALK93" s="301"/>
      <c r="ALL93" s="151"/>
      <c r="ALM93" s="130">
        <f>SUM(AKK93:ALL93)</f>
      </c>
      <c r="ALN93" s="121"/>
      <c r="ALO93" s="122"/>
      <c r="ALP93" s="292"/>
      <c r="ALQ93" s="196"/>
      <c r="ALR93" s="196"/>
      <c r="ALS93" s="196"/>
      <c r="ALT93" s="196"/>
      <c r="ALU93" s="196"/>
      <c r="ALV93" s="196"/>
      <c r="ALW93" s="195"/>
      <c r="ALX93" s="197"/>
      <c r="ALY93" s="196"/>
      <c r="ALZ93" s="196"/>
      <c r="AMA93" s="198"/>
      <c r="AMB93" s="292"/>
      <c r="AMC93" s="196"/>
      <c r="AMD93" s="196"/>
      <c r="AME93" s="196"/>
      <c r="AMF93" s="196"/>
      <c r="AMG93" s="196"/>
      <c r="AMH93" s="196"/>
      <c r="AMI93" s="196"/>
      <c r="AMJ93" s="196"/>
      <c r="AMK93" s="196"/>
      <c r="AML93" s="196"/>
      <c r="AMM93" s="195"/>
      <c r="AMN93" s="301"/>
      <c r="AMO93" s="151"/>
      <c r="AMP93" s="130">
        <f>SUM(ALN93:AMO93)</f>
      </c>
      <c r="AMQ93" s="132">
        <f>AFX93+AHA93+AID93+AJG93+AKJ93+ALM93+AMP93</f>
      </c>
      <c r="AMR93" s="302">
        <f>(COUNTIF(AEV93:AMP93,"H")+COUNTIF(AEV93:AMP93,"S")+COUNTIF(AEV93:AMP93,"L")+COUNTIF(AEV93:AMP93,"E")+COUNTIF(AEV93:AMP93,"C"))/2</f>
      </c>
      <c r="AMS93" s="130">
        <f>AMQ93+AMR93</f>
      </c>
      <c r="AMT93" s="4"/>
      <c r="AMU93" s="4"/>
      <c r="AMV93" s="4"/>
      <c r="AMW93" s="4"/>
      <c r="AMX93" s="4"/>
      <c r="AMY93" s="4"/>
      <c r="AMZ93" s="4"/>
      <c r="ANA93" s="4"/>
      <c r="ANB93" s="4"/>
      <c r="ANC93" s="4"/>
      <c r="AND93" s="4"/>
      <c r="ANE93" s="4"/>
      <c r="ANF93" s="4"/>
      <c r="ANG93" s="4"/>
      <c r="ANH93" s="4"/>
      <c r="ANI93" s="4"/>
      <c r="ANJ93" s="13"/>
      <c r="ANK93" s="13"/>
      <c r="ANL93" s="4"/>
      <c r="ANM93" s="4"/>
      <c r="ANN93" s="4"/>
      <c r="ANO93" s="4"/>
      <c r="ANP93" s="4"/>
      <c r="ANQ93" s="4"/>
      <c r="ANR93" s="4"/>
      <c r="ANS93" s="4"/>
      <c r="ANT93" s="4"/>
      <c r="ANU93" s="4"/>
      <c r="ANV93" s="4"/>
      <c r="ANW93" s="4"/>
      <c r="ANX93" s="4"/>
      <c r="ANY93" s="4"/>
      <c r="ANZ93" s="4"/>
      <c r="AOA93" s="4"/>
      <c r="AOB93" s="4"/>
      <c r="AOC93" s="4"/>
      <c r="AOD93" s="4"/>
      <c r="AOE93" s="4"/>
      <c r="AOF93" s="4"/>
      <c r="AOG93" s="4"/>
      <c r="AOH93" s="4"/>
      <c r="AOI93" s="4"/>
      <c r="AOJ93" s="4"/>
      <c r="AOK93" s="4"/>
      <c r="AOL93" s="4"/>
      <c r="AOM93" s="4"/>
      <c r="AON93" s="4"/>
      <c r="AOO93" s="4"/>
      <c r="AOP93" s="4"/>
      <c r="AOQ93" s="4"/>
      <c r="AOR93" s="4"/>
      <c r="AOS93" s="4"/>
      <c r="AOT93" s="4"/>
      <c r="AOU93" s="4"/>
      <c r="AOV93" s="4"/>
      <c r="AOW93" s="4"/>
      <c r="AOX93" s="4"/>
      <c r="AOY93" s="4"/>
      <c r="AOZ93" s="4"/>
      <c r="APA93" s="4"/>
      <c r="APB93" s="4"/>
      <c r="APC93" s="4"/>
      <c r="APD93" s="4"/>
      <c r="APE93" s="4"/>
      <c r="APF93" s="4"/>
      <c r="APG93" s="4"/>
      <c r="APH93" s="4"/>
      <c r="API93" s="4"/>
      <c r="APJ93" s="4"/>
      <c r="APK93" s="4"/>
      <c r="APL93" s="4"/>
      <c r="APM93" s="4"/>
      <c r="APN93" s="4"/>
      <c r="APO93" s="4"/>
      <c r="APP93" s="4"/>
      <c r="APQ93" s="4"/>
      <c r="APR93" s="4"/>
      <c r="APS93" s="4"/>
      <c r="APT93" s="4"/>
      <c r="APU93" s="4"/>
      <c r="APV93" s="4"/>
      <c r="APW93" s="4"/>
      <c r="APX93" s="4"/>
      <c r="APY93" s="4"/>
      <c r="APZ93" s="4"/>
      <c r="AQA93" s="4"/>
      <c r="AQB93" s="4"/>
      <c r="AQC93" s="4"/>
      <c r="AQD93" s="4"/>
      <c r="AQE93" s="4"/>
      <c r="AQF93" s="4"/>
      <c r="AQG93" s="4"/>
      <c r="AQH93" s="4"/>
      <c r="AQI93" s="4"/>
      <c r="AQJ93" s="4"/>
      <c r="AQK93" s="4"/>
      <c r="AQL93" s="4"/>
      <c r="AQM93" s="4"/>
      <c r="AQN93" s="4"/>
      <c r="AQO93" s="4"/>
      <c r="AQP93" s="4"/>
      <c r="AQQ93" s="4"/>
      <c r="AQR93" s="4"/>
      <c r="AQS93" s="4"/>
      <c r="AQT93" s="4"/>
      <c r="AQU93" s="4"/>
      <c r="AQV93" s="4"/>
      <c r="AQW93" s="4"/>
      <c r="AQX93" s="4"/>
      <c r="AQY93" s="4"/>
      <c r="AQZ93" s="4"/>
      <c r="ARA93" s="4"/>
      <c r="ARB93" s="4"/>
      <c r="ARC93" s="4"/>
      <c r="ARD93" s="4"/>
      <c r="ARE93" s="4"/>
      <c r="ARF93" s="4"/>
      <c r="ARG93" s="4"/>
      <c r="ARH93" s="4"/>
      <c r="ARI93" s="4"/>
      <c r="ARJ93" s="4"/>
      <c r="ARK93" s="4"/>
      <c r="ARL93" s="4"/>
      <c r="ARM93" s="4"/>
      <c r="ARN93" s="4"/>
      <c r="ARO93" s="4"/>
      <c r="ARP93" s="4"/>
      <c r="ARQ93" s="4"/>
      <c r="ARR93" s="4"/>
      <c r="ARS93" s="4"/>
      <c r="ART93" s="4"/>
      <c r="ARU93" s="4"/>
      <c r="ARV93" s="4"/>
      <c r="ARW93" s="4"/>
      <c r="ARX93" s="4"/>
      <c r="ARY93" s="4"/>
      <c r="ARZ93" s="4"/>
      <c r="ASA93" s="4"/>
      <c r="ASB93" s="4"/>
      <c r="ASC93" s="4"/>
      <c r="ASD93" s="4"/>
      <c r="ASE93" s="4"/>
      <c r="ASF93" s="4"/>
      <c r="ASG93" s="4"/>
      <c r="ASH93" s="4"/>
      <c r="ASI93" s="4"/>
      <c r="ASJ93" s="4"/>
      <c r="ASK93" s="4"/>
      <c r="ASL93" s="4"/>
      <c r="ASM93" s="4"/>
      <c r="ASN93" s="4"/>
      <c r="ASO93" s="4"/>
      <c r="ASP93" s="4"/>
      <c r="ASQ93" s="4"/>
      <c r="ASR93" s="4"/>
      <c r="ASS93" s="4"/>
      <c r="AST93" s="4"/>
      <c r="ASU93" s="4"/>
    </row>
    <row r="94" ht="15" customHeight="1" spans="1:1191" x14ac:dyDescent="0.25">
      <c r="A94" s="118"/>
      <c r="B94" s="564" t="s">
        <v>132</v>
      </c>
      <c r="C94" s="321" t="s">
        <v>81</v>
      </c>
      <c r="D94" s="121"/>
      <c r="E94" s="122"/>
      <c r="F94" s="292"/>
      <c r="G94" s="196"/>
      <c r="H94" s="196"/>
      <c r="I94" s="196"/>
      <c r="J94" s="196"/>
      <c r="K94" s="196"/>
      <c r="L94" s="196"/>
      <c r="M94" s="195"/>
      <c r="N94" s="197"/>
      <c r="O94" s="196"/>
      <c r="P94" s="196"/>
      <c r="Q94" s="198"/>
      <c r="R94" s="292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5"/>
      <c r="AD94" s="301"/>
      <c r="AE94" s="151"/>
      <c r="AF94" s="130">
        <f>SUM(D94:AE94)</f>
      </c>
      <c r="AG94" s="121"/>
      <c r="AH94" s="122"/>
      <c r="AI94" s="292"/>
      <c r="AJ94" s="196"/>
      <c r="AK94" s="196"/>
      <c r="AL94" s="196"/>
      <c r="AM94" s="196"/>
      <c r="AN94" s="196"/>
      <c r="AO94" s="196"/>
      <c r="AP94" s="195"/>
      <c r="AQ94" s="197"/>
      <c r="AR94" s="196"/>
      <c r="AS94" s="196"/>
      <c r="AT94" s="198"/>
      <c r="AU94" s="292"/>
      <c r="AV94" s="196"/>
      <c r="AW94" s="196"/>
      <c r="AX94" s="196"/>
      <c r="AY94" s="196"/>
      <c r="AZ94" s="196"/>
      <c r="BA94" s="196"/>
      <c r="BB94" s="196"/>
      <c r="BC94" s="196"/>
      <c r="BD94" s="196"/>
      <c r="BE94" s="196"/>
      <c r="BF94" s="195"/>
      <c r="BG94" s="301"/>
      <c r="BH94" s="151"/>
      <c r="BI94" s="130">
        <f>SUM(AG94:BH94)</f>
      </c>
      <c r="BJ94" s="121"/>
      <c r="BK94" s="122"/>
      <c r="BL94" s="292"/>
      <c r="BM94" s="196"/>
      <c r="BN94" s="196"/>
      <c r="BO94" s="196"/>
      <c r="BP94" s="196"/>
      <c r="BQ94" s="196"/>
      <c r="BR94" s="196"/>
      <c r="BS94" s="195"/>
      <c r="BT94" s="197"/>
      <c r="BU94" s="196"/>
      <c r="BV94" s="196"/>
      <c r="BW94" s="198"/>
      <c r="BX94" s="292"/>
      <c r="BY94" s="196"/>
      <c r="BZ94" s="196"/>
      <c r="CA94" s="196"/>
      <c r="CB94" s="196"/>
      <c r="CC94" s="196"/>
      <c r="CD94" s="196"/>
      <c r="CE94" s="196"/>
      <c r="CF94" s="196"/>
      <c r="CG94" s="196"/>
      <c r="CH94" s="196"/>
      <c r="CI94" s="195"/>
      <c r="CJ94" s="301"/>
      <c r="CK94" s="151"/>
      <c r="CL94" s="130">
        <f>SUM(BJ94:CK94)</f>
      </c>
      <c r="CM94" s="121"/>
      <c r="CN94" s="122"/>
      <c r="CO94" s="292"/>
      <c r="CP94" s="196"/>
      <c r="CQ94" s="196"/>
      <c r="CR94" s="196"/>
      <c r="CS94" s="196"/>
      <c r="CT94" s="196"/>
      <c r="CU94" s="196"/>
      <c r="CV94" s="195"/>
      <c r="CW94" s="197"/>
      <c r="CX94" s="196"/>
      <c r="CY94" s="196"/>
      <c r="CZ94" s="198"/>
      <c r="DA94" s="292"/>
      <c r="DB94" s="196"/>
      <c r="DC94" s="196"/>
      <c r="DD94" s="196"/>
      <c r="DE94" s="196"/>
      <c r="DF94" s="196"/>
      <c r="DG94" s="196"/>
      <c r="DH94" s="196"/>
      <c r="DI94" s="196"/>
      <c r="DJ94" s="196"/>
      <c r="DK94" s="196"/>
      <c r="DL94" s="195"/>
      <c r="DM94" s="301"/>
      <c r="DN94" s="151"/>
      <c r="DO94" s="130">
        <f>SUM(CM94:DN94)</f>
      </c>
      <c r="DP94" s="121"/>
      <c r="DQ94" s="122"/>
      <c r="DR94" s="292"/>
      <c r="DS94" s="196"/>
      <c r="DT94" s="196"/>
      <c r="DU94" s="196"/>
      <c r="DV94" s="196"/>
      <c r="DW94" s="196"/>
      <c r="DX94" s="196"/>
      <c r="DY94" s="195"/>
      <c r="DZ94" s="197"/>
      <c r="EA94" s="196"/>
      <c r="EB94" s="196"/>
      <c r="EC94" s="198"/>
      <c r="ED94" s="292"/>
      <c r="EE94" s="196"/>
      <c r="EF94" s="196"/>
      <c r="EG94" s="196"/>
      <c r="EH94" s="196"/>
      <c r="EI94" s="196"/>
      <c r="EJ94" s="196"/>
      <c r="EK94" s="196"/>
      <c r="EL94" s="196"/>
      <c r="EM94" s="196"/>
      <c r="EN94" s="196"/>
      <c r="EO94" s="195"/>
      <c r="EP94" s="301"/>
      <c r="EQ94" s="151"/>
      <c r="ER94" s="130">
        <f>SUM(DP94:EQ94)</f>
      </c>
      <c r="ES94" s="121"/>
      <c r="ET94" s="122"/>
      <c r="EU94" s="292"/>
      <c r="EV94" s="196"/>
      <c r="EW94" s="196"/>
      <c r="EX94" s="196"/>
      <c r="EY94" s="196"/>
      <c r="EZ94" s="196"/>
      <c r="FA94" s="196"/>
      <c r="FB94" s="195"/>
      <c r="FC94" s="197"/>
      <c r="FD94" s="196"/>
      <c r="FE94" s="196"/>
      <c r="FF94" s="198"/>
      <c r="FG94" s="292"/>
      <c r="FH94" s="196"/>
      <c r="FI94" s="196"/>
      <c r="FJ94" s="196"/>
      <c r="FK94" s="196"/>
      <c r="FL94" s="196"/>
      <c r="FM94" s="196"/>
      <c r="FN94" s="196"/>
      <c r="FO94" s="196"/>
      <c r="FP94" s="196"/>
      <c r="FQ94" s="196"/>
      <c r="FR94" s="195"/>
      <c r="FS94" s="301"/>
      <c r="FT94" s="151"/>
      <c r="FU94" s="130">
        <f>SUM(ES94:FT94)</f>
      </c>
      <c r="FV94" s="121"/>
      <c r="FW94" s="122"/>
      <c r="FX94" s="292"/>
      <c r="FY94" s="196"/>
      <c r="FZ94" s="196"/>
      <c r="GA94" s="196"/>
      <c r="GB94" s="196"/>
      <c r="GC94" s="196"/>
      <c r="GD94" s="196"/>
      <c r="GE94" s="195"/>
      <c r="GF94" s="197"/>
      <c r="GG94" s="196"/>
      <c r="GH94" s="196"/>
      <c r="GI94" s="198"/>
      <c r="GJ94" s="292"/>
      <c r="GK94" s="196"/>
      <c r="GL94" s="196"/>
      <c r="GM94" s="196"/>
      <c r="GN94" s="196"/>
      <c r="GO94" s="196"/>
      <c r="GP94" s="196"/>
      <c r="GQ94" s="196"/>
      <c r="GR94" s="196"/>
      <c r="GS94" s="196"/>
      <c r="GT94" s="196"/>
      <c r="GU94" s="195"/>
      <c r="GV94" s="301"/>
      <c r="GW94" s="151"/>
      <c r="GX94" s="130">
        <f>SUM(FV94:GW94)</f>
      </c>
      <c r="GY94" s="150">
        <f>AF94+BI94+CL94+DO94+ER94+FU94+GX94</f>
      </c>
      <c r="GZ94" s="302">
        <f>(COUNTIF(D94:GX94,"H")+COUNTIF(D94:GX94,"S")+COUNTIF(D94:GX94,"L")+COUNTIF(D94:GX94,"E")+COUNTIF(D94:GX94,"C"))/2</f>
      </c>
      <c r="HA94" s="131">
        <f>GY94+GZ94</f>
      </c>
      <c r="HB94" s="134"/>
      <c r="HC94" s="135"/>
      <c r="HD94" s="295"/>
      <c r="HE94" s="207"/>
      <c r="HF94" s="207"/>
      <c r="HG94" s="15">
        <v>0.5</v>
      </c>
      <c r="HH94" s="15">
        <v>0.5</v>
      </c>
      <c r="HI94" s="15">
        <v>0.5</v>
      </c>
      <c r="HJ94" s="212">
        <v>0.5</v>
      </c>
      <c r="HK94" s="213">
        <v>0.5</v>
      </c>
      <c r="HL94" s="296"/>
      <c r="HM94" s="207"/>
      <c r="HN94" s="212">
        <v>0.5</v>
      </c>
      <c r="HO94" s="297">
        <v>0.5</v>
      </c>
      <c r="HP94" s="298">
        <v>0.5</v>
      </c>
      <c r="HQ94" s="212">
        <v>0.5</v>
      </c>
      <c r="HR94" s="15">
        <v>0.5</v>
      </c>
      <c r="HS94" s="15">
        <v>0.5</v>
      </c>
      <c r="HT94" s="15">
        <v>0.5</v>
      </c>
      <c r="HU94" s="15">
        <v>0.5</v>
      </c>
      <c r="HV94" s="15">
        <v>0.5</v>
      </c>
      <c r="HW94" s="15">
        <v>0.5</v>
      </c>
      <c r="HX94" s="15">
        <v>0.5</v>
      </c>
      <c r="HY94" s="207"/>
      <c r="HZ94" s="207"/>
      <c r="IA94" s="202"/>
      <c r="IB94" s="304"/>
      <c r="IC94" s="152"/>
      <c r="ID94" s="130">
        <f>SUM(HB94:IC94)</f>
      </c>
      <c r="IE94" s="134"/>
      <c r="IF94" s="135"/>
      <c r="IG94" s="295"/>
      <c r="IH94" s="207"/>
      <c r="II94" s="207"/>
      <c r="IJ94" s="15">
        <v>0.5</v>
      </c>
      <c r="IK94" s="15">
        <v>0.5</v>
      </c>
      <c r="IL94" s="15">
        <v>0.5</v>
      </c>
      <c r="IM94" s="212">
        <v>0.5</v>
      </c>
      <c r="IN94" s="213">
        <v>0.5</v>
      </c>
      <c r="IO94" s="296"/>
      <c r="IP94" s="207"/>
      <c r="IQ94" s="212">
        <v>0.5</v>
      </c>
      <c r="IR94" s="297">
        <v>0.5</v>
      </c>
      <c r="IS94" s="298">
        <v>0.5</v>
      </c>
      <c r="IT94" s="212">
        <v>0.5</v>
      </c>
      <c r="IU94" s="15">
        <v>0.5</v>
      </c>
      <c r="IV94" s="15">
        <v>0.5</v>
      </c>
      <c r="IW94" s="15">
        <v>0.5</v>
      </c>
      <c r="IX94" s="15">
        <v>0.5</v>
      </c>
      <c r="IY94" s="15">
        <v>0.5</v>
      </c>
      <c r="IZ94" s="15">
        <v>0.5</v>
      </c>
      <c r="JA94" s="15">
        <v>0.5</v>
      </c>
      <c r="JB94" s="207"/>
      <c r="JC94" s="207"/>
      <c r="JD94" s="202"/>
      <c r="JE94" s="304"/>
      <c r="JF94" s="152"/>
      <c r="JG94" s="130">
        <f>SUM(IE94:JF94)</f>
      </c>
      <c r="JH94" s="134"/>
      <c r="JI94" s="135"/>
      <c r="JJ94" s="295"/>
      <c r="JK94" s="207"/>
      <c r="JL94" s="207"/>
      <c r="JM94" s="15">
        <v>0.5</v>
      </c>
      <c r="JN94" s="15">
        <v>0.5</v>
      </c>
      <c r="JO94" s="15">
        <v>0.5</v>
      </c>
      <c r="JP94" s="212">
        <v>0.5</v>
      </c>
      <c r="JQ94" s="213">
        <v>0.5</v>
      </c>
      <c r="JR94" s="296"/>
      <c r="JS94" s="207"/>
      <c r="JT94" s="212">
        <v>0.5</v>
      </c>
      <c r="JU94" s="297">
        <v>0.5</v>
      </c>
      <c r="JV94" s="298">
        <v>0.5</v>
      </c>
      <c r="JW94" s="212">
        <v>0.5</v>
      </c>
      <c r="JX94" s="15">
        <v>0.5</v>
      </c>
      <c r="JY94" s="15">
        <v>0.5</v>
      </c>
      <c r="JZ94" s="15">
        <v>0.5</v>
      </c>
      <c r="KA94" s="15">
        <v>0.5</v>
      </c>
      <c r="KB94" s="15">
        <v>0.5</v>
      </c>
      <c r="KC94" s="15">
        <v>0.5</v>
      </c>
      <c r="KD94" s="15">
        <v>0.5</v>
      </c>
      <c r="KE94" s="207"/>
      <c r="KF94" s="207"/>
      <c r="KG94" s="202"/>
      <c r="KH94" s="304"/>
      <c r="KI94" s="152"/>
      <c r="KJ94" s="130">
        <f>SUM(JH94:KI94)</f>
      </c>
      <c r="KK94" s="134"/>
      <c r="KL94" s="135"/>
      <c r="KM94" s="295"/>
      <c r="KN94" s="207"/>
      <c r="KO94" s="207"/>
      <c r="KP94" s="15">
        <v>0.5</v>
      </c>
      <c r="KQ94" s="15">
        <v>0.5</v>
      </c>
      <c r="KR94" s="15">
        <v>0.5</v>
      </c>
      <c r="KS94" s="212">
        <v>0.5</v>
      </c>
      <c r="KT94" s="213">
        <v>0.5</v>
      </c>
      <c r="KU94" s="296"/>
      <c r="KV94" s="207"/>
      <c r="KW94" s="212">
        <v>0.5</v>
      </c>
      <c r="KX94" s="297">
        <v>0.5</v>
      </c>
      <c r="KY94" s="298">
        <v>0.5</v>
      </c>
      <c r="KZ94" s="212">
        <v>0.5</v>
      </c>
      <c r="LA94" s="15">
        <v>0.5</v>
      </c>
      <c r="LB94" s="15">
        <v>0.5</v>
      </c>
      <c r="LC94" s="15">
        <v>0.5</v>
      </c>
      <c r="LD94" s="15">
        <v>0.5</v>
      </c>
      <c r="LE94" s="15">
        <v>0.5</v>
      </c>
      <c r="LF94" s="15">
        <v>0.5</v>
      </c>
      <c r="LG94" s="15">
        <v>0.5</v>
      </c>
      <c r="LH94" s="207"/>
      <c r="LI94" s="207"/>
      <c r="LJ94" s="202"/>
      <c r="LK94" s="304"/>
      <c r="LL94" s="152"/>
      <c r="LM94" s="130">
        <f>SUM(KK94:LL94)</f>
      </c>
      <c r="LN94" s="134"/>
      <c r="LO94" s="135"/>
      <c r="LP94" s="295"/>
      <c r="LQ94" s="207"/>
      <c r="LR94" s="207"/>
      <c r="LS94" s="15">
        <v>0.5</v>
      </c>
      <c r="LT94" s="15">
        <v>0.5</v>
      </c>
      <c r="LU94" s="15">
        <v>0.5</v>
      </c>
      <c r="LV94" s="212">
        <v>0.5</v>
      </c>
      <c r="LW94" s="213">
        <v>0.5</v>
      </c>
      <c r="LX94" s="296"/>
      <c r="LY94" s="207"/>
      <c r="LZ94" s="212">
        <v>0.5</v>
      </c>
      <c r="MA94" s="297">
        <v>0.5</v>
      </c>
      <c r="MB94" s="298">
        <v>0.5</v>
      </c>
      <c r="MC94" s="212">
        <v>0.5</v>
      </c>
      <c r="MD94" s="15">
        <v>0.5</v>
      </c>
      <c r="ME94" s="15">
        <v>0.5</v>
      </c>
      <c r="MF94" s="15">
        <v>0.5</v>
      </c>
      <c r="MG94" s="15">
        <v>0.5</v>
      </c>
      <c r="MH94" s="15">
        <v>0.5</v>
      </c>
      <c r="MI94" s="15">
        <v>0.5</v>
      </c>
      <c r="MJ94" s="15">
        <v>0.5</v>
      </c>
      <c r="MK94" s="207"/>
      <c r="ML94" s="207"/>
      <c r="MM94" s="202"/>
      <c r="MN94" s="304"/>
      <c r="MO94" s="152"/>
      <c r="MP94" s="130">
        <f>SUM(LN94:MO94)</f>
      </c>
      <c r="MQ94" s="121"/>
      <c r="MR94" s="122"/>
      <c r="MS94" s="292"/>
      <c r="MT94" s="196"/>
      <c r="MU94" s="196"/>
      <c r="MV94" s="196"/>
      <c r="MW94" s="196"/>
      <c r="MX94" s="196"/>
      <c r="MY94" s="196"/>
      <c r="MZ94" s="195"/>
      <c r="NA94" s="197"/>
      <c r="NB94" s="196"/>
      <c r="NC94" s="196"/>
      <c r="ND94" s="198"/>
      <c r="NE94" s="292"/>
      <c r="NF94" s="196"/>
      <c r="NG94" s="196"/>
      <c r="NH94" s="196"/>
      <c r="NI94" s="196"/>
      <c r="NJ94" s="196"/>
      <c r="NK94" s="196"/>
      <c r="NL94" s="196"/>
      <c r="NM94" s="196"/>
      <c r="NN94" s="196"/>
      <c r="NO94" s="196"/>
      <c r="NP94" s="195"/>
      <c r="NQ94" s="301"/>
      <c r="NR94" s="151"/>
      <c r="NS94" s="130">
        <f>SUM(MQ94:NR94)</f>
      </c>
      <c r="NT94" s="121"/>
      <c r="NU94" s="122"/>
      <c r="NV94" s="292"/>
      <c r="NW94" s="196"/>
      <c r="NX94" s="196"/>
      <c r="NY94" s="196"/>
      <c r="NZ94" s="196"/>
      <c r="OA94" s="196"/>
      <c r="OB94" s="196"/>
      <c r="OC94" s="195"/>
      <c r="OD94" s="197"/>
      <c r="OE94" s="196"/>
      <c r="OF94" s="196"/>
      <c r="OG94" s="198"/>
      <c r="OH94" s="292"/>
      <c r="OI94" s="196"/>
      <c r="OJ94" s="196"/>
      <c r="OK94" s="196"/>
      <c r="OL94" s="196"/>
      <c r="OM94" s="196"/>
      <c r="ON94" s="196"/>
      <c r="OO94" s="196"/>
      <c r="OP94" s="196"/>
      <c r="OQ94" s="196"/>
      <c r="OR94" s="196"/>
      <c r="OS94" s="195"/>
      <c r="OT94" s="301"/>
      <c r="OU94" s="151"/>
      <c r="OV94" s="130">
        <f>SUM(NT94:OU94)</f>
      </c>
      <c r="OW94" s="132">
        <f>ID94+JG94+KJ94+LM94+MP94+NS94+OV94</f>
      </c>
      <c r="OX94" s="302">
        <f>(COUNTIF(HB94:OV94,"H")+COUNTIF(HB94:OV94,"S")+COUNTIF(HB94:OV94,"L")+COUNTIF(HB94:OV94,"E")+COUNTIF(HB94:OV94,"C"))/2</f>
      </c>
      <c r="OY94" s="130">
        <f>OW94+OX94</f>
      </c>
      <c r="OZ94" s="134"/>
      <c r="PA94" s="135"/>
      <c r="PB94" s="377">
        <v>0.5</v>
      </c>
      <c r="PC94" s="559">
        <v>0.5</v>
      </c>
      <c r="PD94" s="559">
        <v>0.5</v>
      </c>
      <c r="PE94" s="559">
        <v>0.5</v>
      </c>
      <c r="PF94" s="559">
        <v>0.5</v>
      </c>
      <c r="PG94" s="559">
        <v>0.5</v>
      </c>
      <c r="PH94" s="559">
        <v>0.5</v>
      </c>
      <c r="PI94" s="560">
        <v>0.5</v>
      </c>
      <c r="PJ94" s="561">
        <v>0.5</v>
      </c>
      <c r="PK94" s="559">
        <v>0.5</v>
      </c>
      <c r="PL94" s="207"/>
      <c r="PM94" s="208"/>
      <c r="PN94" s="298">
        <v>0.5</v>
      </c>
      <c r="PO94" s="212">
        <v>0.5</v>
      </c>
      <c r="PP94" s="15">
        <v>0.5</v>
      </c>
      <c r="PQ94" s="15">
        <v>0.5</v>
      </c>
      <c r="PR94" s="15">
        <v>0.5</v>
      </c>
      <c r="PS94" s="15">
        <v>0.5</v>
      </c>
      <c r="PT94" s="207"/>
      <c r="PU94" s="207"/>
      <c r="PV94" s="207"/>
      <c r="PW94" s="207"/>
      <c r="PX94" s="207"/>
      <c r="PY94" s="202"/>
      <c r="PZ94" s="304"/>
      <c r="QA94" s="152"/>
      <c r="QB94" s="130">
        <f>SUM(OZ94:QA94)</f>
      </c>
      <c r="QC94" s="134"/>
      <c r="QD94" s="135"/>
      <c r="QE94" s="377">
        <v>0.5</v>
      </c>
      <c r="QF94" s="15">
        <v>0.5</v>
      </c>
      <c r="QG94" s="15">
        <v>0.5</v>
      </c>
      <c r="QH94" s="15">
        <v>0.5</v>
      </c>
      <c r="QI94" s="15">
        <v>0.5</v>
      </c>
      <c r="QJ94" s="15">
        <v>0.5</v>
      </c>
      <c r="QK94" s="212">
        <v>0.5</v>
      </c>
      <c r="QL94" s="213">
        <v>0.5</v>
      </c>
      <c r="QM94" s="214">
        <v>0.5</v>
      </c>
      <c r="QN94" s="212">
        <v>0.5</v>
      </c>
      <c r="QO94" s="207"/>
      <c r="QP94" s="208"/>
      <c r="QQ94" s="298">
        <v>0.5</v>
      </c>
      <c r="QR94" s="212">
        <v>0.5</v>
      </c>
      <c r="QS94" s="15">
        <v>0.5</v>
      </c>
      <c r="QT94" s="15">
        <v>0.5</v>
      </c>
      <c r="QU94" s="15">
        <v>0.5</v>
      </c>
      <c r="QV94" s="15">
        <v>0.5</v>
      </c>
      <c r="QW94" s="207"/>
      <c r="QX94" s="207"/>
      <c r="QY94" s="207"/>
      <c r="QZ94" s="207"/>
      <c r="RA94" s="207"/>
      <c r="RB94" s="202"/>
      <c r="RC94" s="304"/>
      <c r="RD94" s="152"/>
      <c r="RE94" s="130">
        <f>SUM(QC94:RD94)</f>
      </c>
      <c r="RF94" s="134"/>
      <c r="RG94" s="135"/>
      <c r="RH94" s="377">
        <v>0.5</v>
      </c>
      <c r="RI94" s="15">
        <v>0.5</v>
      </c>
      <c r="RJ94" s="15">
        <v>0.5</v>
      </c>
      <c r="RK94" s="15">
        <v>0.5</v>
      </c>
      <c r="RL94" s="15">
        <v>0.5</v>
      </c>
      <c r="RM94" s="15">
        <v>0.5</v>
      </c>
      <c r="RN94" s="212">
        <v>0.5</v>
      </c>
      <c r="RO94" s="213">
        <v>0.5</v>
      </c>
      <c r="RP94" s="214">
        <v>0.5</v>
      </c>
      <c r="RQ94" s="212">
        <v>0.5</v>
      </c>
      <c r="RR94" s="207"/>
      <c r="RS94" s="208"/>
      <c r="RT94" s="298">
        <v>0.5</v>
      </c>
      <c r="RU94" s="212">
        <v>0.5</v>
      </c>
      <c r="RV94" s="15">
        <v>0.5</v>
      </c>
      <c r="RW94" s="15">
        <v>0.5</v>
      </c>
      <c r="RX94" s="15">
        <v>0.5</v>
      </c>
      <c r="RY94" s="15">
        <v>0.5</v>
      </c>
      <c r="RZ94" s="207"/>
      <c r="SA94" s="207"/>
      <c r="SB94" s="207"/>
      <c r="SC94" s="207"/>
      <c r="SD94" s="207"/>
      <c r="SE94" s="202"/>
      <c r="SF94" s="304"/>
      <c r="SG94" s="152"/>
      <c r="SH94" s="130">
        <f>SUM(RF94:SG94)</f>
      </c>
      <c r="SI94" s="134"/>
      <c r="SJ94" s="135"/>
      <c r="SK94" s="377">
        <v>0.5</v>
      </c>
      <c r="SL94" s="15">
        <v>0.5</v>
      </c>
      <c r="SM94" s="15">
        <v>0.5</v>
      </c>
      <c r="SN94" s="15">
        <v>0.5</v>
      </c>
      <c r="SO94" s="15">
        <v>0.5</v>
      </c>
      <c r="SP94" s="15">
        <v>0.5</v>
      </c>
      <c r="SQ94" s="212">
        <v>0.5</v>
      </c>
      <c r="SR94" s="213">
        <v>0.5</v>
      </c>
      <c r="SS94" s="214">
        <v>0.5</v>
      </c>
      <c r="ST94" s="212">
        <v>0.5</v>
      </c>
      <c r="SU94" s="207"/>
      <c r="SV94" s="208"/>
      <c r="SW94" s="298">
        <v>0.5</v>
      </c>
      <c r="SX94" s="212">
        <v>0.5</v>
      </c>
      <c r="SY94" s="15">
        <v>0.5</v>
      </c>
      <c r="SZ94" s="15">
        <v>0.5</v>
      </c>
      <c r="TA94" s="15">
        <v>0.5</v>
      </c>
      <c r="TB94" s="15">
        <v>0.5</v>
      </c>
      <c r="TC94" s="207"/>
      <c r="TD94" s="207"/>
      <c r="TE94" s="207"/>
      <c r="TF94" s="207"/>
      <c r="TG94" s="207"/>
      <c r="TH94" s="202"/>
      <c r="TI94" s="304"/>
      <c r="TJ94" s="152"/>
      <c r="TK94" s="130">
        <f>SUM(SI94:TJ94)</f>
      </c>
      <c r="TL94" s="134"/>
      <c r="TM94" s="135"/>
      <c r="TN94" s="377">
        <v>0.5</v>
      </c>
      <c r="TO94" s="15">
        <v>0.5</v>
      </c>
      <c r="TP94" s="15">
        <v>0.5</v>
      </c>
      <c r="TQ94" s="15">
        <v>0.5</v>
      </c>
      <c r="TR94" s="15">
        <v>0.5</v>
      </c>
      <c r="TS94" s="15">
        <v>0.5</v>
      </c>
      <c r="TT94" s="212">
        <v>0.5</v>
      </c>
      <c r="TU94" s="213">
        <v>0.5</v>
      </c>
      <c r="TV94" s="214">
        <v>0.5</v>
      </c>
      <c r="TW94" s="212">
        <v>0.5</v>
      </c>
      <c r="TX94" s="207"/>
      <c r="TY94" s="208"/>
      <c r="TZ94" s="298">
        <v>0.5</v>
      </c>
      <c r="UA94" s="212">
        <v>0.5</v>
      </c>
      <c r="UB94" s="15">
        <v>0.5</v>
      </c>
      <c r="UC94" s="15">
        <v>0.5</v>
      </c>
      <c r="UD94" s="15">
        <v>0.5</v>
      </c>
      <c r="UE94" s="15">
        <v>0.5</v>
      </c>
      <c r="UF94" s="207"/>
      <c r="UG94" s="207"/>
      <c r="UH94" s="207"/>
      <c r="UI94" s="207"/>
      <c r="UJ94" s="207"/>
      <c r="UK94" s="202"/>
      <c r="UL94" s="304"/>
      <c r="UM94" s="152"/>
      <c r="UN94" s="130">
        <f>SUM(TL94:UM94)</f>
      </c>
      <c r="UO94" s="121"/>
      <c r="UP94" s="122"/>
      <c r="UQ94" s="292"/>
      <c r="UR94" s="196"/>
      <c r="US94" s="196"/>
      <c r="UT94" s="196"/>
      <c r="UU94" s="196"/>
      <c r="UV94" s="196"/>
      <c r="UW94" s="196"/>
      <c r="UX94" s="195"/>
      <c r="UY94" s="197"/>
      <c r="UZ94" s="196"/>
      <c r="VA94" s="196"/>
      <c r="VB94" s="198"/>
      <c r="VC94" s="292"/>
      <c r="VD94" s="196"/>
      <c r="VE94" s="196"/>
      <c r="VF94" s="196"/>
      <c r="VG94" s="196"/>
      <c r="VH94" s="196"/>
      <c r="VI94" s="196"/>
      <c r="VJ94" s="196"/>
      <c r="VK94" s="196"/>
      <c r="VL94" s="196"/>
      <c r="VM94" s="196"/>
      <c r="VN94" s="195"/>
      <c r="VO94" s="301"/>
      <c r="VP94" s="151"/>
      <c r="VQ94" s="130">
        <f>SUM(UO94:VP94)</f>
      </c>
      <c r="VR94" s="121"/>
      <c r="VS94" s="122"/>
      <c r="VT94" s="292"/>
      <c r="VU94" s="196"/>
      <c r="VV94" s="196"/>
      <c r="VW94" s="196"/>
      <c r="VX94" s="196"/>
      <c r="VY94" s="196"/>
      <c r="VZ94" s="196"/>
      <c r="WA94" s="195"/>
      <c r="WB94" s="197"/>
      <c r="WC94" s="196"/>
      <c r="WD94" s="196"/>
      <c r="WE94" s="198"/>
      <c r="WF94" s="292"/>
      <c r="WG94" s="196"/>
      <c r="WH94" s="196"/>
      <c r="WI94" s="196"/>
      <c r="WJ94" s="196"/>
      <c r="WK94" s="196"/>
      <c r="WL94" s="196"/>
      <c r="WM94" s="196"/>
      <c r="WN94" s="196"/>
      <c r="WO94" s="196"/>
      <c r="WP94" s="196"/>
      <c r="WQ94" s="195"/>
      <c r="WR94" s="301"/>
      <c r="WS94" s="151"/>
      <c r="WT94" s="130">
        <f>SUM(VR94:WS94)</f>
      </c>
      <c r="WU94" s="132">
        <f>QB94+RE94+SH94+TK94+UN94+VQ94+WT94</f>
      </c>
      <c r="WV94" s="302">
        <f>(COUNTIF(OZ94:WT94,"H")+COUNTIF(OZ94:WT94,"S")+COUNTIF(OZ94:WT94,"L")+COUNTIF(OZ94:WT94,"E")+COUNTIF(OZ94:WT94,"C"))/2</f>
      </c>
      <c r="WW94" s="130">
        <f>WU94+WV94</f>
      </c>
      <c r="WX94" s="134"/>
      <c r="WY94" s="135"/>
      <c r="WZ94" s="295"/>
      <c r="XA94" s="207"/>
      <c r="XB94" s="207"/>
      <c r="XC94" s="15">
        <v>0.5</v>
      </c>
      <c r="XD94" s="15">
        <v>0.5</v>
      </c>
      <c r="XE94" s="15">
        <v>0.5</v>
      </c>
      <c r="XF94" s="212">
        <v>0.5</v>
      </c>
      <c r="XG94" s="213">
        <v>0.5</v>
      </c>
      <c r="XH94" s="296"/>
      <c r="XI94" s="207"/>
      <c r="XJ94" s="212">
        <v>0.5</v>
      </c>
      <c r="XK94" s="297">
        <v>0.5</v>
      </c>
      <c r="XL94" s="298">
        <v>0.5</v>
      </c>
      <c r="XM94" s="212">
        <v>0.5</v>
      </c>
      <c r="XN94" s="15">
        <v>0.5</v>
      </c>
      <c r="XO94" s="15">
        <v>0.5</v>
      </c>
      <c r="XP94" s="15">
        <v>0.5</v>
      </c>
      <c r="XQ94" s="15">
        <v>0.5</v>
      </c>
      <c r="XR94" s="15">
        <v>0.5</v>
      </c>
      <c r="XS94" s="15">
        <v>0.5</v>
      </c>
      <c r="XT94" s="15">
        <v>0.5</v>
      </c>
      <c r="XU94" s="207"/>
      <c r="XV94" s="207"/>
      <c r="XW94" s="202"/>
      <c r="XX94" s="304"/>
      <c r="XY94" s="152"/>
      <c r="XZ94" s="130">
        <f>SUM(WX94:XY94)</f>
      </c>
      <c r="YA94" s="134"/>
      <c r="YB94" s="135"/>
      <c r="YC94" s="295"/>
      <c r="YD94" s="207"/>
      <c r="YE94" s="207"/>
      <c r="YF94" s="15">
        <v>0.5</v>
      </c>
      <c r="YG94" s="15">
        <v>0.5</v>
      </c>
      <c r="YH94" s="15">
        <v>0.5</v>
      </c>
      <c r="YI94" s="212">
        <v>0.5</v>
      </c>
      <c r="YJ94" s="213">
        <v>0.5</v>
      </c>
      <c r="YK94" s="296"/>
      <c r="YL94" s="207"/>
      <c r="YM94" s="212">
        <v>0.5</v>
      </c>
      <c r="YN94" s="297">
        <v>0.5</v>
      </c>
      <c r="YO94" s="298">
        <v>0.5</v>
      </c>
      <c r="YP94" s="212">
        <v>0.5</v>
      </c>
      <c r="YQ94" s="15">
        <v>0.5</v>
      </c>
      <c r="YR94" s="15">
        <v>0.5</v>
      </c>
      <c r="YS94" s="15">
        <v>0.5</v>
      </c>
      <c r="YT94" s="15">
        <v>0.5</v>
      </c>
      <c r="YU94" s="15">
        <v>0.5</v>
      </c>
      <c r="YV94" s="15">
        <v>0.5</v>
      </c>
      <c r="YW94" s="15">
        <v>0.5</v>
      </c>
      <c r="YX94" s="207"/>
      <c r="YY94" s="207"/>
      <c r="YZ94" s="202"/>
      <c r="ZA94" s="304"/>
      <c r="ZB94" s="152"/>
      <c r="ZC94" s="130">
        <f>SUM(YA94:ZB94)</f>
      </c>
      <c r="ZD94" s="134"/>
      <c r="ZE94" s="135"/>
      <c r="ZF94" s="295"/>
      <c r="ZG94" s="207"/>
      <c r="ZH94" s="207"/>
      <c r="ZI94" s="15">
        <v>0.5</v>
      </c>
      <c r="ZJ94" s="15">
        <v>0.5</v>
      </c>
      <c r="ZK94" s="15">
        <v>0.5</v>
      </c>
      <c r="ZL94" s="212">
        <v>0.5</v>
      </c>
      <c r="ZM94" s="213">
        <v>0.5</v>
      </c>
      <c r="ZN94" s="296"/>
      <c r="ZO94" s="207"/>
      <c r="ZP94" s="212">
        <v>0.5</v>
      </c>
      <c r="ZQ94" s="297">
        <v>0.5</v>
      </c>
      <c r="ZR94" s="298">
        <v>0.5</v>
      </c>
      <c r="ZS94" s="212">
        <v>0.5</v>
      </c>
      <c r="ZT94" s="15">
        <v>0.5</v>
      </c>
      <c r="ZU94" s="15">
        <v>0.5</v>
      </c>
      <c r="ZV94" s="15">
        <v>0.5</v>
      </c>
      <c r="ZW94" s="15">
        <v>0.5</v>
      </c>
      <c r="ZX94" s="15">
        <v>0.5</v>
      </c>
      <c r="ZY94" s="15">
        <v>0.5</v>
      </c>
      <c r="ZZ94" s="15">
        <v>0.5</v>
      </c>
      <c r="AAA94" s="207"/>
      <c r="AAB94" s="207"/>
      <c r="AAC94" s="202"/>
      <c r="AAD94" s="304"/>
      <c r="AAE94" s="152"/>
      <c r="AAF94" s="130">
        <f>SUM(ZD94:AAE94)</f>
      </c>
      <c r="AAG94" s="134"/>
      <c r="AAH94" s="135"/>
      <c r="AAI94" s="295"/>
      <c r="AAJ94" s="207"/>
      <c r="AAK94" s="207"/>
      <c r="AAL94" s="15">
        <v>0.5</v>
      </c>
      <c r="AAM94" s="15">
        <v>0.5</v>
      </c>
      <c r="AAN94" s="15">
        <v>0.5</v>
      </c>
      <c r="AAO94" s="212">
        <v>0.5</v>
      </c>
      <c r="AAP94" s="213">
        <v>0.5</v>
      </c>
      <c r="AAQ94" s="296"/>
      <c r="AAR94" s="207"/>
      <c r="AAS94" s="212">
        <v>0.5</v>
      </c>
      <c r="AAT94" s="297">
        <v>0.5</v>
      </c>
      <c r="AAU94" s="298">
        <v>0.5</v>
      </c>
      <c r="AAV94" s="212">
        <v>0.5</v>
      </c>
      <c r="AAW94" s="15">
        <v>0.5</v>
      </c>
      <c r="AAX94" s="15">
        <v>0.5</v>
      </c>
      <c r="AAY94" s="15">
        <v>0.5</v>
      </c>
      <c r="AAZ94" s="15">
        <v>0.5</v>
      </c>
      <c r="ABA94" s="15">
        <v>0.5</v>
      </c>
      <c r="ABB94" s="15">
        <v>0.5</v>
      </c>
      <c r="ABC94" s="15">
        <v>0.5</v>
      </c>
      <c r="ABD94" s="207"/>
      <c r="ABE94" s="207"/>
      <c r="ABF94" s="202"/>
      <c r="ABG94" s="304"/>
      <c r="ABH94" s="152"/>
      <c r="ABI94" s="130">
        <f>SUM(AAG94:ABH94)</f>
      </c>
      <c r="ABJ94" s="134"/>
      <c r="ABK94" s="135"/>
      <c r="ABL94" s="295"/>
      <c r="ABM94" s="207"/>
      <c r="ABN94" s="207"/>
      <c r="ABO94" s="15">
        <v>0.5</v>
      </c>
      <c r="ABP94" s="15">
        <v>0.5</v>
      </c>
      <c r="ABQ94" s="15">
        <v>0.5</v>
      </c>
      <c r="ABR94" s="212">
        <v>0.5</v>
      </c>
      <c r="ABS94" s="213">
        <v>0.5</v>
      </c>
      <c r="ABT94" s="296"/>
      <c r="ABU94" s="207"/>
      <c r="ABV94" s="212">
        <v>0.5</v>
      </c>
      <c r="ABW94" s="297">
        <v>0.5</v>
      </c>
      <c r="ABX94" s="298">
        <v>0.5</v>
      </c>
      <c r="ABY94" s="212">
        <v>0.5</v>
      </c>
      <c r="ABZ94" s="15">
        <v>0.5</v>
      </c>
      <c r="ACA94" s="15">
        <v>0.5</v>
      </c>
      <c r="ACB94" s="15">
        <v>0.5</v>
      </c>
      <c r="ACC94" s="15">
        <v>0.5</v>
      </c>
      <c r="ACD94" s="15">
        <v>0.5</v>
      </c>
      <c r="ACE94" s="15">
        <v>0.5</v>
      </c>
      <c r="ACF94" s="15">
        <v>0.5</v>
      </c>
      <c r="ACG94" s="207"/>
      <c r="ACH94" s="207"/>
      <c r="ACI94" s="202"/>
      <c r="ACJ94" s="304"/>
      <c r="ACK94" s="152"/>
      <c r="ACL94" s="130">
        <f>SUM(ABJ94:ACK94)</f>
      </c>
      <c r="ACM94" s="121"/>
      <c r="ACN94" s="122"/>
      <c r="ACO94" s="292"/>
      <c r="ACP94" s="196"/>
      <c r="ACQ94" s="196"/>
      <c r="ACR94" s="196"/>
      <c r="ACS94" s="196"/>
      <c r="ACT94" s="196"/>
      <c r="ACU94" s="196"/>
      <c r="ACV94" s="195"/>
      <c r="ACW94" s="197"/>
      <c r="ACX94" s="196"/>
      <c r="ACY94" s="196"/>
      <c r="ACZ94" s="198"/>
      <c r="ADA94" s="292"/>
      <c r="ADB94" s="196"/>
      <c r="ADC94" s="196"/>
      <c r="ADD94" s="196"/>
      <c r="ADE94" s="196"/>
      <c r="ADF94" s="196"/>
      <c r="ADG94" s="196"/>
      <c r="ADH94" s="196"/>
      <c r="ADI94" s="196"/>
      <c r="ADJ94" s="196"/>
      <c r="ADK94" s="196"/>
      <c r="ADL94" s="195"/>
      <c r="ADM94" s="301"/>
      <c r="ADN94" s="151"/>
      <c r="ADO94" s="130">
        <f>SUM(ACM94:ADN94)</f>
      </c>
      <c r="ADP94" s="121"/>
      <c r="ADQ94" s="122"/>
      <c r="ADR94" s="292"/>
      <c r="ADS94" s="196"/>
      <c r="ADT94" s="196"/>
      <c r="ADU94" s="196"/>
      <c r="ADV94" s="196"/>
      <c r="ADW94" s="196"/>
      <c r="ADX94" s="196"/>
      <c r="ADY94" s="195"/>
      <c r="ADZ94" s="197"/>
      <c r="AEA94" s="196"/>
      <c r="AEB94" s="196"/>
      <c r="AEC94" s="198"/>
      <c r="AED94" s="292"/>
      <c r="AEE94" s="196"/>
      <c r="AEF94" s="196"/>
      <c r="AEG94" s="196"/>
      <c r="AEH94" s="196"/>
      <c r="AEI94" s="196"/>
      <c r="AEJ94" s="196"/>
      <c r="AEK94" s="196"/>
      <c r="AEL94" s="196"/>
      <c r="AEM94" s="196"/>
      <c r="AEN94" s="196"/>
      <c r="AEO94" s="195"/>
      <c r="AEP94" s="301"/>
      <c r="AEQ94" s="151"/>
      <c r="AER94" s="130">
        <f>SUM(ADP94:AEQ94)</f>
      </c>
      <c r="AES94" s="132">
        <f>XZ94+ZC94+AAF94+ABI94+ACL94+ADO94+AER94</f>
      </c>
      <c r="AET94" s="302">
        <f>(COUNTIF(WX94:AER94,"H")+COUNTIF(WX94:AER94,"S")+COUNTIF(WX94:AER94,"L")+COUNTIF(WX94:AER94,"E")+COUNTIF(WX94:AER94,"C"))/2</f>
      </c>
      <c r="AEU94" s="130">
        <f>AES94+AET94</f>
      </c>
      <c r="AEV94" s="134"/>
      <c r="AEW94" s="135"/>
      <c r="AEX94" s="377">
        <v>0.5</v>
      </c>
      <c r="AEY94" s="559">
        <v>0.5</v>
      </c>
      <c r="AEZ94" s="559">
        <v>0.5</v>
      </c>
      <c r="AFA94" s="559">
        <v>0.5</v>
      </c>
      <c r="AFB94" s="559">
        <v>0.5</v>
      </c>
      <c r="AFC94" s="559">
        <v>0.5</v>
      </c>
      <c r="AFD94" s="559">
        <v>0.5</v>
      </c>
      <c r="AFE94" s="560">
        <v>0.5</v>
      </c>
      <c r="AFF94" s="561">
        <v>0.5</v>
      </c>
      <c r="AFG94" s="559">
        <v>0.5</v>
      </c>
      <c r="AFH94" s="207"/>
      <c r="AFI94" s="208"/>
      <c r="AFJ94" s="298">
        <v>0.5</v>
      </c>
      <c r="AFK94" s="212">
        <v>0.5</v>
      </c>
      <c r="AFL94" s="15">
        <v>0.5</v>
      </c>
      <c r="AFM94" s="15">
        <v>0.5</v>
      </c>
      <c r="AFN94" s="15">
        <v>0.5</v>
      </c>
      <c r="AFO94" s="15">
        <v>0.5</v>
      </c>
      <c r="AFP94" s="207"/>
      <c r="AFQ94" s="207"/>
      <c r="AFR94" s="207"/>
      <c r="AFS94" s="207"/>
      <c r="AFT94" s="207"/>
      <c r="AFU94" s="202"/>
      <c r="AFV94" s="304"/>
      <c r="AFW94" s="152"/>
      <c r="AFX94" s="130">
        <f>SUM(AEV94:AFW94)</f>
      </c>
      <c r="AFY94" s="134"/>
      <c r="AFZ94" s="135"/>
      <c r="AGA94" s="377">
        <v>0.5</v>
      </c>
      <c r="AGB94" s="559">
        <v>0.5</v>
      </c>
      <c r="AGC94" s="559">
        <v>0.5</v>
      </c>
      <c r="AGD94" s="559">
        <v>0.5</v>
      </c>
      <c r="AGE94" s="559">
        <v>0.5</v>
      </c>
      <c r="AGF94" s="559">
        <v>0.5</v>
      </c>
      <c r="AGG94" s="559">
        <v>0.5</v>
      </c>
      <c r="AGH94" s="560">
        <v>0.5</v>
      </c>
      <c r="AGI94" s="561">
        <v>0.5</v>
      </c>
      <c r="AGJ94" s="559">
        <v>0.5</v>
      </c>
      <c r="AGK94" s="207"/>
      <c r="AGL94" s="208"/>
      <c r="AGM94" s="298">
        <v>0.5</v>
      </c>
      <c r="AGN94" s="212">
        <v>0.5</v>
      </c>
      <c r="AGO94" s="15">
        <v>0.5</v>
      </c>
      <c r="AGP94" s="15">
        <v>0.5</v>
      </c>
      <c r="AGQ94" s="15">
        <v>0.5</v>
      </c>
      <c r="AGR94" s="15">
        <v>0.5</v>
      </c>
      <c r="AGS94" s="207"/>
      <c r="AGT94" s="207"/>
      <c r="AGU94" s="207"/>
      <c r="AGV94" s="207"/>
      <c r="AGW94" s="207"/>
      <c r="AGX94" s="202"/>
      <c r="AGY94" s="304"/>
      <c r="AGZ94" s="152"/>
      <c r="AHA94" s="130">
        <f>SUM(AFY94:AGZ94)</f>
      </c>
      <c r="AHB94" s="134"/>
      <c r="AHC94" s="135"/>
      <c r="AHD94" s="377">
        <v>0.5</v>
      </c>
      <c r="AHE94" s="559">
        <v>0.5</v>
      </c>
      <c r="AHF94" s="559">
        <v>0.5</v>
      </c>
      <c r="AHG94" s="559">
        <v>0.5</v>
      </c>
      <c r="AHH94" s="559">
        <v>0.5</v>
      </c>
      <c r="AHI94" s="559">
        <v>0.5</v>
      </c>
      <c r="AHJ94" s="559">
        <v>0.5</v>
      </c>
      <c r="AHK94" s="560">
        <v>0.5</v>
      </c>
      <c r="AHL94" s="561">
        <v>0.5</v>
      </c>
      <c r="AHM94" s="559">
        <v>0.5</v>
      </c>
      <c r="AHN94" s="207"/>
      <c r="AHO94" s="208"/>
      <c r="AHP94" s="298">
        <v>0.5</v>
      </c>
      <c r="AHQ94" s="212">
        <v>0.5</v>
      </c>
      <c r="AHR94" s="15">
        <v>0.5</v>
      </c>
      <c r="AHS94" s="15">
        <v>0.5</v>
      </c>
      <c r="AHT94" s="15">
        <v>0.5</v>
      </c>
      <c r="AHU94" s="15">
        <v>0.5</v>
      </c>
      <c r="AHV94" s="207"/>
      <c r="AHW94" s="207"/>
      <c r="AHX94" s="207"/>
      <c r="AHY94" s="207"/>
      <c r="AHZ94" s="207"/>
      <c r="AIA94" s="202"/>
      <c r="AIB94" s="304"/>
      <c r="AIC94" s="152"/>
      <c r="AID94" s="130">
        <f>SUM(AHB94:AIC94)</f>
      </c>
      <c r="AIE94" s="134"/>
      <c r="AIF94" s="135"/>
      <c r="AIG94" s="377">
        <v>0.5</v>
      </c>
      <c r="AIH94" s="559">
        <v>0.5</v>
      </c>
      <c r="AII94" s="559">
        <v>0.5</v>
      </c>
      <c r="AIJ94" s="559">
        <v>0.5</v>
      </c>
      <c r="AIK94" s="559">
        <v>0.5</v>
      </c>
      <c r="AIL94" s="559">
        <v>0.5</v>
      </c>
      <c r="AIM94" s="559">
        <v>0.5</v>
      </c>
      <c r="AIN94" s="560">
        <v>0.5</v>
      </c>
      <c r="AIO94" s="561">
        <v>0.5</v>
      </c>
      <c r="AIP94" s="559">
        <v>0.5</v>
      </c>
      <c r="AIQ94" s="207"/>
      <c r="AIR94" s="208"/>
      <c r="AIS94" s="298">
        <v>0.5</v>
      </c>
      <c r="AIT94" s="212">
        <v>0.5</v>
      </c>
      <c r="AIU94" s="15">
        <v>0.5</v>
      </c>
      <c r="AIV94" s="15">
        <v>0.5</v>
      </c>
      <c r="AIW94" s="15">
        <v>0.5</v>
      </c>
      <c r="AIX94" s="15">
        <v>0.5</v>
      </c>
      <c r="AIY94" s="207"/>
      <c r="AIZ94" s="207"/>
      <c r="AJA94" s="207"/>
      <c r="AJB94" s="207"/>
      <c r="AJC94" s="207"/>
      <c r="AJD94" s="202"/>
      <c r="AJE94" s="304"/>
      <c r="AJF94" s="152"/>
      <c r="AJG94" s="130">
        <f>SUM(AIE94:AJF94)</f>
      </c>
      <c r="AJH94" s="134"/>
      <c r="AJI94" s="135"/>
      <c r="AJJ94" s="377">
        <v>0.5</v>
      </c>
      <c r="AJK94" s="559">
        <v>0.5</v>
      </c>
      <c r="AJL94" s="559">
        <v>0.5</v>
      </c>
      <c r="AJM94" s="559">
        <v>0.5</v>
      </c>
      <c r="AJN94" s="559">
        <v>0.5</v>
      </c>
      <c r="AJO94" s="559">
        <v>0.5</v>
      </c>
      <c r="AJP94" s="559">
        <v>0.5</v>
      </c>
      <c r="AJQ94" s="560">
        <v>0.5</v>
      </c>
      <c r="AJR94" s="561">
        <v>0.5</v>
      </c>
      <c r="AJS94" s="559">
        <v>0.5</v>
      </c>
      <c r="AJT94" s="207"/>
      <c r="AJU94" s="208"/>
      <c r="AJV94" s="298">
        <v>0.5</v>
      </c>
      <c r="AJW94" s="212">
        <v>0.5</v>
      </c>
      <c r="AJX94" s="15">
        <v>0.5</v>
      </c>
      <c r="AJY94" s="15">
        <v>0.5</v>
      </c>
      <c r="AJZ94" s="15">
        <v>0.5</v>
      </c>
      <c r="AKA94" s="15">
        <v>0.5</v>
      </c>
      <c r="AKB94" s="207"/>
      <c r="AKC94" s="207"/>
      <c r="AKD94" s="207"/>
      <c r="AKE94" s="207"/>
      <c r="AKF94" s="207"/>
      <c r="AKG94" s="202"/>
      <c r="AKH94" s="304"/>
      <c r="AKI94" s="152"/>
      <c r="AKJ94" s="130">
        <f>SUM(AJH94:AKI94)</f>
      </c>
      <c r="AKK94" s="121"/>
      <c r="AKL94" s="122"/>
      <c r="AKM94" s="292"/>
      <c r="AKN94" s="196"/>
      <c r="AKO94" s="196"/>
      <c r="AKP94" s="196"/>
      <c r="AKQ94" s="196"/>
      <c r="AKR94" s="196"/>
      <c r="AKS94" s="196"/>
      <c r="AKT94" s="195"/>
      <c r="AKU94" s="197"/>
      <c r="AKV94" s="196"/>
      <c r="AKW94" s="196"/>
      <c r="AKX94" s="198"/>
      <c r="AKY94" s="292"/>
      <c r="AKZ94" s="196"/>
      <c r="ALA94" s="196"/>
      <c r="ALB94" s="196"/>
      <c r="ALC94" s="196"/>
      <c r="ALD94" s="196"/>
      <c r="ALE94" s="196"/>
      <c r="ALF94" s="196"/>
      <c r="ALG94" s="196"/>
      <c r="ALH94" s="196"/>
      <c r="ALI94" s="196"/>
      <c r="ALJ94" s="195"/>
      <c r="ALK94" s="301"/>
      <c r="ALL94" s="151"/>
      <c r="ALM94" s="130">
        <f>SUM(AKK94:ALL94)</f>
      </c>
      <c r="ALN94" s="121"/>
      <c r="ALO94" s="122"/>
      <c r="ALP94" s="292"/>
      <c r="ALQ94" s="196"/>
      <c r="ALR94" s="196"/>
      <c r="ALS94" s="196"/>
      <c r="ALT94" s="196"/>
      <c r="ALU94" s="196"/>
      <c r="ALV94" s="196"/>
      <c r="ALW94" s="195"/>
      <c r="ALX94" s="197"/>
      <c r="ALY94" s="196"/>
      <c r="ALZ94" s="196"/>
      <c r="AMA94" s="198"/>
      <c r="AMB94" s="292"/>
      <c r="AMC94" s="196"/>
      <c r="AMD94" s="196"/>
      <c r="AME94" s="196"/>
      <c r="AMF94" s="196"/>
      <c r="AMG94" s="196"/>
      <c r="AMH94" s="196"/>
      <c r="AMI94" s="196"/>
      <c r="AMJ94" s="196"/>
      <c r="AMK94" s="196"/>
      <c r="AML94" s="196"/>
      <c r="AMM94" s="195"/>
      <c r="AMN94" s="301"/>
      <c r="AMO94" s="151"/>
      <c r="AMP94" s="130">
        <f>SUM(ALN94:AMO94)</f>
      </c>
      <c r="AMQ94" s="132">
        <f>AFX94+AHA94+AID94+AJG94+AKJ94+ALM94+AMP94</f>
      </c>
      <c r="AMR94" s="302">
        <f>(COUNTIF(AEV94:AMP94,"H")+COUNTIF(AEV94:AMP94,"S")+COUNTIF(AEV94:AMP94,"L")+COUNTIF(AEV94:AMP94,"E")+COUNTIF(AEV94:AMP94,"C"))/2</f>
      </c>
      <c r="AMS94" s="130">
        <f>AMQ94+AMR94</f>
      </c>
      <c r="AMT94" s="4"/>
      <c r="AMU94" s="4"/>
      <c r="AMV94" s="4"/>
      <c r="AMW94" s="4"/>
      <c r="AMX94" s="4"/>
      <c r="AMY94" s="4"/>
      <c r="AMZ94" s="4"/>
      <c r="ANA94" s="4"/>
      <c r="ANB94" s="4"/>
      <c r="ANC94" s="4"/>
      <c r="AND94" s="4"/>
      <c r="ANE94" s="4"/>
      <c r="ANF94" s="4"/>
      <c r="ANG94" s="4"/>
      <c r="ANH94" s="4"/>
      <c r="ANI94" s="4"/>
      <c r="ANJ94" s="13"/>
      <c r="ANK94" s="13"/>
      <c r="ANL94" s="4"/>
      <c r="ANM94" s="4"/>
      <c r="ANN94" s="4"/>
      <c r="ANO94" s="4"/>
      <c r="ANP94" s="4"/>
      <c r="ANQ94" s="4"/>
      <c r="ANR94" s="4"/>
      <c r="ANS94" s="4"/>
      <c r="ANT94" s="4"/>
      <c r="ANU94" s="4"/>
      <c r="ANV94" s="4"/>
      <c r="ANW94" s="4"/>
      <c r="ANX94" s="4"/>
      <c r="ANY94" s="4"/>
      <c r="ANZ94" s="4"/>
      <c r="AOA94" s="4"/>
      <c r="AOB94" s="4"/>
      <c r="AOC94" s="4"/>
      <c r="AOD94" s="4"/>
      <c r="AOE94" s="4"/>
      <c r="AOF94" s="4"/>
      <c r="AOG94" s="4"/>
      <c r="AOH94" s="4"/>
      <c r="AOI94" s="4"/>
      <c r="AOJ94" s="4"/>
      <c r="AOK94" s="4"/>
      <c r="AOL94" s="4"/>
      <c r="AOM94" s="4"/>
      <c r="AON94" s="4"/>
      <c r="AOO94" s="4"/>
      <c r="AOP94" s="4"/>
      <c r="AOQ94" s="4"/>
      <c r="AOR94" s="4"/>
      <c r="AOS94" s="4"/>
      <c r="AOT94" s="4"/>
      <c r="AOU94" s="4"/>
      <c r="AOV94" s="4"/>
      <c r="AOW94" s="4"/>
      <c r="AOX94" s="4"/>
      <c r="AOY94" s="4"/>
      <c r="AOZ94" s="4"/>
      <c r="APA94" s="4"/>
      <c r="APB94" s="4"/>
      <c r="APC94" s="4"/>
      <c r="APD94" s="4"/>
      <c r="APE94" s="4"/>
      <c r="APF94" s="4"/>
      <c r="APG94" s="4"/>
      <c r="APH94" s="4"/>
      <c r="API94" s="4"/>
      <c r="APJ94" s="4"/>
      <c r="APK94" s="4"/>
      <c r="APL94" s="4"/>
      <c r="APM94" s="4"/>
      <c r="APN94" s="4"/>
      <c r="APO94" s="4"/>
      <c r="APP94" s="4"/>
      <c r="APQ94" s="4"/>
      <c r="APR94" s="4"/>
      <c r="APS94" s="4"/>
      <c r="APT94" s="4"/>
      <c r="APU94" s="4"/>
      <c r="APV94" s="4"/>
      <c r="APW94" s="4"/>
      <c r="APX94" s="4"/>
      <c r="APY94" s="4"/>
      <c r="APZ94" s="4"/>
      <c r="AQA94" s="4"/>
      <c r="AQB94" s="4"/>
      <c r="AQC94" s="4"/>
      <c r="AQD94" s="4"/>
      <c r="AQE94" s="4"/>
      <c r="AQF94" s="4"/>
      <c r="AQG94" s="4"/>
      <c r="AQH94" s="4"/>
      <c r="AQI94" s="4"/>
      <c r="AQJ94" s="4"/>
      <c r="AQK94" s="4"/>
      <c r="AQL94" s="4"/>
      <c r="AQM94" s="4"/>
      <c r="AQN94" s="4"/>
      <c r="AQO94" s="4"/>
      <c r="AQP94" s="4"/>
      <c r="AQQ94" s="4"/>
      <c r="AQR94" s="4"/>
      <c r="AQS94" s="4"/>
      <c r="AQT94" s="4"/>
      <c r="AQU94" s="4"/>
      <c r="AQV94" s="4"/>
      <c r="AQW94" s="4"/>
      <c r="AQX94" s="4"/>
      <c r="AQY94" s="4"/>
      <c r="AQZ94" s="4"/>
      <c r="ARA94" s="4"/>
      <c r="ARB94" s="4"/>
      <c r="ARC94" s="4"/>
      <c r="ARD94" s="4"/>
      <c r="ARE94" s="4"/>
      <c r="ARF94" s="4"/>
      <c r="ARG94" s="4"/>
      <c r="ARH94" s="4"/>
      <c r="ARI94" s="4"/>
      <c r="ARJ94" s="4"/>
      <c r="ARK94" s="4"/>
      <c r="ARL94" s="4"/>
      <c r="ARM94" s="4"/>
      <c r="ARN94" s="4"/>
      <c r="ARO94" s="4"/>
      <c r="ARP94" s="4"/>
      <c r="ARQ94" s="4"/>
      <c r="ARR94" s="4"/>
      <c r="ARS94" s="4"/>
      <c r="ART94" s="4"/>
      <c r="ARU94" s="4"/>
      <c r="ARV94" s="4"/>
      <c r="ARW94" s="4"/>
      <c r="ARX94" s="4"/>
      <c r="ARY94" s="4"/>
      <c r="ARZ94" s="4"/>
      <c r="ASA94" s="4"/>
      <c r="ASB94" s="4"/>
      <c r="ASC94" s="4"/>
      <c r="ASD94" s="4"/>
      <c r="ASE94" s="4"/>
      <c r="ASF94" s="4"/>
      <c r="ASG94" s="4"/>
      <c r="ASH94" s="4"/>
      <c r="ASI94" s="4"/>
      <c r="ASJ94" s="4"/>
      <c r="ASK94" s="4"/>
      <c r="ASL94" s="4"/>
      <c r="ASM94" s="4"/>
      <c r="ASN94" s="4"/>
      <c r="ASO94" s="4"/>
      <c r="ASP94" s="4"/>
      <c r="ASQ94" s="4"/>
      <c r="ASR94" s="4"/>
      <c r="ASS94" s="4"/>
      <c r="AST94" s="4"/>
      <c r="ASU94" s="4"/>
    </row>
    <row r="95" ht="15" customHeight="1" spans="1:1191" x14ac:dyDescent="0.25">
      <c r="A95" s="156"/>
      <c r="B95" s="565" t="s">
        <v>133</v>
      </c>
      <c r="C95" s="566" t="s">
        <v>55</v>
      </c>
      <c r="D95" s="567"/>
      <c r="E95" s="168"/>
      <c r="F95" s="568"/>
      <c r="G95" s="569"/>
      <c r="H95" s="569"/>
      <c r="I95" s="569"/>
      <c r="J95" s="569"/>
      <c r="K95" s="569"/>
      <c r="L95" s="569"/>
      <c r="M95" s="570"/>
      <c r="N95" s="571"/>
      <c r="O95" s="569"/>
      <c r="P95" s="569"/>
      <c r="Q95" s="572"/>
      <c r="R95" s="568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70"/>
      <c r="AD95" s="573"/>
      <c r="AE95" s="168"/>
      <c r="AF95" s="574">
        <f>SUM(D95:AE95)</f>
      </c>
      <c r="AG95" s="567"/>
      <c r="AH95" s="168"/>
      <c r="AI95" s="568"/>
      <c r="AJ95" s="569"/>
      <c r="AK95" s="569"/>
      <c r="AL95" s="569"/>
      <c r="AM95" s="569"/>
      <c r="AN95" s="569"/>
      <c r="AO95" s="569"/>
      <c r="AP95" s="570"/>
      <c r="AQ95" s="571"/>
      <c r="AR95" s="569"/>
      <c r="AS95" s="569"/>
      <c r="AT95" s="572"/>
      <c r="AU95" s="568"/>
      <c r="AV95" s="569"/>
      <c r="AW95" s="569"/>
      <c r="AX95" s="569"/>
      <c r="AY95" s="569"/>
      <c r="AZ95" s="569"/>
      <c r="BA95" s="569"/>
      <c r="BB95" s="569"/>
      <c r="BC95" s="569"/>
      <c r="BD95" s="569"/>
      <c r="BE95" s="569"/>
      <c r="BF95" s="570"/>
      <c r="BG95" s="573"/>
      <c r="BH95" s="168"/>
      <c r="BI95" s="574">
        <f>SUM(AG95:BH95)</f>
      </c>
      <c r="BJ95" s="567"/>
      <c r="BK95" s="168"/>
      <c r="BL95" s="568"/>
      <c r="BM95" s="569"/>
      <c r="BN95" s="569"/>
      <c r="BO95" s="569"/>
      <c r="BP95" s="569"/>
      <c r="BQ95" s="569"/>
      <c r="BR95" s="569"/>
      <c r="BS95" s="570"/>
      <c r="BT95" s="571"/>
      <c r="BU95" s="569"/>
      <c r="BV95" s="569"/>
      <c r="BW95" s="572"/>
      <c r="BX95" s="568"/>
      <c r="BY95" s="569"/>
      <c r="BZ95" s="569"/>
      <c r="CA95" s="569"/>
      <c r="CB95" s="569"/>
      <c r="CC95" s="569"/>
      <c r="CD95" s="569"/>
      <c r="CE95" s="569"/>
      <c r="CF95" s="569"/>
      <c r="CG95" s="569"/>
      <c r="CH95" s="569"/>
      <c r="CI95" s="570"/>
      <c r="CJ95" s="573"/>
      <c r="CK95" s="168"/>
      <c r="CL95" s="574">
        <f>SUM(BJ95:CK95)</f>
      </c>
      <c r="CM95" s="567"/>
      <c r="CN95" s="168"/>
      <c r="CO95" s="568"/>
      <c r="CP95" s="569"/>
      <c r="CQ95" s="569"/>
      <c r="CR95" s="569"/>
      <c r="CS95" s="569"/>
      <c r="CT95" s="569"/>
      <c r="CU95" s="569"/>
      <c r="CV95" s="570"/>
      <c r="CW95" s="571"/>
      <c r="CX95" s="569"/>
      <c r="CY95" s="569"/>
      <c r="CZ95" s="572"/>
      <c r="DA95" s="568"/>
      <c r="DB95" s="569"/>
      <c r="DC95" s="569"/>
      <c r="DD95" s="569"/>
      <c r="DE95" s="569"/>
      <c r="DF95" s="569"/>
      <c r="DG95" s="569"/>
      <c r="DH95" s="569"/>
      <c r="DI95" s="569"/>
      <c r="DJ95" s="569"/>
      <c r="DK95" s="569"/>
      <c r="DL95" s="570"/>
      <c r="DM95" s="573"/>
      <c r="DN95" s="168"/>
      <c r="DO95" s="574">
        <f>SUM(CM95:DN95)</f>
      </c>
      <c r="DP95" s="567"/>
      <c r="DQ95" s="168"/>
      <c r="DR95" s="568"/>
      <c r="DS95" s="569"/>
      <c r="DT95" s="569"/>
      <c r="DU95" s="569"/>
      <c r="DV95" s="569"/>
      <c r="DW95" s="569"/>
      <c r="DX95" s="569"/>
      <c r="DY95" s="570"/>
      <c r="DZ95" s="571"/>
      <c r="EA95" s="569"/>
      <c r="EB95" s="569"/>
      <c r="EC95" s="572"/>
      <c r="ED95" s="568"/>
      <c r="EE95" s="569"/>
      <c r="EF95" s="569"/>
      <c r="EG95" s="569"/>
      <c r="EH95" s="569"/>
      <c r="EI95" s="569"/>
      <c r="EJ95" s="569"/>
      <c r="EK95" s="569"/>
      <c r="EL95" s="569"/>
      <c r="EM95" s="569"/>
      <c r="EN95" s="569"/>
      <c r="EO95" s="570"/>
      <c r="EP95" s="573"/>
      <c r="EQ95" s="168"/>
      <c r="ER95" s="574">
        <f>SUM(DP95:EQ95)</f>
      </c>
      <c r="ES95" s="567"/>
      <c r="ET95" s="168"/>
      <c r="EU95" s="568"/>
      <c r="EV95" s="569"/>
      <c r="EW95" s="569"/>
      <c r="EX95" s="569"/>
      <c r="EY95" s="569"/>
      <c r="EZ95" s="569"/>
      <c r="FA95" s="569"/>
      <c r="FB95" s="570"/>
      <c r="FC95" s="571"/>
      <c r="FD95" s="569"/>
      <c r="FE95" s="569"/>
      <c r="FF95" s="572"/>
      <c r="FG95" s="568"/>
      <c r="FH95" s="569"/>
      <c r="FI95" s="569"/>
      <c r="FJ95" s="569"/>
      <c r="FK95" s="569"/>
      <c r="FL95" s="569"/>
      <c r="FM95" s="569"/>
      <c r="FN95" s="569"/>
      <c r="FO95" s="569"/>
      <c r="FP95" s="569"/>
      <c r="FQ95" s="569"/>
      <c r="FR95" s="570"/>
      <c r="FS95" s="573"/>
      <c r="FT95" s="168"/>
      <c r="FU95" s="574">
        <f>SUM(ES95:FT95)</f>
      </c>
      <c r="FV95" s="567"/>
      <c r="FW95" s="168"/>
      <c r="FX95" s="568"/>
      <c r="FY95" s="569"/>
      <c r="FZ95" s="569"/>
      <c r="GA95" s="569"/>
      <c r="GB95" s="569"/>
      <c r="GC95" s="569"/>
      <c r="GD95" s="569"/>
      <c r="GE95" s="570"/>
      <c r="GF95" s="571"/>
      <c r="GG95" s="569"/>
      <c r="GH95" s="569"/>
      <c r="GI95" s="572"/>
      <c r="GJ95" s="568"/>
      <c r="GK95" s="569"/>
      <c r="GL95" s="569"/>
      <c r="GM95" s="569"/>
      <c r="GN95" s="569"/>
      <c r="GO95" s="569"/>
      <c r="GP95" s="569"/>
      <c r="GQ95" s="569"/>
      <c r="GR95" s="569"/>
      <c r="GS95" s="569"/>
      <c r="GT95" s="569"/>
      <c r="GU95" s="570"/>
      <c r="GV95" s="573"/>
      <c r="GW95" s="168"/>
      <c r="GX95" s="574">
        <f>SUM(FV95:GW95)</f>
      </c>
      <c r="GY95" s="575">
        <f>AF95+BI95+CL95+DO95+ER95+FU95+GX95</f>
      </c>
      <c r="GZ95" s="576">
        <f>(COUNTIF(D95:GX95,"H")+COUNTIF(D95:GX95,"S")+COUNTIF(D95:GX95,"L")+COUNTIF(D95:GX95,"E")+COUNTIF(D95:GX95,"C"))/2</f>
      </c>
      <c r="HA95" s="574">
        <f>GY95+GZ95</f>
      </c>
      <c r="HB95" s="577"/>
      <c r="HC95" s="189"/>
      <c r="HD95" s="578"/>
      <c r="HE95" s="579"/>
      <c r="HF95" s="579"/>
      <c r="HG95" s="580">
        <v>0.5</v>
      </c>
      <c r="HH95" s="580">
        <v>0.5</v>
      </c>
      <c r="HI95" s="580">
        <v>0.5</v>
      </c>
      <c r="HJ95" s="581">
        <v>0.5</v>
      </c>
      <c r="HK95" s="582">
        <v>0.5</v>
      </c>
      <c r="HL95" s="583"/>
      <c r="HM95" s="579"/>
      <c r="HN95" s="581">
        <v>0.5</v>
      </c>
      <c r="HO95" s="584">
        <v>0.5</v>
      </c>
      <c r="HP95" s="585">
        <v>0.5</v>
      </c>
      <c r="HQ95" s="581">
        <v>0.5</v>
      </c>
      <c r="HR95" s="580">
        <v>0.5</v>
      </c>
      <c r="HS95" s="580">
        <v>0.5</v>
      </c>
      <c r="HT95" s="580">
        <v>0.5</v>
      </c>
      <c r="HU95" s="580">
        <v>0.5</v>
      </c>
      <c r="HV95" s="580">
        <v>0.5</v>
      </c>
      <c r="HW95" s="580">
        <v>0.5</v>
      </c>
      <c r="HX95" s="580">
        <v>0.5</v>
      </c>
      <c r="HY95" s="579"/>
      <c r="HZ95" s="579"/>
      <c r="IA95" s="586"/>
      <c r="IB95" s="587"/>
      <c r="IC95" s="189"/>
      <c r="ID95" s="574">
        <f>SUM(HB95:IC95)</f>
      </c>
      <c r="IE95" s="577"/>
      <c r="IF95" s="189"/>
      <c r="IG95" s="578"/>
      <c r="IH95" s="579"/>
      <c r="II95" s="579"/>
      <c r="IJ95" s="580">
        <v>0.5</v>
      </c>
      <c r="IK95" s="580">
        <v>0.5</v>
      </c>
      <c r="IL95" s="580">
        <v>0.5</v>
      </c>
      <c r="IM95" s="581">
        <v>0.5</v>
      </c>
      <c r="IN95" s="582">
        <v>0.5</v>
      </c>
      <c r="IO95" s="583"/>
      <c r="IP95" s="579"/>
      <c r="IQ95" s="581">
        <v>0.5</v>
      </c>
      <c r="IR95" s="584">
        <v>0.5</v>
      </c>
      <c r="IS95" s="585">
        <v>0.5</v>
      </c>
      <c r="IT95" s="581">
        <v>0.5</v>
      </c>
      <c r="IU95" s="580">
        <v>0.5</v>
      </c>
      <c r="IV95" s="580">
        <v>0.5</v>
      </c>
      <c r="IW95" s="580">
        <v>0.5</v>
      </c>
      <c r="IX95" s="580">
        <v>0.5</v>
      </c>
      <c r="IY95" s="580">
        <v>0.5</v>
      </c>
      <c r="IZ95" s="580">
        <v>0.5</v>
      </c>
      <c r="JA95" s="580">
        <v>0.5</v>
      </c>
      <c r="JB95" s="579"/>
      <c r="JC95" s="579"/>
      <c r="JD95" s="586"/>
      <c r="JE95" s="587"/>
      <c r="JF95" s="189"/>
      <c r="JG95" s="574">
        <f>SUM(IE95:JF95)</f>
      </c>
      <c r="JH95" s="577"/>
      <c r="JI95" s="189"/>
      <c r="JJ95" s="578"/>
      <c r="JK95" s="579"/>
      <c r="JL95" s="579"/>
      <c r="JM95" s="580">
        <v>0.5</v>
      </c>
      <c r="JN95" s="580">
        <v>0.5</v>
      </c>
      <c r="JO95" s="580">
        <v>0.5</v>
      </c>
      <c r="JP95" s="581">
        <v>0.5</v>
      </c>
      <c r="JQ95" s="582">
        <v>0.5</v>
      </c>
      <c r="JR95" s="583"/>
      <c r="JS95" s="579"/>
      <c r="JT95" s="581">
        <v>0.5</v>
      </c>
      <c r="JU95" s="584">
        <v>0.5</v>
      </c>
      <c r="JV95" s="585">
        <v>0.5</v>
      </c>
      <c r="JW95" s="581">
        <v>0.5</v>
      </c>
      <c r="JX95" s="580">
        <v>0.5</v>
      </c>
      <c r="JY95" s="580">
        <v>0.5</v>
      </c>
      <c r="JZ95" s="580">
        <v>0.5</v>
      </c>
      <c r="KA95" s="580">
        <v>0.5</v>
      </c>
      <c r="KB95" s="580">
        <v>0.5</v>
      </c>
      <c r="KC95" s="580">
        <v>0.5</v>
      </c>
      <c r="KD95" s="580">
        <v>0.5</v>
      </c>
      <c r="KE95" s="579"/>
      <c r="KF95" s="579"/>
      <c r="KG95" s="586"/>
      <c r="KH95" s="587"/>
      <c r="KI95" s="189"/>
      <c r="KJ95" s="574">
        <f>SUM(JH95:KI95)</f>
      </c>
      <c r="KK95" s="577"/>
      <c r="KL95" s="189"/>
      <c r="KM95" s="578"/>
      <c r="KN95" s="579"/>
      <c r="KO95" s="579"/>
      <c r="KP95" s="580">
        <v>0.5</v>
      </c>
      <c r="KQ95" s="580">
        <v>0.5</v>
      </c>
      <c r="KR95" s="580">
        <v>0.5</v>
      </c>
      <c r="KS95" s="581">
        <v>0.5</v>
      </c>
      <c r="KT95" s="582">
        <v>0.5</v>
      </c>
      <c r="KU95" s="583"/>
      <c r="KV95" s="579"/>
      <c r="KW95" s="581">
        <v>0.5</v>
      </c>
      <c r="KX95" s="584">
        <v>0.5</v>
      </c>
      <c r="KY95" s="585">
        <v>0.5</v>
      </c>
      <c r="KZ95" s="581">
        <v>0.5</v>
      </c>
      <c r="LA95" s="580">
        <v>0.5</v>
      </c>
      <c r="LB95" s="580">
        <v>0.5</v>
      </c>
      <c r="LC95" s="580">
        <v>0.5</v>
      </c>
      <c r="LD95" s="580">
        <v>0.5</v>
      </c>
      <c r="LE95" s="580">
        <v>0.5</v>
      </c>
      <c r="LF95" s="580">
        <v>0.5</v>
      </c>
      <c r="LG95" s="580">
        <v>0.5</v>
      </c>
      <c r="LH95" s="579"/>
      <c r="LI95" s="579"/>
      <c r="LJ95" s="586"/>
      <c r="LK95" s="587"/>
      <c r="LL95" s="189"/>
      <c r="LM95" s="574">
        <f>SUM(KK95:LL95)</f>
      </c>
      <c r="LN95" s="577"/>
      <c r="LO95" s="189"/>
      <c r="LP95" s="578"/>
      <c r="LQ95" s="588" t="s">
        <v>4</v>
      </c>
      <c r="LR95" s="588" t="s">
        <v>4</v>
      </c>
      <c r="LS95" s="588" t="s">
        <v>4</v>
      </c>
      <c r="LT95" s="588" t="s">
        <v>4</v>
      </c>
      <c r="LU95" s="588" t="s">
        <v>4</v>
      </c>
      <c r="LV95" s="588" t="s">
        <v>4</v>
      </c>
      <c r="LW95" s="589" t="s">
        <v>4</v>
      </c>
      <c r="LX95" s="590" t="s">
        <v>4</v>
      </c>
      <c r="LY95" s="579"/>
      <c r="LZ95" s="579"/>
      <c r="MA95" s="591" t="s">
        <v>4</v>
      </c>
      <c r="MB95" s="592" t="s">
        <v>4</v>
      </c>
      <c r="MC95" s="588" t="s">
        <v>4</v>
      </c>
      <c r="MD95" s="588" t="s">
        <v>4</v>
      </c>
      <c r="ME95" s="588" t="s">
        <v>4</v>
      </c>
      <c r="MF95" s="588" t="s">
        <v>4</v>
      </c>
      <c r="MG95" s="588" t="s">
        <v>4</v>
      </c>
      <c r="MH95" s="588" t="s">
        <v>4</v>
      </c>
      <c r="MI95" s="579"/>
      <c r="MJ95" s="579"/>
      <c r="MK95" s="579"/>
      <c r="ML95" s="579"/>
      <c r="MM95" s="586"/>
      <c r="MN95" s="587"/>
      <c r="MO95" s="189"/>
      <c r="MP95" s="574">
        <f>SUM(LN95:MO95)</f>
      </c>
      <c r="MQ95" s="567"/>
      <c r="MR95" s="168"/>
      <c r="MS95" s="568"/>
      <c r="MT95" s="569"/>
      <c r="MU95" s="569"/>
      <c r="MV95" s="569"/>
      <c r="MW95" s="569"/>
      <c r="MX95" s="569"/>
      <c r="MY95" s="569"/>
      <c r="MZ95" s="570"/>
      <c r="NA95" s="571"/>
      <c r="NB95" s="569"/>
      <c r="NC95" s="569"/>
      <c r="ND95" s="572"/>
      <c r="NE95" s="568"/>
      <c r="NF95" s="569"/>
      <c r="NG95" s="569"/>
      <c r="NH95" s="569"/>
      <c r="NI95" s="569"/>
      <c r="NJ95" s="569"/>
      <c r="NK95" s="569"/>
      <c r="NL95" s="569"/>
      <c r="NM95" s="569"/>
      <c r="NN95" s="569"/>
      <c r="NO95" s="569"/>
      <c r="NP95" s="570"/>
      <c r="NQ95" s="573"/>
      <c r="NR95" s="168"/>
      <c r="NS95" s="574">
        <f>SUM(MQ95:NR95)</f>
      </c>
      <c r="NT95" s="567"/>
      <c r="NU95" s="168"/>
      <c r="NV95" s="568"/>
      <c r="NW95" s="569"/>
      <c r="NX95" s="569"/>
      <c r="NY95" s="569"/>
      <c r="NZ95" s="569"/>
      <c r="OA95" s="569"/>
      <c r="OB95" s="569"/>
      <c r="OC95" s="570"/>
      <c r="OD95" s="571"/>
      <c r="OE95" s="569"/>
      <c r="OF95" s="569"/>
      <c r="OG95" s="572"/>
      <c r="OH95" s="568"/>
      <c r="OI95" s="569"/>
      <c r="OJ95" s="569"/>
      <c r="OK95" s="569"/>
      <c r="OL95" s="569"/>
      <c r="OM95" s="569"/>
      <c r="ON95" s="569"/>
      <c r="OO95" s="569"/>
      <c r="OP95" s="569"/>
      <c r="OQ95" s="569"/>
      <c r="OR95" s="569"/>
      <c r="OS95" s="570"/>
      <c r="OT95" s="573"/>
      <c r="OU95" s="168"/>
      <c r="OV95" s="574">
        <f>SUM(NT95:OU95)</f>
      </c>
      <c r="OW95" s="575">
        <f>ID95+JG95+KJ95+LM95+MP95+NS95+OV95</f>
      </c>
      <c r="OX95" s="576">
        <f>(COUNTIF(HB95:OV95,"H")+COUNTIF(HB95:OV95,"S")+COUNTIF(HB95:OV95,"L")+COUNTIF(HB95:OV95,"E")+COUNTIF(HB95:OV95,"C"))/2</f>
      </c>
      <c r="OY95" s="574">
        <f>OW95+OX95</f>
      </c>
      <c r="OZ95" s="577"/>
      <c r="PA95" s="189"/>
      <c r="PB95" s="593">
        <v>0.5</v>
      </c>
      <c r="PC95" s="580">
        <v>0.5</v>
      </c>
      <c r="PD95" s="580">
        <v>0.5</v>
      </c>
      <c r="PE95" s="580">
        <v>0.5</v>
      </c>
      <c r="PF95" s="580">
        <v>0.5</v>
      </c>
      <c r="PG95" s="580">
        <v>0.5</v>
      </c>
      <c r="PH95" s="581">
        <v>0.5</v>
      </c>
      <c r="PI95" s="582">
        <v>0.5</v>
      </c>
      <c r="PJ95" s="594">
        <v>0.5</v>
      </c>
      <c r="PK95" s="581">
        <v>0.5</v>
      </c>
      <c r="PL95" s="579"/>
      <c r="PM95" s="595"/>
      <c r="PN95" s="585">
        <v>0.5</v>
      </c>
      <c r="PO95" s="581">
        <v>0.5</v>
      </c>
      <c r="PP95" s="580">
        <v>0.5</v>
      </c>
      <c r="PQ95" s="580">
        <v>0.5</v>
      </c>
      <c r="PR95" s="580">
        <v>0.5</v>
      </c>
      <c r="PS95" s="580">
        <v>0.5</v>
      </c>
      <c r="PT95" s="579"/>
      <c r="PU95" s="579"/>
      <c r="PV95" s="579"/>
      <c r="PW95" s="579"/>
      <c r="PX95" s="579"/>
      <c r="PY95" s="586"/>
      <c r="PZ95" s="587"/>
      <c r="QA95" s="189"/>
      <c r="QB95" s="574">
        <f>SUM(OZ95:QA95)</f>
      </c>
      <c r="QC95" s="577"/>
      <c r="QD95" s="189"/>
      <c r="QE95" s="593">
        <v>0.5</v>
      </c>
      <c r="QF95" s="580">
        <v>0.5</v>
      </c>
      <c r="QG95" s="580">
        <v>0.5</v>
      </c>
      <c r="QH95" s="580">
        <v>0.5</v>
      </c>
      <c r="QI95" s="580">
        <v>0.5</v>
      </c>
      <c r="QJ95" s="580">
        <v>0.5</v>
      </c>
      <c r="QK95" s="581">
        <v>0.5</v>
      </c>
      <c r="QL95" s="582">
        <v>0.5</v>
      </c>
      <c r="QM95" s="594">
        <v>0.5</v>
      </c>
      <c r="QN95" s="581">
        <v>0.5</v>
      </c>
      <c r="QO95" s="579"/>
      <c r="QP95" s="595"/>
      <c r="QQ95" s="585">
        <v>0.5</v>
      </c>
      <c r="QR95" s="581">
        <v>0.5</v>
      </c>
      <c r="QS95" s="580">
        <v>0.5</v>
      </c>
      <c r="QT95" s="580">
        <v>0.5</v>
      </c>
      <c r="QU95" s="580">
        <v>0.5</v>
      </c>
      <c r="QV95" s="580">
        <v>0.5</v>
      </c>
      <c r="QW95" s="579"/>
      <c r="QX95" s="579"/>
      <c r="QY95" s="579"/>
      <c r="QZ95" s="579"/>
      <c r="RA95" s="579"/>
      <c r="RB95" s="586"/>
      <c r="RC95" s="587"/>
      <c r="RD95" s="189"/>
      <c r="RE95" s="574">
        <f>SUM(QC95:RD95)</f>
      </c>
      <c r="RF95" s="577"/>
      <c r="RG95" s="189"/>
      <c r="RH95" s="593">
        <v>0.5</v>
      </c>
      <c r="RI95" s="580">
        <v>0.5</v>
      </c>
      <c r="RJ95" s="580">
        <v>0.5</v>
      </c>
      <c r="RK95" s="580">
        <v>0.5</v>
      </c>
      <c r="RL95" s="580">
        <v>0.5</v>
      </c>
      <c r="RM95" s="580">
        <v>0.5</v>
      </c>
      <c r="RN95" s="581">
        <v>0.5</v>
      </c>
      <c r="RO95" s="582">
        <v>0.5</v>
      </c>
      <c r="RP95" s="594">
        <v>0.5</v>
      </c>
      <c r="RQ95" s="581">
        <v>0.5</v>
      </c>
      <c r="RR95" s="579"/>
      <c r="RS95" s="595"/>
      <c r="RT95" s="585">
        <v>0.5</v>
      </c>
      <c r="RU95" s="581">
        <v>0.5</v>
      </c>
      <c r="RV95" s="580">
        <v>0.5</v>
      </c>
      <c r="RW95" s="580">
        <v>0.5</v>
      </c>
      <c r="RX95" s="580">
        <v>0.5</v>
      </c>
      <c r="RY95" s="580">
        <v>0.5</v>
      </c>
      <c r="RZ95" s="579"/>
      <c r="SA95" s="579"/>
      <c r="SB95" s="579"/>
      <c r="SC95" s="579"/>
      <c r="SD95" s="579"/>
      <c r="SE95" s="586"/>
      <c r="SF95" s="587"/>
      <c r="SG95" s="189"/>
      <c r="SH95" s="574">
        <f>SUM(RF95:SG95)</f>
      </c>
      <c r="SI95" s="577"/>
      <c r="SJ95" s="189"/>
      <c r="SK95" s="593">
        <v>0.5</v>
      </c>
      <c r="SL95" s="580">
        <v>0.5</v>
      </c>
      <c r="SM95" s="580">
        <v>0.5</v>
      </c>
      <c r="SN95" s="580">
        <v>0.5</v>
      </c>
      <c r="SO95" s="580">
        <v>0.5</v>
      </c>
      <c r="SP95" s="580">
        <v>0.5</v>
      </c>
      <c r="SQ95" s="581">
        <v>0.5</v>
      </c>
      <c r="SR95" s="582">
        <v>0.5</v>
      </c>
      <c r="SS95" s="594">
        <v>0.5</v>
      </c>
      <c r="ST95" s="581">
        <v>0.5</v>
      </c>
      <c r="SU95" s="579"/>
      <c r="SV95" s="595"/>
      <c r="SW95" s="585">
        <v>0.5</v>
      </c>
      <c r="SX95" s="581">
        <v>0.5</v>
      </c>
      <c r="SY95" s="580">
        <v>0.5</v>
      </c>
      <c r="SZ95" s="580">
        <v>0.5</v>
      </c>
      <c r="TA95" s="580">
        <v>0.5</v>
      </c>
      <c r="TB95" s="580">
        <v>0.5</v>
      </c>
      <c r="TC95" s="579"/>
      <c r="TD95" s="579"/>
      <c r="TE95" s="579"/>
      <c r="TF95" s="579"/>
      <c r="TG95" s="579"/>
      <c r="TH95" s="586"/>
      <c r="TI95" s="587"/>
      <c r="TJ95" s="189"/>
      <c r="TK95" s="574">
        <f>SUM(SI95:TJ95)</f>
      </c>
      <c r="TL95" s="577"/>
      <c r="TM95" s="189"/>
      <c r="TN95" s="593">
        <v>0.5</v>
      </c>
      <c r="TO95" s="580">
        <v>0.5</v>
      </c>
      <c r="TP95" s="580">
        <v>0.5</v>
      </c>
      <c r="TQ95" s="580">
        <v>0.5</v>
      </c>
      <c r="TR95" s="580">
        <v>0.5</v>
      </c>
      <c r="TS95" s="580">
        <v>0.5</v>
      </c>
      <c r="TT95" s="581">
        <v>0.5</v>
      </c>
      <c r="TU95" s="582">
        <v>0.5</v>
      </c>
      <c r="TV95" s="594">
        <v>0.5</v>
      </c>
      <c r="TW95" s="581">
        <v>0.5</v>
      </c>
      <c r="TX95" s="579"/>
      <c r="TY95" s="595"/>
      <c r="TZ95" s="585">
        <v>0.5</v>
      </c>
      <c r="UA95" s="581">
        <v>0.5</v>
      </c>
      <c r="UB95" s="580">
        <v>0.5</v>
      </c>
      <c r="UC95" s="580">
        <v>0.5</v>
      </c>
      <c r="UD95" s="580">
        <v>0.5</v>
      </c>
      <c r="UE95" s="580">
        <v>0.5</v>
      </c>
      <c r="UF95" s="579"/>
      <c r="UG95" s="579"/>
      <c r="UH95" s="579"/>
      <c r="UI95" s="579"/>
      <c r="UJ95" s="579"/>
      <c r="UK95" s="586"/>
      <c r="UL95" s="587"/>
      <c r="UM95" s="189"/>
      <c r="UN95" s="574">
        <f>SUM(TL95:UM95)</f>
      </c>
      <c r="UO95" s="567"/>
      <c r="UP95" s="168"/>
      <c r="UQ95" s="568"/>
      <c r="UR95" s="569"/>
      <c r="US95" s="569"/>
      <c r="UT95" s="569"/>
      <c r="UU95" s="569"/>
      <c r="UV95" s="569"/>
      <c r="UW95" s="569"/>
      <c r="UX95" s="570"/>
      <c r="UY95" s="571"/>
      <c r="UZ95" s="569"/>
      <c r="VA95" s="569"/>
      <c r="VB95" s="572"/>
      <c r="VC95" s="568"/>
      <c r="VD95" s="569"/>
      <c r="VE95" s="569"/>
      <c r="VF95" s="569"/>
      <c r="VG95" s="569"/>
      <c r="VH95" s="569"/>
      <c r="VI95" s="569"/>
      <c r="VJ95" s="569"/>
      <c r="VK95" s="569"/>
      <c r="VL95" s="569"/>
      <c r="VM95" s="569"/>
      <c r="VN95" s="570"/>
      <c r="VO95" s="573"/>
      <c r="VP95" s="168"/>
      <c r="VQ95" s="574">
        <f>SUM(UO95:VP95)</f>
      </c>
      <c r="VR95" s="567"/>
      <c r="VS95" s="168"/>
      <c r="VT95" s="568"/>
      <c r="VU95" s="569"/>
      <c r="VV95" s="569"/>
      <c r="VW95" s="569"/>
      <c r="VX95" s="569"/>
      <c r="VY95" s="569"/>
      <c r="VZ95" s="569"/>
      <c r="WA95" s="570"/>
      <c r="WB95" s="571"/>
      <c r="WC95" s="569"/>
      <c r="WD95" s="569"/>
      <c r="WE95" s="572"/>
      <c r="WF95" s="568"/>
      <c r="WG95" s="569"/>
      <c r="WH95" s="569"/>
      <c r="WI95" s="569"/>
      <c r="WJ95" s="569"/>
      <c r="WK95" s="569"/>
      <c r="WL95" s="569"/>
      <c r="WM95" s="569"/>
      <c r="WN95" s="569"/>
      <c r="WO95" s="569"/>
      <c r="WP95" s="569"/>
      <c r="WQ95" s="570"/>
      <c r="WR95" s="573"/>
      <c r="WS95" s="168"/>
      <c r="WT95" s="574">
        <f>SUM(VR95:WS95)</f>
      </c>
      <c r="WU95" s="575">
        <f>QB95+RE95+SH95+TK95+UN95+VQ95+WT95</f>
      </c>
      <c r="WV95" s="576">
        <f>(COUNTIF(OZ95:WT95,"H")+COUNTIF(OZ95:WT95,"S")+COUNTIF(OZ95:WT95,"L")+COUNTIF(OZ95:WT95,"E")+COUNTIF(OZ95:WT95,"C"))/2</f>
      </c>
      <c r="WW95" s="574">
        <f>WU95+WV95</f>
      </c>
      <c r="WX95" s="577"/>
      <c r="WY95" s="189"/>
      <c r="WZ95" s="578"/>
      <c r="XA95" s="579"/>
      <c r="XB95" s="579"/>
      <c r="XC95" s="580">
        <v>0.5</v>
      </c>
      <c r="XD95" s="580">
        <v>0.5</v>
      </c>
      <c r="XE95" s="580">
        <v>0.5</v>
      </c>
      <c r="XF95" s="581">
        <v>0.5</v>
      </c>
      <c r="XG95" s="582">
        <v>0.5</v>
      </c>
      <c r="XH95" s="583"/>
      <c r="XI95" s="579"/>
      <c r="XJ95" s="581">
        <v>0.5</v>
      </c>
      <c r="XK95" s="584">
        <v>0.5</v>
      </c>
      <c r="XL95" s="585">
        <v>0.5</v>
      </c>
      <c r="XM95" s="581">
        <v>0.5</v>
      </c>
      <c r="XN95" s="580">
        <v>0.5</v>
      </c>
      <c r="XO95" s="580">
        <v>0.5</v>
      </c>
      <c r="XP95" s="580">
        <v>0.5</v>
      </c>
      <c r="XQ95" s="580">
        <v>0.5</v>
      </c>
      <c r="XR95" s="580">
        <v>0.5</v>
      </c>
      <c r="XS95" s="580">
        <v>0.5</v>
      </c>
      <c r="XT95" s="580">
        <v>0.5</v>
      </c>
      <c r="XU95" s="579"/>
      <c r="XV95" s="579"/>
      <c r="XW95" s="586"/>
      <c r="XX95" s="587"/>
      <c r="XY95" s="189"/>
      <c r="XZ95" s="574">
        <f>SUM(WX95:XY95)</f>
      </c>
      <c r="YA95" s="577"/>
      <c r="YB95" s="189"/>
      <c r="YC95" s="578"/>
      <c r="YD95" s="579"/>
      <c r="YE95" s="579"/>
      <c r="YF95" s="580">
        <v>0.5</v>
      </c>
      <c r="YG95" s="580">
        <v>0.5</v>
      </c>
      <c r="YH95" s="580">
        <v>0.5</v>
      </c>
      <c r="YI95" s="581">
        <v>0.5</v>
      </c>
      <c r="YJ95" s="582">
        <v>0.5</v>
      </c>
      <c r="YK95" s="583"/>
      <c r="YL95" s="579"/>
      <c r="YM95" s="581">
        <v>0.5</v>
      </c>
      <c r="YN95" s="584">
        <v>0.5</v>
      </c>
      <c r="YO95" s="585">
        <v>0.5</v>
      </c>
      <c r="YP95" s="581">
        <v>0.5</v>
      </c>
      <c r="YQ95" s="580">
        <v>0.5</v>
      </c>
      <c r="YR95" s="580">
        <v>0.5</v>
      </c>
      <c r="YS95" s="580">
        <v>0.5</v>
      </c>
      <c r="YT95" s="580">
        <v>0.5</v>
      </c>
      <c r="YU95" s="580">
        <v>0.5</v>
      </c>
      <c r="YV95" s="580">
        <v>0.5</v>
      </c>
      <c r="YW95" s="580">
        <v>0.5</v>
      </c>
      <c r="YX95" s="579"/>
      <c r="YY95" s="579"/>
      <c r="YZ95" s="586"/>
      <c r="ZA95" s="587"/>
      <c r="ZB95" s="189"/>
      <c r="ZC95" s="574">
        <f>SUM(YA95:ZB95)</f>
      </c>
      <c r="ZD95" s="577"/>
      <c r="ZE95" s="189"/>
      <c r="ZF95" s="578"/>
      <c r="ZG95" s="579"/>
      <c r="ZH95" s="579"/>
      <c r="ZI95" s="580">
        <v>0.5</v>
      </c>
      <c r="ZJ95" s="580">
        <v>0.5</v>
      </c>
      <c r="ZK95" s="580">
        <v>0.5</v>
      </c>
      <c r="ZL95" s="581">
        <v>0.5</v>
      </c>
      <c r="ZM95" s="582">
        <v>0.5</v>
      </c>
      <c r="ZN95" s="583"/>
      <c r="ZO95" s="579"/>
      <c r="ZP95" s="581">
        <v>0.5</v>
      </c>
      <c r="ZQ95" s="584">
        <v>0.5</v>
      </c>
      <c r="ZR95" s="585">
        <v>0.5</v>
      </c>
      <c r="ZS95" s="581">
        <v>0.5</v>
      </c>
      <c r="ZT95" s="580">
        <v>0.5</v>
      </c>
      <c r="ZU95" s="580">
        <v>0.5</v>
      </c>
      <c r="ZV95" s="580">
        <v>0.5</v>
      </c>
      <c r="ZW95" s="580">
        <v>0.5</v>
      </c>
      <c r="ZX95" s="580">
        <v>0.5</v>
      </c>
      <c r="ZY95" s="580">
        <v>0.5</v>
      </c>
      <c r="ZZ95" s="580">
        <v>0.5</v>
      </c>
      <c r="AAA95" s="579"/>
      <c r="AAB95" s="579"/>
      <c r="AAC95" s="586"/>
      <c r="AAD95" s="587"/>
      <c r="AAE95" s="189"/>
      <c r="AAF95" s="574">
        <f>SUM(ZD95:AAE95)</f>
      </c>
      <c r="AAG95" s="577"/>
      <c r="AAH95" s="189"/>
      <c r="AAI95" s="578"/>
      <c r="AAJ95" s="579"/>
      <c r="AAK95" s="579"/>
      <c r="AAL95" s="580">
        <v>0.5</v>
      </c>
      <c r="AAM95" s="580">
        <v>0.5</v>
      </c>
      <c r="AAN95" s="580">
        <v>0.5</v>
      </c>
      <c r="AAO95" s="581">
        <v>0.5</v>
      </c>
      <c r="AAP95" s="582">
        <v>0.5</v>
      </c>
      <c r="AAQ95" s="583"/>
      <c r="AAR95" s="579"/>
      <c r="AAS95" s="581">
        <v>0.5</v>
      </c>
      <c r="AAT95" s="584">
        <v>0.5</v>
      </c>
      <c r="AAU95" s="585">
        <v>0.5</v>
      </c>
      <c r="AAV95" s="581">
        <v>0.5</v>
      </c>
      <c r="AAW95" s="580">
        <v>0.5</v>
      </c>
      <c r="AAX95" s="580">
        <v>0.5</v>
      </c>
      <c r="AAY95" s="580">
        <v>0.5</v>
      </c>
      <c r="AAZ95" s="580">
        <v>0.5</v>
      </c>
      <c r="ABA95" s="580">
        <v>0.5</v>
      </c>
      <c r="ABB95" s="580">
        <v>0.5</v>
      </c>
      <c r="ABC95" s="580">
        <v>0.5</v>
      </c>
      <c r="ABD95" s="579"/>
      <c r="ABE95" s="579"/>
      <c r="ABF95" s="586"/>
      <c r="ABG95" s="587"/>
      <c r="ABH95" s="189"/>
      <c r="ABI95" s="574">
        <f>SUM(AAG95:ABH95)</f>
      </c>
      <c r="ABJ95" s="577"/>
      <c r="ABK95" s="189"/>
      <c r="ABL95" s="578"/>
      <c r="ABM95" s="579"/>
      <c r="ABN95" s="579"/>
      <c r="ABO95" s="580">
        <v>0.5</v>
      </c>
      <c r="ABP95" s="580">
        <v>0.5</v>
      </c>
      <c r="ABQ95" s="580">
        <v>0.5</v>
      </c>
      <c r="ABR95" s="581">
        <v>0.5</v>
      </c>
      <c r="ABS95" s="582">
        <v>0.5</v>
      </c>
      <c r="ABT95" s="583"/>
      <c r="ABU95" s="579"/>
      <c r="ABV95" s="581">
        <v>0.5</v>
      </c>
      <c r="ABW95" s="584">
        <v>0.5</v>
      </c>
      <c r="ABX95" s="585">
        <v>0.5</v>
      </c>
      <c r="ABY95" s="581">
        <v>0.5</v>
      </c>
      <c r="ABZ95" s="580">
        <v>0.5</v>
      </c>
      <c r="ACA95" s="580">
        <v>0.5</v>
      </c>
      <c r="ACB95" s="580">
        <v>0.5</v>
      </c>
      <c r="ACC95" s="580">
        <v>0.5</v>
      </c>
      <c r="ACD95" s="580">
        <v>0.5</v>
      </c>
      <c r="ACE95" s="580">
        <v>0.5</v>
      </c>
      <c r="ACF95" s="580">
        <v>0.5</v>
      </c>
      <c r="ACG95" s="579"/>
      <c r="ACH95" s="579"/>
      <c r="ACI95" s="586"/>
      <c r="ACJ95" s="587"/>
      <c r="ACK95" s="189"/>
      <c r="ACL95" s="574">
        <f>SUM(ABJ95:ACK95)</f>
      </c>
      <c r="ACM95" s="567"/>
      <c r="ACN95" s="168"/>
      <c r="ACO95" s="568"/>
      <c r="ACP95" s="569"/>
      <c r="ACQ95" s="569"/>
      <c r="ACR95" s="569"/>
      <c r="ACS95" s="569"/>
      <c r="ACT95" s="569"/>
      <c r="ACU95" s="569"/>
      <c r="ACV95" s="570"/>
      <c r="ACW95" s="571"/>
      <c r="ACX95" s="569"/>
      <c r="ACY95" s="569"/>
      <c r="ACZ95" s="572"/>
      <c r="ADA95" s="568"/>
      <c r="ADB95" s="569"/>
      <c r="ADC95" s="569"/>
      <c r="ADD95" s="569"/>
      <c r="ADE95" s="569"/>
      <c r="ADF95" s="569"/>
      <c r="ADG95" s="569"/>
      <c r="ADH95" s="569"/>
      <c r="ADI95" s="569"/>
      <c r="ADJ95" s="569"/>
      <c r="ADK95" s="569"/>
      <c r="ADL95" s="570"/>
      <c r="ADM95" s="573"/>
      <c r="ADN95" s="168"/>
      <c r="ADO95" s="574">
        <f>SUM(ACM95:ADN95)</f>
      </c>
      <c r="ADP95" s="567"/>
      <c r="ADQ95" s="168"/>
      <c r="ADR95" s="568"/>
      <c r="ADS95" s="569"/>
      <c r="ADT95" s="569"/>
      <c r="ADU95" s="569"/>
      <c r="ADV95" s="569"/>
      <c r="ADW95" s="569"/>
      <c r="ADX95" s="569"/>
      <c r="ADY95" s="570"/>
      <c r="ADZ95" s="571"/>
      <c r="AEA95" s="569"/>
      <c r="AEB95" s="569"/>
      <c r="AEC95" s="572"/>
      <c r="AED95" s="568"/>
      <c r="AEE95" s="569"/>
      <c r="AEF95" s="569"/>
      <c r="AEG95" s="569"/>
      <c r="AEH95" s="569"/>
      <c r="AEI95" s="569"/>
      <c r="AEJ95" s="569"/>
      <c r="AEK95" s="569"/>
      <c r="AEL95" s="569"/>
      <c r="AEM95" s="569"/>
      <c r="AEN95" s="569"/>
      <c r="AEO95" s="570"/>
      <c r="AEP95" s="573"/>
      <c r="AEQ95" s="168"/>
      <c r="AER95" s="574">
        <f>SUM(ADP95:AEQ95)</f>
      </c>
      <c r="AES95" s="575">
        <f>XZ95+ZC95+AAF95+ABI95+ACL95+ADO95+AER95</f>
      </c>
      <c r="AET95" s="576">
        <f>(COUNTIF(WX95:AER95,"H")+COUNTIF(WX95:AER95,"S")+COUNTIF(WX95:AER95,"L")+COUNTIF(WX95:AER95,"E")+COUNTIF(WX95:AER95,"C"))/2</f>
      </c>
      <c r="AEU95" s="574">
        <f>AES95+AET95</f>
      </c>
      <c r="AEV95" s="577"/>
      <c r="AEW95" s="189"/>
      <c r="AEX95" s="593">
        <v>0.5</v>
      </c>
      <c r="AEY95" s="580">
        <v>0.5</v>
      </c>
      <c r="AEZ95" s="580">
        <v>0.5</v>
      </c>
      <c r="AFA95" s="580">
        <v>0.5</v>
      </c>
      <c r="AFB95" s="580">
        <v>0.5</v>
      </c>
      <c r="AFC95" s="580">
        <v>0.5</v>
      </c>
      <c r="AFD95" s="581">
        <v>0.5</v>
      </c>
      <c r="AFE95" s="582">
        <v>0.5</v>
      </c>
      <c r="AFF95" s="594">
        <v>0.5</v>
      </c>
      <c r="AFG95" s="581">
        <v>0.5</v>
      </c>
      <c r="AFH95" s="579"/>
      <c r="AFI95" s="595"/>
      <c r="AFJ95" s="585">
        <v>0.5</v>
      </c>
      <c r="AFK95" s="581">
        <v>0.5</v>
      </c>
      <c r="AFL95" s="580">
        <v>0.5</v>
      </c>
      <c r="AFM95" s="580">
        <v>0.5</v>
      </c>
      <c r="AFN95" s="580">
        <v>0.5</v>
      </c>
      <c r="AFO95" s="580">
        <v>0.5</v>
      </c>
      <c r="AFP95" s="579"/>
      <c r="AFQ95" s="579"/>
      <c r="AFR95" s="579"/>
      <c r="AFS95" s="579"/>
      <c r="AFT95" s="579"/>
      <c r="AFU95" s="586"/>
      <c r="AFV95" s="587"/>
      <c r="AFW95" s="189"/>
      <c r="AFX95" s="574">
        <f>SUM(AEV95:AFW95)</f>
      </c>
      <c r="AFY95" s="577"/>
      <c r="AFZ95" s="189"/>
      <c r="AGA95" s="593">
        <v>0.5</v>
      </c>
      <c r="AGB95" s="580">
        <v>0.5</v>
      </c>
      <c r="AGC95" s="580">
        <v>0.5</v>
      </c>
      <c r="AGD95" s="580">
        <v>0.5</v>
      </c>
      <c r="AGE95" s="580">
        <v>0.5</v>
      </c>
      <c r="AGF95" s="580">
        <v>0.5</v>
      </c>
      <c r="AGG95" s="581">
        <v>0.5</v>
      </c>
      <c r="AGH95" s="582">
        <v>0.5</v>
      </c>
      <c r="AGI95" s="594">
        <v>0.5</v>
      </c>
      <c r="AGJ95" s="581">
        <v>0.5</v>
      </c>
      <c r="AGK95" s="579"/>
      <c r="AGL95" s="595"/>
      <c r="AGM95" s="585">
        <v>0.5</v>
      </c>
      <c r="AGN95" s="581">
        <v>0.5</v>
      </c>
      <c r="AGO95" s="580">
        <v>0.5</v>
      </c>
      <c r="AGP95" s="580">
        <v>0.5</v>
      </c>
      <c r="AGQ95" s="580">
        <v>0.5</v>
      </c>
      <c r="AGR95" s="580">
        <v>0.5</v>
      </c>
      <c r="AGS95" s="579"/>
      <c r="AGT95" s="579"/>
      <c r="AGU95" s="579"/>
      <c r="AGV95" s="579"/>
      <c r="AGW95" s="579"/>
      <c r="AGX95" s="586"/>
      <c r="AGY95" s="587"/>
      <c r="AGZ95" s="189"/>
      <c r="AHA95" s="574">
        <f>SUM(AFY95:AGZ95)</f>
      </c>
      <c r="AHB95" s="577"/>
      <c r="AHC95" s="189"/>
      <c r="AHD95" s="593">
        <v>0.5</v>
      </c>
      <c r="AHE95" s="580">
        <v>0.5</v>
      </c>
      <c r="AHF95" s="580">
        <v>0.5</v>
      </c>
      <c r="AHG95" s="580">
        <v>0.5</v>
      </c>
      <c r="AHH95" s="580">
        <v>0.5</v>
      </c>
      <c r="AHI95" s="580">
        <v>0.5</v>
      </c>
      <c r="AHJ95" s="581">
        <v>0.5</v>
      </c>
      <c r="AHK95" s="582">
        <v>0.5</v>
      </c>
      <c r="AHL95" s="594">
        <v>0.5</v>
      </c>
      <c r="AHM95" s="581">
        <v>0.5</v>
      </c>
      <c r="AHN95" s="579"/>
      <c r="AHO95" s="595"/>
      <c r="AHP95" s="585">
        <v>0.5</v>
      </c>
      <c r="AHQ95" s="581">
        <v>0.5</v>
      </c>
      <c r="AHR95" s="580">
        <v>0.5</v>
      </c>
      <c r="AHS95" s="580">
        <v>0.5</v>
      </c>
      <c r="AHT95" s="580">
        <v>0.5</v>
      </c>
      <c r="AHU95" s="580">
        <v>0.5</v>
      </c>
      <c r="AHV95" s="579"/>
      <c r="AHW95" s="579"/>
      <c r="AHX95" s="579"/>
      <c r="AHY95" s="579"/>
      <c r="AHZ95" s="579"/>
      <c r="AIA95" s="586"/>
      <c r="AIB95" s="587"/>
      <c r="AIC95" s="189"/>
      <c r="AID95" s="574">
        <f>SUM(AHB95:AIC95)</f>
      </c>
      <c r="AIE95" s="577"/>
      <c r="AIF95" s="189"/>
      <c r="AIG95" s="593">
        <v>0.5</v>
      </c>
      <c r="AIH95" s="580">
        <v>0.5</v>
      </c>
      <c r="AII95" s="580">
        <v>0.5</v>
      </c>
      <c r="AIJ95" s="580">
        <v>0.5</v>
      </c>
      <c r="AIK95" s="580">
        <v>0.5</v>
      </c>
      <c r="AIL95" s="580">
        <v>0.5</v>
      </c>
      <c r="AIM95" s="581">
        <v>0.5</v>
      </c>
      <c r="AIN95" s="582">
        <v>0.5</v>
      </c>
      <c r="AIO95" s="594">
        <v>0.5</v>
      </c>
      <c r="AIP95" s="581">
        <v>0.5</v>
      </c>
      <c r="AIQ95" s="579"/>
      <c r="AIR95" s="595"/>
      <c r="AIS95" s="585">
        <v>0.5</v>
      </c>
      <c r="AIT95" s="581">
        <v>0.5</v>
      </c>
      <c r="AIU95" s="580">
        <v>0.5</v>
      </c>
      <c r="AIV95" s="580">
        <v>0.5</v>
      </c>
      <c r="AIW95" s="580">
        <v>0.5</v>
      </c>
      <c r="AIX95" s="580">
        <v>0.5</v>
      </c>
      <c r="AIY95" s="579"/>
      <c r="AIZ95" s="579"/>
      <c r="AJA95" s="579"/>
      <c r="AJB95" s="579"/>
      <c r="AJC95" s="579"/>
      <c r="AJD95" s="586"/>
      <c r="AJE95" s="587"/>
      <c r="AJF95" s="189"/>
      <c r="AJG95" s="574">
        <f>SUM(AIE95:AJF95)</f>
      </c>
      <c r="AJH95" s="577"/>
      <c r="AJI95" s="189"/>
      <c r="AJJ95" s="593">
        <v>0.5</v>
      </c>
      <c r="AJK95" s="580">
        <v>0.5</v>
      </c>
      <c r="AJL95" s="580">
        <v>0.5</v>
      </c>
      <c r="AJM95" s="580">
        <v>0.5</v>
      </c>
      <c r="AJN95" s="580">
        <v>0.5</v>
      </c>
      <c r="AJO95" s="580">
        <v>0.5</v>
      </c>
      <c r="AJP95" s="581">
        <v>0.5</v>
      </c>
      <c r="AJQ95" s="582">
        <v>0.5</v>
      </c>
      <c r="AJR95" s="594">
        <v>0.5</v>
      </c>
      <c r="AJS95" s="581">
        <v>0.5</v>
      </c>
      <c r="AJT95" s="579"/>
      <c r="AJU95" s="595"/>
      <c r="AJV95" s="585">
        <v>0.5</v>
      </c>
      <c r="AJW95" s="581">
        <v>0.5</v>
      </c>
      <c r="AJX95" s="580">
        <v>0.5</v>
      </c>
      <c r="AJY95" s="580">
        <v>0.5</v>
      </c>
      <c r="AJZ95" s="580">
        <v>0.5</v>
      </c>
      <c r="AKA95" s="580">
        <v>0.5</v>
      </c>
      <c r="AKB95" s="579"/>
      <c r="AKC95" s="579"/>
      <c r="AKD95" s="579"/>
      <c r="AKE95" s="579"/>
      <c r="AKF95" s="579"/>
      <c r="AKG95" s="586"/>
      <c r="AKH95" s="587"/>
      <c r="AKI95" s="189"/>
      <c r="AKJ95" s="574">
        <f>SUM(AJH95:AKI95)</f>
      </c>
      <c r="AKK95" s="567"/>
      <c r="AKL95" s="168"/>
      <c r="AKM95" s="568"/>
      <c r="AKN95" s="569"/>
      <c r="AKO95" s="569"/>
      <c r="AKP95" s="569"/>
      <c r="AKQ95" s="569"/>
      <c r="AKR95" s="569"/>
      <c r="AKS95" s="569"/>
      <c r="AKT95" s="570"/>
      <c r="AKU95" s="571"/>
      <c r="AKV95" s="569"/>
      <c r="AKW95" s="569"/>
      <c r="AKX95" s="572"/>
      <c r="AKY95" s="568"/>
      <c r="AKZ95" s="569"/>
      <c r="ALA95" s="569"/>
      <c r="ALB95" s="569"/>
      <c r="ALC95" s="569"/>
      <c r="ALD95" s="569"/>
      <c r="ALE95" s="569"/>
      <c r="ALF95" s="569"/>
      <c r="ALG95" s="569"/>
      <c r="ALH95" s="569"/>
      <c r="ALI95" s="569"/>
      <c r="ALJ95" s="570"/>
      <c r="ALK95" s="573"/>
      <c r="ALL95" s="168"/>
      <c r="ALM95" s="574">
        <f>SUM(AKK95:ALL95)</f>
      </c>
      <c r="ALN95" s="567"/>
      <c r="ALO95" s="168"/>
      <c r="ALP95" s="568"/>
      <c r="ALQ95" s="569"/>
      <c r="ALR95" s="569"/>
      <c r="ALS95" s="569"/>
      <c r="ALT95" s="569"/>
      <c r="ALU95" s="569"/>
      <c r="ALV95" s="569"/>
      <c r="ALW95" s="570"/>
      <c r="ALX95" s="571"/>
      <c r="ALY95" s="569"/>
      <c r="ALZ95" s="569"/>
      <c r="AMA95" s="572"/>
      <c r="AMB95" s="568"/>
      <c r="AMC95" s="569"/>
      <c r="AMD95" s="569"/>
      <c r="AME95" s="569"/>
      <c r="AMF95" s="569"/>
      <c r="AMG95" s="569"/>
      <c r="AMH95" s="569"/>
      <c r="AMI95" s="569"/>
      <c r="AMJ95" s="569"/>
      <c r="AMK95" s="569"/>
      <c r="AML95" s="569"/>
      <c r="AMM95" s="570"/>
      <c r="AMN95" s="573"/>
      <c r="AMO95" s="168"/>
      <c r="AMP95" s="574">
        <f>SUM(ALN95:AMO95)</f>
      </c>
      <c r="AMQ95" s="596">
        <f>AFX95+AHA95+AID95+AJG95+AKJ95+ALM95+AMP95</f>
      </c>
      <c r="AMR95" s="576">
        <f>(COUNTIF(AEV95:AMP95,"H")+COUNTIF(AEV95:AMP95,"S")+COUNTIF(AEV95:AMP95,"L")+COUNTIF(AEV95:AMP95,"E")+COUNTIF(AEV95:AMP95,"C"))/2</f>
      </c>
      <c r="AMS95" s="325">
        <f>AMQ95+AMR95</f>
      </c>
      <c r="AMT95" s="5"/>
      <c r="AMU95" s="5"/>
      <c r="AMV95" s="5"/>
      <c r="AMW95" s="5"/>
      <c r="AMX95" s="5"/>
      <c r="AMY95" s="5"/>
      <c r="AMZ95" s="4"/>
      <c r="ANA95" s="4"/>
      <c r="ANB95" s="4"/>
      <c r="ANC95" s="4"/>
      <c r="AND95" s="4"/>
      <c r="ANE95" s="4"/>
      <c r="ANF95" s="4"/>
      <c r="ANG95" s="4"/>
      <c r="ANH95" s="4"/>
      <c r="ANI95" s="4"/>
      <c r="ANJ95" s="13"/>
      <c r="ANK95" s="13"/>
      <c r="ANL95" s="4"/>
      <c r="ANM95" s="4"/>
      <c r="ANN95" s="4"/>
      <c r="ANO95" s="4"/>
      <c r="ANP95" s="4"/>
      <c r="ANQ95" s="4"/>
      <c r="ANR95" s="4"/>
      <c r="ANS95" s="4"/>
      <c r="ANT95" s="4"/>
      <c r="ANU95" s="4"/>
      <c r="ANV95" s="4"/>
      <c r="ANW95" s="4"/>
      <c r="ANX95" s="4"/>
      <c r="ANY95" s="4"/>
      <c r="ANZ95" s="4"/>
      <c r="AOA95" s="4"/>
      <c r="AOB95" s="4"/>
      <c r="AOC95" s="4"/>
      <c r="AOD95" s="4"/>
      <c r="AOE95" s="4"/>
      <c r="AOF95" s="4"/>
      <c r="AOG95" s="4"/>
      <c r="AOH95" s="4"/>
      <c r="AOI95" s="4"/>
      <c r="AOJ95" s="4"/>
      <c r="AOK95" s="4"/>
      <c r="AOL95" s="4"/>
      <c r="AOM95" s="4"/>
      <c r="AON95" s="4"/>
      <c r="AOO95" s="4"/>
      <c r="AOP95" s="4"/>
      <c r="AOQ95" s="4"/>
      <c r="AOR95" s="4"/>
      <c r="AOS95" s="4"/>
      <c r="AOT95" s="4"/>
      <c r="AOU95" s="4"/>
      <c r="AOV95" s="4"/>
      <c r="AOW95" s="4"/>
      <c r="AOX95" s="4"/>
      <c r="AOY95" s="4"/>
      <c r="AOZ95" s="4"/>
      <c r="APA95" s="4"/>
      <c r="APB95" s="4"/>
      <c r="APC95" s="4"/>
      <c r="APD95" s="4"/>
      <c r="APE95" s="4"/>
      <c r="APF95" s="4"/>
      <c r="APG95" s="4"/>
      <c r="APH95" s="4"/>
      <c r="API95" s="4"/>
      <c r="APJ95" s="4"/>
      <c r="APK95" s="4"/>
      <c r="APL95" s="4"/>
      <c r="APM95" s="4"/>
      <c r="APN95" s="4"/>
      <c r="APO95" s="4"/>
      <c r="APP95" s="4"/>
      <c r="APQ95" s="4"/>
      <c r="APR95" s="4"/>
      <c r="APS95" s="4"/>
      <c r="APT95" s="4"/>
      <c r="APU95" s="4"/>
      <c r="APV95" s="4"/>
      <c r="APW95" s="4"/>
      <c r="APX95" s="4"/>
      <c r="APY95" s="4"/>
      <c r="APZ95" s="4"/>
      <c r="AQA95" s="4"/>
      <c r="AQB95" s="4"/>
      <c r="AQC95" s="4"/>
      <c r="AQD95" s="4"/>
      <c r="AQE95" s="4"/>
      <c r="AQF95" s="4"/>
      <c r="AQG95" s="4"/>
      <c r="AQH95" s="4"/>
      <c r="AQI95" s="4"/>
      <c r="AQJ95" s="4"/>
      <c r="AQK95" s="4"/>
      <c r="AQL95" s="4"/>
      <c r="AQM95" s="4"/>
      <c r="AQN95" s="4"/>
      <c r="AQO95" s="4"/>
      <c r="AQP95" s="4"/>
      <c r="AQQ95" s="4"/>
      <c r="AQR95" s="4"/>
      <c r="AQS95" s="4"/>
      <c r="AQT95" s="4"/>
      <c r="AQU95" s="4"/>
      <c r="AQV95" s="4"/>
      <c r="AQW95" s="4"/>
      <c r="AQX95" s="4"/>
      <c r="AQY95" s="4"/>
      <c r="AQZ95" s="4"/>
      <c r="ARA95" s="4"/>
      <c r="ARB95" s="4"/>
      <c r="ARC95" s="4"/>
      <c r="ARD95" s="4"/>
      <c r="ARE95" s="4"/>
      <c r="ARF95" s="4"/>
      <c r="ARG95" s="4"/>
      <c r="ARH95" s="4"/>
      <c r="ARI95" s="4"/>
      <c r="ARJ95" s="4"/>
      <c r="ARK95" s="4"/>
      <c r="ARL95" s="4"/>
      <c r="ARM95" s="4"/>
      <c r="ARN95" s="4"/>
      <c r="ARO95" s="4"/>
      <c r="ARP95" s="4"/>
      <c r="ARQ95" s="4"/>
      <c r="ARR95" s="4"/>
      <c r="ARS95" s="4"/>
      <c r="ART95" s="4"/>
      <c r="ARU95" s="4"/>
      <c r="ARV95" s="4"/>
      <c r="ARW95" s="4"/>
      <c r="ARX95" s="4"/>
      <c r="ARY95" s="4"/>
      <c r="ARZ95" s="4"/>
      <c r="ASA95" s="4"/>
      <c r="ASB95" s="4"/>
      <c r="ASC95" s="4"/>
      <c r="ASD95" s="4"/>
      <c r="ASE95" s="4"/>
      <c r="ASF95" s="4"/>
      <c r="ASG95" s="4"/>
      <c r="ASH95" s="4"/>
      <c r="ASI95" s="4"/>
      <c r="ASJ95" s="4"/>
      <c r="ASK95" s="4"/>
      <c r="ASL95" s="4"/>
      <c r="ASM95" s="4"/>
      <c r="ASN95" s="4"/>
      <c r="ASO95" s="4"/>
      <c r="ASP95" s="4"/>
      <c r="ASQ95" s="4"/>
      <c r="ASR95" s="4"/>
      <c r="ASS95" s="4"/>
      <c r="AST95" s="4"/>
      <c r="ASU95" s="4"/>
    </row>
    <row r="96" ht="15" customHeight="1" spans="1:1191" x14ac:dyDescent="0.25">
      <c r="A96" s="191" t="s">
        <v>56</v>
      </c>
      <c r="B96" s="367" t="s">
        <v>134</v>
      </c>
      <c r="C96" s="289" t="s">
        <v>55</v>
      </c>
      <c r="D96" s="520"/>
      <c r="E96" s="122"/>
      <c r="F96" s="292"/>
      <c r="G96" s="196"/>
      <c r="H96" s="196"/>
      <c r="I96" s="196"/>
      <c r="J96" s="196"/>
      <c r="K96" s="196"/>
      <c r="L96" s="196"/>
      <c r="M96" s="195"/>
      <c r="N96" s="197"/>
      <c r="O96" s="196"/>
      <c r="P96" s="196"/>
      <c r="Q96" s="198"/>
      <c r="R96" s="292"/>
      <c r="S96" s="196"/>
      <c r="T96" s="196"/>
      <c r="U96" s="196"/>
      <c r="V96" s="196"/>
      <c r="W96" s="196"/>
      <c r="X96" s="196"/>
      <c r="Y96" s="196"/>
      <c r="Z96" s="196"/>
      <c r="AA96" s="196"/>
      <c r="AB96" s="196"/>
      <c r="AC96" s="195"/>
      <c r="AD96" s="521"/>
      <c r="AE96" s="194"/>
      <c r="AF96" s="130">
        <f>SUM(D96:AE96)</f>
      </c>
      <c r="AG96" s="520"/>
      <c r="AH96" s="122"/>
      <c r="AI96" s="292"/>
      <c r="AJ96" s="196"/>
      <c r="AK96" s="196"/>
      <c r="AL96" s="196"/>
      <c r="AM96" s="196"/>
      <c r="AN96" s="196"/>
      <c r="AO96" s="196"/>
      <c r="AP96" s="195"/>
      <c r="AQ96" s="197"/>
      <c r="AR96" s="196"/>
      <c r="AS96" s="196"/>
      <c r="AT96" s="198"/>
      <c r="AU96" s="292"/>
      <c r="AV96" s="196"/>
      <c r="AW96" s="196"/>
      <c r="AX96" s="196"/>
      <c r="AY96" s="196"/>
      <c r="AZ96" s="196"/>
      <c r="BA96" s="196"/>
      <c r="BB96" s="196"/>
      <c r="BC96" s="196"/>
      <c r="BD96" s="196"/>
      <c r="BE96" s="196"/>
      <c r="BF96" s="195"/>
      <c r="BG96" s="521"/>
      <c r="BH96" s="194"/>
      <c r="BI96" s="130">
        <f>SUM(AG96:BH96)</f>
      </c>
      <c r="BJ96" s="520"/>
      <c r="BK96" s="122"/>
      <c r="BL96" s="292"/>
      <c r="BM96" s="196"/>
      <c r="BN96" s="196"/>
      <c r="BO96" s="196"/>
      <c r="BP96" s="196"/>
      <c r="BQ96" s="196"/>
      <c r="BR96" s="196"/>
      <c r="BS96" s="195"/>
      <c r="BT96" s="197"/>
      <c r="BU96" s="196"/>
      <c r="BV96" s="196"/>
      <c r="BW96" s="198"/>
      <c r="BX96" s="292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5"/>
      <c r="CJ96" s="521"/>
      <c r="CK96" s="194"/>
      <c r="CL96" s="130">
        <f>SUM(BJ96:CK96)</f>
      </c>
      <c r="CM96" s="520"/>
      <c r="CN96" s="122"/>
      <c r="CO96" s="292"/>
      <c r="CP96" s="196"/>
      <c r="CQ96" s="196"/>
      <c r="CR96" s="196"/>
      <c r="CS96" s="196"/>
      <c r="CT96" s="196"/>
      <c r="CU96" s="196"/>
      <c r="CV96" s="195"/>
      <c r="CW96" s="197"/>
      <c r="CX96" s="196"/>
      <c r="CY96" s="196"/>
      <c r="CZ96" s="198"/>
      <c r="DA96" s="292"/>
      <c r="DB96" s="196"/>
      <c r="DC96" s="196"/>
      <c r="DD96" s="196"/>
      <c r="DE96" s="196"/>
      <c r="DF96" s="196"/>
      <c r="DG96" s="196"/>
      <c r="DH96" s="196"/>
      <c r="DI96" s="196"/>
      <c r="DJ96" s="196"/>
      <c r="DK96" s="196"/>
      <c r="DL96" s="195"/>
      <c r="DM96" s="521"/>
      <c r="DN96" s="194"/>
      <c r="DO96" s="130">
        <f>SUM(CM96:DN96)</f>
      </c>
      <c r="DP96" s="520"/>
      <c r="DQ96" s="122"/>
      <c r="DR96" s="292"/>
      <c r="DS96" s="196"/>
      <c r="DT96" s="196"/>
      <c r="DU96" s="196"/>
      <c r="DV96" s="196"/>
      <c r="DW96" s="196"/>
      <c r="DX96" s="196"/>
      <c r="DY96" s="195"/>
      <c r="DZ96" s="197"/>
      <c r="EA96" s="196"/>
      <c r="EB96" s="196"/>
      <c r="EC96" s="198"/>
      <c r="ED96" s="292"/>
      <c r="EE96" s="196"/>
      <c r="EF96" s="196"/>
      <c r="EG96" s="196"/>
      <c r="EH96" s="196"/>
      <c r="EI96" s="196"/>
      <c r="EJ96" s="196"/>
      <c r="EK96" s="196"/>
      <c r="EL96" s="196"/>
      <c r="EM96" s="196"/>
      <c r="EN96" s="196"/>
      <c r="EO96" s="195"/>
      <c r="EP96" s="521"/>
      <c r="EQ96" s="194"/>
      <c r="ER96" s="130">
        <f>SUM(DP96:EQ96)</f>
      </c>
      <c r="ES96" s="520"/>
      <c r="ET96" s="122"/>
      <c r="EU96" s="292"/>
      <c r="EV96" s="196"/>
      <c r="EW96" s="196"/>
      <c r="EX96" s="196"/>
      <c r="EY96" s="196"/>
      <c r="EZ96" s="196"/>
      <c r="FA96" s="196"/>
      <c r="FB96" s="195"/>
      <c r="FC96" s="197"/>
      <c r="FD96" s="196"/>
      <c r="FE96" s="196"/>
      <c r="FF96" s="198"/>
      <c r="FG96" s="292"/>
      <c r="FH96" s="196"/>
      <c r="FI96" s="196"/>
      <c r="FJ96" s="196"/>
      <c r="FK96" s="196"/>
      <c r="FL96" s="196"/>
      <c r="FM96" s="196"/>
      <c r="FN96" s="196"/>
      <c r="FO96" s="196"/>
      <c r="FP96" s="196"/>
      <c r="FQ96" s="196"/>
      <c r="FR96" s="195"/>
      <c r="FS96" s="521"/>
      <c r="FT96" s="194"/>
      <c r="FU96" s="130">
        <f>SUM(ES96:FT96)</f>
      </c>
      <c r="FV96" s="520"/>
      <c r="FW96" s="122"/>
      <c r="FX96" s="292"/>
      <c r="FY96" s="196"/>
      <c r="FZ96" s="196"/>
      <c r="GA96" s="196"/>
      <c r="GB96" s="196"/>
      <c r="GC96" s="196"/>
      <c r="GD96" s="196"/>
      <c r="GE96" s="195"/>
      <c r="GF96" s="197"/>
      <c r="GG96" s="196"/>
      <c r="GH96" s="196"/>
      <c r="GI96" s="198"/>
      <c r="GJ96" s="292"/>
      <c r="GK96" s="196"/>
      <c r="GL96" s="196"/>
      <c r="GM96" s="196"/>
      <c r="GN96" s="196"/>
      <c r="GO96" s="196"/>
      <c r="GP96" s="196"/>
      <c r="GQ96" s="196"/>
      <c r="GR96" s="196"/>
      <c r="GS96" s="196"/>
      <c r="GT96" s="196"/>
      <c r="GU96" s="195"/>
      <c r="GV96" s="521"/>
      <c r="GW96" s="194"/>
      <c r="GX96" s="130">
        <f>SUM(FV96:GW96)</f>
      </c>
      <c r="GY96" s="132">
        <f>AF96+BI96+CL96+DO96+ER96+FU96+GX96</f>
      </c>
      <c r="GZ96" s="133">
        <f>(COUNTIF(D96:GX96,"H")+COUNTIF(D96:GX96,"S")+COUNTIF(D96:GX96,"L")+COUNTIF(D96:GX96,"E")+COUNTIF(D96:GX96,"C"))/2</f>
      </c>
      <c r="HA96" s="130">
        <f>GY96+GZ96</f>
      </c>
      <c r="HB96" s="531"/>
      <c r="HC96" s="135"/>
      <c r="HD96" s="377">
        <v>0.5</v>
      </c>
      <c r="HE96" s="559">
        <v>0.5</v>
      </c>
      <c r="HF96" s="559">
        <v>0.5</v>
      </c>
      <c r="HG96" s="559">
        <v>0.5</v>
      </c>
      <c r="HH96" s="559">
        <v>0.5</v>
      </c>
      <c r="HI96" s="559">
        <v>0.5</v>
      </c>
      <c r="HJ96" s="559">
        <v>0.5</v>
      </c>
      <c r="HK96" s="560">
        <v>0.5</v>
      </c>
      <c r="HL96" s="561">
        <v>0.5</v>
      </c>
      <c r="HM96" s="559">
        <v>0.5</v>
      </c>
      <c r="HN96" s="207"/>
      <c r="HO96" s="208"/>
      <c r="HP96" s="298">
        <v>0.5</v>
      </c>
      <c r="HQ96" s="212">
        <v>0.5</v>
      </c>
      <c r="HR96" s="15">
        <v>0.5</v>
      </c>
      <c r="HS96" s="15">
        <v>0.5</v>
      </c>
      <c r="HT96" s="15">
        <v>0.5</v>
      </c>
      <c r="HU96" s="15">
        <v>0.5</v>
      </c>
      <c r="HV96" s="207"/>
      <c r="HW96" s="207"/>
      <c r="HX96" s="207"/>
      <c r="HY96" s="207"/>
      <c r="HZ96" s="207"/>
      <c r="IA96" s="202"/>
      <c r="IB96" s="532"/>
      <c r="IC96" s="201"/>
      <c r="ID96" s="130">
        <f>SUM(HB96:IC96)</f>
      </c>
      <c r="IE96" s="531"/>
      <c r="IF96" s="135"/>
      <c r="IG96" s="377">
        <v>0.5</v>
      </c>
      <c r="IH96" s="559">
        <v>0.5</v>
      </c>
      <c r="II96" s="559">
        <v>0.5</v>
      </c>
      <c r="IJ96" s="559">
        <v>0.5</v>
      </c>
      <c r="IK96" s="559">
        <v>0.5</v>
      </c>
      <c r="IL96" s="559">
        <v>0.5</v>
      </c>
      <c r="IM96" s="559">
        <v>0.5</v>
      </c>
      <c r="IN96" s="560">
        <v>0.5</v>
      </c>
      <c r="IO96" s="561">
        <v>0.5</v>
      </c>
      <c r="IP96" s="559">
        <v>0.5</v>
      </c>
      <c r="IQ96" s="207"/>
      <c r="IR96" s="208"/>
      <c r="IS96" s="298">
        <v>0.5</v>
      </c>
      <c r="IT96" s="212">
        <v>0.5</v>
      </c>
      <c r="IU96" s="15">
        <v>0.5</v>
      </c>
      <c r="IV96" s="15">
        <v>0.5</v>
      </c>
      <c r="IW96" s="15">
        <v>0.5</v>
      </c>
      <c r="IX96" s="15">
        <v>0.5</v>
      </c>
      <c r="IY96" s="207"/>
      <c r="IZ96" s="207"/>
      <c r="JA96" s="207"/>
      <c r="JB96" s="207"/>
      <c r="JC96" s="207"/>
      <c r="JD96" s="202"/>
      <c r="JE96" s="532"/>
      <c r="JF96" s="201"/>
      <c r="JG96" s="130">
        <f>SUM(IE96:JF96)</f>
      </c>
      <c r="JH96" s="531"/>
      <c r="JI96" s="135"/>
      <c r="JJ96" s="377">
        <v>0.5</v>
      </c>
      <c r="JK96" s="559">
        <v>0.5</v>
      </c>
      <c r="JL96" s="559">
        <v>0.5</v>
      </c>
      <c r="JM96" s="559">
        <v>0.5</v>
      </c>
      <c r="JN96" s="559">
        <v>0.5</v>
      </c>
      <c r="JO96" s="559">
        <v>0.5</v>
      </c>
      <c r="JP96" s="559">
        <v>0.5</v>
      </c>
      <c r="JQ96" s="560">
        <v>0.5</v>
      </c>
      <c r="JR96" s="561">
        <v>0.5</v>
      </c>
      <c r="JS96" s="559">
        <v>0.5</v>
      </c>
      <c r="JT96" s="207"/>
      <c r="JU96" s="208"/>
      <c r="JV96" s="298">
        <v>0.5</v>
      </c>
      <c r="JW96" s="212">
        <v>0.5</v>
      </c>
      <c r="JX96" s="15">
        <v>0.5</v>
      </c>
      <c r="JY96" s="15">
        <v>0.5</v>
      </c>
      <c r="JZ96" s="15">
        <v>0.5</v>
      </c>
      <c r="KA96" s="15">
        <v>0.5</v>
      </c>
      <c r="KB96" s="207"/>
      <c r="KC96" s="207"/>
      <c r="KD96" s="207"/>
      <c r="KE96" s="207"/>
      <c r="KF96" s="207"/>
      <c r="KG96" s="202"/>
      <c r="KH96" s="532"/>
      <c r="KI96" s="201"/>
      <c r="KJ96" s="130">
        <f>SUM(JH96:KI96)</f>
      </c>
      <c r="KK96" s="531"/>
      <c r="KL96" s="135"/>
      <c r="KM96" s="377">
        <v>0.5</v>
      </c>
      <c r="KN96" s="559">
        <v>0.5</v>
      </c>
      <c r="KO96" s="559">
        <v>0.5</v>
      </c>
      <c r="KP96" s="559">
        <v>0.5</v>
      </c>
      <c r="KQ96" s="559">
        <v>0.5</v>
      </c>
      <c r="KR96" s="559">
        <v>0.5</v>
      </c>
      <c r="KS96" s="559">
        <v>0.5</v>
      </c>
      <c r="KT96" s="560">
        <v>0.5</v>
      </c>
      <c r="KU96" s="561">
        <v>0.5</v>
      </c>
      <c r="KV96" s="559">
        <v>0.5</v>
      </c>
      <c r="KW96" s="207"/>
      <c r="KX96" s="208"/>
      <c r="KY96" s="298">
        <v>0.5</v>
      </c>
      <c r="KZ96" s="212">
        <v>0.5</v>
      </c>
      <c r="LA96" s="15">
        <v>0.5</v>
      </c>
      <c r="LB96" s="15">
        <v>0.5</v>
      </c>
      <c r="LC96" s="15">
        <v>0.5</v>
      </c>
      <c r="LD96" s="15">
        <v>0.5</v>
      </c>
      <c r="LE96" s="207"/>
      <c r="LF96" s="207"/>
      <c r="LG96" s="207"/>
      <c r="LH96" s="207"/>
      <c r="LI96" s="207"/>
      <c r="LJ96" s="202"/>
      <c r="LK96" s="532"/>
      <c r="LL96" s="201"/>
      <c r="LM96" s="130">
        <f>SUM(KK96:LL96)</f>
      </c>
      <c r="LN96" s="531"/>
      <c r="LO96" s="135"/>
      <c r="LP96" s="377">
        <v>0.5</v>
      </c>
      <c r="LQ96" s="559">
        <v>0.5</v>
      </c>
      <c r="LR96" s="559">
        <v>0.5</v>
      </c>
      <c r="LS96" s="559">
        <v>0.5</v>
      </c>
      <c r="LT96" s="559">
        <v>0.5</v>
      </c>
      <c r="LU96" s="559">
        <v>0.5</v>
      </c>
      <c r="LV96" s="559">
        <v>0.5</v>
      </c>
      <c r="LW96" s="560">
        <v>0.5</v>
      </c>
      <c r="LX96" s="561">
        <v>0.5</v>
      </c>
      <c r="LY96" s="559">
        <v>0.5</v>
      </c>
      <c r="LZ96" s="207"/>
      <c r="MA96" s="208"/>
      <c r="MB96" s="298">
        <v>0.5</v>
      </c>
      <c r="MC96" s="212">
        <v>0.5</v>
      </c>
      <c r="MD96" s="15">
        <v>0.5</v>
      </c>
      <c r="ME96" s="15">
        <v>0.5</v>
      </c>
      <c r="MF96" s="15">
        <v>0.5</v>
      </c>
      <c r="MG96" s="15">
        <v>0.5</v>
      </c>
      <c r="MH96" s="207"/>
      <c r="MI96" s="207"/>
      <c r="MJ96" s="207"/>
      <c r="MK96" s="207"/>
      <c r="ML96" s="207"/>
      <c r="MM96" s="202"/>
      <c r="MN96" s="532"/>
      <c r="MO96" s="201"/>
      <c r="MP96" s="130">
        <f>SUM(LN96:MO96)</f>
      </c>
      <c r="MQ96" s="520"/>
      <c r="MR96" s="122"/>
      <c r="MS96" s="292"/>
      <c r="MT96" s="196"/>
      <c r="MU96" s="196"/>
      <c r="MV96" s="196"/>
      <c r="MW96" s="196"/>
      <c r="MX96" s="196"/>
      <c r="MY96" s="196"/>
      <c r="MZ96" s="195"/>
      <c r="NA96" s="197"/>
      <c r="NB96" s="196"/>
      <c r="NC96" s="196"/>
      <c r="ND96" s="198"/>
      <c r="NE96" s="292"/>
      <c r="NF96" s="196"/>
      <c r="NG96" s="196"/>
      <c r="NH96" s="196"/>
      <c r="NI96" s="196"/>
      <c r="NJ96" s="196"/>
      <c r="NK96" s="196"/>
      <c r="NL96" s="196"/>
      <c r="NM96" s="196"/>
      <c r="NN96" s="196"/>
      <c r="NO96" s="196"/>
      <c r="NP96" s="195"/>
      <c r="NQ96" s="521"/>
      <c r="NR96" s="194"/>
      <c r="NS96" s="130">
        <f>SUM(MQ96:NR96)</f>
      </c>
      <c r="NT96" s="520"/>
      <c r="NU96" s="122"/>
      <c r="NV96" s="292"/>
      <c r="NW96" s="196"/>
      <c r="NX96" s="196"/>
      <c r="NY96" s="196"/>
      <c r="NZ96" s="196"/>
      <c r="OA96" s="196"/>
      <c r="OB96" s="196"/>
      <c r="OC96" s="195"/>
      <c r="OD96" s="197"/>
      <c r="OE96" s="196"/>
      <c r="OF96" s="196"/>
      <c r="OG96" s="198"/>
      <c r="OH96" s="292"/>
      <c r="OI96" s="196"/>
      <c r="OJ96" s="196"/>
      <c r="OK96" s="196"/>
      <c r="OL96" s="196"/>
      <c r="OM96" s="196"/>
      <c r="ON96" s="196"/>
      <c r="OO96" s="196"/>
      <c r="OP96" s="196"/>
      <c r="OQ96" s="196"/>
      <c r="OR96" s="196"/>
      <c r="OS96" s="195"/>
      <c r="OT96" s="521"/>
      <c r="OU96" s="194"/>
      <c r="OV96" s="130">
        <f>SUM(NT96:OU96)</f>
      </c>
      <c r="OW96" s="132">
        <f>ID96+JG96+KJ96+LM96+MP96+NS96+OV96</f>
      </c>
      <c r="OX96" s="133">
        <f>(COUNTIF(HB96:OV96,"H")+COUNTIF(HB96:OV96,"S")+COUNTIF(HB96:OV96,"L")+COUNTIF(HB96:OV96,"E")+COUNTIF(HB96:OV96,"C"))/2</f>
      </c>
      <c r="OY96" s="130">
        <f>OW96+OX96</f>
      </c>
      <c r="OZ96" s="531"/>
      <c r="PA96" s="135"/>
      <c r="PB96" s="295"/>
      <c r="PC96" s="207"/>
      <c r="PD96" s="207"/>
      <c r="PE96" s="15">
        <v>0.5</v>
      </c>
      <c r="PF96" s="15">
        <v>0.5</v>
      </c>
      <c r="PG96" s="15">
        <v>0.5</v>
      </c>
      <c r="PH96" s="212">
        <v>0.5</v>
      </c>
      <c r="PI96" s="213">
        <v>0.5</v>
      </c>
      <c r="PJ96" s="296"/>
      <c r="PK96" s="207"/>
      <c r="PL96" s="559">
        <v>0.5</v>
      </c>
      <c r="PM96" s="562">
        <v>0.5</v>
      </c>
      <c r="PN96" s="563">
        <v>0.5</v>
      </c>
      <c r="PO96" s="559">
        <v>0.5</v>
      </c>
      <c r="PP96" s="559">
        <v>0.5</v>
      </c>
      <c r="PQ96" s="559">
        <v>0.5</v>
      </c>
      <c r="PR96" s="559">
        <v>0.5</v>
      </c>
      <c r="PS96" s="559">
        <v>0.5</v>
      </c>
      <c r="PT96" s="559">
        <v>0.5</v>
      </c>
      <c r="PU96" s="15">
        <v>0.5</v>
      </c>
      <c r="PV96" s="15">
        <v>0.5</v>
      </c>
      <c r="PW96" s="207"/>
      <c r="PX96" s="207"/>
      <c r="PY96" s="202"/>
      <c r="PZ96" s="532"/>
      <c r="QA96" s="201"/>
      <c r="QB96" s="130">
        <f>SUM(OZ96:QA96)</f>
      </c>
      <c r="QC96" s="531"/>
      <c r="QD96" s="135"/>
      <c r="QE96" s="295"/>
      <c r="QF96" s="207"/>
      <c r="QG96" s="207"/>
      <c r="QH96" s="15">
        <v>0.5</v>
      </c>
      <c r="QI96" s="15">
        <v>0.5</v>
      </c>
      <c r="QJ96" s="15">
        <v>0.5</v>
      </c>
      <c r="QK96" s="212">
        <v>0.5</v>
      </c>
      <c r="QL96" s="213">
        <v>0.5</v>
      </c>
      <c r="QM96" s="296"/>
      <c r="QN96" s="207"/>
      <c r="QO96" s="559">
        <v>0.5</v>
      </c>
      <c r="QP96" s="562">
        <v>0.5</v>
      </c>
      <c r="QQ96" s="563">
        <v>0.5</v>
      </c>
      <c r="QR96" s="559">
        <v>0.5</v>
      </c>
      <c r="QS96" s="559">
        <v>0.5</v>
      </c>
      <c r="QT96" s="559">
        <v>0.5</v>
      </c>
      <c r="QU96" s="559">
        <v>0.5</v>
      </c>
      <c r="QV96" s="559">
        <v>0.5</v>
      </c>
      <c r="QW96" s="559">
        <v>0.5</v>
      </c>
      <c r="QX96" s="15">
        <v>0.5</v>
      </c>
      <c r="QY96" s="15">
        <v>0.5</v>
      </c>
      <c r="QZ96" s="207"/>
      <c r="RA96" s="207"/>
      <c r="RB96" s="202"/>
      <c r="RC96" s="532"/>
      <c r="RD96" s="201"/>
      <c r="RE96" s="130">
        <f>SUM(QC96:RD96)</f>
      </c>
      <c r="RF96" s="531"/>
      <c r="RG96" s="135"/>
      <c r="RH96" s="295"/>
      <c r="RI96" s="207"/>
      <c r="RJ96" s="207"/>
      <c r="RK96" s="15">
        <v>0.5</v>
      </c>
      <c r="RL96" s="15">
        <v>0.5</v>
      </c>
      <c r="RM96" s="15">
        <v>0.5</v>
      </c>
      <c r="RN96" s="212">
        <v>0.5</v>
      </c>
      <c r="RO96" s="213">
        <v>0.5</v>
      </c>
      <c r="RP96" s="296"/>
      <c r="RQ96" s="207"/>
      <c r="RR96" s="559">
        <v>0.5</v>
      </c>
      <c r="RS96" s="562">
        <v>0.5</v>
      </c>
      <c r="RT96" s="563">
        <v>0.5</v>
      </c>
      <c r="RU96" s="559">
        <v>0.5</v>
      </c>
      <c r="RV96" s="559">
        <v>0.5</v>
      </c>
      <c r="RW96" s="559">
        <v>0.5</v>
      </c>
      <c r="RX96" s="559">
        <v>0.5</v>
      </c>
      <c r="RY96" s="559">
        <v>0.5</v>
      </c>
      <c r="RZ96" s="559">
        <v>0.5</v>
      </c>
      <c r="SA96" s="15">
        <v>0.5</v>
      </c>
      <c r="SB96" s="15">
        <v>0.5</v>
      </c>
      <c r="SC96" s="207"/>
      <c r="SD96" s="207"/>
      <c r="SE96" s="202"/>
      <c r="SF96" s="532"/>
      <c r="SG96" s="201"/>
      <c r="SH96" s="130">
        <f>SUM(RF96:SG96)</f>
      </c>
      <c r="SI96" s="531"/>
      <c r="SJ96" s="135"/>
      <c r="SK96" s="295"/>
      <c r="SL96" s="207"/>
      <c r="SM96" s="207"/>
      <c r="SN96" s="15">
        <v>0.5</v>
      </c>
      <c r="SO96" s="15">
        <v>0.5</v>
      </c>
      <c r="SP96" s="15">
        <v>0.5</v>
      </c>
      <c r="SQ96" s="212">
        <v>0.5</v>
      </c>
      <c r="SR96" s="213">
        <v>0.5</v>
      </c>
      <c r="SS96" s="296"/>
      <c r="ST96" s="207"/>
      <c r="SU96" s="559">
        <v>0.5</v>
      </c>
      <c r="SV96" s="562">
        <v>0.5</v>
      </c>
      <c r="SW96" s="563">
        <v>0.5</v>
      </c>
      <c r="SX96" s="559">
        <v>0.5</v>
      </c>
      <c r="SY96" s="559">
        <v>0.5</v>
      </c>
      <c r="SZ96" s="559">
        <v>0.5</v>
      </c>
      <c r="TA96" s="559">
        <v>0.5</v>
      </c>
      <c r="TB96" s="559">
        <v>0.5</v>
      </c>
      <c r="TC96" s="559">
        <v>0.5</v>
      </c>
      <c r="TD96" s="15">
        <v>0.5</v>
      </c>
      <c r="TE96" s="15">
        <v>0.5</v>
      </c>
      <c r="TF96" s="207"/>
      <c r="TG96" s="207"/>
      <c r="TH96" s="202"/>
      <c r="TI96" s="532"/>
      <c r="TJ96" s="201"/>
      <c r="TK96" s="130">
        <f>SUM(SI96:TJ96)</f>
      </c>
      <c r="TL96" s="531"/>
      <c r="TM96" s="135"/>
      <c r="TN96" s="295"/>
      <c r="TO96" s="207"/>
      <c r="TP96" s="207"/>
      <c r="TQ96" s="15">
        <v>0.5</v>
      </c>
      <c r="TR96" s="15">
        <v>0.5</v>
      </c>
      <c r="TS96" s="15">
        <v>0.5</v>
      </c>
      <c r="TT96" s="212">
        <v>0.5</v>
      </c>
      <c r="TU96" s="213">
        <v>0.5</v>
      </c>
      <c r="TV96" s="296"/>
      <c r="TW96" s="207"/>
      <c r="TX96" s="559">
        <v>0.5</v>
      </c>
      <c r="TY96" s="562">
        <v>0.5</v>
      </c>
      <c r="TZ96" s="563">
        <v>0.5</v>
      </c>
      <c r="UA96" s="559">
        <v>0.5</v>
      </c>
      <c r="UB96" s="559">
        <v>0.5</v>
      </c>
      <c r="UC96" s="559">
        <v>0.5</v>
      </c>
      <c r="UD96" s="559">
        <v>0.5</v>
      </c>
      <c r="UE96" s="559">
        <v>0.5</v>
      </c>
      <c r="UF96" s="559">
        <v>0.5</v>
      </c>
      <c r="UG96" s="15">
        <v>0.5</v>
      </c>
      <c r="UH96" s="15">
        <v>0.5</v>
      </c>
      <c r="UI96" s="207"/>
      <c r="UJ96" s="207"/>
      <c r="UK96" s="202"/>
      <c r="UL96" s="532"/>
      <c r="UM96" s="201"/>
      <c r="UN96" s="130">
        <f>SUM(TL96:UM96)</f>
      </c>
      <c r="UO96" s="520"/>
      <c r="UP96" s="122"/>
      <c r="UQ96" s="292"/>
      <c r="UR96" s="196"/>
      <c r="US96" s="196"/>
      <c r="UT96" s="196"/>
      <c r="UU96" s="196"/>
      <c r="UV96" s="196"/>
      <c r="UW96" s="196"/>
      <c r="UX96" s="195"/>
      <c r="UY96" s="197"/>
      <c r="UZ96" s="196"/>
      <c r="VA96" s="196"/>
      <c r="VB96" s="198"/>
      <c r="VC96" s="292"/>
      <c r="VD96" s="196"/>
      <c r="VE96" s="196"/>
      <c r="VF96" s="196"/>
      <c r="VG96" s="196"/>
      <c r="VH96" s="196"/>
      <c r="VI96" s="196"/>
      <c r="VJ96" s="196"/>
      <c r="VK96" s="196"/>
      <c r="VL96" s="196"/>
      <c r="VM96" s="196"/>
      <c r="VN96" s="195"/>
      <c r="VO96" s="521"/>
      <c r="VP96" s="194"/>
      <c r="VQ96" s="130">
        <f>SUM(UO96:VP96)</f>
      </c>
      <c r="VR96" s="520"/>
      <c r="VS96" s="122"/>
      <c r="VT96" s="292"/>
      <c r="VU96" s="196"/>
      <c r="VV96" s="196"/>
      <c r="VW96" s="196"/>
      <c r="VX96" s="196"/>
      <c r="VY96" s="196"/>
      <c r="VZ96" s="196"/>
      <c r="WA96" s="195"/>
      <c r="WB96" s="197"/>
      <c r="WC96" s="196"/>
      <c r="WD96" s="196"/>
      <c r="WE96" s="198"/>
      <c r="WF96" s="292"/>
      <c r="WG96" s="196"/>
      <c r="WH96" s="196"/>
      <c r="WI96" s="196"/>
      <c r="WJ96" s="196"/>
      <c r="WK96" s="196"/>
      <c r="WL96" s="196"/>
      <c r="WM96" s="196"/>
      <c r="WN96" s="196"/>
      <c r="WO96" s="196"/>
      <c r="WP96" s="196"/>
      <c r="WQ96" s="195"/>
      <c r="WR96" s="521"/>
      <c r="WS96" s="194"/>
      <c r="WT96" s="130">
        <f>SUM(VR96:WS96)</f>
      </c>
      <c r="WU96" s="132">
        <f>QB96+RE96+SH96+TK96+UN96+VQ96+WT96</f>
      </c>
      <c r="WV96" s="133">
        <f>(COUNTIF(OZ96:WT96,"H")+COUNTIF(OZ96:WT96,"S")+COUNTIF(OZ96:WT96,"L")+COUNTIF(OZ96:WT96,"E")+COUNTIF(OZ96:WT96,"C"))/2</f>
      </c>
      <c r="WW96" s="130">
        <f>WU96+WV96</f>
      </c>
      <c r="WX96" s="531"/>
      <c r="WY96" s="135"/>
      <c r="WZ96" s="298">
        <v>0.5</v>
      </c>
      <c r="XA96" s="559">
        <v>0.5</v>
      </c>
      <c r="XB96" s="559">
        <v>0.5</v>
      </c>
      <c r="XC96" s="559">
        <v>0.5</v>
      </c>
      <c r="XD96" s="559">
        <v>0.5</v>
      </c>
      <c r="XE96" s="559">
        <v>0.5</v>
      </c>
      <c r="XF96" s="559">
        <v>0.5</v>
      </c>
      <c r="XG96" s="560">
        <v>0.5</v>
      </c>
      <c r="XH96" s="561">
        <v>0.5</v>
      </c>
      <c r="XI96" s="559">
        <v>0.5</v>
      </c>
      <c r="XJ96" s="15"/>
      <c r="XK96" s="392"/>
      <c r="XL96" s="298">
        <v>0.5</v>
      </c>
      <c r="XM96" s="212">
        <v>0.5</v>
      </c>
      <c r="XN96" s="212">
        <v>0.5</v>
      </c>
      <c r="XO96" s="212">
        <v>0.5</v>
      </c>
      <c r="XP96" s="212">
        <v>0.5</v>
      </c>
      <c r="XQ96" s="212">
        <v>0.5</v>
      </c>
      <c r="XR96" s="207"/>
      <c r="XS96" s="207"/>
      <c r="XT96" s="207"/>
      <c r="XU96" s="207"/>
      <c r="XV96" s="207"/>
      <c r="XW96" s="202"/>
      <c r="XX96" s="532"/>
      <c r="XY96" s="201"/>
      <c r="XZ96" s="130">
        <f>SUM(WX96:XY96)</f>
      </c>
      <c r="YA96" s="531"/>
      <c r="YB96" s="135"/>
      <c r="YC96" s="298">
        <v>0.5</v>
      </c>
      <c r="YD96" s="559">
        <v>0.5</v>
      </c>
      <c r="YE96" s="559">
        <v>0.5</v>
      </c>
      <c r="YF96" s="559">
        <v>0.5</v>
      </c>
      <c r="YG96" s="559">
        <v>0.5</v>
      </c>
      <c r="YH96" s="559">
        <v>0.5</v>
      </c>
      <c r="YI96" s="559">
        <v>0.5</v>
      </c>
      <c r="YJ96" s="560">
        <v>0.5</v>
      </c>
      <c r="YK96" s="561">
        <v>0.5</v>
      </c>
      <c r="YL96" s="559">
        <v>0.5</v>
      </c>
      <c r="YM96" s="15"/>
      <c r="YN96" s="392"/>
      <c r="YO96" s="298">
        <v>0.5</v>
      </c>
      <c r="YP96" s="212">
        <v>0.5</v>
      </c>
      <c r="YQ96" s="212">
        <v>0.5</v>
      </c>
      <c r="YR96" s="212">
        <v>0.5</v>
      </c>
      <c r="YS96" s="212">
        <v>0.5</v>
      </c>
      <c r="YT96" s="212">
        <v>0.5</v>
      </c>
      <c r="YU96" s="207"/>
      <c r="YV96" s="207"/>
      <c r="YW96" s="207"/>
      <c r="YX96" s="207"/>
      <c r="YY96" s="207"/>
      <c r="YZ96" s="202"/>
      <c r="ZA96" s="532"/>
      <c r="ZB96" s="201"/>
      <c r="ZC96" s="130">
        <f>SUM(YA96:ZB96)</f>
      </c>
      <c r="ZD96" s="531"/>
      <c r="ZE96" s="135"/>
      <c r="ZF96" s="298">
        <v>0.5</v>
      </c>
      <c r="ZG96" s="559">
        <v>0.5</v>
      </c>
      <c r="ZH96" s="559">
        <v>0.5</v>
      </c>
      <c r="ZI96" s="559">
        <v>0.5</v>
      </c>
      <c r="ZJ96" s="559">
        <v>0.5</v>
      </c>
      <c r="ZK96" s="559">
        <v>0.5</v>
      </c>
      <c r="ZL96" s="559">
        <v>0.5</v>
      </c>
      <c r="ZM96" s="560">
        <v>0.5</v>
      </c>
      <c r="ZN96" s="561">
        <v>0.5</v>
      </c>
      <c r="ZO96" s="559">
        <v>0.5</v>
      </c>
      <c r="ZP96" s="15"/>
      <c r="ZQ96" s="392"/>
      <c r="ZR96" s="298">
        <v>0.5</v>
      </c>
      <c r="ZS96" s="212">
        <v>0.5</v>
      </c>
      <c r="ZT96" s="212">
        <v>0.5</v>
      </c>
      <c r="ZU96" s="212">
        <v>0.5</v>
      </c>
      <c r="ZV96" s="212">
        <v>0.5</v>
      </c>
      <c r="ZW96" s="212">
        <v>0.5</v>
      </c>
      <c r="ZX96" s="207"/>
      <c r="ZY96" s="207"/>
      <c r="ZZ96" s="207"/>
      <c r="AAA96" s="207"/>
      <c r="AAB96" s="207"/>
      <c r="AAC96" s="202"/>
      <c r="AAD96" s="532"/>
      <c r="AAE96" s="201"/>
      <c r="AAF96" s="130">
        <f>SUM(ZD96:AAE96)</f>
      </c>
      <c r="AAG96" s="531"/>
      <c r="AAH96" s="135"/>
      <c r="AAI96" s="298">
        <v>0.5</v>
      </c>
      <c r="AAJ96" s="559">
        <v>0.5</v>
      </c>
      <c r="AAK96" s="559">
        <v>0.5</v>
      </c>
      <c r="AAL96" s="559">
        <v>0.5</v>
      </c>
      <c r="AAM96" s="559">
        <v>0.5</v>
      </c>
      <c r="AAN96" s="559">
        <v>0.5</v>
      </c>
      <c r="AAO96" s="559">
        <v>0.5</v>
      </c>
      <c r="AAP96" s="560">
        <v>0.5</v>
      </c>
      <c r="AAQ96" s="296"/>
      <c r="AAR96" s="207"/>
      <c r="AAS96" s="559">
        <v>0.5</v>
      </c>
      <c r="AAT96" s="562">
        <v>0.5</v>
      </c>
      <c r="AAU96" s="563">
        <v>0.5</v>
      </c>
      <c r="AAV96" s="559">
        <v>0.5</v>
      </c>
      <c r="AAW96" s="559">
        <v>0.5</v>
      </c>
      <c r="AAX96" s="559">
        <v>0.5</v>
      </c>
      <c r="AAY96" s="559">
        <v>0.5</v>
      </c>
      <c r="AAZ96" s="559">
        <v>0.5</v>
      </c>
      <c r="ABA96" s="207"/>
      <c r="ABB96" s="207"/>
      <c r="ABC96" s="207"/>
      <c r="ABD96" s="207"/>
      <c r="ABE96" s="207"/>
      <c r="ABF96" s="202"/>
      <c r="ABG96" s="532"/>
      <c r="ABH96" s="201"/>
      <c r="ABI96" s="130">
        <f>SUM(AAG96:ABH96)</f>
      </c>
      <c r="ABJ96" s="531"/>
      <c r="ABK96" s="135"/>
      <c r="ABL96" s="298">
        <v>0.5</v>
      </c>
      <c r="ABM96" s="559">
        <v>0.5</v>
      </c>
      <c r="ABN96" s="559">
        <v>0.5</v>
      </c>
      <c r="ABO96" s="559">
        <v>0.5</v>
      </c>
      <c r="ABP96" s="559">
        <v>0.5</v>
      </c>
      <c r="ABQ96" s="559">
        <v>0.5</v>
      </c>
      <c r="ABR96" s="559">
        <v>0.5</v>
      </c>
      <c r="ABS96" s="560">
        <v>0.5</v>
      </c>
      <c r="ABT96" s="561">
        <v>0.5</v>
      </c>
      <c r="ABU96" s="559">
        <v>0.5</v>
      </c>
      <c r="ABV96" s="15"/>
      <c r="ABW96" s="392"/>
      <c r="ABX96" s="298">
        <v>0.5</v>
      </c>
      <c r="ABY96" s="212">
        <v>0.5</v>
      </c>
      <c r="ABZ96" s="212">
        <v>0.5</v>
      </c>
      <c r="ACA96" s="212">
        <v>0.5</v>
      </c>
      <c r="ACB96" s="212">
        <v>0.5</v>
      </c>
      <c r="ACC96" s="212">
        <v>0.5</v>
      </c>
      <c r="ACD96" s="207"/>
      <c r="ACE96" s="207"/>
      <c r="ACF96" s="207"/>
      <c r="ACG96" s="207"/>
      <c r="ACH96" s="207"/>
      <c r="ACI96" s="202"/>
      <c r="ACJ96" s="532"/>
      <c r="ACK96" s="201"/>
      <c r="ACL96" s="130">
        <f>SUM(ABJ96:ACK96)</f>
      </c>
      <c r="ACM96" s="520"/>
      <c r="ACN96" s="122"/>
      <c r="ACO96" s="292"/>
      <c r="ACP96" s="196"/>
      <c r="ACQ96" s="196"/>
      <c r="ACR96" s="196"/>
      <c r="ACS96" s="196"/>
      <c r="ACT96" s="196"/>
      <c r="ACU96" s="196"/>
      <c r="ACV96" s="195"/>
      <c r="ACW96" s="197"/>
      <c r="ACX96" s="196"/>
      <c r="ACY96" s="196"/>
      <c r="ACZ96" s="198"/>
      <c r="ADA96" s="292"/>
      <c r="ADB96" s="196"/>
      <c r="ADC96" s="196"/>
      <c r="ADD96" s="196"/>
      <c r="ADE96" s="196"/>
      <c r="ADF96" s="196"/>
      <c r="ADG96" s="196"/>
      <c r="ADH96" s="196"/>
      <c r="ADI96" s="196"/>
      <c r="ADJ96" s="196"/>
      <c r="ADK96" s="196"/>
      <c r="ADL96" s="195"/>
      <c r="ADM96" s="521"/>
      <c r="ADN96" s="194"/>
      <c r="ADO96" s="130">
        <f>SUM(ACM96:ADN96)</f>
      </c>
      <c r="ADP96" s="520"/>
      <c r="ADQ96" s="122"/>
      <c r="ADR96" s="292"/>
      <c r="ADS96" s="196"/>
      <c r="ADT96" s="196"/>
      <c r="ADU96" s="196"/>
      <c r="ADV96" s="196"/>
      <c r="ADW96" s="196"/>
      <c r="ADX96" s="196"/>
      <c r="ADY96" s="195"/>
      <c r="ADZ96" s="197"/>
      <c r="AEA96" s="196"/>
      <c r="AEB96" s="196"/>
      <c r="AEC96" s="198"/>
      <c r="AED96" s="292"/>
      <c r="AEE96" s="196"/>
      <c r="AEF96" s="196"/>
      <c r="AEG96" s="196"/>
      <c r="AEH96" s="196"/>
      <c r="AEI96" s="196"/>
      <c r="AEJ96" s="196"/>
      <c r="AEK96" s="196"/>
      <c r="AEL96" s="196"/>
      <c r="AEM96" s="196"/>
      <c r="AEN96" s="196"/>
      <c r="AEO96" s="195"/>
      <c r="AEP96" s="521"/>
      <c r="AEQ96" s="194"/>
      <c r="AER96" s="130">
        <f>SUM(ADP96:AEQ96)</f>
      </c>
      <c r="AES96" s="132">
        <f>XZ96+ZC96+AAF96+ABI96+ACL96+ADO96+AER96</f>
      </c>
      <c r="AET96" s="133">
        <f>(COUNTIF(WX96:AER96,"H")+COUNTIF(WX96:AER96,"S")+COUNTIF(WX96:AER96,"L")+COUNTIF(WX96:AER96,"E")+COUNTIF(WX96:AER96,"C"))/2</f>
      </c>
      <c r="AEU96" s="130">
        <f>AES96+AET96</f>
      </c>
      <c r="AEV96" s="531"/>
      <c r="AEW96" s="135"/>
      <c r="AEX96" s="295"/>
      <c r="AEY96" s="207"/>
      <c r="AEZ96" s="207"/>
      <c r="AFA96" s="15">
        <v>0.5</v>
      </c>
      <c r="AFB96" s="15">
        <v>0.5</v>
      </c>
      <c r="AFC96" s="15">
        <v>0.5</v>
      </c>
      <c r="AFD96" s="212">
        <v>0.5</v>
      </c>
      <c r="AFE96" s="213">
        <v>0.5</v>
      </c>
      <c r="AFF96" s="296"/>
      <c r="AFG96" s="207"/>
      <c r="AFH96" s="559">
        <v>0.5</v>
      </c>
      <c r="AFI96" s="562">
        <v>0.5</v>
      </c>
      <c r="AFJ96" s="563">
        <v>0.5</v>
      </c>
      <c r="AFK96" s="559">
        <v>0.5</v>
      </c>
      <c r="AFL96" s="559">
        <v>0.5</v>
      </c>
      <c r="AFM96" s="559">
        <v>0.5</v>
      </c>
      <c r="AFN96" s="559">
        <v>0.5</v>
      </c>
      <c r="AFO96" s="559">
        <v>0.5</v>
      </c>
      <c r="AFP96" s="559">
        <v>0.5</v>
      </c>
      <c r="AFQ96" s="559">
        <v>0.5</v>
      </c>
      <c r="AFR96" s="559">
        <v>0.5</v>
      </c>
      <c r="AFS96" s="207"/>
      <c r="AFT96" s="207"/>
      <c r="AFU96" s="202"/>
      <c r="AFV96" s="532"/>
      <c r="AFW96" s="201"/>
      <c r="AFX96" s="130">
        <f>SUM(AEV96:AFW96)</f>
      </c>
      <c r="AFY96" s="531"/>
      <c r="AFZ96" s="135"/>
      <c r="AGA96" s="295"/>
      <c r="AGB96" s="207"/>
      <c r="AGC96" s="207"/>
      <c r="AGD96" s="15">
        <v>0.5</v>
      </c>
      <c r="AGE96" s="15">
        <v>0.5</v>
      </c>
      <c r="AGF96" s="15">
        <v>0.5</v>
      </c>
      <c r="AGG96" s="212">
        <v>0.5</v>
      </c>
      <c r="AGH96" s="213">
        <v>0.5</v>
      </c>
      <c r="AGI96" s="296"/>
      <c r="AGJ96" s="207"/>
      <c r="AGK96" s="559">
        <v>0.5</v>
      </c>
      <c r="AGL96" s="562">
        <v>0.5</v>
      </c>
      <c r="AGM96" s="563">
        <v>0.5</v>
      </c>
      <c r="AGN96" s="559">
        <v>0.5</v>
      </c>
      <c r="AGO96" s="559">
        <v>0.5</v>
      </c>
      <c r="AGP96" s="559">
        <v>0.5</v>
      </c>
      <c r="AGQ96" s="559">
        <v>0.5</v>
      </c>
      <c r="AGR96" s="559">
        <v>0.5</v>
      </c>
      <c r="AGS96" s="559">
        <v>0.5</v>
      </c>
      <c r="AGT96" s="559">
        <v>0.5</v>
      </c>
      <c r="AGU96" s="559">
        <v>0.5</v>
      </c>
      <c r="AGV96" s="207"/>
      <c r="AGW96" s="207"/>
      <c r="AGX96" s="202"/>
      <c r="AGY96" s="532"/>
      <c r="AGZ96" s="201"/>
      <c r="AHA96" s="130">
        <f>SUM(AFY96:AGZ96)</f>
      </c>
      <c r="AHB96" s="531"/>
      <c r="AHC96" s="135"/>
      <c r="AHD96" s="295"/>
      <c r="AHE96" s="207"/>
      <c r="AHF96" s="207"/>
      <c r="AHG96" s="15">
        <v>0.5</v>
      </c>
      <c r="AHH96" s="15">
        <v>0.5</v>
      </c>
      <c r="AHI96" s="15">
        <v>0.5</v>
      </c>
      <c r="AHJ96" s="212">
        <v>0.5</v>
      </c>
      <c r="AHK96" s="213">
        <v>0.5</v>
      </c>
      <c r="AHL96" s="296"/>
      <c r="AHM96" s="207"/>
      <c r="AHN96" s="559">
        <v>0.5</v>
      </c>
      <c r="AHO96" s="562">
        <v>0.5</v>
      </c>
      <c r="AHP96" s="563">
        <v>0.5</v>
      </c>
      <c r="AHQ96" s="559">
        <v>0.5</v>
      </c>
      <c r="AHR96" s="559">
        <v>0.5</v>
      </c>
      <c r="AHS96" s="559">
        <v>0.5</v>
      </c>
      <c r="AHT96" s="559">
        <v>0.5</v>
      </c>
      <c r="AHU96" s="559">
        <v>0.5</v>
      </c>
      <c r="AHV96" s="559">
        <v>0.5</v>
      </c>
      <c r="AHW96" s="559">
        <v>0.5</v>
      </c>
      <c r="AHX96" s="559">
        <v>0.5</v>
      </c>
      <c r="AHY96" s="207"/>
      <c r="AHZ96" s="207"/>
      <c r="AIA96" s="202"/>
      <c r="AIB96" s="532"/>
      <c r="AIC96" s="201"/>
      <c r="AID96" s="130">
        <f>SUM(AHB96:AIC96)</f>
      </c>
      <c r="AIE96" s="531"/>
      <c r="AIF96" s="135"/>
      <c r="AIG96" s="295"/>
      <c r="AIH96" s="207"/>
      <c r="AII96" s="207"/>
      <c r="AIJ96" s="15">
        <v>0.5</v>
      </c>
      <c r="AIK96" s="15">
        <v>0.5</v>
      </c>
      <c r="AIL96" s="15">
        <v>0.5</v>
      </c>
      <c r="AIM96" s="212">
        <v>0.5</v>
      </c>
      <c r="AIN96" s="213">
        <v>0.5</v>
      </c>
      <c r="AIO96" s="296"/>
      <c r="AIP96" s="207"/>
      <c r="AIQ96" s="559">
        <v>0.5</v>
      </c>
      <c r="AIR96" s="562">
        <v>0.5</v>
      </c>
      <c r="AIS96" s="563">
        <v>0.5</v>
      </c>
      <c r="AIT96" s="559">
        <v>0.5</v>
      </c>
      <c r="AIU96" s="559">
        <v>0.5</v>
      </c>
      <c r="AIV96" s="559">
        <v>0.5</v>
      </c>
      <c r="AIW96" s="559">
        <v>0.5</v>
      </c>
      <c r="AIX96" s="559">
        <v>0.5</v>
      </c>
      <c r="AIY96" s="559">
        <v>0.5</v>
      </c>
      <c r="AIZ96" s="559">
        <v>0.5</v>
      </c>
      <c r="AJA96" s="559">
        <v>0.5</v>
      </c>
      <c r="AJB96" s="207"/>
      <c r="AJC96" s="207"/>
      <c r="AJD96" s="202"/>
      <c r="AJE96" s="532"/>
      <c r="AJF96" s="201"/>
      <c r="AJG96" s="130">
        <f>SUM(AIE96:AJF96)</f>
      </c>
      <c r="AJH96" s="531"/>
      <c r="AJI96" s="135"/>
      <c r="AJJ96" s="295"/>
      <c r="AJK96" s="207"/>
      <c r="AJL96" s="207"/>
      <c r="AJM96" s="15">
        <v>0.5</v>
      </c>
      <c r="AJN96" s="15">
        <v>0.5</v>
      </c>
      <c r="AJO96" s="15">
        <v>0.5</v>
      </c>
      <c r="AJP96" s="212">
        <v>0.5</v>
      </c>
      <c r="AJQ96" s="213">
        <v>0.5</v>
      </c>
      <c r="AJR96" s="296"/>
      <c r="AJS96" s="207"/>
      <c r="AJT96" s="559">
        <v>0.5</v>
      </c>
      <c r="AJU96" s="562">
        <v>0.5</v>
      </c>
      <c r="AJV96" s="563">
        <v>0.5</v>
      </c>
      <c r="AJW96" s="559">
        <v>0.5</v>
      </c>
      <c r="AJX96" s="559">
        <v>0.5</v>
      </c>
      <c r="AJY96" s="559">
        <v>0.5</v>
      </c>
      <c r="AJZ96" s="559">
        <v>0.5</v>
      </c>
      <c r="AKA96" s="559">
        <v>0.5</v>
      </c>
      <c r="AKB96" s="559">
        <v>0.5</v>
      </c>
      <c r="AKC96" s="559">
        <v>0.5</v>
      </c>
      <c r="AKD96" s="559">
        <v>0.5</v>
      </c>
      <c r="AKE96" s="207"/>
      <c r="AKF96" s="207"/>
      <c r="AKG96" s="202"/>
      <c r="AKH96" s="532"/>
      <c r="AKI96" s="201"/>
      <c r="AKJ96" s="130">
        <f>SUM(AJH96:AKI96)</f>
      </c>
      <c r="AKK96" s="520"/>
      <c r="AKL96" s="122"/>
      <c r="AKM96" s="292"/>
      <c r="AKN96" s="196"/>
      <c r="AKO96" s="196"/>
      <c r="AKP96" s="196"/>
      <c r="AKQ96" s="196"/>
      <c r="AKR96" s="196"/>
      <c r="AKS96" s="196"/>
      <c r="AKT96" s="195"/>
      <c r="AKU96" s="197"/>
      <c r="AKV96" s="196"/>
      <c r="AKW96" s="196"/>
      <c r="AKX96" s="198"/>
      <c r="AKY96" s="292"/>
      <c r="AKZ96" s="196"/>
      <c r="ALA96" s="196"/>
      <c r="ALB96" s="196"/>
      <c r="ALC96" s="196"/>
      <c r="ALD96" s="196"/>
      <c r="ALE96" s="196"/>
      <c r="ALF96" s="196"/>
      <c r="ALG96" s="196"/>
      <c r="ALH96" s="196"/>
      <c r="ALI96" s="196"/>
      <c r="ALJ96" s="195"/>
      <c r="ALK96" s="521"/>
      <c r="ALL96" s="194"/>
      <c r="ALM96" s="130">
        <f>SUM(AKK96:ALL96)</f>
      </c>
      <c r="ALN96" s="520"/>
      <c r="ALO96" s="122"/>
      <c r="ALP96" s="292"/>
      <c r="ALQ96" s="196"/>
      <c r="ALR96" s="196"/>
      <c r="ALS96" s="196"/>
      <c r="ALT96" s="196"/>
      <c r="ALU96" s="196"/>
      <c r="ALV96" s="196"/>
      <c r="ALW96" s="195"/>
      <c r="ALX96" s="197"/>
      <c r="ALY96" s="196"/>
      <c r="ALZ96" s="196"/>
      <c r="AMA96" s="198"/>
      <c r="AMB96" s="292"/>
      <c r="AMC96" s="196"/>
      <c r="AMD96" s="196"/>
      <c r="AME96" s="196"/>
      <c r="AMF96" s="196"/>
      <c r="AMG96" s="196"/>
      <c r="AMH96" s="196"/>
      <c r="AMI96" s="196"/>
      <c r="AMJ96" s="196"/>
      <c r="AMK96" s="196"/>
      <c r="AML96" s="196"/>
      <c r="AMM96" s="195"/>
      <c r="AMN96" s="521"/>
      <c r="AMO96" s="194"/>
      <c r="AMP96" s="130">
        <f>SUM(ALN96:AMO96)</f>
      </c>
      <c r="AMQ96" s="529">
        <f>AFX96+AHA96+AID96+AJG96+AKJ96+ALM96+AMP96</f>
      </c>
      <c r="AMR96" s="133">
        <f>(COUNTIF(AEV96:AMP96,"H")+COUNTIF(AEV96:AMP96,"S")+COUNTIF(AEV96:AMP96,"L")+COUNTIF(AEV96:AMP96,"E")+COUNTIF(AEV96:AMP96,"C"))/2</f>
      </c>
      <c r="AMS96" s="527">
        <f>AMQ96+AMR96</f>
      </c>
      <c r="AMT96" s="4"/>
      <c r="AMU96" s="4"/>
      <c r="AMV96" s="4"/>
      <c r="AMW96" s="4"/>
      <c r="AMX96" s="4"/>
      <c r="AMY96" s="4"/>
      <c r="AMZ96" s="4"/>
      <c r="ANA96" s="4"/>
      <c r="ANB96" s="4"/>
      <c r="ANC96" s="4"/>
      <c r="AND96" s="4"/>
      <c r="ANE96" s="4"/>
      <c r="ANF96" s="4"/>
      <c r="ANG96" s="4"/>
      <c r="ANH96" s="4"/>
      <c r="ANI96" s="4"/>
      <c r="ANJ96" s="13"/>
      <c r="ANK96" s="13"/>
      <c r="ANL96" s="4"/>
      <c r="ANM96" s="4"/>
      <c r="ANN96" s="4"/>
      <c r="ANO96" s="4"/>
      <c r="ANP96" s="4"/>
      <c r="ANQ96" s="4"/>
      <c r="ANR96" s="4"/>
      <c r="ANS96" s="4"/>
      <c r="ANT96" s="4"/>
      <c r="ANU96" s="4"/>
      <c r="ANV96" s="4"/>
      <c r="ANW96" s="4"/>
      <c r="ANX96" s="4"/>
      <c r="ANY96" s="4"/>
      <c r="ANZ96" s="4"/>
      <c r="AOA96" s="4"/>
      <c r="AOB96" s="4"/>
      <c r="AOC96" s="4"/>
      <c r="AOD96" s="4"/>
      <c r="AOE96" s="4"/>
      <c r="AOF96" s="4"/>
      <c r="AOG96" s="4"/>
      <c r="AOH96" s="4"/>
      <c r="AOI96" s="4"/>
      <c r="AOJ96" s="4"/>
      <c r="AOK96" s="4"/>
      <c r="AOL96" s="4"/>
      <c r="AOM96" s="4"/>
      <c r="AON96" s="4"/>
      <c r="AOO96" s="4"/>
      <c r="AOP96" s="4"/>
      <c r="AOQ96" s="4"/>
      <c r="AOR96" s="4"/>
      <c r="AOS96" s="4"/>
      <c r="AOT96" s="4"/>
      <c r="AOU96" s="4"/>
      <c r="AOV96" s="4"/>
      <c r="AOW96" s="4"/>
      <c r="AOX96" s="4"/>
      <c r="AOY96" s="4"/>
      <c r="AOZ96" s="4"/>
      <c r="APA96" s="4"/>
      <c r="APB96" s="4"/>
      <c r="APC96" s="4"/>
      <c r="APD96" s="4"/>
      <c r="APE96" s="4"/>
      <c r="APF96" s="4"/>
      <c r="APG96" s="4"/>
      <c r="APH96" s="4"/>
      <c r="API96" s="4"/>
      <c r="APJ96" s="4"/>
      <c r="APK96" s="4"/>
      <c r="APL96" s="4"/>
      <c r="APM96" s="4"/>
      <c r="APN96" s="4"/>
      <c r="APO96" s="4"/>
      <c r="APP96" s="4"/>
      <c r="APQ96" s="4"/>
      <c r="APR96" s="4"/>
      <c r="APS96" s="4"/>
      <c r="APT96" s="4"/>
      <c r="APU96" s="4"/>
      <c r="APV96" s="4"/>
      <c r="APW96" s="4"/>
      <c r="APX96" s="4"/>
      <c r="APY96" s="4"/>
      <c r="APZ96" s="4"/>
      <c r="AQA96" s="4"/>
      <c r="AQB96" s="4"/>
      <c r="AQC96" s="4"/>
      <c r="AQD96" s="4"/>
      <c r="AQE96" s="4"/>
      <c r="AQF96" s="4"/>
      <c r="AQG96" s="4"/>
      <c r="AQH96" s="4"/>
      <c r="AQI96" s="4"/>
      <c r="AQJ96" s="4"/>
      <c r="AQK96" s="4"/>
      <c r="AQL96" s="4"/>
      <c r="AQM96" s="4"/>
      <c r="AQN96" s="4"/>
      <c r="AQO96" s="4"/>
      <c r="AQP96" s="4"/>
      <c r="AQQ96" s="4"/>
      <c r="AQR96" s="4"/>
      <c r="AQS96" s="4"/>
      <c r="AQT96" s="4"/>
      <c r="AQU96" s="4"/>
      <c r="AQV96" s="4"/>
      <c r="AQW96" s="4"/>
      <c r="AQX96" s="4"/>
      <c r="AQY96" s="4"/>
      <c r="AQZ96" s="4"/>
      <c r="ARA96" s="4"/>
      <c r="ARB96" s="4"/>
      <c r="ARC96" s="4"/>
      <c r="ARD96" s="4"/>
      <c r="ARE96" s="4"/>
      <c r="ARF96" s="4"/>
      <c r="ARG96" s="4"/>
      <c r="ARH96" s="4"/>
      <c r="ARI96" s="4"/>
      <c r="ARJ96" s="4"/>
      <c r="ARK96" s="4"/>
      <c r="ARL96" s="4"/>
      <c r="ARM96" s="4"/>
      <c r="ARN96" s="4"/>
      <c r="ARO96" s="4"/>
      <c r="ARP96" s="4"/>
      <c r="ARQ96" s="4"/>
      <c r="ARR96" s="4"/>
      <c r="ARS96" s="4"/>
      <c r="ART96" s="4"/>
      <c r="ARU96" s="4"/>
      <c r="ARV96" s="4"/>
      <c r="ARW96" s="4"/>
      <c r="ARX96" s="4"/>
      <c r="ARY96" s="4"/>
      <c r="ARZ96" s="4"/>
      <c r="ASA96" s="4"/>
      <c r="ASB96" s="4"/>
      <c r="ASC96" s="4"/>
      <c r="ASD96" s="4"/>
      <c r="ASE96" s="4"/>
      <c r="ASF96" s="4"/>
      <c r="ASG96" s="4"/>
      <c r="ASH96" s="4"/>
      <c r="ASI96" s="4"/>
      <c r="ASJ96" s="4"/>
      <c r="ASK96" s="4"/>
      <c r="ASL96" s="4"/>
      <c r="ASM96" s="4"/>
      <c r="ASN96" s="4"/>
      <c r="ASO96" s="4"/>
      <c r="ASP96" s="4"/>
      <c r="ASQ96" s="4"/>
      <c r="ASR96" s="4"/>
      <c r="ASS96" s="4"/>
      <c r="AST96" s="4"/>
      <c r="ASU96" s="4"/>
    </row>
    <row r="97" ht="15" customHeight="1" spans="1:1191" x14ac:dyDescent="0.25">
      <c r="A97" s="118"/>
      <c r="B97" s="403" t="s">
        <v>135</v>
      </c>
      <c r="C97" s="289" t="s">
        <v>55</v>
      </c>
      <c r="D97" s="121"/>
      <c r="E97" s="122"/>
      <c r="F97" s="123"/>
      <c r="G97" s="124"/>
      <c r="H97" s="124"/>
      <c r="I97" s="124"/>
      <c r="J97" s="124"/>
      <c r="K97" s="124"/>
      <c r="L97" s="124"/>
      <c r="M97" s="125"/>
      <c r="N97" s="126"/>
      <c r="O97" s="124"/>
      <c r="P97" s="124"/>
      <c r="Q97" s="127"/>
      <c r="R97" s="123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5"/>
      <c r="AD97" s="301"/>
      <c r="AE97" s="151"/>
      <c r="AF97" s="131">
        <f>SUM(D97:AE97)</f>
      </c>
      <c r="AG97" s="121"/>
      <c r="AH97" s="122"/>
      <c r="AI97" s="123"/>
      <c r="AJ97" s="124"/>
      <c r="AK97" s="124"/>
      <c r="AL97" s="124"/>
      <c r="AM97" s="124"/>
      <c r="AN97" s="124"/>
      <c r="AO97" s="124"/>
      <c r="AP97" s="125"/>
      <c r="AQ97" s="126"/>
      <c r="AR97" s="124"/>
      <c r="AS97" s="124"/>
      <c r="AT97" s="127"/>
      <c r="AU97" s="123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5"/>
      <c r="BG97" s="301"/>
      <c r="BH97" s="151"/>
      <c r="BI97" s="131">
        <f>SUM(AG97:BH97)</f>
      </c>
      <c r="BJ97" s="121"/>
      <c r="BK97" s="122"/>
      <c r="BL97" s="123"/>
      <c r="BM97" s="124"/>
      <c r="BN97" s="124"/>
      <c r="BO97" s="124"/>
      <c r="BP97" s="124"/>
      <c r="BQ97" s="124"/>
      <c r="BR97" s="124"/>
      <c r="BS97" s="125"/>
      <c r="BT97" s="126"/>
      <c r="BU97" s="124"/>
      <c r="BV97" s="124"/>
      <c r="BW97" s="127"/>
      <c r="BX97" s="123"/>
      <c r="BY97" s="124"/>
      <c r="BZ97" s="124"/>
      <c r="CA97" s="124"/>
      <c r="CB97" s="124"/>
      <c r="CC97" s="124"/>
      <c r="CD97" s="124"/>
      <c r="CE97" s="124"/>
      <c r="CF97" s="124"/>
      <c r="CG97" s="124"/>
      <c r="CH97" s="124"/>
      <c r="CI97" s="125"/>
      <c r="CJ97" s="301"/>
      <c r="CK97" s="151"/>
      <c r="CL97" s="131">
        <f>SUM(BJ97:CK97)</f>
      </c>
      <c r="CM97" s="121"/>
      <c r="CN97" s="122"/>
      <c r="CO97" s="123"/>
      <c r="CP97" s="124"/>
      <c r="CQ97" s="124"/>
      <c r="CR97" s="124"/>
      <c r="CS97" s="124"/>
      <c r="CT97" s="124"/>
      <c r="CU97" s="124"/>
      <c r="CV97" s="125"/>
      <c r="CW97" s="126"/>
      <c r="CX97" s="124"/>
      <c r="CY97" s="124"/>
      <c r="CZ97" s="127"/>
      <c r="DA97" s="123"/>
      <c r="DB97" s="124"/>
      <c r="DC97" s="124"/>
      <c r="DD97" s="124"/>
      <c r="DE97" s="124"/>
      <c r="DF97" s="124"/>
      <c r="DG97" s="124"/>
      <c r="DH97" s="124"/>
      <c r="DI97" s="124"/>
      <c r="DJ97" s="124"/>
      <c r="DK97" s="124"/>
      <c r="DL97" s="125"/>
      <c r="DM97" s="301"/>
      <c r="DN97" s="151"/>
      <c r="DO97" s="131">
        <f>SUM(CM97:DN97)</f>
      </c>
      <c r="DP97" s="121"/>
      <c r="DQ97" s="122"/>
      <c r="DR97" s="123"/>
      <c r="DS97" s="124"/>
      <c r="DT97" s="124"/>
      <c r="DU97" s="124"/>
      <c r="DV97" s="124"/>
      <c r="DW97" s="124"/>
      <c r="DX97" s="124"/>
      <c r="DY97" s="125"/>
      <c r="DZ97" s="126"/>
      <c r="EA97" s="124"/>
      <c r="EB97" s="124"/>
      <c r="EC97" s="127"/>
      <c r="ED97" s="123"/>
      <c r="EE97" s="124"/>
      <c r="EF97" s="124"/>
      <c r="EG97" s="124"/>
      <c r="EH97" s="124"/>
      <c r="EI97" s="124"/>
      <c r="EJ97" s="124"/>
      <c r="EK97" s="124"/>
      <c r="EL97" s="124"/>
      <c r="EM97" s="124"/>
      <c r="EN97" s="124"/>
      <c r="EO97" s="125"/>
      <c r="EP97" s="301"/>
      <c r="EQ97" s="151"/>
      <c r="ER97" s="131">
        <f>SUM(DP97:EQ97)</f>
      </c>
      <c r="ES97" s="121"/>
      <c r="ET97" s="122"/>
      <c r="EU97" s="123"/>
      <c r="EV97" s="124"/>
      <c r="EW97" s="124"/>
      <c r="EX97" s="124"/>
      <c r="EY97" s="124"/>
      <c r="EZ97" s="124"/>
      <c r="FA97" s="124"/>
      <c r="FB97" s="125"/>
      <c r="FC97" s="126"/>
      <c r="FD97" s="124"/>
      <c r="FE97" s="124"/>
      <c r="FF97" s="127"/>
      <c r="FG97" s="123"/>
      <c r="FH97" s="124"/>
      <c r="FI97" s="124"/>
      <c r="FJ97" s="124"/>
      <c r="FK97" s="124"/>
      <c r="FL97" s="124"/>
      <c r="FM97" s="124"/>
      <c r="FN97" s="124"/>
      <c r="FO97" s="124"/>
      <c r="FP97" s="124"/>
      <c r="FQ97" s="124"/>
      <c r="FR97" s="125"/>
      <c r="FS97" s="301"/>
      <c r="FT97" s="151"/>
      <c r="FU97" s="131">
        <f>SUM(ES97:FT97)</f>
      </c>
      <c r="FV97" s="121"/>
      <c r="FW97" s="122"/>
      <c r="FX97" s="123"/>
      <c r="FY97" s="124"/>
      <c r="FZ97" s="124"/>
      <c r="GA97" s="124"/>
      <c r="GB97" s="124"/>
      <c r="GC97" s="124"/>
      <c r="GD97" s="124"/>
      <c r="GE97" s="125"/>
      <c r="GF97" s="126"/>
      <c r="GG97" s="124"/>
      <c r="GH97" s="124"/>
      <c r="GI97" s="127"/>
      <c r="GJ97" s="123"/>
      <c r="GK97" s="124"/>
      <c r="GL97" s="124"/>
      <c r="GM97" s="124"/>
      <c r="GN97" s="124"/>
      <c r="GO97" s="124"/>
      <c r="GP97" s="124"/>
      <c r="GQ97" s="124"/>
      <c r="GR97" s="124"/>
      <c r="GS97" s="124"/>
      <c r="GT97" s="124"/>
      <c r="GU97" s="125"/>
      <c r="GV97" s="301"/>
      <c r="GW97" s="151"/>
      <c r="GX97" s="131">
        <f>SUM(FV97:GW97)</f>
      </c>
      <c r="GY97" s="150">
        <f>AF97+BI97+CL97+DO97+ER97+FU97+GX97</f>
      </c>
      <c r="GZ97" s="302">
        <f>(COUNTIF(D97:GX97,"H")+COUNTIF(D97:GX97,"S")+COUNTIF(D97:GX97,"L")+COUNTIF(D97:GX97,"E")+COUNTIF(D97:GX97,"C"))/2</f>
      </c>
      <c r="HA97" s="131">
        <f>GY97+GZ97</f>
      </c>
      <c r="HB97" s="134"/>
      <c r="HC97" s="135"/>
      <c r="HD97" s="339">
        <v>0.5</v>
      </c>
      <c r="HE97" s="143">
        <v>0.5</v>
      </c>
      <c r="HF97" s="143">
        <v>0.5</v>
      </c>
      <c r="HG97" s="143">
        <v>0.5</v>
      </c>
      <c r="HH97" s="143">
        <v>0.5</v>
      </c>
      <c r="HI97" s="143">
        <v>0.5</v>
      </c>
      <c r="HJ97" s="138">
        <v>0.5</v>
      </c>
      <c r="HK97" s="139">
        <v>0.5</v>
      </c>
      <c r="HL97" s="140">
        <v>0.5</v>
      </c>
      <c r="HM97" s="138">
        <v>0.5</v>
      </c>
      <c r="HN97" s="137"/>
      <c r="HO97" s="141"/>
      <c r="HP97" s="142">
        <v>0.5</v>
      </c>
      <c r="HQ97" s="138">
        <v>0.5</v>
      </c>
      <c r="HR97" s="143">
        <v>0.5</v>
      </c>
      <c r="HS97" s="143">
        <v>0.5</v>
      </c>
      <c r="HT97" s="143">
        <v>0.5</v>
      </c>
      <c r="HU97" s="143">
        <v>0.5</v>
      </c>
      <c r="HV97" s="137"/>
      <c r="HW97" s="137"/>
      <c r="HX97" s="137"/>
      <c r="HY97" s="137"/>
      <c r="HZ97" s="137"/>
      <c r="IA97" s="153"/>
      <c r="IB97" s="304"/>
      <c r="IC97" s="152"/>
      <c r="ID97" s="131">
        <f>SUM(HB97:IC97)</f>
      </c>
      <c r="IE97" s="134"/>
      <c r="IF97" s="135"/>
      <c r="IG97" s="339">
        <v>0.5</v>
      </c>
      <c r="IH97" s="143">
        <v>0.5</v>
      </c>
      <c r="II97" s="143">
        <v>0.5</v>
      </c>
      <c r="IJ97" s="143">
        <v>0.5</v>
      </c>
      <c r="IK97" s="143">
        <v>0.5</v>
      </c>
      <c r="IL97" s="143">
        <v>0.5</v>
      </c>
      <c r="IM97" s="138">
        <v>0.5</v>
      </c>
      <c r="IN97" s="139">
        <v>0.5</v>
      </c>
      <c r="IO97" s="140">
        <v>0.5</v>
      </c>
      <c r="IP97" s="138">
        <v>0.5</v>
      </c>
      <c r="IQ97" s="137"/>
      <c r="IR97" s="141"/>
      <c r="IS97" s="142">
        <v>0.5</v>
      </c>
      <c r="IT97" s="138">
        <v>0.5</v>
      </c>
      <c r="IU97" s="143">
        <v>0.5</v>
      </c>
      <c r="IV97" s="143">
        <v>0.5</v>
      </c>
      <c r="IW97" s="143">
        <v>0.5</v>
      </c>
      <c r="IX97" s="143">
        <v>0.5</v>
      </c>
      <c r="IY97" s="137"/>
      <c r="IZ97" s="137"/>
      <c r="JA97" s="137"/>
      <c r="JB97" s="137"/>
      <c r="JC97" s="137"/>
      <c r="JD97" s="153"/>
      <c r="JE97" s="304"/>
      <c r="JF97" s="152"/>
      <c r="JG97" s="131">
        <f>SUM(IE97:JF97)</f>
      </c>
      <c r="JH97" s="134"/>
      <c r="JI97" s="135"/>
      <c r="JJ97" s="339">
        <v>0.5</v>
      </c>
      <c r="JK97" s="143">
        <v>0.5</v>
      </c>
      <c r="JL97" s="143">
        <v>0.5</v>
      </c>
      <c r="JM97" s="143">
        <v>0.5</v>
      </c>
      <c r="JN97" s="143">
        <v>0.5</v>
      </c>
      <c r="JO97" s="143">
        <v>0.5</v>
      </c>
      <c r="JP97" s="138">
        <v>0.5</v>
      </c>
      <c r="JQ97" s="139">
        <v>0.5</v>
      </c>
      <c r="JR97" s="140">
        <v>0.5</v>
      </c>
      <c r="JS97" s="138">
        <v>0.5</v>
      </c>
      <c r="JT97" s="137"/>
      <c r="JU97" s="141"/>
      <c r="JV97" s="142">
        <v>0.5</v>
      </c>
      <c r="JW97" s="138">
        <v>0.5</v>
      </c>
      <c r="JX97" s="143">
        <v>0.5</v>
      </c>
      <c r="JY97" s="143">
        <v>0.5</v>
      </c>
      <c r="JZ97" s="143">
        <v>0.5</v>
      </c>
      <c r="KA97" s="143">
        <v>0.5</v>
      </c>
      <c r="KB97" s="137"/>
      <c r="KC97" s="137"/>
      <c r="KD97" s="137"/>
      <c r="KE97" s="137"/>
      <c r="KF97" s="137"/>
      <c r="KG97" s="153"/>
      <c r="KH97" s="304"/>
      <c r="KI97" s="152"/>
      <c r="KJ97" s="131">
        <f>SUM(JH97:KI97)</f>
      </c>
      <c r="KK97" s="134"/>
      <c r="KL97" s="135"/>
      <c r="KM97" s="339">
        <v>0.5</v>
      </c>
      <c r="KN97" s="143">
        <v>0.5</v>
      </c>
      <c r="KO97" s="143">
        <v>0.5</v>
      </c>
      <c r="KP97" s="143">
        <v>0.5</v>
      </c>
      <c r="KQ97" s="143">
        <v>0.5</v>
      </c>
      <c r="KR97" s="143">
        <v>0.5</v>
      </c>
      <c r="KS97" s="138">
        <v>0.5</v>
      </c>
      <c r="KT97" s="139">
        <v>0.5</v>
      </c>
      <c r="KU97" s="140">
        <v>0.5</v>
      </c>
      <c r="KV97" s="138">
        <v>0.5</v>
      </c>
      <c r="KW97" s="137"/>
      <c r="KX97" s="141"/>
      <c r="KY97" s="142">
        <v>0.5</v>
      </c>
      <c r="KZ97" s="138">
        <v>0.5</v>
      </c>
      <c r="LA97" s="143">
        <v>0.5</v>
      </c>
      <c r="LB97" s="143">
        <v>0.5</v>
      </c>
      <c r="LC97" s="143">
        <v>0.5</v>
      </c>
      <c r="LD97" s="143">
        <v>0.5</v>
      </c>
      <c r="LE97" s="137"/>
      <c r="LF97" s="137"/>
      <c r="LG97" s="137"/>
      <c r="LH97" s="137"/>
      <c r="LI97" s="137"/>
      <c r="LJ97" s="153"/>
      <c r="LK97" s="304"/>
      <c r="LL97" s="152"/>
      <c r="LM97" s="131">
        <f>SUM(KK97:LL97)</f>
      </c>
      <c r="LN97" s="134"/>
      <c r="LO97" s="135"/>
      <c r="LP97" s="339">
        <v>0.5</v>
      </c>
      <c r="LQ97" s="143">
        <v>0.5</v>
      </c>
      <c r="LR97" s="143">
        <v>0.5</v>
      </c>
      <c r="LS97" s="143">
        <v>0.5</v>
      </c>
      <c r="LT97" s="143">
        <v>0.5</v>
      </c>
      <c r="LU97" s="143">
        <v>0.5</v>
      </c>
      <c r="LV97" s="138">
        <v>0.5</v>
      </c>
      <c r="LW97" s="139">
        <v>0.5</v>
      </c>
      <c r="LX97" s="140">
        <v>0.5</v>
      </c>
      <c r="LY97" s="138">
        <v>0.5</v>
      </c>
      <c r="LZ97" s="137"/>
      <c r="MA97" s="141"/>
      <c r="MB97" s="142">
        <v>0.5</v>
      </c>
      <c r="MC97" s="138">
        <v>0.5</v>
      </c>
      <c r="MD97" s="143">
        <v>0.5</v>
      </c>
      <c r="ME97" s="143">
        <v>0.5</v>
      </c>
      <c r="MF97" s="143">
        <v>0.5</v>
      </c>
      <c r="MG97" s="143">
        <v>0.5</v>
      </c>
      <c r="MH97" s="137"/>
      <c r="MI97" s="137"/>
      <c r="MJ97" s="137"/>
      <c r="MK97" s="137"/>
      <c r="ML97" s="137"/>
      <c r="MM97" s="153"/>
      <c r="MN97" s="304"/>
      <c r="MO97" s="152"/>
      <c r="MP97" s="131">
        <f>SUM(LN97:MO97)</f>
      </c>
      <c r="MQ97" s="121"/>
      <c r="MR97" s="122"/>
      <c r="MS97" s="123"/>
      <c r="MT97" s="124"/>
      <c r="MU97" s="124"/>
      <c r="MV97" s="124"/>
      <c r="MW97" s="124"/>
      <c r="MX97" s="124"/>
      <c r="MY97" s="124"/>
      <c r="MZ97" s="125"/>
      <c r="NA97" s="126"/>
      <c r="NB97" s="124"/>
      <c r="NC97" s="124"/>
      <c r="ND97" s="127"/>
      <c r="NE97" s="123"/>
      <c r="NF97" s="124"/>
      <c r="NG97" s="124"/>
      <c r="NH97" s="124"/>
      <c r="NI97" s="124"/>
      <c r="NJ97" s="124"/>
      <c r="NK97" s="124"/>
      <c r="NL97" s="124"/>
      <c r="NM97" s="124"/>
      <c r="NN97" s="124"/>
      <c r="NO97" s="124"/>
      <c r="NP97" s="125"/>
      <c r="NQ97" s="301"/>
      <c r="NR97" s="151"/>
      <c r="NS97" s="131">
        <f>SUM(MQ97:NR97)</f>
      </c>
      <c r="NT97" s="121"/>
      <c r="NU97" s="122"/>
      <c r="NV97" s="123"/>
      <c r="NW97" s="124"/>
      <c r="NX97" s="124"/>
      <c r="NY97" s="124"/>
      <c r="NZ97" s="124"/>
      <c r="OA97" s="124"/>
      <c r="OB97" s="124"/>
      <c r="OC97" s="125"/>
      <c r="OD97" s="126"/>
      <c r="OE97" s="124"/>
      <c r="OF97" s="124"/>
      <c r="OG97" s="127"/>
      <c r="OH97" s="123"/>
      <c r="OI97" s="124"/>
      <c r="OJ97" s="124"/>
      <c r="OK97" s="124"/>
      <c r="OL97" s="124"/>
      <c r="OM97" s="124"/>
      <c r="ON97" s="124"/>
      <c r="OO97" s="124"/>
      <c r="OP97" s="124"/>
      <c r="OQ97" s="124"/>
      <c r="OR97" s="124"/>
      <c r="OS97" s="125"/>
      <c r="OT97" s="301"/>
      <c r="OU97" s="151"/>
      <c r="OV97" s="131">
        <f>SUM(NT97:OU97)</f>
      </c>
      <c r="OW97" s="150">
        <f>ID97+JG97+KJ97+LM97+MP97+NS97+OV97</f>
      </c>
      <c r="OX97" s="302">
        <f>(COUNTIF(HB97:OV97,"H")+COUNTIF(HB97:OV97,"S")+COUNTIF(HB97:OV97,"L")+COUNTIF(HB97:OV97,"E")+COUNTIF(HB97:OV97,"C"))/2</f>
      </c>
      <c r="OY97" s="131">
        <f>OW97+OX97</f>
      </c>
      <c r="OZ97" s="134"/>
      <c r="PA97" s="135"/>
      <c r="PB97" s="136"/>
      <c r="PC97" s="137"/>
      <c r="PD97" s="137"/>
      <c r="PE97" s="143">
        <v>0.5</v>
      </c>
      <c r="PF97" s="143">
        <v>0.5</v>
      </c>
      <c r="PG97" s="143">
        <v>0.5</v>
      </c>
      <c r="PH97" s="138">
        <v>0.5</v>
      </c>
      <c r="PI97" s="139">
        <v>0.5</v>
      </c>
      <c r="PJ97" s="155"/>
      <c r="PK97" s="137"/>
      <c r="PL97" s="138">
        <v>0.5</v>
      </c>
      <c r="PM97" s="149">
        <v>0.5</v>
      </c>
      <c r="PN97" s="142">
        <v>0.5</v>
      </c>
      <c r="PO97" s="138">
        <v>0.5</v>
      </c>
      <c r="PP97" s="143">
        <v>0.5</v>
      </c>
      <c r="PQ97" s="143">
        <v>0.5</v>
      </c>
      <c r="PR97" s="143">
        <v>0.5</v>
      </c>
      <c r="PS97" s="143">
        <v>0.5</v>
      </c>
      <c r="PT97" s="143">
        <v>0.5</v>
      </c>
      <c r="PU97" s="143">
        <v>0.5</v>
      </c>
      <c r="PV97" s="143">
        <v>0.5</v>
      </c>
      <c r="PW97" s="137"/>
      <c r="PX97" s="137"/>
      <c r="PY97" s="153"/>
      <c r="PZ97" s="304"/>
      <c r="QA97" s="152"/>
      <c r="QB97" s="131">
        <f>SUM(OZ97:QA97)</f>
      </c>
      <c r="QC97" s="134"/>
      <c r="QD97" s="135"/>
      <c r="QE97" s="136"/>
      <c r="QF97" s="137"/>
      <c r="QG97" s="137"/>
      <c r="QH97" s="143">
        <v>0.5</v>
      </c>
      <c r="QI97" s="143">
        <v>0.5</v>
      </c>
      <c r="QJ97" s="143">
        <v>0.5</v>
      </c>
      <c r="QK97" s="138">
        <v>0.5</v>
      </c>
      <c r="QL97" s="139">
        <v>0.5</v>
      </c>
      <c r="QM97" s="155"/>
      <c r="QN97" s="137"/>
      <c r="QO97" s="138">
        <v>0.5</v>
      </c>
      <c r="QP97" s="149">
        <v>0.5</v>
      </c>
      <c r="QQ97" s="142">
        <v>0.5</v>
      </c>
      <c r="QR97" s="138">
        <v>0.5</v>
      </c>
      <c r="QS97" s="143">
        <v>0.5</v>
      </c>
      <c r="QT97" s="143">
        <v>0.5</v>
      </c>
      <c r="QU97" s="143">
        <v>0.5</v>
      </c>
      <c r="QV97" s="143">
        <v>0.5</v>
      </c>
      <c r="QW97" s="143">
        <v>0.5</v>
      </c>
      <c r="QX97" s="143">
        <v>0.5</v>
      </c>
      <c r="QY97" s="143">
        <v>0.5</v>
      </c>
      <c r="QZ97" s="137"/>
      <c r="RA97" s="137"/>
      <c r="RB97" s="153"/>
      <c r="RC97" s="304"/>
      <c r="RD97" s="152"/>
      <c r="RE97" s="131">
        <f>SUM(QC97:RD97)</f>
      </c>
      <c r="RF97" s="134"/>
      <c r="RG97" s="135"/>
      <c r="RH97" s="136"/>
      <c r="RI97" s="137"/>
      <c r="RJ97" s="137"/>
      <c r="RK97" s="143">
        <v>0.5</v>
      </c>
      <c r="RL97" s="143">
        <v>0.5</v>
      </c>
      <c r="RM97" s="143">
        <v>0.5</v>
      </c>
      <c r="RN97" s="138">
        <v>0.5</v>
      </c>
      <c r="RO97" s="139">
        <v>0.5</v>
      </c>
      <c r="RP97" s="155"/>
      <c r="RQ97" s="137"/>
      <c r="RR97" s="138">
        <v>0.5</v>
      </c>
      <c r="RS97" s="149">
        <v>0.5</v>
      </c>
      <c r="RT97" s="142">
        <v>0.5</v>
      </c>
      <c r="RU97" s="138">
        <v>0.5</v>
      </c>
      <c r="RV97" s="143">
        <v>0.5</v>
      </c>
      <c r="RW97" s="143">
        <v>0.5</v>
      </c>
      <c r="RX97" s="143">
        <v>0.5</v>
      </c>
      <c r="RY97" s="143">
        <v>0.5</v>
      </c>
      <c r="RZ97" s="143">
        <v>0.5</v>
      </c>
      <c r="SA97" s="143">
        <v>0.5</v>
      </c>
      <c r="SB97" s="143">
        <v>0.5</v>
      </c>
      <c r="SC97" s="137"/>
      <c r="SD97" s="137"/>
      <c r="SE97" s="153"/>
      <c r="SF97" s="304"/>
      <c r="SG97" s="152"/>
      <c r="SH97" s="131">
        <f>SUM(RF97:SG97)</f>
      </c>
      <c r="SI97" s="134"/>
      <c r="SJ97" s="135"/>
      <c r="SK97" s="136"/>
      <c r="SL97" s="137"/>
      <c r="SM97" s="137"/>
      <c r="SN97" s="143">
        <v>0.5</v>
      </c>
      <c r="SO97" s="143">
        <v>0.5</v>
      </c>
      <c r="SP97" s="143">
        <v>0.5</v>
      </c>
      <c r="SQ97" s="138">
        <v>0.5</v>
      </c>
      <c r="SR97" s="139">
        <v>0.5</v>
      </c>
      <c r="SS97" s="155"/>
      <c r="ST97" s="137"/>
      <c r="SU97" s="138">
        <v>0.5</v>
      </c>
      <c r="SV97" s="149">
        <v>0.5</v>
      </c>
      <c r="SW97" s="142">
        <v>0.5</v>
      </c>
      <c r="SX97" s="138">
        <v>0.5</v>
      </c>
      <c r="SY97" s="143">
        <v>0.5</v>
      </c>
      <c r="SZ97" s="143">
        <v>0.5</v>
      </c>
      <c r="TA97" s="143">
        <v>0.5</v>
      </c>
      <c r="TB97" s="143">
        <v>0.5</v>
      </c>
      <c r="TC97" s="143">
        <v>0.5</v>
      </c>
      <c r="TD97" s="143">
        <v>0.5</v>
      </c>
      <c r="TE97" s="143">
        <v>0.5</v>
      </c>
      <c r="TF97" s="137"/>
      <c r="TG97" s="137"/>
      <c r="TH97" s="153"/>
      <c r="TI97" s="304"/>
      <c r="TJ97" s="152"/>
      <c r="TK97" s="131">
        <f>SUM(SI97:TJ97)</f>
      </c>
      <c r="TL97" s="134"/>
      <c r="TM97" s="135"/>
      <c r="TN97" s="136"/>
      <c r="TO97" s="137"/>
      <c r="TP97" s="137"/>
      <c r="TQ97" s="143">
        <v>0.5</v>
      </c>
      <c r="TR97" s="143">
        <v>0.5</v>
      </c>
      <c r="TS97" s="143">
        <v>0.5</v>
      </c>
      <c r="TT97" s="138">
        <v>0.5</v>
      </c>
      <c r="TU97" s="139">
        <v>0.5</v>
      </c>
      <c r="TV97" s="155"/>
      <c r="TW97" s="137"/>
      <c r="TX97" s="138">
        <v>0.5</v>
      </c>
      <c r="TY97" s="149">
        <v>0.5</v>
      </c>
      <c r="TZ97" s="142">
        <v>0.5</v>
      </c>
      <c r="UA97" s="138">
        <v>0.5</v>
      </c>
      <c r="UB97" s="143">
        <v>0.5</v>
      </c>
      <c r="UC97" s="143">
        <v>0.5</v>
      </c>
      <c r="UD97" s="143">
        <v>0.5</v>
      </c>
      <c r="UE97" s="143">
        <v>0.5</v>
      </c>
      <c r="UF97" s="143">
        <v>0.5</v>
      </c>
      <c r="UG97" s="143">
        <v>0.5</v>
      </c>
      <c r="UH97" s="143">
        <v>0.5</v>
      </c>
      <c r="UI97" s="137"/>
      <c r="UJ97" s="137"/>
      <c r="UK97" s="153"/>
      <c r="UL97" s="304"/>
      <c r="UM97" s="152"/>
      <c r="UN97" s="131">
        <f>SUM(TL97:UM97)</f>
      </c>
      <c r="UO97" s="121"/>
      <c r="UP97" s="122"/>
      <c r="UQ97" s="123"/>
      <c r="UR97" s="124"/>
      <c r="US97" s="124"/>
      <c r="UT97" s="124"/>
      <c r="UU97" s="124"/>
      <c r="UV97" s="124"/>
      <c r="UW97" s="124"/>
      <c r="UX97" s="125"/>
      <c r="UY97" s="126"/>
      <c r="UZ97" s="124"/>
      <c r="VA97" s="124"/>
      <c r="VB97" s="127"/>
      <c r="VC97" s="123"/>
      <c r="VD97" s="124"/>
      <c r="VE97" s="124"/>
      <c r="VF97" s="124"/>
      <c r="VG97" s="124"/>
      <c r="VH97" s="124"/>
      <c r="VI97" s="124"/>
      <c r="VJ97" s="124"/>
      <c r="VK97" s="124"/>
      <c r="VL97" s="124"/>
      <c r="VM97" s="124"/>
      <c r="VN97" s="125"/>
      <c r="VO97" s="301"/>
      <c r="VP97" s="151"/>
      <c r="VQ97" s="131">
        <f>SUM(UO97:VP97)</f>
      </c>
      <c r="VR97" s="121"/>
      <c r="VS97" s="122"/>
      <c r="VT97" s="123"/>
      <c r="VU97" s="124"/>
      <c r="VV97" s="124"/>
      <c r="VW97" s="124"/>
      <c r="VX97" s="124"/>
      <c r="VY97" s="124"/>
      <c r="VZ97" s="124"/>
      <c r="WA97" s="125"/>
      <c r="WB97" s="126"/>
      <c r="WC97" s="124"/>
      <c r="WD97" s="124"/>
      <c r="WE97" s="127"/>
      <c r="WF97" s="123"/>
      <c r="WG97" s="124"/>
      <c r="WH97" s="124"/>
      <c r="WI97" s="124"/>
      <c r="WJ97" s="124"/>
      <c r="WK97" s="124"/>
      <c r="WL97" s="124"/>
      <c r="WM97" s="124"/>
      <c r="WN97" s="124"/>
      <c r="WO97" s="124"/>
      <c r="WP97" s="124"/>
      <c r="WQ97" s="125"/>
      <c r="WR97" s="301"/>
      <c r="WS97" s="151"/>
      <c r="WT97" s="131">
        <f>SUM(VR97:WS97)</f>
      </c>
      <c r="WU97" s="150">
        <f>QB97+RE97+SH97+TK97+UN97+VQ97+WT97</f>
      </c>
      <c r="WV97" s="302">
        <f>(COUNTIF(OZ97:WT97,"H")+COUNTIF(OZ97:WT97,"S")+COUNTIF(OZ97:WT97,"L")+COUNTIF(OZ97:WT97,"E")+COUNTIF(OZ97:WT97,"C"))/2</f>
      </c>
      <c r="WW97" s="131">
        <f>WU97+WV97</f>
      </c>
      <c r="WX97" s="134"/>
      <c r="WY97" s="135"/>
      <c r="WZ97" s="339">
        <v>0.5</v>
      </c>
      <c r="XA97" s="143">
        <v>0.5</v>
      </c>
      <c r="XB97" s="143">
        <v>0.5</v>
      </c>
      <c r="XC97" s="143">
        <v>0.5</v>
      </c>
      <c r="XD97" s="143">
        <v>0.5</v>
      </c>
      <c r="XE97" s="143">
        <v>0.5</v>
      </c>
      <c r="XF97" s="138">
        <v>0.5</v>
      </c>
      <c r="XG97" s="139">
        <v>0.5</v>
      </c>
      <c r="XH97" s="140">
        <v>0.5</v>
      </c>
      <c r="XI97" s="138">
        <v>0.5</v>
      </c>
      <c r="XJ97" s="137"/>
      <c r="XK97" s="141"/>
      <c r="XL97" s="142">
        <v>0.5</v>
      </c>
      <c r="XM97" s="138">
        <v>0.5</v>
      </c>
      <c r="XN97" s="143">
        <v>0.5</v>
      </c>
      <c r="XO97" s="143">
        <v>0.5</v>
      </c>
      <c r="XP97" s="143">
        <v>0.5</v>
      </c>
      <c r="XQ97" s="143">
        <v>0.5</v>
      </c>
      <c r="XR97" s="137"/>
      <c r="XS97" s="137"/>
      <c r="XT97" s="137"/>
      <c r="XU97" s="137"/>
      <c r="XV97" s="137"/>
      <c r="XW97" s="153"/>
      <c r="XX97" s="304"/>
      <c r="XY97" s="152"/>
      <c r="XZ97" s="131">
        <f>SUM(WX97:XY97)</f>
      </c>
      <c r="YA97" s="134"/>
      <c r="YB97" s="135"/>
      <c r="YC97" s="339">
        <v>0.5</v>
      </c>
      <c r="YD97" s="143">
        <v>0.5</v>
      </c>
      <c r="YE97" s="143">
        <v>0.5</v>
      </c>
      <c r="YF97" s="143">
        <v>0.5</v>
      </c>
      <c r="YG97" s="143">
        <v>0.5</v>
      </c>
      <c r="YH97" s="143">
        <v>0.5</v>
      </c>
      <c r="YI97" s="138">
        <v>0.5</v>
      </c>
      <c r="YJ97" s="139">
        <v>0.5</v>
      </c>
      <c r="YK97" s="140">
        <v>0.5</v>
      </c>
      <c r="YL97" s="138">
        <v>0.5</v>
      </c>
      <c r="YM97" s="137"/>
      <c r="YN97" s="141"/>
      <c r="YO97" s="142">
        <v>0.5</v>
      </c>
      <c r="YP97" s="138">
        <v>0.5</v>
      </c>
      <c r="YQ97" s="143">
        <v>0.5</v>
      </c>
      <c r="YR97" s="143">
        <v>0.5</v>
      </c>
      <c r="YS97" s="143">
        <v>0.5</v>
      </c>
      <c r="YT97" s="143">
        <v>0.5</v>
      </c>
      <c r="YU97" s="137"/>
      <c r="YV97" s="137"/>
      <c r="YW97" s="137"/>
      <c r="YX97" s="137"/>
      <c r="YY97" s="137"/>
      <c r="YZ97" s="153"/>
      <c r="ZA97" s="304"/>
      <c r="ZB97" s="152"/>
      <c r="ZC97" s="131">
        <f>SUM(YA97:ZB97)</f>
      </c>
      <c r="ZD97" s="134"/>
      <c r="ZE97" s="135"/>
      <c r="ZF97" s="339">
        <v>0.5</v>
      </c>
      <c r="ZG97" s="143">
        <v>0.5</v>
      </c>
      <c r="ZH97" s="143">
        <v>0.5</v>
      </c>
      <c r="ZI97" s="143">
        <v>0.5</v>
      </c>
      <c r="ZJ97" s="143">
        <v>0.5</v>
      </c>
      <c r="ZK97" s="143">
        <v>0.5</v>
      </c>
      <c r="ZL97" s="138">
        <v>0.5</v>
      </c>
      <c r="ZM97" s="139">
        <v>0.5</v>
      </c>
      <c r="ZN97" s="140">
        <v>0.5</v>
      </c>
      <c r="ZO97" s="138">
        <v>0.5</v>
      </c>
      <c r="ZP97" s="137"/>
      <c r="ZQ97" s="141"/>
      <c r="ZR97" s="142">
        <v>0.5</v>
      </c>
      <c r="ZS97" s="138">
        <v>0.5</v>
      </c>
      <c r="ZT97" s="143">
        <v>0.5</v>
      </c>
      <c r="ZU97" s="143">
        <v>0.5</v>
      </c>
      <c r="ZV97" s="143">
        <v>0.5</v>
      </c>
      <c r="ZW97" s="143">
        <v>0.5</v>
      </c>
      <c r="ZX97" s="137"/>
      <c r="ZY97" s="137"/>
      <c r="ZZ97" s="137"/>
      <c r="AAA97" s="137"/>
      <c r="AAB97" s="137"/>
      <c r="AAC97" s="153"/>
      <c r="AAD97" s="304"/>
      <c r="AAE97" s="152"/>
      <c r="AAF97" s="131">
        <f>SUM(ZD97:AAE97)</f>
      </c>
      <c r="AAG97" s="134"/>
      <c r="AAH97" s="135"/>
      <c r="AAI97" s="339">
        <v>0.5</v>
      </c>
      <c r="AAJ97" s="143">
        <v>0.5</v>
      </c>
      <c r="AAK97" s="143">
        <v>0.5</v>
      </c>
      <c r="AAL97" s="143">
        <v>0.5</v>
      </c>
      <c r="AAM97" s="143">
        <v>0.5</v>
      </c>
      <c r="AAN97" s="143">
        <v>0.5</v>
      </c>
      <c r="AAO97" s="138">
        <v>0.5</v>
      </c>
      <c r="AAP97" s="139">
        <v>0.5</v>
      </c>
      <c r="AAQ97" s="556">
        <v>0.5</v>
      </c>
      <c r="AAR97" s="34">
        <v>0.5</v>
      </c>
      <c r="AAS97" s="137"/>
      <c r="AAT97" s="141"/>
      <c r="AAU97" s="142">
        <v>0.5</v>
      </c>
      <c r="AAV97" s="138">
        <v>0.5</v>
      </c>
      <c r="AAW97" s="143">
        <v>0.5</v>
      </c>
      <c r="AAX97" s="143">
        <v>0.5</v>
      </c>
      <c r="AAY97" s="143">
        <v>0.5</v>
      </c>
      <c r="AAZ97" s="143">
        <v>0.5</v>
      </c>
      <c r="ABA97" s="137"/>
      <c r="ABB97" s="137"/>
      <c r="ABC97" s="137"/>
      <c r="ABD97" s="137"/>
      <c r="ABE97" s="137"/>
      <c r="ABF97" s="153"/>
      <c r="ABG97" s="304"/>
      <c r="ABH97" s="152"/>
      <c r="ABI97" s="131">
        <f>SUM(AAG97:ABH97)</f>
      </c>
      <c r="ABJ97" s="134"/>
      <c r="ABK97" s="135"/>
      <c r="ABL97" s="339">
        <v>0.5</v>
      </c>
      <c r="ABM97" s="143">
        <v>0.5</v>
      </c>
      <c r="ABN97" s="143">
        <v>0.5</v>
      </c>
      <c r="ABO97" s="143">
        <v>0.5</v>
      </c>
      <c r="ABP97" s="143">
        <v>0.5</v>
      </c>
      <c r="ABQ97" s="143">
        <v>0.5</v>
      </c>
      <c r="ABR97" s="138">
        <v>0.5</v>
      </c>
      <c r="ABS97" s="139">
        <v>0.5</v>
      </c>
      <c r="ABT97" s="140">
        <v>0.5</v>
      </c>
      <c r="ABU97" s="138">
        <v>0.5</v>
      </c>
      <c r="ABV97" s="137"/>
      <c r="ABW97" s="141"/>
      <c r="ABX97" s="142">
        <v>0.5</v>
      </c>
      <c r="ABY97" s="138">
        <v>0.5</v>
      </c>
      <c r="ABZ97" s="143">
        <v>0.5</v>
      </c>
      <c r="ACA97" s="143">
        <v>0.5</v>
      </c>
      <c r="ACB97" s="143">
        <v>0.5</v>
      </c>
      <c r="ACC97" s="143">
        <v>0.5</v>
      </c>
      <c r="ACD97" s="137"/>
      <c r="ACE97" s="137"/>
      <c r="ACF97" s="137"/>
      <c r="ACG97" s="137"/>
      <c r="ACH97" s="137"/>
      <c r="ACI97" s="153"/>
      <c r="ACJ97" s="304"/>
      <c r="ACK97" s="152"/>
      <c r="ACL97" s="131">
        <f>SUM(ABJ97:ACK97)</f>
      </c>
      <c r="ACM97" s="121"/>
      <c r="ACN97" s="122"/>
      <c r="ACO97" s="123"/>
      <c r="ACP97" s="124"/>
      <c r="ACQ97" s="124"/>
      <c r="ACR97" s="124"/>
      <c r="ACS97" s="124"/>
      <c r="ACT97" s="124"/>
      <c r="ACU97" s="124"/>
      <c r="ACV97" s="125"/>
      <c r="ACW97" s="126"/>
      <c r="ACX97" s="124"/>
      <c r="ACY97" s="124"/>
      <c r="ACZ97" s="127"/>
      <c r="ADA97" s="123"/>
      <c r="ADB97" s="124"/>
      <c r="ADC97" s="124"/>
      <c r="ADD97" s="124"/>
      <c r="ADE97" s="124"/>
      <c r="ADF97" s="124"/>
      <c r="ADG97" s="124"/>
      <c r="ADH97" s="124"/>
      <c r="ADI97" s="124"/>
      <c r="ADJ97" s="124"/>
      <c r="ADK97" s="124"/>
      <c r="ADL97" s="125"/>
      <c r="ADM97" s="301"/>
      <c r="ADN97" s="151"/>
      <c r="ADO97" s="131">
        <f>SUM(ACM97:ADN97)</f>
      </c>
      <c r="ADP97" s="121"/>
      <c r="ADQ97" s="122"/>
      <c r="ADR97" s="123"/>
      <c r="ADS97" s="124"/>
      <c r="ADT97" s="124"/>
      <c r="ADU97" s="124"/>
      <c r="ADV97" s="124"/>
      <c r="ADW97" s="124"/>
      <c r="ADX97" s="124"/>
      <c r="ADY97" s="125"/>
      <c r="ADZ97" s="126"/>
      <c r="AEA97" s="124"/>
      <c r="AEB97" s="124"/>
      <c r="AEC97" s="127"/>
      <c r="AED97" s="123"/>
      <c r="AEE97" s="124"/>
      <c r="AEF97" s="124"/>
      <c r="AEG97" s="124"/>
      <c r="AEH97" s="124"/>
      <c r="AEI97" s="124"/>
      <c r="AEJ97" s="124"/>
      <c r="AEK97" s="124"/>
      <c r="AEL97" s="124"/>
      <c r="AEM97" s="124"/>
      <c r="AEN97" s="124"/>
      <c r="AEO97" s="125"/>
      <c r="AEP97" s="301"/>
      <c r="AEQ97" s="151"/>
      <c r="AER97" s="131">
        <f>SUM(ADP97:AEQ97)</f>
      </c>
      <c r="AES97" s="150">
        <f>XZ97+ZC97+AAF97+ABI97+ACL97+ADO97+AER97</f>
      </c>
      <c r="AET97" s="302">
        <f>(COUNTIF(WX97:AER97,"H")+COUNTIF(WX97:AER97,"S")+COUNTIF(WX97:AER97,"L")+COUNTIF(WX97:AER97,"E")+COUNTIF(WX97:AER97,"C"))/2</f>
      </c>
      <c r="AEU97" s="131">
        <f>AES97+AET97</f>
      </c>
      <c r="AEV97" s="134"/>
      <c r="AEW97" s="135"/>
      <c r="AEX97" s="136"/>
      <c r="AEY97" s="137"/>
      <c r="AEZ97" s="137"/>
      <c r="AFA97" s="143">
        <v>0.5</v>
      </c>
      <c r="AFB97" s="143">
        <v>0.5</v>
      </c>
      <c r="AFC97" s="143">
        <v>0.5</v>
      </c>
      <c r="AFD97" s="138">
        <v>0.5</v>
      </c>
      <c r="AFE97" s="139">
        <v>0.5</v>
      </c>
      <c r="AFF97" s="155"/>
      <c r="AFG97" s="137"/>
      <c r="AFH97" s="138">
        <v>0.5</v>
      </c>
      <c r="AFI97" s="149">
        <v>0.5</v>
      </c>
      <c r="AFJ97" s="142">
        <v>0.5</v>
      </c>
      <c r="AFK97" s="138">
        <v>0.5</v>
      </c>
      <c r="AFL97" s="143">
        <v>0.5</v>
      </c>
      <c r="AFM97" s="143">
        <v>0.5</v>
      </c>
      <c r="AFN97" s="143">
        <v>0.5</v>
      </c>
      <c r="AFO97" s="143">
        <v>0.5</v>
      </c>
      <c r="AFP97" s="143">
        <v>0.5</v>
      </c>
      <c r="AFQ97" s="143">
        <v>0.5</v>
      </c>
      <c r="AFR97" s="143">
        <v>0.5</v>
      </c>
      <c r="AFS97" s="137"/>
      <c r="AFT97" s="137"/>
      <c r="AFU97" s="153"/>
      <c r="AFV97" s="304"/>
      <c r="AFW97" s="152"/>
      <c r="AFX97" s="131">
        <f>SUM(AEV97:AFW97)</f>
      </c>
      <c r="AFY97" s="134"/>
      <c r="AFZ97" s="135"/>
      <c r="AGA97" s="136"/>
      <c r="AGB97" s="137"/>
      <c r="AGC97" s="137"/>
      <c r="AGD97" s="143">
        <v>0.5</v>
      </c>
      <c r="AGE97" s="143">
        <v>0.5</v>
      </c>
      <c r="AGF97" s="143">
        <v>0.5</v>
      </c>
      <c r="AGG97" s="138">
        <v>0.5</v>
      </c>
      <c r="AGH97" s="139">
        <v>0.5</v>
      </c>
      <c r="AGI97" s="155"/>
      <c r="AGJ97" s="137"/>
      <c r="AGK97" s="138">
        <v>0.5</v>
      </c>
      <c r="AGL97" s="149">
        <v>0.5</v>
      </c>
      <c r="AGM97" s="142">
        <v>0.5</v>
      </c>
      <c r="AGN97" s="138">
        <v>0.5</v>
      </c>
      <c r="AGO97" s="143">
        <v>0.5</v>
      </c>
      <c r="AGP97" s="143">
        <v>0.5</v>
      </c>
      <c r="AGQ97" s="143">
        <v>0.5</v>
      </c>
      <c r="AGR97" s="143">
        <v>0.5</v>
      </c>
      <c r="AGS97" s="143">
        <v>0.5</v>
      </c>
      <c r="AGT97" s="143">
        <v>0.5</v>
      </c>
      <c r="AGU97" s="143">
        <v>0.5</v>
      </c>
      <c r="AGV97" s="137"/>
      <c r="AGW97" s="137"/>
      <c r="AGX97" s="153"/>
      <c r="AGY97" s="304"/>
      <c r="AGZ97" s="152"/>
      <c r="AHA97" s="131">
        <f>SUM(AFY97:AGZ97)</f>
      </c>
      <c r="AHB97" s="134"/>
      <c r="AHC97" s="135"/>
      <c r="AHD97" s="136"/>
      <c r="AHE97" s="137"/>
      <c r="AHF97" s="137"/>
      <c r="AHG97" s="143">
        <v>0.5</v>
      </c>
      <c r="AHH97" s="143">
        <v>0.5</v>
      </c>
      <c r="AHI97" s="143">
        <v>0.5</v>
      </c>
      <c r="AHJ97" s="138">
        <v>0.5</v>
      </c>
      <c r="AHK97" s="139">
        <v>0.5</v>
      </c>
      <c r="AHL97" s="155"/>
      <c r="AHM97" s="137"/>
      <c r="AHN97" s="138">
        <v>0.5</v>
      </c>
      <c r="AHO97" s="149">
        <v>0.5</v>
      </c>
      <c r="AHP97" s="142">
        <v>0.5</v>
      </c>
      <c r="AHQ97" s="138">
        <v>0.5</v>
      </c>
      <c r="AHR97" s="143">
        <v>0.5</v>
      </c>
      <c r="AHS97" s="143">
        <v>0.5</v>
      </c>
      <c r="AHT97" s="143">
        <v>0.5</v>
      </c>
      <c r="AHU97" s="143">
        <v>0.5</v>
      </c>
      <c r="AHV97" s="143">
        <v>0.5</v>
      </c>
      <c r="AHW97" s="143">
        <v>0.5</v>
      </c>
      <c r="AHX97" s="143">
        <v>0.5</v>
      </c>
      <c r="AHY97" s="137"/>
      <c r="AHZ97" s="137"/>
      <c r="AIA97" s="153"/>
      <c r="AIB97" s="304"/>
      <c r="AIC97" s="152"/>
      <c r="AID97" s="131">
        <f>SUM(AHB97:AIC97)</f>
      </c>
      <c r="AIE97" s="134"/>
      <c r="AIF97" s="135"/>
      <c r="AIG97" s="136"/>
      <c r="AIH97" s="137"/>
      <c r="AII97" s="137"/>
      <c r="AIJ97" s="143">
        <v>0.5</v>
      </c>
      <c r="AIK97" s="143">
        <v>0.5</v>
      </c>
      <c r="AIL97" s="143">
        <v>0.5</v>
      </c>
      <c r="AIM97" s="138">
        <v>0.5</v>
      </c>
      <c r="AIN97" s="139">
        <v>0.5</v>
      </c>
      <c r="AIO97" s="155"/>
      <c r="AIP97" s="137"/>
      <c r="AIQ97" s="138">
        <v>0.5</v>
      </c>
      <c r="AIR97" s="149">
        <v>0.5</v>
      </c>
      <c r="AIS97" s="142">
        <v>0.5</v>
      </c>
      <c r="AIT97" s="138">
        <v>0.5</v>
      </c>
      <c r="AIU97" s="143">
        <v>0.5</v>
      </c>
      <c r="AIV97" s="143">
        <v>0.5</v>
      </c>
      <c r="AIW97" s="143">
        <v>0.5</v>
      </c>
      <c r="AIX97" s="143">
        <v>0.5</v>
      </c>
      <c r="AIY97" s="143">
        <v>0.5</v>
      </c>
      <c r="AIZ97" s="143">
        <v>0.5</v>
      </c>
      <c r="AJA97" s="143">
        <v>0.5</v>
      </c>
      <c r="AJB97" s="137"/>
      <c r="AJC97" s="137"/>
      <c r="AJD97" s="153"/>
      <c r="AJE97" s="304"/>
      <c r="AJF97" s="152"/>
      <c r="AJG97" s="131">
        <f>SUM(AIE97:AJF97)</f>
      </c>
      <c r="AJH97" s="134"/>
      <c r="AJI97" s="135"/>
      <c r="AJJ97" s="136"/>
      <c r="AJK97" s="137"/>
      <c r="AJL97" s="137"/>
      <c r="AJM97" s="143">
        <v>0.5</v>
      </c>
      <c r="AJN97" s="143">
        <v>0.5</v>
      </c>
      <c r="AJO97" s="143">
        <v>0.5</v>
      </c>
      <c r="AJP97" s="138">
        <v>0.5</v>
      </c>
      <c r="AJQ97" s="139">
        <v>0.5</v>
      </c>
      <c r="AJR97" s="155"/>
      <c r="AJS97" s="137"/>
      <c r="AJT97" s="138">
        <v>0.5</v>
      </c>
      <c r="AJU97" s="149">
        <v>0.5</v>
      </c>
      <c r="AJV97" s="142">
        <v>0.5</v>
      </c>
      <c r="AJW97" s="138">
        <v>0.5</v>
      </c>
      <c r="AJX97" s="143">
        <v>0.5</v>
      </c>
      <c r="AJY97" s="143">
        <v>0.5</v>
      </c>
      <c r="AJZ97" s="143">
        <v>0.5</v>
      </c>
      <c r="AKA97" s="143">
        <v>0.5</v>
      </c>
      <c r="AKB97" s="143">
        <v>0.5</v>
      </c>
      <c r="AKC97" s="143">
        <v>0.5</v>
      </c>
      <c r="AKD97" s="143">
        <v>0.5</v>
      </c>
      <c r="AKE97" s="137"/>
      <c r="AKF97" s="137"/>
      <c r="AKG97" s="153"/>
      <c r="AKH97" s="304"/>
      <c r="AKI97" s="152"/>
      <c r="AKJ97" s="131">
        <f>SUM(AJH97:AKI97)</f>
      </c>
      <c r="AKK97" s="121"/>
      <c r="AKL97" s="122"/>
      <c r="AKM97" s="123"/>
      <c r="AKN97" s="124"/>
      <c r="AKO97" s="124"/>
      <c r="AKP97" s="124"/>
      <c r="AKQ97" s="124"/>
      <c r="AKR97" s="124"/>
      <c r="AKS97" s="124"/>
      <c r="AKT97" s="125"/>
      <c r="AKU97" s="126"/>
      <c r="AKV97" s="124"/>
      <c r="AKW97" s="124"/>
      <c r="AKX97" s="127"/>
      <c r="AKY97" s="123"/>
      <c r="AKZ97" s="124"/>
      <c r="ALA97" s="124"/>
      <c r="ALB97" s="124"/>
      <c r="ALC97" s="124"/>
      <c r="ALD97" s="124"/>
      <c r="ALE97" s="124"/>
      <c r="ALF97" s="124"/>
      <c r="ALG97" s="124"/>
      <c r="ALH97" s="124"/>
      <c r="ALI97" s="124"/>
      <c r="ALJ97" s="125"/>
      <c r="ALK97" s="301"/>
      <c r="ALL97" s="151"/>
      <c r="ALM97" s="131">
        <f>SUM(AKK97:ALL97)</f>
      </c>
      <c r="ALN97" s="121"/>
      <c r="ALO97" s="122"/>
      <c r="ALP97" s="123"/>
      <c r="ALQ97" s="124"/>
      <c r="ALR97" s="124"/>
      <c r="ALS97" s="124"/>
      <c r="ALT97" s="124"/>
      <c r="ALU97" s="124"/>
      <c r="ALV97" s="124"/>
      <c r="ALW97" s="125"/>
      <c r="ALX97" s="126"/>
      <c r="ALY97" s="124"/>
      <c r="ALZ97" s="124"/>
      <c r="AMA97" s="127"/>
      <c r="AMB97" s="123"/>
      <c r="AMC97" s="124"/>
      <c r="AMD97" s="124"/>
      <c r="AME97" s="124"/>
      <c r="AMF97" s="124"/>
      <c r="AMG97" s="124"/>
      <c r="AMH97" s="124"/>
      <c r="AMI97" s="124"/>
      <c r="AMJ97" s="124"/>
      <c r="AMK97" s="124"/>
      <c r="AML97" s="124"/>
      <c r="AMM97" s="125"/>
      <c r="AMN97" s="301"/>
      <c r="AMO97" s="151"/>
      <c r="AMP97" s="131">
        <f>SUM(ALN97:AMO97)</f>
      </c>
      <c r="AMQ97" s="150">
        <f>AFX97+AHA97+AID97+AJG97+AKJ97+ALM97+AMP97</f>
      </c>
      <c r="AMR97" s="302">
        <f>(COUNTIF(AEV97:AMP97,"H")+COUNTIF(AEV97:AMP97,"S")+COUNTIF(AEV97:AMP97,"L")+COUNTIF(AEV97:AMP97,"E")+COUNTIF(AEV97:AMP97,"C"))/2</f>
      </c>
      <c r="AMS97" s="131">
        <f>AMQ97+AMR97</f>
      </c>
      <c r="AMT97" s="4"/>
      <c r="AMU97" s="4"/>
      <c r="AMV97" s="4"/>
      <c r="AMW97" s="4"/>
      <c r="AMX97" s="4"/>
      <c r="AMY97" s="4"/>
      <c r="AMZ97" s="4"/>
      <c r="ANA97" s="4"/>
      <c r="ANB97" s="4"/>
      <c r="ANC97" s="4"/>
      <c r="AND97" s="4"/>
      <c r="ANE97" s="4"/>
      <c r="ANF97" s="4"/>
      <c r="ANG97" s="4"/>
      <c r="ANH97" s="4"/>
      <c r="ANI97" s="4"/>
      <c r="ANJ97" s="13"/>
      <c r="ANK97" s="13"/>
      <c r="ANL97" s="4"/>
      <c r="ANM97" s="4"/>
      <c r="ANN97" s="4"/>
      <c r="ANO97" s="4"/>
      <c r="ANP97" s="4"/>
      <c r="ANQ97" s="4"/>
      <c r="ANR97" s="4"/>
      <c r="ANS97" s="4"/>
      <c r="ANT97" s="4"/>
      <c r="ANU97" s="4"/>
      <c r="ANV97" s="4"/>
      <c r="ANW97" s="4"/>
      <c r="ANX97" s="4"/>
      <c r="ANY97" s="4"/>
      <c r="ANZ97" s="4"/>
      <c r="AOA97" s="4"/>
      <c r="AOB97" s="4"/>
      <c r="AOC97" s="4"/>
      <c r="AOD97" s="4"/>
      <c r="AOE97" s="4"/>
      <c r="AOF97" s="4"/>
      <c r="AOG97" s="4"/>
      <c r="AOH97" s="4"/>
      <c r="AOI97" s="4"/>
      <c r="AOJ97" s="4"/>
      <c r="AOK97" s="4"/>
      <c r="AOL97" s="4"/>
      <c r="AOM97" s="4"/>
      <c r="AON97" s="4"/>
      <c r="AOO97" s="4"/>
      <c r="AOP97" s="4"/>
      <c r="AOQ97" s="4"/>
      <c r="AOR97" s="4"/>
      <c r="AOS97" s="4"/>
      <c r="AOT97" s="4"/>
      <c r="AOU97" s="4"/>
      <c r="AOV97" s="4"/>
      <c r="AOW97" s="4"/>
      <c r="AOX97" s="4"/>
      <c r="AOY97" s="4"/>
      <c r="AOZ97" s="4"/>
      <c r="APA97" s="4"/>
      <c r="APB97" s="4"/>
      <c r="APC97" s="4"/>
      <c r="APD97" s="4"/>
      <c r="APE97" s="4"/>
      <c r="APF97" s="4"/>
      <c r="APG97" s="4"/>
      <c r="APH97" s="4"/>
      <c r="API97" s="4"/>
      <c r="APJ97" s="4"/>
      <c r="APK97" s="4"/>
      <c r="APL97" s="4"/>
      <c r="APM97" s="4"/>
      <c r="APN97" s="4"/>
      <c r="APO97" s="4"/>
      <c r="APP97" s="4"/>
      <c r="APQ97" s="4"/>
      <c r="APR97" s="4"/>
      <c r="APS97" s="4"/>
      <c r="APT97" s="4"/>
      <c r="APU97" s="4"/>
      <c r="APV97" s="4"/>
      <c r="APW97" s="4"/>
      <c r="APX97" s="4"/>
      <c r="APY97" s="4"/>
      <c r="APZ97" s="4"/>
      <c r="AQA97" s="4"/>
      <c r="AQB97" s="4"/>
      <c r="AQC97" s="4"/>
      <c r="AQD97" s="4"/>
      <c r="AQE97" s="4"/>
      <c r="AQF97" s="4"/>
      <c r="AQG97" s="4"/>
      <c r="AQH97" s="4"/>
      <c r="AQI97" s="4"/>
      <c r="AQJ97" s="4"/>
      <c r="AQK97" s="4"/>
      <c r="AQL97" s="4"/>
      <c r="AQM97" s="4"/>
      <c r="AQN97" s="4"/>
      <c r="AQO97" s="4"/>
      <c r="AQP97" s="4"/>
      <c r="AQQ97" s="4"/>
      <c r="AQR97" s="4"/>
      <c r="AQS97" s="4"/>
      <c r="AQT97" s="4"/>
      <c r="AQU97" s="4"/>
      <c r="AQV97" s="4"/>
      <c r="AQW97" s="4"/>
      <c r="AQX97" s="4"/>
      <c r="AQY97" s="4"/>
      <c r="AQZ97" s="4"/>
      <c r="ARA97" s="4"/>
      <c r="ARB97" s="4"/>
      <c r="ARC97" s="4"/>
      <c r="ARD97" s="4"/>
      <c r="ARE97" s="4"/>
      <c r="ARF97" s="4"/>
      <c r="ARG97" s="4"/>
      <c r="ARH97" s="4"/>
      <c r="ARI97" s="4"/>
      <c r="ARJ97" s="4"/>
      <c r="ARK97" s="4"/>
      <c r="ARL97" s="4"/>
      <c r="ARM97" s="4"/>
      <c r="ARN97" s="4"/>
      <c r="ARO97" s="4"/>
      <c r="ARP97" s="4"/>
      <c r="ARQ97" s="4"/>
      <c r="ARR97" s="4"/>
      <c r="ARS97" s="4"/>
      <c r="ART97" s="4"/>
      <c r="ARU97" s="4"/>
      <c r="ARV97" s="4"/>
      <c r="ARW97" s="4"/>
      <c r="ARX97" s="4"/>
      <c r="ARY97" s="4"/>
      <c r="ARZ97" s="4"/>
      <c r="ASA97" s="4"/>
      <c r="ASB97" s="4"/>
      <c r="ASC97" s="4"/>
      <c r="ASD97" s="4"/>
      <c r="ASE97" s="4"/>
      <c r="ASF97" s="4"/>
      <c r="ASG97" s="4"/>
      <c r="ASH97" s="4"/>
      <c r="ASI97" s="4"/>
      <c r="ASJ97" s="4"/>
      <c r="ASK97" s="4"/>
      <c r="ASL97" s="4"/>
      <c r="ASM97" s="4"/>
      <c r="ASN97" s="4"/>
      <c r="ASO97" s="4"/>
      <c r="ASP97" s="4"/>
      <c r="ASQ97" s="4"/>
      <c r="ASR97" s="4"/>
      <c r="ASS97" s="4"/>
      <c r="AST97" s="4"/>
      <c r="ASU97" s="4"/>
    </row>
    <row r="98" ht="15" customHeight="1" spans="1:1191" x14ac:dyDescent="0.25">
      <c r="A98" s="232"/>
      <c r="B98" s="597" t="s">
        <v>136</v>
      </c>
      <c r="C98" s="598" t="s">
        <v>81</v>
      </c>
      <c r="D98" s="344"/>
      <c r="E98" s="345"/>
      <c r="F98" s="346"/>
      <c r="G98" s="239"/>
      <c r="H98" s="239"/>
      <c r="I98" s="239"/>
      <c r="J98" s="239"/>
      <c r="K98" s="239"/>
      <c r="L98" s="239"/>
      <c r="M98" s="238"/>
      <c r="N98" s="240"/>
      <c r="O98" s="239"/>
      <c r="P98" s="239"/>
      <c r="Q98" s="241"/>
      <c r="R98" s="346"/>
      <c r="S98" s="239"/>
      <c r="T98" s="239"/>
      <c r="U98" s="239"/>
      <c r="V98" s="239"/>
      <c r="W98" s="239"/>
      <c r="X98" s="239"/>
      <c r="Y98" s="239"/>
      <c r="Z98" s="239"/>
      <c r="AA98" s="239"/>
      <c r="AB98" s="239"/>
      <c r="AC98" s="238"/>
      <c r="AD98" s="345"/>
      <c r="AE98" s="237"/>
      <c r="AF98" s="244">
        <f>SUM(D98:AE98)</f>
      </c>
      <c r="AG98" s="344"/>
      <c r="AH98" s="345"/>
      <c r="AI98" s="346"/>
      <c r="AJ98" s="239"/>
      <c r="AK98" s="239"/>
      <c r="AL98" s="239"/>
      <c r="AM98" s="239"/>
      <c r="AN98" s="239"/>
      <c r="AO98" s="239"/>
      <c r="AP98" s="238"/>
      <c r="AQ98" s="240"/>
      <c r="AR98" s="239"/>
      <c r="AS98" s="239"/>
      <c r="AT98" s="241"/>
      <c r="AU98" s="346"/>
      <c r="AV98" s="239"/>
      <c r="AW98" s="239"/>
      <c r="AX98" s="239"/>
      <c r="AY98" s="239"/>
      <c r="AZ98" s="239"/>
      <c r="BA98" s="239"/>
      <c r="BB98" s="239"/>
      <c r="BC98" s="239"/>
      <c r="BD98" s="239"/>
      <c r="BE98" s="239"/>
      <c r="BF98" s="238"/>
      <c r="BG98" s="345"/>
      <c r="BH98" s="237"/>
      <c r="BI98" s="244">
        <f>SUM(AG98:BH98)</f>
      </c>
      <c r="BJ98" s="344"/>
      <c r="BK98" s="345"/>
      <c r="BL98" s="346"/>
      <c r="BM98" s="239"/>
      <c r="BN98" s="239"/>
      <c r="BO98" s="239"/>
      <c r="BP98" s="239"/>
      <c r="BQ98" s="239"/>
      <c r="BR98" s="239"/>
      <c r="BS98" s="238"/>
      <c r="BT98" s="240"/>
      <c r="BU98" s="239"/>
      <c r="BV98" s="239"/>
      <c r="BW98" s="241"/>
      <c r="BX98" s="346"/>
      <c r="BY98" s="239"/>
      <c r="BZ98" s="239"/>
      <c r="CA98" s="239"/>
      <c r="CB98" s="239"/>
      <c r="CC98" s="239"/>
      <c r="CD98" s="239"/>
      <c r="CE98" s="239"/>
      <c r="CF98" s="239"/>
      <c r="CG98" s="239"/>
      <c r="CH98" s="239"/>
      <c r="CI98" s="238"/>
      <c r="CJ98" s="345"/>
      <c r="CK98" s="237"/>
      <c r="CL98" s="244">
        <f>SUM(BJ98:CK98)</f>
      </c>
      <c r="CM98" s="344"/>
      <c r="CN98" s="345"/>
      <c r="CO98" s="346"/>
      <c r="CP98" s="239"/>
      <c r="CQ98" s="239"/>
      <c r="CR98" s="239"/>
      <c r="CS98" s="239"/>
      <c r="CT98" s="239"/>
      <c r="CU98" s="239"/>
      <c r="CV98" s="238"/>
      <c r="CW98" s="240"/>
      <c r="CX98" s="239"/>
      <c r="CY98" s="239"/>
      <c r="CZ98" s="241"/>
      <c r="DA98" s="346"/>
      <c r="DB98" s="239"/>
      <c r="DC98" s="239"/>
      <c r="DD98" s="239"/>
      <c r="DE98" s="239"/>
      <c r="DF98" s="239"/>
      <c r="DG98" s="239"/>
      <c r="DH98" s="239"/>
      <c r="DI98" s="239"/>
      <c r="DJ98" s="239"/>
      <c r="DK98" s="239"/>
      <c r="DL98" s="238"/>
      <c r="DM98" s="345"/>
      <c r="DN98" s="237"/>
      <c r="DO98" s="244">
        <f>SUM(CM98:DN98)</f>
      </c>
      <c r="DP98" s="344"/>
      <c r="DQ98" s="345"/>
      <c r="DR98" s="346"/>
      <c r="DS98" s="239"/>
      <c r="DT98" s="239"/>
      <c r="DU98" s="239"/>
      <c r="DV98" s="239"/>
      <c r="DW98" s="239"/>
      <c r="DX98" s="239"/>
      <c r="DY98" s="238"/>
      <c r="DZ98" s="240"/>
      <c r="EA98" s="239"/>
      <c r="EB98" s="239"/>
      <c r="EC98" s="241"/>
      <c r="ED98" s="346"/>
      <c r="EE98" s="239"/>
      <c r="EF98" s="239"/>
      <c r="EG98" s="239"/>
      <c r="EH98" s="239"/>
      <c r="EI98" s="239"/>
      <c r="EJ98" s="239"/>
      <c r="EK98" s="239"/>
      <c r="EL98" s="239"/>
      <c r="EM98" s="239"/>
      <c r="EN98" s="239"/>
      <c r="EO98" s="238"/>
      <c r="EP98" s="345"/>
      <c r="EQ98" s="237"/>
      <c r="ER98" s="244">
        <f>SUM(DP98:EQ98)</f>
      </c>
      <c r="ES98" s="344"/>
      <c r="ET98" s="345"/>
      <c r="EU98" s="346"/>
      <c r="EV98" s="239"/>
      <c r="EW98" s="239"/>
      <c r="EX98" s="239"/>
      <c r="EY98" s="239"/>
      <c r="EZ98" s="239"/>
      <c r="FA98" s="239"/>
      <c r="FB98" s="238"/>
      <c r="FC98" s="240"/>
      <c r="FD98" s="239"/>
      <c r="FE98" s="239"/>
      <c r="FF98" s="241"/>
      <c r="FG98" s="346"/>
      <c r="FH98" s="239"/>
      <c r="FI98" s="239"/>
      <c r="FJ98" s="239"/>
      <c r="FK98" s="239"/>
      <c r="FL98" s="239"/>
      <c r="FM98" s="239"/>
      <c r="FN98" s="239"/>
      <c r="FO98" s="239"/>
      <c r="FP98" s="239"/>
      <c r="FQ98" s="239"/>
      <c r="FR98" s="238"/>
      <c r="FS98" s="345"/>
      <c r="FT98" s="237"/>
      <c r="FU98" s="244">
        <f>SUM(ES98:FT98)</f>
      </c>
      <c r="FV98" s="344"/>
      <c r="FW98" s="345"/>
      <c r="FX98" s="346"/>
      <c r="FY98" s="239"/>
      <c r="FZ98" s="239"/>
      <c r="GA98" s="239"/>
      <c r="GB98" s="239"/>
      <c r="GC98" s="239"/>
      <c r="GD98" s="239"/>
      <c r="GE98" s="238"/>
      <c r="GF98" s="240"/>
      <c r="GG98" s="239"/>
      <c r="GH98" s="239"/>
      <c r="GI98" s="241"/>
      <c r="GJ98" s="346"/>
      <c r="GK98" s="239"/>
      <c r="GL98" s="239"/>
      <c r="GM98" s="239"/>
      <c r="GN98" s="239"/>
      <c r="GO98" s="239"/>
      <c r="GP98" s="239"/>
      <c r="GQ98" s="239"/>
      <c r="GR98" s="239"/>
      <c r="GS98" s="239"/>
      <c r="GT98" s="239"/>
      <c r="GU98" s="238"/>
      <c r="GV98" s="345"/>
      <c r="GW98" s="237"/>
      <c r="GX98" s="244">
        <f>SUM(FV98:GW98)</f>
      </c>
      <c r="GY98" s="264">
        <f>AF98+BI98+CL98+DO98+ER98+FU98+GX98</f>
      </c>
      <c r="GZ98" s="347">
        <f>(COUNTIF(D98:GX98,"H")+COUNTIF(D98:GX98,"S")+COUNTIF(D98:GX98,"L")+COUNTIF(D98:GX98,"E")+COUNTIF(D98:GX98,"C"))/2</f>
      </c>
      <c r="HA98" s="244">
        <f>GY98+GZ98</f>
      </c>
      <c r="HB98" s="348"/>
      <c r="HC98" s="349"/>
      <c r="HD98" s="350"/>
      <c r="HE98" s="256"/>
      <c r="HF98" s="256"/>
      <c r="HG98" s="599">
        <v>0.5</v>
      </c>
      <c r="HH98" s="599">
        <v>0.5</v>
      </c>
      <c r="HI98" s="599">
        <v>0.5</v>
      </c>
      <c r="HJ98" s="261">
        <v>0.5</v>
      </c>
      <c r="HK98" s="262">
        <v>0.5</v>
      </c>
      <c r="HL98" s="265"/>
      <c r="HM98" s="256"/>
      <c r="HN98" s="600">
        <v>0.5</v>
      </c>
      <c r="HO98" s="601">
        <v>0.5</v>
      </c>
      <c r="HP98" s="602">
        <v>0.5</v>
      </c>
      <c r="HQ98" s="600">
        <v>0.5</v>
      </c>
      <c r="HR98" s="600">
        <v>0.5</v>
      </c>
      <c r="HS98" s="600">
        <v>0.5</v>
      </c>
      <c r="HT98" s="600">
        <v>0.5</v>
      </c>
      <c r="HU98" s="600">
        <v>0.5</v>
      </c>
      <c r="HV98" s="600">
        <v>0.5</v>
      </c>
      <c r="HW98" s="261">
        <v>0.5</v>
      </c>
      <c r="HX98" s="261">
        <v>0.5</v>
      </c>
      <c r="HY98" s="256"/>
      <c r="HZ98" s="256"/>
      <c r="IA98" s="251"/>
      <c r="IB98" s="349"/>
      <c r="IC98" s="250"/>
      <c r="ID98" s="244">
        <f>SUM(HB98:IC98)</f>
      </c>
      <c r="IE98" s="348"/>
      <c r="IF98" s="349"/>
      <c r="IG98" s="350"/>
      <c r="IH98" s="256"/>
      <c r="II98" s="256"/>
      <c r="IJ98" s="599">
        <v>0.5</v>
      </c>
      <c r="IK98" s="599">
        <v>0.5</v>
      </c>
      <c r="IL98" s="599">
        <v>0.5</v>
      </c>
      <c r="IM98" s="261">
        <v>0.5</v>
      </c>
      <c r="IN98" s="262">
        <v>0.5</v>
      </c>
      <c r="IO98" s="265"/>
      <c r="IP98" s="256"/>
      <c r="IQ98" s="600">
        <v>0.5</v>
      </c>
      <c r="IR98" s="601">
        <v>0.5</v>
      </c>
      <c r="IS98" s="602">
        <v>0.5</v>
      </c>
      <c r="IT98" s="600">
        <v>0.5</v>
      </c>
      <c r="IU98" s="600">
        <v>0.5</v>
      </c>
      <c r="IV98" s="600">
        <v>0.5</v>
      </c>
      <c r="IW98" s="600">
        <v>0.5</v>
      </c>
      <c r="IX98" s="600">
        <v>0.5</v>
      </c>
      <c r="IY98" s="600">
        <v>0.5</v>
      </c>
      <c r="IZ98" s="261">
        <v>0.5</v>
      </c>
      <c r="JA98" s="261">
        <v>0.5</v>
      </c>
      <c r="JB98" s="256"/>
      <c r="JC98" s="256"/>
      <c r="JD98" s="251"/>
      <c r="JE98" s="349"/>
      <c r="JF98" s="250"/>
      <c r="JG98" s="244">
        <f>SUM(IE98:JF98)</f>
      </c>
      <c r="JH98" s="348"/>
      <c r="JI98" s="349"/>
      <c r="JJ98" s="350"/>
      <c r="JK98" s="256"/>
      <c r="JL98" s="256"/>
      <c r="JM98" s="599">
        <v>0.5</v>
      </c>
      <c r="JN98" s="599">
        <v>0.5</v>
      </c>
      <c r="JO98" s="599">
        <v>0.5</v>
      </c>
      <c r="JP98" s="261">
        <v>0.5</v>
      </c>
      <c r="JQ98" s="262">
        <v>0.5</v>
      </c>
      <c r="JR98" s="265"/>
      <c r="JS98" s="256"/>
      <c r="JT98" s="600">
        <v>0.5</v>
      </c>
      <c r="JU98" s="601">
        <v>0.5</v>
      </c>
      <c r="JV98" s="602">
        <v>0.5</v>
      </c>
      <c r="JW98" s="600">
        <v>0.5</v>
      </c>
      <c r="JX98" s="600">
        <v>0.5</v>
      </c>
      <c r="JY98" s="600">
        <v>0.5</v>
      </c>
      <c r="JZ98" s="600">
        <v>0.5</v>
      </c>
      <c r="KA98" s="600">
        <v>0.5</v>
      </c>
      <c r="KB98" s="600">
        <v>0.5</v>
      </c>
      <c r="KC98" s="261">
        <v>0.5</v>
      </c>
      <c r="KD98" s="261">
        <v>0.5</v>
      </c>
      <c r="KE98" s="256"/>
      <c r="KF98" s="256"/>
      <c r="KG98" s="251"/>
      <c r="KH98" s="349"/>
      <c r="KI98" s="250"/>
      <c r="KJ98" s="244">
        <f>SUM(JH98:KI98)</f>
      </c>
      <c r="KK98" s="348"/>
      <c r="KL98" s="349"/>
      <c r="KM98" s="350"/>
      <c r="KN98" s="256"/>
      <c r="KO98" s="256"/>
      <c r="KP98" s="599">
        <v>0.5</v>
      </c>
      <c r="KQ98" s="599">
        <v>0.5</v>
      </c>
      <c r="KR98" s="599">
        <v>0.5</v>
      </c>
      <c r="KS98" s="261">
        <v>0.5</v>
      </c>
      <c r="KT98" s="262">
        <v>0.5</v>
      </c>
      <c r="KU98" s="265"/>
      <c r="KV98" s="256"/>
      <c r="KW98" s="600">
        <v>0.5</v>
      </c>
      <c r="KX98" s="601">
        <v>0.5</v>
      </c>
      <c r="KY98" s="602">
        <v>0.5</v>
      </c>
      <c r="KZ98" s="600">
        <v>0.5</v>
      </c>
      <c r="LA98" s="600">
        <v>0.5</v>
      </c>
      <c r="LB98" s="600">
        <v>0.5</v>
      </c>
      <c r="LC98" s="600">
        <v>0.5</v>
      </c>
      <c r="LD98" s="600">
        <v>0.5</v>
      </c>
      <c r="LE98" s="600">
        <v>0.5</v>
      </c>
      <c r="LF98" s="261">
        <v>0.5</v>
      </c>
      <c r="LG98" s="261">
        <v>0.5</v>
      </c>
      <c r="LH98" s="256"/>
      <c r="LI98" s="256"/>
      <c r="LJ98" s="251"/>
      <c r="LK98" s="349"/>
      <c r="LL98" s="250"/>
      <c r="LM98" s="244">
        <f>SUM(KK98:LL98)</f>
      </c>
      <c r="LN98" s="348"/>
      <c r="LO98" s="349"/>
      <c r="LP98" s="350"/>
      <c r="LQ98" s="256"/>
      <c r="LR98" s="256"/>
      <c r="LS98" s="599">
        <v>0.5</v>
      </c>
      <c r="LT98" s="599">
        <v>0.5</v>
      </c>
      <c r="LU98" s="599">
        <v>0.5</v>
      </c>
      <c r="LV98" s="261">
        <v>0.5</v>
      </c>
      <c r="LW98" s="262">
        <v>0.5</v>
      </c>
      <c r="LX98" s="265"/>
      <c r="LY98" s="256"/>
      <c r="LZ98" s="600">
        <v>0.5</v>
      </c>
      <c r="MA98" s="601">
        <v>0.5</v>
      </c>
      <c r="MB98" s="602">
        <v>0.5</v>
      </c>
      <c r="MC98" s="600">
        <v>0.5</v>
      </c>
      <c r="MD98" s="600">
        <v>0.5</v>
      </c>
      <c r="ME98" s="600">
        <v>0.5</v>
      </c>
      <c r="MF98" s="600">
        <v>0.5</v>
      </c>
      <c r="MG98" s="600">
        <v>0.5</v>
      </c>
      <c r="MH98" s="600">
        <v>0.5</v>
      </c>
      <c r="MI98" s="261">
        <v>0.5</v>
      </c>
      <c r="MJ98" s="261">
        <v>0.5</v>
      </c>
      <c r="MK98" s="256"/>
      <c r="ML98" s="256"/>
      <c r="MM98" s="251"/>
      <c r="MN98" s="349"/>
      <c r="MO98" s="250"/>
      <c r="MP98" s="244">
        <f>SUM(LN98:MO98)</f>
      </c>
      <c r="MQ98" s="344"/>
      <c r="MR98" s="345"/>
      <c r="MS98" s="346"/>
      <c r="MT98" s="239"/>
      <c r="MU98" s="239"/>
      <c r="MV98" s="239"/>
      <c r="MW98" s="239"/>
      <c r="MX98" s="239"/>
      <c r="MY98" s="239"/>
      <c r="MZ98" s="238"/>
      <c r="NA98" s="240"/>
      <c r="NB98" s="239"/>
      <c r="NC98" s="239"/>
      <c r="ND98" s="241"/>
      <c r="NE98" s="346"/>
      <c r="NF98" s="239"/>
      <c r="NG98" s="239"/>
      <c r="NH98" s="239"/>
      <c r="NI98" s="239"/>
      <c r="NJ98" s="239"/>
      <c r="NK98" s="239"/>
      <c r="NL98" s="239"/>
      <c r="NM98" s="239"/>
      <c r="NN98" s="239"/>
      <c r="NO98" s="239"/>
      <c r="NP98" s="238"/>
      <c r="NQ98" s="345"/>
      <c r="NR98" s="237"/>
      <c r="NS98" s="244">
        <f>SUM(MQ98:NR98)</f>
      </c>
      <c r="NT98" s="344"/>
      <c r="NU98" s="345"/>
      <c r="NV98" s="346"/>
      <c r="NW98" s="239"/>
      <c r="NX98" s="239"/>
      <c r="NY98" s="239"/>
      <c r="NZ98" s="239"/>
      <c r="OA98" s="239"/>
      <c r="OB98" s="239"/>
      <c r="OC98" s="238"/>
      <c r="OD98" s="240"/>
      <c r="OE98" s="239"/>
      <c r="OF98" s="239"/>
      <c r="OG98" s="241"/>
      <c r="OH98" s="346"/>
      <c r="OI98" s="239"/>
      <c r="OJ98" s="239"/>
      <c r="OK98" s="239"/>
      <c r="OL98" s="239"/>
      <c r="OM98" s="239"/>
      <c r="ON98" s="239"/>
      <c r="OO98" s="239"/>
      <c r="OP98" s="239"/>
      <c r="OQ98" s="239"/>
      <c r="OR98" s="239"/>
      <c r="OS98" s="238"/>
      <c r="OT98" s="345"/>
      <c r="OU98" s="237"/>
      <c r="OV98" s="244">
        <f>SUM(NT98:OU98)</f>
      </c>
      <c r="OW98" s="264">
        <f>ID98+JG98+KJ98+LM98+MP98+NS98+OV98</f>
      </c>
      <c r="OX98" s="347">
        <f>(COUNTIF(HB98:OV98,"H")+COUNTIF(HB98:OV98,"S")+COUNTIF(HB98:OV98,"L")+COUNTIF(HB98:OV98,"E")+COUNTIF(HB98:OV98,"C"))/2</f>
      </c>
      <c r="OY98" s="244">
        <f>OW98+OX98</f>
      </c>
      <c r="OZ98" s="348"/>
      <c r="PA98" s="349"/>
      <c r="PB98" s="603">
        <v>0.5</v>
      </c>
      <c r="PC98" s="600">
        <v>0.5</v>
      </c>
      <c r="PD98" s="600">
        <v>0.5</v>
      </c>
      <c r="PE98" s="600">
        <v>0.5</v>
      </c>
      <c r="PF98" s="600">
        <v>0.5</v>
      </c>
      <c r="PG98" s="600">
        <v>0.5</v>
      </c>
      <c r="PH98" s="600">
        <v>0.5</v>
      </c>
      <c r="PI98" s="604">
        <v>0.5</v>
      </c>
      <c r="PJ98" s="605">
        <v>0.5</v>
      </c>
      <c r="PK98" s="600">
        <v>0.5</v>
      </c>
      <c r="PL98" s="256"/>
      <c r="PM98" s="257"/>
      <c r="PN98" s="351">
        <v>0.5</v>
      </c>
      <c r="PO98" s="261">
        <v>0.5</v>
      </c>
      <c r="PP98" s="599">
        <v>0.5</v>
      </c>
      <c r="PQ98" s="599">
        <v>0.5</v>
      </c>
      <c r="PR98" s="599">
        <v>0.5</v>
      </c>
      <c r="PS98" s="599">
        <v>0.5</v>
      </c>
      <c r="PT98" s="256"/>
      <c r="PU98" s="256"/>
      <c r="PV98" s="256"/>
      <c r="PW98" s="256"/>
      <c r="PX98" s="256"/>
      <c r="PY98" s="251"/>
      <c r="PZ98" s="349"/>
      <c r="QA98" s="250"/>
      <c r="QB98" s="244">
        <f>SUM(OZ98:QA98)</f>
      </c>
      <c r="QC98" s="348"/>
      <c r="QD98" s="349"/>
      <c r="QE98" s="603">
        <v>0.5</v>
      </c>
      <c r="QF98" s="600">
        <v>0.5</v>
      </c>
      <c r="QG98" s="600">
        <v>0.5</v>
      </c>
      <c r="QH98" s="600">
        <v>0.5</v>
      </c>
      <c r="QI98" s="600">
        <v>0.5</v>
      </c>
      <c r="QJ98" s="600">
        <v>0.5</v>
      </c>
      <c r="QK98" s="600">
        <v>0.5</v>
      </c>
      <c r="QL98" s="604">
        <v>0.5</v>
      </c>
      <c r="QM98" s="605">
        <v>0.5</v>
      </c>
      <c r="QN98" s="600">
        <v>0.5</v>
      </c>
      <c r="QO98" s="256"/>
      <c r="QP98" s="257"/>
      <c r="QQ98" s="351">
        <v>0.5</v>
      </c>
      <c r="QR98" s="261">
        <v>0.5</v>
      </c>
      <c r="QS98" s="599">
        <v>0.5</v>
      </c>
      <c r="QT98" s="599">
        <v>0.5</v>
      </c>
      <c r="QU98" s="599">
        <v>0.5</v>
      </c>
      <c r="QV98" s="599">
        <v>0.5</v>
      </c>
      <c r="QW98" s="256"/>
      <c r="QX98" s="256"/>
      <c r="QY98" s="256"/>
      <c r="QZ98" s="256"/>
      <c r="RA98" s="256"/>
      <c r="RB98" s="251"/>
      <c r="RC98" s="349"/>
      <c r="RD98" s="250"/>
      <c r="RE98" s="244">
        <f>SUM(QC98:RD98)</f>
      </c>
      <c r="RF98" s="348"/>
      <c r="RG98" s="349"/>
      <c r="RH98" s="603">
        <v>0.5</v>
      </c>
      <c r="RI98" s="600">
        <v>0.5</v>
      </c>
      <c r="RJ98" s="600">
        <v>0.5</v>
      </c>
      <c r="RK98" s="600">
        <v>0.5</v>
      </c>
      <c r="RL98" s="600">
        <v>0.5</v>
      </c>
      <c r="RM98" s="600">
        <v>0.5</v>
      </c>
      <c r="RN98" s="600">
        <v>0.5</v>
      </c>
      <c r="RO98" s="604">
        <v>0.5</v>
      </c>
      <c r="RP98" s="605">
        <v>0.5</v>
      </c>
      <c r="RQ98" s="600">
        <v>0.5</v>
      </c>
      <c r="RR98" s="256"/>
      <c r="RS98" s="257"/>
      <c r="RT98" s="351">
        <v>0.5</v>
      </c>
      <c r="RU98" s="261">
        <v>0.5</v>
      </c>
      <c r="RV98" s="599">
        <v>0.5</v>
      </c>
      <c r="RW98" s="599">
        <v>0.5</v>
      </c>
      <c r="RX98" s="599">
        <v>0.5</v>
      </c>
      <c r="RY98" s="599">
        <v>0.5</v>
      </c>
      <c r="RZ98" s="256"/>
      <c r="SA98" s="256"/>
      <c r="SB98" s="256"/>
      <c r="SC98" s="256"/>
      <c r="SD98" s="256"/>
      <c r="SE98" s="251"/>
      <c r="SF98" s="349"/>
      <c r="SG98" s="250"/>
      <c r="SH98" s="244">
        <f>SUM(RF98:SG98)</f>
      </c>
      <c r="SI98" s="348"/>
      <c r="SJ98" s="349"/>
      <c r="SK98" s="603">
        <v>0.5</v>
      </c>
      <c r="SL98" s="600">
        <v>0.5</v>
      </c>
      <c r="SM98" s="600">
        <v>0.5</v>
      </c>
      <c r="SN98" s="600">
        <v>0.5</v>
      </c>
      <c r="SO98" s="600">
        <v>0.5</v>
      </c>
      <c r="SP98" s="600">
        <v>0.5</v>
      </c>
      <c r="SQ98" s="600">
        <v>0.5</v>
      </c>
      <c r="SR98" s="604">
        <v>0.5</v>
      </c>
      <c r="SS98" s="605">
        <v>0.5</v>
      </c>
      <c r="ST98" s="600">
        <v>0.5</v>
      </c>
      <c r="SU98" s="256"/>
      <c r="SV98" s="257"/>
      <c r="SW98" s="351">
        <v>0.5</v>
      </c>
      <c r="SX98" s="261">
        <v>0.5</v>
      </c>
      <c r="SY98" s="599">
        <v>0.5</v>
      </c>
      <c r="SZ98" s="599">
        <v>0.5</v>
      </c>
      <c r="TA98" s="599">
        <v>0.5</v>
      </c>
      <c r="TB98" s="599">
        <v>0.5</v>
      </c>
      <c r="TC98" s="256"/>
      <c r="TD98" s="256"/>
      <c r="TE98" s="256"/>
      <c r="TF98" s="256"/>
      <c r="TG98" s="256"/>
      <c r="TH98" s="251"/>
      <c r="TI98" s="349"/>
      <c r="TJ98" s="250"/>
      <c r="TK98" s="244">
        <f>SUM(SI98:TJ98)</f>
      </c>
      <c r="TL98" s="348"/>
      <c r="TM98" s="349"/>
      <c r="TN98" s="603">
        <v>0.5</v>
      </c>
      <c r="TO98" s="600">
        <v>0.5</v>
      </c>
      <c r="TP98" s="600">
        <v>0.5</v>
      </c>
      <c r="TQ98" s="600">
        <v>0.5</v>
      </c>
      <c r="TR98" s="600">
        <v>0.5</v>
      </c>
      <c r="TS98" s="600">
        <v>0.5</v>
      </c>
      <c r="TT98" s="600">
        <v>0.5</v>
      </c>
      <c r="TU98" s="604">
        <v>0.5</v>
      </c>
      <c r="TV98" s="605">
        <v>0.5</v>
      </c>
      <c r="TW98" s="600">
        <v>0.5</v>
      </c>
      <c r="TX98" s="256"/>
      <c r="TY98" s="257"/>
      <c r="TZ98" s="351">
        <v>0.5</v>
      </c>
      <c r="UA98" s="261">
        <v>0.5</v>
      </c>
      <c r="UB98" s="599">
        <v>0.5</v>
      </c>
      <c r="UC98" s="599">
        <v>0.5</v>
      </c>
      <c r="UD98" s="599">
        <v>0.5</v>
      </c>
      <c r="UE98" s="599">
        <v>0.5</v>
      </c>
      <c r="UF98" s="256"/>
      <c r="UG98" s="256"/>
      <c r="UH98" s="256"/>
      <c r="UI98" s="256"/>
      <c r="UJ98" s="256"/>
      <c r="UK98" s="251"/>
      <c r="UL98" s="349"/>
      <c r="UM98" s="250"/>
      <c r="UN98" s="244">
        <f>SUM(TL98:UM98)</f>
      </c>
      <c r="UO98" s="344"/>
      <c r="UP98" s="345"/>
      <c r="UQ98" s="346"/>
      <c r="UR98" s="239"/>
      <c r="US98" s="239"/>
      <c r="UT98" s="239"/>
      <c r="UU98" s="239"/>
      <c r="UV98" s="239"/>
      <c r="UW98" s="239"/>
      <c r="UX98" s="238"/>
      <c r="UY98" s="240"/>
      <c r="UZ98" s="239"/>
      <c r="VA98" s="239"/>
      <c r="VB98" s="241"/>
      <c r="VC98" s="346"/>
      <c r="VD98" s="239"/>
      <c r="VE98" s="239"/>
      <c r="VF98" s="239"/>
      <c r="VG98" s="239"/>
      <c r="VH98" s="239"/>
      <c r="VI98" s="239"/>
      <c r="VJ98" s="239"/>
      <c r="VK98" s="239"/>
      <c r="VL98" s="239"/>
      <c r="VM98" s="239"/>
      <c r="VN98" s="238"/>
      <c r="VO98" s="345"/>
      <c r="VP98" s="237"/>
      <c r="VQ98" s="244">
        <f>SUM(UO98:VP98)</f>
      </c>
      <c r="VR98" s="344"/>
      <c r="VS98" s="345"/>
      <c r="VT98" s="346"/>
      <c r="VU98" s="239"/>
      <c r="VV98" s="239"/>
      <c r="VW98" s="239"/>
      <c r="VX98" s="239"/>
      <c r="VY98" s="239"/>
      <c r="VZ98" s="239"/>
      <c r="WA98" s="238"/>
      <c r="WB98" s="240"/>
      <c r="WC98" s="239"/>
      <c r="WD98" s="239"/>
      <c r="WE98" s="241"/>
      <c r="WF98" s="346"/>
      <c r="WG98" s="239"/>
      <c r="WH98" s="239"/>
      <c r="WI98" s="239"/>
      <c r="WJ98" s="239"/>
      <c r="WK98" s="239"/>
      <c r="WL98" s="239"/>
      <c r="WM98" s="239"/>
      <c r="WN98" s="239"/>
      <c r="WO98" s="239"/>
      <c r="WP98" s="239"/>
      <c r="WQ98" s="238"/>
      <c r="WR98" s="345"/>
      <c r="WS98" s="237"/>
      <c r="WT98" s="244">
        <f>SUM(VR98:WS98)</f>
      </c>
      <c r="WU98" s="264">
        <f>QB98+RE98+SH98+TK98+UN98+VQ98+WT98</f>
      </c>
      <c r="WV98" s="347">
        <f>(COUNTIF(OZ98:WT98,"H")+COUNTIF(OZ98:WT98,"S")+COUNTIF(OZ98:WT98,"L")+COUNTIF(OZ98:WT98,"E")+COUNTIF(OZ98:WT98,"C"))/2</f>
      </c>
      <c r="WW98" s="244">
        <f>WU98+WV98</f>
      </c>
      <c r="WX98" s="348"/>
      <c r="WY98" s="349"/>
      <c r="WZ98" s="350"/>
      <c r="XA98" s="256"/>
      <c r="XB98" s="256"/>
      <c r="XC98" s="256"/>
      <c r="XD98" s="256"/>
      <c r="XE98" s="256"/>
      <c r="XF98" s="261">
        <v>0.5</v>
      </c>
      <c r="XG98" s="262">
        <v>0.5</v>
      </c>
      <c r="XH98" s="265"/>
      <c r="XI98" s="256"/>
      <c r="XJ98" s="600">
        <v>0.5</v>
      </c>
      <c r="XK98" s="601">
        <v>0.5</v>
      </c>
      <c r="XL98" s="602">
        <v>0.5</v>
      </c>
      <c r="XM98" s="600">
        <v>0.5</v>
      </c>
      <c r="XN98" s="600">
        <v>0.5</v>
      </c>
      <c r="XO98" s="600">
        <v>0.5</v>
      </c>
      <c r="XP98" s="600">
        <v>0.5</v>
      </c>
      <c r="XQ98" s="600">
        <v>0.5</v>
      </c>
      <c r="XR98" s="600">
        <v>0.5</v>
      </c>
      <c r="XS98" s="600">
        <v>0.5</v>
      </c>
      <c r="XT98" s="600">
        <v>0.5</v>
      </c>
      <c r="XU98" s="600">
        <v>0.5</v>
      </c>
      <c r="XV98" s="600">
        <v>0.5</v>
      </c>
      <c r="XW98" s="604">
        <v>0.5</v>
      </c>
      <c r="XX98" s="349"/>
      <c r="XY98" s="250"/>
      <c r="XZ98" s="244">
        <f>SUM(WX98:XY98)</f>
      </c>
      <c r="YA98" s="348"/>
      <c r="YB98" s="349"/>
      <c r="YC98" s="350"/>
      <c r="YD98" s="256"/>
      <c r="YE98" s="256"/>
      <c r="YF98" s="256"/>
      <c r="YG98" s="256"/>
      <c r="YH98" s="256"/>
      <c r="YI98" s="261">
        <v>0.5</v>
      </c>
      <c r="YJ98" s="262">
        <v>0.5</v>
      </c>
      <c r="YK98" s="265"/>
      <c r="YL98" s="256"/>
      <c r="YM98" s="600">
        <v>0.5</v>
      </c>
      <c r="YN98" s="601">
        <v>0.5</v>
      </c>
      <c r="YO98" s="602">
        <v>0.5</v>
      </c>
      <c r="YP98" s="600">
        <v>0.5</v>
      </c>
      <c r="YQ98" s="600">
        <v>0.5</v>
      </c>
      <c r="YR98" s="600">
        <v>0.5</v>
      </c>
      <c r="YS98" s="600">
        <v>0.5</v>
      </c>
      <c r="YT98" s="600">
        <v>0.5</v>
      </c>
      <c r="YU98" s="600">
        <v>0.5</v>
      </c>
      <c r="YV98" s="600">
        <v>0.5</v>
      </c>
      <c r="YW98" s="600">
        <v>0.5</v>
      </c>
      <c r="YX98" s="600">
        <v>0.5</v>
      </c>
      <c r="YY98" s="600">
        <v>0.5</v>
      </c>
      <c r="YZ98" s="604">
        <v>0.5</v>
      </c>
      <c r="ZA98" s="349"/>
      <c r="ZB98" s="250"/>
      <c r="ZC98" s="244">
        <f>SUM(YA98:ZB98)</f>
      </c>
      <c r="ZD98" s="348"/>
      <c r="ZE98" s="349"/>
      <c r="ZF98" s="350"/>
      <c r="ZG98" s="256"/>
      <c r="ZH98" s="256"/>
      <c r="ZI98" s="256"/>
      <c r="ZJ98" s="256"/>
      <c r="ZK98" s="256"/>
      <c r="ZL98" s="261">
        <v>0.5</v>
      </c>
      <c r="ZM98" s="262">
        <v>0.5</v>
      </c>
      <c r="ZN98" s="265"/>
      <c r="ZO98" s="256"/>
      <c r="ZP98" s="600">
        <v>0.5</v>
      </c>
      <c r="ZQ98" s="601">
        <v>0.5</v>
      </c>
      <c r="ZR98" s="602">
        <v>0.5</v>
      </c>
      <c r="ZS98" s="600">
        <v>0.5</v>
      </c>
      <c r="ZT98" s="600">
        <v>0.5</v>
      </c>
      <c r="ZU98" s="600">
        <v>0.5</v>
      </c>
      <c r="ZV98" s="600">
        <v>0.5</v>
      </c>
      <c r="ZW98" s="600">
        <v>0.5</v>
      </c>
      <c r="ZX98" s="600">
        <v>0.5</v>
      </c>
      <c r="ZY98" s="600">
        <v>0.5</v>
      </c>
      <c r="ZZ98" s="600">
        <v>0.5</v>
      </c>
      <c r="AAA98" s="600">
        <v>0.5</v>
      </c>
      <c r="AAB98" s="600">
        <v>0.5</v>
      </c>
      <c r="AAC98" s="604">
        <v>0.5</v>
      </c>
      <c r="AAD98" s="349"/>
      <c r="AAE98" s="250"/>
      <c r="AAF98" s="244">
        <f>SUM(ZD98:AAE98)</f>
      </c>
      <c r="AAG98" s="348"/>
      <c r="AAH98" s="349"/>
      <c r="AAI98" s="350"/>
      <c r="AAJ98" s="256"/>
      <c r="AAK98" s="256"/>
      <c r="AAL98" s="599">
        <v>0.5</v>
      </c>
      <c r="AAM98" s="599">
        <v>0.5</v>
      </c>
      <c r="AAN98" s="599">
        <v>0.5</v>
      </c>
      <c r="AAO98" s="261">
        <v>0.5</v>
      </c>
      <c r="AAP98" s="262">
        <v>0.5</v>
      </c>
      <c r="AAQ98" s="265"/>
      <c r="AAR98" s="256"/>
      <c r="AAS98" s="600">
        <v>0.5</v>
      </c>
      <c r="AAT98" s="601">
        <v>0.5</v>
      </c>
      <c r="AAU98" s="602">
        <v>0.5</v>
      </c>
      <c r="AAV98" s="600">
        <v>0.5</v>
      </c>
      <c r="AAW98" s="600">
        <v>0.5</v>
      </c>
      <c r="AAX98" s="600">
        <v>0.5</v>
      </c>
      <c r="AAY98" s="600">
        <v>0.5</v>
      </c>
      <c r="AAZ98" s="600">
        <v>0.5</v>
      </c>
      <c r="ABA98" s="600">
        <v>0.5</v>
      </c>
      <c r="ABB98" s="599">
        <v>0.5</v>
      </c>
      <c r="ABC98" s="599">
        <v>0.5</v>
      </c>
      <c r="ABD98" s="256"/>
      <c r="ABE98" s="256"/>
      <c r="ABF98" s="251"/>
      <c r="ABG98" s="349"/>
      <c r="ABH98" s="250"/>
      <c r="ABI98" s="244">
        <f>SUM(AAG98:ABH98)</f>
      </c>
      <c r="ABJ98" s="348"/>
      <c r="ABK98" s="349"/>
      <c r="ABL98" s="350"/>
      <c r="ABM98" s="256"/>
      <c r="ABN98" s="256"/>
      <c r="ABO98" s="599">
        <v>0.5</v>
      </c>
      <c r="ABP98" s="599">
        <v>0.5</v>
      </c>
      <c r="ABQ98" s="599">
        <v>0.5</v>
      </c>
      <c r="ABR98" s="261">
        <v>0.5</v>
      </c>
      <c r="ABS98" s="262">
        <v>0.5</v>
      </c>
      <c r="ABT98" s="265"/>
      <c r="ABU98" s="256"/>
      <c r="ABV98" s="600">
        <v>0.5</v>
      </c>
      <c r="ABW98" s="601">
        <v>0.5</v>
      </c>
      <c r="ABX98" s="602">
        <v>0.5</v>
      </c>
      <c r="ABY98" s="600">
        <v>0.5</v>
      </c>
      <c r="ABZ98" s="600">
        <v>0.5</v>
      </c>
      <c r="ACA98" s="600">
        <v>0.5</v>
      </c>
      <c r="ACB98" s="600">
        <v>0.5</v>
      </c>
      <c r="ACC98" s="600">
        <v>0.5</v>
      </c>
      <c r="ACD98" s="600">
        <v>0.5</v>
      </c>
      <c r="ACE98" s="599">
        <v>0.5</v>
      </c>
      <c r="ACF98" s="599">
        <v>0.5</v>
      </c>
      <c r="ACG98" s="256"/>
      <c r="ACH98" s="256"/>
      <c r="ACI98" s="251"/>
      <c r="ACJ98" s="349"/>
      <c r="ACK98" s="250"/>
      <c r="ACL98" s="244">
        <f>SUM(ABJ98:ACK98)</f>
      </c>
      <c r="ACM98" s="344"/>
      <c r="ACN98" s="345"/>
      <c r="ACO98" s="346"/>
      <c r="ACP98" s="239"/>
      <c r="ACQ98" s="239"/>
      <c r="ACR98" s="239"/>
      <c r="ACS98" s="239"/>
      <c r="ACT98" s="239"/>
      <c r="ACU98" s="239"/>
      <c r="ACV98" s="238"/>
      <c r="ACW98" s="240"/>
      <c r="ACX98" s="239"/>
      <c r="ACY98" s="239"/>
      <c r="ACZ98" s="241"/>
      <c r="ADA98" s="346"/>
      <c r="ADB98" s="239"/>
      <c r="ADC98" s="239"/>
      <c r="ADD98" s="239"/>
      <c r="ADE98" s="239"/>
      <c r="ADF98" s="239"/>
      <c r="ADG98" s="239"/>
      <c r="ADH98" s="239"/>
      <c r="ADI98" s="239"/>
      <c r="ADJ98" s="239"/>
      <c r="ADK98" s="239"/>
      <c r="ADL98" s="238"/>
      <c r="ADM98" s="345"/>
      <c r="ADN98" s="237"/>
      <c r="ADO98" s="244">
        <f>SUM(ACM98:ADN98)</f>
      </c>
      <c r="ADP98" s="344"/>
      <c r="ADQ98" s="345"/>
      <c r="ADR98" s="346"/>
      <c r="ADS98" s="239"/>
      <c r="ADT98" s="239"/>
      <c r="ADU98" s="239"/>
      <c r="ADV98" s="239"/>
      <c r="ADW98" s="239"/>
      <c r="ADX98" s="239"/>
      <c r="ADY98" s="238"/>
      <c r="ADZ98" s="240"/>
      <c r="AEA98" s="239"/>
      <c r="AEB98" s="239"/>
      <c r="AEC98" s="241"/>
      <c r="AED98" s="346"/>
      <c r="AEE98" s="239"/>
      <c r="AEF98" s="239"/>
      <c r="AEG98" s="239"/>
      <c r="AEH98" s="239"/>
      <c r="AEI98" s="239"/>
      <c r="AEJ98" s="239"/>
      <c r="AEK98" s="239"/>
      <c r="AEL98" s="239"/>
      <c r="AEM98" s="239"/>
      <c r="AEN98" s="239"/>
      <c r="AEO98" s="238"/>
      <c r="AEP98" s="345"/>
      <c r="AEQ98" s="237"/>
      <c r="AER98" s="244">
        <f>SUM(ADP98:AEQ98)</f>
      </c>
      <c r="AES98" s="264">
        <f>XZ98+ZC98+AAF98+ABI98+ACL98+ADO98+AER98</f>
      </c>
      <c r="AET98" s="347">
        <f>(COUNTIF(WX98:AER98,"H")+COUNTIF(WX98:AER98,"S")+COUNTIF(WX98:AER98,"L")+COUNTIF(WX98:AER98,"E")+COUNTIF(WX98:AER98,"C"))/2</f>
      </c>
      <c r="AEU98" s="244">
        <f>AES98+AET98</f>
      </c>
      <c r="AEV98" s="348"/>
      <c r="AEW98" s="349"/>
      <c r="AEX98" s="603">
        <v>0.5</v>
      </c>
      <c r="AEY98" s="600">
        <v>0.5</v>
      </c>
      <c r="AEZ98" s="600">
        <v>0.5</v>
      </c>
      <c r="AFA98" s="600">
        <v>0.5</v>
      </c>
      <c r="AFB98" s="600">
        <v>0.5</v>
      </c>
      <c r="AFC98" s="600">
        <v>0.5</v>
      </c>
      <c r="AFD98" s="600">
        <v>0.5</v>
      </c>
      <c r="AFE98" s="604">
        <v>0.5</v>
      </c>
      <c r="AFF98" s="605">
        <v>0.5</v>
      </c>
      <c r="AFG98" s="600">
        <v>0.5</v>
      </c>
      <c r="AFH98" s="256"/>
      <c r="AFI98" s="257"/>
      <c r="AFJ98" s="351">
        <v>0.5</v>
      </c>
      <c r="AFK98" s="261">
        <v>0.5</v>
      </c>
      <c r="AFL98" s="599">
        <v>0.5</v>
      </c>
      <c r="AFM98" s="599">
        <v>0.5</v>
      </c>
      <c r="AFN98" s="599">
        <v>0.5</v>
      </c>
      <c r="AFO98" s="599">
        <v>0.5</v>
      </c>
      <c r="AFP98" s="256"/>
      <c r="AFQ98" s="256"/>
      <c r="AFR98" s="256"/>
      <c r="AFS98" s="256"/>
      <c r="AFT98" s="256"/>
      <c r="AFU98" s="251"/>
      <c r="AFV98" s="349"/>
      <c r="AFW98" s="250"/>
      <c r="AFX98" s="244">
        <f>SUM(AEV98:AFW98)</f>
      </c>
      <c r="AFY98" s="348"/>
      <c r="AFZ98" s="349"/>
      <c r="AGA98" s="603">
        <v>0.5</v>
      </c>
      <c r="AGB98" s="600">
        <v>0.5</v>
      </c>
      <c r="AGC98" s="600">
        <v>0.5</v>
      </c>
      <c r="AGD98" s="600">
        <v>0.5</v>
      </c>
      <c r="AGE98" s="600">
        <v>0.5</v>
      </c>
      <c r="AGF98" s="600">
        <v>0.5</v>
      </c>
      <c r="AGG98" s="600">
        <v>0.5</v>
      </c>
      <c r="AGH98" s="604">
        <v>0.5</v>
      </c>
      <c r="AGI98" s="605">
        <v>0.5</v>
      </c>
      <c r="AGJ98" s="600">
        <v>0.5</v>
      </c>
      <c r="AGK98" s="256"/>
      <c r="AGL98" s="257"/>
      <c r="AGM98" s="351">
        <v>0.5</v>
      </c>
      <c r="AGN98" s="261">
        <v>0.5</v>
      </c>
      <c r="AGO98" s="599">
        <v>0.5</v>
      </c>
      <c r="AGP98" s="599">
        <v>0.5</v>
      </c>
      <c r="AGQ98" s="599">
        <v>0.5</v>
      </c>
      <c r="AGR98" s="599">
        <v>0.5</v>
      </c>
      <c r="AGS98" s="256"/>
      <c r="AGT98" s="256"/>
      <c r="AGU98" s="256"/>
      <c r="AGV98" s="256"/>
      <c r="AGW98" s="256"/>
      <c r="AGX98" s="251"/>
      <c r="AGY98" s="349"/>
      <c r="AGZ98" s="250"/>
      <c r="AHA98" s="244">
        <f>SUM(AFY98:AGZ98)</f>
      </c>
      <c r="AHB98" s="348"/>
      <c r="AHC98" s="349"/>
      <c r="AHD98" s="603">
        <v>0.5</v>
      </c>
      <c r="AHE98" s="600">
        <v>0.5</v>
      </c>
      <c r="AHF98" s="600">
        <v>0.5</v>
      </c>
      <c r="AHG98" s="600">
        <v>0.5</v>
      </c>
      <c r="AHH98" s="600">
        <v>0.5</v>
      </c>
      <c r="AHI98" s="600">
        <v>0.5</v>
      </c>
      <c r="AHJ98" s="600">
        <v>0.5</v>
      </c>
      <c r="AHK98" s="604">
        <v>0.5</v>
      </c>
      <c r="AHL98" s="605">
        <v>0.5</v>
      </c>
      <c r="AHM98" s="600">
        <v>0.5</v>
      </c>
      <c r="AHN98" s="256"/>
      <c r="AHO98" s="257"/>
      <c r="AHP98" s="351">
        <v>0.5</v>
      </c>
      <c r="AHQ98" s="261">
        <v>0.5</v>
      </c>
      <c r="AHR98" s="599">
        <v>0.5</v>
      </c>
      <c r="AHS98" s="599">
        <v>0.5</v>
      </c>
      <c r="AHT98" s="599">
        <v>0.5</v>
      </c>
      <c r="AHU98" s="599">
        <v>0.5</v>
      </c>
      <c r="AHV98" s="256"/>
      <c r="AHW98" s="256"/>
      <c r="AHX98" s="256"/>
      <c r="AHY98" s="256"/>
      <c r="AHZ98" s="256"/>
      <c r="AIA98" s="251"/>
      <c r="AIB98" s="349"/>
      <c r="AIC98" s="250"/>
      <c r="AID98" s="244">
        <f>SUM(AHB98:AIC98)</f>
      </c>
      <c r="AIE98" s="348"/>
      <c r="AIF98" s="349"/>
      <c r="AIG98" s="603">
        <v>0.5</v>
      </c>
      <c r="AIH98" s="600">
        <v>0.5</v>
      </c>
      <c r="AII98" s="600">
        <v>0.5</v>
      </c>
      <c r="AIJ98" s="600">
        <v>0.5</v>
      </c>
      <c r="AIK98" s="600">
        <v>0.5</v>
      </c>
      <c r="AIL98" s="600">
        <v>0.5</v>
      </c>
      <c r="AIM98" s="600">
        <v>0.5</v>
      </c>
      <c r="AIN98" s="604">
        <v>0.5</v>
      </c>
      <c r="AIO98" s="605">
        <v>0.5</v>
      </c>
      <c r="AIP98" s="600">
        <v>0.5</v>
      </c>
      <c r="AIQ98" s="256"/>
      <c r="AIR98" s="257"/>
      <c r="AIS98" s="351">
        <v>0.5</v>
      </c>
      <c r="AIT98" s="261">
        <v>0.5</v>
      </c>
      <c r="AIU98" s="599">
        <v>0.5</v>
      </c>
      <c r="AIV98" s="599">
        <v>0.5</v>
      </c>
      <c r="AIW98" s="599">
        <v>0.5</v>
      </c>
      <c r="AIX98" s="599">
        <v>0.5</v>
      </c>
      <c r="AIY98" s="256"/>
      <c r="AIZ98" s="256"/>
      <c r="AJA98" s="256"/>
      <c r="AJB98" s="256"/>
      <c r="AJC98" s="256"/>
      <c r="AJD98" s="251"/>
      <c r="AJE98" s="349"/>
      <c r="AJF98" s="250"/>
      <c r="AJG98" s="244">
        <f>SUM(AIE98:AJF98)</f>
      </c>
      <c r="AJH98" s="348"/>
      <c r="AJI98" s="349"/>
      <c r="AJJ98" s="603">
        <v>0.5</v>
      </c>
      <c r="AJK98" s="600">
        <v>0.5</v>
      </c>
      <c r="AJL98" s="600">
        <v>0.5</v>
      </c>
      <c r="AJM98" s="600">
        <v>0.5</v>
      </c>
      <c r="AJN98" s="600">
        <v>0.5</v>
      </c>
      <c r="AJO98" s="600">
        <v>0.5</v>
      </c>
      <c r="AJP98" s="600">
        <v>0.5</v>
      </c>
      <c r="AJQ98" s="604">
        <v>0.5</v>
      </c>
      <c r="AJR98" s="605">
        <v>0.5</v>
      </c>
      <c r="AJS98" s="600">
        <v>0.5</v>
      </c>
      <c r="AJT98" s="256"/>
      <c r="AJU98" s="257"/>
      <c r="AJV98" s="351">
        <v>0.5</v>
      </c>
      <c r="AJW98" s="261">
        <v>0.5</v>
      </c>
      <c r="AJX98" s="599">
        <v>0.5</v>
      </c>
      <c r="AJY98" s="599">
        <v>0.5</v>
      </c>
      <c r="AJZ98" s="599">
        <v>0.5</v>
      </c>
      <c r="AKA98" s="599">
        <v>0.5</v>
      </c>
      <c r="AKB98" s="256"/>
      <c r="AKC98" s="256"/>
      <c r="AKD98" s="256"/>
      <c r="AKE98" s="256"/>
      <c r="AKF98" s="256"/>
      <c r="AKG98" s="251"/>
      <c r="AKH98" s="349"/>
      <c r="AKI98" s="250"/>
      <c r="AKJ98" s="244">
        <f>SUM(AJH98:AKI98)</f>
      </c>
      <c r="AKK98" s="344"/>
      <c r="AKL98" s="345"/>
      <c r="AKM98" s="346"/>
      <c r="AKN98" s="239"/>
      <c r="AKO98" s="239"/>
      <c r="AKP98" s="239"/>
      <c r="AKQ98" s="239"/>
      <c r="AKR98" s="239"/>
      <c r="AKS98" s="239"/>
      <c r="AKT98" s="238"/>
      <c r="AKU98" s="240"/>
      <c r="AKV98" s="239"/>
      <c r="AKW98" s="239"/>
      <c r="AKX98" s="241"/>
      <c r="AKY98" s="346"/>
      <c r="AKZ98" s="239"/>
      <c r="ALA98" s="239"/>
      <c r="ALB98" s="239"/>
      <c r="ALC98" s="239"/>
      <c r="ALD98" s="239"/>
      <c r="ALE98" s="239"/>
      <c r="ALF98" s="239"/>
      <c r="ALG98" s="239"/>
      <c r="ALH98" s="239"/>
      <c r="ALI98" s="239"/>
      <c r="ALJ98" s="238"/>
      <c r="ALK98" s="345"/>
      <c r="ALL98" s="237"/>
      <c r="ALM98" s="244">
        <f>SUM(AKK98:ALL98)</f>
      </c>
      <c r="ALN98" s="344"/>
      <c r="ALO98" s="345"/>
      <c r="ALP98" s="346"/>
      <c r="ALQ98" s="239"/>
      <c r="ALR98" s="239"/>
      <c r="ALS98" s="239"/>
      <c r="ALT98" s="239"/>
      <c r="ALU98" s="239"/>
      <c r="ALV98" s="239"/>
      <c r="ALW98" s="238"/>
      <c r="ALX98" s="240"/>
      <c r="ALY98" s="239"/>
      <c r="ALZ98" s="239"/>
      <c r="AMA98" s="241"/>
      <c r="AMB98" s="346"/>
      <c r="AMC98" s="239"/>
      <c r="AMD98" s="239"/>
      <c r="AME98" s="239"/>
      <c r="AMF98" s="239"/>
      <c r="AMG98" s="239"/>
      <c r="AMH98" s="239"/>
      <c r="AMI98" s="239"/>
      <c r="AMJ98" s="239"/>
      <c r="AMK98" s="239"/>
      <c r="AML98" s="239"/>
      <c r="AMM98" s="238"/>
      <c r="AMN98" s="345"/>
      <c r="AMO98" s="237"/>
      <c r="AMP98" s="244">
        <f>SUM(ALN98:AMO98)</f>
      </c>
      <c r="AMQ98" s="264">
        <f>AFX98+AHA98+AID98+AJG98+AKJ98+ALM98+AMP98</f>
      </c>
      <c r="AMR98" s="347">
        <f>(COUNTIF(AEV98:AMP98,"H")+COUNTIF(AEV98:AMP98,"S")+COUNTIF(AEV98:AMP98,"L")+COUNTIF(AEV98:AMP98,"E")+COUNTIF(AEV98:AMP98,"C"))/2</f>
      </c>
      <c r="AMS98" s="244">
        <f>AMQ98+AMR98</f>
      </c>
      <c r="AMT98" s="4"/>
      <c r="AMU98" s="4"/>
      <c r="AMV98" s="4"/>
      <c r="AMW98" s="4"/>
      <c r="AMX98" s="4"/>
      <c r="AMY98" s="4"/>
      <c r="AMZ98" s="4"/>
      <c r="ANA98" s="4"/>
      <c r="ANB98" s="4"/>
      <c r="ANC98" s="4"/>
      <c r="AND98" s="4"/>
      <c r="ANE98" s="4"/>
      <c r="ANF98" s="4"/>
      <c r="ANG98" s="4"/>
      <c r="ANH98" s="4"/>
      <c r="ANI98" s="4"/>
      <c r="ANJ98" s="13"/>
      <c r="ANK98" s="13"/>
      <c r="ANL98" s="4"/>
      <c r="ANM98" s="4"/>
      <c r="ANN98" s="4"/>
      <c r="ANO98" s="4"/>
      <c r="ANP98" s="4"/>
      <c r="ANQ98" s="4"/>
      <c r="ANR98" s="4"/>
      <c r="ANS98" s="4"/>
      <c r="ANT98" s="4"/>
      <c r="ANU98" s="4"/>
      <c r="ANV98" s="4"/>
      <c r="ANW98" s="4"/>
      <c r="ANX98" s="4"/>
      <c r="ANY98" s="4"/>
      <c r="ANZ98" s="4"/>
      <c r="AOA98" s="4"/>
      <c r="AOB98" s="4"/>
      <c r="AOC98" s="4"/>
      <c r="AOD98" s="4"/>
      <c r="AOE98" s="4"/>
      <c r="AOF98" s="4"/>
      <c r="AOG98" s="4"/>
      <c r="AOH98" s="4"/>
      <c r="AOI98" s="4"/>
      <c r="AOJ98" s="4"/>
      <c r="AOK98" s="4"/>
      <c r="AOL98" s="4"/>
      <c r="AOM98" s="4"/>
      <c r="AON98" s="4"/>
      <c r="AOO98" s="4"/>
      <c r="AOP98" s="4"/>
      <c r="AOQ98" s="4"/>
      <c r="AOR98" s="4"/>
      <c r="AOS98" s="4"/>
      <c r="AOT98" s="4"/>
      <c r="AOU98" s="4"/>
      <c r="AOV98" s="4"/>
      <c r="AOW98" s="4"/>
      <c r="AOX98" s="4"/>
      <c r="AOY98" s="4"/>
      <c r="AOZ98" s="4"/>
      <c r="APA98" s="4"/>
      <c r="APB98" s="4"/>
      <c r="APC98" s="4"/>
      <c r="APD98" s="4"/>
      <c r="APE98" s="4"/>
      <c r="APF98" s="4"/>
      <c r="APG98" s="4"/>
      <c r="APH98" s="4"/>
      <c r="API98" s="4"/>
      <c r="APJ98" s="4"/>
      <c r="APK98" s="4"/>
      <c r="APL98" s="4"/>
      <c r="APM98" s="4"/>
      <c r="APN98" s="4"/>
      <c r="APO98" s="4"/>
      <c r="APP98" s="4"/>
      <c r="APQ98" s="4"/>
      <c r="APR98" s="4"/>
      <c r="APS98" s="4"/>
      <c r="APT98" s="4"/>
      <c r="APU98" s="4"/>
      <c r="APV98" s="4"/>
      <c r="APW98" s="4"/>
      <c r="APX98" s="4"/>
      <c r="APY98" s="4"/>
      <c r="APZ98" s="4"/>
      <c r="AQA98" s="4"/>
      <c r="AQB98" s="4"/>
      <c r="AQC98" s="4"/>
      <c r="AQD98" s="4"/>
      <c r="AQE98" s="4"/>
      <c r="AQF98" s="4"/>
      <c r="AQG98" s="4"/>
      <c r="AQH98" s="4"/>
      <c r="AQI98" s="4"/>
      <c r="AQJ98" s="4"/>
      <c r="AQK98" s="4"/>
      <c r="AQL98" s="4"/>
      <c r="AQM98" s="4"/>
      <c r="AQN98" s="4"/>
      <c r="AQO98" s="4"/>
      <c r="AQP98" s="4"/>
      <c r="AQQ98" s="4"/>
      <c r="AQR98" s="4"/>
      <c r="AQS98" s="4"/>
      <c r="AQT98" s="4"/>
      <c r="AQU98" s="4"/>
      <c r="AQV98" s="4"/>
      <c r="AQW98" s="4"/>
      <c r="AQX98" s="4"/>
      <c r="AQY98" s="4"/>
      <c r="AQZ98" s="4"/>
      <c r="ARA98" s="4"/>
      <c r="ARB98" s="4"/>
      <c r="ARC98" s="4"/>
      <c r="ARD98" s="4"/>
      <c r="ARE98" s="4"/>
      <c r="ARF98" s="4"/>
      <c r="ARG98" s="4"/>
      <c r="ARH98" s="4"/>
      <c r="ARI98" s="4"/>
      <c r="ARJ98" s="4"/>
      <c r="ARK98" s="4"/>
      <c r="ARL98" s="4"/>
      <c r="ARM98" s="4"/>
      <c r="ARN98" s="4"/>
      <c r="ARO98" s="4"/>
      <c r="ARP98" s="4"/>
      <c r="ARQ98" s="4"/>
      <c r="ARR98" s="4"/>
      <c r="ARS98" s="4"/>
      <c r="ART98" s="4"/>
      <c r="ARU98" s="4"/>
      <c r="ARV98" s="4"/>
      <c r="ARW98" s="4"/>
      <c r="ARX98" s="4"/>
      <c r="ARY98" s="4"/>
      <c r="ARZ98" s="4"/>
      <c r="ASA98" s="4"/>
      <c r="ASB98" s="4"/>
      <c r="ASC98" s="4"/>
      <c r="ASD98" s="4"/>
      <c r="ASE98" s="4"/>
      <c r="ASF98" s="4"/>
      <c r="ASG98" s="4"/>
      <c r="ASH98" s="4"/>
      <c r="ASI98" s="4"/>
      <c r="ASJ98" s="4"/>
      <c r="ASK98" s="4"/>
      <c r="ASL98" s="4"/>
      <c r="ASM98" s="4"/>
      <c r="ASN98" s="4"/>
      <c r="ASO98" s="4"/>
      <c r="ASP98" s="4"/>
      <c r="ASQ98" s="4"/>
      <c r="ASR98" s="4"/>
      <c r="ASS98" s="4"/>
      <c r="AST98" s="4"/>
      <c r="ASU98" s="4"/>
    </row>
    <row r="99" ht="15.75" customHeight="1" spans="1:1191" x14ac:dyDescent="0.25">
      <c r="A99" s="9"/>
      <c r="B99" s="268" t="s">
        <v>73</v>
      </c>
      <c r="C99" s="269">
        <f>COUNTA(C59:C98)</f>
      </c>
      <c r="D99" s="273"/>
      <c r="E99" s="273"/>
      <c r="F99" s="271">
        <f>COUNTIF(F59:F98,0.5)</f>
      </c>
      <c r="G99" s="271">
        <f>COUNTIF(G59:G98,0.5)</f>
      </c>
      <c r="H99" s="271">
        <f>COUNTIF(H59:H98,0.5)</f>
      </c>
      <c r="I99" s="271">
        <f>COUNTIF(I59:I98,0.5)</f>
      </c>
      <c r="J99" s="271">
        <f>COUNTIF(J59:J98,0.5)</f>
      </c>
      <c r="K99" s="271">
        <f>COUNTIF(K59:K98,0.5)</f>
      </c>
      <c r="L99" s="271">
        <f>COUNTIF(L59:L98,0.5)</f>
      </c>
      <c r="M99" s="271">
        <f>COUNTIF(M59:M98,0.5)</f>
      </c>
      <c r="N99" s="271">
        <f>COUNTIF(N59:N98,0.5)</f>
      </c>
      <c r="O99" s="271">
        <f>COUNTIF(O59:O98,0.5)</f>
      </c>
      <c r="P99" s="271">
        <f>COUNTIF(P59:P98,0.5)</f>
      </c>
      <c r="Q99" s="271">
        <f>COUNTIF(Q59:Q98,0.5)</f>
      </c>
      <c r="R99" s="271">
        <f>COUNTIF(R59:R98,0.5)</f>
      </c>
      <c r="S99" s="271">
        <f>COUNTIF(S59:S98,0.5)</f>
      </c>
      <c r="T99" s="271">
        <f>COUNTIF(T59:T98,0.5)</f>
      </c>
      <c r="U99" s="271">
        <f>COUNTIF(U59:U98,0.5)</f>
      </c>
      <c r="V99" s="271">
        <f>COUNTIF(V59:V98,0.5)</f>
      </c>
      <c r="W99" s="271">
        <f>COUNTIF(W59:W98,0.5)</f>
      </c>
      <c r="X99" s="271">
        <f>COUNTIF(X59:X98,0.5)</f>
      </c>
      <c r="Y99" s="271">
        <f>COUNTIF(Y59:Y98,0.5)</f>
      </c>
      <c r="Z99" s="271">
        <f>COUNTIF(Z59:Z98,0.5)</f>
      </c>
      <c r="AA99" s="271">
        <f>COUNTIF(AA59:AA98,0.5)</f>
      </c>
      <c r="AB99" s="271">
        <f>COUNTIF(AB59:AB98,0.5)</f>
      </c>
      <c r="AC99" s="271">
        <f>COUNTIF(AC59:AC98,0.5)</f>
      </c>
      <c r="AD99" s="269"/>
      <c r="AE99" s="269"/>
      <c r="AF99" s="5"/>
      <c r="AG99" s="5"/>
      <c r="AH99" s="273"/>
      <c r="AI99" s="271">
        <f>COUNTIF(AI59:AI98,0.5)</f>
      </c>
      <c r="AJ99" s="271">
        <f>COUNTIF(AJ59:AJ98,0.5)</f>
      </c>
      <c r="AK99" s="271">
        <f>COUNTIF(AK59:AK98,0.5)</f>
      </c>
      <c r="AL99" s="271">
        <f>COUNTIF(AL59:AL98,0.5)</f>
      </c>
      <c r="AM99" s="271">
        <f>COUNTIF(AM59:AM98,0.5)</f>
      </c>
      <c r="AN99" s="271">
        <f>COUNTIF(AN59:AN98,0.5)</f>
      </c>
      <c r="AO99" s="271">
        <f>COUNTIF(AO59:AO98,0.5)</f>
      </c>
      <c r="AP99" s="271">
        <f>COUNTIF(AP59:AP98,0.5)</f>
      </c>
      <c r="AQ99" s="271">
        <f>COUNTIF(AQ59:AQ98,0.5)</f>
      </c>
      <c r="AR99" s="271">
        <f>COUNTIF(AR59:AR98,0.5)</f>
      </c>
      <c r="AS99" s="271">
        <f>COUNTIF(AS59:AS98,0.5)</f>
      </c>
      <c r="AT99" s="271">
        <f>COUNTIF(AT59:AT98,0.5)</f>
      </c>
      <c r="AU99" s="271">
        <f>COUNTIF(AU59:AU98,0.5)</f>
      </c>
      <c r="AV99" s="271">
        <f>COUNTIF(AV59:AV98,0.5)</f>
      </c>
      <c r="AW99" s="271">
        <f>COUNTIF(AW59:AW98,0.5)</f>
      </c>
      <c r="AX99" s="271">
        <f>COUNTIF(AX59:AX98,0.5)</f>
      </c>
      <c r="AY99" s="271">
        <f>COUNTIF(AY59:AY98,0.5)</f>
      </c>
      <c r="AZ99" s="271">
        <f>COUNTIF(AZ59:AZ98,0.5)</f>
      </c>
      <c r="BA99" s="271">
        <f>COUNTIF(BA59:BA98,0.5)</f>
      </c>
      <c r="BB99" s="271">
        <f>COUNTIF(BB59:BB98,0.5)</f>
      </c>
      <c r="BC99" s="271">
        <f>COUNTIF(BC59:BC98,0.5)</f>
      </c>
      <c r="BD99" s="271">
        <f>COUNTIF(BD59:BD98,0.5)</f>
      </c>
      <c r="BE99" s="271">
        <f>COUNTIF(BE59:BE98,0.5)</f>
      </c>
      <c r="BF99" s="271">
        <f>COUNTIF(BF59:BF98,0.5)</f>
      </c>
      <c r="BG99" s="269"/>
      <c r="BH99" s="269"/>
      <c r="BI99" s="28"/>
      <c r="BJ99" s="28"/>
      <c r="BK99" s="273"/>
      <c r="BL99" s="271">
        <f>COUNTIF(BL59:BL98,0.5)</f>
      </c>
      <c r="BM99" s="271">
        <f>COUNTIF(BM59:BM98,0.5)</f>
      </c>
      <c r="BN99" s="271">
        <f>COUNTIF(BN59:BN98,0.5)</f>
      </c>
      <c r="BO99" s="271">
        <f>COUNTIF(BO59:BO98,0.5)</f>
      </c>
      <c r="BP99" s="271">
        <f>COUNTIF(BP59:BP98,0.5)</f>
      </c>
      <c r="BQ99" s="271">
        <f>COUNTIF(BQ59:BQ98,0.5)</f>
      </c>
      <c r="BR99" s="271">
        <f>COUNTIF(BR59:BR98,0.5)</f>
      </c>
      <c r="BS99" s="271">
        <f>COUNTIF(BS59:BS98,0.5)</f>
      </c>
      <c r="BT99" s="271">
        <f>COUNTIF(BT59:BT98,0.5)</f>
      </c>
      <c r="BU99" s="271">
        <f>COUNTIF(BU59:BU98,0.5)</f>
      </c>
      <c r="BV99" s="271">
        <f>COUNTIF(BV59:BV98,0.5)</f>
      </c>
      <c r="BW99" s="271">
        <f>COUNTIF(BW59:BW98,0.5)</f>
      </c>
      <c r="BX99" s="271">
        <f>COUNTIF(BX59:BX98,0.5)</f>
      </c>
      <c r="BY99" s="271">
        <f>COUNTIF(BY59:BY98,0.5)</f>
      </c>
      <c r="BZ99" s="271">
        <f>COUNTIF(BZ59:BZ98,0.5)</f>
      </c>
      <c r="CA99" s="271">
        <f>COUNTIF(CA59:CA98,0.5)</f>
      </c>
      <c r="CB99" s="271">
        <f>COUNTIF(CB59:CB98,0.5)</f>
      </c>
      <c r="CC99" s="271">
        <f>COUNTIF(CC59:CC98,0.5)</f>
      </c>
      <c r="CD99" s="271">
        <f>COUNTIF(CD59:CD98,0.5)</f>
      </c>
      <c r="CE99" s="271">
        <f>COUNTIF(CE59:CE98,0.5)</f>
      </c>
      <c r="CF99" s="271">
        <f>COUNTIF(CF59:CF98,0.5)</f>
      </c>
      <c r="CG99" s="271">
        <f>COUNTIF(CG59:CG98,0.5)</f>
      </c>
      <c r="CH99" s="271">
        <f>COUNTIF(CH59:CH98,0.5)</f>
      </c>
      <c r="CI99" s="271">
        <f>COUNTIF(CI59:CI98,0.5)</f>
      </c>
      <c r="CJ99" s="269"/>
      <c r="CK99" s="269"/>
      <c r="CL99" s="5"/>
      <c r="CM99" s="5"/>
      <c r="CN99" s="273"/>
      <c r="CO99" s="271">
        <f>COUNTIF(CO59:CO98,0.5)</f>
      </c>
      <c r="CP99" s="271">
        <f>COUNTIF(CP59:CP98,0.5)</f>
      </c>
      <c r="CQ99" s="271">
        <f>COUNTIF(CQ59:CQ98,0.5)</f>
      </c>
      <c r="CR99" s="271">
        <f>COUNTIF(CR59:CR98,0.5)</f>
      </c>
      <c r="CS99" s="271">
        <f>COUNTIF(CS59:CS98,0.5)</f>
      </c>
      <c r="CT99" s="271">
        <f>COUNTIF(CT59:CT98,0.5)</f>
      </c>
      <c r="CU99" s="271">
        <f>COUNTIF(CU59:CU98,0.5)</f>
      </c>
      <c r="CV99" s="271">
        <f>COUNTIF(CV59:CV98,0.5)</f>
      </c>
      <c r="CW99" s="271">
        <f>COUNTIF(CW59:CW98,0.5)</f>
      </c>
      <c r="CX99" s="271">
        <f>COUNTIF(CX59:CX98,0.5)</f>
      </c>
      <c r="CY99" s="271">
        <f>COUNTIF(CY59:CY98,0.5)</f>
      </c>
      <c r="CZ99" s="271">
        <f>COUNTIF(CZ59:CZ98,0.5)</f>
      </c>
      <c r="DA99" s="271">
        <f>COUNTIF(DA59:DA98,0.5)</f>
      </c>
      <c r="DB99" s="271">
        <f>COUNTIF(DB59:DB98,0.5)</f>
      </c>
      <c r="DC99" s="271">
        <f>COUNTIF(DC59:DC98,0.5)</f>
      </c>
      <c r="DD99" s="271">
        <f>COUNTIF(DD59:DD98,0.5)</f>
      </c>
      <c r="DE99" s="271">
        <f>COUNTIF(DE59:DE98,0.5)</f>
      </c>
      <c r="DF99" s="271">
        <f>COUNTIF(DF59:DF98,0.5)</f>
      </c>
      <c r="DG99" s="271">
        <f>COUNTIF(DG59:DG98,0.5)</f>
      </c>
      <c r="DH99" s="271">
        <f>COUNTIF(DH59:DH98,0.5)</f>
      </c>
      <c r="DI99" s="271">
        <f>COUNTIF(DI59:DI98,0.5)</f>
      </c>
      <c r="DJ99" s="271">
        <f>COUNTIF(DJ59:DJ98,0.5)</f>
      </c>
      <c r="DK99" s="271">
        <f>COUNTIF(DK59:DK98,0.5)</f>
      </c>
      <c r="DL99" s="271">
        <f>COUNTIF(DL59:DL98,0.5)</f>
      </c>
      <c r="DM99" s="269"/>
      <c r="DN99" s="269"/>
      <c r="DO99" s="5"/>
      <c r="DP99" s="5"/>
      <c r="DQ99" s="273"/>
      <c r="DR99" s="271">
        <f>COUNTIF(DR59:DR98,0.5)</f>
      </c>
      <c r="DS99" s="271">
        <f>COUNTIF(DS59:DS98,0.5)</f>
      </c>
      <c r="DT99" s="271">
        <f>COUNTIF(DT59:DT98,0.5)</f>
      </c>
      <c r="DU99" s="271">
        <f>COUNTIF(DU59:DU98,0.5)</f>
      </c>
      <c r="DV99" s="271">
        <f>COUNTIF(DV59:DV98,0.5)</f>
      </c>
      <c r="DW99" s="271">
        <f>COUNTIF(DW59:DW98,0.5)</f>
      </c>
      <c r="DX99" s="271">
        <f>COUNTIF(DX59:DX98,0.5)</f>
      </c>
      <c r="DY99" s="271">
        <f>COUNTIF(DY59:DY98,0.5)</f>
      </c>
      <c r="DZ99" s="271">
        <f>COUNTIF(DZ59:DZ98,0.5)</f>
      </c>
      <c r="EA99" s="271">
        <f>COUNTIF(EA59:EA98,0.5)</f>
      </c>
      <c r="EB99" s="271">
        <f>COUNTIF(EB59:EB98,0.5)</f>
      </c>
      <c r="EC99" s="271">
        <f>COUNTIF(EC59:EC98,0.5)</f>
      </c>
      <c r="ED99" s="271">
        <f>COUNTIF(ED59:ED98,0.5)</f>
      </c>
      <c r="EE99" s="271">
        <f>COUNTIF(EE59:EE98,0.5)</f>
      </c>
      <c r="EF99" s="271">
        <f>COUNTIF(EF59:EF98,0.5)</f>
      </c>
      <c r="EG99" s="271">
        <f>COUNTIF(EG59:EG98,0.5)</f>
      </c>
      <c r="EH99" s="271">
        <f>COUNTIF(EH59:EH98,0.5)</f>
      </c>
      <c r="EI99" s="271">
        <f>COUNTIF(EI59:EI98,0.5)</f>
      </c>
      <c r="EJ99" s="271">
        <f>COUNTIF(EJ59:EJ98,0.5)</f>
      </c>
      <c r="EK99" s="271">
        <f>COUNTIF(EK59:EK98,0.5)</f>
      </c>
      <c r="EL99" s="271">
        <f>COUNTIF(EL59:EL98,0.5)</f>
      </c>
      <c r="EM99" s="271">
        <f>COUNTIF(EM59:EM98,0.5)</f>
      </c>
      <c r="EN99" s="271">
        <f>COUNTIF(EN59:EN98,0.5)</f>
      </c>
      <c r="EO99" s="271">
        <f>COUNTIF(EO59:EO98,0.5)</f>
      </c>
      <c r="EP99" s="269"/>
      <c r="EQ99" s="269"/>
      <c r="ER99" s="5"/>
      <c r="ES99" s="5"/>
      <c r="ET99" s="273"/>
      <c r="EU99" s="273"/>
      <c r="EV99" s="273"/>
      <c r="EW99" s="273"/>
      <c r="EX99" s="273"/>
      <c r="EY99" s="273"/>
      <c r="EZ99" s="273"/>
      <c r="FA99" s="273"/>
      <c r="FB99" s="273"/>
      <c r="FC99" s="273"/>
      <c r="FD99" s="273"/>
      <c r="FE99" s="273"/>
      <c r="FF99" s="273"/>
      <c r="FG99" s="273"/>
      <c r="FH99" s="273"/>
      <c r="FI99" s="273"/>
      <c r="FJ99" s="273"/>
      <c r="FK99" s="273"/>
      <c r="FL99" s="273"/>
      <c r="FM99" s="273"/>
      <c r="FN99" s="273"/>
      <c r="FO99" s="273"/>
      <c r="FP99" s="273"/>
      <c r="FQ99" s="273"/>
      <c r="FR99" s="273"/>
      <c r="FS99" s="273"/>
      <c r="FT99" s="273"/>
      <c r="FU99" s="273"/>
      <c r="FV99" s="273"/>
      <c r="FW99" s="273"/>
      <c r="FX99" s="273"/>
      <c r="FY99" s="273"/>
      <c r="FZ99" s="273"/>
      <c r="GA99" s="273"/>
      <c r="GB99" s="273"/>
      <c r="GC99" s="273"/>
      <c r="GD99" s="273"/>
      <c r="GE99" s="273"/>
      <c r="GF99" s="273"/>
      <c r="GG99" s="273"/>
      <c r="GH99" s="273"/>
      <c r="GI99" s="273"/>
      <c r="GJ99" s="273"/>
      <c r="GK99" s="273"/>
      <c r="GL99" s="273"/>
      <c r="GM99" s="273"/>
      <c r="GN99" s="273"/>
      <c r="GO99" s="273"/>
      <c r="GP99" s="273"/>
      <c r="GQ99" s="273"/>
      <c r="GR99" s="273"/>
      <c r="GS99" s="273"/>
      <c r="GT99" s="273"/>
      <c r="GU99" s="273"/>
      <c r="GV99" s="269"/>
      <c r="GW99" s="269"/>
      <c r="GX99" s="5"/>
      <c r="GY99" s="5"/>
      <c r="GZ99" s="5"/>
      <c r="HA99" s="358"/>
      <c r="HB99" s="359"/>
      <c r="HC99" s="273"/>
      <c r="HD99" s="271">
        <f>COUNTIF(HD59:HD98,0.5)</f>
      </c>
      <c r="HE99" s="271">
        <f>COUNTIF(HE59:HE98,0.5)</f>
      </c>
      <c r="HF99" s="271">
        <f>COUNTIF(HF59:HF98,0.5)</f>
      </c>
      <c r="HG99" s="271">
        <f>COUNTIF(HG59:HG98,0.5)</f>
      </c>
      <c r="HH99" s="271">
        <f>COUNTIF(HH59:HH98,0.5)</f>
      </c>
      <c r="HI99" s="271">
        <f>COUNTIF(HI59:HI98,0.5)</f>
      </c>
      <c r="HJ99" s="271">
        <f>COUNTIF(HJ59:HJ98,0.5)</f>
      </c>
      <c r="HK99" s="271">
        <f>COUNTIF(HK59:HK98,0.5)</f>
      </c>
      <c r="HL99" s="271">
        <f>COUNTIF(HL59:HL98,0.5)</f>
      </c>
      <c r="HM99" s="271">
        <f>COUNTIF(HM59:HM98,0.5)</f>
      </c>
      <c r="HN99" s="271">
        <f>COUNTIF(HN59:HN98,0.5)</f>
      </c>
      <c r="HO99" s="271">
        <f>COUNTIF(HO59:HO98,0.5)</f>
      </c>
      <c r="HP99" s="271">
        <f>COUNTIF(HP59:HP98,0.5)</f>
      </c>
      <c r="HQ99" s="271">
        <f>COUNTIF(HQ59:HQ98,0.5)</f>
      </c>
      <c r="HR99" s="271">
        <f>COUNTIF(HR59:HR98,0.5)</f>
      </c>
      <c r="HS99" s="271">
        <f>COUNTIF(HS59:HS98,0.5)</f>
      </c>
      <c r="HT99" s="271">
        <f>COUNTIF(HT59:HT98,0.5)</f>
      </c>
      <c r="HU99" s="271">
        <f>COUNTIF(HU59:HU98,0.5)</f>
      </c>
      <c r="HV99" s="271">
        <f>COUNTIF(HV59:HV98,0.5)</f>
      </c>
      <c r="HW99" s="271">
        <f>COUNTIF(HW59:HW98,0.5)</f>
      </c>
      <c r="HX99" s="271">
        <f>COUNTIF(HX59:HX98,0.5)</f>
      </c>
      <c r="HY99" s="271">
        <f>COUNTIF(HY59:HY98,0.5)</f>
      </c>
      <c r="HZ99" s="271">
        <f>COUNTIF(HZ59:HZ98,0.5)</f>
      </c>
      <c r="IA99" s="271">
        <f>COUNTIF(IA59:IA98,0.5)</f>
      </c>
      <c r="IB99" s="269"/>
      <c r="IC99" s="269"/>
      <c r="ID99" s="5"/>
      <c r="IE99" s="5"/>
      <c r="IF99" s="273"/>
      <c r="IG99" s="271">
        <f>COUNTIF(IG59:IG98,0.5)</f>
      </c>
      <c r="IH99" s="271">
        <f>COUNTIF(IH59:IH98,0.5)</f>
      </c>
      <c r="II99" s="271">
        <f>COUNTIF(II59:II98,0.5)</f>
      </c>
      <c r="IJ99" s="271">
        <f>COUNTIF(IJ59:IJ98,0.5)</f>
      </c>
      <c r="IK99" s="271">
        <f>COUNTIF(IK59:IK98,0.5)</f>
      </c>
      <c r="IL99" s="271">
        <f>COUNTIF(IL59:IL98,0.5)</f>
      </c>
      <c r="IM99" s="271">
        <f>COUNTIF(IM59:IM98,0.5)</f>
      </c>
      <c r="IN99" s="271">
        <f>COUNTIF(IN59:IN98,0.5)</f>
      </c>
      <c r="IO99" s="271">
        <f>COUNTIF(IO59:IO98,0.5)</f>
      </c>
      <c r="IP99" s="271">
        <f>COUNTIF(IP59:IP98,0.5)</f>
      </c>
      <c r="IQ99" s="271">
        <f>COUNTIF(IQ59:IQ98,0.5)</f>
      </c>
      <c r="IR99" s="271">
        <f>COUNTIF(IR59:IR98,0.5)</f>
      </c>
      <c r="IS99" s="271">
        <f>COUNTIF(IS59:IS98,0.5)</f>
      </c>
      <c r="IT99" s="271">
        <f>COUNTIF(IT59:IT98,0.5)</f>
      </c>
      <c r="IU99" s="271">
        <f>COUNTIF(IU59:IU98,0.5)</f>
      </c>
      <c r="IV99" s="271">
        <f>COUNTIF(IV59:IV98,0.5)</f>
      </c>
      <c r="IW99" s="271">
        <f>COUNTIF(IW59:IW98,0.5)</f>
      </c>
      <c r="IX99" s="271">
        <f>COUNTIF(IX59:IX98,0.5)</f>
      </c>
      <c r="IY99" s="271">
        <f>COUNTIF(IY59:IY98,0.5)</f>
      </c>
      <c r="IZ99" s="271">
        <f>COUNTIF(IZ59:IZ98,0.5)</f>
      </c>
      <c r="JA99" s="271">
        <f>COUNTIF(JA59:JA98,0.5)</f>
      </c>
      <c r="JB99" s="271">
        <f>COUNTIF(JB59:JB98,0.5)</f>
      </c>
      <c r="JC99" s="271">
        <f>COUNTIF(JC59:JC98,0.5)</f>
      </c>
      <c r="JD99" s="271">
        <f>COUNTIF(JD59:JD98,0.5)</f>
      </c>
      <c r="JE99" s="269"/>
      <c r="JF99" s="269"/>
      <c r="JG99" s="28"/>
      <c r="JH99" s="28"/>
      <c r="JI99" s="273"/>
      <c r="JJ99" s="271">
        <f>COUNTIF(JJ59:JJ98,0.5)</f>
      </c>
      <c r="JK99" s="271">
        <f>COUNTIF(JK59:JK98,0.5)</f>
      </c>
      <c r="JL99" s="271">
        <f>COUNTIF(JL59:JL98,0.5)</f>
      </c>
      <c r="JM99" s="271">
        <f>COUNTIF(JM59:JM98,0.5)</f>
      </c>
      <c r="JN99" s="271">
        <f>COUNTIF(JN59:JN98,0.5)</f>
      </c>
      <c r="JO99" s="271">
        <f>COUNTIF(JO59:JO98,0.5)</f>
      </c>
      <c r="JP99" s="271">
        <f>COUNTIF(JP59:JP98,0.5)</f>
      </c>
      <c r="JQ99" s="271">
        <f>COUNTIF(JQ59:JQ98,0.5)</f>
      </c>
      <c r="JR99" s="271">
        <f>COUNTIF(JR59:JR98,0.5)</f>
      </c>
      <c r="JS99" s="271">
        <f>COUNTIF(JS59:JS98,0.5)</f>
      </c>
      <c r="JT99" s="271">
        <f>COUNTIF(JT59:JT98,0.5)</f>
      </c>
      <c r="JU99" s="271">
        <f>COUNTIF(JU59:JU98,0.5)</f>
      </c>
      <c r="JV99" s="271">
        <f>COUNTIF(JV59:JV98,0.5)</f>
      </c>
      <c r="JW99" s="271">
        <f>COUNTIF(JW59:JW98,0.5)</f>
      </c>
      <c r="JX99" s="271">
        <f>COUNTIF(JX59:JX98,0.5)</f>
      </c>
      <c r="JY99" s="271">
        <f>COUNTIF(JY59:JY98,0.5)</f>
      </c>
      <c r="JZ99" s="271">
        <f>COUNTIF(JZ59:JZ98,0.5)</f>
      </c>
      <c r="KA99" s="271">
        <f>COUNTIF(KA59:KA98,0.5)</f>
      </c>
      <c r="KB99" s="271">
        <f>COUNTIF(KB59:KB98,0.5)</f>
      </c>
      <c r="KC99" s="271">
        <f>COUNTIF(KC59:KC98,0.5)</f>
      </c>
      <c r="KD99" s="271">
        <f>COUNTIF(KD59:KD98,0.5)</f>
      </c>
      <c r="KE99" s="271">
        <f>COUNTIF(KE59:KE98,0.5)</f>
      </c>
      <c r="KF99" s="271">
        <f>COUNTIF(KF59:KF98,0.5)</f>
      </c>
      <c r="KG99" s="271">
        <f>COUNTIF(KG59:KG98,0.5)</f>
      </c>
      <c r="KH99" s="269"/>
      <c r="KI99" s="269"/>
      <c r="KJ99" s="5"/>
      <c r="KK99" s="5"/>
      <c r="KL99" s="273"/>
      <c r="KM99" s="271">
        <f>COUNTIF(KM59:KM98,0.5)</f>
      </c>
      <c r="KN99" s="271">
        <f>COUNTIF(KN59:KN98,0.5)</f>
      </c>
      <c r="KO99" s="271">
        <f>COUNTIF(KO59:KO98,0.5)</f>
      </c>
      <c r="KP99" s="271">
        <f>COUNTIF(KP59:KP98,0.5)</f>
      </c>
      <c r="KQ99" s="271">
        <f>COUNTIF(KQ59:KQ98,0.5)</f>
      </c>
      <c r="KR99" s="271">
        <f>COUNTIF(KR59:KR98,0.5)</f>
      </c>
      <c r="KS99" s="271">
        <f>COUNTIF(KS59:KS98,0.5)</f>
      </c>
      <c r="KT99" s="271">
        <f>COUNTIF(KT59:KT98,0.5)</f>
      </c>
      <c r="KU99" s="271">
        <f>COUNTIF(KU59:KU98,0.5)</f>
      </c>
      <c r="KV99" s="271">
        <f>COUNTIF(KV59:KV98,0.5)</f>
      </c>
      <c r="KW99" s="271">
        <f>COUNTIF(KW59:KW98,0.5)</f>
      </c>
      <c r="KX99" s="271">
        <f>COUNTIF(KX59:KX98,0.5)</f>
      </c>
      <c r="KY99" s="271">
        <f>COUNTIF(KY59:KY98,0.5)</f>
      </c>
      <c r="KZ99" s="271">
        <f>COUNTIF(KZ59:KZ98,0.5)</f>
      </c>
      <c r="LA99" s="271">
        <f>COUNTIF(LA59:LA98,0.5)</f>
      </c>
      <c r="LB99" s="271">
        <f>COUNTIF(LB59:LB98,0.5)</f>
      </c>
      <c r="LC99" s="271">
        <f>COUNTIF(LC59:LC98,0.5)</f>
      </c>
      <c r="LD99" s="271">
        <f>COUNTIF(LD59:LD98,0.5)</f>
      </c>
      <c r="LE99" s="271">
        <f>COUNTIF(LE59:LE98,0.5)</f>
      </c>
      <c r="LF99" s="271">
        <f>COUNTIF(LF59:LF98,0.5)</f>
      </c>
      <c r="LG99" s="271">
        <f>COUNTIF(LG59:LG98,0.5)</f>
      </c>
      <c r="LH99" s="271">
        <f>COUNTIF(LH59:LH98,0.5)</f>
      </c>
      <c r="LI99" s="271">
        <f>COUNTIF(LI59:LI98,0.5)</f>
      </c>
      <c r="LJ99" s="271">
        <f>COUNTIF(LJ59:LJ98,0.5)</f>
      </c>
      <c r="LK99" s="269"/>
      <c r="LL99" s="269"/>
      <c r="LM99" s="5"/>
      <c r="LN99" s="5"/>
      <c r="LO99" s="273"/>
      <c r="LP99" s="271">
        <f>COUNTIF(LP59:LP98,0.5)</f>
      </c>
      <c r="LQ99" s="271">
        <f>COUNTIF(LQ59:LQ98,0.5)</f>
      </c>
      <c r="LR99" s="271">
        <f>COUNTIF(LR59:LR98,0.5)</f>
      </c>
      <c r="LS99" s="271">
        <f>COUNTIF(LS59:LS98,0.5)</f>
      </c>
      <c r="LT99" s="271">
        <f>COUNTIF(LT59:LT98,0.5)</f>
      </c>
      <c r="LU99" s="271">
        <f>COUNTIF(LU59:LU98,0.5)</f>
      </c>
      <c r="LV99" s="271">
        <f>COUNTIF(LV59:LV98,0.5)</f>
      </c>
      <c r="LW99" s="271">
        <f>COUNTIF(LW59:LW98,0.5)</f>
      </c>
      <c r="LX99" s="271">
        <f>COUNTIF(LX59:LX98,0.5)</f>
      </c>
      <c r="LY99" s="271">
        <f>COUNTIF(LY59:LY98,0.5)</f>
      </c>
      <c r="LZ99" s="271">
        <f>COUNTIF(LZ59:LZ98,0.5)</f>
      </c>
      <c r="MA99" s="271">
        <f>COUNTIF(MA59:MA98,0.5)</f>
      </c>
      <c r="MB99" s="271">
        <f>COUNTIF(MB59:MB98,0.5)</f>
      </c>
      <c r="MC99" s="271">
        <f>COUNTIF(MC59:MC98,0.5)</f>
      </c>
      <c r="MD99" s="271">
        <f>COUNTIF(MD59:MD98,0.5)</f>
      </c>
      <c r="ME99" s="271">
        <f>COUNTIF(ME59:ME98,0.5)</f>
      </c>
      <c r="MF99" s="271">
        <f>COUNTIF(MF59:MF98,0.5)</f>
      </c>
      <c r="MG99" s="271">
        <f>COUNTIF(MG59:MG98,0.5)</f>
      </c>
      <c r="MH99" s="271">
        <f>COUNTIF(MH59:MH98,0.5)</f>
      </c>
      <c r="MI99" s="271">
        <f>COUNTIF(MI59:MI98,0.5)</f>
      </c>
      <c r="MJ99" s="271">
        <f>COUNTIF(MJ59:MJ98,0.5)</f>
      </c>
      <c r="MK99" s="271">
        <f>COUNTIF(MK59:MK98,0.5)</f>
      </c>
      <c r="ML99" s="271">
        <f>COUNTIF(ML59:ML98,0.5)</f>
      </c>
      <c r="MM99" s="271">
        <f>COUNTIF(MM59:MM98,0.5)</f>
      </c>
      <c r="MN99" s="269"/>
      <c r="MO99" s="269"/>
      <c r="MP99" s="5"/>
      <c r="MQ99" s="5"/>
      <c r="MR99" s="273"/>
      <c r="MS99" s="273"/>
      <c r="MT99" s="273"/>
      <c r="MU99" s="273"/>
      <c r="MV99" s="273"/>
      <c r="MW99" s="273"/>
      <c r="MX99" s="273"/>
      <c r="MY99" s="273"/>
      <c r="MZ99" s="273"/>
      <c r="NA99" s="273"/>
      <c r="NB99" s="273"/>
      <c r="NC99" s="273"/>
      <c r="ND99" s="273"/>
      <c r="NE99" s="273"/>
      <c r="NF99" s="273"/>
      <c r="NG99" s="273"/>
      <c r="NH99" s="273"/>
      <c r="NI99" s="273"/>
      <c r="NJ99" s="273"/>
      <c r="NK99" s="273"/>
      <c r="NL99" s="273"/>
      <c r="NM99" s="273"/>
      <c r="NN99" s="273"/>
      <c r="NO99" s="273"/>
      <c r="NP99" s="273"/>
      <c r="NQ99" s="273"/>
      <c r="NR99" s="273"/>
      <c r="NS99" s="273"/>
      <c r="NT99" s="273"/>
      <c r="NU99" s="273"/>
      <c r="NV99" s="273"/>
      <c r="NW99" s="273"/>
      <c r="NX99" s="273"/>
      <c r="NY99" s="273"/>
      <c r="NZ99" s="273"/>
      <c r="OA99" s="273"/>
      <c r="OB99" s="273"/>
      <c r="OC99" s="273"/>
      <c r="OD99" s="273"/>
      <c r="OE99" s="273"/>
      <c r="OF99" s="273"/>
      <c r="OG99" s="273"/>
      <c r="OH99" s="273"/>
      <c r="OI99" s="273"/>
      <c r="OJ99" s="273"/>
      <c r="OK99" s="273"/>
      <c r="OL99" s="273"/>
      <c r="OM99" s="273"/>
      <c r="ON99" s="273"/>
      <c r="OO99" s="273"/>
      <c r="OP99" s="273"/>
      <c r="OQ99" s="273"/>
      <c r="OR99" s="273"/>
      <c r="OS99" s="273"/>
      <c r="OT99" s="269"/>
      <c r="OU99" s="269"/>
      <c r="OV99" s="5"/>
      <c r="OW99" s="5"/>
      <c r="OX99" s="5"/>
      <c r="OY99" s="22"/>
      <c r="OZ99" s="359"/>
      <c r="PA99" s="273"/>
      <c r="PB99" s="271">
        <f>COUNTIF(PB59:PB98,0.5)</f>
      </c>
      <c r="PC99" s="271">
        <f>COUNTIF(PC59:PC98,0.5)</f>
      </c>
      <c r="PD99" s="271">
        <f>COUNTIF(PD59:PD98,0.5)</f>
      </c>
      <c r="PE99" s="271">
        <f>COUNTIF(PE59:PE98,0.5)</f>
      </c>
      <c r="PF99" s="271">
        <f>COUNTIF(PF59:PF98,0.5)</f>
      </c>
      <c r="PG99" s="271">
        <f>COUNTIF(PG59:PG98,0.5)</f>
      </c>
      <c r="PH99" s="271">
        <f>COUNTIF(PH59:PH98,0.5)</f>
      </c>
      <c r="PI99" s="271">
        <f>COUNTIF(PI59:PI98,0.5)</f>
      </c>
      <c r="PJ99" s="271">
        <f>COUNTIF(PJ59:PJ98,0.5)</f>
      </c>
      <c r="PK99" s="271">
        <f>COUNTIF(PK59:PK98,0.5)</f>
      </c>
      <c r="PL99" s="271">
        <f>COUNTIF(PL59:PL98,0.5)</f>
      </c>
      <c r="PM99" s="271">
        <f>COUNTIF(PM59:PM98,0.5)</f>
      </c>
      <c r="PN99" s="271">
        <f>COUNTIF(PN59:PN98,0.5)</f>
      </c>
      <c r="PO99" s="271">
        <f>COUNTIF(PO59:PO98,0.5)</f>
      </c>
      <c r="PP99" s="271">
        <f>COUNTIF(PP59:PP98,0.5)</f>
      </c>
      <c r="PQ99" s="271">
        <f>COUNTIF(PQ59:PQ98,0.5)</f>
      </c>
      <c r="PR99" s="271">
        <f>COUNTIF(PR59:PR98,0.5)</f>
      </c>
      <c r="PS99" s="271">
        <f>COUNTIF(PS59:PS98,0.5)</f>
      </c>
      <c r="PT99" s="271">
        <f>COUNTIF(PT59:PT98,0.5)</f>
      </c>
      <c r="PU99" s="271">
        <f>COUNTIF(PU59:PU98,0.5)</f>
      </c>
      <c r="PV99" s="271">
        <f>COUNTIF(PV59:PV98,0.5)</f>
      </c>
      <c r="PW99" s="271">
        <f>COUNTIF(PW59:PW98,0.5)</f>
      </c>
      <c r="PX99" s="271">
        <f>COUNTIF(PX59:PX98,0.5)</f>
      </c>
      <c r="PY99" s="271">
        <f>COUNTIF(PY59:PY98,0.5)</f>
      </c>
      <c r="PZ99" s="269"/>
      <c r="QA99" s="269"/>
      <c r="QB99" s="5"/>
      <c r="QC99" s="5"/>
      <c r="QD99" s="273"/>
      <c r="QE99" s="271">
        <f>COUNTIF(QE59:QE98,0.5)</f>
      </c>
      <c r="QF99" s="271">
        <f>COUNTIF(QF59:QF98,0.5)</f>
      </c>
      <c r="QG99" s="271">
        <f>COUNTIF(QG59:QG98,0.5)</f>
      </c>
      <c r="QH99" s="271">
        <f>COUNTIF(QH59:QH98,0.5)</f>
      </c>
      <c r="QI99" s="271">
        <f>COUNTIF(QI59:QI98,0.5)</f>
      </c>
      <c r="QJ99" s="271">
        <f>COUNTIF(QJ59:QJ98,0.5)</f>
      </c>
      <c r="QK99" s="271">
        <f>COUNTIF(QK59:QK98,0.5)</f>
      </c>
      <c r="QL99" s="271">
        <f>COUNTIF(QL59:QL98,0.5)</f>
      </c>
      <c r="QM99" s="271">
        <f>COUNTIF(QM59:QM98,0.5)</f>
      </c>
      <c r="QN99" s="271">
        <f>COUNTIF(QN59:QN98,0.5)</f>
      </c>
      <c r="QO99" s="271">
        <f>COUNTIF(QO59:QO98,0.5)</f>
      </c>
      <c r="QP99" s="271">
        <f>COUNTIF(QP59:QP98,0.5)</f>
      </c>
      <c r="QQ99" s="271">
        <f>COUNTIF(QQ59:QQ98,0.5)</f>
      </c>
      <c r="QR99" s="271">
        <f>COUNTIF(QR59:QR98,0.5)</f>
      </c>
      <c r="QS99" s="271">
        <f>COUNTIF(QS59:QS98,0.5)</f>
      </c>
      <c r="QT99" s="271">
        <f>COUNTIF(QT59:QT98,0.5)</f>
      </c>
      <c r="QU99" s="271">
        <f>COUNTIF(QU59:QU98,0.5)</f>
      </c>
      <c r="QV99" s="271">
        <f>COUNTIF(QV59:QV98,0.5)</f>
      </c>
      <c r="QW99" s="271">
        <f>COUNTIF(QW59:QW98,0.5)</f>
      </c>
      <c r="QX99" s="271">
        <f>COUNTIF(QX59:QX98,0.5)</f>
      </c>
      <c r="QY99" s="271">
        <f>COUNTIF(QY59:QY98,0.5)</f>
      </c>
      <c r="QZ99" s="271">
        <f>COUNTIF(QZ59:QZ98,0.5)</f>
      </c>
      <c r="RA99" s="271">
        <f>COUNTIF(RA59:RA98,0.5)</f>
      </c>
      <c r="RB99" s="271">
        <f>COUNTIF(RB59:RB98,0.5)</f>
      </c>
      <c r="RC99" s="269"/>
      <c r="RD99" s="269"/>
      <c r="RE99" s="28"/>
      <c r="RF99" s="28"/>
      <c r="RG99" s="273"/>
      <c r="RH99" s="271">
        <f>COUNTIF(RH59:RH98,0.5)</f>
      </c>
      <c r="RI99" s="271">
        <f>COUNTIF(RI59:RI98,0.5)</f>
      </c>
      <c r="RJ99" s="271">
        <f>COUNTIF(RJ59:RJ98,0.5)</f>
      </c>
      <c r="RK99" s="271">
        <f>COUNTIF(RK59:RK98,0.5)</f>
      </c>
      <c r="RL99" s="271">
        <f>COUNTIF(RL59:RL98,0.5)</f>
      </c>
      <c r="RM99" s="271">
        <f>COUNTIF(RM59:RM98,0.5)</f>
      </c>
      <c r="RN99" s="271">
        <f>COUNTIF(RN59:RN98,0.5)</f>
      </c>
      <c r="RO99" s="271">
        <f>COUNTIF(RO59:RO98,0.5)</f>
      </c>
      <c r="RP99" s="271">
        <f>COUNTIF(RP59:RP98,0.5)</f>
      </c>
      <c r="RQ99" s="271">
        <f>COUNTIF(RQ59:RQ98,0.5)</f>
      </c>
      <c r="RR99" s="271">
        <f>COUNTIF(RR59:RR98,0.5)</f>
      </c>
      <c r="RS99" s="271">
        <f>COUNTIF(RS59:RS98,0.5)</f>
      </c>
      <c r="RT99" s="271">
        <f>COUNTIF(RT59:RT98,0.5)</f>
      </c>
      <c r="RU99" s="271">
        <f>COUNTIF(RU59:RU98,0.5)</f>
      </c>
      <c r="RV99" s="271">
        <f>COUNTIF(RV59:RV98,0.5)</f>
      </c>
      <c r="RW99" s="271">
        <f>COUNTIF(RW59:RW98,0.5)</f>
      </c>
      <c r="RX99" s="271">
        <f>COUNTIF(RX59:RX98,0.5)</f>
      </c>
      <c r="RY99" s="271">
        <f>COUNTIF(RY59:RY98,0.5)</f>
      </c>
      <c r="RZ99" s="271">
        <f>COUNTIF(RZ59:RZ98,0.5)</f>
      </c>
      <c r="SA99" s="271">
        <f>COUNTIF(SA59:SA98,0.5)</f>
      </c>
      <c r="SB99" s="271">
        <f>COUNTIF(SB59:SB98,0.5)</f>
      </c>
      <c r="SC99" s="271">
        <f>COUNTIF(SC59:SC98,0.5)</f>
      </c>
      <c r="SD99" s="271">
        <f>COUNTIF(SD59:SD98,0.5)</f>
      </c>
      <c r="SE99" s="271">
        <f>COUNTIF(SE59:SE98,0.5)</f>
      </c>
      <c r="SF99" s="269"/>
      <c r="SG99" s="269"/>
      <c r="SH99" s="5"/>
      <c r="SI99" s="5"/>
      <c r="SJ99" s="273"/>
      <c r="SK99" s="271">
        <f>COUNTIF(SK59:SK98,0.5)</f>
      </c>
      <c r="SL99" s="271">
        <f>COUNTIF(SL59:SL98,0.5)</f>
      </c>
      <c r="SM99" s="271">
        <f>COUNTIF(SM59:SM98,0.5)</f>
      </c>
      <c r="SN99" s="271">
        <f>COUNTIF(SN59:SN98,0.5)</f>
      </c>
      <c r="SO99" s="271">
        <f>COUNTIF(SO59:SO98,0.5)</f>
      </c>
      <c r="SP99" s="271">
        <f>COUNTIF(SP59:SP98,0.5)</f>
      </c>
      <c r="SQ99" s="271">
        <f>COUNTIF(SQ59:SQ98,0.5)</f>
      </c>
      <c r="SR99" s="271">
        <f>COUNTIF(SR59:SR98,0.5)</f>
      </c>
      <c r="SS99" s="271">
        <f>COUNTIF(SS59:SS98,0.5)</f>
      </c>
      <c r="ST99" s="271">
        <f>COUNTIF(ST59:ST98,0.5)</f>
      </c>
      <c r="SU99" s="271">
        <f>COUNTIF(SU59:SU98,0.5)</f>
      </c>
      <c r="SV99" s="271">
        <f>COUNTIF(SV59:SV98,0.5)</f>
      </c>
      <c r="SW99" s="271">
        <f>COUNTIF(SW59:SW98,0.5)</f>
      </c>
      <c r="SX99" s="271">
        <f>COUNTIF(SX59:SX98,0.5)</f>
      </c>
      <c r="SY99" s="271">
        <f>COUNTIF(SY59:SY98,0.5)</f>
      </c>
      <c r="SZ99" s="271">
        <f>COUNTIF(SZ59:SZ98,0.5)</f>
      </c>
      <c r="TA99" s="271">
        <f>COUNTIF(TA59:TA98,0.5)</f>
      </c>
      <c r="TB99" s="271">
        <f>COUNTIF(TB59:TB98,0.5)</f>
      </c>
      <c r="TC99" s="271">
        <f>COUNTIF(TC59:TC98,0.5)</f>
      </c>
      <c r="TD99" s="271">
        <f>COUNTIF(TD59:TD98,0.5)</f>
      </c>
      <c r="TE99" s="271">
        <f>COUNTIF(TE59:TE98,0.5)</f>
      </c>
      <c r="TF99" s="271">
        <f>COUNTIF(TF59:TF98,0.5)</f>
      </c>
      <c r="TG99" s="271">
        <f>COUNTIF(TG59:TG98,0.5)</f>
      </c>
      <c r="TH99" s="271">
        <f>COUNTIF(TH59:TH98,0.5)</f>
      </c>
      <c r="TI99" s="269"/>
      <c r="TJ99" s="269"/>
      <c r="TK99" s="5"/>
      <c r="TL99" s="5"/>
      <c r="TM99" s="273"/>
      <c r="TN99" s="271">
        <f>COUNTIF(TN59:TN98,0.5)</f>
      </c>
      <c r="TO99" s="271">
        <f>COUNTIF(TO59:TO98,0.5)</f>
      </c>
      <c r="TP99" s="271">
        <f>COUNTIF(TP59:TP98,0.5)</f>
      </c>
      <c r="TQ99" s="271">
        <f>COUNTIF(TQ59:TQ98,0.5)</f>
      </c>
      <c r="TR99" s="271">
        <f>COUNTIF(TR59:TR98,0.5)</f>
      </c>
      <c r="TS99" s="271">
        <f>COUNTIF(TS59:TS98,0.5)</f>
      </c>
      <c r="TT99" s="271">
        <f>COUNTIF(TT59:TT98,0.5)</f>
      </c>
      <c r="TU99" s="271">
        <f>COUNTIF(TU59:TU98,0.5)</f>
      </c>
      <c r="TV99" s="271">
        <f>COUNTIF(TV59:TV98,0.5)</f>
      </c>
      <c r="TW99" s="271">
        <f>COUNTIF(TW59:TW98,0.5)</f>
      </c>
      <c r="TX99" s="271">
        <f>COUNTIF(TX59:TX98,0.5)</f>
      </c>
      <c r="TY99" s="271">
        <f>COUNTIF(TY59:TY98,0.5)</f>
      </c>
      <c r="TZ99" s="271">
        <f>COUNTIF(TZ59:TZ98,0.5)</f>
      </c>
      <c r="UA99" s="271">
        <f>COUNTIF(UA59:UA98,0.5)</f>
      </c>
      <c r="UB99" s="271">
        <f>COUNTIF(UB59:UB98,0.5)</f>
      </c>
      <c r="UC99" s="271">
        <f>COUNTIF(UC59:UC98,0.5)</f>
      </c>
      <c r="UD99" s="271">
        <f>COUNTIF(UD59:UD98,0.5)</f>
      </c>
      <c r="UE99" s="271">
        <f>COUNTIF(UE59:UE98,0.5)</f>
      </c>
      <c r="UF99" s="271">
        <f>COUNTIF(UF59:UF98,0.5)</f>
      </c>
      <c r="UG99" s="271">
        <f>COUNTIF(UG59:UG98,0.5)</f>
      </c>
      <c r="UH99" s="271">
        <f>COUNTIF(UH59:UH98,0.5)</f>
      </c>
      <c r="UI99" s="271">
        <f>COUNTIF(UI59:UI98,0.5)</f>
      </c>
      <c r="UJ99" s="271">
        <f>COUNTIF(UJ59:UJ98,0.5)</f>
      </c>
      <c r="UK99" s="271">
        <f>COUNTIF(UK59:UK98,0.5)</f>
      </c>
      <c r="UL99" s="269"/>
      <c r="UM99" s="269"/>
      <c r="UN99" s="5"/>
      <c r="UO99" s="5"/>
      <c r="UP99" s="273"/>
      <c r="UQ99" s="273"/>
      <c r="UR99" s="273"/>
      <c r="US99" s="273"/>
      <c r="UT99" s="273"/>
      <c r="UU99" s="273"/>
      <c r="UV99" s="273"/>
      <c r="UW99" s="273"/>
      <c r="UX99" s="273"/>
      <c r="UY99" s="273"/>
      <c r="UZ99" s="273"/>
      <c r="VA99" s="273"/>
      <c r="VB99" s="273"/>
      <c r="VC99" s="273"/>
      <c r="VD99" s="273"/>
      <c r="VE99" s="273"/>
      <c r="VF99" s="273"/>
      <c r="VG99" s="273"/>
      <c r="VH99" s="273"/>
      <c r="VI99" s="273"/>
      <c r="VJ99" s="273"/>
      <c r="VK99" s="273"/>
      <c r="VL99" s="273"/>
      <c r="VM99" s="273"/>
      <c r="VN99" s="273"/>
      <c r="VO99" s="273"/>
      <c r="VP99" s="273"/>
      <c r="VQ99" s="273"/>
      <c r="VR99" s="273"/>
      <c r="VS99" s="273"/>
      <c r="VT99" s="273"/>
      <c r="VU99" s="273"/>
      <c r="VV99" s="273"/>
      <c r="VW99" s="273"/>
      <c r="VX99" s="273"/>
      <c r="VY99" s="273"/>
      <c r="VZ99" s="273"/>
      <c r="WA99" s="273"/>
      <c r="WB99" s="273"/>
      <c r="WC99" s="273"/>
      <c r="WD99" s="273"/>
      <c r="WE99" s="273"/>
      <c r="WF99" s="273"/>
      <c r="WG99" s="273"/>
      <c r="WH99" s="273"/>
      <c r="WI99" s="273"/>
      <c r="WJ99" s="273"/>
      <c r="WK99" s="273"/>
      <c r="WL99" s="273"/>
      <c r="WM99" s="273"/>
      <c r="WN99" s="273"/>
      <c r="WO99" s="273"/>
      <c r="WP99" s="273"/>
      <c r="WQ99" s="273"/>
      <c r="WR99" s="269"/>
      <c r="WS99" s="269"/>
      <c r="WT99" s="5"/>
      <c r="WU99" s="5"/>
      <c r="WV99" s="5"/>
      <c r="WW99" s="22"/>
      <c r="WX99" s="359"/>
      <c r="WY99" s="273"/>
      <c r="WZ99" s="271">
        <f>COUNTIF(WZ59:WZ98,0.5)</f>
      </c>
      <c r="XA99" s="271">
        <f>COUNTIF(XA59:XA98,0.5)</f>
      </c>
      <c r="XB99" s="271">
        <f>COUNTIF(XB59:XB98,0.5)</f>
      </c>
      <c r="XC99" s="271">
        <f>COUNTIF(XC59:XC98,0.5)</f>
      </c>
      <c r="XD99" s="271">
        <f>COUNTIF(XD59:XD98,0.5)</f>
      </c>
      <c r="XE99" s="271">
        <f>COUNTIF(XE59:XE98,0.5)</f>
      </c>
      <c r="XF99" s="271">
        <f>COUNTIF(XF59:XF98,0.5)</f>
      </c>
      <c r="XG99" s="271">
        <f>COUNTIF(XG59:XG98,0.5)</f>
      </c>
      <c r="XH99" s="271">
        <f>COUNTIF(XH59:XH98,0.5)</f>
      </c>
      <c r="XI99" s="271">
        <f>COUNTIF(XI59:XI98,0.5)</f>
      </c>
      <c r="XJ99" s="271">
        <f>COUNTIF(XJ59:XJ98,0.5)</f>
      </c>
      <c r="XK99" s="271">
        <f>COUNTIF(XK59:XK98,0.5)</f>
      </c>
      <c r="XL99" s="271">
        <f>COUNTIF(XL59:XL98,0.5)</f>
      </c>
      <c r="XM99" s="271">
        <f>COUNTIF(XM59:XM98,0.5)</f>
      </c>
      <c r="XN99" s="271">
        <f>COUNTIF(XN59:XN98,0.5)</f>
      </c>
      <c r="XO99" s="271">
        <f>COUNTIF(XO59:XO98,0.5)</f>
      </c>
      <c r="XP99" s="271">
        <f>COUNTIF(XP59:XP98,0.5)</f>
      </c>
      <c r="XQ99" s="271">
        <f>COUNTIF(XQ59:XQ98,0.5)</f>
      </c>
      <c r="XR99" s="271">
        <f>COUNTIF(XR59:XR98,0.5)</f>
      </c>
      <c r="XS99" s="271">
        <f>COUNTIF(XS59:XS98,0.5)</f>
      </c>
      <c r="XT99" s="271">
        <f>COUNTIF(XT59:XT98,0.5)</f>
      </c>
      <c r="XU99" s="271">
        <f>COUNTIF(XU59:XU98,0.5)</f>
      </c>
      <c r="XV99" s="271">
        <f>COUNTIF(XV59:XV98,0.5)</f>
      </c>
      <c r="XW99" s="271">
        <f>COUNTIF(XW59:XW98,0.5)</f>
      </c>
      <c r="XX99" s="269"/>
      <c r="XY99" s="269"/>
      <c r="XZ99" s="5"/>
      <c r="YA99" s="5"/>
      <c r="YB99" s="273"/>
      <c r="YC99" s="271">
        <f>COUNTIF(YC59:YC98,0.5)</f>
      </c>
      <c r="YD99" s="271">
        <f>COUNTIF(YD59:YD98,0.5)</f>
      </c>
      <c r="YE99" s="271">
        <f>COUNTIF(YE59:YE98,0.5)</f>
      </c>
      <c r="YF99" s="271">
        <f>COUNTIF(YF59:YF98,0.5)</f>
      </c>
      <c r="YG99" s="271">
        <f>COUNTIF(YG59:YG98,0.5)</f>
      </c>
      <c r="YH99" s="271">
        <f>COUNTIF(YH59:YH98,0.5)</f>
      </c>
      <c r="YI99" s="271">
        <f>COUNTIF(YI59:YI98,0.5)</f>
      </c>
      <c r="YJ99" s="271">
        <f>COUNTIF(YJ59:YJ98,0.5)</f>
      </c>
      <c r="YK99" s="271">
        <f>COUNTIF(YK59:YK98,0.5)</f>
      </c>
      <c r="YL99" s="271">
        <f>COUNTIF(YL59:YL98,0.5)</f>
      </c>
      <c r="YM99" s="271">
        <f>COUNTIF(YM59:YM98,0.5)</f>
      </c>
      <c r="YN99" s="271">
        <f>COUNTIF(YN59:YN98,0.5)</f>
      </c>
      <c r="YO99" s="271">
        <f>COUNTIF(YO59:YO98,0.5)</f>
      </c>
      <c r="YP99" s="271">
        <f>COUNTIF(YP59:YP98,0.5)</f>
      </c>
      <c r="YQ99" s="271">
        <f>COUNTIF(YQ59:YQ98,0.5)</f>
      </c>
      <c r="YR99" s="271">
        <f>COUNTIF(YR59:YR98,0.5)</f>
      </c>
      <c r="YS99" s="271">
        <f>COUNTIF(YS59:YS98,0.5)</f>
      </c>
      <c r="YT99" s="271">
        <f>COUNTIF(YT59:YT98,0.5)</f>
      </c>
      <c r="YU99" s="271">
        <f>COUNTIF(YU59:YU98,0.5)</f>
      </c>
      <c r="YV99" s="271">
        <f>COUNTIF(YV59:YV98,0.5)</f>
      </c>
      <c r="YW99" s="271">
        <f>COUNTIF(YW59:YW98,0.5)</f>
      </c>
      <c r="YX99" s="271">
        <f>COUNTIF(YX59:YX98,0.5)</f>
      </c>
      <c r="YY99" s="271">
        <f>COUNTIF(YY59:YY98,0.5)</f>
      </c>
      <c r="YZ99" s="271">
        <f>COUNTIF(YZ59:YZ98,0.5)</f>
      </c>
      <c r="ZA99" s="269"/>
      <c r="ZB99" s="269"/>
      <c r="ZC99" s="28"/>
      <c r="ZD99" s="28"/>
      <c r="ZE99" s="273"/>
      <c r="ZF99" s="271">
        <f>COUNTIF(ZF59:ZF98,0.5)</f>
      </c>
      <c r="ZG99" s="271">
        <f>COUNTIF(ZG59:ZG98,0.5)</f>
      </c>
      <c r="ZH99" s="271">
        <f>COUNTIF(ZH59:ZH98,0.5)</f>
      </c>
      <c r="ZI99" s="271">
        <f>COUNTIF(ZI59:ZI98,0.5)</f>
      </c>
      <c r="ZJ99" s="271">
        <f>COUNTIF(ZJ59:ZJ98,0.5)</f>
      </c>
      <c r="ZK99" s="271">
        <f>COUNTIF(ZK59:ZK98,0.5)</f>
      </c>
      <c r="ZL99" s="271">
        <f>COUNTIF(ZL59:ZL98,0.5)</f>
      </c>
      <c r="ZM99" s="271">
        <f>COUNTIF(ZM59:ZM98,0.5)</f>
      </c>
      <c r="ZN99" s="271">
        <f>COUNTIF(ZN59:ZN98,0.5)</f>
      </c>
      <c r="ZO99" s="271">
        <f>COUNTIF(ZO59:ZO98,0.5)</f>
      </c>
      <c r="ZP99" s="271">
        <f>COUNTIF(ZP59:ZP98,0.5)</f>
      </c>
      <c r="ZQ99" s="271">
        <f>COUNTIF(ZQ59:ZQ98,0.5)</f>
      </c>
      <c r="ZR99" s="271">
        <f>COUNTIF(ZR59:ZR98,0.5)</f>
      </c>
      <c r="ZS99" s="271">
        <f>COUNTIF(ZS59:ZS98,0.5)</f>
      </c>
      <c r="ZT99" s="271">
        <f>COUNTIF(ZT59:ZT98,0.5)</f>
      </c>
      <c r="ZU99" s="271">
        <f>COUNTIF(ZU59:ZU98,0.5)</f>
      </c>
      <c r="ZV99" s="271">
        <f>COUNTIF(ZV59:ZV98,0.5)</f>
      </c>
      <c r="ZW99" s="271">
        <f>COUNTIF(ZW59:ZW98,0.5)</f>
      </c>
      <c r="ZX99" s="271">
        <f>COUNTIF(ZX59:ZX98,0.5)</f>
      </c>
      <c r="ZY99" s="271">
        <f>COUNTIF(ZY59:ZY98,0.5)</f>
      </c>
      <c r="ZZ99" s="271">
        <f>COUNTIF(ZZ59:ZZ98,0.5)</f>
      </c>
      <c r="AAA99" s="271">
        <f>COUNTIF(AAA59:AAA98,0.5)</f>
      </c>
      <c r="AAB99" s="271">
        <f>COUNTIF(AAB59:AAB98,0.5)</f>
      </c>
      <c r="AAC99" s="271">
        <f>COUNTIF(AAC59:AAC98,0.5)</f>
      </c>
      <c r="AAD99" s="269"/>
      <c r="AAE99" s="269"/>
      <c r="AAF99" s="5"/>
      <c r="AAG99" s="5"/>
      <c r="AAH99" s="273"/>
      <c r="AAI99" s="271">
        <f>COUNTIF(AAI59:AAI98,0.5)</f>
      </c>
      <c r="AAJ99" s="271">
        <f>COUNTIF(AAJ59:AAJ98,0.5)</f>
      </c>
      <c r="AAK99" s="271">
        <f>COUNTIF(AAK59:AAK98,0.5)</f>
      </c>
      <c r="AAL99" s="271">
        <f>COUNTIF(AAL59:AAL98,0.5)</f>
      </c>
      <c r="AAM99" s="271">
        <f>COUNTIF(AAM59:AAM98,0.5)</f>
      </c>
      <c r="AAN99" s="271">
        <f>COUNTIF(AAN59:AAN98,0.5)</f>
      </c>
      <c r="AAO99" s="271">
        <f>COUNTIF(AAO59:AAO98,0.5)</f>
      </c>
      <c r="AAP99" s="271">
        <f>COUNTIF(AAP59:AAP98,0.5)</f>
      </c>
      <c r="AAQ99" s="271">
        <f>COUNTIF(AAQ59:AAQ98,0.5)</f>
      </c>
      <c r="AAR99" s="271">
        <f>COUNTIF(AAR59:AAR98,0.5)</f>
      </c>
      <c r="AAS99" s="271">
        <f>COUNTIF(AAS59:AAS98,0.5)</f>
      </c>
      <c r="AAT99" s="271">
        <f>COUNTIF(AAT59:AAT98,0.5)</f>
      </c>
      <c r="AAU99" s="271">
        <f>COUNTIF(AAU59:AAU98,0.5)</f>
      </c>
      <c r="AAV99" s="271">
        <f>COUNTIF(AAV59:AAV98,0.5)</f>
      </c>
      <c r="AAW99" s="271">
        <f>COUNTIF(AAW59:AAW98,0.5)</f>
      </c>
      <c r="AAX99" s="271">
        <f>COUNTIF(AAX59:AAX98,0.5)</f>
      </c>
      <c r="AAY99" s="271">
        <f>COUNTIF(AAY59:AAY98,0.5)</f>
      </c>
      <c r="AAZ99" s="271">
        <f>COUNTIF(AAZ59:AAZ98,0.5)</f>
      </c>
      <c r="ABA99" s="271">
        <f>COUNTIF(ABA59:ABA98,0.5)</f>
      </c>
      <c r="ABB99" s="271">
        <f>COUNTIF(ABB59:ABB98,0.5)</f>
      </c>
      <c r="ABC99" s="271">
        <f>COUNTIF(ABC59:ABC98,0.5)</f>
      </c>
      <c r="ABD99" s="271">
        <f>COUNTIF(ABD59:ABD98,0.5)</f>
      </c>
      <c r="ABE99" s="271">
        <f>COUNTIF(ABE59:ABE98,0.5)</f>
      </c>
      <c r="ABF99" s="271">
        <f>COUNTIF(ABF59:ABF98,0.5)</f>
      </c>
      <c r="ABG99" s="269"/>
      <c r="ABH99" s="269"/>
      <c r="ABI99" s="5"/>
      <c r="ABJ99" s="5"/>
      <c r="ABK99" s="273"/>
      <c r="ABL99" s="271">
        <f>COUNTIF(ABL59:ABL98,0.5)</f>
      </c>
      <c r="ABM99" s="271">
        <f>COUNTIF(ABM59:ABM98,0.5)</f>
      </c>
      <c r="ABN99" s="271">
        <f>COUNTIF(ABN59:ABN98,0.5)</f>
      </c>
      <c r="ABO99" s="271">
        <f>COUNTIF(ABO59:ABO98,0.5)</f>
      </c>
      <c r="ABP99" s="271">
        <f>COUNTIF(ABP59:ABP98,0.5)</f>
      </c>
      <c r="ABQ99" s="271">
        <f>COUNTIF(ABQ59:ABQ98,0.5)</f>
      </c>
      <c r="ABR99" s="271">
        <f>COUNTIF(ABR59:ABR98,0.5)</f>
      </c>
      <c r="ABS99" s="271">
        <f>COUNTIF(ABS59:ABS98,0.5)</f>
      </c>
      <c r="ABT99" s="271">
        <f>COUNTIF(ABT59:ABT98,0.5)</f>
      </c>
      <c r="ABU99" s="271">
        <f>COUNTIF(ABU59:ABU98,0.5)</f>
      </c>
      <c r="ABV99" s="271">
        <f>COUNTIF(ABV59:ABV98,0.5)</f>
      </c>
      <c r="ABW99" s="271">
        <f>COUNTIF(ABW59:ABW98,0.5)</f>
      </c>
      <c r="ABX99" s="271">
        <f>COUNTIF(ABX59:ABX98,0.5)</f>
      </c>
      <c r="ABY99" s="271">
        <f>COUNTIF(ABY59:ABY98,0.5)</f>
      </c>
      <c r="ABZ99" s="271">
        <f>COUNTIF(ABZ59:ABZ98,0.5)</f>
      </c>
      <c r="ACA99" s="271">
        <f>COUNTIF(ACA59:ACA98,0.5)</f>
      </c>
      <c r="ACB99" s="271">
        <f>COUNTIF(ACB59:ACB98,0.5)</f>
      </c>
      <c r="ACC99" s="271">
        <f>COUNTIF(ACC59:ACC98,0.5)</f>
      </c>
      <c r="ACD99" s="271">
        <f>COUNTIF(ACD59:ACD98,0.5)</f>
      </c>
      <c r="ACE99" s="271">
        <f>COUNTIF(ACE59:ACE98,0.5)</f>
      </c>
      <c r="ACF99" s="271">
        <f>COUNTIF(ACF59:ACF98,0.5)</f>
      </c>
      <c r="ACG99" s="271">
        <f>COUNTIF(ACG59:ACG98,0.5)</f>
      </c>
      <c r="ACH99" s="271">
        <f>COUNTIF(ACH59:ACH98,0.5)</f>
      </c>
      <c r="ACI99" s="271">
        <f>COUNTIF(ACI59:ACI98,0.5)</f>
      </c>
      <c r="ACJ99" s="269"/>
      <c r="ACK99" s="269"/>
      <c r="ACL99" s="5"/>
      <c r="ACM99" s="5"/>
      <c r="ACN99" s="273"/>
      <c r="ACO99" s="273"/>
      <c r="ACP99" s="273"/>
      <c r="ACQ99" s="273"/>
      <c r="ACR99" s="273"/>
      <c r="ACS99" s="273"/>
      <c r="ACT99" s="273"/>
      <c r="ACU99" s="273"/>
      <c r="ACV99" s="273"/>
      <c r="ACW99" s="273"/>
      <c r="ACX99" s="273"/>
      <c r="ACY99" s="273"/>
      <c r="ACZ99" s="273"/>
      <c r="ADA99" s="273"/>
      <c r="ADB99" s="273"/>
      <c r="ADC99" s="273"/>
      <c r="ADD99" s="273"/>
      <c r="ADE99" s="273"/>
      <c r="ADF99" s="273"/>
      <c r="ADG99" s="273"/>
      <c r="ADH99" s="273"/>
      <c r="ADI99" s="273"/>
      <c r="ADJ99" s="273"/>
      <c r="ADK99" s="273"/>
      <c r="ADL99" s="273"/>
      <c r="ADM99" s="273"/>
      <c r="ADN99" s="273"/>
      <c r="ADO99" s="273"/>
      <c r="ADP99" s="273"/>
      <c r="ADQ99" s="273"/>
      <c r="ADR99" s="273"/>
      <c r="ADS99" s="273"/>
      <c r="ADT99" s="273"/>
      <c r="ADU99" s="273"/>
      <c r="ADV99" s="273"/>
      <c r="ADW99" s="273"/>
      <c r="ADX99" s="273"/>
      <c r="ADY99" s="273"/>
      <c r="ADZ99" s="273"/>
      <c r="AEA99" s="273"/>
      <c r="AEB99" s="273"/>
      <c r="AEC99" s="273"/>
      <c r="AED99" s="273"/>
      <c r="AEE99" s="273"/>
      <c r="AEF99" s="273"/>
      <c r="AEG99" s="273"/>
      <c r="AEH99" s="273"/>
      <c r="AEI99" s="273"/>
      <c r="AEJ99" s="273"/>
      <c r="AEK99" s="273"/>
      <c r="AEL99" s="273"/>
      <c r="AEM99" s="273"/>
      <c r="AEN99" s="273"/>
      <c r="AEO99" s="273"/>
      <c r="AEP99" s="269"/>
      <c r="AEQ99" s="269"/>
      <c r="AER99" s="5"/>
      <c r="AES99" s="5"/>
      <c r="AET99" s="5"/>
      <c r="AEU99" s="22"/>
      <c r="AEV99" s="359"/>
      <c r="AEW99" s="273"/>
      <c r="AEX99" s="271">
        <f>COUNTIF(AEX59:AEX98,0.5)</f>
      </c>
      <c r="AEY99" s="271">
        <f>COUNTIF(AEY59:AEY98,0.5)</f>
      </c>
      <c r="AEZ99" s="271">
        <f>COUNTIF(AEZ59:AEZ98,0.5)</f>
      </c>
      <c r="AFA99" s="271">
        <f>COUNTIF(AFA59:AFA98,0.5)</f>
      </c>
      <c r="AFB99" s="271">
        <f>COUNTIF(AFB59:AFB98,0.5)</f>
      </c>
      <c r="AFC99" s="271">
        <f>COUNTIF(AFC59:AFC98,0.5)</f>
      </c>
      <c r="AFD99" s="271">
        <f>COUNTIF(AFD59:AFD98,0.5)</f>
      </c>
      <c r="AFE99" s="271">
        <f>COUNTIF(AFE59:AFE98,0.5)</f>
      </c>
      <c r="AFF99" s="271">
        <f>COUNTIF(AFF59:AFF98,0.5)</f>
      </c>
      <c r="AFG99" s="271">
        <f>COUNTIF(AFG59:AFG98,0.5)</f>
      </c>
      <c r="AFH99" s="271">
        <f>COUNTIF(AFH59:AFH98,0.5)</f>
      </c>
      <c r="AFI99" s="271">
        <f>COUNTIF(AFI59:AFI98,0.5)</f>
      </c>
      <c r="AFJ99" s="271">
        <f>COUNTIF(AFJ59:AFJ98,0.5)</f>
      </c>
      <c r="AFK99" s="271">
        <f>COUNTIF(AFK59:AFK98,0.5)</f>
      </c>
      <c r="AFL99" s="271">
        <f>COUNTIF(AFL59:AFL98,0.5)</f>
      </c>
      <c r="AFM99" s="271">
        <f>COUNTIF(AFM59:AFM98,0.5)</f>
      </c>
      <c r="AFN99" s="271">
        <f>COUNTIF(AFN59:AFN98,0.5)</f>
      </c>
      <c r="AFO99" s="271">
        <f>COUNTIF(AFO59:AFO98,0.5)</f>
      </c>
      <c r="AFP99" s="271">
        <f>COUNTIF(AFP59:AFP98,0.5)</f>
      </c>
      <c r="AFQ99" s="271">
        <f>COUNTIF(AFQ59:AFQ98,0.5)</f>
      </c>
      <c r="AFR99" s="271">
        <f>COUNTIF(AFR59:AFR98,0.5)</f>
      </c>
      <c r="AFS99" s="271">
        <f>COUNTIF(AFS59:AFS98,0.5)</f>
      </c>
      <c r="AFT99" s="271">
        <f>COUNTIF(AFT59:AFT98,0.5)</f>
      </c>
      <c r="AFU99" s="271">
        <f>COUNTIF(AFU59:AFU98,0.5)</f>
      </c>
      <c r="AFV99" s="269"/>
      <c r="AFW99" s="269"/>
      <c r="AFX99" s="5"/>
      <c r="AFY99" s="5"/>
      <c r="AFZ99" s="273"/>
      <c r="AGA99" s="271">
        <f>COUNTIF(AGA59:AGA98,0.5)</f>
      </c>
      <c r="AGB99" s="271">
        <f>COUNTIF(AGB59:AGB98,0.5)</f>
      </c>
      <c r="AGC99" s="271">
        <f>COUNTIF(AGC59:AGC98,0.5)</f>
      </c>
      <c r="AGD99" s="271">
        <f>COUNTIF(AGD59:AGD98,0.5)</f>
      </c>
      <c r="AGE99" s="271">
        <f>COUNTIF(AGE59:AGE98,0.5)</f>
      </c>
      <c r="AGF99" s="271">
        <f>COUNTIF(AGF59:AGF98,0.5)</f>
      </c>
      <c r="AGG99" s="271">
        <f>COUNTIF(AGG59:AGG98,0.5)</f>
      </c>
      <c r="AGH99" s="271">
        <f>COUNTIF(AGH59:AGH98,0.5)</f>
      </c>
      <c r="AGI99" s="271">
        <f>COUNTIF(AGI59:AGI98,0.5)</f>
      </c>
      <c r="AGJ99" s="271">
        <f>COUNTIF(AGJ59:AGJ98,0.5)</f>
      </c>
      <c r="AGK99" s="271">
        <f>COUNTIF(AGK59:AGK98,0.5)</f>
      </c>
      <c r="AGL99" s="271">
        <f>COUNTIF(AGL59:AGL98,0.5)</f>
      </c>
      <c r="AGM99" s="271">
        <f>COUNTIF(AGM59:AGM98,0.5)</f>
      </c>
      <c r="AGN99" s="271">
        <f>COUNTIF(AGN59:AGN98,0.5)</f>
      </c>
      <c r="AGO99" s="271">
        <f>COUNTIF(AGO59:AGO98,0.5)</f>
      </c>
      <c r="AGP99" s="271">
        <f>COUNTIF(AGP59:AGP98,0.5)</f>
      </c>
      <c r="AGQ99" s="271">
        <f>COUNTIF(AGQ59:AGQ98,0.5)</f>
      </c>
      <c r="AGR99" s="271">
        <f>COUNTIF(AGR59:AGR98,0.5)</f>
      </c>
      <c r="AGS99" s="271">
        <f>COUNTIF(AGS59:AGS98,0.5)</f>
      </c>
      <c r="AGT99" s="271">
        <f>COUNTIF(AGT59:AGT98,0.5)</f>
      </c>
      <c r="AGU99" s="271">
        <f>COUNTIF(AGU59:AGU98,0.5)</f>
      </c>
      <c r="AGV99" s="271">
        <f>COUNTIF(AGV59:AGV98,0.5)</f>
      </c>
      <c r="AGW99" s="271">
        <f>COUNTIF(AGW59:AGW98,0.5)</f>
      </c>
      <c r="AGX99" s="271">
        <f>COUNTIF(AGX59:AGX98,0.5)</f>
      </c>
      <c r="AGY99" s="269"/>
      <c r="AGZ99" s="269"/>
      <c r="AHA99" s="28"/>
      <c r="AHB99" s="28"/>
      <c r="AHC99" s="273"/>
      <c r="AHD99" s="271">
        <f>COUNTIF(AHD59:AHD98,0.5)</f>
      </c>
      <c r="AHE99" s="271">
        <f>COUNTIF(AHE59:AHE98,0.5)</f>
      </c>
      <c r="AHF99" s="271">
        <f>COUNTIF(AHF59:AHF98,0.5)</f>
      </c>
      <c r="AHG99" s="271">
        <f>COUNTIF(AHG59:AHG98,0.5)</f>
      </c>
      <c r="AHH99" s="271">
        <f>COUNTIF(AHH59:AHH98,0.5)</f>
      </c>
      <c r="AHI99" s="271">
        <f>COUNTIF(AHI59:AHI98,0.5)</f>
      </c>
      <c r="AHJ99" s="271">
        <f>COUNTIF(AHJ59:AHJ98,0.5)</f>
      </c>
      <c r="AHK99" s="271">
        <f>COUNTIF(AHK59:AHK98,0.5)</f>
      </c>
      <c r="AHL99" s="271">
        <f>COUNTIF(AHL59:AHL98,0.5)</f>
      </c>
      <c r="AHM99" s="271">
        <f>COUNTIF(AHM59:AHM98,0.5)</f>
      </c>
      <c r="AHN99" s="271">
        <f>COUNTIF(AHN59:AHN98,0.5)</f>
      </c>
      <c r="AHO99" s="271">
        <f>COUNTIF(AHO59:AHO98,0.5)</f>
      </c>
      <c r="AHP99" s="271">
        <f>COUNTIF(AHP59:AHP98,0.5)</f>
      </c>
      <c r="AHQ99" s="271">
        <f>COUNTIF(AHQ59:AHQ98,0.5)</f>
      </c>
      <c r="AHR99" s="271">
        <f>COUNTIF(AHR59:AHR98,0.5)</f>
      </c>
      <c r="AHS99" s="271">
        <f>COUNTIF(AHS59:AHS98,0.5)</f>
      </c>
      <c r="AHT99" s="271">
        <f>COUNTIF(AHT59:AHT98,0.5)</f>
      </c>
      <c r="AHU99" s="271">
        <f>COUNTIF(AHU59:AHU98,0.5)</f>
      </c>
      <c r="AHV99" s="271">
        <f>COUNTIF(AHV59:AHV98,0.5)</f>
      </c>
      <c r="AHW99" s="271">
        <f>COUNTIF(AHW59:AHW98,0.5)</f>
      </c>
      <c r="AHX99" s="271">
        <f>COUNTIF(AHX59:AHX98,0.5)</f>
      </c>
      <c r="AHY99" s="271">
        <f>COUNTIF(AHY59:AHY98,0.5)</f>
      </c>
      <c r="AHZ99" s="271">
        <f>COUNTIF(AHZ59:AHZ98,0.5)</f>
      </c>
      <c r="AIA99" s="271">
        <f>COUNTIF(AIA59:AIA98,0.5)</f>
      </c>
      <c r="AIB99" s="269"/>
      <c r="AIC99" s="269"/>
      <c r="AID99" s="5"/>
      <c r="AIE99" s="5"/>
      <c r="AIF99" s="273"/>
      <c r="AIG99" s="271">
        <f>COUNTIF(AIG59:AIG98,0.5)</f>
      </c>
      <c r="AIH99" s="271">
        <f>COUNTIF(AIH59:AIH98,0.5)</f>
      </c>
      <c r="AII99" s="271">
        <f>COUNTIF(AII59:AII98,0.5)</f>
      </c>
      <c r="AIJ99" s="271">
        <f>COUNTIF(AIJ59:AIJ98,0.5)</f>
      </c>
      <c r="AIK99" s="271">
        <f>COUNTIF(AIK59:AIK98,0.5)</f>
      </c>
      <c r="AIL99" s="271">
        <f>COUNTIF(AIL59:AIL98,0.5)</f>
      </c>
      <c r="AIM99" s="271">
        <f>COUNTIF(AIM59:AIM98,0.5)</f>
      </c>
      <c r="AIN99" s="271">
        <f>COUNTIF(AIN59:AIN98,0.5)</f>
      </c>
      <c r="AIO99" s="271">
        <f>COUNTIF(AIO59:AIO98,0.5)</f>
      </c>
      <c r="AIP99" s="271">
        <f>COUNTIF(AIP59:AIP98,0.5)</f>
      </c>
      <c r="AIQ99" s="271">
        <f>COUNTIF(AIQ59:AIQ98,0.5)</f>
      </c>
      <c r="AIR99" s="271">
        <f>COUNTIF(AIR59:AIR98,0.5)</f>
      </c>
      <c r="AIS99" s="271">
        <f>COUNTIF(AIS59:AIS98,0.5)</f>
      </c>
      <c r="AIT99" s="271">
        <f>COUNTIF(AIT59:AIT98,0.5)</f>
      </c>
      <c r="AIU99" s="271">
        <f>COUNTIF(AIU59:AIU98,0.5)</f>
      </c>
      <c r="AIV99" s="271">
        <f>COUNTIF(AIV59:AIV98,0.5)</f>
      </c>
      <c r="AIW99" s="271">
        <f>COUNTIF(AIW59:AIW98,0.5)</f>
      </c>
      <c r="AIX99" s="271">
        <f>COUNTIF(AIX59:AIX98,0.5)</f>
      </c>
      <c r="AIY99" s="271">
        <f>COUNTIF(AIY59:AIY98,0.5)</f>
      </c>
      <c r="AIZ99" s="271">
        <f>COUNTIF(AIZ59:AIZ98,0.5)</f>
      </c>
      <c r="AJA99" s="271">
        <f>COUNTIF(AJA59:AJA98,0.5)</f>
      </c>
      <c r="AJB99" s="271">
        <f>COUNTIF(AJB59:AJB98,0.5)</f>
      </c>
      <c r="AJC99" s="271">
        <f>COUNTIF(AJC59:AJC98,0.5)</f>
      </c>
      <c r="AJD99" s="271">
        <f>COUNTIF(AJD59:AJD98,0.5)</f>
      </c>
      <c r="AJE99" s="269"/>
      <c r="AJF99" s="269"/>
      <c r="AJG99" s="5"/>
      <c r="AJH99" s="5"/>
      <c r="AJI99" s="273"/>
      <c r="AJJ99" s="271">
        <f>COUNTIF(AJJ59:AJJ98,0.5)</f>
      </c>
      <c r="AJK99" s="271">
        <f>COUNTIF(AJK59:AJK98,0.5)</f>
      </c>
      <c r="AJL99" s="271">
        <f>COUNTIF(AJL59:AJL98,0.5)</f>
      </c>
      <c r="AJM99" s="271">
        <f>COUNTIF(AJM59:AJM98,0.5)</f>
      </c>
      <c r="AJN99" s="271">
        <f>COUNTIF(AJN59:AJN98,0.5)</f>
      </c>
      <c r="AJO99" s="271">
        <f>COUNTIF(AJO59:AJO98,0.5)</f>
      </c>
      <c r="AJP99" s="271">
        <f>COUNTIF(AJP59:AJP98,0.5)</f>
      </c>
      <c r="AJQ99" s="271">
        <f>COUNTIF(AJQ59:AJQ98,0.5)</f>
      </c>
      <c r="AJR99" s="271">
        <f>COUNTIF(AJR59:AJR98,0.5)</f>
      </c>
      <c r="AJS99" s="271">
        <f>COUNTIF(AJS59:AJS98,0.5)</f>
      </c>
      <c r="AJT99" s="271">
        <f>COUNTIF(AJT59:AJT98,0.5)</f>
      </c>
      <c r="AJU99" s="271">
        <f>COUNTIF(AJU59:AJU98,0.5)</f>
      </c>
      <c r="AJV99" s="271">
        <f>COUNTIF(AJV59:AJV98,0.5)</f>
      </c>
      <c r="AJW99" s="271">
        <f>COUNTIF(AJW59:AJW98,0.5)</f>
      </c>
      <c r="AJX99" s="271">
        <f>COUNTIF(AJX59:AJX98,0.5)</f>
      </c>
      <c r="AJY99" s="271">
        <f>COUNTIF(AJY59:AJY98,0.5)</f>
      </c>
      <c r="AJZ99" s="271">
        <f>COUNTIF(AJZ59:AJZ98,0.5)</f>
      </c>
      <c r="AKA99" s="271">
        <f>COUNTIF(AKA59:AKA98,0.5)</f>
      </c>
      <c r="AKB99" s="271">
        <f>COUNTIF(AKB59:AKB98,0.5)</f>
      </c>
      <c r="AKC99" s="271">
        <f>COUNTIF(AKC59:AKC98,0.5)</f>
      </c>
      <c r="AKD99" s="271">
        <f>COUNTIF(AKD59:AKD98,0.5)</f>
      </c>
      <c r="AKE99" s="271">
        <f>COUNTIF(AKE59:AKE98,0.5)</f>
      </c>
      <c r="AKF99" s="271">
        <f>COUNTIF(AKF59:AKF98,0.5)</f>
      </c>
      <c r="AKG99" s="271">
        <f>COUNTIF(AKG59:AKG98,0.5)</f>
      </c>
      <c r="AKH99" s="269"/>
      <c r="AKI99" s="269"/>
      <c r="AKJ99" s="5"/>
      <c r="AKK99" s="5"/>
      <c r="AKL99" s="273"/>
      <c r="AKM99" s="273"/>
      <c r="AKN99" s="273"/>
      <c r="AKO99" s="273"/>
      <c r="AKP99" s="273"/>
      <c r="AKQ99" s="273"/>
      <c r="AKR99" s="273"/>
      <c r="AKS99" s="273"/>
      <c r="AKT99" s="273"/>
      <c r="AKU99" s="273"/>
      <c r="AKV99" s="273"/>
      <c r="AKW99" s="273"/>
      <c r="AKX99" s="273"/>
      <c r="AKY99" s="273"/>
      <c r="AKZ99" s="273"/>
      <c r="ALA99" s="273"/>
      <c r="ALB99" s="273"/>
      <c r="ALC99" s="273"/>
      <c r="ALD99" s="273"/>
      <c r="ALE99" s="273"/>
      <c r="ALF99" s="273"/>
      <c r="ALG99" s="273"/>
      <c r="ALH99" s="273"/>
      <c r="ALI99" s="273"/>
      <c r="ALJ99" s="273"/>
      <c r="ALK99" s="273"/>
      <c r="ALL99" s="273"/>
      <c r="ALM99" s="273"/>
      <c r="ALN99" s="273"/>
      <c r="ALO99" s="273"/>
      <c r="ALP99" s="273"/>
      <c r="ALQ99" s="273"/>
      <c r="ALR99" s="273"/>
      <c r="ALS99" s="273"/>
      <c r="ALT99" s="273"/>
      <c r="ALU99" s="273"/>
      <c r="ALV99" s="273"/>
      <c r="ALW99" s="273"/>
      <c r="ALX99" s="273"/>
      <c r="ALY99" s="273"/>
      <c r="ALZ99" s="273"/>
      <c r="AMA99" s="273"/>
      <c r="AMB99" s="273"/>
      <c r="AMC99" s="273"/>
      <c r="AMD99" s="273"/>
      <c r="AME99" s="273"/>
      <c r="AMF99" s="273"/>
      <c r="AMG99" s="273"/>
      <c r="AMH99" s="273"/>
      <c r="AMI99" s="273"/>
      <c r="AMJ99" s="273"/>
      <c r="AMK99" s="273"/>
      <c r="AML99" s="273"/>
      <c r="AMM99" s="273"/>
      <c r="AMN99" s="269"/>
      <c r="AMO99" s="269"/>
      <c r="AMP99" s="5"/>
      <c r="AMQ99" s="5"/>
      <c r="AMR99" s="5"/>
      <c r="AMS99" s="22"/>
      <c r="AMT99" s="4"/>
      <c r="AMU99" s="4"/>
      <c r="AMV99" s="4"/>
      <c r="AMW99" s="4"/>
      <c r="AMX99" s="4"/>
      <c r="AMY99" s="4"/>
      <c r="AMZ99" s="4"/>
      <c r="ANA99" s="4"/>
      <c r="ANB99" s="4"/>
      <c r="ANC99" s="4"/>
      <c r="AND99" s="4"/>
      <c r="ANE99" s="4"/>
      <c r="ANF99" s="4"/>
      <c r="ANG99" s="4"/>
      <c r="ANH99" s="4"/>
      <c r="ANI99" s="4"/>
      <c r="ANJ99" s="4"/>
      <c r="ANK99" s="4"/>
      <c r="ANL99" s="4"/>
      <c r="ANM99" s="4"/>
      <c r="ANN99" s="4"/>
      <c r="ANO99" s="4"/>
      <c r="ANP99" s="4"/>
      <c r="ANQ99" s="4"/>
      <c r="ANR99" s="4"/>
      <c r="ANS99" s="4"/>
      <c r="ANT99" s="4"/>
      <c r="ANU99" s="4"/>
      <c r="ANV99" s="4"/>
      <c r="ANW99" s="4"/>
      <c r="ANX99" s="4"/>
      <c r="ANY99" s="4"/>
      <c r="ANZ99" s="4"/>
      <c r="AOA99" s="4"/>
      <c r="AOB99" s="4"/>
      <c r="AOC99" s="4"/>
      <c r="AOD99" s="4"/>
      <c r="AOE99" s="4"/>
      <c r="AOF99" s="4"/>
      <c r="AOG99" s="4"/>
      <c r="AOH99" s="4"/>
      <c r="AOI99" s="4"/>
      <c r="AOJ99" s="4"/>
      <c r="AOK99" s="4"/>
      <c r="AOL99" s="4"/>
      <c r="AOM99" s="4"/>
      <c r="AON99" s="4"/>
      <c r="AOO99" s="4"/>
      <c r="AOP99" s="4"/>
      <c r="AOQ99" s="4"/>
      <c r="AOR99" s="4"/>
      <c r="AOS99" s="4"/>
      <c r="AOT99" s="4"/>
      <c r="AOU99" s="4"/>
      <c r="AOV99" s="4"/>
      <c r="AOW99" s="4"/>
      <c r="AOX99" s="4"/>
      <c r="AOY99" s="4"/>
      <c r="AOZ99" s="4"/>
      <c r="APA99" s="4"/>
      <c r="APB99" s="4"/>
      <c r="APC99" s="4"/>
      <c r="APD99" s="4"/>
      <c r="APE99" s="4"/>
      <c r="APF99" s="4"/>
      <c r="APG99" s="4"/>
      <c r="APH99" s="4"/>
      <c r="API99" s="4"/>
      <c r="APJ99" s="4"/>
      <c r="APK99" s="4"/>
      <c r="APL99" s="4"/>
      <c r="APM99" s="4"/>
      <c r="APN99" s="4"/>
      <c r="APO99" s="4"/>
      <c r="APP99" s="4"/>
      <c r="APQ99" s="4"/>
      <c r="APR99" s="4"/>
      <c r="APS99" s="4"/>
      <c r="APT99" s="4"/>
      <c r="APU99" s="4"/>
      <c r="APV99" s="4"/>
      <c r="APW99" s="4"/>
      <c r="APX99" s="4"/>
      <c r="APY99" s="4"/>
      <c r="APZ99" s="4"/>
      <c r="AQA99" s="4"/>
      <c r="AQB99" s="4"/>
      <c r="AQC99" s="4"/>
      <c r="AQD99" s="4"/>
      <c r="AQE99" s="4"/>
      <c r="AQF99" s="4"/>
      <c r="AQG99" s="4"/>
      <c r="AQH99" s="4"/>
      <c r="AQI99" s="4"/>
      <c r="AQJ99" s="4"/>
      <c r="AQK99" s="4"/>
      <c r="AQL99" s="4"/>
      <c r="AQM99" s="4"/>
      <c r="AQN99" s="4"/>
      <c r="AQO99" s="4"/>
      <c r="AQP99" s="4"/>
      <c r="AQQ99" s="4"/>
      <c r="AQR99" s="4"/>
      <c r="AQS99" s="4"/>
      <c r="AQT99" s="4"/>
      <c r="AQU99" s="4"/>
      <c r="AQV99" s="4"/>
      <c r="AQW99" s="4"/>
      <c r="AQX99" s="4"/>
      <c r="AQY99" s="4"/>
      <c r="AQZ99" s="4"/>
      <c r="ARA99" s="4"/>
      <c r="ARB99" s="4"/>
      <c r="ARC99" s="4"/>
      <c r="ARD99" s="4"/>
      <c r="ARE99" s="4"/>
      <c r="ARF99" s="4"/>
      <c r="ARG99" s="4"/>
      <c r="ARH99" s="4"/>
      <c r="ARI99" s="4"/>
      <c r="ARJ99" s="4"/>
      <c r="ARK99" s="4"/>
      <c r="ARL99" s="4"/>
      <c r="ARM99" s="4"/>
      <c r="ARN99" s="4"/>
      <c r="ARO99" s="4"/>
      <c r="ARP99" s="4"/>
      <c r="ARQ99" s="4"/>
      <c r="ARR99" s="4"/>
      <c r="ARS99" s="4"/>
      <c r="ART99" s="4"/>
      <c r="ARU99" s="4"/>
      <c r="ARV99" s="4"/>
      <c r="ARW99" s="4"/>
      <c r="ARX99" s="4"/>
      <c r="ARY99" s="4"/>
      <c r="ARZ99" s="4"/>
      <c r="ASA99" s="4"/>
      <c r="ASB99" s="4"/>
      <c r="ASC99" s="4"/>
      <c r="ASD99" s="4"/>
      <c r="ASE99" s="4"/>
      <c r="ASF99" s="4"/>
      <c r="ASG99" s="4"/>
      <c r="ASH99" s="4"/>
      <c r="ASI99" s="4"/>
      <c r="ASJ99" s="4"/>
      <c r="ASK99" s="4"/>
      <c r="ASL99" s="4"/>
      <c r="ASM99" s="4"/>
      <c r="ASN99" s="4"/>
      <c r="ASO99" s="4"/>
      <c r="ASP99" s="4"/>
      <c r="ASQ99" s="4"/>
      <c r="ASR99" s="4"/>
      <c r="ASS99" s="4"/>
      <c r="AST99" s="4"/>
      <c r="ASU99" s="4"/>
    </row>
    <row r="100" ht="15.75" customHeight="1" spans="1:1191" x14ac:dyDescent="0.25">
      <c r="A100" s="9"/>
      <c r="B100" s="360"/>
      <c r="C100" s="8"/>
      <c r="D100" s="273"/>
      <c r="E100" s="273"/>
      <c r="F100" s="277"/>
      <c r="G100" s="278" t="s">
        <v>74</v>
      </c>
      <c r="H100" s="279"/>
      <c r="I100" s="280">
        <f>SUM(F99:AC99)/16</f>
      </c>
      <c r="J100" s="279"/>
      <c r="K100" s="277"/>
      <c r="L100" s="277"/>
      <c r="M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7"/>
      <c r="X100" s="277"/>
      <c r="Y100" s="277"/>
      <c r="Z100" s="277"/>
      <c r="AA100" s="277"/>
      <c r="AB100" s="277"/>
      <c r="AC100" s="277"/>
      <c r="AD100" s="277"/>
      <c r="AE100" s="277"/>
      <c r="AF100" s="5"/>
      <c r="AG100" s="5"/>
      <c r="AH100" s="273"/>
      <c r="AI100" s="277"/>
      <c r="AJ100" s="278" t="s">
        <v>74</v>
      </c>
      <c r="AK100" s="279"/>
      <c r="AL100" s="280">
        <f>SUM(AI99:BF99)/16</f>
      </c>
      <c r="AM100" s="279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AZ100" s="277"/>
      <c r="BA100" s="277"/>
      <c r="BB100" s="277"/>
      <c r="BC100" s="277"/>
      <c r="BD100" s="277"/>
      <c r="BE100" s="277"/>
      <c r="BF100" s="277"/>
      <c r="BG100" s="277"/>
      <c r="BH100" s="277"/>
      <c r="BI100" s="28"/>
      <c r="BJ100" s="28"/>
      <c r="BK100" s="273"/>
      <c r="BL100" s="277"/>
      <c r="BM100" s="278" t="s">
        <v>74</v>
      </c>
      <c r="BN100" s="279"/>
      <c r="BO100" s="280">
        <f>SUM(BL99:CI99)/16</f>
      </c>
      <c r="BP100" s="279"/>
      <c r="BQ100" s="277"/>
      <c r="BR100" s="277"/>
      <c r="BS100" s="277"/>
      <c r="BT100" s="277"/>
      <c r="BU100" s="277"/>
      <c r="BV100" s="277"/>
      <c r="BW100" s="277"/>
      <c r="BX100" s="277"/>
      <c r="BY100" s="277"/>
      <c r="BZ100" s="277"/>
      <c r="CA100" s="277"/>
      <c r="CB100" s="277"/>
      <c r="CC100" s="277"/>
      <c r="CD100" s="277"/>
      <c r="CE100" s="277"/>
      <c r="CF100" s="277"/>
      <c r="CG100" s="277"/>
      <c r="CH100" s="277"/>
      <c r="CI100" s="277"/>
      <c r="CJ100" s="277"/>
      <c r="CK100" s="277"/>
      <c r="CL100" s="5"/>
      <c r="CM100" s="5"/>
      <c r="CN100" s="273"/>
      <c r="CO100" s="277"/>
      <c r="CP100" s="278" t="s">
        <v>74</v>
      </c>
      <c r="CQ100" s="279"/>
      <c r="CR100" s="280">
        <f>SUM(CO99:DL99)/16</f>
      </c>
      <c r="CS100" s="279"/>
      <c r="CT100" s="277"/>
      <c r="CU100" s="277"/>
      <c r="CV100" s="277"/>
      <c r="CW100" s="277"/>
      <c r="CX100" s="277"/>
      <c r="CY100" s="277"/>
      <c r="CZ100" s="277"/>
      <c r="DA100" s="277"/>
      <c r="DB100" s="277"/>
      <c r="DC100" s="277"/>
      <c r="DD100" s="277"/>
      <c r="DE100" s="277"/>
      <c r="DF100" s="277"/>
      <c r="DG100" s="277"/>
      <c r="DH100" s="277"/>
      <c r="DI100" s="277"/>
      <c r="DJ100" s="277"/>
      <c r="DK100" s="277"/>
      <c r="DL100" s="277"/>
      <c r="DM100" s="277"/>
      <c r="DN100" s="277"/>
      <c r="DO100" s="5"/>
      <c r="DP100" s="5"/>
      <c r="DQ100" s="273"/>
      <c r="DR100" s="277"/>
      <c r="DS100" s="278" t="s">
        <v>74</v>
      </c>
      <c r="DT100" s="279"/>
      <c r="DU100" s="280">
        <f>SUM(DR99:EO99)/16</f>
      </c>
      <c r="DV100" s="279"/>
      <c r="DW100" s="277"/>
      <c r="DX100" s="277"/>
      <c r="DY100" s="277"/>
      <c r="DZ100" s="277"/>
      <c r="EA100" s="277"/>
      <c r="EB100" s="277"/>
      <c r="EC100" s="277"/>
      <c r="ED100" s="277"/>
      <c r="EE100" s="277"/>
      <c r="EF100" s="277"/>
      <c r="EG100" s="277"/>
      <c r="EH100" s="277"/>
      <c r="EI100" s="277"/>
      <c r="EJ100" s="277"/>
      <c r="EK100" s="277"/>
      <c r="EL100" s="277"/>
      <c r="EM100" s="277"/>
      <c r="EN100" s="277"/>
      <c r="EO100" s="277"/>
      <c r="EP100" s="277"/>
      <c r="EQ100" s="277"/>
      <c r="ER100" s="5"/>
      <c r="ES100" s="5"/>
      <c r="ET100" s="273"/>
      <c r="EU100" s="273"/>
      <c r="EV100" s="273"/>
      <c r="EW100" s="273"/>
      <c r="EX100" s="273"/>
      <c r="EY100" s="273"/>
      <c r="EZ100" s="273"/>
      <c r="FA100" s="273"/>
      <c r="FB100" s="273"/>
      <c r="FC100" s="273"/>
      <c r="FD100" s="273"/>
      <c r="FE100" s="273"/>
      <c r="FF100" s="273"/>
      <c r="FG100" s="273"/>
      <c r="FH100" s="273"/>
      <c r="FI100" s="273"/>
      <c r="FJ100" s="273"/>
      <c r="FK100" s="273"/>
      <c r="FL100" s="273"/>
      <c r="FM100" s="273"/>
      <c r="FN100" s="273"/>
      <c r="FO100" s="273"/>
      <c r="FP100" s="273"/>
      <c r="FQ100" s="273"/>
      <c r="FR100" s="273"/>
      <c r="FS100" s="273"/>
      <c r="FT100" s="273"/>
      <c r="FU100" s="273"/>
      <c r="FV100" s="273"/>
      <c r="FW100" s="273"/>
      <c r="FX100" s="273"/>
      <c r="FY100" s="273"/>
      <c r="FZ100" s="273"/>
      <c r="GA100" s="273"/>
      <c r="GB100" s="273"/>
      <c r="GC100" s="273"/>
      <c r="GD100" s="273"/>
      <c r="GE100" s="273"/>
      <c r="GF100" s="277"/>
      <c r="GG100" s="277"/>
      <c r="GH100" s="277"/>
      <c r="GI100" s="277"/>
      <c r="GJ100" s="277"/>
      <c r="GK100" s="277"/>
      <c r="GL100" s="277"/>
      <c r="GM100" s="277"/>
      <c r="GN100" s="277"/>
      <c r="GO100" s="277"/>
      <c r="GP100" s="277"/>
      <c r="GQ100" s="277"/>
      <c r="GR100" s="277"/>
      <c r="GS100" s="277"/>
      <c r="GT100" s="277"/>
      <c r="GU100" s="277"/>
      <c r="GV100" s="277"/>
      <c r="GW100" s="277"/>
      <c r="GX100" s="5"/>
      <c r="GY100" s="5"/>
      <c r="GZ100" s="5"/>
      <c r="HA100" s="22"/>
      <c r="HB100" s="359"/>
      <c r="HC100" s="273"/>
      <c r="HD100" s="277"/>
      <c r="HE100" s="278" t="s">
        <v>74</v>
      </c>
      <c r="HF100" s="279"/>
      <c r="HG100" s="280">
        <f>SUM(HD99:IA99)/16</f>
      </c>
      <c r="HH100" s="279"/>
      <c r="HI100" s="277"/>
      <c r="HJ100" s="277"/>
      <c r="HK100" s="277"/>
      <c r="HL100" s="277"/>
      <c r="HM100" s="277"/>
      <c r="HN100" s="277"/>
      <c r="HO100" s="277"/>
      <c r="HP100" s="277"/>
      <c r="HQ100" s="277"/>
      <c r="HR100" s="277"/>
      <c r="HS100" s="277"/>
      <c r="HT100" s="277"/>
      <c r="HU100" s="277"/>
      <c r="HV100" s="277"/>
      <c r="HW100" s="277"/>
      <c r="HX100" s="277"/>
      <c r="HY100" s="277"/>
      <c r="HZ100" s="277"/>
      <c r="IA100" s="277"/>
      <c r="IB100" s="277"/>
      <c r="IC100" s="277"/>
      <c r="ID100" s="5"/>
      <c r="IE100" s="5"/>
      <c r="IF100" s="273"/>
      <c r="IG100" s="277"/>
      <c r="IH100" s="278" t="s">
        <v>74</v>
      </c>
      <c r="II100" s="279"/>
      <c r="IJ100" s="280">
        <f>SUM(IG99:JD99)/16</f>
      </c>
      <c r="IK100" s="279"/>
      <c r="IL100" s="277"/>
      <c r="IM100" s="277"/>
      <c r="IN100" s="277"/>
      <c r="IO100" s="277"/>
      <c r="IP100" s="277"/>
      <c r="IQ100" s="277"/>
      <c r="IR100" s="277"/>
      <c r="IS100" s="277"/>
      <c r="IT100" s="277"/>
      <c r="IU100" s="277"/>
      <c r="IV100" s="277"/>
      <c r="IW100" s="277"/>
      <c r="IX100" s="277"/>
      <c r="IY100" s="277"/>
      <c r="IZ100" s="277"/>
      <c r="JA100" s="277"/>
      <c r="JB100" s="277"/>
      <c r="JC100" s="277"/>
      <c r="JD100" s="277"/>
      <c r="JE100" s="277"/>
      <c r="JF100" s="277"/>
      <c r="JG100" s="28"/>
      <c r="JH100" s="28"/>
      <c r="JI100" s="273"/>
      <c r="JJ100" s="277"/>
      <c r="JK100" s="278" t="s">
        <v>74</v>
      </c>
      <c r="JL100" s="279"/>
      <c r="JM100" s="280">
        <f>SUM(JJ99:KG99)/16</f>
      </c>
      <c r="JN100" s="279"/>
      <c r="JO100" s="277"/>
      <c r="JP100" s="277"/>
      <c r="JQ100" s="277"/>
      <c r="JR100" s="277"/>
      <c r="JS100" s="277"/>
      <c r="JT100" s="277"/>
      <c r="JU100" s="277"/>
      <c r="JV100" s="277"/>
      <c r="JW100" s="277"/>
      <c r="JX100" s="277"/>
      <c r="JY100" s="277"/>
      <c r="JZ100" s="277"/>
      <c r="KA100" s="277"/>
      <c r="KB100" s="277"/>
      <c r="KC100" s="277"/>
      <c r="KD100" s="277"/>
      <c r="KE100" s="277"/>
      <c r="KF100" s="277"/>
      <c r="KG100" s="277"/>
      <c r="KH100" s="277"/>
      <c r="KI100" s="277"/>
      <c r="KJ100" s="5"/>
      <c r="KK100" s="5"/>
      <c r="KL100" s="273"/>
      <c r="KM100" s="277"/>
      <c r="KN100" s="278" t="s">
        <v>74</v>
      </c>
      <c r="KO100" s="279"/>
      <c r="KP100" s="280">
        <f>SUM(KM99:LJ99)/16</f>
      </c>
      <c r="KQ100" s="279"/>
      <c r="KR100" s="277"/>
      <c r="KS100" s="277"/>
      <c r="KT100" s="277"/>
      <c r="KU100" s="277"/>
      <c r="KV100" s="277"/>
      <c r="KW100" s="277"/>
      <c r="KX100" s="277"/>
      <c r="KY100" s="277"/>
      <c r="KZ100" s="277"/>
      <c r="LA100" s="277"/>
      <c r="LB100" s="277"/>
      <c r="LC100" s="277"/>
      <c r="LD100" s="277"/>
      <c r="LE100" s="277"/>
      <c r="LF100" s="277"/>
      <c r="LG100" s="277"/>
      <c r="LH100" s="277"/>
      <c r="LI100" s="277"/>
      <c r="LJ100" s="277"/>
      <c r="LK100" s="277"/>
      <c r="LL100" s="277"/>
      <c r="LM100" s="5"/>
      <c r="LN100" s="5"/>
      <c r="LO100" s="273"/>
      <c r="LP100" s="277"/>
      <c r="LQ100" s="278" t="s">
        <v>74</v>
      </c>
      <c r="LR100" s="279"/>
      <c r="LS100" s="280">
        <f>SUM(LP99:MM99)/16</f>
      </c>
      <c r="LT100" s="279"/>
      <c r="LU100" s="277"/>
      <c r="LV100" s="277"/>
      <c r="LW100" s="277"/>
      <c r="LX100" s="277"/>
      <c r="LY100" s="277"/>
      <c r="LZ100" s="277"/>
      <c r="MA100" s="277"/>
      <c r="MB100" s="277"/>
      <c r="MC100" s="277"/>
      <c r="MD100" s="277"/>
      <c r="ME100" s="277"/>
      <c r="MF100" s="277"/>
      <c r="MG100" s="277"/>
      <c r="MH100" s="277"/>
      <c r="MI100" s="277"/>
      <c r="MJ100" s="277"/>
      <c r="MK100" s="277"/>
      <c r="ML100" s="277"/>
      <c r="MM100" s="277"/>
      <c r="MN100" s="277"/>
      <c r="MO100" s="277"/>
      <c r="MP100" s="5"/>
      <c r="MQ100" s="5"/>
      <c r="MR100" s="273"/>
      <c r="MS100" s="273"/>
      <c r="MT100" s="273"/>
      <c r="MU100" s="273"/>
      <c r="MV100" s="273"/>
      <c r="MW100" s="273"/>
      <c r="MX100" s="273"/>
      <c r="MY100" s="273"/>
      <c r="MZ100" s="273"/>
      <c r="NA100" s="273"/>
      <c r="NB100" s="273"/>
      <c r="NC100" s="273"/>
      <c r="ND100" s="273"/>
      <c r="NE100" s="273"/>
      <c r="NF100" s="273"/>
      <c r="NG100" s="273"/>
      <c r="NH100" s="273"/>
      <c r="NI100" s="273"/>
      <c r="NJ100" s="273"/>
      <c r="NK100" s="273"/>
      <c r="NL100" s="273"/>
      <c r="NM100" s="273"/>
      <c r="NN100" s="273"/>
      <c r="NO100" s="273"/>
      <c r="NP100" s="273"/>
      <c r="NQ100" s="273"/>
      <c r="NR100" s="273"/>
      <c r="NS100" s="273"/>
      <c r="NT100" s="273"/>
      <c r="NU100" s="273"/>
      <c r="NV100" s="273"/>
      <c r="NW100" s="273"/>
      <c r="NX100" s="273"/>
      <c r="NY100" s="273"/>
      <c r="NZ100" s="273"/>
      <c r="OA100" s="273"/>
      <c r="OB100" s="273"/>
      <c r="OC100" s="273"/>
      <c r="OD100" s="277"/>
      <c r="OE100" s="277"/>
      <c r="OF100" s="277"/>
      <c r="OG100" s="277"/>
      <c r="OH100" s="277"/>
      <c r="OI100" s="277"/>
      <c r="OJ100" s="277"/>
      <c r="OK100" s="277"/>
      <c r="OL100" s="277"/>
      <c r="OM100" s="277"/>
      <c r="ON100" s="277"/>
      <c r="OO100" s="277"/>
      <c r="OP100" s="277"/>
      <c r="OQ100" s="277"/>
      <c r="OR100" s="277"/>
      <c r="OS100" s="277"/>
      <c r="OT100" s="277"/>
      <c r="OU100" s="277"/>
      <c r="OV100" s="5"/>
      <c r="OW100" s="5"/>
      <c r="OX100" s="5"/>
      <c r="OY100" s="22"/>
      <c r="OZ100" s="359"/>
      <c r="PA100" s="273"/>
      <c r="PB100" s="277"/>
      <c r="PC100" s="278" t="s">
        <v>74</v>
      </c>
      <c r="PD100" s="279"/>
      <c r="PE100" s="280">
        <f>SUM(PB99:PY99)/16</f>
      </c>
      <c r="PF100" s="279"/>
      <c r="PG100" s="277"/>
      <c r="PH100" s="277"/>
      <c r="PI100" s="277"/>
      <c r="PJ100" s="277"/>
      <c r="PK100" s="277"/>
      <c r="PL100" s="277"/>
      <c r="PM100" s="277"/>
      <c r="PN100" s="277"/>
      <c r="PO100" s="277"/>
      <c r="PP100" s="277"/>
      <c r="PQ100" s="277"/>
      <c r="PR100" s="277"/>
      <c r="PS100" s="277"/>
      <c r="PT100" s="277"/>
      <c r="PU100" s="277"/>
      <c r="PV100" s="277"/>
      <c r="PW100" s="277"/>
      <c r="PX100" s="277"/>
      <c r="PY100" s="277"/>
      <c r="PZ100" s="277"/>
      <c r="QA100" s="277"/>
      <c r="QB100" s="5"/>
      <c r="QC100" s="5"/>
      <c r="QD100" s="273"/>
      <c r="QE100" s="277"/>
      <c r="QF100" s="278" t="s">
        <v>74</v>
      </c>
      <c r="QG100" s="279"/>
      <c r="QH100" s="280">
        <f>SUM(QE99:RB99)/16</f>
      </c>
      <c r="QI100" s="279"/>
      <c r="QJ100" s="277"/>
      <c r="QK100" s="277"/>
      <c r="QL100" s="277"/>
      <c r="QM100" s="277"/>
      <c r="QN100" s="277"/>
      <c r="QO100" s="277"/>
      <c r="QP100" s="277"/>
      <c r="QQ100" s="277"/>
      <c r="QR100" s="277"/>
      <c r="QS100" s="277"/>
      <c r="QT100" s="277"/>
      <c r="QU100" s="277"/>
      <c r="QV100" s="277"/>
      <c r="QW100" s="277"/>
      <c r="QX100" s="277"/>
      <c r="QY100" s="277"/>
      <c r="QZ100" s="277"/>
      <c r="RA100" s="277"/>
      <c r="RB100" s="277"/>
      <c r="RC100" s="277"/>
      <c r="RD100" s="277"/>
      <c r="RE100" s="28"/>
      <c r="RF100" s="28"/>
      <c r="RG100" s="273"/>
      <c r="RH100" s="277"/>
      <c r="RI100" s="278" t="s">
        <v>74</v>
      </c>
      <c r="RJ100" s="279"/>
      <c r="RK100" s="280">
        <f>SUM(RH99:SE99)/16</f>
      </c>
      <c r="RL100" s="279"/>
      <c r="RM100" s="277"/>
      <c r="RN100" s="277"/>
      <c r="RO100" s="277"/>
      <c r="RP100" s="277"/>
      <c r="RQ100" s="277"/>
      <c r="RR100" s="277"/>
      <c r="RS100" s="277"/>
      <c r="RT100" s="277"/>
      <c r="RU100" s="277"/>
      <c r="RV100" s="277"/>
      <c r="RW100" s="277"/>
      <c r="RX100" s="277"/>
      <c r="RY100" s="277"/>
      <c r="RZ100" s="277"/>
      <c r="SA100" s="277"/>
      <c r="SB100" s="277"/>
      <c r="SC100" s="277"/>
      <c r="SD100" s="277"/>
      <c r="SE100" s="277"/>
      <c r="SF100" s="277"/>
      <c r="SG100" s="277"/>
      <c r="SH100" s="5"/>
      <c r="SI100" s="5"/>
      <c r="SJ100" s="273"/>
      <c r="SK100" s="277"/>
      <c r="SL100" s="278" t="s">
        <v>74</v>
      </c>
      <c r="SM100" s="279"/>
      <c r="SN100" s="280">
        <f>SUM(SK99:TH99)/16</f>
      </c>
      <c r="SO100" s="279"/>
      <c r="SP100" s="277"/>
      <c r="SQ100" s="277"/>
      <c r="SR100" s="277"/>
      <c r="SS100" s="277"/>
      <c r="ST100" s="277"/>
      <c r="SU100" s="277"/>
      <c r="SV100" s="277"/>
      <c r="SW100" s="277"/>
      <c r="SX100" s="277"/>
      <c r="SY100" s="277"/>
      <c r="SZ100" s="277"/>
      <c r="TA100" s="277"/>
      <c r="TB100" s="277"/>
      <c r="TC100" s="277"/>
      <c r="TD100" s="277"/>
      <c r="TE100" s="277"/>
      <c r="TF100" s="277"/>
      <c r="TG100" s="277"/>
      <c r="TH100" s="277"/>
      <c r="TI100" s="277"/>
      <c r="TJ100" s="277"/>
      <c r="TK100" s="5"/>
      <c r="TL100" s="5"/>
      <c r="TM100" s="273"/>
      <c r="TN100" s="277"/>
      <c r="TO100" s="278" t="s">
        <v>74</v>
      </c>
      <c r="TP100" s="279"/>
      <c r="TQ100" s="280">
        <f>SUM(TN99:UK99)/16</f>
      </c>
      <c r="TR100" s="279"/>
      <c r="TS100" s="277"/>
      <c r="TT100" s="277"/>
      <c r="TU100" s="277"/>
      <c r="TV100" s="277"/>
      <c r="TW100" s="277"/>
      <c r="TX100" s="277"/>
      <c r="TY100" s="277"/>
      <c r="TZ100" s="277"/>
      <c r="UA100" s="277"/>
      <c r="UB100" s="277"/>
      <c r="UC100" s="277"/>
      <c r="UD100" s="277"/>
      <c r="UE100" s="277"/>
      <c r="UF100" s="277"/>
      <c r="UG100" s="277"/>
      <c r="UH100" s="277"/>
      <c r="UI100" s="277"/>
      <c r="UJ100" s="277"/>
      <c r="UK100" s="277"/>
      <c r="UL100" s="277"/>
      <c r="UM100" s="277"/>
      <c r="UN100" s="5"/>
      <c r="UO100" s="5"/>
      <c r="UP100" s="273"/>
      <c r="UQ100" s="273"/>
      <c r="UR100" s="273"/>
      <c r="US100" s="273"/>
      <c r="UT100" s="273"/>
      <c r="UU100" s="273"/>
      <c r="UV100" s="273"/>
      <c r="UW100" s="273"/>
      <c r="UX100" s="273"/>
      <c r="UY100" s="273"/>
      <c r="UZ100" s="273"/>
      <c r="VA100" s="273"/>
      <c r="VB100" s="273"/>
      <c r="VC100" s="273"/>
      <c r="VD100" s="273"/>
      <c r="VE100" s="273"/>
      <c r="VF100" s="273"/>
      <c r="VG100" s="273"/>
      <c r="VH100" s="273"/>
      <c r="VI100" s="273"/>
      <c r="VJ100" s="273"/>
      <c r="VK100" s="273"/>
      <c r="VL100" s="273"/>
      <c r="VM100" s="273"/>
      <c r="VN100" s="273"/>
      <c r="VO100" s="273"/>
      <c r="VP100" s="273"/>
      <c r="VQ100" s="273"/>
      <c r="VR100" s="273"/>
      <c r="VS100" s="273"/>
      <c r="VT100" s="273"/>
      <c r="VU100" s="273"/>
      <c r="VV100" s="273"/>
      <c r="VW100" s="273"/>
      <c r="VX100" s="273"/>
      <c r="VY100" s="273"/>
      <c r="VZ100" s="273"/>
      <c r="WA100" s="273"/>
      <c r="WB100" s="277"/>
      <c r="WC100" s="277"/>
      <c r="WD100" s="277"/>
      <c r="WE100" s="277"/>
      <c r="WF100" s="277"/>
      <c r="WG100" s="277"/>
      <c r="WH100" s="277"/>
      <c r="WI100" s="277"/>
      <c r="WJ100" s="277"/>
      <c r="WK100" s="277"/>
      <c r="WL100" s="277"/>
      <c r="WM100" s="277"/>
      <c r="WN100" s="277"/>
      <c r="WO100" s="277"/>
      <c r="WP100" s="277"/>
      <c r="WQ100" s="277"/>
      <c r="WR100" s="277"/>
      <c r="WS100" s="277"/>
      <c r="WT100" s="5"/>
      <c r="WU100" s="5"/>
      <c r="WV100" s="5"/>
      <c r="WW100" s="22"/>
      <c r="WX100" s="359"/>
      <c r="WY100" s="273"/>
      <c r="WZ100" s="277"/>
      <c r="XA100" s="278" t="s">
        <v>74</v>
      </c>
      <c r="XB100" s="279"/>
      <c r="XC100" s="280">
        <f>SUM(WZ99:XW99)/16</f>
      </c>
      <c r="XD100" s="279"/>
      <c r="XE100" s="277"/>
      <c r="XF100" s="277"/>
      <c r="XG100" s="277"/>
      <c r="XH100" s="277"/>
      <c r="XI100" s="277"/>
      <c r="XJ100" s="277"/>
      <c r="XK100" s="277"/>
      <c r="XL100" s="277"/>
      <c r="XM100" s="277"/>
      <c r="XN100" s="277"/>
      <c r="XO100" s="277"/>
      <c r="XP100" s="277"/>
      <c r="XQ100" s="277"/>
      <c r="XR100" s="277"/>
      <c r="XS100" s="277"/>
      <c r="XT100" s="277"/>
      <c r="XU100" s="277"/>
      <c r="XV100" s="277"/>
      <c r="XW100" s="277"/>
      <c r="XX100" s="277"/>
      <c r="XY100" s="277"/>
      <c r="XZ100" s="5"/>
      <c r="YA100" s="5"/>
      <c r="YB100" s="273"/>
      <c r="YC100" s="277"/>
      <c r="YD100" s="278" t="s">
        <v>74</v>
      </c>
      <c r="YE100" s="279"/>
      <c r="YF100" s="280">
        <f>SUM(YC99:YZ99)/16</f>
      </c>
      <c r="YG100" s="279"/>
      <c r="YH100" s="277"/>
      <c r="YI100" s="277"/>
      <c r="YJ100" s="277"/>
      <c r="YK100" s="277"/>
      <c r="YL100" s="277"/>
      <c r="YM100" s="277"/>
      <c r="YN100" s="277"/>
      <c r="YO100" s="277"/>
      <c r="YP100" s="277"/>
      <c r="YQ100" s="277"/>
      <c r="YR100" s="277"/>
      <c r="YS100" s="277"/>
      <c r="YT100" s="277"/>
      <c r="YU100" s="277"/>
      <c r="YV100" s="277"/>
      <c r="YW100" s="277"/>
      <c r="YX100" s="277"/>
      <c r="YY100" s="277"/>
      <c r="YZ100" s="277"/>
      <c r="ZA100" s="277"/>
      <c r="ZB100" s="277"/>
      <c r="ZC100" s="28"/>
      <c r="ZD100" s="28"/>
      <c r="ZE100" s="273"/>
      <c r="ZF100" s="277"/>
      <c r="ZG100" s="278" t="s">
        <v>74</v>
      </c>
      <c r="ZH100" s="279"/>
      <c r="ZI100" s="280">
        <f>SUM(ZF99:AAC99)/16</f>
      </c>
      <c r="ZJ100" s="279"/>
      <c r="ZK100" s="277"/>
      <c r="ZL100" s="277"/>
      <c r="ZM100" s="277"/>
      <c r="ZN100" s="277"/>
      <c r="ZO100" s="277"/>
      <c r="ZP100" s="277"/>
      <c r="ZQ100" s="277"/>
      <c r="ZR100" s="277"/>
      <c r="ZS100" s="277"/>
      <c r="ZT100" s="277"/>
      <c r="ZU100" s="277"/>
      <c r="ZV100" s="277"/>
      <c r="ZW100" s="277"/>
      <c r="ZX100" s="277"/>
      <c r="ZY100" s="277"/>
      <c r="ZZ100" s="277"/>
      <c r="AAA100" s="277"/>
      <c r="AAB100" s="277"/>
      <c r="AAC100" s="277"/>
      <c r="AAD100" s="277"/>
      <c r="AAE100" s="277"/>
      <c r="AAF100" s="5"/>
      <c r="AAG100" s="5"/>
      <c r="AAH100" s="273"/>
      <c r="AAI100" s="277"/>
      <c r="AAJ100" s="278" t="s">
        <v>74</v>
      </c>
      <c r="AAK100" s="279"/>
      <c r="AAL100" s="280">
        <f>SUM(AAI99:ABF99)/16</f>
      </c>
      <c r="AAM100" s="279"/>
      <c r="AAN100" s="277"/>
      <c r="AAO100" s="277"/>
      <c r="AAP100" s="277"/>
      <c r="AAQ100" s="277"/>
      <c r="AAR100" s="277"/>
      <c r="AAS100" s="277"/>
      <c r="AAT100" s="277"/>
      <c r="AAU100" s="277"/>
      <c r="AAV100" s="277"/>
      <c r="AAW100" s="277"/>
      <c r="AAX100" s="277"/>
      <c r="AAY100" s="277"/>
      <c r="AAZ100" s="277"/>
      <c r="ABA100" s="277"/>
      <c r="ABB100" s="277"/>
      <c r="ABC100" s="277"/>
      <c r="ABD100" s="277"/>
      <c r="ABE100" s="277"/>
      <c r="ABF100" s="277"/>
      <c r="ABG100" s="277"/>
      <c r="ABH100" s="277"/>
      <c r="ABI100" s="5"/>
      <c r="ABJ100" s="5"/>
      <c r="ABK100" s="273"/>
      <c r="ABL100" s="277"/>
      <c r="ABM100" s="278" t="s">
        <v>74</v>
      </c>
      <c r="ABN100" s="279"/>
      <c r="ABO100" s="280">
        <f>SUM(ABL99:ACI99)/16</f>
      </c>
      <c r="ABP100" s="279"/>
      <c r="ABQ100" s="277"/>
      <c r="ABR100" s="277"/>
      <c r="ABS100" s="277"/>
      <c r="ABT100" s="277"/>
      <c r="ABU100" s="277"/>
      <c r="ABV100" s="277"/>
      <c r="ABW100" s="277"/>
      <c r="ABX100" s="277"/>
      <c r="ABY100" s="277"/>
      <c r="ABZ100" s="277"/>
      <c r="ACA100" s="277"/>
      <c r="ACB100" s="277"/>
      <c r="ACC100" s="277"/>
      <c r="ACD100" s="277"/>
      <c r="ACE100" s="277"/>
      <c r="ACF100" s="277"/>
      <c r="ACG100" s="277"/>
      <c r="ACH100" s="277"/>
      <c r="ACI100" s="277"/>
      <c r="ACJ100" s="277"/>
      <c r="ACK100" s="277"/>
      <c r="ACL100" s="5"/>
      <c r="ACM100" s="5"/>
      <c r="ACN100" s="273"/>
      <c r="ACO100" s="273"/>
      <c r="ACP100" s="273"/>
      <c r="ACQ100" s="273"/>
      <c r="ACR100" s="273"/>
      <c r="ACS100" s="273"/>
      <c r="ACT100" s="273"/>
      <c r="ACU100" s="273"/>
      <c r="ACV100" s="273"/>
      <c r="ACW100" s="273"/>
      <c r="ACX100" s="273"/>
      <c r="ACY100" s="273"/>
      <c r="ACZ100" s="273"/>
      <c r="ADA100" s="273"/>
      <c r="ADB100" s="273"/>
      <c r="ADC100" s="273"/>
      <c r="ADD100" s="273"/>
      <c r="ADE100" s="273"/>
      <c r="ADF100" s="273"/>
      <c r="ADG100" s="273"/>
      <c r="ADH100" s="273"/>
      <c r="ADI100" s="273"/>
      <c r="ADJ100" s="273"/>
      <c r="ADK100" s="273"/>
      <c r="ADL100" s="273"/>
      <c r="ADM100" s="273"/>
      <c r="ADN100" s="273"/>
      <c r="ADO100" s="273"/>
      <c r="ADP100" s="273"/>
      <c r="ADQ100" s="273"/>
      <c r="ADR100" s="273"/>
      <c r="ADS100" s="273"/>
      <c r="ADT100" s="273"/>
      <c r="ADU100" s="273"/>
      <c r="ADV100" s="273"/>
      <c r="ADW100" s="273"/>
      <c r="ADX100" s="273"/>
      <c r="ADY100" s="273"/>
      <c r="ADZ100" s="277"/>
      <c r="AEA100" s="277"/>
      <c r="AEB100" s="277"/>
      <c r="AEC100" s="277"/>
      <c r="AED100" s="277"/>
      <c r="AEE100" s="277"/>
      <c r="AEF100" s="277"/>
      <c r="AEG100" s="277"/>
      <c r="AEH100" s="277"/>
      <c r="AEI100" s="277"/>
      <c r="AEJ100" s="277"/>
      <c r="AEK100" s="277"/>
      <c r="AEL100" s="277"/>
      <c r="AEM100" s="277"/>
      <c r="AEN100" s="277"/>
      <c r="AEO100" s="277"/>
      <c r="AEP100" s="277"/>
      <c r="AEQ100" s="277"/>
      <c r="AER100" s="5"/>
      <c r="AES100" s="5"/>
      <c r="AET100" s="5"/>
      <c r="AEU100" s="22"/>
      <c r="AEV100" s="359"/>
      <c r="AEW100" s="273"/>
      <c r="AEX100" s="277"/>
      <c r="AEY100" s="278" t="s">
        <v>74</v>
      </c>
      <c r="AEZ100" s="279"/>
      <c r="AFA100" s="280">
        <f>SUM(AEX99:AFU99)/16</f>
      </c>
      <c r="AFB100" s="279"/>
      <c r="AFC100" s="277"/>
      <c r="AFD100" s="277"/>
      <c r="AFE100" s="277"/>
      <c r="AFF100" s="277"/>
      <c r="AFG100" s="277"/>
      <c r="AFH100" s="277"/>
      <c r="AFI100" s="277"/>
      <c r="AFJ100" s="277"/>
      <c r="AFK100" s="277"/>
      <c r="AFL100" s="277"/>
      <c r="AFM100" s="277"/>
      <c r="AFN100" s="277"/>
      <c r="AFO100" s="277"/>
      <c r="AFP100" s="277"/>
      <c r="AFQ100" s="277"/>
      <c r="AFR100" s="277"/>
      <c r="AFS100" s="277"/>
      <c r="AFT100" s="277"/>
      <c r="AFU100" s="277"/>
      <c r="AFV100" s="277"/>
      <c r="AFW100" s="277"/>
      <c r="AFX100" s="5"/>
      <c r="AFY100" s="5"/>
      <c r="AFZ100" s="273"/>
      <c r="AGA100" s="277"/>
      <c r="AGB100" s="278" t="s">
        <v>74</v>
      </c>
      <c r="AGC100" s="279"/>
      <c r="AGD100" s="280">
        <f>SUM(AGA99:AGX99)/16</f>
      </c>
      <c r="AGE100" s="279"/>
      <c r="AGF100" s="277"/>
      <c r="AGG100" s="277"/>
      <c r="AGH100" s="277"/>
      <c r="AGI100" s="277"/>
      <c r="AGJ100" s="277"/>
      <c r="AGK100" s="277"/>
      <c r="AGL100" s="277"/>
      <c r="AGM100" s="277"/>
      <c r="AGN100" s="277"/>
      <c r="AGO100" s="277"/>
      <c r="AGP100" s="277"/>
      <c r="AGQ100" s="277"/>
      <c r="AGR100" s="277"/>
      <c r="AGS100" s="277"/>
      <c r="AGT100" s="277"/>
      <c r="AGU100" s="277"/>
      <c r="AGV100" s="277"/>
      <c r="AGW100" s="277"/>
      <c r="AGX100" s="277"/>
      <c r="AGY100" s="277"/>
      <c r="AGZ100" s="277"/>
      <c r="AHA100" s="28"/>
      <c r="AHB100" s="28"/>
      <c r="AHC100" s="273"/>
      <c r="AHD100" s="277"/>
      <c r="AHE100" s="278" t="s">
        <v>74</v>
      </c>
      <c r="AHF100" s="279"/>
      <c r="AHG100" s="280">
        <f>SUM(AHD99:AIA99)/16</f>
      </c>
      <c r="AHH100" s="279"/>
      <c r="AHI100" s="277"/>
      <c r="AHJ100" s="277"/>
      <c r="AHK100" s="277"/>
      <c r="AHL100" s="277"/>
      <c r="AHM100" s="277"/>
      <c r="AHN100" s="277"/>
      <c r="AHO100" s="277"/>
      <c r="AHP100" s="277"/>
      <c r="AHQ100" s="277"/>
      <c r="AHR100" s="277"/>
      <c r="AHS100" s="277"/>
      <c r="AHT100" s="277"/>
      <c r="AHU100" s="277"/>
      <c r="AHV100" s="277"/>
      <c r="AHW100" s="277"/>
      <c r="AHX100" s="277"/>
      <c r="AHY100" s="277"/>
      <c r="AHZ100" s="277"/>
      <c r="AIA100" s="277"/>
      <c r="AIB100" s="277"/>
      <c r="AIC100" s="277"/>
      <c r="AID100" s="5"/>
      <c r="AIE100" s="5"/>
      <c r="AIF100" s="273"/>
      <c r="AIG100" s="277"/>
      <c r="AIH100" s="278" t="s">
        <v>74</v>
      </c>
      <c r="AII100" s="279"/>
      <c r="AIJ100" s="280">
        <f>SUM(AIG99:AJD99)/16</f>
      </c>
      <c r="AIK100" s="279"/>
      <c r="AIL100" s="277"/>
      <c r="AIM100" s="277"/>
      <c r="AIN100" s="277"/>
      <c r="AIO100" s="277"/>
      <c r="AIP100" s="277"/>
      <c r="AIQ100" s="277"/>
      <c r="AIR100" s="277"/>
      <c r="AIS100" s="277"/>
      <c r="AIT100" s="277"/>
      <c r="AIU100" s="277"/>
      <c r="AIV100" s="277"/>
      <c r="AIW100" s="277"/>
      <c r="AIX100" s="277"/>
      <c r="AIY100" s="277"/>
      <c r="AIZ100" s="277"/>
      <c r="AJA100" s="277"/>
      <c r="AJB100" s="277"/>
      <c r="AJC100" s="277"/>
      <c r="AJD100" s="277"/>
      <c r="AJE100" s="277"/>
      <c r="AJF100" s="277"/>
      <c r="AJG100" s="5"/>
      <c r="AJH100" s="5"/>
      <c r="AJI100" s="273"/>
      <c r="AJJ100" s="277"/>
      <c r="AJK100" s="278" t="s">
        <v>74</v>
      </c>
      <c r="AJL100" s="279"/>
      <c r="AJM100" s="280">
        <f>SUM(AJJ99:AKG99)/16</f>
      </c>
      <c r="AJN100" s="279"/>
      <c r="AJO100" s="277"/>
      <c r="AJP100" s="277"/>
      <c r="AJQ100" s="277"/>
      <c r="AJR100" s="277"/>
      <c r="AJS100" s="277"/>
      <c r="AJT100" s="277"/>
      <c r="AJU100" s="277"/>
      <c r="AJV100" s="277"/>
      <c r="AJW100" s="277"/>
      <c r="AJX100" s="277"/>
      <c r="AJY100" s="277"/>
      <c r="AJZ100" s="277"/>
      <c r="AKA100" s="277"/>
      <c r="AKB100" s="277"/>
      <c r="AKC100" s="277"/>
      <c r="AKD100" s="277"/>
      <c r="AKE100" s="277"/>
      <c r="AKF100" s="277"/>
      <c r="AKG100" s="277"/>
      <c r="AKH100" s="277"/>
      <c r="AKI100" s="277"/>
      <c r="AKJ100" s="5"/>
      <c r="AKK100" s="5"/>
      <c r="AKL100" s="273"/>
      <c r="AKM100" s="273"/>
      <c r="AKN100" s="273"/>
      <c r="AKO100" s="273"/>
      <c r="AKP100" s="273"/>
      <c r="AKQ100" s="273"/>
      <c r="AKR100" s="273"/>
      <c r="AKS100" s="273"/>
      <c r="AKT100" s="273"/>
      <c r="AKU100" s="273"/>
      <c r="AKV100" s="273"/>
      <c r="AKW100" s="273"/>
      <c r="AKX100" s="273"/>
      <c r="AKY100" s="273"/>
      <c r="AKZ100" s="273"/>
      <c r="ALA100" s="273"/>
      <c r="ALB100" s="273"/>
      <c r="ALC100" s="273"/>
      <c r="ALD100" s="273"/>
      <c r="ALE100" s="273"/>
      <c r="ALF100" s="273"/>
      <c r="ALG100" s="273"/>
      <c r="ALH100" s="273"/>
      <c r="ALI100" s="273"/>
      <c r="ALJ100" s="273"/>
      <c r="ALK100" s="273"/>
      <c r="ALL100" s="273"/>
      <c r="ALM100" s="273"/>
      <c r="ALN100" s="273"/>
      <c r="ALO100" s="273"/>
      <c r="ALP100" s="273"/>
      <c r="ALQ100" s="273"/>
      <c r="ALR100" s="273"/>
      <c r="ALS100" s="273"/>
      <c r="ALT100" s="273"/>
      <c r="ALU100" s="273"/>
      <c r="ALV100" s="273"/>
      <c r="ALW100" s="273"/>
      <c r="ALX100" s="277"/>
      <c r="ALY100" s="277"/>
      <c r="ALZ100" s="277"/>
      <c r="AMA100" s="277"/>
      <c r="AMB100" s="277"/>
      <c r="AMC100" s="277"/>
      <c r="AMD100" s="277"/>
      <c r="AME100" s="277"/>
      <c r="AMF100" s="277"/>
      <c r="AMG100" s="277"/>
      <c r="AMH100" s="277"/>
      <c r="AMI100" s="277"/>
      <c r="AMJ100" s="277"/>
      <c r="AMK100" s="277"/>
      <c r="AML100" s="277"/>
      <c r="AMM100" s="277"/>
      <c r="AMN100" s="277"/>
      <c r="AMO100" s="277"/>
      <c r="AMP100" s="5"/>
      <c r="AMQ100" s="5"/>
      <c r="AMR100" s="5"/>
      <c r="AMS100" s="22"/>
      <c r="AMT100" s="4"/>
      <c r="AMU100" s="4"/>
      <c r="AMV100" s="4"/>
      <c r="AMW100" s="4"/>
      <c r="AMX100" s="4"/>
      <c r="AMY100" s="4"/>
      <c r="AMZ100" s="4"/>
      <c r="ANA100" s="4"/>
      <c r="ANB100" s="4"/>
      <c r="ANC100" s="4"/>
      <c r="AND100" s="4"/>
      <c r="ANE100" s="4"/>
      <c r="ANF100" s="4"/>
      <c r="ANG100" s="4"/>
      <c r="ANH100" s="4"/>
      <c r="ANI100" s="4"/>
      <c r="ANJ100" s="4"/>
      <c r="ANK100" s="4"/>
      <c r="ANL100" s="4"/>
      <c r="ANM100" s="4"/>
      <c r="ANN100" s="4"/>
      <c r="ANO100" s="4"/>
      <c r="ANP100" s="4"/>
      <c r="ANQ100" s="4"/>
      <c r="ANR100" s="4"/>
      <c r="ANS100" s="4"/>
      <c r="ANT100" s="4"/>
      <c r="ANU100" s="4"/>
      <c r="ANV100" s="4"/>
      <c r="ANW100" s="4"/>
      <c r="ANX100" s="4"/>
      <c r="ANY100" s="4"/>
      <c r="ANZ100" s="4"/>
      <c r="AOA100" s="4"/>
      <c r="AOB100" s="4"/>
      <c r="AOC100" s="4"/>
      <c r="AOD100" s="4"/>
      <c r="AOE100" s="4"/>
      <c r="AOF100" s="4"/>
      <c r="AOG100" s="4"/>
      <c r="AOH100" s="4"/>
      <c r="AOI100" s="4"/>
      <c r="AOJ100" s="4"/>
      <c r="AOK100" s="4"/>
      <c r="AOL100" s="4"/>
      <c r="AOM100" s="4"/>
      <c r="AON100" s="4"/>
      <c r="AOO100" s="4"/>
      <c r="AOP100" s="4"/>
      <c r="AOQ100" s="4"/>
      <c r="AOR100" s="4"/>
      <c r="AOS100" s="4"/>
      <c r="AOT100" s="4"/>
      <c r="AOU100" s="4"/>
      <c r="AOV100" s="4"/>
      <c r="AOW100" s="4"/>
      <c r="AOX100" s="4"/>
      <c r="AOY100" s="4"/>
      <c r="AOZ100" s="4"/>
      <c r="APA100" s="4"/>
      <c r="APB100" s="4"/>
      <c r="APC100" s="4"/>
      <c r="APD100" s="4"/>
      <c r="APE100" s="4"/>
      <c r="APF100" s="4"/>
      <c r="APG100" s="4"/>
      <c r="APH100" s="4"/>
      <c r="API100" s="4"/>
      <c r="APJ100" s="4"/>
      <c r="APK100" s="4"/>
      <c r="APL100" s="4"/>
      <c r="APM100" s="4"/>
      <c r="APN100" s="4"/>
      <c r="APO100" s="4"/>
      <c r="APP100" s="4"/>
      <c r="APQ100" s="4"/>
      <c r="APR100" s="4"/>
      <c r="APS100" s="4"/>
      <c r="APT100" s="4"/>
      <c r="APU100" s="4"/>
      <c r="APV100" s="4"/>
      <c r="APW100" s="4"/>
      <c r="APX100" s="4"/>
      <c r="APY100" s="4"/>
      <c r="APZ100" s="4"/>
      <c r="AQA100" s="4"/>
      <c r="AQB100" s="4"/>
      <c r="AQC100" s="4"/>
      <c r="AQD100" s="4"/>
      <c r="AQE100" s="4"/>
      <c r="AQF100" s="4"/>
      <c r="AQG100" s="4"/>
      <c r="AQH100" s="4"/>
      <c r="AQI100" s="4"/>
      <c r="AQJ100" s="4"/>
      <c r="AQK100" s="4"/>
      <c r="AQL100" s="4"/>
      <c r="AQM100" s="4"/>
      <c r="AQN100" s="4"/>
      <c r="AQO100" s="4"/>
      <c r="AQP100" s="4"/>
      <c r="AQQ100" s="4"/>
      <c r="AQR100" s="4"/>
      <c r="AQS100" s="4"/>
      <c r="AQT100" s="4"/>
      <c r="AQU100" s="4"/>
      <c r="AQV100" s="4"/>
      <c r="AQW100" s="4"/>
      <c r="AQX100" s="4"/>
      <c r="AQY100" s="4"/>
      <c r="AQZ100" s="4"/>
      <c r="ARA100" s="4"/>
      <c r="ARB100" s="4"/>
      <c r="ARC100" s="4"/>
      <c r="ARD100" s="4"/>
      <c r="ARE100" s="4"/>
      <c r="ARF100" s="4"/>
      <c r="ARG100" s="4"/>
      <c r="ARH100" s="4"/>
      <c r="ARI100" s="4"/>
      <c r="ARJ100" s="4"/>
      <c r="ARK100" s="4"/>
      <c r="ARL100" s="4"/>
      <c r="ARM100" s="4"/>
      <c r="ARN100" s="4"/>
      <c r="ARO100" s="4"/>
      <c r="ARP100" s="4"/>
      <c r="ARQ100" s="4"/>
      <c r="ARR100" s="4"/>
      <c r="ARS100" s="4"/>
      <c r="ART100" s="4"/>
      <c r="ARU100" s="4"/>
      <c r="ARV100" s="4"/>
      <c r="ARW100" s="4"/>
      <c r="ARX100" s="4"/>
      <c r="ARY100" s="4"/>
      <c r="ARZ100" s="4"/>
      <c r="ASA100" s="4"/>
      <c r="ASB100" s="4"/>
      <c r="ASC100" s="4"/>
      <c r="ASD100" s="4"/>
      <c r="ASE100" s="4"/>
      <c r="ASF100" s="4"/>
      <c r="ASG100" s="4"/>
      <c r="ASH100" s="4"/>
      <c r="ASI100" s="4"/>
      <c r="ASJ100" s="4"/>
      <c r="ASK100" s="4"/>
      <c r="ASL100" s="4"/>
      <c r="ASM100" s="4"/>
      <c r="ASN100" s="4"/>
      <c r="ASO100" s="4"/>
      <c r="ASP100" s="4"/>
      <c r="ASQ100" s="4"/>
      <c r="ASR100" s="4"/>
      <c r="ASS100" s="4"/>
      <c r="AST100" s="4"/>
      <c r="ASU100" s="4"/>
    </row>
    <row r="101" spans="1:119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  <c r="UG101" s="4"/>
      <c r="UH101" s="4"/>
      <c r="UI101" s="4"/>
      <c r="UJ101" s="4"/>
      <c r="UK101" s="4"/>
      <c r="UL101" s="4"/>
      <c r="UM101" s="4"/>
      <c r="UN101" s="4"/>
      <c r="UO101" s="4"/>
      <c r="UP101" s="4"/>
      <c r="UQ101" s="4"/>
      <c r="UR101" s="4"/>
      <c r="US101" s="4"/>
      <c r="UT101" s="4"/>
      <c r="UU101" s="4"/>
      <c r="UV101" s="4"/>
      <c r="UW101" s="4"/>
      <c r="UX101" s="4"/>
      <c r="UY101" s="4"/>
      <c r="UZ101" s="4"/>
      <c r="VA101" s="4"/>
      <c r="VB101" s="4"/>
      <c r="VC101" s="4"/>
      <c r="VD101" s="4"/>
      <c r="VE101" s="4"/>
      <c r="VF101" s="4"/>
      <c r="VG101" s="4"/>
      <c r="VH101" s="4"/>
      <c r="VI101" s="4"/>
      <c r="VJ101" s="4"/>
      <c r="VK101" s="4"/>
      <c r="VL101" s="4"/>
      <c r="VM101" s="4"/>
      <c r="VN101" s="4"/>
      <c r="VO101" s="4"/>
      <c r="VP101" s="4"/>
      <c r="VQ101" s="4"/>
      <c r="VR101" s="4"/>
      <c r="VS101" s="4"/>
      <c r="VT101" s="4"/>
      <c r="VU101" s="4"/>
      <c r="VV101" s="4"/>
      <c r="VW101" s="4"/>
      <c r="VX101" s="4"/>
      <c r="VY101" s="4"/>
      <c r="VZ101" s="4"/>
      <c r="WA101" s="4"/>
      <c r="WB101" s="4"/>
      <c r="WC101" s="4"/>
      <c r="WD101" s="4"/>
      <c r="WE101" s="4"/>
      <c r="WF101" s="4"/>
      <c r="WG101" s="4"/>
      <c r="WH101" s="4"/>
      <c r="WI101" s="4"/>
      <c r="WJ101" s="4"/>
      <c r="WK101" s="4"/>
      <c r="WL101" s="4"/>
      <c r="WM101" s="4"/>
      <c r="WN101" s="4"/>
      <c r="WO101" s="4"/>
      <c r="WP101" s="4"/>
      <c r="WQ101" s="4"/>
      <c r="WR101" s="4"/>
      <c r="WS101" s="4"/>
      <c r="WT101" s="4"/>
      <c r="WU101" s="4"/>
      <c r="WV101" s="4"/>
      <c r="WW101" s="4"/>
      <c r="WX101" s="4"/>
      <c r="WY101" s="4"/>
      <c r="WZ101" s="4"/>
      <c r="XA101" s="4"/>
      <c r="XB101" s="4"/>
      <c r="XC101" s="4"/>
      <c r="XD101" s="4"/>
      <c r="XE101" s="4"/>
      <c r="XF101" s="4"/>
      <c r="XG101" s="4"/>
      <c r="XH101" s="4"/>
      <c r="XI101" s="4"/>
      <c r="XJ101" s="4"/>
      <c r="XK101" s="4"/>
      <c r="XL101" s="4"/>
      <c r="XM101" s="4"/>
      <c r="XN101" s="4"/>
      <c r="XO101" s="4"/>
      <c r="XP101" s="4"/>
      <c r="XQ101" s="4"/>
      <c r="XR101" s="4"/>
      <c r="XS101" s="4"/>
      <c r="XT101" s="4"/>
      <c r="XU101" s="4"/>
      <c r="XV101" s="4"/>
      <c r="XW101" s="4"/>
      <c r="XX101" s="4"/>
      <c r="XY101" s="4"/>
      <c r="XZ101" s="4"/>
      <c r="YA101" s="4"/>
      <c r="YB101" s="4"/>
      <c r="YC101" s="4"/>
      <c r="YD101" s="4"/>
      <c r="YE101" s="4"/>
      <c r="YF101" s="4"/>
      <c r="YG101" s="4"/>
      <c r="YH101" s="4"/>
      <c r="YI101" s="4"/>
      <c r="YJ101" s="4"/>
      <c r="YK101" s="4"/>
      <c r="YL101" s="4"/>
      <c r="YM101" s="4"/>
      <c r="YN101" s="4"/>
      <c r="YO101" s="4"/>
      <c r="YP101" s="4"/>
      <c r="YQ101" s="4"/>
      <c r="YR101" s="4"/>
      <c r="YS101" s="4"/>
      <c r="YT101" s="4"/>
      <c r="YU101" s="4"/>
      <c r="YV101" s="4"/>
      <c r="YW101" s="4"/>
      <c r="YX101" s="4"/>
      <c r="YY101" s="4"/>
      <c r="YZ101" s="4"/>
      <c r="ZA101" s="4"/>
      <c r="ZB101" s="4"/>
      <c r="ZC101" s="4"/>
      <c r="ZD101" s="4"/>
      <c r="ZE101" s="4"/>
      <c r="ZF101" s="4"/>
      <c r="ZG101" s="4"/>
      <c r="ZH101" s="4"/>
      <c r="ZI101" s="4"/>
      <c r="ZJ101" s="4"/>
      <c r="ZK101" s="4"/>
      <c r="ZL101" s="4"/>
      <c r="ZM101" s="4"/>
      <c r="ZN101" s="4"/>
      <c r="ZO101" s="4"/>
      <c r="ZP101" s="4"/>
      <c r="ZQ101" s="4"/>
      <c r="ZR101" s="4"/>
      <c r="ZS101" s="4"/>
      <c r="ZT101" s="4"/>
      <c r="ZU101" s="4"/>
      <c r="ZV101" s="4"/>
      <c r="ZW101" s="4"/>
      <c r="ZX101" s="4"/>
      <c r="ZY101" s="4"/>
      <c r="ZZ101" s="4"/>
      <c r="AAA101" s="4"/>
      <c r="AAB101" s="4"/>
      <c r="AAC101" s="4"/>
      <c r="AAD101" s="4"/>
      <c r="AAE101" s="4"/>
      <c r="AAF101" s="4"/>
      <c r="AAG101" s="4"/>
      <c r="AAH101" s="4"/>
      <c r="AAI101" s="4"/>
      <c r="AAJ101" s="4"/>
      <c r="AAK101" s="4"/>
      <c r="AAL101" s="4"/>
      <c r="AAM101" s="4"/>
      <c r="AAN101" s="4"/>
      <c r="AAO101" s="4"/>
      <c r="AAP101" s="4"/>
      <c r="AAQ101" s="4"/>
      <c r="AAR101" s="4"/>
      <c r="AAS101" s="4"/>
      <c r="AAT101" s="4"/>
      <c r="AAU101" s="4"/>
      <c r="AAV101" s="4"/>
      <c r="AAW101" s="4"/>
      <c r="AAX101" s="4"/>
      <c r="AAY101" s="4"/>
      <c r="AAZ101" s="4"/>
      <c r="ABA101" s="4"/>
      <c r="ABB101" s="4"/>
      <c r="ABC101" s="4"/>
      <c r="ABD101" s="4"/>
      <c r="ABE101" s="4"/>
      <c r="ABF101" s="4"/>
      <c r="ABG101" s="4"/>
      <c r="ABH101" s="4"/>
      <c r="ABI101" s="4"/>
      <c r="ABJ101" s="4"/>
      <c r="ABK101" s="4"/>
      <c r="ABL101" s="4"/>
      <c r="ABM101" s="4"/>
      <c r="ABN101" s="4"/>
      <c r="ABO101" s="4"/>
      <c r="ABP101" s="4"/>
      <c r="ABQ101" s="4"/>
      <c r="ABR101" s="4"/>
      <c r="ABS101" s="4"/>
      <c r="ABT101" s="4"/>
      <c r="ABU101" s="4"/>
      <c r="ABV101" s="4"/>
      <c r="ABW101" s="4"/>
      <c r="ABX101" s="4"/>
      <c r="ABY101" s="4"/>
      <c r="ABZ101" s="4"/>
      <c r="ACA101" s="4"/>
      <c r="ACB101" s="4"/>
      <c r="ACC101" s="4"/>
      <c r="ACD101" s="4"/>
      <c r="ACE101" s="4"/>
      <c r="ACF101" s="4"/>
      <c r="ACG101" s="4"/>
      <c r="ACH101" s="4"/>
      <c r="ACI101" s="4"/>
      <c r="ACJ101" s="4"/>
      <c r="ACK101" s="4"/>
      <c r="ACL101" s="4"/>
      <c r="ACM101" s="4"/>
      <c r="ACN101" s="4"/>
      <c r="ACO101" s="4"/>
      <c r="ACP101" s="4"/>
      <c r="ACQ101" s="4"/>
      <c r="ACR101" s="4"/>
      <c r="ACS101" s="4"/>
      <c r="ACT101" s="4"/>
      <c r="ACU101" s="4"/>
      <c r="ACV101" s="4"/>
      <c r="ACW101" s="4"/>
      <c r="ACX101" s="4"/>
      <c r="ACY101" s="4"/>
      <c r="ACZ101" s="4"/>
      <c r="ADA101" s="4"/>
      <c r="ADB101" s="4"/>
      <c r="ADC101" s="4"/>
      <c r="ADD101" s="4"/>
      <c r="ADE101" s="4"/>
      <c r="ADF101" s="4"/>
      <c r="ADG101" s="4"/>
      <c r="ADH101" s="4"/>
      <c r="ADI101" s="4"/>
      <c r="ADJ101" s="4"/>
      <c r="ADK101" s="4"/>
      <c r="ADL101" s="4"/>
      <c r="ADM101" s="4"/>
      <c r="ADN101" s="4"/>
      <c r="ADO101" s="4"/>
      <c r="ADP101" s="4"/>
      <c r="ADQ101" s="4"/>
      <c r="ADR101" s="4"/>
      <c r="ADS101" s="4"/>
      <c r="ADT101" s="4"/>
      <c r="ADU101" s="4"/>
      <c r="ADV101" s="4"/>
      <c r="ADW101" s="4"/>
      <c r="ADX101" s="4"/>
      <c r="ADY101" s="4"/>
      <c r="ADZ101" s="4"/>
      <c r="AEA101" s="4"/>
      <c r="AEB101" s="4"/>
      <c r="AEC101" s="4"/>
      <c r="AED101" s="4"/>
      <c r="AEE101" s="4"/>
      <c r="AEF101" s="4"/>
      <c r="AEG101" s="4"/>
      <c r="AEH101" s="4"/>
      <c r="AEI101" s="4"/>
      <c r="AEJ101" s="4"/>
      <c r="AEK101" s="4"/>
      <c r="AEL101" s="4"/>
      <c r="AEM101" s="4"/>
      <c r="AEN101" s="4"/>
      <c r="AEO101" s="4"/>
      <c r="AEP101" s="4"/>
      <c r="AEQ101" s="4"/>
      <c r="AER101" s="4"/>
      <c r="AES101" s="4"/>
      <c r="AET101" s="4"/>
      <c r="AEU101" s="4"/>
      <c r="AEV101" s="4"/>
      <c r="AEW101" s="4"/>
      <c r="AEX101" s="4"/>
      <c r="AEY101" s="4"/>
      <c r="AEZ101" s="4"/>
      <c r="AFA101" s="4"/>
      <c r="AFB101" s="4"/>
      <c r="AFC101" s="4"/>
      <c r="AFD101" s="4"/>
      <c r="AFE101" s="4"/>
      <c r="AFF101" s="4"/>
      <c r="AFG101" s="4"/>
      <c r="AFH101" s="4"/>
      <c r="AFI101" s="4"/>
      <c r="AFJ101" s="4"/>
      <c r="AFK101" s="4"/>
      <c r="AFL101" s="4"/>
      <c r="AFM101" s="4"/>
      <c r="AFN101" s="4"/>
      <c r="AFO101" s="4"/>
      <c r="AFP101" s="4"/>
      <c r="AFQ101" s="4"/>
      <c r="AFR101" s="4"/>
      <c r="AFS101" s="4"/>
      <c r="AFT101" s="4"/>
      <c r="AFU101" s="4"/>
      <c r="AFV101" s="4"/>
      <c r="AFW101" s="4"/>
      <c r="AFX101" s="4"/>
      <c r="AFY101" s="4"/>
      <c r="AFZ101" s="4"/>
      <c r="AGA101" s="4"/>
      <c r="AGB101" s="4"/>
      <c r="AGC101" s="4"/>
      <c r="AGD101" s="4"/>
      <c r="AGE101" s="4"/>
      <c r="AGF101" s="4"/>
      <c r="AGG101" s="4"/>
      <c r="AGH101" s="4"/>
      <c r="AGI101" s="4"/>
      <c r="AGJ101" s="4"/>
      <c r="AGK101" s="4"/>
      <c r="AGL101" s="4"/>
      <c r="AGM101" s="4"/>
      <c r="AGN101" s="4"/>
      <c r="AGO101" s="4"/>
      <c r="AGP101" s="4"/>
      <c r="AGQ101" s="4"/>
      <c r="AGR101" s="4"/>
      <c r="AGS101" s="4"/>
      <c r="AGT101" s="4"/>
      <c r="AGU101" s="4"/>
      <c r="AGV101" s="4"/>
      <c r="AGW101" s="4"/>
      <c r="AGX101" s="4"/>
      <c r="AGY101" s="4"/>
      <c r="AGZ101" s="4"/>
      <c r="AHA101" s="4"/>
      <c r="AHB101" s="4"/>
      <c r="AHC101" s="4"/>
      <c r="AHD101" s="4"/>
      <c r="AHE101" s="4"/>
      <c r="AHF101" s="4"/>
      <c r="AHG101" s="4"/>
      <c r="AHH101" s="4"/>
      <c r="AHI101" s="4"/>
      <c r="AHJ101" s="4"/>
      <c r="AHK101" s="4"/>
      <c r="AHL101" s="4"/>
      <c r="AHM101" s="4"/>
      <c r="AHN101" s="4"/>
      <c r="AHO101" s="4"/>
      <c r="AHP101" s="4"/>
      <c r="AHQ101" s="4"/>
      <c r="AHR101" s="4"/>
      <c r="AHS101" s="4"/>
      <c r="AHT101" s="4"/>
      <c r="AHU101" s="4"/>
      <c r="AHV101" s="4"/>
      <c r="AHW101" s="4"/>
      <c r="AHX101" s="4"/>
      <c r="AHY101" s="4"/>
      <c r="AHZ101" s="4"/>
      <c r="AIA101" s="4"/>
      <c r="AIB101" s="4"/>
      <c r="AIC101" s="4"/>
      <c r="AID101" s="4"/>
      <c r="AIE101" s="4"/>
      <c r="AIF101" s="4"/>
      <c r="AIG101" s="4"/>
      <c r="AIH101" s="4"/>
      <c r="AII101" s="4"/>
      <c r="AIJ101" s="4"/>
      <c r="AIK101" s="4"/>
      <c r="AIL101" s="4"/>
      <c r="AIM101" s="4"/>
      <c r="AIN101" s="4"/>
      <c r="AIO101" s="4"/>
      <c r="AIP101" s="4"/>
      <c r="AIQ101" s="4"/>
      <c r="AIR101" s="4"/>
      <c r="AIS101" s="4"/>
      <c r="AIT101" s="4"/>
      <c r="AIU101" s="4"/>
      <c r="AIV101" s="4"/>
      <c r="AIW101" s="4"/>
      <c r="AIX101" s="4"/>
      <c r="AIY101" s="4"/>
      <c r="AIZ101" s="4"/>
      <c r="AJA101" s="4"/>
      <c r="AJB101" s="4"/>
      <c r="AJC101" s="4"/>
      <c r="AJD101" s="4"/>
      <c r="AJE101" s="4"/>
      <c r="AJF101" s="4"/>
      <c r="AJG101" s="4"/>
      <c r="AJH101" s="4"/>
      <c r="AJI101" s="4"/>
      <c r="AJJ101" s="4"/>
      <c r="AJK101" s="4"/>
      <c r="AJL101" s="4"/>
      <c r="AJM101" s="4"/>
      <c r="AJN101" s="4"/>
      <c r="AJO101" s="4"/>
      <c r="AJP101" s="4"/>
      <c r="AJQ101" s="4"/>
      <c r="AJR101" s="4"/>
      <c r="AJS101" s="4"/>
      <c r="AJT101" s="4"/>
      <c r="AJU101" s="4"/>
      <c r="AJV101" s="4"/>
      <c r="AJW101" s="4"/>
      <c r="AJX101" s="4"/>
      <c r="AJY101" s="4"/>
      <c r="AJZ101" s="4"/>
      <c r="AKA101" s="4"/>
      <c r="AKB101" s="4"/>
      <c r="AKC101" s="4"/>
      <c r="AKD101" s="4"/>
      <c r="AKE101" s="4"/>
      <c r="AKF101" s="4"/>
      <c r="AKG101" s="4"/>
      <c r="AKH101" s="4"/>
      <c r="AKI101" s="4"/>
      <c r="AKJ101" s="4"/>
      <c r="AKK101" s="4"/>
      <c r="AKL101" s="4"/>
      <c r="AKM101" s="4"/>
      <c r="AKN101" s="4"/>
      <c r="AKO101" s="4"/>
      <c r="AKP101" s="4"/>
      <c r="AKQ101" s="4"/>
      <c r="AKR101" s="4"/>
      <c r="AKS101" s="4"/>
      <c r="AKT101" s="4"/>
      <c r="AKU101" s="4"/>
      <c r="AKV101" s="4"/>
      <c r="AKW101" s="4"/>
      <c r="AKX101" s="4"/>
      <c r="AKY101" s="4"/>
      <c r="AKZ101" s="4"/>
      <c r="ALA101" s="4"/>
      <c r="ALB101" s="4"/>
      <c r="ALC101" s="4"/>
      <c r="ALD101" s="4"/>
      <c r="ALE101" s="4"/>
      <c r="ALF101" s="4"/>
      <c r="ALG101" s="4"/>
      <c r="ALH101" s="4"/>
      <c r="ALI101" s="4"/>
      <c r="ALJ101" s="4"/>
      <c r="ALK101" s="4"/>
      <c r="ALL101" s="4"/>
      <c r="ALM101" s="4"/>
      <c r="ALN101" s="4"/>
      <c r="ALO101" s="4"/>
      <c r="ALP101" s="4"/>
      <c r="ALQ101" s="4"/>
      <c r="ALR101" s="4"/>
      <c r="ALS101" s="4"/>
      <c r="ALT101" s="4"/>
      <c r="ALU101" s="4"/>
      <c r="ALV101" s="4"/>
      <c r="ALW101" s="4"/>
      <c r="ALX101" s="4"/>
      <c r="ALY101" s="4"/>
      <c r="ALZ101" s="4"/>
      <c r="AMA101" s="4"/>
      <c r="AMB101" s="4"/>
      <c r="AMC101" s="4"/>
      <c r="AMD101" s="4"/>
      <c r="AME101" s="4"/>
      <c r="AMF101" s="4"/>
      <c r="AMG101" s="4"/>
      <c r="AMH101" s="4"/>
      <c r="AMI101" s="4"/>
      <c r="AMJ101" s="4"/>
      <c r="AMK101" s="4"/>
      <c r="AML101" s="4"/>
      <c r="AMM101" s="4"/>
      <c r="AMN101" s="4"/>
      <c r="AMO101" s="4"/>
      <c r="AMP101" s="4"/>
      <c r="AMQ101" s="4"/>
      <c r="AMR101" s="4"/>
      <c r="AMS101" s="4"/>
      <c r="AMT101" s="4"/>
      <c r="AMU101" s="4"/>
      <c r="AMV101" s="4"/>
      <c r="AMW101" s="4"/>
      <c r="AMX101" s="4"/>
      <c r="AMY101" s="4"/>
      <c r="AMZ101" s="4"/>
      <c r="ANA101" s="4"/>
      <c r="ANB101" s="4"/>
      <c r="ANC101" s="4"/>
      <c r="AND101" s="4"/>
      <c r="ANE101" s="4"/>
      <c r="ANF101" s="4"/>
      <c r="ANG101" s="4"/>
      <c r="ANH101" s="4"/>
      <c r="ANI101" s="4"/>
      <c r="ANJ101" s="4"/>
      <c r="ANK101" s="4"/>
      <c r="ANL101" s="4"/>
      <c r="ANM101" s="4"/>
      <c r="ANN101" s="4"/>
      <c r="ANO101" s="4"/>
      <c r="ANP101" s="4"/>
      <c r="ANQ101" s="4"/>
      <c r="ANR101" s="4"/>
      <c r="ANS101" s="4"/>
      <c r="ANT101" s="4"/>
      <c r="ANU101" s="4"/>
      <c r="ANV101" s="4"/>
      <c r="ANW101" s="4"/>
      <c r="ANX101" s="4"/>
      <c r="ANY101" s="4"/>
      <c r="ANZ101" s="4"/>
      <c r="AOA101" s="4"/>
      <c r="AOB101" s="4"/>
      <c r="AOC101" s="4"/>
      <c r="AOD101" s="4"/>
      <c r="AOE101" s="4"/>
      <c r="AOF101" s="4"/>
      <c r="AOG101" s="4"/>
      <c r="AOH101" s="4"/>
      <c r="AOI101" s="4"/>
      <c r="AOJ101" s="4"/>
      <c r="AOK101" s="4"/>
      <c r="AOL101" s="4"/>
      <c r="AOM101" s="4"/>
      <c r="AON101" s="4"/>
      <c r="AOO101" s="4"/>
      <c r="AOP101" s="4"/>
      <c r="AOQ101" s="4"/>
      <c r="AOR101" s="4"/>
      <c r="AOS101" s="4"/>
      <c r="AOT101" s="4"/>
      <c r="AOU101" s="4"/>
      <c r="AOV101" s="4"/>
      <c r="AOW101" s="4"/>
      <c r="AOX101" s="4"/>
      <c r="AOY101" s="4"/>
      <c r="AOZ101" s="4"/>
      <c r="APA101" s="4"/>
      <c r="APB101" s="4"/>
      <c r="APC101" s="4"/>
      <c r="APD101" s="4"/>
      <c r="APE101" s="4"/>
      <c r="APF101" s="4"/>
      <c r="APG101" s="4"/>
      <c r="APH101" s="4"/>
      <c r="API101" s="4"/>
      <c r="APJ101" s="4"/>
      <c r="APK101" s="4"/>
      <c r="APL101" s="4"/>
      <c r="APM101" s="4"/>
      <c r="APN101" s="4"/>
      <c r="APO101" s="4"/>
      <c r="APP101" s="4"/>
      <c r="APQ101" s="4"/>
      <c r="APR101" s="4"/>
      <c r="APS101" s="4"/>
      <c r="APT101" s="4"/>
      <c r="APU101" s="4"/>
      <c r="APV101" s="4"/>
      <c r="APW101" s="4"/>
      <c r="APX101" s="4"/>
      <c r="APY101" s="4"/>
      <c r="APZ101" s="4"/>
      <c r="AQA101" s="4"/>
      <c r="AQB101" s="4"/>
      <c r="AQC101" s="4"/>
      <c r="AQD101" s="4"/>
      <c r="AQE101" s="4"/>
      <c r="AQF101" s="4"/>
      <c r="AQG101" s="4"/>
      <c r="AQH101" s="4"/>
      <c r="AQI101" s="4"/>
      <c r="AQJ101" s="4"/>
      <c r="AQK101" s="4"/>
      <c r="AQL101" s="4"/>
      <c r="AQM101" s="4"/>
      <c r="AQN101" s="4"/>
      <c r="AQO101" s="4"/>
      <c r="AQP101" s="4"/>
      <c r="AQQ101" s="4"/>
      <c r="AQR101" s="4"/>
      <c r="AQS101" s="4"/>
      <c r="AQT101" s="4"/>
      <c r="AQU101" s="4"/>
      <c r="AQV101" s="4"/>
      <c r="AQW101" s="4"/>
      <c r="AQX101" s="4"/>
      <c r="AQY101" s="4"/>
      <c r="AQZ101" s="4"/>
      <c r="ARA101" s="4"/>
      <c r="ARB101" s="4"/>
      <c r="ARC101" s="4"/>
      <c r="ARD101" s="4"/>
      <c r="ARE101" s="4"/>
      <c r="ARF101" s="4"/>
      <c r="ARG101" s="4"/>
      <c r="ARH101" s="4"/>
      <c r="ARI101" s="4"/>
      <c r="ARJ101" s="4"/>
      <c r="ARK101" s="4"/>
      <c r="ARL101" s="4"/>
      <c r="ARM101" s="4"/>
      <c r="ARN101" s="4"/>
      <c r="ARO101" s="4"/>
      <c r="ARP101" s="4"/>
      <c r="ARQ101" s="4"/>
      <c r="ARR101" s="4"/>
      <c r="ARS101" s="4"/>
      <c r="ART101" s="4"/>
      <c r="ARU101" s="4"/>
      <c r="ARV101" s="4"/>
      <c r="ARW101" s="4"/>
      <c r="ARX101" s="4"/>
      <c r="ARY101" s="4"/>
      <c r="ARZ101" s="4"/>
      <c r="ASA101" s="4"/>
      <c r="ASB101" s="4"/>
      <c r="ASC101" s="4"/>
      <c r="ASD101" s="4"/>
      <c r="ASE101" s="4"/>
      <c r="ASF101" s="4"/>
      <c r="ASG101" s="4"/>
      <c r="ASH101" s="4"/>
      <c r="ASI101" s="4"/>
      <c r="ASJ101" s="4"/>
      <c r="ASK101" s="4"/>
      <c r="ASL101" s="4"/>
      <c r="ASM101" s="4"/>
      <c r="ASN101" s="4"/>
      <c r="ASO101" s="4"/>
      <c r="ASP101" s="4"/>
      <c r="ASQ101" s="4"/>
      <c r="ASR101" s="4"/>
      <c r="ASS101" s="4"/>
      <c r="AST101" s="4"/>
      <c r="ASU101" s="4"/>
    </row>
    <row r="102" ht="18" customHeight="1" spans="1:1191" s="606" customFormat="1" x14ac:dyDescent="0.25">
      <c r="A102" s="607" t="s">
        <v>137</v>
      </c>
      <c r="B102" s="4"/>
      <c r="C102" s="4"/>
      <c r="D102" s="4"/>
      <c r="E102" s="4"/>
      <c r="F102" s="608"/>
      <c r="G102" s="608"/>
      <c r="H102" s="608"/>
      <c r="I102" s="608"/>
      <c r="J102" s="608"/>
      <c r="K102" s="608"/>
      <c r="L102" s="608"/>
      <c r="M102" s="608"/>
      <c r="N102" s="608"/>
      <c r="O102" s="608"/>
      <c r="P102" s="608"/>
      <c r="Q102" s="608"/>
      <c r="R102" s="608"/>
      <c r="S102" s="608"/>
      <c r="T102" s="608"/>
      <c r="U102" s="608"/>
      <c r="V102" s="608"/>
      <c r="W102" s="608"/>
      <c r="X102" s="608"/>
      <c r="Y102" s="608"/>
      <c r="Z102" s="608"/>
      <c r="AA102" s="608"/>
      <c r="AB102" s="608"/>
      <c r="AC102" s="608"/>
      <c r="AD102" s="608"/>
      <c r="AE102" s="608"/>
      <c r="AF102" s="4"/>
      <c r="AG102" s="4"/>
      <c r="AH102" s="4"/>
      <c r="AI102" s="608"/>
      <c r="AJ102" s="608"/>
      <c r="AK102" s="608"/>
      <c r="AL102" s="608"/>
      <c r="AM102" s="608"/>
      <c r="AN102" s="608"/>
      <c r="AO102" s="608"/>
      <c r="AP102" s="608"/>
      <c r="AQ102" s="608"/>
      <c r="AR102" s="608"/>
      <c r="AS102" s="608"/>
      <c r="AT102" s="608"/>
      <c r="AU102" s="608"/>
      <c r="AV102" s="608"/>
      <c r="AW102" s="608"/>
      <c r="AX102" s="608"/>
      <c r="AY102" s="608"/>
      <c r="AZ102" s="608"/>
      <c r="BA102" s="608"/>
      <c r="BB102" s="608"/>
      <c r="BC102" s="608"/>
      <c r="BD102" s="608"/>
      <c r="BE102" s="608"/>
      <c r="BF102" s="608"/>
      <c r="BG102" s="608"/>
      <c r="BH102" s="608"/>
      <c r="BI102" s="4"/>
      <c r="BJ102" s="4"/>
      <c r="BK102" s="4"/>
      <c r="BL102" s="608"/>
      <c r="BM102" s="608"/>
      <c r="BN102" s="608"/>
      <c r="BO102" s="608"/>
      <c r="BP102" s="608"/>
      <c r="BQ102" s="608"/>
      <c r="BR102" s="608"/>
      <c r="BS102" s="608"/>
      <c r="BT102" s="608"/>
      <c r="BU102" s="608"/>
      <c r="BV102" s="608"/>
      <c r="BW102" s="608"/>
      <c r="BX102" s="608"/>
      <c r="BY102" s="608"/>
      <c r="BZ102" s="608"/>
      <c r="CA102" s="608"/>
      <c r="CB102" s="608"/>
      <c r="CC102" s="608"/>
      <c r="CD102" s="608"/>
      <c r="CE102" s="608"/>
      <c r="CF102" s="608"/>
      <c r="CG102" s="608"/>
      <c r="CH102" s="608"/>
      <c r="CI102" s="608"/>
      <c r="CJ102" s="608"/>
      <c r="CK102" s="608"/>
      <c r="CL102" s="4"/>
      <c r="CM102" s="4"/>
      <c r="CN102" s="4"/>
      <c r="CO102" s="608"/>
      <c r="CP102" s="608"/>
      <c r="CQ102" s="608"/>
      <c r="CR102" s="608"/>
      <c r="CS102" s="608"/>
      <c r="CT102" s="608"/>
      <c r="CU102" s="608"/>
      <c r="CV102" s="608"/>
      <c r="CW102" s="608"/>
      <c r="CX102" s="608"/>
      <c r="CY102" s="608"/>
      <c r="CZ102" s="608"/>
      <c r="DA102" s="608"/>
      <c r="DB102" s="608"/>
      <c r="DC102" s="608"/>
      <c r="DD102" s="608"/>
      <c r="DE102" s="608"/>
      <c r="DF102" s="608"/>
      <c r="DG102" s="608"/>
      <c r="DH102" s="608"/>
      <c r="DI102" s="608"/>
      <c r="DJ102" s="608"/>
      <c r="DK102" s="608"/>
      <c r="DL102" s="608"/>
      <c r="DM102" s="608"/>
      <c r="DN102" s="608"/>
      <c r="DO102" s="4"/>
      <c r="DP102" s="4"/>
      <c r="DQ102" s="4"/>
      <c r="DR102" s="608"/>
      <c r="DS102" s="608"/>
      <c r="DT102" s="608"/>
      <c r="DU102" s="608"/>
      <c r="DV102" s="608"/>
      <c r="DW102" s="608"/>
      <c r="DX102" s="608"/>
      <c r="DY102" s="608"/>
      <c r="DZ102" s="608"/>
      <c r="EA102" s="608"/>
      <c r="EB102" s="608"/>
      <c r="EC102" s="608"/>
      <c r="ED102" s="608"/>
      <c r="EE102" s="608"/>
      <c r="EF102" s="608"/>
      <c r="EG102" s="608"/>
      <c r="EH102" s="608"/>
      <c r="EI102" s="608"/>
      <c r="EJ102" s="608"/>
      <c r="EK102" s="608"/>
      <c r="EL102" s="608"/>
      <c r="EM102" s="608"/>
      <c r="EN102" s="608"/>
      <c r="EO102" s="608"/>
      <c r="EP102" s="608"/>
      <c r="EQ102" s="608"/>
      <c r="ER102" s="4"/>
      <c r="ES102" s="4"/>
      <c r="ET102" s="4"/>
      <c r="EU102" s="608"/>
      <c r="EV102" s="608"/>
      <c r="EW102" s="608"/>
      <c r="EX102" s="608"/>
      <c r="EY102" s="608"/>
      <c r="EZ102" s="608"/>
      <c r="FA102" s="608"/>
      <c r="FB102" s="608"/>
      <c r="FC102" s="608"/>
      <c r="FD102" s="608"/>
      <c r="FE102" s="608"/>
      <c r="FF102" s="608"/>
      <c r="FG102" s="608"/>
      <c r="FH102" s="608"/>
      <c r="FI102" s="608"/>
      <c r="FJ102" s="608"/>
      <c r="FK102" s="608"/>
      <c r="FL102" s="608"/>
      <c r="FM102" s="608"/>
      <c r="FN102" s="608"/>
      <c r="FO102" s="608"/>
      <c r="FP102" s="608"/>
      <c r="FQ102" s="608"/>
      <c r="FR102" s="608"/>
      <c r="FS102" s="608"/>
      <c r="FT102" s="608"/>
      <c r="FU102" s="4"/>
      <c r="FV102" s="4"/>
      <c r="FW102" s="4"/>
      <c r="FX102" s="608"/>
      <c r="FY102" s="608"/>
      <c r="FZ102" s="608"/>
      <c r="GA102" s="608"/>
      <c r="GB102" s="608"/>
      <c r="GC102" s="608"/>
      <c r="GD102" s="608"/>
      <c r="GE102" s="608"/>
      <c r="GF102" s="608"/>
      <c r="GG102" s="608"/>
      <c r="GH102" s="608"/>
      <c r="GI102" s="608"/>
      <c r="GJ102" s="608"/>
      <c r="GK102" s="608"/>
      <c r="GL102" s="608"/>
      <c r="GM102" s="608"/>
      <c r="GN102" s="608"/>
      <c r="GO102" s="608"/>
      <c r="GP102" s="608"/>
      <c r="GQ102" s="608"/>
      <c r="GR102" s="608"/>
      <c r="GS102" s="608"/>
      <c r="GT102" s="608"/>
      <c r="GU102" s="608"/>
      <c r="GV102" s="608"/>
      <c r="GW102" s="608"/>
      <c r="GX102" s="4"/>
      <c r="GY102" s="4"/>
      <c r="GZ102" s="4"/>
      <c r="HA102" s="609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608"/>
      <c r="MT102" s="608"/>
      <c r="MU102" s="608"/>
      <c r="MV102" s="608"/>
      <c r="MW102" s="608"/>
      <c r="MX102" s="608"/>
      <c r="MY102" s="608"/>
      <c r="MZ102" s="608"/>
      <c r="NA102" s="608"/>
      <c r="NB102" s="608"/>
      <c r="NC102" s="608"/>
      <c r="ND102" s="608"/>
      <c r="NE102" s="608"/>
      <c r="NF102" s="608"/>
      <c r="NG102" s="608"/>
      <c r="NH102" s="608"/>
      <c r="NI102" s="608"/>
      <c r="NJ102" s="608"/>
      <c r="NK102" s="608"/>
      <c r="NL102" s="608"/>
      <c r="NM102" s="608"/>
      <c r="NN102" s="608"/>
      <c r="NO102" s="608"/>
      <c r="NP102" s="608"/>
      <c r="NQ102" s="608"/>
      <c r="NR102" s="608"/>
      <c r="NS102" s="4"/>
      <c r="NT102" s="4"/>
      <c r="NU102" s="4"/>
      <c r="NV102" s="608"/>
      <c r="NW102" s="608"/>
      <c r="NX102" s="608"/>
      <c r="NY102" s="608"/>
      <c r="NZ102" s="608"/>
      <c r="OA102" s="608"/>
      <c r="OB102" s="608"/>
      <c r="OC102" s="608"/>
      <c r="OD102" s="608"/>
      <c r="OE102" s="608"/>
      <c r="OF102" s="608"/>
      <c r="OG102" s="608"/>
      <c r="OH102" s="608"/>
      <c r="OI102" s="608"/>
      <c r="OJ102" s="608"/>
      <c r="OK102" s="608"/>
      <c r="OL102" s="608"/>
      <c r="OM102" s="608"/>
      <c r="ON102" s="608"/>
      <c r="OO102" s="608"/>
      <c r="OP102" s="608"/>
      <c r="OQ102" s="608"/>
      <c r="OR102" s="608"/>
      <c r="OS102" s="608"/>
      <c r="OT102" s="608"/>
      <c r="OU102" s="608"/>
      <c r="OV102" s="4"/>
      <c r="OW102" s="4"/>
      <c r="OX102" s="4"/>
      <c r="OY102" s="609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  <c r="UG102" s="4"/>
      <c r="UH102" s="4"/>
      <c r="UI102" s="4"/>
      <c r="UJ102" s="4"/>
      <c r="UK102" s="4"/>
      <c r="UL102" s="4"/>
      <c r="UM102" s="4"/>
      <c r="UN102" s="4"/>
      <c r="UO102" s="4"/>
      <c r="UP102" s="4"/>
      <c r="UQ102" s="608"/>
      <c r="UR102" s="608"/>
      <c r="US102" s="608"/>
      <c r="UT102" s="608"/>
      <c r="UU102" s="608"/>
      <c r="UV102" s="608"/>
      <c r="UW102" s="608"/>
      <c r="UX102" s="608"/>
      <c r="UY102" s="608"/>
      <c r="UZ102" s="608"/>
      <c r="VA102" s="608"/>
      <c r="VB102" s="608"/>
      <c r="VC102" s="608"/>
      <c r="VD102" s="608"/>
      <c r="VE102" s="608"/>
      <c r="VF102" s="608"/>
      <c r="VG102" s="608"/>
      <c r="VH102" s="608"/>
      <c r="VI102" s="608"/>
      <c r="VJ102" s="608"/>
      <c r="VK102" s="608"/>
      <c r="VL102" s="608"/>
      <c r="VM102" s="608"/>
      <c r="VN102" s="608"/>
      <c r="VO102" s="608"/>
      <c r="VP102" s="608"/>
      <c r="VQ102" s="4"/>
      <c r="VR102" s="4"/>
      <c r="VS102" s="4"/>
      <c r="VT102" s="608"/>
      <c r="VU102" s="608"/>
      <c r="VV102" s="608"/>
      <c r="VW102" s="608"/>
      <c r="VX102" s="608"/>
      <c r="VY102" s="608"/>
      <c r="VZ102" s="608"/>
      <c r="WA102" s="608"/>
      <c r="WB102" s="608"/>
      <c r="WC102" s="608"/>
      <c r="WD102" s="608"/>
      <c r="WE102" s="608"/>
      <c r="WF102" s="608"/>
      <c r="WG102" s="608"/>
      <c r="WH102" s="608"/>
      <c r="WI102" s="608"/>
      <c r="WJ102" s="608"/>
      <c r="WK102" s="608"/>
      <c r="WL102" s="608"/>
      <c r="WM102" s="608"/>
      <c r="WN102" s="608"/>
      <c r="WO102" s="608"/>
      <c r="WP102" s="608"/>
      <c r="WQ102" s="608"/>
      <c r="WR102" s="608"/>
      <c r="WS102" s="608"/>
      <c r="WT102" s="4"/>
      <c r="WU102" s="4"/>
      <c r="WV102" s="4"/>
      <c r="WW102" s="609"/>
      <c r="WX102" s="4"/>
      <c r="WY102" s="4"/>
      <c r="WZ102" s="4"/>
      <c r="XA102" s="4"/>
      <c r="XB102" s="4"/>
      <c r="XC102" s="4"/>
      <c r="XD102" s="4"/>
      <c r="XE102" s="4"/>
      <c r="XF102" s="4"/>
      <c r="XG102" s="4"/>
      <c r="XH102" s="4"/>
      <c r="XI102" s="4"/>
      <c r="XJ102" s="4"/>
      <c r="XK102" s="4"/>
      <c r="XL102" s="4"/>
      <c r="XM102" s="4"/>
      <c r="XN102" s="4"/>
      <c r="XO102" s="4"/>
      <c r="XP102" s="4"/>
      <c r="XQ102" s="4"/>
      <c r="XR102" s="4"/>
      <c r="XS102" s="4"/>
      <c r="XT102" s="4"/>
      <c r="XU102" s="4"/>
      <c r="XV102" s="4"/>
      <c r="XW102" s="4"/>
      <c r="XX102" s="4"/>
      <c r="XY102" s="4"/>
      <c r="XZ102" s="4"/>
      <c r="YA102" s="4"/>
      <c r="YB102" s="4"/>
      <c r="YC102" s="4"/>
      <c r="YD102" s="4"/>
      <c r="YE102" s="4"/>
      <c r="YF102" s="4"/>
      <c r="YG102" s="4"/>
      <c r="YH102" s="4"/>
      <c r="YI102" s="4"/>
      <c r="YJ102" s="4"/>
      <c r="YK102" s="4"/>
      <c r="YL102" s="4"/>
      <c r="YM102" s="4"/>
      <c r="YN102" s="4"/>
      <c r="YO102" s="4"/>
      <c r="YP102" s="4"/>
      <c r="YQ102" s="4"/>
      <c r="YR102" s="4"/>
      <c r="YS102" s="4"/>
      <c r="YT102" s="4"/>
      <c r="YU102" s="4"/>
      <c r="YV102" s="4"/>
      <c r="YW102" s="4"/>
      <c r="YX102" s="4"/>
      <c r="YY102" s="4"/>
      <c r="YZ102" s="4"/>
      <c r="ZA102" s="4"/>
      <c r="ZB102" s="4"/>
      <c r="ZC102" s="4"/>
      <c r="ZD102" s="4"/>
      <c r="ZE102" s="4"/>
      <c r="ZF102" s="4"/>
      <c r="ZG102" s="4"/>
      <c r="ZH102" s="4"/>
      <c r="ZI102" s="4"/>
      <c r="ZJ102" s="4"/>
      <c r="ZK102" s="4"/>
      <c r="ZL102" s="4"/>
      <c r="ZM102" s="4"/>
      <c r="ZN102" s="4"/>
      <c r="ZO102" s="4"/>
      <c r="ZP102" s="4"/>
      <c r="ZQ102" s="4"/>
      <c r="ZR102" s="4"/>
      <c r="ZS102" s="4"/>
      <c r="ZT102" s="4"/>
      <c r="ZU102" s="4"/>
      <c r="ZV102" s="4"/>
      <c r="ZW102" s="4"/>
      <c r="ZX102" s="4"/>
      <c r="ZY102" s="4"/>
      <c r="ZZ102" s="4"/>
      <c r="AAA102" s="4"/>
      <c r="AAB102" s="4"/>
      <c r="AAC102" s="4"/>
      <c r="AAD102" s="4"/>
      <c r="AAE102" s="4"/>
      <c r="AAF102" s="4"/>
      <c r="AAG102" s="4"/>
      <c r="AAH102" s="4"/>
      <c r="AAI102" s="4"/>
      <c r="AAJ102" s="4"/>
      <c r="AAK102" s="4"/>
      <c r="AAL102" s="4"/>
      <c r="AAM102" s="4"/>
      <c r="AAN102" s="4"/>
      <c r="AAO102" s="4"/>
      <c r="AAP102" s="4"/>
      <c r="AAQ102" s="4"/>
      <c r="AAR102" s="4"/>
      <c r="AAS102" s="4"/>
      <c r="AAT102" s="4"/>
      <c r="AAU102" s="4"/>
      <c r="AAV102" s="4"/>
      <c r="AAW102" s="4"/>
      <c r="AAX102" s="4"/>
      <c r="AAY102" s="4"/>
      <c r="AAZ102" s="4"/>
      <c r="ABA102" s="4"/>
      <c r="ABB102" s="4"/>
      <c r="ABC102" s="4"/>
      <c r="ABD102" s="4"/>
      <c r="ABE102" s="4"/>
      <c r="ABF102" s="4"/>
      <c r="ABG102" s="4"/>
      <c r="ABH102" s="4"/>
      <c r="ABI102" s="4"/>
      <c r="ABJ102" s="4"/>
      <c r="ABK102" s="4"/>
      <c r="ABL102" s="4"/>
      <c r="ABM102" s="4"/>
      <c r="ABN102" s="4"/>
      <c r="ABO102" s="4"/>
      <c r="ABP102" s="4"/>
      <c r="ABQ102" s="4"/>
      <c r="ABR102" s="4"/>
      <c r="ABS102" s="4"/>
      <c r="ABT102" s="4"/>
      <c r="ABU102" s="4"/>
      <c r="ABV102" s="4"/>
      <c r="ABW102" s="4"/>
      <c r="ABX102" s="4"/>
      <c r="ABY102" s="4"/>
      <c r="ABZ102" s="4"/>
      <c r="ACA102" s="4"/>
      <c r="ACB102" s="4"/>
      <c r="ACC102" s="4"/>
      <c r="ACD102" s="4"/>
      <c r="ACE102" s="4"/>
      <c r="ACF102" s="4"/>
      <c r="ACG102" s="4"/>
      <c r="ACH102" s="4"/>
      <c r="ACI102" s="4"/>
      <c r="ACJ102" s="4"/>
      <c r="ACK102" s="4"/>
      <c r="ACL102" s="4"/>
      <c r="ACM102" s="4"/>
      <c r="ACN102" s="4"/>
      <c r="ACO102" s="608"/>
      <c r="ACP102" s="608"/>
      <c r="ACQ102" s="608"/>
      <c r="ACR102" s="608"/>
      <c r="ACS102" s="608"/>
      <c r="ACT102" s="608"/>
      <c r="ACU102" s="608"/>
      <c r="ACV102" s="608"/>
      <c r="ACW102" s="608"/>
      <c r="ACX102" s="608"/>
      <c r="ACY102" s="608"/>
      <c r="ACZ102" s="608"/>
      <c r="ADA102" s="608"/>
      <c r="ADB102" s="608"/>
      <c r="ADC102" s="608"/>
      <c r="ADD102" s="608"/>
      <c r="ADE102" s="608"/>
      <c r="ADF102" s="608"/>
      <c r="ADG102" s="608"/>
      <c r="ADH102" s="608"/>
      <c r="ADI102" s="608"/>
      <c r="ADJ102" s="608"/>
      <c r="ADK102" s="608"/>
      <c r="ADL102" s="608"/>
      <c r="ADM102" s="608"/>
      <c r="ADN102" s="608"/>
      <c r="ADO102" s="4"/>
      <c r="ADP102" s="4"/>
      <c r="ADQ102" s="4"/>
      <c r="ADR102" s="608"/>
      <c r="ADS102" s="608"/>
      <c r="ADT102" s="608"/>
      <c r="ADU102" s="608"/>
      <c r="ADV102" s="608"/>
      <c r="ADW102" s="608"/>
      <c r="ADX102" s="608"/>
      <c r="ADY102" s="608"/>
      <c r="ADZ102" s="608"/>
      <c r="AEA102" s="608"/>
      <c r="AEB102" s="608"/>
      <c r="AEC102" s="608"/>
      <c r="AED102" s="608"/>
      <c r="AEE102" s="608"/>
      <c r="AEF102" s="608"/>
      <c r="AEG102" s="608"/>
      <c r="AEH102" s="608"/>
      <c r="AEI102" s="608"/>
      <c r="AEJ102" s="608"/>
      <c r="AEK102" s="608"/>
      <c r="AEL102" s="608"/>
      <c r="AEM102" s="608"/>
      <c r="AEN102" s="608"/>
      <c r="AEO102" s="608"/>
      <c r="AEP102" s="608"/>
      <c r="AEQ102" s="608"/>
      <c r="AER102" s="4"/>
      <c r="AES102" s="4"/>
      <c r="AET102" s="4"/>
      <c r="AEU102" s="609"/>
      <c r="AEV102" s="4"/>
      <c r="AEW102" s="4"/>
      <c r="AEX102" s="4"/>
      <c r="AEY102" s="4"/>
      <c r="AEZ102" s="4"/>
      <c r="AFA102" s="4"/>
      <c r="AFB102" s="4"/>
      <c r="AFC102" s="4"/>
      <c r="AFD102" s="4"/>
      <c r="AFE102" s="4"/>
      <c r="AFF102" s="4"/>
      <c r="AFG102" s="4"/>
      <c r="AFH102" s="4"/>
      <c r="AFI102" s="4"/>
      <c r="AFJ102" s="4"/>
      <c r="AFK102" s="4"/>
      <c r="AFL102" s="4"/>
      <c r="AFM102" s="4"/>
      <c r="AFN102" s="4"/>
      <c r="AFO102" s="4"/>
      <c r="AFP102" s="4"/>
      <c r="AFQ102" s="4"/>
      <c r="AFR102" s="4"/>
      <c r="AFS102" s="4"/>
      <c r="AFT102" s="4"/>
      <c r="AFU102" s="4"/>
      <c r="AFV102" s="4"/>
      <c r="AFW102" s="4"/>
      <c r="AFX102" s="4"/>
      <c r="AFY102" s="4"/>
      <c r="AFZ102" s="4"/>
      <c r="AGA102" s="4"/>
      <c r="AGB102" s="4"/>
      <c r="AGC102" s="4"/>
      <c r="AGD102" s="4"/>
      <c r="AGE102" s="4"/>
      <c r="AGF102" s="4"/>
      <c r="AGG102" s="4"/>
      <c r="AGH102" s="4"/>
      <c r="AGI102" s="4"/>
      <c r="AGJ102" s="4"/>
      <c r="AGK102" s="4"/>
      <c r="AGL102" s="4"/>
      <c r="AGM102" s="4"/>
      <c r="AGN102" s="4"/>
      <c r="AGO102" s="4"/>
      <c r="AGP102" s="4"/>
      <c r="AGQ102" s="4"/>
      <c r="AGR102" s="4"/>
      <c r="AGS102" s="4"/>
      <c r="AGT102" s="4"/>
      <c r="AGU102" s="4"/>
      <c r="AGV102" s="4"/>
      <c r="AGW102" s="4"/>
      <c r="AGX102" s="4"/>
      <c r="AGY102" s="4"/>
      <c r="AGZ102" s="4"/>
      <c r="AHA102" s="4"/>
      <c r="AHB102" s="4"/>
      <c r="AHC102" s="4"/>
      <c r="AHD102" s="4"/>
      <c r="AHE102" s="4"/>
      <c r="AHF102" s="4"/>
      <c r="AHG102" s="4"/>
      <c r="AHH102" s="4"/>
      <c r="AHI102" s="4"/>
      <c r="AHJ102" s="4"/>
      <c r="AHK102" s="4"/>
      <c r="AHL102" s="4"/>
      <c r="AHM102" s="4"/>
      <c r="AHN102" s="4"/>
      <c r="AHO102" s="4"/>
      <c r="AHP102" s="4"/>
      <c r="AHQ102" s="4"/>
      <c r="AHR102" s="4"/>
      <c r="AHS102" s="4"/>
      <c r="AHT102" s="4"/>
      <c r="AHU102" s="4"/>
      <c r="AHV102" s="4"/>
      <c r="AHW102" s="4"/>
      <c r="AHX102" s="4"/>
      <c r="AHY102" s="4"/>
      <c r="AHZ102" s="4"/>
      <c r="AIA102" s="4"/>
      <c r="AIB102" s="4"/>
      <c r="AIC102" s="4"/>
      <c r="AID102" s="4"/>
      <c r="AIE102" s="4"/>
      <c r="AIF102" s="4"/>
      <c r="AIG102" s="4"/>
      <c r="AIH102" s="4"/>
      <c r="AII102" s="4"/>
      <c r="AIJ102" s="4"/>
      <c r="AIK102" s="4"/>
      <c r="AIL102" s="4"/>
      <c r="AIM102" s="4"/>
      <c r="AIN102" s="4"/>
      <c r="AIO102" s="4"/>
      <c r="AIP102" s="4"/>
      <c r="AIQ102" s="4"/>
      <c r="AIR102" s="4"/>
      <c r="AIS102" s="4"/>
      <c r="AIT102" s="4"/>
      <c r="AIU102" s="4"/>
      <c r="AIV102" s="4"/>
      <c r="AIW102" s="4"/>
      <c r="AIX102" s="4"/>
      <c r="AIY102" s="4"/>
      <c r="AIZ102" s="4"/>
      <c r="AJA102" s="4"/>
      <c r="AJB102" s="4"/>
      <c r="AJC102" s="4"/>
      <c r="AJD102" s="4"/>
      <c r="AJE102" s="4"/>
      <c r="AJF102" s="4"/>
      <c r="AJG102" s="4"/>
      <c r="AJH102" s="4"/>
      <c r="AJI102" s="4"/>
      <c r="AJJ102" s="4"/>
      <c r="AJK102" s="4"/>
      <c r="AJL102" s="4"/>
      <c r="AJM102" s="4"/>
      <c r="AJN102" s="4"/>
      <c r="AJO102" s="4"/>
      <c r="AJP102" s="4"/>
      <c r="AJQ102" s="4"/>
      <c r="AJR102" s="4"/>
      <c r="AJS102" s="4"/>
      <c r="AJT102" s="4"/>
      <c r="AJU102" s="4"/>
      <c r="AJV102" s="4"/>
      <c r="AJW102" s="4"/>
      <c r="AJX102" s="4"/>
      <c r="AJY102" s="4"/>
      <c r="AJZ102" s="4"/>
      <c r="AKA102" s="4"/>
      <c r="AKB102" s="4"/>
      <c r="AKC102" s="4"/>
      <c r="AKD102" s="4"/>
      <c r="AKE102" s="4"/>
      <c r="AKF102" s="4"/>
      <c r="AKG102" s="4"/>
      <c r="AKH102" s="4"/>
      <c r="AKI102" s="4"/>
      <c r="AKJ102" s="4"/>
      <c r="AKK102" s="4"/>
      <c r="AKL102" s="4"/>
      <c r="AKM102" s="608"/>
      <c r="AKN102" s="608"/>
      <c r="AKO102" s="608"/>
      <c r="AKP102" s="608"/>
      <c r="AKQ102" s="608"/>
      <c r="AKR102" s="608"/>
      <c r="AKS102" s="608"/>
      <c r="AKT102" s="608"/>
      <c r="AKU102" s="608"/>
      <c r="AKV102" s="608"/>
      <c r="AKW102" s="608"/>
      <c r="AKX102" s="608"/>
      <c r="AKY102" s="608"/>
      <c r="AKZ102" s="608"/>
      <c r="ALA102" s="608"/>
      <c r="ALB102" s="608"/>
      <c r="ALC102" s="608"/>
      <c r="ALD102" s="608"/>
      <c r="ALE102" s="608"/>
      <c r="ALF102" s="608"/>
      <c r="ALG102" s="608"/>
      <c r="ALH102" s="608"/>
      <c r="ALI102" s="608"/>
      <c r="ALJ102" s="608"/>
      <c r="ALK102" s="608"/>
      <c r="ALL102" s="608"/>
      <c r="ALM102" s="4"/>
      <c r="ALN102" s="4"/>
      <c r="ALO102" s="4"/>
      <c r="ALP102" s="608"/>
      <c r="ALQ102" s="608"/>
      <c r="ALR102" s="608"/>
      <c r="ALS102" s="608"/>
      <c r="ALT102" s="608"/>
      <c r="ALU102" s="608"/>
      <c r="ALV102" s="608"/>
      <c r="ALW102" s="608"/>
      <c r="ALX102" s="608"/>
      <c r="ALY102" s="608"/>
      <c r="ALZ102" s="608"/>
      <c r="AMA102" s="608"/>
      <c r="AMB102" s="608"/>
      <c r="AMC102" s="608"/>
      <c r="AMD102" s="608"/>
      <c r="AME102" s="608"/>
      <c r="AMF102" s="608"/>
      <c r="AMG102" s="608"/>
      <c r="AMH102" s="608"/>
      <c r="AMI102" s="608"/>
      <c r="AMJ102" s="608"/>
      <c r="AMK102" s="608"/>
      <c r="AML102" s="608"/>
      <c r="AMM102" s="608"/>
      <c r="AMN102" s="608"/>
      <c r="AMO102" s="608"/>
      <c r="AMP102" s="4"/>
      <c r="AMQ102" s="4"/>
      <c r="AMR102" s="4"/>
      <c r="AMS102" s="609"/>
      <c r="AMT102" s="4"/>
      <c r="AMU102" s="4"/>
      <c r="AMV102" s="4"/>
      <c r="AMW102" s="4"/>
      <c r="AMX102" s="4"/>
      <c r="AMY102" s="4"/>
      <c r="AMZ102" s="4"/>
      <c r="ANA102" s="4"/>
      <c r="ANB102" s="4"/>
      <c r="ANC102" s="4"/>
      <c r="AND102" s="4"/>
      <c r="ANE102" s="4"/>
      <c r="ANF102" s="4"/>
      <c r="ANG102" s="4"/>
      <c r="ANH102" s="4"/>
      <c r="ANI102" s="4"/>
      <c r="ANJ102" s="4"/>
      <c r="ANK102" s="4"/>
      <c r="ANL102" s="4"/>
      <c r="ANM102" s="4"/>
      <c r="ANN102" s="4"/>
      <c r="ANO102" s="4"/>
      <c r="ANP102" s="4"/>
      <c r="ANQ102" s="4"/>
      <c r="ANR102" s="4"/>
      <c r="ANS102" s="4"/>
      <c r="ANT102" s="4"/>
      <c r="ANU102" s="4"/>
      <c r="ANV102" s="4"/>
      <c r="ANW102" s="4"/>
      <c r="ANX102" s="4"/>
      <c r="ANY102" s="4"/>
      <c r="ANZ102" s="4"/>
      <c r="AOA102" s="4"/>
      <c r="AOB102" s="4"/>
      <c r="AOC102" s="4"/>
      <c r="AOD102" s="4"/>
      <c r="AOE102" s="4"/>
      <c r="AOF102" s="4"/>
      <c r="AOG102" s="4"/>
      <c r="AOH102" s="4"/>
      <c r="AOI102" s="4"/>
      <c r="AOJ102" s="4"/>
      <c r="AOK102" s="4"/>
      <c r="AOL102" s="4"/>
      <c r="AOM102" s="4"/>
      <c r="AON102" s="4"/>
      <c r="AOO102" s="4"/>
      <c r="AOP102" s="4"/>
      <c r="AOQ102" s="4"/>
      <c r="AOR102" s="4"/>
      <c r="AOS102" s="4"/>
      <c r="AOT102" s="4"/>
      <c r="AOU102" s="4"/>
      <c r="AOV102" s="4"/>
      <c r="AOW102" s="4"/>
      <c r="AOX102" s="4"/>
      <c r="AOY102" s="4"/>
      <c r="AOZ102" s="4"/>
      <c r="APA102" s="4"/>
      <c r="APB102" s="4"/>
      <c r="APC102" s="4"/>
      <c r="APD102" s="4"/>
      <c r="APE102" s="4"/>
      <c r="APF102" s="4"/>
      <c r="APG102" s="4"/>
      <c r="APH102" s="4"/>
      <c r="API102" s="4"/>
      <c r="APJ102" s="4"/>
      <c r="APK102" s="4"/>
      <c r="APL102" s="4"/>
      <c r="APM102" s="4"/>
      <c r="APN102" s="4"/>
      <c r="APO102" s="4"/>
      <c r="APP102" s="4"/>
      <c r="APQ102" s="4"/>
      <c r="APR102" s="4"/>
      <c r="APS102" s="4"/>
      <c r="APT102" s="4"/>
      <c r="APU102" s="4"/>
      <c r="APV102" s="4"/>
      <c r="APW102" s="4"/>
      <c r="APX102" s="4"/>
      <c r="APY102" s="4"/>
      <c r="APZ102" s="4"/>
      <c r="AQA102" s="4"/>
      <c r="AQB102" s="4"/>
      <c r="AQC102" s="4"/>
      <c r="AQD102" s="4"/>
      <c r="AQE102" s="4"/>
      <c r="AQF102" s="4"/>
      <c r="AQG102" s="4"/>
      <c r="AQH102" s="4"/>
      <c r="AQI102" s="4"/>
      <c r="AQJ102" s="4"/>
      <c r="AQK102" s="4"/>
      <c r="AQL102" s="4"/>
      <c r="AQM102" s="4"/>
      <c r="AQN102" s="4"/>
      <c r="AQO102" s="4"/>
      <c r="AQP102" s="4"/>
      <c r="AQQ102" s="4"/>
      <c r="AQR102" s="4"/>
      <c r="AQS102" s="4"/>
      <c r="AQT102" s="4"/>
      <c r="AQU102" s="4"/>
      <c r="AQV102" s="4"/>
      <c r="AQW102" s="4"/>
      <c r="AQX102" s="4"/>
      <c r="AQY102" s="4"/>
      <c r="AQZ102" s="4"/>
      <c r="ARA102" s="4"/>
      <c r="ARB102" s="4"/>
      <c r="ARC102" s="4"/>
      <c r="ARD102" s="4"/>
      <c r="ARE102" s="4"/>
      <c r="ARF102" s="4"/>
      <c r="ARG102" s="4"/>
      <c r="ARH102" s="4"/>
      <c r="ARI102" s="4"/>
      <c r="ARJ102" s="4"/>
      <c r="ARK102" s="4"/>
      <c r="ARL102" s="4"/>
      <c r="ARM102" s="4"/>
      <c r="ARN102" s="4"/>
      <c r="ARO102" s="4"/>
      <c r="ARP102" s="4"/>
      <c r="ARQ102" s="4"/>
      <c r="ARR102" s="4"/>
      <c r="ARS102" s="4"/>
      <c r="ART102" s="4"/>
      <c r="ARU102" s="4"/>
      <c r="ARV102" s="4"/>
      <c r="ARW102" s="4"/>
      <c r="ARX102" s="4"/>
      <c r="ARY102" s="4"/>
      <c r="ARZ102" s="4"/>
      <c r="ASA102" s="4"/>
      <c r="ASB102" s="4"/>
      <c r="ASC102" s="4"/>
      <c r="ASD102" s="4"/>
      <c r="ASE102" s="4"/>
      <c r="ASF102" s="4"/>
      <c r="ASG102" s="4"/>
      <c r="ASH102" s="4"/>
      <c r="ASI102" s="4"/>
      <c r="ASJ102" s="4"/>
      <c r="ASK102" s="4"/>
      <c r="ASL102" s="4"/>
      <c r="ASM102" s="4"/>
      <c r="ASN102" s="4"/>
      <c r="ASO102" s="4"/>
      <c r="ASP102" s="4"/>
      <c r="ASQ102" s="4"/>
      <c r="ASR102" s="4"/>
      <c r="ASS102" s="4"/>
      <c r="AST102" s="4"/>
      <c r="ASU102" s="4"/>
    </row>
    <row r="103" ht="80.25" customHeight="1" spans="1:1191" s="74" customFormat="1" x14ac:dyDescent="0.25">
      <c r="A103" s="75" t="s">
        <v>25</v>
      </c>
      <c r="B103" s="76" t="s">
        <v>26</v>
      </c>
      <c r="C103" s="77" t="s">
        <v>27</v>
      </c>
      <c r="D103" s="78" t="s">
        <v>28</v>
      </c>
      <c r="E103" s="79" t="s">
        <v>29</v>
      </c>
      <c r="F103" s="79" t="s">
        <v>30</v>
      </c>
      <c r="G103" s="80"/>
      <c r="H103" s="81" t="s">
        <v>31</v>
      </c>
      <c r="I103" s="80"/>
      <c r="J103" s="81" t="s">
        <v>32</v>
      </c>
      <c r="K103" s="80"/>
      <c r="L103" s="81" t="s">
        <v>33</v>
      </c>
      <c r="M103" s="80"/>
      <c r="N103" s="82" t="s">
        <v>34</v>
      </c>
      <c r="O103" s="80"/>
      <c r="P103" s="82" t="s">
        <v>35</v>
      </c>
      <c r="Q103" s="80"/>
      <c r="R103" s="81" t="s">
        <v>36</v>
      </c>
      <c r="S103" s="80"/>
      <c r="T103" s="81" t="s">
        <v>37</v>
      </c>
      <c r="U103" s="80"/>
      <c r="V103" s="81" t="s">
        <v>38</v>
      </c>
      <c r="W103" s="80"/>
      <c r="X103" s="81" t="s">
        <v>39</v>
      </c>
      <c r="Y103" s="80"/>
      <c r="Z103" s="81" t="s">
        <v>40</v>
      </c>
      <c r="AA103" s="80"/>
      <c r="AB103" s="81" t="s">
        <v>41</v>
      </c>
      <c r="AC103" s="80"/>
      <c r="AD103" s="83" t="s">
        <v>42</v>
      </c>
      <c r="AE103" s="84" t="s">
        <v>43</v>
      </c>
      <c r="AF103" s="85" t="s">
        <v>44</v>
      </c>
      <c r="AG103" s="78" t="s">
        <v>28</v>
      </c>
      <c r="AH103" s="79" t="s">
        <v>29</v>
      </c>
      <c r="AI103" s="79" t="s">
        <v>30</v>
      </c>
      <c r="AJ103" s="80"/>
      <c r="AK103" s="81" t="s">
        <v>31</v>
      </c>
      <c r="AL103" s="80"/>
      <c r="AM103" s="81" t="s">
        <v>32</v>
      </c>
      <c r="AN103" s="80"/>
      <c r="AO103" s="81" t="s">
        <v>33</v>
      </c>
      <c r="AP103" s="80"/>
      <c r="AQ103" s="82" t="s">
        <v>34</v>
      </c>
      <c r="AR103" s="80"/>
      <c r="AS103" s="82" t="s">
        <v>35</v>
      </c>
      <c r="AT103" s="80"/>
      <c r="AU103" s="81" t="s">
        <v>36</v>
      </c>
      <c r="AV103" s="80"/>
      <c r="AW103" s="81" t="s">
        <v>37</v>
      </c>
      <c r="AX103" s="80"/>
      <c r="AY103" s="81" t="s">
        <v>38</v>
      </c>
      <c r="AZ103" s="80"/>
      <c r="BA103" s="81" t="s">
        <v>39</v>
      </c>
      <c r="BB103" s="80"/>
      <c r="BC103" s="81" t="s">
        <v>40</v>
      </c>
      <c r="BD103" s="80"/>
      <c r="BE103" s="81" t="s">
        <v>41</v>
      </c>
      <c r="BF103" s="80"/>
      <c r="BG103" s="83" t="s">
        <v>42</v>
      </c>
      <c r="BH103" s="84" t="s">
        <v>43</v>
      </c>
      <c r="BI103" s="85" t="s">
        <v>44</v>
      </c>
      <c r="BJ103" s="78" t="s">
        <v>28</v>
      </c>
      <c r="BK103" s="79" t="s">
        <v>29</v>
      </c>
      <c r="BL103" s="79" t="s">
        <v>30</v>
      </c>
      <c r="BM103" s="80"/>
      <c r="BN103" s="81" t="s">
        <v>31</v>
      </c>
      <c r="BO103" s="80"/>
      <c r="BP103" s="81" t="s">
        <v>32</v>
      </c>
      <c r="BQ103" s="80"/>
      <c r="BR103" s="81" t="s">
        <v>33</v>
      </c>
      <c r="BS103" s="80"/>
      <c r="BT103" s="82" t="s">
        <v>34</v>
      </c>
      <c r="BU103" s="80"/>
      <c r="BV103" s="82" t="s">
        <v>35</v>
      </c>
      <c r="BW103" s="80"/>
      <c r="BX103" s="81" t="s">
        <v>36</v>
      </c>
      <c r="BY103" s="80"/>
      <c r="BZ103" s="81" t="s">
        <v>37</v>
      </c>
      <c r="CA103" s="80"/>
      <c r="CB103" s="81" t="s">
        <v>38</v>
      </c>
      <c r="CC103" s="80"/>
      <c r="CD103" s="81" t="s">
        <v>39</v>
      </c>
      <c r="CE103" s="80"/>
      <c r="CF103" s="81" t="s">
        <v>40</v>
      </c>
      <c r="CG103" s="80"/>
      <c r="CH103" s="81" t="s">
        <v>41</v>
      </c>
      <c r="CI103" s="80"/>
      <c r="CJ103" s="83" t="s">
        <v>42</v>
      </c>
      <c r="CK103" s="84" t="s">
        <v>43</v>
      </c>
      <c r="CL103" s="85" t="s">
        <v>44</v>
      </c>
      <c r="CM103" s="78" t="s">
        <v>28</v>
      </c>
      <c r="CN103" s="79" t="s">
        <v>29</v>
      </c>
      <c r="CO103" s="79" t="s">
        <v>30</v>
      </c>
      <c r="CP103" s="80"/>
      <c r="CQ103" s="81" t="s">
        <v>31</v>
      </c>
      <c r="CR103" s="80"/>
      <c r="CS103" s="81" t="s">
        <v>32</v>
      </c>
      <c r="CT103" s="80"/>
      <c r="CU103" s="81" t="s">
        <v>33</v>
      </c>
      <c r="CV103" s="80"/>
      <c r="CW103" s="82" t="s">
        <v>34</v>
      </c>
      <c r="CX103" s="80"/>
      <c r="CY103" s="82" t="s">
        <v>35</v>
      </c>
      <c r="CZ103" s="80"/>
      <c r="DA103" s="81" t="s">
        <v>36</v>
      </c>
      <c r="DB103" s="80"/>
      <c r="DC103" s="81" t="s">
        <v>37</v>
      </c>
      <c r="DD103" s="80"/>
      <c r="DE103" s="81" t="s">
        <v>38</v>
      </c>
      <c r="DF103" s="80"/>
      <c r="DG103" s="81" t="s">
        <v>39</v>
      </c>
      <c r="DH103" s="80"/>
      <c r="DI103" s="81" t="s">
        <v>40</v>
      </c>
      <c r="DJ103" s="80"/>
      <c r="DK103" s="81" t="s">
        <v>41</v>
      </c>
      <c r="DL103" s="80"/>
      <c r="DM103" s="83" t="s">
        <v>42</v>
      </c>
      <c r="DN103" s="84" t="s">
        <v>43</v>
      </c>
      <c r="DO103" s="85" t="s">
        <v>44</v>
      </c>
      <c r="DP103" s="78" t="s">
        <v>28</v>
      </c>
      <c r="DQ103" s="79" t="s">
        <v>29</v>
      </c>
      <c r="DR103" s="79" t="s">
        <v>30</v>
      </c>
      <c r="DS103" s="80"/>
      <c r="DT103" s="81" t="s">
        <v>31</v>
      </c>
      <c r="DU103" s="80"/>
      <c r="DV103" s="81" t="s">
        <v>32</v>
      </c>
      <c r="DW103" s="80"/>
      <c r="DX103" s="81" t="s">
        <v>33</v>
      </c>
      <c r="DY103" s="80"/>
      <c r="DZ103" s="82" t="s">
        <v>34</v>
      </c>
      <c r="EA103" s="80"/>
      <c r="EB103" s="82" t="s">
        <v>35</v>
      </c>
      <c r="EC103" s="80"/>
      <c r="ED103" s="81" t="s">
        <v>36</v>
      </c>
      <c r="EE103" s="80"/>
      <c r="EF103" s="81" t="s">
        <v>37</v>
      </c>
      <c r="EG103" s="80"/>
      <c r="EH103" s="81" t="s">
        <v>38</v>
      </c>
      <c r="EI103" s="80"/>
      <c r="EJ103" s="81" t="s">
        <v>39</v>
      </c>
      <c r="EK103" s="80"/>
      <c r="EL103" s="81" t="s">
        <v>40</v>
      </c>
      <c r="EM103" s="80"/>
      <c r="EN103" s="81" t="s">
        <v>41</v>
      </c>
      <c r="EO103" s="80"/>
      <c r="EP103" s="83" t="s">
        <v>42</v>
      </c>
      <c r="EQ103" s="84" t="s">
        <v>43</v>
      </c>
      <c r="ER103" s="85" t="s">
        <v>44</v>
      </c>
      <c r="ES103" s="78" t="s">
        <v>28</v>
      </c>
      <c r="ET103" s="79" t="s">
        <v>29</v>
      </c>
      <c r="EU103" s="81" t="s">
        <v>30</v>
      </c>
      <c r="EV103" s="80"/>
      <c r="EW103" s="81" t="s">
        <v>31</v>
      </c>
      <c r="EX103" s="80"/>
      <c r="EY103" s="81" t="s">
        <v>32</v>
      </c>
      <c r="EZ103" s="80"/>
      <c r="FA103" s="81" t="s">
        <v>33</v>
      </c>
      <c r="FB103" s="80"/>
      <c r="FC103" s="82" t="s">
        <v>34</v>
      </c>
      <c r="FD103" s="80"/>
      <c r="FE103" s="82" t="s">
        <v>35</v>
      </c>
      <c r="FF103" s="80"/>
      <c r="FG103" s="81" t="s">
        <v>36</v>
      </c>
      <c r="FH103" s="80"/>
      <c r="FI103" s="81" t="s">
        <v>37</v>
      </c>
      <c r="FJ103" s="80"/>
      <c r="FK103" s="81" t="s">
        <v>38</v>
      </c>
      <c r="FL103" s="80"/>
      <c r="FM103" s="81" t="s">
        <v>39</v>
      </c>
      <c r="FN103" s="80"/>
      <c r="FO103" s="81" t="s">
        <v>40</v>
      </c>
      <c r="FP103" s="80"/>
      <c r="FQ103" s="81" t="s">
        <v>41</v>
      </c>
      <c r="FR103" s="80"/>
      <c r="FS103" s="83" t="s">
        <v>42</v>
      </c>
      <c r="FT103" s="84" t="s">
        <v>43</v>
      </c>
      <c r="FU103" s="85" t="s">
        <v>44</v>
      </c>
      <c r="FV103" s="78" t="s">
        <v>28</v>
      </c>
      <c r="FW103" s="79" t="s">
        <v>29</v>
      </c>
      <c r="FX103" s="79" t="s">
        <v>30</v>
      </c>
      <c r="FY103" s="80"/>
      <c r="FZ103" s="81" t="s">
        <v>31</v>
      </c>
      <c r="GA103" s="80"/>
      <c r="GB103" s="81" t="s">
        <v>32</v>
      </c>
      <c r="GC103" s="80"/>
      <c r="GD103" s="81" t="s">
        <v>33</v>
      </c>
      <c r="GE103" s="80"/>
      <c r="GF103" s="82" t="s">
        <v>34</v>
      </c>
      <c r="GG103" s="80"/>
      <c r="GH103" s="82" t="s">
        <v>35</v>
      </c>
      <c r="GI103" s="80"/>
      <c r="GJ103" s="81" t="s">
        <v>36</v>
      </c>
      <c r="GK103" s="80"/>
      <c r="GL103" s="81" t="s">
        <v>37</v>
      </c>
      <c r="GM103" s="80"/>
      <c r="GN103" s="81" t="s">
        <v>38</v>
      </c>
      <c r="GO103" s="80"/>
      <c r="GP103" s="81" t="s">
        <v>39</v>
      </c>
      <c r="GQ103" s="80"/>
      <c r="GR103" s="81" t="s">
        <v>40</v>
      </c>
      <c r="GS103" s="80"/>
      <c r="GT103" s="81" t="s">
        <v>41</v>
      </c>
      <c r="GU103" s="80"/>
      <c r="GV103" s="83" t="s">
        <v>42</v>
      </c>
      <c r="GW103" s="84" t="s">
        <v>43</v>
      </c>
      <c r="GX103" s="85" t="s">
        <v>44</v>
      </c>
      <c r="GY103" s="87" t="s">
        <v>45</v>
      </c>
      <c r="GZ103" s="88" t="s">
        <v>46</v>
      </c>
      <c r="HA103" s="89" t="s">
        <v>47</v>
      </c>
      <c r="HB103" s="78" t="s">
        <v>28</v>
      </c>
      <c r="HC103" s="79" t="s">
        <v>29</v>
      </c>
      <c r="HD103" s="79" t="s">
        <v>30</v>
      </c>
      <c r="HE103" s="80"/>
      <c r="HF103" s="81" t="s">
        <v>31</v>
      </c>
      <c r="HG103" s="80"/>
      <c r="HH103" s="81" t="s">
        <v>32</v>
      </c>
      <c r="HI103" s="80"/>
      <c r="HJ103" s="81" t="s">
        <v>33</v>
      </c>
      <c r="HK103" s="80"/>
      <c r="HL103" s="82" t="s">
        <v>34</v>
      </c>
      <c r="HM103" s="80"/>
      <c r="HN103" s="82" t="s">
        <v>35</v>
      </c>
      <c r="HO103" s="80"/>
      <c r="HP103" s="81" t="s">
        <v>36</v>
      </c>
      <c r="HQ103" s="80"/>
      <c r="HR103" s="81" t="s">
        <v>37</v>
      </c>
      <c r="HS103" s="80"/>
      <c r="HT103" s="81" t="s">
        <v>38</v>
      </c>
      <c r="HU103" s="80"/>
      <c r="HV103" s="81" t="s">
        <v>39</v>
      </c>
      <c r="HW103" s="80"/>
      <c r="HX103" s="81" t="s">
        <v>40</v>
      </c>
      <c r="HY103" s="80"/>
      <c r="HZ103" s="81" t="s">
        <v>41</v>
      </c>
      <c r="IA103" s="80"/>
      <c r="IB103" s="83" t="s">
        <v>42</v>
      </c>
      <c r="IC103" s="84" t="s">
        <v>43</v>
      </c>
      <c r="ID103" s="85" t="s">
        <v>44</v>
      </c>
      <c r="IE103" s="78" t="s">
        <v>28</v>
      </c>
      <c r="IF103" s="79" t="s">
        <v>29</v>
      </c>
      <c r="IG103" s="79" t="s">
        <v>30</v>
      </c>
      <c r="IH103" s="80"/>
      <c r="II103" s="81" t="s">
        <v>31</v>
      </c>
      <c r="IJ103" s="80"/>
      <c r="IK103" s="81" t="s">
        <v>32</v>
      </c>
      <c r="IL103" s="80"/>
      <c r="IM103" s="81" t="s">
        <v>33</v>
      </c>
      <c r="IN103" s="80"/>
      <c r="IO103" s="82" t="s">
        <v>34</v>
      </c>
      <c r="IP103" s="80"/>
      <c r="IQ103" s="82" t="s">
        <v>35</v>
      </c>
      <c r="IR103" s="80"/>
      <c r="IS103" s="81" t="s">
        <v>36</v>
      </c>
      <c r="IT103" s="80"/>
      <c r="IU103" s="81" t="s">
        <v>37</v>
      </c>
      <c r="IV103" s="80"/>
      <c r="IW103" s="81" t="s">
        <v>38</v>
      </c>
      <c r="IX103" s="80"/>
      <c r="IY103" s="81" t="s">
        <v>39</v>
      </c>
      <c r="IZ103" s="80"/>
      <c r="JA103" s="81" t="s">
        <v>40</v>
      </c>
      <c r="JB103" s="80"/>
      <c r="JC103" s="81" t="s">
        <v>41</v>
      </c>
      <c r="JD103" s="80"/>
      <c r="JE103" s="83" t="s">
        <v>42</v>
      </c>
      <c r="JF103" s="84" t="s">
        <v>43</v>
      </c>
      <c r="JG103" s="85" t="s">
        <v>44</v>
      </c>
      <c r="JH103" s="78" t="s">
        <v>28</v>
      </c>
      <c r="JI103" s="79" t="s">
        <v>29</v>
      </c>
      <c r="JJ103" s="79" t="s">
        <v>30</v>
      </c>
      <c r="JK103" s="80"/>
      <c r="JL103" s="81" t="s">
        <v>31</v>
      </c>
      <c r="JM103" s="80"/>
      <c r="JN103" s="81" t="s">
        <v>32</v>
      </c>
      <c r="JO103" s="80"/>
      <c r="JP103" s="81" t="s">
        <v>33</v>
      </c>
      <c r="JQ103" s="80"/>
      <c r="JR103" s="82" t="s">
        <v>34</v>
      </c>
      <c r="JS103" s="80"/>
      <c r="JT103" s="82" t="s">
        <v>35</v>
      </c>
      <c r="JU103" s="80"/>
      <c r="JV103" s="81" t="s">
        <v>36</v>
      </c>
      <c r="JW103" s="80"/>
      <c r="JX103" s="81" t="s">
        <v>37</v>
      </c>
      <c r="JY103" s="80"/>
      <c r="JZ103" s="81" t="s">
        <v>38</v>
      </c>
      <c r="KA103" s="80"/>
      <c r="KB103" s="81" t="s">
        <v>39</v>
      </c>
      <c r="KC103" s="80"/>
      <c r="KD103" s="81" t="s">
        <v>40</v>
      </c>
      <c r="KE103" s="80"/>
      <c r="KF103" s="81" t="s">
        <v>41</v>
      </c>
      <c r="KG103" s="80"/>
      <c r="KH103" s="83" t="s">
        <v>42</v>
      </c>
      <c r="KI103" s="84" t="s">
        <v>43</v>
      </c>
      <c r="KJ103" s="85" t="s">
        <v>44</v>
      </c>
      <c r="KK103" s="78" t="s">
        <v>28</v>
      </c>
      <c r="KL103" s="79" t="s">
        <v>29</v>
      </c>
      <c r="KM103" s="79" t="s">
        <v>30</v>
      </c>
      <c r="KN103" s="80"/>
      <c r="KO103" s="81" t="s">
        <v>31</v>
      </c>
      <c r="KP103" s="80"/>
      <c r="KQ103" s="81" t="s">
        <v>32</v>
      </c>
      <c r="KR103" s="80"/>
      <c r="KS103" s="81" t="s">
        <v>33</v>
      </c>
      <c r="KT103" s="80"/>
      <c r="KU103" s="82" t="s">
        <v>34</v>
      </c>
      <c r="KV103" s="80"/>
      <c r="KW103" s="82" t="s">
        <v>35</v>
      </c>
      <c r="KX103" s="80"/>
      <c r="KY103" s="81" t="s">
        <v>36</v>
      </c>
      <c r="KZ103" s="80"/>
      <c r="LA103" s="81" t="s">
        <v>37</v>
      </c>
      <c r="LB103" s="80"/>
      <c r="LC103" s="81" t="s">
        <v>38</v>
      </c>
      <c r="LD103" s="80"/>
      <c r="LE103" s="81" t="s">
        <v>39</v>
      </c>
      <c r="LF103" s="80"/>
      <c r="LG103" s="81" t="s">
        <v>40</v>
      </c>
      <c r="LH103" s="80"/>
      <c r="LI103" s="81" t="s">
        <v>41</v>
      </c>
      <c r="LJ103" s="80"/>
      <c r="LK103" s="83" t="s">
        <v>42</v>
      </c>
      <c r="LL103" s="84" t="s">
        <v>43</v>
      </c>
      <c r="LM103" s="85" t="s">
        <v>44</v>
      </c>
      <c r="LN103" s="78" t="s">
        <v>28</v>
      </c>
      <c r="LO103" s="79" t="s">
        <v>29</v>
      </c>
      <c r="LP103" s="79" t="s">
        <v>30</v>
      </c>
      <c r="LQ103" s="80"/>
      <c r="LR103" s="81" t="s">
        <v>31</v>
      </c>
      <c r="LS103" s="80"/>
      <c r="LT103" s="81" t="s">
        <v>32</v>
      </c>
      <c r="LU103" s="80"/>
      <c r="LV103" s="81" t="s">
        <v>33</v>
      </c>
      <c r="LW103" s="80"/>
      <c r="LX103" s="82" t="s">
        <v>34</v>
      </c>
      <c r="LY103" s="80"/>
      <c r="LZ103" s="82" t="s">
        <v>35</v>
      </c>
      <c r="MA103" s="80"/>
      <c r="MB103" s="81" t="s">
        <v>36</v>
      </c>
      <c r="MC103" s="80"/>
      <c r="MD103" s="81" t="s">
        <v>37</v>
      </c>
      <c r="ME103" s="80"/>
      <c r="MF103" s="81" t="s">
        <v>38</v>
      </c>
      <c r="MG103" s="80"/>
      <c r="MH103" s="81" t="s">
        <v>39</v>
      </c>
      <c r="MI103" s="80"/>
      <c r="MJ103" s="81" t="s">
        <v>40</v>
      </c>
      <c r="MK103" s="80"/>
      <c r="ML103" s="81" t="s">
        <v>41</v>
      </c>
      <c r="MM103" s="80"/>
      <c r="MN103" s="83" t="s">
        <v>42</v>
      </c>
      <c r="MO103" s="84" t="s">
        <v>43</v>
      </c>
      <c r="MP103" s="85" t="s">
        <v>44</v>
      </c>
      <c r="MQ103" s="78" t="s">
        <v>28</v>
      </c>
      <c r="MR103" s="79" t="s">
        <v>29</v>
      </c>
      <c r="MS103" s="81" t="s">
        <v>30</v>
      </c>
      <c r="MT103" s="80"/>
      <c r="MU103" s="81" t="s">
        <v>31</v>
      </c>
      <c r="MV103" s="80"/>
      <c r="MW103" s="81" t="s">
        <v>32</v>
      </c>
      <c r="MX103" s="80"/>
      <c r="MY103" s="81" t="s">
        <v>33</v>
      </c>
      <c r="MZ103" s="80"/>
      <c r="NA103" s="82" t="s">
        <v>34</v>
      </c>
      <c r="NB103" s="80"/>
      <c r="NC103" s="82" t="s">
        <v>35</v>
      </c>
      <c r="ND103" s="80"/>
      <c r="NE103" s="81" t="s">
        <v>36</v>
      </c>
      <c r="NF103" s="80"/>
      <c r="NG103" s="81" t="s">
        <v>37</v>
      </c>
      <c r="NH103" s="80"/>
      <c r="NI103" s="81" t="s">
        <v>38</v>
      </c>
      <c r="NJ103" s="80"/>
      <c r="NK103" s="81" t="s">
        <v>39</v>
      </c>
      <c r="NL103" s="80"/>
      <c r="NM103" s="81" t="s">
        <v>40</v>
      </c>
      <c r="NN103" s="80"/>
      <c r="NO103" s="81" t="s">
        <v>41</v>
      </c>
      <c r="NP103" s="80"/>
      <c r="NQ103" s="83" t="s">
        <v>42</v>
      </c>
      <c r="NR103" s="84" t="s">
        <v>43</v>
      </c>
      <c r="NS103" s="85" t="s">
        <v>44</v>
      </c>
      <c r="NT103" s="78" t="s">
        <v>28</v>
      </c>
      <c r="NU103" s="79" t="s">
        <v>29</v>
      </c>
      <c r="NV103" s="79" t="s">
        <v>30</v>
      </c>
      <c r="NW103" s="80"/>
      <c r="NX103" s="81" t="s">
        <v>31</v>
      </c>
      <c r="NY103" s="80"/>
      <c r="NZ103" s="81" t="s">
        <v>32</v>
      </c>
      <c r="OA103" s="80"/>
      <c r="OB103" s="81" t="s">
        <v>33</v>
      </c>
      <c r="OC103" s="80"/>
      <c r="OD103" s="82" t="s">
        <v>34</v>
      </c>
      <c r="OE103" s="80"/>
      <c r="OF103" s="82" t="s">
        <v>35</v>
      </c>
      <c r="OG103" s="80"/>
      <c r="OH103" s="81" t="s">
        <v>36</v>
      </c>
      <c r="OI103" s="80"/>
      <c r="OJ103" s="81" t="s">
        <v>37</v>
      </c>
      <c r="OK103" s="80"/>
      <c r="OL103" s="81" t="s">
        <v>38</v>
      </c>
      <c r="OM103" s="80"/>
      <c r="ON103" s="81" t="s">
        <v>39</v>
      </c>
      <c r="OO103" s="80"/>
      <c r="OP103" s="81" t="s">
        <v>40</v>
      </c>
      <c r="OQ103" s="80"/>
      <c r="OR103" s="81" t="s">
        <v>41</v>
      </c>
      <c r="OS103" s="80"/>
      <c r="OT103" s="83" t="s">
        <v>42</v>
      </c>
      <c r="OU103" s="84" t="s">
        <v>43</v>
      </c>
      <c r="OV103" s="85" t="s">
        <v>44</v>
      </c>
      <c r="OW103" s="87" t="s">
        <v>45</v>
      </c>
      <c r="OX103" s="88" t="s">
        <v>46</v>
      </c>
      <c r="OY103" s="89" t="s">
        <v>47</v>
      </c>
      <c r="OZ103" s="78" t="s">
        <v>28</v>
      </c>
      <c r="PA103" s="79" t="s">
        <v>29</v>
      </c>
      <c r="PB103" s="79" t="s">
        <v>30</v>
      </c>
      <c r="PC103" s="80"/>
      <c r="PD103" s="81" t="s">
        <v>31</v>
      </c>
      <c r="PE103" s="80"/>
      <c r="PF103" s="81" t="s">
        <v>32</v>
      </c>
      <c r="PG103" s="80"/>
      <c r="PH103" s="81" t="s">
        <v>33</v>
      </c>
      <c r="PI103" s="80"/>
      <c r="PJ103" s="82" t="s">
        <v>34</v>
      </c>
      <c r="PK103" s="80"/>
      <c r="PL103" s="82" t="s">
        <v>35</v>
      </c>
      <c r="PM103" s="80"/>
      <c r="PN103" s="81" t="s">
        <v>36</v>
      </c>
      <c r="PO103" s="80"/>
      <c r="PP103" s="81" t="s">
        <v>37</v>
      </c>
      <c r="PQ103" s="80"/>
      <c r="PR103" s="81" t="s">
        <v>38</v>
      </c>
      <c r="PS103" s="80"/>
      <c r="PT103" s="81" t="s">
        <v>39</v>
      </c>
      <c r="PU103" s="80"/>
      <c r="PV103" s="81" t="s">
        <v>40</v>
      </c>
      <c r="PW103" s="80"/>
      <c r="PX103" s="81" t="s">
        <v>41</v>
      </c>
      <c r="PY103" s="80"/>
      <c r="PZ103" s="83" t="s">
        <v>42</v>
      </c>
      <c r="QA103" s="84" t="s">
        <v>43</v>
      </c>
      <c r="QB103" s="85" t="s">
        <v>44</v>
      </c>
      <c r="QC103" s="78" t="s">
        <v>28</v>
      </c>
      <c r="QD103" s="79" t="s">
        <v>29</v>
      </c>
      <c r="QE103" s="79" t="s">
        <v>30</v>
      </c>
      <c r="QF103" s="80"/>
      <c r="QG103" s="81" t="s">
        <v>31</v>
      </c>
      <c r="QH103" s="80"/>
      <c r="QI103" s="81" t="s">
        <v>32</v>
      </c>
      <c r="QJ103" s="80"/>
      <c r="QK103" s="81" t="s">
        <v>33</v>
      </c>
      <c r="QL103" s="80"/>
      <c r="QM103" s="82" t="s">
        <v>34</v>
      </c>
      <c r="QN103" s="80"/>
      <c r="QO103" s="82" t="s">
        <v>35</v>
      </c>
      <c r="QP103" s="80"/>
      <c r="QQ103" s="81" t="s">
        <v>36</v>
      </c>
      <c r="QR103" s="80"/>
      <c r="QS103" s="81" t="s">
        <v>37</v>
      </c>
      <c r="QT103" s="80"/>
      <c r="QU103" s="81" t="s">
        <v>38</v>
      </c>
      <c r="QV103" s="80"/>
      <c r="QW103" s="81" t="s">
        <v>39</v>
      </c>
      <c r="QX103" s="80"/>
      <c r="QY103" s="81" t="s">
        <v>40</v>
      </c>
      <c r="QZ103" s="80"/>
      <c r="RA103" s="81" t="s">
        <v>41</v>
      </c>
      <c r="RB103" s="80"/>
      <c r="RC103" s="83" t="s">
        <v>42</v>
      </c>
      <c r="RD103" s="84" t="s">
        <v>43</v>
      </c>
      <c r="RE103" s="85" t="s">
        <v>44</v>
      </c>
      <c r="RF103" s="78" t="s">
        <v>28</v>
      </c>
      <c r="RG103" s="81" t="s">
        <v>29</v>
      </c>
      <c r="RH103" s="79" t="s">
        <v>30</v>
      </c>
      <c r="RI103" s="80"/>
      <c r="RJ103" s="81" t="s">
        <v>31</v>
      </c>
      <c r="RK103" s="80"/>
      <c r="RL103" s="81" t="s">
        <v>32</v>
      </c>
      <c r="RM103" s="80"/>
      <c r="RN103" s="81" t="s">
        <v>33</v>
      </c>
      <c r="RO103" s="80"/>
      <c r="RP103" s="82" t="s">
        <v>34</v>
      </c>
      <c r="RQ103" s="80"/>
      <c r="RR103" s="82" t="s">
        <v>35</v>
      </c>
      <c r="RS103" s="80"/>
      <c r="RT103" s="81" t="s">
        <v>36</v>
      </c>
      <c r="RU103" s="80"/>
      <c r="RV103" s="81" t="s">
        <v>37</v>
      </c>
      <c r="RW103" s="80"/>
      <c r="RX103" s="81" t="s">
        <v>38</v>
      </c>
      <c r="RY103" s="80"/>
      <c r="RZ103" s="81" t="s">
        <v>39</v>
      </c>
      <c r="SA103" s="80"/>
      <c r="SB103" s="81" t="s">
        <v>40</v>
      </c>
      <c r="SC103" s="80"/>
      <c r="SD103" s="81" t="s">
        <v>41</v>
      </c>
      <c r="SE103" s="80"/>
      <c r="SF103" s="83" t="s">
        <v>42</v>
      </c>
      <c r="SG103" s="84" t="s">
        <v>43</v>
      </c>
      <c r="SH103" s="85" t="s">
        <v>44</v>
      </c>
      <c r="SI103" s="78" t="s">
        <v>28</v>
      </c>
      <c r="SJ103" s="79" t="s">
        <v>29</v>
      </c>
      <c r="SK103" s="79" t="s">
        <v>30</v>
      </c>
      <c r="SL103" s="80"/>
      <c r="SM103" s="81" t="s">
        <v>31</v>
      </c>
      <c r="SN103" s="80"/>
      <c r="SO103" s="81" t="s">
        <v>32</v>
      </c>
      <c r="SP103" s="80"/>
      <c r="SQ103" s="81" t="s">
        <v>33</v>
      </c>
      <c r="SR103" s="80"/>
      <c r="SS103" s="82" t="s">
        <v>34</v>
      </c>
      <c r="ST103" s="80"/>
      <c r="SU103" s="82" t="s">
        <v>35</v>
      </c>
      <c r="SV103" s="80"/>
      <c r="SW103" s="81" t="s">
        <v>36</v>
      </c>
      <c r="SX103" s="80"/>
      <c r="SY103" s="81" t="s">
        <v>37</v>
      </c>
      <c r="SZ103" s="80"/>
      <c r="TA103" s="81" t="s">
        <v>38</v>
      </c>
      <c r="TB103" s="80"/>
      <c r="TC103" s="81" t="s">
        <v>39</v>
      </c>
      <c r="TD103" s="80"/>
      <c r="TE103" s="81" t="s">
        <v>40</v>
      </c>
      <c r="TF103" s="80"/>
      <c r="TG103" s="81" t="s">
        <v>41</v>
      </c>
      <c r="TH103" s="80"/>
      <c r="TI103" s="83" t="s">
        <v>42</v>
      </c>
      <c r="TJ103" s="84" t="s">
        <v>43</v>
      </c>
      <c r="TK103" s="85" t="s">
        <v>44</v>
      </c>
      <c r="TL103" s="78" t="s">
        <v>28</v>
      </c>
      <c r="TM103" s="79" t="s">
        <v>29</v>
      </c>
      <c r="TN103" s="79" t="s">
        <v>30</v>
      </c>
      <c r="TO103" s="80"/>
      <c r="TP103" s="81" t="s">
        <v>31</v>
      </c>
      <c r="TQ103" s="80"/>
      <c r="TR103" s="81" t="s">
        <v>32</v>
      </c>
      <c r="TS103" s="80"/>
      <c r="TT103" s="81" t="s">
        <v>33</v>
      </c>
      <c r="TU103" s="80"/>
      <c r="TV103" s="82" t="s">
        <v>34</v>
      </c>
      <c r="TW103" s="80"/>
      <c r="TX103" s="82" t="s">
        <v>35</v>
      </c>
      <c r="TY103" s="80"/>
      <c r="TZ103" s="81" t="s">
        <v>36</v>
      </c>
      <c r="UA103" s="80"/>
      <c r="UB103" s="81" t="s">
        <v>37</v>
      </c>
      <c r="UC103" s="80"/>
      <c r="UD103" s="81" t="s">
        <v>38</v>
      </c>
      <c r="UE103" s="80"/>
      <c r="UF103" s="81" t="s">
        <v>39</v>
      </c>
      <c r="UG103" s="80"/>
      <c r="UH103" s="81" t="s">
        <v>40</v>
      </c>
      <c r="UI103" s="80"/>
      <c r="UJ103" s="81" t="s">
        <v>41</v>
      </c>
      <c r="UK103" s="80"/>
      <c r="UL103" s="83" t="s">
        <v>42</v>
      </c>
      <c r="UM103" s="84" t="s">
        <v>43</v>
      </c>
      <c r="UN103" s="85" t="s">
        <v>44</v>
      </c>
      <c r="UO103" s="78" t="s">
        <v>28</v>
      </c>
      <c r="UP103" s="79" t="s">
        <v>29</v>
      </c>
      <c r="UQ103" s="81" t="s">
        <v>30</v>
      </c>
      <c r="UR103" s="80"/>
      <c r="US103" s="81" t="s">
        <v>31</v>
      </c>
      <c r="UT103" s="80"/>
      <c r="UU103" s="81" t="s">
        <v>32</v>
      </c>
      <c r="UV103" s="80"/>
      <c r="UW103" s="81" t="s">
        <v>33</v>
      </c>
      <c r="UX103" s="80"/>
      <c r="UY103" s="82" t="s">
        <v>34</v>
      </c>
      <c r="UZ103" s="80"/>
      <c r="VA103" s="82" t="s">
        <v>35</v>
      </c>
      <c r="VB103" s="80"/>
      <c r="VC103" s="81" t="s">
        <v>36</v>
      </c>
      <c r="VD103" s="80"/>
      <c r="VE103" s="81" t="s">
        <v>37</v>
      </c>
      <c r="VF103" s="80"/>
      <c r="VG103" s="81" t="s">
        <v>38</v>
      </c>
      <c r="VH103" s="80"/>
      <c r="VI103" s="81" t="s">
        <v>39</v>
      </c>
      <c r="VJ103" s="80"/>
      <c r="VK103" s="81" t="s">
        <v>40</v>
      </c>
      <c r="VL103" s="80"/>
      <c r="VM103" s="81" t="s">
        <v>41</v>
      </c>
      <c r="VN103" s="80"/>
      <c r="VO103" s="83" t="s">
        <v>42</v>
      </c>
      <c r="VP103" s="84" t="s">
        <v>43</v>
      </c>
      <c r="VQ103" s="85" t="s">
        <v>44</v>
      </c>
      <c r="VR103" s="78" t="s">
        <v>28</v>
      </c>
      <c r="VS103" s="79" t="s">
        <v>29</v>
      </c>
      <c r="VT103" s="79" t="s">
        <v>30</v>
      </c>
      <c r="VU103" s="80"/>
      <c r="VV103" s="81" t="s">
        <v>31</v>
      </c>
      <c r="VW103" s="80"/>
      <c r="VX103" s="81" t="s">
        <v>32</v>
      </c>
      <c r="VY103" s="80"/>
      <c r="VZ103" s="81" t="s">
        <v>33</v>
      </c>
      <c r="WA103" s="80"/>
      <c r="WB103" s="82" t="s">
        <v>34</v>
      </c>
      <c r="WC103" s="80"/>
      <c r="WD103" s="82" t="s">
        <v>35</v>
      </c>
      <c r="WE103" s="80"/>
      <c r="WF103" s="81" t="s">
        <v>36</v>
      </c>
      <c r="WG103" s="80"/>
      <c r="WH103" s="81" t="s">
        <v>37</v>
      </c>
      <c r="WI103" s="80"/>
      <c r="WJ103" s="81" t="s">
        <v>38</v>
      </c>
      <c r="WK103" s="80"/>
      <c r="WL103" s="81" t="s">
        <v>39</v>
      </c>
      <c r="WM103" s="80"/>
      <c r="WN103" s="81" t="s">
        <v>40</v>
      </c>
      <c r="WO103" s="80"/>
      <c r="WP103" s="81" t="s">
        <v>41</v>
      </c>
      <c r="WQ103" s="80"/>
      <c r="WR103" s="83" t="s">
        <v>42</v>
      </c>
      <c r="WS103" s="84" t="s">
        <v>43</v>
      </c>
      <c r="WT103" s="85" t="s">
        <v>44</v>
      </c>
      <c r="WU103" s="87" t="s">
        <v>45</v>
      </c>
      <c r="WV103" s="88" t="s">
        <v>46</v>
      </c>
      <c r="WW103" s="89" t="s">
        <v>47</v>
      </c>
      <c r="WX103" s="78" t="s">
        <v>28</v>
      </c>
      <c r="WY103" s="79" t="s">
        <v>29</v>
      </c>
      <c r="WZ103" s="79" t="s">
        <v>30</v>
      </c>
      <c r="XA103" s="80"/>
      <c r="XB103" s="81" t="s">
        <v>31</v>
      </c>
      <c r="XC103" s="80"/>
      <c r="XD103" s="81" t="s">
        <v>32</v>
      </c>
      <c r="XE103" s="80"/>
      <c r="XF103" s="81" t="s">
        <v>33</v>
      </c>
      <c r="XG103" s="80"/>
      <c r="XH103" s="82" t="s">
        <v>34</v>
      </c>
      <c r="XI103" s="80"/>
      <c r="XJ103" s="82" t="s">
        <v>35</v>
      </c>
      <c r="XK103" s="80"/>
      <c r="XL103" s="81" t="s">
        <v>36</v>
      </c>
      <c r="XM103" s="80"/>
      <c r="XN103" s="81" t="s">
        <v>37</v>
      </c>
      <c r="XO103" s="80"/>
      <c r="XP103" s="81" t="s">
        <v>38</v>
      </c>
      <c r="XQ103" s="80"/>
      <c r="XR103" s="81" t="s">
        <v>39</v>
      </c>
      <c r="XS103" s="80"/>
      <c r="XT103" s="81" t="s">
        <v>40</v>
      </c>
      <c r="XU103" s="80"/>
      <c r="XV103" s="81" t="s">
        <v>41</v>
      </c>
      <c r="XW103" s="80"/>
      <c r="XX103" s="83" t="s">
        <v>42</v>
      </c>
      <c r="XY103" s="84" t="s">
        <v>43</v>
      </c>
      <c r="XZ103" s="85" t="s">
        <v>44</v>
      </c>
      <c r="YA103" s="78" t="s">
        <v>28</v>
      </c>
      <c r="YB103" s="79" t="s">
        <v>29</v>
      </c>
      <c r="YC103" s="79" t="s">
        <v>30</v>
      </c>
      <c r="YD103" s="80"/>
      <c r="YE103" s="81" t="s">
        <v>31</v>
      </c>
      <c r="YF103" s="80"/>
      <c r="YG103" s="81" t="s">
        <v>32</v>
      </c>
      <c r="YH103" s="80"/>
      <c r="YI103" s="81" t="s">
        <v>33</v>
      </c>
      <c r="YJ103" s="80"/>
      <c r="YK103" s="82" t="s">
        <v>34</v>
      </c>
      <c r="YL103" s="80"/>
      <c r="YM103" s="82" t="s">
        <v>35</v>
      </c>
      <c r="YN103" s="80"/>
      <c r="YO103" s="81" t="s">
        <v>36</v>
      </c>
      <c r="YP103" s="80"/>
      <c r="YQ103" s="81" t="s">
        <v>37</v>
      </c>
      <c r="YR103" s="80"/>
      <c r="YS103" s="81" t="s">
        <v>38</v>
      </c>
      <c r="YT103" s="80"/>
      <c r="YU103" s="81" t="s">
        <v>39</v>
      </c>
      <c r="YV103" s="80"/>
      <c r="YW103" s="81" t="s">
        <v>40</v>
      </c>
      <c r="YX103" s="80"/>
      <c r="YY103" s="81" t="s">
        <v>41</v>
      </c>
      <c r="YZ103" s="80"/>
      <c r="ZA103" s="83" t="s">
        <v>42</v>
      </c>
      <c r="ZB103" s="84" t="s">
        <v>43</v>
      </c>
      <c r="ZC103" s="85" t="s">
        <v>44</v>
      </c>
      <c r="ZD103" s="78" t="s">
        <v>28</v>
      </c>
      <c r="ZE103" s="79" t="s">
        <v>29</v>
      </c>
      <c r="ZF103" s="79" t="s">
        <v>30</v>
      </c>
      <c r="ZG103" s="80"/>
      <c r="ZH103" s="81" t="s">
        <v>31</v>
      </c>
      <c r="ZI103" s="80"/>
      <c r="ZJ103" s="81" t="s">
        <v>32</v>
      </c>
      <c r="ZK103" s="80"/>
      <c r="ZL103" s="81" t="s">
        <v>33</v>
      </c>
      <c r="ZM103" s="80"/>
      <c r="ZN103" s="82" t="s">
        <v>34</v>
      </c>
      <c r="ZO103" s="80"/>
      <c r="ZP103" s="82" t="s">
        <v>35</v>
      </c>
      <c r="ZQ103" s="80"/>
      <c r="ZR103" s="81" t="s">
        <v>36</v>
      </c>
      <c r="ZS103" s="80"/>
      <c r="ZT103" s="81" t="s">
        <v>37</v>
      </c>
      <c r="ZU103" s="80"/>
      <c r="ZV103" s="81" t="s">
        <v>38</v>
      </c>
      <c r="ZW103" s="80"/>
      <c r="ZX103" s="81" t="s">
        <v>39</v>
      </c>
      <c r="ZY103" s="80"/>
      <c r="ZZ103" s="81" t="s">
        <v>40</v>
      </c>
      <c r="AAA103" s="80"/>
      <c r="AAB103" s="81" t="s">
        <v>41</v>
      </c>
      <c r="AAC103" s="80"/>
      <c r="AAD103" s="83" t="s">
        <v>42</v>
      </c>
      <c r="AAE103" s="84" t="s">
        <v>43</v>
      </c>
      <c r="AAF103" s="85" t="s">
        <v>44</v>
      </c>
      <c r="AAG103" s="78" t="s">
        <v>28</v>
      </c>
      <c r="AAH103" s="79" t="s">
        <v>29</v>
      </c>
      <c r="AAI103" s="79" t="s">
        <v>30</v>
      </c>
      <c r="AAJ103" s="80"/>
      <c r="AAK103" s="81" t="s">
        <v>31</v>
      </c>
      <c r="AAL103" s="80"/>
      <c r="AAM103" s="81" t="s">
        <v>32</v>
      </c>
      <c r="AAN103" s="80"/>
      <c r="AAO103" s="81" t="s">
        <v>33</v>
      </c>
      <c r="AAP103" s="80"/>
      <c r="AAQ103" s="82" t="s">
        <v>34</v>
      </c>
      <c r="AAR103" s="80"/>
      <c r="AAS103" s="82" t="s">
        <v>35</v>
      </c>
      <c r="AAT103" s="80"/>
      <c r="AAU103" s="81" t="s">
        <v>36</v>
      </c>
      <c r="AAV103" s="80"/>
      <c r="AAW103" s="81" t="s">
        <v>37</v>
      </c>
      <c r="AAX103" s="80"/>
      <c r="AAY103" s="81" t="s">
        <v>38</v>
      </c>
      <c r="AAZ103" s="80"/>
      <c r="ABA103" s="81" t="s">
        <v>39</v>
      </c>
      <c r="ABB103" s="80"/>
      <c r="ABC103" s="81" t="s">
        <v>40</v>
      </c>
      <c r="ABD103" s="80"/>
      <c r="ABE103" s="81" t="s">
        <v>41</v>
      </c>
      <c r="ABF103" s="80"/>
      <c r="ABG103" s="83" t="s">
        <v>42</v>
      </c>
      <c r="ABH103" s="84" t="s">
        <v>43</v>
      </c>
      <c r="ABI103" s="85" t="s">
        <v>44</v>
      </c>
      <c r="ABJ103" s="78" t="s">
        <v>28</v>
      </c>
      <c r="ABK103" s="79" t="s">
        <v>29</v>
      </c>
      <c r="ABL103" s="79" t="s">
        <v>30</v>
      </c>
      <c r="ABM103" s="80"/>
      <c r="ABN103" s="81" t="s">
        <v>31</v>
      </c>
      <c r="ABO103" s="80"/>
      <c r="ABP103" s="81" t="s">
        <v>32</v>
      </c>
      <c r="ABQ103" s="80"/>
      <c r="ABR103" s="81" t="s">
        <v>33</v>
      </c>
      <c r="ABS103" s="80"/>
      <c r="ABT103" s="82" t="s">
        <v>34</v>
      </c>
      <c r="ABU103" s="80"/>
      <c r="ABV103" s="82" t="s">
        <v>35</v>
      </c>
      <c r="ABW103" s="80"/>
      <c r="ABX103" s="81" t="s">
        <v>36</v>
      </c>
      <c r="ABY103" s="80"/>
      <c r="ABZ103" s="81" t="s">
        <v>37</v>
      </c>
      <c r="ACA103" s="80"/>
      <c r="ACB103" s="81" t="s">
        <v>38</v>
      </c>
      <c r="ACC103" s="80"/>
      <c r="ACD103" s="81" t="s">
        <v>39</v>
      </c>
      <c r="ACE103" s="80"/>
      <c r="ACF103" s="81" t="s">
        <v>40</v>
      </c>
      <c r="ACG103" s="80"/>
      <c r="ACH103" s="81" t="s">
        <v>41</v>
      </c>
      <c r="ACI103" s="80"/>
      <c r="ACJ103" s="83" t="s">
        <v>42</v>
      </c>
      <c r="ACK103" s="84" t="s">
        <v>43</v>
      </c>
      <c r="ACL103" s="85" t="s">
        <v>44</v>
      </c>
      <c r="ACM103" s="78" t="s">
        <v>28</v>
      </c>
      <c r="ACN103" s="79" t="s">
        <v>29</v>
      </c>
      <c r="ACO103" s="81" t="s">
        <v>30</v>
      </c>
      <c r="ACP103" s="80"/>
      <c r="ACQ103" s="81" t="s">
        <v>31</v>
      </c>
      <c r="ACR103" s="80"/>
      <c r="ACS103" s="81" t="s">
        <v>32</v>
      </c>
      <c r="ACT103" s="80"/>
      <c r="ACU103" s="81" t="s">
        <v>33</v>
      </c>
      <c r="ACV103" s="80"/>
      <c r="ACW103" s="82" t="s">
        <v>34</v>
      </c>
      <c r="ACX103" s="80"/>
      <c r="ACY103" s="82" t="s">
        <v>35</v>
      </c>
      <c r="ACZ103" s="80"/>
      <c r="ADA103" s="81" t="s">
        <v>36</v>
      </c>
      <c r="ADB103" s="80"/>
      <c r="ADC103" s="81" t="s">
        <v>37</v>
      </c>
      <c r="ADD103" s="80"/>
      <c r="ADE103" s="81" t="s">
        <v>38</v>
      </c>
      <c r="ADF103" s="80"/>
      <c r="ADG103" s="81" t="s">
        <v>39</v>
      </c>
      <c r="ADH103" s="80"/>
      <c r="ADI103" s="81" t="s">
        <v>40</v>
      </c>
      <c r="ADJ103" s="80"/>
      <c r="ADK103" s="81" t="s">
        <v>41</v>
      </c>
      <c r="ADL103" s="80"/>
      <c r="ADM103" s="83" t="s">
        <v>42</v>
      </c>
      <c r="ADN103" s="84" t="s">
        <v>43</v>
      </c>
      <c r="ADO103" s="85" t="s">
        <v>44</v>
      </c>
      <c r="ADP103" s="78" t="s">
        <v>28</v>
      </c>
      <c r="ADQ103" s="79" t="s">
        <v>29</v>
      </c>
      <c r="ADR103" s="79" t="s">
        <v>30</v>
      </c>
      <c r="ADS103" s="80"/>
      <c r="ADT103" s="81" t="s">
        <v>31</v>
      </c>
      <c r="ADU103" s="80"/>
      <c r="ADV103" s="81" t="s">
        <v>32</v>
      </c>
      <c r="ADW103" s="80"/>
      <c r="ADX103" s="81" t="s">
        <v>33</v>
      </c>
      <c r="ADY103" s="80"/>
      <c r="ADZ103" s="82" t="s">
        <v>34</v>
      </c>
      <c r="AEA103" s="80"/>
      <c r="AEB103" s="82" t="s">
        <v>35</v>
      </c>
      <c r="AEC103" s="80"/>
      <c r="AED103" s="81" t="s">
        <v>36</v>
      </c>
      <c r="AEE103" s="80"/>
      <c r="AEF103" s="81" t="s">
        <v>37</v>
      </c>
      <c r="AEG103" s="80"/>
      <c r="AEH103" s="81" t="s">
        <v>38</v>
      </c>
      <c r="AEI103" s="80"/>
      <c r="AEJ103" s="81" t="s">
        <v>39</v>
      </c>
      <c r="AEK103" s="80"/>
      <c r="AEL103" s="81" t="s">
        <v>40</v>
      </c>
      <c r="AEM103" s="80"/>
      <c r="AEN103" s="81" t="s">
        <v>41</v>
      </c>
      <c r="AEO103" s="80"/>
      <c r="AEP103" s="83" t="s">
        <v>42</v>
      </c>
      <c r="AEQ103" s="84" t="s">
        <v>43</v>
      </c>
      <c r="AER103" s="85" t="s">
        <v>44</v>
      </c>
      <c r="AES103" s="87" t="s">
        <v>45</v>
      </c>
      <c r="AET103" s="88" t="s">
        <v>46</v>
      </c>
      <c r="AEU103" s="89" t="s">
        <v>47</v>
      </c>
      <c r="AEV103" s="78" t="s">
        <v>28</v>
      </c>
      <c r="AEW103" s="79" t="s">
        <v>29</v>
      </c>
      <c r="AEX103" s="79" t="s">
        <v>30</v>
      </c>
      <c r="AEY103" s="80"/>
      <c r="AEZ103" s="81" t="s">
        <v>31</v>
      </c>
      <c r="AFA103" s="80"/>
      <c r="AFB103" s="81" t="s">
        <v>32</v>
      </c>
      <c r="AFC103" s="80"/>
      <c r="AFD103" s="81" t="s">
        <v>33</v>
      </c>
      <c r="AFE103" s="80"/>
      <c r="AFF103" s="82" t="s">
        <v>34</v>
      </c>
      <c r="AFG103" s="80"/>
      <c r="AFH103" s="82" t="s">
        <v>35</v>
      </c>
      <c r="AFI103" s="80"/>
      <c r="AFJ103" s="81" t="s">
        <v>36</v>
      </c>
      <c r="AFK103" s="80"/>
      <c r="AFL103" s="81" t="s">
        <v>37</v>
      </c>
      <c r="AFM103" s="80"/>
      <c r="AFN103" s="81" t="s">
        <v>38</v>
      </c>
      <c r="AFO103" s="80"/>
      <c r="AFP103" s="81" t="s">
        <v>39</v>
      </c>
      <c r="AFQ103" s="80"/>
      <c r="AFR103" s="81" t="s">
        <v>40</v>
      </c>
      <c r="AFS103" s="80"/>
      <c r="AFT103" s="81" t="s">
        <v>41</v>
      </c>
      <c r="AFU103" s="80"/>
      <c r="AFV103" s="83" t="s">
        <v>42</v>
      </c>
      <c r="AFW103" s="84" t="s">
        <v>43</v>
      </c>
      <c r="AFX103" s="85" t="s">
        <v>44</v>
      </c>
      <c r="AFY103" s="78" t="s">
        <v>28</v>
      </c>
      <c r="AFZ103" s="79" t="s">
        <v>29</v>
      </c>
      <c r="AGA103" s="79" t="s">
        <v>30</v>
      </c>
      <c r="AGB103" s="80"/>
      <c r="AGC103" s="81" t="s">
        <v>31</v>
      </c>
      <c r="AGD103" s="80"/>
      <c r="AGE103" s="81" t="s">
        <v>32</v>
      </c>
      <c r="AGF103" s="80"/>
      <c r="AGG103" s="81" t="s">
        <v>33</v>
      </c>
      <c r="AGH103" s="80"/>
      <c r="AGI103" s="82" t="s">
        <v>34</v>
      </c>
      <c r="AGJ103" s="80"/>
      <c r="AGK103" s="82" t="s">
        <v>35</v>
      </c>
      <c r="AGL103" s="80"/>
      <c r="AGM103" s="81" t="s">
        <v>36</v>
      </c>
      <c r="AGN103" s="80"/>
      <c r="AGO103" s="81" t="s">
        <v>37</v>
      </c>
      <c r="AGP103" s="80"/>
      <c r="AGQ103" s="81" t="s">
        <v>38</v>
      </c>
      <c r="AGR103" s="80"/>
      <c r="AGS103" s="81" t="s">
        <v>39</v>
      </c>
      <c r="AGT103" s="80"/>
      <c r="AGU103" s="81" t="s">
        <v>40</v>
      </c>
      <c r="AGV103" s="80"/>
      <c r="AGW103" s="81" t="s">
        <v>41</v>
      </c>
      <c r="AGX103" s="80"/>
      <c r="AGY103" s="83" t="s">
        <v>42</v>
      </c>
      <c r="AGZ103" s="84" t="s">
        <v>43</v>
      </c>
      <c r="AHA103" s="85" t="s">
        <v>44</v>
      </c>
      <c r="AHB103" s="78" t="s">
        <v>28</v>
      </c>
      <c r="AHC103" s="79" t="s">
        <v>29</v>
      </c>
      <c r="AHD103" s="79" t="s">
        <v>30</v>
      </c>
      <c r="AHE103" s="80"/>
      <c r="AHF103" s="81" t="s">
        <v>31</v>
      </c>
      <c r="AHG103" s="80"/>
      <c r="AHH103" s="81" t="s">
        <v>32</v>
      </c>
      <c r="AHI103" s="80"/>
      <c r="AHJ103" s="81" t="s">
        <v>33</v>
      </c>
      <c r="AHK103" s="80"/>
      <c r="AHL103" s="82" t="s">
        <v>34</v>
      </c>
      <c r="AHM103" s="80"/>
      <c r="AHN103" s="82" t="s">
        <v>35</v>
      </c>
      <c r="AHO103" s="80"/>
      <c r="AHP103" s="81" t="s">
        <v>36</v>
      </c>
      <c r="AHQ103" s="80"/>
      <c r="AHR103" s="81" t="s">
        <v>37</v>
      </c>
      <c r="AHS103" s="80"/>
      <c r="AHT103" s="81" t="s">
        <v>38</v>
      </c>
      <c r="AHU103" s="80"/>
      <c r="AHV103" s="81" t="s">
        <v>39</v>
      </c>
      <c r="AHW103" s="80"/>
      <c r="AHX103" s="81" t="s">
        <v>40</v>
      </c>
      <c r="AHY103" s="80"/>
      <c r="AHZ103" s="81" t="s">
        <v>41</v>
      </c>
      <c r="AIA103" s="80"/>
      <c r="AIB103" s="83" t="s">
        <v>42</v>
      </c>
      <c r="AIC103" s="84" t="s">
        <v>43</v>
      </c>
      <c r="AID103" s="85" t="s">
        <v>44</v>
      </c>
      <c r="AIE103" s="78" t="s">
        <v>28</v>
      </c>
      <c r="AIF103" s="79" t="s">
        <v>29</v>
      </c>
      <c r="AIG103" s="79" t="s">
        <v>30</v>
      </c>
      <c r="AIH103" s="80"/>
      <c r="AII103" s="81" t="s">
        <v>31</v>
      </c>
      <c r="AIJ103" s="80"/>
      <c r="AIK103" s="81" t="s">
        <v>32</v>
      </c>
      <c r="AIL103" s="80"/>
      <c r="AIM103" s="81" t="s">
        <v>33</v>
      </c>
      <c r="AIN103" s="80"/>
      <c r="AIO103" s="82" t="s">
        <v>34</v>
      </c>
      <c r="AIP103" s="80"/>
      <c r="AIQ103" s="82" t="s">
        <v>35</v>
      </c>
      <c r="AIR103" s="80"/>
      <c r="AIS103" s="81" t="s">
        <v>36</v>
      </c>
      <c r="AIT103" s="80"/>
      <c r="AIU103" s="81" t="s">
        <v>37</v>
      </c>
      <c r="AIV103" s="80"/>
      <c r="AIW103" s="81" t="s">
        <v>38</v>
      </c>
      <c r="AIX103" s="80"/>
      <c r="AIY103" s="81" t="s">
        <v>39</v>
      </c>
      <c r="AIZ103" s="80"/>
      <c r="AJA103" s="81" t="s">
        <v>40</v>
      </c>
      <c r="AJB103" s="80"/>
      <c r="AJC103" s="81" t="s">
        <v>41</v>
      </c>
      <c r="AJD103" s="80"/>
      <c r="AJE103" s="83" t="s">
        <v>42</v>
      </c>
      <c r="AJF103" s="84" t="s">
        <v>43</v>
      </c>
      <c r="AJG103" s="85" t="s">
        <v>44</v>
      </c>
      <c r="AJH103" s="78" t="s">
        <v>28</v>
      </c>
      <c r="AJI103" s="79" t="s">
        <v>29</v>
      </c>
      <c r="AJJ103" s="79" t="s">
        <v>30</v>
      </c>
      <c r="AJK103" s="80"/>
      <c r="AJL103" s="81" t="s">
        <v>31</v>
      </c>
      <c r="AJM103" s="80"/>
      <c r="AJN103" s="81" t="s">
        <v>32</v>
      </c>
      <c r="AJO103" s="80"/>
      <c r="AJP103" s="81" t="s">
        <v>33</v>
      </c>
      <c r="AJQ103" s="80"/>
      <c r="AJR103" s="82" t="s">
        <v>34</v>
      </c>
      <c r="AJS103" s="80"/>
      <c r="AJT103" s="82" t="s">
        <v>35</v>
      </c>
      <c r="AJU103" s="80"/>
      <c r="AJV103" s="81" t="s">
        <v>36</v>
      </c>
      <c r="AJW103" s="80"/>
      <c r="AJX103" s="81" t="s">
        <v>37</v>
      </c>
      <c r="AJY103" s="80"/>
      <c r="AJZ103" s="81" t="s">
        <v>38</v>
      </c>
      <c r="AKA103" s="80"/>
      <c r="AKB103" s="81" t="s">
        <v>39</v>
      </c>
      <c r="AKC103" s="80"/>
      <c r="AKD103" s="81" t="s">
        <v>40</v>
      </c>
      <c r="AKE103" s="80"/>
      <c r="AKF103" s="81" t="s">
        <v>41</v>
      </c>
      <c r="AKG103" s="80"/>
      <c r="AKH103" s="83" t="s">
        <v>42</v>
      </c>
      <c r="AKI103" s="84" t="s">
        <v>43</v>
      </c>
      <c r="AKJ103" s="85" t="s">
        <v>44</v>
      </c>
      <c r="AKK103" s="78" t="s">
        <v>28</v>
      </c>
      <c r="AKL103" s="79" t="s">
        <v>29</v>
      </c>
      <c r="AKM103" s="81" t="s">
        <v>30</v>
      </c>
      <c r="AKN103" s="80"/>
      <c r="AKO103" s="81" t="s">
        <v>31</v>
      </c>
      <c r="AKP103" s="80"/>
      <c r="AKQ103" s="81" t="s">
        <v>32</v>
      </c>
      <c r="AKR103" s="80"/>
      <c r="AKS103" s="81" t="s">
        <v>33</v>
      </c>
      <c r="AKT103" s="80"/>
      <c r="AKU103" s="82" t="s">
        <v>34</v>
      </c>
      <c r="AKV103" s="80"/>
      <c r="AKW103" s="82" t="s">
        <v>35</v>
      </c>
      <c r="AKX103" s="80"/>
      <c r="AKY103" s="81" t="s">
        <v>36</v>
      </c>
      <c r="AKZ103" s="80"/>
      <c r="ALA103" s="81" t="s">
        <v>37</v>
      </c>
      <c r="ALB103" s="80"/>
      <c r="ALC103" s="81" t="s">
        <v>38</v>
      </c>
      <c r="ALD103" s="80"/>
      <c r="ALE103" s="81" t="s">
        <v>39</v>
      </c>
      <c r="ALF103" s="80"/>
      <c r="ALG103" s="81" t="s">
        <v>40</v>
      </c>
      <c r="ALH103" s="80"/>
      <c r="ALI103" s="81" t="s">
        <v>41</v>
      </c>
      <c r="ALJ103" s="80"/>
      <c r="ALK103" s="83" t="s">
        <v>42</v>
      </c>
      <c r="ALL103" s="84" t="s">
        <v>43</v>
      </c>
      <c r="ALM103" s="85" t="s">
        <v>44</v>
      </c>
      <c r="ALN103" s="78" t="s">
        <v>28</v>
      </c>
      <c r="ALO103" s="79" t="s">
        <v>29</v>
      </c>
      <c r="ALP103" s="79" t="s">
        <v>30</v>
      </c>
      <c r="ALQ103" s="80"/>
      <c r="ALR103" s="81" t="s">
        <v>31</v>
      </c>
      <c r="ALS103" s="80"/>
      <c r="ALT103" s="81" t="s">
        <v>32</v>
      </c>
      <c r="ALU103" s="80"/>
      <c r="ALV103" s="81" t="s">
        <v>33</v>
      </c>
      <c r="ALW103" s="80"/>
      <c r="ALX103" s="82" t="s">
        <v>34</v>
      </c>
      <c r="ALY103" s="80"/>
      <c r="ALZ103" s="82" t="s">
        <v>35</v>
      </c>
      <c r="AMA103" s="80"/>
      <c r="AMB103" s="81" t="s">
        <v>36</v>
      </c>
      <c r="AMC103" s="80"/>
      <c r="AMD103" s="81" t="s">
        <v>37</v>
      </c>
      <c r="AME103" s="80"/>
      <c r="AMF103" s="81" t="s">
        <v>38</v>
      </c>
      <c r="AMG103" s="80"/>
      <c r="AMH103" s="81" t="s">
        <v>39</v>
      </c>
      <c r="AMI103" s="80"/>
      <c r="AMJ103" s="81" t="s">
        <v>40</v>
      </c>
      <c r="AMK103" s="80"/>
      <c r="AML103" s="81" t="s">
        <v>41</v>
      </c>
      <c r="AMM103" s="80"/>
      <c r="AMN103" s="83" t="s">
        <v>42</v>
      </c>
      <c r="AMO103" s="84" t="s">
        <v>43</v>
      </c>
      <c r="AMP103" s="85" t="s">
        <v>44</v>
      </c>
      <c r="AMQ103" s="87" t="s">
        <v>45</v>
      </c>
      <c r="AMR103" s="88" t="s">
        <v>46</v>
      </c>
      <c r="AMS103" s="89" t="s">
        <v>47</v>
      </c>
      <c r="AMT103" s="4"/>
      <c r="AMU103" s="4"/>
      <c r="AMV103" s="4"/>
      <c r="AMW103" s="4"/>
      <c r="AMX103" s="4"/>
      <c r="AMY103" s="4"/>
      <c r="AMZ103" s="4"/>
      <c r="ANA103" s="4"/>
      <c r="ANB103" s="4"/>
      <c r="ANC103" s="4"/>
      <c r="AND103" s="4"/>
      <c r="ANE103" s="4"/>
      <c r="ANF103" s="4"/>
      <c r="ANG103" s="4"/>
      <c r="ANH103" s="4"/>
      <c r="ANI103" s="4"/>
      <c r="ANJ103" s="4"/>
      <c r="ANK103" s="4"/>
      <c r="ANL103" s="4"/>
      <c r="ANM103" s="4"/>
      <c r="ANN103" s="4"/>
      <c r="ANO103" s="4"/>
      <c r="ANP103" s="4"/>
      <c r="ANQ103" s="4"/>
      <c r="ANR103" s="4"/>
      <c r="ANS103" s="4"/>
      <c r="ANT103" s="4"/>
      <c r="ANU103" s="4"/>
      <c r="ANV103" s="4"/>
      <c r="ANW103" s="4"/>
      <c r="ANX103" s="4"/>
      <c r="ANY103" s="4"/>
      <c r="ANZ103" s="4"/>
      <c r="AOA103" s="4"/>
      <c r="AOB103" s="4"/>
      <c r="AOC103" s="4"/>
      <c r="AOD103" s="4"/>
      <c r="AOE103" s="4"/>
      <c r="AOF103" s="4"/>
      <c r="AOG103" s="4"/>
      <c r="AOH103" s="4"/>
      <c r="AOI103" s="4"/>
      <c r="AOJ103" s="4"/>
      <c r="AOK103" s="4"/>
      <c r="AOL103" s="4"/>
      <c r="AOM103" s="4"/>
      <c r="AON103" s="4"/>
      <c r="AOO103" s="4"/>
      <c r="AOP103" s="4"/>
      <c r="AOQ103" s="4"/>
      <c r="AOR103" s="4"/>
      <c r="AOS103" s="4"/>
      <c r="AOT103" s="4"/>
      <c r="AOU103" s="4"/>
      <c r="AOV103" s="4"/>
      <c r="AOW103" s="4"/>
      <c r="AOX103" s="4"/>
      <c r="AOY103" s="4"/>
      <c r="AOZ103" s="4"/>
      <c r="APA103" s="4"/>
      <c r="APB103" s="4"/>
      <c r="APC103" s="4"/>
      <c r="APD103" s="4"/>
      <c r="APE103" s="4"/>
      <c r="APF103" s="4"/>
      <c r="APG103" s="4"/>
      <c r="APH103" s="4"/>
      <c r="API103" s="4"/>
      <c r="APJ103" s="4"/>
      <c r="APK103" s="4"/>
      <c r="APL103" s="4"/>
      <c r="APM103" s="4"/>
      <c r="APN103" s="4"/>
      <c r="APO103" s="4"/>
      <c r="APP103" s="4"/>
      <c r="APQ103" s="4"/>
      <c r="APR103" s="4"/>
      <c r="APS103" s="4"/>
      <c r="APT103" s="4"/>
      <c r="APU103" s="4"/>
      <c r="APV103" s="4"/>
      <c r="APW103" s="4"/>
      <c r="APX103" s="4"/>
      <c r="APY103" s="4"/>
      <c r="APZ103" s="4"/>
      <c r="AQA103" s="4"/>
      <c r="AQB103" s="4"/>
      <c r="AQC103" s="4"/>
      <c r="AQD103" s="4"/>
      <c r="AQE103" s="4"/>
      <c r="AQF103" s="4"/>
      <c r="AQG103" s="4"/>
      <c r="AQH103" s="4"/>
      <c r="AQI103" s="4"/>
      <c r="AQJ103" s="4"/>
      <c r="AQK103" s="4"/>
      <c r="AQL103" s="4"/>
      <c r="AQM103" s="4"/>
      <c r="AQN103" s="4"/>
      <c r="AQO103" s="4"/>
      <c r="AQP103" s="4"/>
      <c r="AQQ103" s="4"/>
      <c r="AQR103" s="4"/>
      <c r="AQS103" s="4"/>
      <c r="AQT103" s="4"/>
      <c r="AQU103" s="4"/>
      <c r="AQV103" s="4"/>
      <c r="AQW103" s="4"/>
      <c r="AQX103" s="4"/>
      <c r="AQY103" s="4"/>
      <c r="AQZ103" s="4"/>
      <c r="ARA103" s="4"/>
      <c r="ARB103" s="4"/>
      <c r="ARC103" s="4"/>
      <c r="ARD103" s="4"/>
      <c r="ARE103" s="4"/>
      <c r="ARF103" s="4"/>
      <c r="ARG103" s="4"/>
      <c r="ARH103" s="4"/>
      <c r="ARI103" s="4"/>
      <c r="ARJ103" s="4"/>
      <c r="ARK103" s="4"/>
      <c r="ARL103" s="4"/>
      <c r="ARM103" s="4"/>
      <c r="ARN103" s="4"/>
      <c r="ARO103" s="4"/>
      <c r="ARP103" s="4"/>
      <c r="ARQ103" s="4"/>
      <c r="ARR103" s="4"/>
      <c r="ARS103" s="4"/>
      <c r="ART103" s="4"/>
      <c r="ARU103" s="4"/>
      <c r="ARV103" s="4"/>
      <c r="ARW103" s="4"/>
      <c r="ARX103" s="4"/>
      <c r="ARY103" s="4"/>
      <c r="ARZ103" s="4"/>
      <c r="ASA103" s="4"/>
      <c r="ASB103" s="4"/>
      <c r="ASC103" s="4"/>
      <c r="ASD103" s="4"/>
      <c r="ASE103" s="4"/>
      <c r="ASF103" s="4"/>
      <c r="ASG103" s="4"/>
      <c r="ASH103" s="4"/>
      <c r="ASI103" s="4"/>
      <c r="ASJ103" s="4"/>
      <c r="ASK103" s="4"/>
      <c r="ASL103" s="4"/>
      <c r="ASM103" s="4"/>
      <c r="ASN103" s="4"/>
      <c r="ASO103" s="4"/>
      <c r="ASP103" s="4"/>
      <c r="ASQ103" s="4"/>
      <c r="ASR103" s="4"/>
      <c r="ASS103" s="4"/>
      <c r="AST103" s="4"/>
      <c r="ASU103" s="4"/>
    </row>
    <row r="104" ht="15" customHeight="1" spans="1:1191" x14ac:dyDescent="0.25">
      <c r="A104" s="610" t="s">
        <v>138</v>
      </c>
      <c r="B104" s="564" t="s">
        <v>139</v>
      </c>
      <c r="C104" s="321" t="s">
        <v>140</v>
      </c>
      <c r="D104" s="290"/>
      <c r="E104" s="291"/>
      <c r="F104" s="292"/>
      <c r="G104" s="196"/>
      <c r="H104" s="196"/>
      <c r="I104" s="196"/>
      <c r="J104" s="196"/>
      <c r="K104" s="196"/>
      <c r="L104" s="196"/>
      <c r="M104" s="195"/>
      <c r="N104" s="197"/>
      <c r="O104" s="196"/>
      <c r="P104" s="196"/>
      <c r="Q104" s="198"/>
      <c r="R104" s="292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5"/>
      <c r="AD104" s="291"/>
      <c r="AE104" s="123"/>
      <c r="AF104" s="130">
        <f>SUM(D104:AE104)</f>
      </c>
      <c r="AG104" s="290"/>
      <c r="AH104" s="291"/>
      <c r="AI104" s="292"/>
      <c r="AJ104" s="196"/>
      <c r="AK104" s="196"/>
      <c r="AL104" s="196"/>
      <c r="AM104" s="196"/>
      <c r="AN104" s="196"/>
      <c r="AO104" s="196"/>
      <c r="AP104" s="195"/>
      <c r="AQ104" s="197"/>
      <c r="AR104" s="196"/>
      <c r="AS104" s="196"/>
      <c r="AT104" s="198"/>
      <c r="AU104" s="292"/>
      <c r="AV104" s="196"/>
      <c r="AW104" s="196"/>
      <c r="AX104" s="196"/>
      <c r="AY104" s="196"/>
      <c r="AZ104" s="196"/>
      <c r="BA104" s="196"/>
      <c r="BB104" s="196"/>
      <c r="BC104" s="196"/>
      <c r="BD104" s="196"/>
      <c r="BE104" s="196"/>
      <c r="BF104" s="195"/>
      <c r="BG104" s="291"/>
      <c r="BH104" s="123"/>
      <c r="BI104" s="130">
        <f>SUM(AG104:BH104)</f>
      </c>
      <c r="BJ104" s="290"/>
      <c r="BK104" s="291"/>
      <c r="BL104" s="292"/>
      <c r="BM104" s="196"/>
      <c r="BN104" s="196"/>
      <c r="BO104" s="196"/>
      <c r="BP104" s="196"/>
      <c r="BQ104" s="196"/>
      <c r="BR104" s="196"/>
      <c r="BS104" s="195"/>
      <c r="BT104" s="197"/>
      <c r="BU104" s="196"/>
      <c r="BV104" s="196"/>
      <c r="BW104" s="198"/>
      <c r="BX104" s="292"/>
      <c r="BY104" s="196"/>
      <c r="BZ104" s="196"/>
      <c r="CA104" s="196"/>
      <c r="CB104" s="196"/>
      <c r="CC104" s="196"/>
      <c r="CD104" s="196"/>
      <c r="CE104" s="196"/>
      <c r="CF104" s="196"/>
      <c r="CG104" s="196"/>
      <c r="CH104" s="196"/>
      <c r="CI104" s="195"/>
      <c r="CJ104" s="291"/>
      <c r="CK104" s="123"/>
      <c r="CL104" s="130">
        <f>SUM(BJ104:CK104)</f>
      </c>
      <c r="CM104" s="290"/>
      <c r="CN104" s="291"/>
      <c r="CO104" s="292"/>
      <c r="CP104" s="196"/>
      <c r="CQ104" s="196"/>
      <c r="CR104" s="196"/>
      <c r="CS104" s="196"/>
      <c r="CT104" s="196"/>
      <c r="CU104" s="196"/>
      <c r="CV104" s="195"/>
      <c r="CW104" s="197"/>
      <c r="CX104" s="196"/>
      <c r="CY104" s="196"/>
      <c r="CZ104" s="198"/>
      <c r="DA104" s="292"/>
      <c r="DB104" s="196"/>
      <c r="DC104" s="196"/>
      <c r="DD104" s="196"/>
      <c r="DE104" s="196"/>
      <c r="DF104" s="196"/>
      <c r="DG104" s="196"/>
      <c r="DH104" s="196"/>
      <c r="DI104" s="196"/>
      <c r="DJ104" s="196"/>
      <c r="DK104" s="196"/>
      <c r="DL104" s="195"/>
      <c r="DM104" s="291"/>
      <c r="DN104" s="123"/>
      <c r="DO104" s="130">
        <f>SUM(CM104:DN104)</f>
      </c>
      <c r="DP104" s="290"/>
      <c r="DQ104" s="291"/>
      <c r="DR104" s="292"/>
      <c r="DS104" s="196"/>
      <c r="DT104" s="196"/>
      <c r="DU104" s="196"/>
      <c r="DV104" s="196"/>
      <c r="DW104" s="196"/>
      <c r="DX104" s="196"/>
      <c r="DY104" s="195"/>
      <c r="DZ104" s="197"/>
      <c r="EA104" s="196"/>
      <c r="EB104" s="196"/>
      <c r="EC104" s="198"/>
      <c r="ED104" s="292"/>
      <c r="EE104" s="196"/>
      <c r="EF104" s="196"/>
      <c r="EG104" s="196"/>
      <c r="EH104" s="196"/>
      <c r="EI104" s="196"/>
      <c r="EJ104" s="196"/>
      <c r="EK104" s="196"/>
      <c r="EL104" s="196"/>
      <c r="EM104" s="196"/>
      <c r="EN104" s="196"/>
      <c r="EO104" s="195"/>
      <c r="EP104" s="291"/>
      <c r="EQ104" s="123"/>
      <c r="ER104" s="130">
        <f>SUM(DP104:EQ104)</f>
      </c>
      <c r="ES104" s="290"/>
      <c r="ET104" s="291"/>
      <c r="EU104" s="292"/>
      <c r="EV104" s="196"/>
      <c r="EW104" s="196"/>
      <c r="EX104" s="196"/>
      <c r="EY104" s="196"/>
      <c r="EZ104" s="196"/>
      <c r="FA104" s="196"/>
      <c r="FB104" s="195"/>
      <c r="FC104" s="197"/>
      <c r="FD104" s="196"/>
      <c r="FE104" s="196"/>
      <c r="FF104" s="198"/>
      <c r="FG104" s="292"/>
      <c r="FH104" s="196"/>
      <c r="FI104" s="196"/>
      <c r="FJ104" s="196"/>
      <c r="FK104" s="196"/>
      <c r="FL104" s="196"/>
      <c r="FM104" s="196"/>
      <c r="FN104" s="196"/>
      <c r="FO104" s="196"/>
      <c r="FP104" s="196"/>
      <c r="FQ104" s="196"/>
      <c r="FR104" s="195"/>
      <c r="FS104" s="291"/>
      <c r="FT104" s="123"/>
      <c r="FU104" s="130">
        <f>SUM(ES104:FT104)</f>
      </c>
      <c r="FV104" s="290"/>
      <c r="FW104" s="291"/>
      <c r="FX104" s="292"/>
      <c r="FY104" s="196"/>
      <c r="FZ104" s="196"/>
      <c r="GA104" s="196"/>
      <c r="GB104" s="196"/>
      <c r="GC104" s="196"/>
      <c r="GD104" s="196"/>
      <c r="GE104" s="195"/>
      <c r="GF104" s="197"/>
      <c r="GG104" s="196"/>
      <c r="GH104" s="196"/>
      <c r="GI104" s="198"/>
      <c r="GJ104" s="292"/>
      <c r="GK104" s="196"/>
      <c r="GL104" s="196"/>
      <c r="GM104" s="196"/>
      <c r="GN104" s="196"/>
      <c r="GO104" s="196"/>
      <c r="GP104" s="196"/>
      <c r="GQ104" s="196"/>
      <c r="GR104" s="196"/>
      <c r="GS104" s="196"/>
      <c r="GT104" s="196"/>
      <c r="GU104" s="195"/>
      <c r="GV104" s="291"/>
      <c r="GW104" s="123"/>
      <c r="GX104" s="130">
        <f>SUM(FV104:GW104)</f>
      </c>
      <c r="GY104" s="132">
        <f>AF104+BI104+CL104+DO104+ER104+FU104+GX104</f>
      </c>
      <c r="GZ104" s="133">
        <f>(COUNTIF(D104:GX104,"H")+COUNTIF(D104:GX104,"S")+COUNTIF(D104:GX104,"L")+COUNTIF(D104:GX104,"E")+COUNTIF(D104:GX104,"C"))/2</f>
      </c>
      <c r="HA104" s="130">
        <f>GY104+GZ104</f>
      </c>
      <c r="HB104" s="293"/>
      <c r="HC104" s="294"/>
      <c r="HD104" s="298">
        <v>0.5</v>
      </c>
      <c r="HE104" s="212">
        <v>0.5</v>
      </c>
      <c r="HF104" s="212">
        <v>0.5</v>
      </c>
      <c r="HG104" s="212">
        <v>0.5</v>
      </c>
      <c r="HH104" s="212">
        <v>0.5</v>
      </c>
      <c r="HI104" s="212">
        <v>0.5</v>
      </c>
      <c r="HJ104" s="212">
        <v>0.5</v>
      </c>
      <c r="HK104" s="213">
        <v>0.5</v>
      </c>
      <c r="HL104" s="611"/>
      <c r="HM104" s="612"/>
      <c r="HN104" s="212">
        <v>0.5</v>
      </c>
      <c r="HO104" s="297">
        <v>0.5</v>
      </c>
      <c r="HP104" s="298">
        <v>0.5</v>
      </c>
      <c r="HQ104" s="212">
        <v>0.5</v>
      </c>
      <c r="HR104" s="212">
        <v>0.5</v>
      </c>
      <c r="HS104" s="212">
        <v>0.5</v>
      </c>
      <c r="HT104" s="212">
        <v>0.5</v>
      </c>
      <c r="HU104" s="212">
        <v>0.5</v>
      </c>
      <c r="HV104" s="207"/>
      <c r="HW104" s="207"/>
      <c r="HX104" s="207"/>
      <c r="HY104" s="207"/>
      <c r="HZ104" s="207"/>
      <c r="IA104" s="202"/>
      <c r="IB104" s="294"/>
      <c r="IC104" s="136"/>
      <c r="ID104" s="130">
        <f>SUM(HB104:IC104)</f>
      </c>
      <c r="IE104" s="293"/>
      <c r="IF104" s="294"/>
      <c r="IG104" s="298">
        <v>0.5</v>
      </c>
      <c r="IH104" s="212">
        <v>0.5</v>
      </c>
      <c r="II104" s="212">
        <v>0.5</v>
      </c>
      <c r="IJ104" s="212">
        <v>0.5</v>
      </c>
      <c r="IK104" s="212">
        <v>0.5</v>
      </c>
      <c r="IL104" s="212">
        <v>0.5</v>
      </c>
      <c r="IM104" s="212">
        <v>0.5</v>
      </c>
      <c r="IN104" s="213">
        <v>0.5</v>
      </c>
      <c r="IO104" s="611"/>
      <c r="IP104" s="612"/>
      <c r="IQ104" s="212">
        <v>0.5</v>
      </c>
      <c r="IR104" s="297">
        <v>0.5</v>
      </c>
      <c r="IS104" s="298">
        <v>0.5</v>
      </c>
      <c r="IT104" s="212">
        <v>0.5</v>
      </c>
      <c r="IU104" s="212">
        <v>0.5</v>
      </c>
      <c r="IV104" s="212">
        <v>0.5</v>
      </c>
      <c r="IW104" s="212">
        <v>0.5</v>
      </c>
      <c r="IX104" s="212">
        <v>0.5</v>
      </c>
      <c r="IY104" s="207"/>
      <c r="IZ104" s="207"/>
      <c r="JA104" s="207"/>
      <c r="JB104" s="207"/>
      <c r="JC104" s="207"/>
      <c r="JD104" s="202"/>
      <c r="JE104" s="294"/>
      <c r="JF104" s="136"/>
      <c r="JG104" s="130">
        <f>SUM(IE104:JF104)</f>
      </c>
      <c r="JH104" s="293"/>
      <c r="JI104" s="294"/>
      <c r="JJ104" s="298">
        <v>0.5</v>
      </c>
      <c r="JK104" s="212">
        <v>0.5</v>
      </c>
      <c r="JL104" s="212">
        <v>0.5</v>
      </c>
      <c r="JM104" s="212">
        <v>0.5</v>
      </c>
      <c r="JN104" s="212">
        <v>0.5</v>
      </c>
      <c r="JO104" s="212">
        <v>0.5</v>
      </c>
      <c r="JP104" s="212">
        <v>0.5</v>
      </c>
      <c r="JQ104" s="213">
        <v>0.5</v>
      </c>
      <c r="JR104" s="611"/>
      <c r="JS104" s="612"/>
      <c r="JT104" s="212">
        <v>0.5</v>
      </c>
      <c r="JU104" s="297">
        <v>0.5</v>
      </c>
      <c r="JV104" s="298">
        <v>0.5</v>
      </c>
      <c r="JW104" s="212">
        <v>0.5</v>
      </c>
      <c r="JX104" s="212">
        <v>0.5</v>
      </c>
      <c r="JY104" s="212">
        <v>0.5</v>
      </c>
      <c r="JZ104" s="212">
        <v>0.5</v>
      </c>
      <c r="KA104" s="212">
        <v>0.5</v>
      </c>
      <c r="KB104" s="207"/>
      <c r="KC104" s="207"/>
      <c r="KD104" s="207"/>
      <c r="KE104" s="207"/>
      <c r="KF104" s="207"/>
      <c r="KG104" s="202"/>
      <c r="KH104" s="294"/>
      <c r="KI104" s="136"/>
      <c r="KJ104" s="130">
        <f>SUM(JH104:KI104)</f>
      </c>
      <c r="KK104" s="293"/>
      <c r="KL104" s="294"/>
      <c r="KM104" s="298">
        <v>0.5</v>
      </c>
      <c r="KN104" s="212">
        <v>0.5</v>
      </c>
      <c r="KO104" s="212">
        <v>0.5</v>
      </c>
      <c r="KP104" s="212">
        <v>0.5</v>
      </c>
      <c r="KQ104" s="212">
        <v>0.5</v>
      </c>
      <c r="KR104" s="212">
        <v>0.5</v>
      </c>
      <c r="KS104" s="212">
        <v>0.5</v>
      </c>
      <c r="KT104" s="213">
        <v>0.5</v>
      </c>
      <c r="KU104" s="611"/>
      <c r="KV104" s="612"/>
      <c r="KW104" s="212">
        <v>0.5</v>
      </c>
      <c r="KX104" s="297">
        <v>0.5</v>
      </c>
      <c r="KY104" s="298">
        <v>0.5</v>
      </c>
      <c r="KZ104" s="212">
        <v>0.5</v>
      </c>
      <c r="LA104" s="212">
        <v>0.5</v>
      </c>
      <c r="LB104" s="212">
        <v>0.5</v>
      </c>
      <c r="LC104" s="212">
        <v>0.5</v>
      </c>
      <c r="LD104" s="212">
        <v>0.5</v>
      </c>
      <c r="LE104" s="207"/>
      <c r="LF104" s="207"/>
      <c r="LG104" s="207"/>
      <c r="LH104" s="207"/>
      <c r="LI104" s="207"/>
      <c r="LJ104" s="202"/>
      <c r="LK104" s="294"/>
      <c r="LL104" s="136"/>
      <c r="LM104" s="130">
        <f>SUM(KK104:LL104)</f>
      </c>
      <c r="LN104" s="293"/>
      <c r="LO104" s="294"/>
      <c r="LP104" s="613">
        <v>0.5</v>
      </c>
      <c r="LQ104" s="204">
        <v>0.5</v>
      </c>
      <c r="LR104" s="204">
        <v>0.5</v>
      </c>
      <c r="LS104" s="204">
        <v>0.5</v>
      </c>
      <c r="LT104" s="204">
        <v>0.5</v>
      </c>
      <c r="LU104" s="204">
        <v>0.5</v>
      </c>
      <c r="LV104" s="204">
        <v>0.5</v>
      </c>
      <c r="LW104" s="205">
        <v>0.5</v>
      </c>
      <c r="LX104" s="611"/>
      <c r="LY104" s="612"/>
      <c r="LZ104" s="204">
        <v>0.5</v>
      </c>
      <c r="MA104" s="614">
        <v>0.5</v>
      </c>
      <c r="MB104" s="613">
        <v>0.5</v>
      </c>
      <c r="MC104" s="204">
        <v>0.5</v>
      </c>
      <c r="MD104" s="204">
        <v>0.5</v>
      </c>
      <c r="ME104" s="204">
        <v>0.5</v>
      </c>
      <c r="MF104" s="204">
        <v>0.5</v>
      </c>
      <c r="MG104" s="204">
        <v>0.5</v>
      </c>
      <c r="MH104" s="207"/>
      <c r="MI104" s="207"/>
      <c r="MJ104" s="207"/>
      <c r="MK104" s="207"/>
      <c r="ML104" s="207"/>
      <c r="MM104" s="202"/>
      <c r="MN104" s="294"/>
      <c r="MO104" s="136"/>
      <c r="MP104" s="130">
        <f>SUM(LN104:MO104)</f>
      </c>
      <c r="MQ104" s="290"/>
      <c r="MR104" s="291"/>
      <c r="MS104" s="292"/>
      <c r="MT104" s="196"/>
      <c r="MU104" s="196"/>
      <c r="MV104" s="196"/>
      <c r="MW104" s="196"/>
      <c r="MX104" s="196"/>
      <c r="MY104" s="196"/>
      <c r="MZ104" s="195"/>
      <c r="NA104" s="197"/>
      <c r="NB104" s="196"/>
      <c r="NC104" s="196"/>
      <c r="ND104" s="198"/>
      <c r="NE104" s="292"/>
      <c r="NF104" s="196"/>
      <c r="NG104" s="196"/>
      <c r="NH104" s="196"/>
      <c r="NI104" s="196"/>
      <c r="NJ104" s="196"/>
      <c r="NK104" s="196"/>
      <c r="NL104" s="196"/>
      <c r="NM104" s="196"/>
      <c r="NN104" s="196"/>
      <c r="NO104" s="196"/>
      <c r="NP104" s="195"/>
      <c r="NQ104" s="291"/>
      <c r="NR104" s="123"/>
      <c r="NS104" s="130">
        <f>SUM(MQ104:NR104)</f>
      </c>
      <c r="NT104" s="290"/>
      <c r="NU104" s="291"/>
      <c r="NV104" s="292"/>
      <c r="NW104" s="196"/>
      <c r="NX104" s="196"/>
      <c r="NY104" s="196"/>
      <c r="NZ104" s="196"/>
      <c r="OA104" s="196"/>
      <c r="OB104" s="196"/>
      <c r="OC104" s="195"/>
      <c r="OD104" s="197"/>
      <c r="OE104" s="196"/>
      <c r="OF104" s="196"/>
      <c r="OG104" s="198"/>
      <c r="OH104" s="292"/>
      <c r="OI104" s="196"/>
      <c r="OJ104" s="196"/>
      <c r="OK104" s="196"/>
      <c r="OL104" s="196"/>
      <c r="OM104" s="196"/>
      <c r="ON104" s="196"/>
      <c r="OO104" s="196"/>
      <c r="OP104" s="196"/>
      <c r="OQ104" s="196"/>
      <c r="OR104" s="196"/>
      <c r="OS104" s="195"/>
      <c r="OT104" s="291"/>
      <c r="OU104" s="123"/>
      <c r="OV104" s="130">
        <f>SUM(NT104:OU104)</f>
      </c>
      <c r="OW104" s="132">
        <f>ID104+JG104+KJ104+LM104+MP104+NS104+OV104</f>
      </c>
      <c r="OX104" s="133">
        <f>(COUNTIF(HB104:OV104,"H")+COUNTIF(HB104:OV104,"S")+COUNTIF(HB104:OV104,"L")+COUNTIF(HB104:OV104,"E")+COUNTIF(HB104:OV104,"C"))/2</f>
      </c>
      <c r="OY104" s="130">
        <f>OW104+OX104</f>
      </c>
      <c r="OZ104" s="293"/>
      <c r="PA104" s="294"/>
      <c r="PB104" s="613">
        <v>0.5</v>
      </c>
      <c r="PC104" s="204">
        <v>0.5</v>
      </c>
      <c r="PD104" s="204">
        <v>0.5</v>
      </c>
      <c r="PE104" s="204">
        <v>0.5</v>
      </c>
      <c r="PF104" s="204">
        <v>0.5</v>
      </c>
      <c r="PG104" s="204">
        <v>0.5</v>
      </c>
      <c r="PH104" s="204">
        <v>0.5</v>
      </c>
      <c r="PI104" s="205">
        <v>0.5</v>
      </c>
      <c r="PJ104" s="611"/>
      <c r="PK104" s="612"/>
      <c r="PL104" s="204">
        <v>0.5</v>
      </c>
      <c r="PM104" s="614">
        <v>0.5</v>
      </c>
      <c r="PN104" s="613">
        <v>0.5</v>
      </c>
      <c r="PO104" s="204">
        <v>0.5</v>
      </c>
      <c r="PP104" s="204">
        <v>0.5</v>
      </c>
      <c r="PQ104" s="204">
        <v>0.5</v>
      </c>
      <c r="PR104" s="204">
        <v>0.5</v>
      </c>
      <c r="PS104" s="204">
        <v>0.5</v>
      </c>
      <c r="PT104" s="207"/>
      <c r="PU104" s="207"/>
      <c r="PV104" s="207"/>
      <c r="PW104" s="207"/>
      <c r="PX104" s="207"/>
      <c r="PY104" s="202"/>
      <c r="PZ104" s="294"/>
      <c r="QA104" s="201"/>
      <c r="QB104" s="130">
        <f>SUM(OZ104:QA104)</f>
      </c>
      <c r="QC104" s="293"/>
      <c r="QD104" s="294"/>
      <c r="QE104" s="613">
        <v>0.5</v>
      </c>
      <c r="QF104" s="204">
        <v>0.5</v>
      </c>
      <c r="QG104" s="204">
        <v>0.5</v>
      </c>
      <c r="QH104" s="204">
        <v>0.5</v>
      </c>
      <c r="QI104" s="204">
        <v>0.5</v>
      </c>
      <c r="QJ104" s="204">
        <v>0.5</v>
      </c>
      <c r="QK104" s="204">
        <v>0.5</v>
      </c>
      <c r="QL104" s="205">
        <v>0.5</v>
      </c>
      <c r="QM104" s="611"/>
      <c r="QN104" s="612"/>
      <c r="QO104" s="204">
        <v>0.5</v>
      </c>
      <c r="QP104" s="614">
        <v>0.5</v>
      </c>
      <c r="QQ104" s="613">
        <v>0.5</v>
      </c>
      <c r="QR104" s="204">
        <v>0.5</v>
      </c>
      <c r="QS104" s="204">
        <v>0.5</v>
      </c>
      <c r="QT104" s="204">
        <v>0.5</v>
      </c>
      <c r="QU104" s="204">
        <v>0.5</v>
      </c>
      <c r="QV104" s="204">
        <v>0.5</v>
      </c>
      <c r="QW104" s="207"/>
      <c r="QX104" s="207"/>
      <c r="QY104" s="207"/>
      <c r="QZ104" s="207"/>
      <c r="RA104" s="207"/>
      <c r="RB104" s="202"/>
      <c r="RC104" s="294"/>
      <c r="RD104" s="201"/>
      <c r="RE104" s="130">
        <f>SUM(QC104:RD104)</f>
      </c>
      <c r="RF104" s="293"/>
      <c r="RG104" s="294"/>
      <c r="RH104" s="298">
        <v>0.5</v>
      </c>
      <c r="RI104" s="212">
        <v>0.5</v>
      </c>
      <c r="RJ104" s="212">
        <v>0.5</v>
      </c>
      <c r="RK104" s="212">
        <v>0.5</v>
      </c>
      <c r="RL104" s="212">
        <v>0.5</v>
      </c>
      <c r="RM104" s="212">
        <v>0.5</v>
      </c>
      <c r="RN104" s="212">
        <v>0.5</v>
      </c>
      <c r="RO104" s="213">
        <v>0.5</v>
      </c>
      <c r="RP104" s="611"/>
      <c r="RQ104" s="612"/>
      <c r="RR104" s="212">
        <v>0.5</v>
      </c>
      <c r="RS104" s="297">
        <v>0.5</v>
      </c>
      <c r="RT104" s="298">
        <v>0.5</v>
      </c>
      <c r="RU104" s="212">
        <v>0.5</v>
      </c>
      <c r="RV104" s="212">
        <v>0.5</v>
      </c>
      <c r="RW104" s="212">
        <v>0.5</v>
      </c>
      <c r="RX104" s="212">
        <v>0.5</v>
      </c>
      <c r="RY104" s="212">
        <v>0.5</v>
      </c>
      <c r="RZ104" s="207"/>
      <c r="SA104" s="207"/>
      <c r="SB104" s="207"/>
      <c r="SC104" s="207"/>
      <c r="SD104" s="207"/>
      <c r="SE104" s="202"/>
      <c r="SF104" s="294"/>
      <c r="SG104" s="136"/>
      <c r="SH104" s="130">
        <f>SUM(RF104:SG104)</f>
      </c>
      <c r="SI104" s="293"/>
      <c r="SJ104" s="294"/>
      <c r="SK104" s="298">
        <v>0.5</v>
      </c>
      <c r="SL104" s="212">
        <v>0.5</v>
      </c>
      <c r="SM104" s="212">
        <v>0.5</v>
      </c>
      <c r="SN104" s="212">
        <v>0.5</v>
      </c>
      <c r="SO104" s="212">
        <v>0.5</v>
      </c>
      <c r="SP104" s="212">
        <v>0.5</v>
      </c>
      <c r="SQ104" s="212">
        <v>0.5</v>
      </c>
      <c r="SR104" s="213">
        <v>0.5</v>
      </c>
      <c r="SS104" s="611"/>
      <c r="ST104" s="612"/>
      <c r="SU104" s="212">
        <v>0.5</v>
      </c>
      <c r="SV104" s="297">
        <v>0.5</v>
      </c>
      <c r="SW104" s="298">
        <v>0.5</v>
      </c>
      <c r="SX104" s="212">
        <v>0.5</v>
      </c>
      <c r="SY104" s="212">
        <v>0.5</v>
      </c>
      <c r="SZ104" s="212">
        <v>0.5</v>
      </c>
      <c r="TA104" s="212">
        <v>0.5</v>
      </c>
      <c r="TB104" s="212">
        <v>0.5</v>
      </c>
      <c r="TC104" s="207"/>
      <c r="TD104" s="207"/>
      <c r="TE104" s="207"/>
      <c r="TF104" s="207"/>
      <c r="TG104" s="207"/>
      <c r="TH104" s="202"/>
      <c r="TI104" s="294"/>
      <c r="TJ104" s="136"/>
      <c r="TK104" s="130">
        <f>SUM(SI104:TJ104)</f>
      </c>
      <c r="TL104" s="293"/>
      <c r="TM104" s="294"/>
      <c r="TN104" s="613">
        <v>0.5</v>
      </c>
      <c r="TO104" s="204">
        <v>0.5</v>
      </c>
      <c r="TP104" s="204">
        <v>0.5</v>
      </c>
      <c r="TQ104" s="204">
        <v>0.5</v>
      </c>
      <c r="TR104" s="204">
        <v>0.5</v>
      </c>
      <c r="TS104" s="204">
        <v>0.5</v>
      </c>
      <c r="TT104" s="204">
        <v>0.5</v>
      </c>
      <c r="TU104" s="205">
        <v>0.5</v>
      </c>
      <c r="TV104" s="611"/>
      <c r="TW104" s="612"/>
      <c r="TX104" s="204">
        <v>0.5</v>
      </c>
      <c r="TY104" s="614">
        <v>0.5</v>
      </c>
      <c r="TZ104" s="613">
        <v>0.5</v>
      </c>
      <c r="UA104" s="204">
        <v>0.5</v>
      </c>
      <c r="UB104" s="204">
        <v>0.5</v>
      </c>
      <c r="UC104" s="204">
        <v>0.5</v>
      </c>
      <c r="UD104" s="204">
        <v>0.5</v>
      </c>
      <c r="UE104" s="204">
        <v>0.5</v>
      </c>
      <c r="UF104" s="207"/>
      <c r="UG104" s="207"/>
      <c r="UH104" s="207"/>
      <c r="UI104" s="207"/>
      <c r="UJ104" s="207"/>
      <c r="UK104" s="202"/>
      <c r="UL104" s="294"/>
      <c r="UM104" s="136"/>
      <c r="UN104" s="130">
        <f>SUM(TL104:UM104)</f>
      </c>
      <c r="UO104" s="290"/>
      <c r="UP104" s="291"/>
      <c r="UQ104" s="292"/>
      <c r="UR104" s="196"/>
      <c r="US104" s="196"/>
      <c r="UT104" s="196"/>
      <c r="UU104" s="196"/>
      <c r="UV104" s="196"/>
      <c r="UW104" s="196"/>
      <c r="UX104" s="195"/>
      <c r="UY104" s="197"/>
      <c r="UZ104" s="196"/>
      <c r="VA104" s="196"/>
      <c r="VB104" s="198"/>
      <c r="VC104" s="292"/>
      <c r="VD104" s="196"/>
      <c r="VE104" s="196"/>
      <c r="VF104" s="196"/>
      <c r="VG104" s="196"/>
      <c r="VH104" s="196"/>
      <c r="VI104" s="196"/>
      <c r="VJ104" s="196"/>
      <c r="VK104" s="196"/>
      <c r="VL104" s="196"/>
      <c r="VM104" s="196"/>
      <c r="VN104" s="195"/>
      <c r="VO104" s="291"/>
      <c r="VP104" s="123"/>
      <c r="VQ104" s="130">
        <f>SUM(UO104:VP104)</f>
      </c>
      <c r="VR104" s="290"/>
      <c r="VS104" s="291"/>
      <c r="VT104" s="292"/>
      <c r="VU104" s="196"/>
      <c r="VV104" s="196"/>
      <c r="VW104" s="196"/>
      <c r="VX104" s="196"/>
      <c r="VY104" s="196"/>
      <c r="VZ104" s="196"/>
      <c r="WA104" s="195"/>
      <c r="WB104" s="197"/>
      <c r="WC104" s="196"/>
      <c r="WD104" s="196"/>
      <c r="WE104" s="198"/>
      <c r="WF104" s="292"/>
      <c r="WG104" s="196"/>
      <c r="WH104" s="196"/>
      <c r="WI104" s="196"/>
      <c r="WJ104" s="196"/>
      <c r="WK104" s="196"/>
      <c r="WL104" s="196"/>
      <c r="WM104" s="196"/>
      <c r="WN104" s="196"/>
      <c r="WO104" s="196"/>
      <c r="WP104" s="196"/>
      <c r="WQ104" s="195"/>
      <c r="WR104" s="291"/>
      <c r="WS104" s="123"/>
      <c r="WT104" s="130">
        <f>SUM(VR104:WS104)</f>
      </c>
      <c r="WU104" s="132">
        <f>QB104+RE104+SH104+TK104+UN104+VQ104+WT104</f>
      </c>
      <c r="WV104" s="133">
        <f>(COUNTIF(OZ104:WT104,"H")+COUNTIF(OZ104:WT104,"S")+COUNTIF(OZ104:WT104,"L")+COUNTIF(OZ104:WT104,"E")+COUNTIF(OZ104:WT104,"C"))/2</f>
      </c>
      <c r="WW104" s="130">
        <f>WU104+WV104</f>
      </c>
      <c r="WX104" s="293"/>
      <c r="WY104" s="294"/>
      <c r="WZ104" s="298">
        <v>0.5</v>
      </c>
      <c r="XA104" s="212">
        <v>0.5</v>
      </c>
      <c r="XB104" s="212">
        <v>0.5</v>
      </c>
      <c r="XC104" s="212">
        <v>0.5</v>
      </c>
      <c r="XD104" s="212">
        <v>0.5</v>
      </c>
      <c r="XE104" s="212">
        <v>0.5</v>
      </c>
      <c r="XF104" s="212">
        <v>0.5</v>
      </c>
      <c r="XG104" s="213">
        <v>0.5</v>
      </c>
      <c r="XH104" s="611"/>
      <c r="XI104" s="612"/>
      <c r="XJ104" s="212">
        <v>0.5</v>
      </c>
      <c r="XK104" s="297">
        <v>0.5</v>
      </c>
      <c r="XL104" s="298">
        <v>0.5</v>
      </c>
      <c r="XM104" s="212">
        <v>0.5</v>
      </c>
      <c r="XN104" s="212">
        <v>0.5</v>
      </c>
      <c r="XO104" s="212">
        <v>0.5</v>
      </c>
      <c r="XP104" s="212">
        <v>0.5</v>
      </c>
      <c r="XQ104" s="212">
        <v>0.5</v>
      </c>
      <c r="XR104" s="207"/>
      <c r="XS104" s="207"/>
      <c r="XT104" s="207"/>
      <c r="XU104" s="207"/>
      <c r="XV104" s="207"/>
      <c r="XW104" s="202"/>
      <c r="XX104" s="294"/>
      <c r="XY104" s="136"/>
      <c r="XZ104" s="130">
        <f>SUM(WX104:XY104)</f>
      </c>
      <c r="YA104" s="293"/>
      <c r="YB104" s="294"/>
      <c r="YC104" s="298">
        <v>0.5</v>
      </c>
      <c r="YD104" s="212">
        <v>0.5</v>
      </c>
      <c r="YE104" s="212">
        <v>0.5</v>
      </c>
      <c r="YF104" s="212">
        <v>0.5</v>
      </c>
      <c r="YG104" s="212">
        <v>0.5</v>
      </c>
      <c r="YH104" s="212">
        <v>0.5</v>
      </c>
      <c r="YI104" s="212">
        <v>0.5</v>
      </c>
      <c r="YJ104" s="213">
        <v>0.5</v>
      </c>
      <c r="YK104" s="611"/>
      <c r="YL104" s="612"/>
      <c r="YM104" s="212">
        <v>0.5</v>
      </c>
      <c r="YN104" s="297">
        <v>0.5</v>
      </c>
      <c r="YO104" s="298">
        <v>0.5</v>
      </c>
      <c r="YP104" s="212">
        <v>0.5</v>
      </c>
      <c r="YQ104" s="212">
        <v>0.5</v>
      </c>
      <c r="YR104" s="212">
        <v>0.5</v>
      </c>
      <c r="YS104" s="212">
        <v>0.5</v>
      </c>
      <c r="YT104" s="212">
        <v>0.5</v>
      </c>
      <c r="YU104" s="207"/>
      <c r="YV104" s="207"/>
      <c r="YW104" s="207"/>
      <c r="YX104" s="207"/>
      <c r="YY104" s="207"/>
      <c r="YZ104" s="202"/>
      <c r="ZA104" s="294"/>
      <c r="ZB104" s="136"/>
      <c r="ZC104" s="130">
        <f>SUM(YA104:ZB104)</f>
      </c>
      <c r="ZD104" s="293"/>
      <c r="ZE104" s="294"/>
      <c r="ZF104" s="298">
        <v>0.5</v>
      </c>
      <c r="ZG104" s="212">
        <v>0.5</v>
      </c>
      <c r="ZH104" s="212">
        <v>0.5</v>
      </c>
      <c r="ZI104" s="212">
        <v>0.5</v>
      </c>
      <c r="ZJ104" s="212">
        <v>0.5</v>
      </c>
      <c r="ZK104" s="212">
        <v>0.5</v>
      </c>
      <c r="ZL104" s="212">
        <v>0.5</v>
      </c>
      <c r="ZM104" s="213">
        <v>0.5</v>
      </c>
      <c r="ZN104" s="611"/>
      <c r="ZO104" s="612"/>
      <c r="ZP104" s="212">
        <v>0.5</v>
      </c>
      <c r="ZQ104" s="297">
        <v>0.5</v>
      </c>
      <c r="ZR104" s="298">
        <v>0.5</v>
      </c>
      <c r="ZS104" s="212">
        <v>0.5</v>
      </c>
      <c r="ZT104" s="212">
        <v>0.5</v>
      </c>
      <c r="ZU104" s="212">
        <v>0.5</v>
      </c>
      <c r="ZV104" s="212">
        <v>0.5</v>
      </c>
      <c r="ZW104" s="212">
        <v>0.5</v>
      </c>
      <c r="ZX104" s="207"/>
      <c r="ZY104" s="207"/>
      <c r="ZZ104" s="207"/>
      <c r="AAA104" s="207"/>
      <c r="AAB104" s="207"/>
      <c r="AAC104" s="202"/>
      <c r="AAD104" s="294"/>
      <c r="AAE104" s="136"/>
      <c r="AAF104" s="130">
        <f>SUM(ZD104:AAE104)</f>
      </c>
      <c r="AAG104" s="293"/>
      <c r="AAH104" s="294"/>
      <c r="AAI104" s="298">
        <v>0.5</v>
      </c>
      <c r="AAJ104" s="212">
        <v>0.5</v>
      </c>
      <c r="AAK104" s="212">
        <v>0.5</v>
      </c>
      <c r="AAL104" s="212">
        <v>0.5</v>
      </c>
      <c r="AAM104" s="212">
        <v>0.5</v>
      </c>
      <c r="AAN104" s="212">
        <v>0.5</v>
      </c>
      <c r="AAO104" s="212">
        <v>0.5</v>
      </c>
      <c r="AAP104" s="213">
        <v>0.5</v>
      </c>
      <c r="AAQ104" s="611"/>
      <c r="AAR104" s="612"/>
      <c r="AAS104" s="212">
        <v>0.5</v>
      </c>
      <c r="AAT104" s="297">
        <v>0.5</v>
      </c>
      <c r="AAU104" s="298">
        <v>0.5</v>
      </c>
      <c r="AAV104" s="212">
        <v>0.5</v>
      </c>
      <c r="AAW104" s="212">
        <v>0.5</v>
      </c>
      <c r="AAX104" s="212">
        <v>0.5</v>
      </c>
      <c r="AAY104" s="212">
        <v>0.5</v>
      </c>
      <c r="AAZ104" s="212">
        <v>0.5</v>
      </c>
      <c r="ABA104" s="207"/>
      <c r="ABB104" s="207"/>
      <c r="ABC104" s="207"/>
      <c r="ABD104" s="207"/>
      <c r="ABE104" s="207"/>
      <c r="ABF104" s="202"/>
      <c r="ABG104" s="294"/>
      <c r="ABH104" s="136"/>
      <c r="ABI104" s="130">
        <f>SUM(AAG104:ABH104)</f>
      </c>
      <c r="ABJ104" s="293"/>
      <c r="ABK104" s="294"/>
      <c r="ABL104" s="613">
        <v>0.5</v>
      </c>
      <c r="ABM104" s="204">
        <v>0.5</v>
      </c>
      <c r="ABN104" s="204">
        <v>0.5</v>
      </c>
      <c r="ABO104" s="204">
        <v>0.5</v>
      </c>
      <c r="ABP104" s="204">
        <v>0.5</v>
      </c>
      <c r="ABQ104" s="204">
        <v>0.5</v>
      </c>
      <c r="ABR104" s="204">
        <v>0.5</v>
      </c>
      <c r="ABS104" s="205">
        <v>0.5</v>
      </c>
      <c r="ABT104" s="611"/>
      <c r="ABU104" s="612"/>
      <c r="ABV104" s="204">
        <v>0.5</v>
      </c>
      <c r="ABW104" s="614">
        <v>0.5</v>
      </c>
      <c r="ABX104" s="613">
        <v>0.5</v>
      </c>
      <c r="ABY104" s="204">
        <v>0.5</v>
      </c>
      <c r="ABZ104" s="204">
        <v>0.5</v>
      </c>
      <c r="ACA104" s="204">
        <v>0.5</v>
      </c>
      <c r="ACB104" s="204">
        <v>0.5</v>
      </c>
      <c r="ACC104" s="204">
        <v>0.5</v>
      </c>
      <c r="ACD104" s="207"/>
      <c r="ACE104" s="207"/>
      <c r="ACF104" s="207"/>
      <c r="ACG104" s="207"/>
      <c r="ACH104" s="207"/>
      <c r="ACI104" s="202"/>
      <c r="ACJ104" s="294"/>
      <c r="ACK104" s="136"/>
      <c r="ACL104" s="130">
        <f>SUM(ABJ104:ACK104)</f>
      </c>
      <c r="ACM104" s="290"/>
      <c r="ACN104" s="291"/>
      <c r="ACO104" s="292"/>
      <c r="ACP104" s="196"/>
      <c r="ACQ104" s="196"/>
      <c r="ACR104" s="196"/>
      <c r="ACS104" s="196"/>
      <c r="ACT104" s="196"/>
      <c r="ACU104" s="196"/>
      <c r="ACV104" s="195"/>
      <c r="ACW104" s="197"/>
      <c r="ACX104" s="196"/>
      <c r="ACY104" s="196"/>
      <c r="ACZ104" s="198"/>
      <c r="ADA104" s="292"/>
      <c r="ADB104" s="196"/>
      <c r="ADC104" s="196"/>
      <c r="ADD104" s="196"/>
      <c r="ADE104" s="196"/>
      <c r="ADF104" s="196"/>
      <c r="ADG104" s="196"/>
      <c r="ADH104" s="196"/>
      <c r="ADI104" s="196"/>
      <c r="ADJ104" s="196"/>
      <c r="ADK104" s="196"/>
      <c r="ADL104" s="195"/>
      <c r="ADM104" s="291"/>
      <c r="ADN104" s="123"/>
      <c r="ADO104" s="130">
        <f>SUM(ACM104:ADN104)</f>
      </c>
      <c r="ADP104" s="290"/>
      <c r="ADQ104" s="291"/>
      <c r="ADR104" s="292"/>
      <c r="ADS104" s="196"/>
      <c r="ADT104" s="196"/>
      <c r="ADU104" s="196"/>
      <c r="ADV104" s="196"/>
      <c r="ADW104" s="196"/>
      <c r="ADX104" s="196"/>
      <c r="ADY104" s="195"/>
      <c r="ADZ104" s="197"/>
      <c r="AEA104" s="196"/>
      <c r="AEB104" s="196"/>
      <c r="AEC104" s="198"/>
      <c r="AED104" s="292"/>
      <c r="AEE104" s="196"/>
      <c r="AEF104" s="196"/>
      <c r="AEG104" s="196"/>
      <c r="AEH104" s="196"/>
      <c r="AEI104" s="196"/>
      <c r="AEJ104" s="196"/>
      <c r="AEK104" s="196"/>
      <c r="AEL104" s="196"/>
      <c r="AEM104" s="196"/>
      <c r="AEN104" s="196"/>
      <c r="AEO104" s="195"/>
      <c r="AEP104" s="291"/>
      <c r="AEQ104" s="123"/>
      <c r="AER104" s="130">
        <f>SUM(ADP104:AEQ104)</f>
      </c>
      <c r="AES104" s="132">
        <f>XZ104+ZC104+AAF104+ABI104+ACL104+ADO104+AER104</f>
      </c>
      <c r="AET104" s="133">
        <f>(COUNTIF(WX104:AER104,"H")+COUNTIF(WX104:AER104,"S")+COUNTIF(WX104:AER104,"L")+COUNTIF(WX104:AER104,"E")+COUNTIF(WX104:AER104,"C"))/2</f>
      </c>
      <c r="AEU104" s="130">
        <f>AES104+AET104</f>
      </c>
      <c r="AEV104" s="293"/>
      <c r="AEW104" s="294"/>
      <c r="AEX104" s="298">
        <v>0.5</v>
      </c>
      <c r="AEY104" s="212">
        <v>0.5</v>
      </c>
      <c r="AEZ104" s="212">
        <v>0.5</v>
      </c>
      <c r="AFA104" s="212">
        <v>0.5</v>
      </c>
      <c r="AFB104" s="212">
        <v>0.5</v>
      </c>
      <c r="AFC104" s="212">
        <v>0.5</v>
      </c>
      <c r="AFD104" s="212">
        <v>0.5</v>
      </c>
      <c r="AFE104" s="213">
        <v>0.5</v>
      </c>
      <c r="AFF104" s="611"/>
      <c r="AFG104" s="612"/>
      <c r="AFH104" s="212">
        <v>0.5</v>
      </c>
      <c r="AFI104" s="297">
        <v>0.5</v>
      </c>
      <c r="AFJ104" s="298">
        <v>0.5</v>
      </c>
      <c r="AFK104" s="212">
        <v>0.5</v>
      </c>
      <c r="AFL104" s="212">
        <v>0.5</v>
      </c>
      <c r="AFM104" s="212">
        <v>0.5</v>
      </c>
      <c r="AFN104" s="212">
        <v>0.5</v>
      </c>
      <c r="AFO104" s="212">
        <v>0.5</v>
      </c>
      <c r="AFP104" s="207"/>
      <c r="AFQ104" s="207"/>
      <c r="AFR104" s="207"/>
      <c r="AFS104" s="207"/>
      <c r="AFT104" s="207"/>
      <c r="AFU104" s="202"/>
      <c r="AFV104" s="294"/>
      <c r="AFW104" s="201"/>
      <c r="AFX104" s="130">
        <f>SUM(AEV104:AFW104)</f>
      </c>
      <c r="AFY104" s="293"/>
      <c r="AFZ104" s="294"/>
      <c r="AGA104" s="298">
        <v>0.5</v>
      </c>
      <c r="AGB104" s="212">
        <v>0.5</v>
      </c>
      <c r="AGC104" s="212">
        <v>0.5</v>
      </c>
      <c r="AGD104" s="212">
        <v>0.5</v>
      </c>
      <c r="AGE104" s="212">
        <v>0.5</v>
      </c>
      <c r="AGF104" s="212">
        <v>0.5</v>
      </c>
      <c r="AGG104" s="212">
        <v>0.5</v>
      </c>
      <c r="AGH104" s="213">
        <v>0.5</v>
      </c>
      <c r="AGI104" s="611"/>
      <c r="AGJ104" s="612"/>
      <c r="AGK104" s="212">
        <v>0.5</v>
      </c>
      <c r="AGL104" s="297">
        <v>0.5</v>
      </c>
      <c r="AGM104" s="298">
        <v>0.5</v>
      </c>
      <c r="AGN104" s="212">
        <v>0.5</v>
      </c>
      <c r="AGO104" s="212">
        <v>0.5</v>
      </c>
      <c r="AGP104" s="212">
        <v>0.5</v>
      </c>
      <c r="AGQ104" s="212">
        <v>0.5</v>
      </c>
      <c r="AGR104" s="212">
        <v>0.5</v>
      </c>
      <c r="AGS104" s="207"/>
      <c r="AGT104" s="207"/>
      <c r="AGU104" s="207"/>
      <c r="AGV104" s="207"/>
      <c r="AGW104" s="207"/>
      <c r="AGX104" s="202"/>
      <c r="AGY104" s="294"/>
      <c r="AGZ104" s="201"/>
      <c r="AHA104" s="130">
        <f>SUM(AFY104:AGZ104)</f>
      </c>
      <c r="AHB104" s="293"/>
      <c r="AHC104" s="294"/>
      <c r="AHD104" s="298">
        <v>0.5</v>
      </c>
      <c r="AHE104" s="212">
        <v>0.5</v>
      </c>
      <c r="AHF104" s="212">
        <v>0.5</v>
      </c>
      <c r="AHG104" s="212">
        <v>0.5</v>
      </c>
      <c r="AHH104" s="212">
        <v>0.5</v>
      </c>
      <c r="AHI104" s="212">
        <v>0.5</v>
      </c>
      <c r="AHJ104" s="212">
        <v>0.5</v>
      </c>
      <c r="AHK104" s="213">
        <v>0.5</v>
      </c>
      <c r="AHL104" s="611"/>
      <c r="AHM104" s="612"/>
      <c r="AHN104" s="212">
        <v>0.5</v>
      </c>
      <c r="AHO104" s="297">
        <v>0.5</v>
      </c>
      <c r="AHP104" s="298">
        <v>0.5</v>
      </c>
      <c r="AHQ104" s="212">
        <v>0.5</v>
      </c>
      <c r="AHR104" s="212">
        <v>0.5</v>
      </c>
      <c r="AHS104" s="212">
        <v>0.5</v>
      </c>
      <c r="AHT104" s="212">
        <v>0.5</v>
      </c>
      <c r="AHU104" s="212">
        <v>0.5</v>
      </c>
      <c r="AHV104" s="207"/>
      <c r="AHW104" s="207"/>
      <c r="AHX104" s="207"/>
      <c r="AHY104" s="207"/>
      <c r="AHZ104" s="207"/>
      <c r="AIA104" s="202"/>
      <c r="AIB104" s="294"/>
      <c r="AIC104" s="136"/>
      <c r="AID104" s="130">
        <f>SUM(AHB104:AIC104)</f>
      </c>
      <c r="AIE104" s="293"/>
      <c r="AIF104" s="294"/>
      <c r="AIG104" s="298">
        <v>0.5</v>
      </c>
      <c r="AIH104" s="212">
        <v>0.5</v>
      </c>
      <c r="AII104" s="212">
        <v>0.5</v>
      </c>
      <c r="AIJ104" s="212">
        <v>0.5</v>
      </c>
      <c r="AIK104" s="212">
        <v>0.5</v>
      </c>
      <c r="AIL104" s="212">
        <v>0.5</v>
      </c>
      <c r="AIM104" s="212">
        <v>0.5</v>
      </c>
      <c r="AIN104" s="213">
        <v>0.5</v>
      </c>
      <c r="AIO104" s="611"/>
      <c r="AIP104" s="612"/>
      <c r="AIQ104" s="212">
        <v>0.5</v>
      </c>
      <c r="AIR104" s="297">
        <v>0.5</v>
      </c>
      <c r="AIS104" s="298">
        <v>0.5</v>
      </c>
      <c r="AIT104" s="212">
        <v>0.5</v>
      </c>
      <c r="AIU104" s="212">
        <v>0.5</v>
      </c>
      <c r="AIV104" s="212">
        <v>0.5</v>
      </c>
      <c r="AIW104" s="212">
        <v>0.5</v>
      </c>
      <c r="AIX104" s="212">
        <v>0.5</v>
      </c>
      <c r="AIY104" s="207"/>
      <c r="AIZ104" s="207"/>
      <c r="AJA104" s="207"/>
      <c r="AJB104" s="207"/>
      <c r="AJC104" s="207"/>
      <c r="AJD104" s="202"/>
      <c r="AJE104" s="294"/>
      <c r="AJF104" s="136"/>
      <c r="AJG104" s="130">
        <f>SUM(AIE104:AJF104)</f>
      </c>
      <c r="AJH104" s="293"/>
      <c r="AJI104" s="294"/>
      <c r="AJJ104" s="613">
        <v>0.5</v>
      </c>
      <c r="AJK104" s="204">
        <v>0.5</v>
      </c>
      <c r="AJL104" s="204">
        <v>0.5</v>
      </c>
      <c r="AJM104" s="204">
        <v>0.5</v>
      </c>
      <c r="AJN104" s="204">
        <v>0.5</v>
      </c>
      <c r="AJO104" s="204">
        <v>0.5</v>
      </c>
      <c r="AJP104" s="204">
        <v>0.5</v>
      </c>
      <c r="AJQ104" s="205">
        <v>0.5</v>
      </c>
      <c r="AJR104" s="611"/>
      <c r="AJS104" s="612"/>
      <c r="AJT104" s="204">
        <v>0.5</v>
      </c>
      <c r="AJU104" s="614">
        <v>0.5</v>
      </c>
      <c r="AJV104" s="613">
        <v>0.5</v>
      </c>
      <c r="AJW104" s="204">
        <v>0.5</v>
      </c>
      <c r="AJX104" s="204">
        <v>0.5</v>
      </c>
      <c r="AJY104" s="204">
        <v>0.5</v>
      </c>
      <c r="AJZ104" s="204">
        <v>0.5</v>
      </c>
      <c r="AKA104" s="204">
        <v>0.5</v>
      </c>
      <c r="AKB104" s="207"/>
      <c r="AKC104" s="207"/>
      <c r="AKD104" s="207"/>
      <c r="AKE104" s="207"/>
      <c r="AKF104" s="207"/>
      <c r="AKG104" s="202"/>
      <c r="AKH104" s="294"/>
      <c r="AKI104" s="136"/>
      <c r="AKJ104" s="130">
        <f>SUM(AJH104:AKI104)</f>
      </c>
      <c r="AKK104" s="290"/>
      <c r="AKL104" s="291"/>
      <c r="AKM104" s="292"/>
      <c r="AKN104" s="196"/>
      <c r="AKO104" s="196"/>
      <c r="AKP104" s="196"/>
      <c r="AKQ104" s="196"/>
      <c r="AKR104" s="196"/>
      <c r="AKS104" s="196"/>
      <c r="AKT104" s="195"/>
      <c r="AKU104" s="197"/>
      <c r="AKV104" s="196"/>
      <c r="AKW104" s="196"/>
      <c r="AKX104" s="198"/>
      <c r="AKY104" s="292"/>
      <c r="AKZ104" s="196"/>
      <c r="ALA104" s="196"/>
      <c r="ALB104" s="196"/>
      <c r="ALC104" s="196"/>
      <c r="ALD104" s="196"/>
      <c r="ALE104" s="196"/>
      <c r="ALF104" s="196"/>
      <c r="ALG104" s="196"/>
      <c r="ALH104" s="196"/>
      <c r="ALI104" s="196"/>
      <c r="ALJ104" s="195"/>
      <c r="ALK104" s="291"/>
      <c r="ALL104" s="123"/>
      <c r="ALM104" s="130">
        <f>SUM(AKK104:ALL104)</f>
      </c>
      <c r="ALN104" s="290"/>
      <c r="ALO104" s="291"/>
      <c r="ALP104" s="292"/>
      <c r="ALQ104" s="196"/>
      <c r="ALR104" s="196"/>
      <c r="ALS104" s="196"/>
      <c r="ALT104" s="196"/>
      <c r="ALU104" s="196"/>
      <c r="ALV104" s="196"/>
      <c r="ALW104" s="195"/>
      <c r="ALX104" s="197"/>
      <c r="ALY104" s="196"/>
      <c r="ALZ104" s="196"/>
      <c r="AMA104" s="198"/>
      <c r="AMB104" s="292"/>
      <c r="AMC104" s="196"/>
      <c r="AMD104" s="196"/>
      <c r="AME104" s="196"/>
      <c r="AMF104" s="196"/>
      <c r="AMG104" s="196"/>
      <c r="AMH104" s="196"/>
      <c r="AMI104" s="196"/>
      <c r="AMJ104" s="196"/>
      <c r="AMK104" s="196"/>
      <c r="AML104" s="196"/>
      <c r="AMM104" s="195"/>
      <c r="AMN104" s="291"/>
      <c r="AMO104" s="123"/>
      <c r="AMP104" s="130">
        <f>SUM(ALN104:AMO104)</f>
      </c>
      <c r="AMQ104" s="132">
        <f>AFX104+AHA104+AID104+AJG104+AKJ104+ALM104+AMP104</f>
      </c>
      <c r="AMR104" s="133">
        <f>(COUNTIF(AEV104:AMP104,"H")+COUNTIF(AEV104:AMP104,"S")+COUNTIF(AEV104:AMP104,"L")+COUNTIF(AEV104:AMP104,"E")+COUNTIF(AEV104:AMP104,"C"))/2</f>
      </c>
      <c r="AMS104" s="130">
        <f>AMQ104+AMR104</f>
      </c>
      <c r="AMT104" s="4"/>
      <c r="AMU104" s="4"/>
      <c r="AMV104" s="4"/>
      <c r="AMW104" s="4"/>
      <c r="AMX104" s="4"/>
      <c r="AMY104" s="4"/>
      <c r="AMZ104" s="4"/>
      <c r="ANA104" s="4"/>
      <c r="ANB104" s="4"/>
      <c r="ANC104" s="4"/>
      <c r="AND104" s="4"/>
      <c r="ANE104" s="4"/>
      <c r="ANF104" s="4"/>
      <c r="ANG104" s="4"/>
      <c r="ANH104" s="4"/>
      <c r="ANI104" s="4"/>
      <c r="ANJ104" s="4"/>
      <c r="ANK104" s="4"/>
      <c r="ANL104" s="4"/>
      <c r="ANM104" s="4"/>
      <c r="ANN104" s="4"/>
      <c r="ANO104" s="4"/>
      <c r="ANP104" s="4"/>
      <c r="ANQ104" s="4"/>
      <c r="ANR104" s="4"/>
      <c r="ANS104" s="4"/>
      <c r="ANT104" s="4"/>
      <c r="ANU104" s="4"/>
      <c r="ANV104" s="4"/>
      <c r="ANW104" s="4"/>
      <c r="ANX104" s="4"/>
      <c r="ANY104" s="4"/>
      <c r="ANZ104" s="4"/>
      <c r="AOA104" s="4"/>
      <c r="AOB104" s="4"/>
      <c r="AOC104" s="4"/>
      <c r="AOD104" s="4"/>
      <c r="AOE104" s="4"/>
      <c r="AOF104" s="4"/>
      <c r="AOG104" s="4"/>
      <c r="AOH104" s="4"/>
      <c r="AOI104" s="4"/>
      <c r="AOJ104" s="4"/>
      <c r="AOK104" s="4"/>
      <c r="AOL104" s="4"/>
      <c r="AOM104" s="4"/>
      <c r="AON104" s="4"/>
      <c r="AOO104" s="4"/>
      <c r="AOP104" s="4"/>
      <c r="AOQ104" s="4"/>
      <c r="AOR104" s="4"/>
      <c r="AOS104" s="4"/>
      <c r="AOT104" s="4"/>
      <c r="AOU104" s="4"/>
      <c r="AOV104" s="4"/>
      <c r="AOW104" s="4"/>
      <c r="AOX104" s="4"/>
      <c r="AOY104" s="4"/>
      <c r="AOZ104" s="4"/>
      <c r="APA104" s="4"/>
      <c r="APB104" s="4"/>
      <c r="APC104" s="4"/>
      <c r="APD104" s="4"/>
      <c r="APE104" s="4"/>
      <c r="APF104" s="4"/>
      <c r="APG104" s="4"/>
      <c r="APH104" s="4"/>
      <c r="API104" s="4"/>
      <c r="APJ104" s="4"/>
      <c r="APK104" s="4"/>
      <c r="APL104" s="4"/>
      <c r="APM104" s="4"/>
      <c r="APN104" s="4"/>
      <c r="APO104" s="4"/>
      <c r="APP104" s="4"/>
      <c r="APQ104" s="4"/>
      <c r="APR104" s="4"/>
      <c r="APS104" s="4"/>
      <c r="APT104" s="4"/>
      <c r="APU104" s="4"/>
      <c r="APV104" s="4"/>
      <c r="APW104" s="4"/>
      <c r="APX104" s="4"/>
      <c r="APY104" s="4"/>
      <c r="APZ104" s="4"/>
      <c r="AQA104" s="4"/>
      <c r="AQB104" s="4"/>
      <c r="AQC104" s="4"/>
      <c r="AQD104" s="4"/>
      <c r="AQE104" s="4"/>
      <c r="AQF104" s="4"/>
      <c r="AQG104" s="4"/>
      <c r="AQH104" s="4"/>
      <c r="AQI104" s="4"/>
      <c r="AQJ104" s="4"/>
      <c r="AQK104" s="4"/>
      <c r="AQL104" s="4"/>
      <c r="AQM104" s="4"/>
      <c r="AQN104" s="4"/>
      <c r="AQO104" s="4"/>
      <c r="AQP104" s="4"/>
      <c r="AQQ104" s="4"/>
      <c r="AQR104" s="4"/>
      <c r="AQS104" s="4"/>
      <c r="AQT104" s="4"/>
      <c r="AQU104" s="4"/>
      <c r="AQV104" s="4"/>
      <c r="AQW104" s="4"/>
      <c r="AQX104" s="4"/>
      <c r="AQY104" s="4"/>
      <c r="AQZ104" s="4"/>
      <c r="ARA104" s="4"/>
      <c r="ARB104" s="4"/>
      <c r="ARC104" s="4"/>
      <c r="ARD104" s="4"/>
      <c r="ARE104" s="4"/>
      <c r="ARF104" s="4"/>
      <c r="ARG104" s="4"/>
      <c r="ARH104" s="4"/>
      <c r="ARI104" s="4"/>
      <c r="ARJ104" s="4"/>
      <c r="ARK104" s="4"/>
      <c r="ARL104" s="4"/>
      <c r="ARM104" s="4"/>
      <c r="ARN104" s="4"/>
      <c r="ARO104" s="4"/>
      <c r="ARP104" s="4"/>
      <c r="ARQ104" s="4"/>
      <c r="ARR104" s="4"/>
      <c r="ARS104" s="4"/>
      <c r="ART104" s="4"/>
      <c r="ARU104" s="4"/>
      <c r="ARV104" s="4"/>
      <c r="ARW104" s="4"/>
      <c r="ARX104" s="4"/>
      <c r="ARY104" s="4"/>
      <c r="ARZ104" s="4"/>
      <c r="ASA104" s="4"/>
      <c r="ASB104" s="4"/>
      <c r="ASC104" s="4"/>
      <c r="ASD104" s="4"/>
      <c r="ASE104" s="4"/>
      <c r="ASF104" s="4"/>
      <c r="ASG104" s="4"/>
      <c r="ASH104" s="4"/>
      <c r="ASI104" s="4"/>
      <c r="ASJ104" s="4"/>
      <c r="ASK104" s="4"/>
      <c r="ASL104" s="4"/>
      <c r="ASM104" s="4"/>
      <c r="ASN104" s="4"/>
      <c r="ASO104" s="4"/>
      <c r="ASP104" s="4"/>
      <c r="ASQ104" s="4"/>
      <c r="ASR104" s="4"/>
      <c r="ASS104" s="4"/>
      <c r="AST104" s="4"/>
      <c r="ASU104" s="4"/>
    </row>
    <row r="105" ht="15" customHeight="1" spans="1:1191" x14ac:dyDescent="0.25">
      <c r="A105" s="118"/>
      <c r="B105" s="367" t="s">
        <v>141</v>
      </c>
      <c r="C105" s="289" t="s">
        <v>55</v>
      </c>
      <c r="D105" s="121"/>
      <c r="E105" s="122"/>
      <c r="F105" s="292"/>
      <c r="G105" s="196"/>
      <c r="H105" s="196"/>
      <c r="I105" s="196"/>
      <c r="J105" s="196"/>
      <c r="K105" s="196"/>
      <c r="L105" s="196"/>
      <c r="M105" s="195"/>
      <c r="N105" s="197"/>
      <c r="O105" s="196"/>
      <c r="P105" s="196"/>
      <c r="Q105" s="198"/>
      <c r="R105" s="292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6"/>
      <c r="AC105" s="195"/>
      <c r="AD105" s="122"/>
      <c r="AE105" s="123"/>
      <c r="AF105" s="130">
        <f>SUM(D105:AE105)</f>
      </c>
      <c r="AG105" s="121"/>
      <c r="AH105" s="122"/>
      <c r="AI105" s="292"/>
      <c r="AJ105" s="196"/>
      <c r="AK105" s="196"/>
      <c r="AL105" s="196"/>
      <c r="AM105" s="196"/>
      <c r="AN105" s="196"/>
      <c r="AO105" s="196"/>
      <c r="AP105" s="195"/>
      <c r="AQ105" s="197"/>
      <c r="AR105" s="196"/>
      <c r="AS105" s="196"/>
      <c r="AT105" s="198"/>
      <c r="AU105" s="292"/>
      <c r="AV105" s="196"/>
      <c r="AW105" s="196"/>
      <c r="AX105" s="196"/>
      <c r="AY105" s="196"/>
      <c r="AZ105" s="196"/>
      <c r="BA105" s="196"/>
      <c r="BB105" s="196"/>
      <c r="BC105" s="196"/>
      <c r="BD105" s="196"/>
      <c r="BE105" s="196"/>
      <c r="BF105" s="195"/>
      <c r="BG105" s="122"/>
      <c r="BH105" s="123"/>
      <c r="BI105" s="130">
        <f>SUM(AG105:BH105)</f>
      </c>
      <c r="BJ105" s="121"/>
      <c r="BK105" s="122"/>
      <c r="BL105" s="292"/>
      <c r="BM105" s="196"/>
      <c r="BN105" s="196"/>
      <c r="BO105" s="196"/>
      <c r="BP105" s="196"/>
      <c r="BQ105" s="196"/>
      <c r="BR105" s="196"/>
      <c r="BS105" s="195"/>
      <c r="BT105" s="197"/>
      <c r="BU105" s="196"/>
      <c r="BV105" s="196"/>
      <c r="BW105" s="198"/>
      <c r="BX105" s="292"/>
      <c r="BY105" s="196"/>
      <c r="BZ105" s="196"/>
      <c r="CA105" s="196"/>
      <c r="CB105" s="196"/>
      <c r="CC105" s="196"/>
      <c r="CD105" s="196"/>
      <c r="CE105" s="196"/>
      <c r="CF105" s="196"/>
      <c r="CG105" s="196"/>
      <c r="CH105" s="196"/>
      <c r="CI105" s="195"/>
      <c r="CJ105" s="122"/>
      <c r="CK105" s="123"/>
      <c r="CL105" s="130">
        <f>SUM(BJ105:CK105)</f>
      </c>
      <c r="CM105" s="121"/>
      <c r="CN105" s="122"/>
      <c r="CO105" s="292"/>
      <c r="CP105" s="196"/>
      <c r="CQ105" s="196"/>
      <c r="CR105" s="196"/>
      <c r="CS105" s="196"/>
      <c r="CT105" s="196"/>
      <c r="CU105" s="196"/>
      <c r="CV105" s="195"/>
      <c r="CW105" s="197"/>
      <c r="CX105" s="196"/>
      <c r="CY105" s="196"/>
      <c r="CZ105" s="198"/>
      <c r="DA105" s="292"/>
      <c r="DB105" s="196"/>
      <c r="DC105" s="196"/>
      <c r="DD105" s="196"/>
      <c r="DE105" s="196"/>
      <c r="DF105" s="196"/>
      <c r="DG105" s="196"/>
      <c r="DH105" s="196"/>
      <c r="DI105" s="196"/>
      <c r="DJ105" s="196"/>
      <c r="DK105" s="196"/>
      <c r="DL105" s="195"/>
      <c r="DM105" s="122"/>
      <c r="DN105" s="123"/>
      <c r="DO105" s="130">
        <f>SUM(CM105:DN105)</f>
      </c>
      <c r="DP105" s="121"/>
      <c r="DQ105" s="122"/>
      <c r="DR105" s="292"/>
      <c r="DS105" s="196"/>
      <c r="DT105" s="196"/>
      <c r="DU105" s="196"/>
      <c r="DV105" s="196"/>
      <c r="DW105" s="196"/>
      <c r="DX105" s="196"/>
      <c r="DY105" s="195"/>
      <c r="DZ105" s="197"/>
      <c r="EA105" s="196"/>
      <c r="EB105" s="196"/>
      <c r="EC105" s="198"/>
      <c r="ED105" s="292"/>
      <c r="EE105" s="196"/>
      <c r="EF105" s="196"/>
      <c r="EG105" s="196"/>
      <c r="EH105" s="196"/>
      <c r="EI105" s="196"/>
      <c r="EJ105" s="196"/>
      <c r="EK105" s="196"/>
      <c r="EL105" s="196"/>
      <c r="EM105" s="196"/>
      <c r="EN105" s="196"/>
      <c r="EO105" s="195"/>
      <c r="EP105" s="122"/>
      <c r="EQ105" s="123"/>
      <c r="ER105" s="130">
        <f>SUM(DP105:EQ105)</f>
      </c>
      <c r="ES105" s="121"/>
      <c r="ET105" s="122"/>
      <c r="EU105" s="292"/>
      <c r="EV105" s="196"/>
      <c r="EW105" s="196"/>
      <c r="EX105" s="196"/>
      <c r="EY105" s="196"/>
      <c r="EZ105" s="196"/>
      <c r="FA105" s="196"/>
      <c r="FB105" s="195"/>
      <c r="FC105" s="197"/>
      <c r="FD105" s="196"/>
      <c r="FE105" s="196"/>
      <c r="FF105" s="198"/>
      <c r="FG105" s="292"/>
      <c r="FH105" s="196"/>
      <c r="FI105" s="196"/>
      <c r="FJ105" s="196"/>
      <c r="FK105" s="196"/>
      <c r="FL105" s="196"/>
      <c r="FM105" s="196"/>
      <c r="FN105" s="196"/>
      <c r="FO105" s="196"/>
      <c r="FP105" s="196"/>
      <c r="FQ105" s="196"/>
      <c r="FR105" s="195"/>
      <c r="FS105" s="122"/>
      <c r="FT105" s="123"/>
      <c r="FU105" s="130">
        <f>SUM(ES105:FT105)</f>
      </c>
      <c r="FV105" s="121"/>
      <c r="FW105" s="122"/>
      <c r="FX105" s="292"/>
      <c r="FY105" s="196"/>
      <c r="FZ105" s="196"/>
      <c r="GA105" s="196"/>
      <c r="GB105" s="196"/>
      <c r="GC105" s="196"/>
      <c r="GD105" s="196"/>
      <c r="GE105" s="195"/>
      <c r="GF105" s="197"/>
      <c r="GG105" s="196"/>
      <c r="GH105" s="196"/>
      <c r="GI105" s="198"/>
      <c r="GJ105" s="292"/>
      <c r="GK105" s="196"/>
      <c r="GL105" s="196"/>
      <c r="GM105" s="196"/>
      <c r="GN105" s="196"/>
      <c r="GO105" s="196"/>
      <c r="GP105" s="196"/>
      <c r="GQ105" s="196"/>
      <c r="GR105" s="196"/>
      <c r="GS105" s="196"/>
      <c r="GT105" s="196"/>
      <c r="GU105" s="195"/>
      <c r="GV105" s="122"/>
      <c r="GW105" s="123"/>
      <c r="GX105" s="130">
        <f>SUM(FV105:GW105)</f>
      </c>
      <c r="GY105" s="132">
        <f>AF105+BI105+CL105+DO105+ER105+FU105+GX105</f>
      </c>
      <c r="GZ105" s="133">
        <f>(COUNTIF(D105:GX105,"H")+COUNTIF(D105:GX105,"S")+COUNTIF(D105:GX105,"L")+COUNTIF(D105:GX105,"E")+COUNTIF(D105:GX105,"C"))/2</f>
      </c>
      <c r="HA105" s="130">
        <f>GY105+GZ105</f>
      </c>
      <c r="HB105" s="134"/>
      <c r="HC105" s="135"/>
      <c r="HD105" s="298">
        <v>0.5</v>
      </c>
      <c r="HE105" s="212">
        <v>0.5</v>
      </c>
      <c r="HF105" s="212">
        <v>0.5</v>
      </c>
      <c r="HG105" s="212">
        <v>0.5</v>
      </c>
      <c r="HH105" s="212">
        <v>0.5</v>
      </c>
      <c r="HI105" s="212">
        <v>0.5</v>
      </c>
      <c r="HJ105" s="212">
        <v>0.5</v>
      </c>
      <c r="HK105" s="213">
        <v>0.5</v>
      </c>
      <c r="HL105" s="611"/>
      <c r="HM105" s="612"/>
      <c r="HN105" s="212">
        <v>0.5</v>
      </c>
      <c r="HO105" s="297">
        <v>0.5</v>
      </c>
      <c r="HP105" s="298">
        <v>0.5</v>
      </c>
      <c r="HQ105" s="212">
        <v>0.5</v>
      </c>
      <c r="HR105" s="212">
        <v>0.5</v>
      </c>
      <c r="HS105" s="212">
        <v>0.5</v>
      </c>
      <c r="HT105" s="212">
        <v>0.5</v>
      </c>
      <c r="HU105" s="212">
        <v>0.5</v>
      </c>
      <c r="HV105" s="207"/>
      <c r="HW105" s="207"/>
      <c r="HX105" s="207"/>
      <c r="HY105" s="207"/>
      <c r="HZ105" s="207"/>
      <c r="IA105" s="202"/>
      <c r="IB105" s="135"/>
      <c r="IC105" s="136"/>
      <c r="ID105" s="130">
        <f>SUM(HB105:IC105)</f>
      </c>
      <c r="IE105" s="134"/>
      <c r="IF105" s="135"/>
      <c r="IG105" s="613">
        <v>0.5</v>
      </c>
      <c r="IH105" s="204">
        <v>0.5</v>
      </c>
      <c r="II105" s="204">
        <v>0.5</v>
      </c>
      <c r="IJ105" s="204">
        <v>0.5</v>
      </c>
      <c r="IK105" s="204">
        <v>0.5</v>
      </c>
      <c r="IL105" s="204">
        <v>0.5</v>
      </c>
      <c r="IM105" s="204">
        <v>0.5</v>
      </c>
      <c r="IN105" s="205">
        <v>0.5</v>
      </c>
      <c r="IO105" s="611"/>
      <c r="IP105" s="612"/>
      <c r="IQ105" s="204">
        <v>0.5</v>
      </c>
      <c r="IR105" s="614">
        <v>0.5</v>
      </c>
      <c r="IS105" s="613">
        <v>0.5</v>
      </c>
      <c r="IT105" s="204">
        <v>0.5</v>
      </c>
      <c r="IU105" s="204">
        <v>0.5</v>
      </c>
      <c r="IV105" s="204">
        <v>0.5</v>
      </c>
      <c r="IW105" s="204">
        <v>0.5</v>
      </c>
      <c r="IX105" s="204">
        <v>0.5</v>
      </c>
      <c r="IY105" s="207"/>
      <c r="IZ105" s="207"/>
      <c r="JA105" s="207"/>
      <c r="JB105" s="207"/>
      <c r="JC105" s="207"/>
      <c r="JD105" s="202"/>
      <c r="JE105" s="135"/>
      <c r="JF105" s="136"/>
      <c r="JG105" s="130">
        <f>SUM(IE105:JF105)</f>
      </c>
      <c r="JH105" s="134"/>
      <c r="JI105" s="135"/>
      <c r="JJ105" s="298">
        <v>0.5</v>
      </c>
      <c r="JK105" s="212">
        <v>0.5</v>
      </c>
      <c r="JL105" s="212">
        <v>0.5</v>
      </c>
      <c r="JM105" s="212">
        <v>0.5</v>
      </c>
      <c r="JN105" s="212">
        <v>0.5</v>
      </c>
      <c r="JO105" s="212">
        <v>0.5</v>
      </c>
      <c r="JP105" s="212">
        <v>0.5</v>
      </c>
      <c r="JQ105" s="213">
        <v>0.5</v>
      </c>
      <c r="JR105" s="611"/>
      <c r="JS105" s="612"/>
      <c r="JT105" s="212">
        <v>0.5</v>
      </c>
      <c r="JU105" s="297">
        <v>0.5</v>
      </c>
      <c r="JV105" s="298">
        <v>0.5</v>
      </c>
      <c r="JW105" s="212">
        <v>0.5</v>
      </c>
      <c r="JX105" s="212">
        <v>0.5</v>
      </c>
      <c r="JY105" s="212">
        <v>0.5</v>
      </c>
      <c r="JZ105" s="212">
        <v>0.5</v>
      </c>
      <c r="KA105" s="212">
        <v>0.5</v>
      </c>
      <c r="KB105" s="207"/>
      <c r="KC105" s="207"/>
      <c r="KD105" s="207"/>
      <c r="KE105" s="207"/>
      <c r="KF105" s="207"/>
      <c r="KG105" s="202"/>
      <c r="KH105" s="135"/>
      <c r="KI105" s="136"/>
      <c r="KJ105" s="130">
        <f>SUM(JH105:KI105)</f>
      </c>
      <c r="KK105" s="134"/>
      <c r="KL105" s="135"/>
      <c r="KM105" s="613">
        <v>0.5</v>
      </c>
      <c r="KN105" s="204">
        <v>0.5</v>
      </c>
      <c r="KO105" s="204">
        <v>0.5</v>
      </c>
      <c r="KP105" s="204">
        <v>0.5</v>
      </c>
      <c r="KQ105" s="204">
        <v>0.5</v>
      </c>
      <c r="KR105" s="204">
        <v>0.5</v>
      </c>
      <c r="KS105" s="204">
        <v>0.5</v>
      </c>
      <c r="KT105" s="205">
        <v>0.5</v>
      </c>
      <c r="KU105" s="611"/>
      <c r="KV105" s="612"/>
      <c r="KW105" s="204">
        <v>0.5</v>
      </c>
      <c r="KX105" s="614">
        <v>0.5</v>
      </c>
      <c r="KY105" s="613">
        <v>0.5</v>
      </c>
      <c r="KZ105" s="204">
        <v>0.5</v>
      </c>
      <c r="LA105" s="204">
        <v>0.5</v>
      </c>
      <c r="LB105" s="204">
        <v>0.5</v>
      </c>
      <c r="LC105" s="204">
        <v>0.5</v>
      </c>
      <c r="LD105" s="204">
        <v>0.5</v>
      </c>
      <c r="LE105" s="207"/>
      <c r="LF105" s="207"/>
      <c r="LG105" s="207"/>
      <c r="LH105" s="207"/>
      <c r="LI105" s="207"/>
      <c r="LJ105" s="202"/>
      <c r="LK105" s="135"/>
      <c r="LL105" s="136"/>
      <c r="LM105" s="130">
        <f>SUM(KK105:LL105)</f>
      </c>
      <c r="LN105" s="134"/>
      <c r="LO105" s="135"/>
      <c r="LP105" s="298">
        <v>0.5</v>
      </c>
      <c r="LQ105" s="212">
        <v>0.5</v>
      </c>
      <c r="LR105" s="212">
        <v>0.5</v>
      </c>
      <c r="LS105" s="212">
        <v>0.5</v>
      </c>
      <c r="LT105" s="212">
        <v>0.5</v>
      </c>
      <c r="LU105" s="212">
        <v>0.5</v>
      </c>
      <c r="LV105" s="212">
        <v>0.5</v>
      </c>
      <c r="LW105" s="213">
        <v>0.5</v>
      </c>
      <c r="LX105" s="611"/>
      <c r="LY105" s="612"/>
      <c r="LZ105" s="212">
        <v>0.5</v>
      </c>
      <c r="MA105" s="297">
        <v>0.5</v>
      </c>
      <c r="MB105" s="298">
        <v>0.5</v>
      </c>
      <c r="MC105" s="212">
        <v>0.5</v>
      </c>
      <c r="MD105" s="212">
        <v>0.5</v>
      </c>
      <c r="ME105" s="212">
        <v>0.5</v>
      </c>
      <c r="MF105" s="212">
        <v>0.5</v>
      </c>
      <c r="MG105" s="212">
        <v>0.5</v>
      </c>
      <c r="MH105" s="207"/>
      <c r="MI105" s="207"/>
      <c r="MJ105" s="207"/>
      <c r="MK105" s="207"/>
      <c r="ML105" s="207"/>
      <c r="MM105" s="202"/>
      <c r="MN105" s="135"/>
      <c r="MO105" s="136"/>
      <c r="MP105" s="130">
        <f>SUM(LN105:MO105)</f>
      </c>
      <c r="MQ105" s="121"/>
      <c r="MR105" s="122"/>
      <c r="MS105" s="292"/>
      <c r="MT105" s="196"/>
      <c r="MU105" s="196"/>
      <c r="MV105" s="196"/>
      <c r="MW105" s="196"/>
      <c r="MX105" s="196"/>
      <c r="MY105" s="196"/>
      <c r="MZ105" s="195"/>
      <c r="NA105" s="197"/>
      <c r="NB105" s="196"/>
      <c r="NC105" s="196"/>
      <c r="ND105" s="198"/>
      <c r="NE105" s="292"/>
      <c r="NF105" s="196"/>
      <c r="NG105" s="196"/>
      <c r="NH105" s="196"/>
      <c r="NI105" s="196"/>
      <c r="NJ105" s="196"/>
      <c r="NK105" s="196"/>
      <c r="NL105" s="196"/>
      <c r="NM105" s="196"/>
      <c r="NN105" s="196"/>
      <c r="NO105" s="196"/>
      <c r="NP105" s="195"/>
      <c r="NQ105" s="122"/>
      <c r="NR105" s="123"/>
      <c r="NS105" s="130">
        <f>SUM(MQ105:NR105)</f>
      </c>
      <c r="NT105" s="121"/>
      <c r="NU105" s="122"/>
      <c r="NV105" s="292"/>
      <c r="NW105" s="196"/>
      <c r="NX105" s="196"/>
      <c r="NY105" s="196"/>
      <c r="NZ105" s="196"/>
      <c r="OA105" s="196"/>
      <c r="OB105" s="196"/>
      <c r="OC105" s="195"/>
      <c r="OD105" s="197"/>
      <c r="OE105" s="196"/>
      <c r="OF105" s="196"/>
      <c r="OG105" s="198"/>
      <c r="OH105" s="292"/>
      <c r="OI105" s="196"/>
      <c r="OJ105" s="196"/>
      <c r="OK105" s="196"/>
      <c r="OL105" s="196"/>
      <c r="OM105" s="196"/>
      <c r="ON105" s="196"/>
      <c r="OO105" s="196"/>
      <c r="OP105" s="196"/>
      <c r="OQ105" s="196"/>
      <c r="OR105" s="196"/>
      <c r="OS105" s="195"/>
      <c r="OT105" s="122"/>
      <c r="OU105" s="123"/>
      <c r="OV105" s="130">
        <f>SUM(NT105:OU105)</f>
      </c>
      <c r="OW105" s="132">
        <f>ID105+JG105+KJ105+LM105+MP105+NS105+OV105</f>
      </c>
      <c r="OX105" s="133">
        <f>(COUNTIF(HB105:OV105,"H")+COUNTIF(HB105:OV105,"S")+COUNTIF(HB105:OV105,"L")+COUNTIF(HB105:OV105,"E")+COUNTIF(HB105:OV105,"C"))/2</f>
      </c>
      <c r="OY105" s="130">
        <f>OW105+OX105</f>
      </c>
      <c r="OZ105" s="134"/>
      <c r="PA105" s="135"/>
      <c r="PB105" s="613">
        <v>0.5</v>
      </c>
      <c r="PC105" s="204">
        <v>0.5</v>
      </c>
      <c r="PD105" s="204">
        <v>0.5</v>
      </c>
      <c r="PE105" s="204">
        <v>0.5</v>
      </c>
      <c r="PF105" s="204">
        <v>0.5</v>
      </c>
      <c r="PG105" s="204">
        <v>0.5</v>
      </c>
      <c r="PH105" s="204">
        <v>0.5</v>
      </c>
      <c r="PI105" s="205">
        <v>0.5</v>
      </c>
      <c r="PJ105" s="611"/>
      <c r="PK105" s="612"/>
      <c r="PL105" s="204">
        <v>0.5</v>
      </c>
      <c r="PM105" s="614">
        <v>0.5</v>
      </c>
      <c r="PN105" s="613">
        <v>0.5</v>
      </c>
      <c r="PO105" s="204">
        <v>0.5</v>
      </c>
      <c r="PP105" s="204">
        <v>0.5</v>
      </c>
      <c r="PQ105" s="204">
        <v>0.5</v>
      </c>
      <c r="PR105" s="204">
        <v>0.5</v>
      </c>
      <c r="PS105" s="204">
        <v>0.5</v>
      </c>
      <c r="PT105" s="207"/>
      <c r="PU105" s="207"/>
      <c r="PV105" s="207"/>
      <c r="PW105" s="207"/>
      <c r="PX105" s="207"/>
      <c r="PY105" s="209"/>
      <c r="PZ105" s="135"/>
      <c r="QA105" s="136"/>
      <c r="QB105" s="130">
        <f>SUM(OZ105:QA105)</f>
      </c>
      <c r="QC105" s="134"/>
      <c r="QD105" s="135"/>
      <c r="QE105" s="613">
        <v>0.5</v>
      </c>
      <c r="QF105" s="204">
        <v>0.5</v>
      </c>
      <c r="QG105" s="204">
        <v>0.5</v>
      </c>
      <c r="QH105" s="204">
        <v>0.5</v>
      </c>
      <c r="QI105" s="204">
        <v>0.5</v>
      </c>
      <c r="QJ105" s="204">
        <v>0.5</v>
      </c>
      <c r="QK105" s="204">
        <v>0.5</v>
      </c>
      <c r="QL105" s="205">
        <v>0.5</v>
      </c>
      <c r="QM105" s="611"/>
      <c r="QN105" s="612"/>
      <c r="QO105" s="204">
        <v>0.5</v>
      </c>
      <c r="QP105" s="614">
        <v>0.5</v>
      </c>
      <c r="QQ105" s="613">
        <v>0.5</v>
      </c>
      <c r="QR105" s="204">
        <v>0.5</v>
      </c>
      <c r="QS105" s="204">
        <v>0.5</v>
      </c>
      <c r="QT105" s="204">
        <v>0.5</v>
      </c>
      <c r="QU105" s="204">
        <v>0.5</v>
      </c>
      <c r="QV105" s="204">
        <v>0.5</v>
      </c>
      <c r="QW105" s="207"/>
      <c r="QX105" s="207"/>
      <c r="QY105" s="207"/>
      <c r="QZ105" s="207"/>
      <c r="RA105" s="207"/>
      <c r="RB105" s="209"/>
      <c r="RC105" s="135"/>
      <c r="RD105" s="136"/>
      <c r="RE105" s="130">
        <f>SUM(QC105:RD105)</f>
      </c>
      <c r="RF105" s="134"/>
      <c r="RG105" s="135"/>
      <c r="RH105" s="298">
        <v>0.5</v>
      </c>
      <c r="RI105" s="212">
        <v>0.5</v>
      </c>
      <c r="RJ105" s="212">
        <v>0.5</v>
      </c>
      <c r="RK105" s="212">
        <v>0.5</v>
      </c>
      <c r="RL105" s="212">
        <v>0.5</v>
      </c>
      <c r="RM105" s="212">
        <v>0.5</v>
      </c>
      <c r="RN105" s="212">
        <v>0.5</v>
      </c>
      <c r="RO105" s="213">
        <v>0.5</v>
      </c>
      <c r="RP105" s="611"/>
      <c r="RQ105" s="612"/>
      <c r="RR105" s="212">
        <v>0.5</v>
      </c>
      <c r="RS105" s="297">
        <v>0.5</v>
      </c>
      <c r="RT105" s="298">
        <v>0.5</v>
      </c>
      <c r="RU105" s="212">
        <v>0.5</v>
      </c>
      <c r="RV105" s="212">
        <v>0.5</v>
      </c>
      <c r="RW105" s="212">
        <v>0.5</v>
      </c>
      <c r="RX105" s="212">
        <v>0.5</v>
      </c>
      <c r="RY105" s="212">
        <v>0.5</v>
      </c>
      <c r="RZ105" s="207"/>
      <c r="SA105" s="207"/>
      <c r="SB105" s="207"/>
      <c r="SC105" s="207"/>
      <c r="SD105" s="207"/>
      <c r="SE105" s="202"/>
      <c r="SF105" s="135"/>
      <c r="SG105" s="136"/>
      <c r="SH105" s="130">
        <f>SUM(RF105:SG105)</f>
      </c>
      <c r="SI105" s="134"/>
      <c r="SJ105" s="135"/>
      <c r="SK105" s="613">
        <v>0.5</v>
      </c>
      <c r="SL105" s="204">
        <v>0.5</v>
      </c>
      <c r="SM105" s="204">
        <v>0.5</v>
      </c>
      <c r="SN105" s="204">
        <v>0.5</v>
      </c>
      <c r="SO105" s="204">
        <v>0.5</v>
      </c>
      <c r="SP105" s="204">
        <v>0.5</v>
      </c>
      <c r="SQ105" s="204">
        <v>0.5</v>
      </c>
      <c r="SR105" s="205">
        <v>0.5</v>
      </c>
      <c r="SS105" s="611"/>
      <c r="ST105" s="612"/>
      <c r="SU105" s="204">
        <v>0.5</v>
      </c>
      <c r="SV105" s="614">
        <v>0.5</v>
      </c>
      <c r="SW105" s="613">
        <v>0.5</v>
      </c>
      <c r="SX105" s="204">
        <v>0.5</v>
      </c>
      <c r="SY105" s="204">
        <v>0.5</v>
      </c>
      <c r="SZ105" s="204">
        <v>0.5</v>
      </c>
      <c r="TA105" s="204">
        <v>0.5</v>
      </c>
      <c r="TB105" s="204">
        <v>0.5</v>
      </c>
      <c r="TC105" s="207"/>
      <c r="TD105" s="207"/>
      <c r="TE105" s="207"/>
      <c r="TF105" s="207"/>
      <c r="TG105" s="207"/>
      <c r="TH105" s="202"/>
      <c r="TI105" s="135"/>
      <c r="TJ105" s="136"/>
      <c r="TK105" s="130">
        <f>SUM(SI105:TJ105)</f>
      </c>
      <c r="TL105" s="134"/>
      <c r="TM105" s="135"/>
      <c r="TN105" s="298">
        <v>0.5</v>
      </c>
      <c r="TO105" s="212">
        <v>0.5</v>
      </c>
      <c r="TP105" s="212">
        <v>0.5</v>
      </c>
      <c r="TQ105" s="212">
        <v>0.5</v>
      </c>
      <c r="TR105" s="212">
        <v>0.5</v>
      </c>
      <c r="TS105" s="212">
        <v>0.5</v>
      </c>
      <c r="TT105" s="212">
        <v>0.5</v>
      </c>
      <c r="TU105" s="213">
        <v>0.5</v>
      </c>
      <c r="TV105" s="611"/>
      <c r="TW105" s="612"/>
      <c r="TX105" s="212">
        <v>0.5</v>
      </c>
      <c r="TY105" s="297">
        <v>0.5</v>
      </c>
      <c r="TZ105" s="298">
        <v>0.5</v>
      </c>
      <c r="UA105" s="212">
        <v>0.5</v>
      </c>
      <c r="UB105" s="212">
        <v>0.5</v>
      </c>
      <c r="UC105" s="212">
        <v>0.5</v>
      </c>
      <c r="UD105" s="212">
        <v>0.5</v>
      </c>
      <c r="UE105" s="212">
        <v>0.5</v>
      </c>
      <c r="UF105" s="207"/>
      <c r="UG105" s="207"/>
      <c r="UH105" s="207"/>
      <c r="UI105" s="207"/>
      <c r="UJ105" s="207"/>
      <c r="UK105" s="202"/>
      <c r="UL105" s="135"/>
      <c r="UM105" s="136"/>
      <c r="UN105" s="130">
        <f>SUM(TL105:UM105)</f>
      </c>
      <c r="UO105" s="121"/>
      <c r="UP105" s="122"/>
      <c r="UQ105" s="292"/>
      <c r="UR105" s="196"/>
      <c r="US105" s="196"/>
      <c r="UT105" s="196"/>
      <c r="UU105" s="196"/>
      <c r="UV105" s="196"/>
      <c r="UW105" s="196"/>
      <c r="UX105" s="195"/>
      <c r="UY105" s="197"/>
      <c r="UZ105" s="196"/>
      <c r="VA105" s="196"/>
      <c r="VB105" s="198"/>
      <c r="VC105" s="292"/>
      <c r="VD105" s="196"/>
      <c r="VE105" s="196"/>
      <c r="VF105" s="196"/>
      <c r="VG105" s="196"/>
      <c r="VH105" s="196"/>
      <c r="VI105" s="196"/>
      <c r="VJ105" s="196"/>
      <c r="VK105" s="196"/>
      <c r="VL105" s="196"/>
      <c r="VM105" s="196"/>
      <c r="VN105" s="195"/>
      <c r="VO105" s="122"/>
      <c r="VP105" s="123"/>
      <c r="VQ105" s="130">
        <f>SUM(UO105:VP105)</f>
      </c>
      <c r="VR105" s="121"/>
      <c r="VS105" s="122"/>
      <c r="VT105" s="292"/>
      <c r="VU105" s="196"/>
      <c r="VV105" s="196"/>
      <c r="VW105" s="196"/>
      <c r="VX105" s="196"/>
      <c r="VY105" s="196"/>
      <c r="VZ105" s="196"/>
      <c r="WA105" s="195"/>
      <c r="WB105" s="197"/>
      <c r="WC105" s="196"/>
      <c r="WD105" s="196"/>
      <c r="WE105" s="198"/>
      <c r="WF105" s="292"/>
      <c r="WG105" s="196"/>
      <c r="WH105" s="196"/>
      <c r="WI105" s="196"/>
      <c r="WJ105" s="196"/>
      <c r="WK105" s="196"/>
      <c r="WL105" s="196"/>
      <c r="WM105" s="196"/>
      <c r="WN105" s="196"/>
      <c r="WO105" s="196"/>
      <c r="WP105" s="196"/>
      <c r="WQ105" s="195"/>
      <c r="WR105" s="122"/>
      <c r="WS105" s="123"/>
      <c r="WT105" s="130">
        <f>SUM(VR105:WS105)</f>
      </c>
      <c r="WU105" s="132">
        <f>QB105+RE105+SH105+TK105+UN105+VQ105+WT105</f>
      </c>
      <c r="WV105" s="133">
        <f>(COUNTIF(OZ105:WT105,"H")+COUNTIF(OZ105:WT105,"S")+COUNTIF(OZ105:WT105,"L")+COUNTIF(OZ105:WT105,"E")+COUNTIF(OZ105:WT105,"C"))/2</f>
      </c>
      <c r="WW105" s="130">
        <f>WU105+WV105</f>
      </c>
      <c r="WX105" s="134"/>
      <c r="WY105" s="135"/>
      <c r="WZ105" s="298">
        <v>0.5</v>
      </c>
      <c r="XA105" s="212">
        <v>0.5</v>
      </c>
      <c r="XB105" s="212">
        <v>0.5</v>
      </c>
      <c r="XC105" s="212">
        <v>0.5</v>
      </c>
      <c r="XD105" s="212">
        <v>0.5</v>
      </c>
      <c r="XE105" s="212">
        <v>0.5</v>
      </c>
      <c r="XF105" s="212">
        <v>0.5</v>
      </c>
      <c r="XG105" s="213">
        <v>0.5</v>
      </c>
      <c r="XH105" s="611"/>
      <c r="XI105" s="612"/>
      <c r="XJ105" s="212">
        <v>0.5</v>
      </c>
      <c r="XK105" s="297">
        <v>0.5</v>
      </c>
      <c r="XL105" s="298">
        <v>0.5</v>
      </c>
      <c r="XM105" s="212">
        <v>0.5</v>
      </c>
      <c r="XN105" s="212">
        <v>0.5</v>
      </c>
      <c r="XO105" s="212">
        <v>0.5</v>
      </c>
      <c r="XP105" s="212">
        <v>0.5</v>
      </c>
      <c r="XQ105" s="212">
        <v>0.5</v>
      </c>
      <c r="XR105" s="207"/>
      <c r="XS105" s="207"/>
      <c r="XT105" s="207"/>
      <c r="XU105" s="207"/>
      <c r="XV105" s="207"/>
      <c r="XW105" s="202"/>
      <c r="XX105" s="135"/>
      <c r="XY105" s="136"/>
      <c r="XZ105" s="130">
        <f>SUM(WX105:XY105)</f>
      </c>
      <c r="YA105" s="134"/>
      <c r="YB105" s="135"/>
      <c r="YC105" s="613">
        <v>0.5</v>
      </c>
      <c r="YD105" s="204">
        <v>0.5</v>
      </c>
      <c r="YE105" s="204">
        <v>0.5</v>
      </c>
      <c r="YF105" s="204">
        <v>0.5</v>
      </c>
      <c r="YG105" s="204">
        <v>0.5</v>
      </c>
      <c r="YH105" s="204">
        <v>0.5</v>
      </c>
      <c r="YI105" s="204">
        <v>0.5</v>
      </c>
      <c r="YJ105" s="205">
        <v>0.5</v>
      </c>
      <c r="YK105" s="611"/>
      <c r="YL105" s="612"/>
      <c r="YM105" s="204">
        <v>0.5</v>
      </c>
      <c r="YN105" s="614">
        <v>0.5</v>
      </c>
      <c r="YO105" s="613">
        <v>0.5</v>
      </c>
      <c r="YP105" s="204">
        <v>0.5</v>
      </c>
      <c r="YQ105" s="204">
        <v>0.5</v>
      </c>
      <c r="YR105" s="204">
        <v>0.5</v>
      </c>
      <c r="YS105" s="204">
        <v>0.5</v>
      </c>
      <c r="YT105" s="204">
        <v>0.5</v>
      </c>
      <c r="YU105" s="207"/>
      <c r="YV105" s="207"/>
      <c r="YW105" s="207"/>
      <c r="YX105" s="207"/>
      <c r="YY105" s="207"/>
      <c r="YZ105" s="202"/>
      <c r="ZA105" s="135"/>
      <c r="ZB105" s="136"/>
      <c r="ZC105" s="130">
        <f>SUM(YA105:ZB105)</f>
      </c>
      <c r="ZD105" s="134"/>
      <c r="ZE105" s="135"/>
      <c r="ZF105" s="298">
        <v>0.5</v>
      </c>
      <c r="ZG105" s="212">
        <v>0.5</v>
      </c>
      <c r="ZH105" s="212">
        <v>0.5</v>
      </c>
      <c r="ZI105" s="212">
        <v>0.5</v>
      </c>
      <c r="ZJ105" s="212">
        <v>0.5</v>
      </c>
      <c r="ZK105" s="212">
        <v>0.5</v>
      </c>
      <c r="ZL105" s="212">
        <v>0.5</v>
      </c>
      <c r="ZM105" s="213">
        <v>0.5</v>
      </c>
      <c r="ZN105" s="611"/>
      <c r="ZO105" s="612"/>
      <c r="ZP105" s="212">
        <v>0.5</v>
      </c>
      <c r="ZQ105" s="297">
        <v>0.5</v>
      </c>
      <c r="ZR105" s="298">
        <v>0.5</v>
      </c>
      <c r="ZS105" s="212">
        <v>0.5</v>
      </c>
      <c r="ZT105" s="212">
        <v>0.5</v>
      </c>
      <c r="ZU105" s="212">
        <v>0.5</v>
      </c>
      <c r="ZV105" s="212">
        <v>0.5</v>
      </c>
      <c r="ZW105" s="212">
        <v>0.5</v>
      </c>
      <c r="ZX105" s="207"/>
      <c r="ZY105" s="207"/>
      <c r="ZZ105" s="207"/>
      <c r="AAA105" s="207"/>
      <c r="AAB105" s="207"/>
      <c r="AAC105" s="202"/>
      <c r="AAD105" s="135"/>
      <c r="AAE105" s="136"/>
      <c r="AAF105" s="130">
        <f>SUM(ZD105:AAE105)</f>
      </c>
      <c r="AAG105" s="134"/>
      <c r="AAH105" s="135"/>
      <c r="AAI105" s="613">
        <v>0.5</v>
      </c>
      <c r="AAJ105" s="204">
        <v>0.5</v>
      </c>
      <c r="AAK105" s="204">
        <v>0.5</v>
      </c>
      <c r="AAL105" s="204">
        <v>0.5</v>
      </c>
      <c r="AAM105" s="204">
        <v>0.5</v>
      </c>
      <c r="AAN105" s="204">
        <v>0.5</v>
      </c>
      <c r="AAO105" s="204">
        <v>0.5</v>
      </c>
      <c r="AAP105" s="205">
        <v>0.5</v>
      </c>
      <c r="AAQ105" s="611"/>
      <c r="AAR105" s="612"/>
      <c r="AAS105" s="204">
        <v>0.5</v>
      </c>
      <c r="AAT105" s="614">
        <v>0.5</v>
      </c>
      <c r="AAU105" s="613">
        <v>0.5</v>
      </c>
      <c r="AAV105" s="204">
        <v>0.5</v>
      </c>
      <c r="AAW105" s="204">
        <v>0.5</v>
      </c>
      <c r="AAX105" s="204">
        <v>0.5</v>
      </c>
      <c r="AAY105" s="204">
        <v>0.5</v>
      </c>
      <c r="AAZ105" s="204">
        <v>0.5</v>
      </c>
      <c r="ABA105" s="207"/>
      <c r="ABB105" s="207"/>
      <c r="ABC105" s="207"/>
      <c r="ABD105" s="207"/>
      <c r="ABE105" s="207"/>
      <c r="ABF105" s="202"/>
      <c r="ABG105" s="135"/>
      <c r="ABH105" s="136"/>
      <c r="ABI105" s="130">
        <f>SUM(AAG105:ABH105)</f>
      </c>
      <c r="ABJ105" s="134"/>
      <c r="ABK105" s="135"/>
      <c r="ABL105" s="298">
        <v>0.5</v>
      </c>
      <c r="ABM105" s="212">
        <v>0.5</v>
      </c>
      <c r="ABN105" s="212">
        <v>0.5</v>
      </c>
      <c r="ABO105" s="212">
        <v>0.5</v>
      </c>
      <c r="ABP105" s="212">
        <v>0.5</v>
      </c>
      <c r="ABQ105" s="212">
        <v>0.5</v>
      </c>
      <c r="ABR105" s="212">
        <v>0.5</v>
      </c>
      <c r="ABS105" s="213">
        <v>0.5</v>
      </c>
      <c r="ABT105" s="611"/>
      <c r="ABU105" s="612"/>
      <c r="ABV105" s="212">
        <v>0.5</v>
      </c>
      <c r="ABW105" s="297">
        <v>0.5</v>
      </c>
      <c r="ABX105" s="298">
        <v>0.5</v>
      </c>
      <c r="ABY105" s="212">
        <v>0.5</v>
      </c>
      <c r="ABZ105" s="212">
        <v>0.5</v>
      </c>
      <c r="ACA105" s="212">
        <v>0.5</v>
      </c>
      <c r="ACB105" s="212">
        <v>0.5</v>
      </c>
      <c r="ACC105" s="212">
        <v>0.5</v>
      </c>
      <c r="ACD105" s="207"/>
      <c r="ACE105" s="207"/>
      <c r="ACF105" s="207"/>
      <c r="ACG105" s="207"/>
      <c r="ACH105" s="207"/>
      <c r="ACI105" s="202"/>
      <c r="ACJ105" s="135"/>
      <c r="ACK105" s="136"/>
      <c r="ACL105" s="130">
        <f>SUM(ABJ105:ACK105)</f>
      </c>
      <c r="ACM105" s="121"/>
      <c r="ACN105" s="122"/>
      <c r="ACO105" s="292"/>
      <c r="ACP105" s="196"/>
      <c r="ACQ105" s="196"/>
      <c r="ACR105" s="196"/>
      <c r="ACS105" s="196"/>
      <c r="ACT105" s="196"/>
      <c r="ACU105" s="196"/>
      <c r="ACV105" s="195"/>
      <c r="ACW105" s="197"/>
      <c r="ACX105" s="196"/>
      <c r="ACY105" s="196"/>
      <c r="ACZ105" s="198"/>
      <c r="ADA105" s="292"/>
      <c r="ADB105" s="196"/>
      <c r="ADC105" s="196"/>
      <c r="ADD105" s="196"/>
      <c r="ADE105" s="196"/>
      <c r="ADF105" s="196"/>
      <c r="ADG105" s="196"/>
      <c r="ADH105" s="196"/>
      <c r="ADI105" s="196"/>
      <c r="ADJ105" s="196"/>
      <c r="ADK105" s="196"/>
      <c r="ADL105" s="195"/>
      <c r="ADM105" s="122"/>
      <c r="ADN105" s="123"/>
      <c r="ADO105" s="130">
        <f>SUM(ACM105:ADN105)</f>
      </c>
      <c r="ADP105" s="121"/>
      <c r="ADQ105" s="122"/>
      <c r="ADR105" s="292"/>
      <c r="ADS105" s="196"/>
      <c r="ADT105" s="196"/>
      <c r="ADU105" s="196"/>
      <c r="ADV105" s="196"/>
      <c r="ADW105" s="196"/>
      <c r="ADX105" s="196"/>
      <c r="ADY105" s="195"/>
      <c r="ADZ105" s="197"/>
      <c r="AEA105" s="196"/>
      <c r="AEB105" s="196"/>
      <c r="AEC105" s="198"/>
      <c r="AED105" s="292"/>
      <c r="AEE105" s="196"/>
      <c r="AEF105" s="196"/>
      <c r="AEG105" s="196"/>
      <c r="AEH105" s="196"/>
      <c r="AEI105" s="196"/>
      <c r="AEJ105" s="196"/>
      <c r="AEK105" s="196"/>
      <c r="AEL105" s="196"/>
      <c r="AEM105" s="196"/>
      <c r="AEN105" s="196"/>
      <c r="AEO105" s="195"/>
      <c r="AEP105" s="122"/>
      <c r="AEQ105" s="123"/>
      <c r="AER105" s="130">
        <f>SUM(ADP105:AEQ105)</f>
      </c>
      <c r="AES105" s="132">
        <f>XZ105+ZC105+AAF105+ABI105+ACL105+ADO105+AER105</f>
      </c>
      <c r="AET105" s="133">
        <f>(COUNTIF(WX105:AER105,"H")+COUNTIF(WX105:AER105,"S")+COUNTIF(WX105:AER105,"L")+COUNTIF(WX105:AER105,"E")+COUNTIF(WX105:AER105,"C"))/2</f>
      </c>
      <c r="AEU105" s="130">
        <f>AES105+AET105</f>
      </c>
      <c r="AEV105" s="134"/>
      <c r="AEW105" s="135"/>
      <c r="AEX105" s="298">
        <v>0.5</v>
      </c>
      <c r="AEY105" s="212">
        <v>0.5</v>
      </c>
      <c r="AEZ105" s="212">
        <v>0.5</v>
      </c>
      <c r="AFA105" s="212">
        <v>0.5</v>
      </c>
      <c r="AFB105" s="212">
        <v>0.5</v>
      </c>
      <c r="AFC105" s="212">
        <v>0.5</v>
      </c>
      <c r="AFD105" s="212">
        <v>0.5</v>
      </c>
      <c r="AFE105" s="213">
        <v>0.5</v>
      </c>
      <c r="AFF105" s="611"/>
      <c r="AFG105" s="612"/>
      <c r="AFH105" s="212">
        <v>0.5</v>
      </c>
      <c r="AFI105" s="297">
        <v>0.5</v>
      </c>
      <c r="AFJ105" s="298">
        <v>0.5</v>
      </c>
      <c r="AFK105" s="212">
        <v>0.5</v>
      </c>
      <c r="AFL105" s="212">
        <v>0.5</v>
      </c>
      <c r="AFM105" s="212">
        <v>0.5</v>
      </c>
      <c r="AFN105" s="212">
        <v>0.5</v>
      </c>
      <c r="AFO105" s="212">
        <v>0.5</v>
      </c>
      <c r="AFP105" s="207"/>
      <c r="AFQ105" s="207"/>
      <c r="AFR105" s="207"/>
      <c r="AFS105" s="207"/>
      <c r="AFT105" s="207"/>
      <c r="AFU105" s="209"/>
      <c r="AFV105" s="135"/>
      <c r="AFW105" s="136"/>
      <c r="AFX105" s="130">
        <f>SUM(AEV105:AFW105)</f>
      </c>
      <c r="AFY105" s="134"/>
      <c r="AFZ105" s="135"/>
      <c r="AGA105" s="613">
        <v>0.5</v>
      </c>
      <c r="AGB105" s="204">
        <v>0.5</v>
      </c>
      <c r="AGC105" s="204">
        <v>0.5</v>
      </c>
      <c r="AGD105" s="204">
        <v>0.5</v>
      </c>
      <c r="AGE105" s="204">
        <v>0.5</v>
      </c>
      <c r="AGF105" s="204">
        <v>0.5</v>
      </c>
      <c r="AGG105" s="204">
        <v>0.5</v>
      </c>
      <c r="AGH105" s="205">
        <v>0.5</v>
      </c>
      <c r="AGI105" s="611"/>
      <c r="AGJ105" s="612"/>
      <c r="AGK105" s="204">
        <v>0.5</v>
      </c>
      <c r="AGL105" s="614">
        <v>0.5</v>
      </c>
      <c r="AGM105" s="613">
        <v>0.5</v>
      </c>
      <c r="AGN105" s="204">
        <v>0.5</v>
      </c>
      <c r="AGO105" s="204">
        <v>0.5</v>
      </c>
      <c r="AGP105" s="204">
        <v>0.5</v>
      </c>
      <c r="AGQ105" s="204">
        <v>0.5</v>
      </c>
      <c r="AGR105" s="204">
        <v>0.5</v>
      </c>
      <c r="AGS105" s="207"/>
      <c r="AGT105" s="207"/>
      <c r="AGU105" s="207"/>
      <c r="AGV105" s="207"/>
      <c r="AGW105" s="207"/>
      <c r="AGX105" s="209"/>
      <c r="AGY105" s="135"/>
      <c r="AGZ105" s="136"/>
      <c r="AHA105" s="130">
        <f>SUM(AFY105:AGZ105)</f>
      </c>
      <c r="AHB105" s="134"/>
      <c r="AHC105" s="135"/>
      <c r="AHD105" s="298">
        <v>0.5</v>
      </c>
      <c r="AHE105" s="212">
        <v>0.5</v>
      </c>
      <c r="AHF105" s="212">
        <v>0.5</v>
      </c>
      <c r="AHG105" s="212">
        <v>0.5</v>
      </c>
      <c r="AHH105" s="212">
        <v>0.5</v>
      </c>
      <c r="AHI105" s="212">
        <v>0.5</v>
      </c>
      <c r="AHJ105" s="212">
        <v>0.5</v>
      </c>
      <c r="AHK105" s="213">
        <v>0.5</v>
      </c>
      <c r="AHL105" s="611"/>
      <c r="AHM105" s="612"/>
      <c r="AHN105" s="212">
        <v>0.5</v>
      </c>
      <c r="AHO105" s="297">
        <v>0.5</v>
      </c>
      <c r="AHP105" s="298">
        <v>0.5</v>
      </c>
      <c r="AHQ105" s="212">
        <v>0.5</v>
      </c>
      <c r="AHR105" s="212">
        <v>0.5</v>
      </c>
      <c r="AHS105" s="212">
        <v>0.5</v>
      </c>
      <c r="AHT105" s="212">
        <v>0.5</v>
      </c>
      <c r="AHU105" s="212">
        <v>0.5</v>
      </c>
      <c r="AHV105" s="207"/>
      <c r="AHW105" s="207"/>
      <c r="AHX105" s="207"/>
      <c r="AHY105" s="207"/>
      <c r="AHZ105" s="207"/>
      <c r="AIA105" s="202"/>
      <c r="AIB105" s="135"/>
      <c r="AIC105" s="136"/>
      <c r="AID105" s="130">
        <f>SUM(AHB105:AIC105)</f>
      </c>
      <c r="AIE105" s="134"/>
      <c r="AIF105" s="135"/>
      <c r="AIG105" s="613">
        <v>0.5</v>
      </c>
      <c r="AIH105" s="204">
        <v>0.5</v>
      </c>
      <c r="AII105" s="204">
        <v>0.5</v>
      </c>
      <c r="AIJ105" s="204">
        <v>0.5</v>
      </c>
      <c r="AIK105" s="204">
        <v>0.5</v>
      </c>
      <c r="AIL105" s="204">
        <v>0.5</v>
      </c>
      <c r="AIM105" s="204">
        <v>0.5</v>
      </c>
      <c r="AIN105" s="205">
        <v>0.5</v>
      </c>
      <c r="AIO105" s="611"/>
      <c r="AIP105" s="612"/>
      <c r="AIQ105" s="204">
        <v>0.5</v>
      </c>
      <c r="AIR105" s="614">
        <v>0.5</v>
      </c>
      <c r="AIS105" s="613">
        <v>0.5</v>
      </c>
      <c r="AIT105" s="204">
        <v>0.5</v>
      </c>
      <c r="AIU105" s="204">
        <v>0.5</v>
      </c>
      <c r="AIV105" s="204">
        <v>0.5</v>
      </c>
      <c r="AIW105" s="204">
        <v>0.5</v>
      </c>
      <c r="AIX105" s="204">
        <v>0.5</v>
      </c>
      <c r="AIY105" s="207"/>
      <c r="AIZ105" s="207"/>
      <c r="AJA105" s="207"/>
      <c r="AJB105" s="207"/>
      <c r="AJC105" s="207"/>
      <c r="AJD105" s="202"/>
      <c r="AJE105" s="135"/>
      <c r="AJF105" s="136"/>
      <c r="AJG105" s="130">
        <f>SUM(AIE105:AJF105)</f>
      </c>
      <c r="AJH105" s="134"/>
      <c r="AJI105" s="135"/>
      <c r="AJJ105" s="298">
        <v>0.5</v>
      </c>
      <c r="AJK105" s="212">
        <v>0.5</v>
      </c>
      <c r="AJL105" s="212">
        <v>0.5</v>
      </c>
      <c r="AJM105" s="212">
        <v>0.5</v>
      </c>
      <c r="AJN105" s="212">
        <v>0.5</v>
      </c>
      <c r="AJO105" s="212">
        <v>0.5</v>
      </c>
      <c r="AJP105" s="212">
        <v>0.5</v>
      </c>
      <c r="AJQ105" s="213">
        <v>0.5</v>
      </c>
      <c r="AJR105" s="611"/>
      <c r="AJS105" s="612"/>
      <c r="AJT105" s="212">
        <v>0.5</v>
      </c>
      <c r="AJU105" s="297">
        <v>0.5</v>
      </c>
      <c r="AJV105" s="298">
        <v>0.5</v>
      </c>
      <c r="AJW105" s="212">
        <v>0.5</v>
      </c>
      <c r="AJX105" s="212">
        <v>0.5</v>
      </c>
      <c r="AJY105" s="212">
        <v>0.5</v>
      </c>
      <c r="AJZ105" s="212">
        <v>0.5</v>
      </c>
      <c r="AKA105" s="212">
        <v>0.5</v>
      </c>
      <c r="AKB105" s="207"/>
      <c r="AKC105" s="207"/>
      <c r="AKD105" s="207"/>
      <c r="AKE105" s="207"/>
      <c r="AKF105" s="207"/>
      <c r="AKG105" s="202"/>
      <c r="AKH105" s="135"/>
      <c r="AKI105" s="136"/>
      <c r="AKJ105" s="130">
        <f>SUM(AJH105:AKI105)</f>
      </c>
      <c r="AKK105" s="121"/>
      <c r="AKL105" s="122"/>
      <c r="AKM105" s="292"/>
      <c r="AKN105" s="196"/>
      <c r="AKO105" s="196"/>
      <c r="AKP105" s="196"/>
      <c r="AKQ105" s="196"/>
      <c r="AKR105" s="196"/>
      <c r="AKS105" s="196"/>
      <c r="AKT105" s="195"/>
      <c r="AKU105" s="197"/>
      <c r="AKV105" s="196"/>
      <c r="AKW105" s="196"/>
      <c r="AKX105" s="198"/>
      <c r="AKY105" s="292"/>
      <c r="AKZ105" s="196"/>
      <c r="ALA105" s="196"/>
      <c r="ALB105" s="196"/>
      <c r="ALC105" s="196"/>
      <c r="ALD105" s="196"/>
      <c r="ALE105" s="196"/>
      <c r="ALF105" s="196"/>
      <c r="ALG105" s="196"/>
      <c r="ALH105" s="196"/>
      <c r="ALI105" s="196"/>
      <c r="ALJ105" s="195"/>
      <c r="ALK105" s="122"/>
      <c r="ALL105" s="123"/>
      <c r="ALM105" s="130">
        <f>SUM(AKK105:ALL105)</f>
      </c>
      <c r="ALN105" s="121"/>
      <c r="ALO105" s="122"/>
      <c r="ALP105" s="292"/>
      <c r="ALQ105" s="196"/>
      <c r="ALR105" s="196"/>
      <c r="ALS105" s="196"/>
      <c r="ALT105" s="196"/>
      <c r="ALU105" s="196"/>
      <c r="ALV105" s="196"/>
      <c r="ALW105" s="195"/>
      <c r="ALX105" s="197"/>
      <c r="ALY105" s="196"/>
      <c r="ALZ105" s="196"/>
      <c r="AMA105" s="198"/>
      <c r="AMB105" s="292"/>
      <c r="AMC105" s="196"/>
      <c r="AMD105" s="196"/>
      <c r="AME105" s="196"/>
      <c r="AMF105" s="196"/>
      <c r="AMG105" s="196"/>
      <c r="AMH105" s="196"/>
      <c r="AMI105" s="196"/>
      <c r="AMJ105" s="196"/>
      <c r="AMK105" s="196"/>
      <c r="AML105" s="196"/>
      <c r="AMM105" s="195"/>
      <c r="AMN105" s="122"/>
      <c r="AMO105" s="123"/>
      <c r="AMP105" s="130">
        <f>SUM(ALN105:AMO105)</f>
      </c>
      <c r="AMQ105" s="132">
        <f>AFX105+AHA105+AID105+AJG105+AKJ105+ALM105+AMP105</f>
      </c>
      <c r="AMR105" s="133">
        <f>(COUNTIF(AEV105:AMP105,"H")+COUNTIF(AEV105:AMP105,"S")+COUNTIF(AEV105:AMP105,"L")+COUNTIF(AEV105:AMP105,"E")+COUNTIF(AEV105:AMP105,"C"))/2</f>
      </c>
      <c r="AMS105" s="130">
        <f>AMQ105+AMR105</f>
      </c>
      <c r="AMT105" s="4"/>
      <c r="AMU105" s="4"/>
      <c r="AMV105" s="4"/>
      <c r="AMW105" s="4"/>
      <c r="AMX105" s="4"/>
      <c r="AMY105" s="4"/>
      <c r="AMZ105" s="4"/>
      <c r="ANA105" s="4"/>
      <c r="ANB105" s="4"/>
      <c r="ANC105" s="4"/>
      <c r="AND105" s="4"/>
      <c r="ANE105" s="4"/>
      <c r="ANF105" s="4"/>
      <c r="ANG105" s="4"/>
      <c r="ANH105" s="4"/>
      <c r="ANI105" s="4"/>
      <c r="ANJ105" s="4"/>
      <c r="ANK105" s="4"/>
      <c r="ANL105" s="4"/>
      <c r="ANM105" s="4"/>
      <c r="ANN105" s="4"/>
      <c r="ANO105" s="4"/>
      <c r="ANP105" s="4"/>
      <c r="ANQ105" s="4"/>
      <c r="ANR105" s="4"/>
      <c r="ANS105" s="4"/>
      <c r="ANT105" s="4"/>
      <c r="ANU105" s="4"/>
      <c r="ANV105" s="4"/>
      <c r="ANW105" s="4"/>
      <c r="ANX105" s="4"/>
      <c r="ANY105" s="4"/>
      <c r="ANZ105" s="4"/>
      <c r="AOA105" s="4"/>
      <c r="AOB105" s="4"/>
      <c r="AOC105" s="4"/>
      <c r="AOD105" s="4"/>
      <c r="AOE105" s="4"/>
      <c r="AOF105" s="4"/>
      <c r="AOG105" s="4"/>
      <c r="AOH105" s="4"/>
      <c r="AOI105" s="4"/>
      <c r="AOJ105" s="4"/>
      <c r="AOK105" s="4"/>
      <c r="AOL105" s="4"/>
      <c r="AOM105" s="4"/>
      <c r="AON105" s="4"/>
      <c r="AOO105" s="4"/>
      <c r="AOP105" s="4"/>
      <c r="AOQ105" s="4"/>
      <c r="AOR105" s="4"/>
      <c r="AOS105" s="4"/>
      <c r="AOT105" s="4"/>
      <c r="AOU105" s="4"/>
      <c r="AOV105" s="4"/>
      <c r="AOW105" s="4"/>
      <c r="AOX105" s="4"/>
      <c r="AOY105" s="4"/>
      <c r="AOZ105" s="4"/>
      <c r="APA105" s="4"/>
      <c r="APB105" s="4"/>
      <c r="APC105" s="4"/>
      <c r="APD105" s="4"/>
      <c r="APE105" s="4"/>
      <c r="APF105" s="4"/>
      <c r="APG105" s="4"/>
      <c r="APH105" s="4"/>
      <c r="API105" s="4"/>
      <c r="APJ105" s="4"/>
      <c r="APK105" s="4"/>
      <c r="APL105" s="4"/>
      <c r="APM105" s="4"/>
      <c r="APN105" s="4"/>
      <c r="APO105" s="4"/>
      <c r="APP105" s="4"/>
      <c r="APQ105" s="4"/>
      <c r="APR105" s="4"/>
      <c r="APS105" s="4"/>
      <c r="APT105" s="4"/>
      <c r="APU105" s="4"/>
      <c r="APV105" s="4"/>
      <c r="APW105" s="4"/>
      <c r="APX105" s="4"/>
      <c r="APY105" s="4"/>
      <c r="APZ105" s="4"/>
      <c r="AQA105" s="4"/>
      <c r="AQB105" s="4"/>
      <c r="AQC105" s="4"/>
      <c r="AQD105" s="4"/>
      <c r="AQE105" s="4"/>
      <c r="AQF105" s="4"/>
      <c r="AQG105" s="4"/>
      <c r="AQH105" s="4"/>
      <c r="AQI105" s="4"/>
      <c r="AQJ105" s="4"/>
      <c r="AQK105" s="4"/>
      <c r="AQL105" s="4"/>
      <c r="AQM105" s="4"/>
      <c r="AQN105" s="4"/>
      <c r="AQO105" s="4"/>
      <c r="AQP105" s="4"/>
      <c r="AQQ105" s="4"/>
      <c r="AQR105" s="4"/>
      <c r="AQS105" s="4"/>
      <c r="AQT105" s="4"/>
      <c r="AQU105" s="4"/>
      <c r="AQV105" s="4"/>
      <c r="AQW105" s="4"/>
      <c r="AQX105" s="4"/>
      <c r="AQY105" s="4"/>
      <c r="AQZ105" s="4"/>
      <c r="ARA105" s="4"/>
      <c r="ARB105" s="4"/>
      <c r="ARC105" s="4"/>
      <c r="ARD105" s="4"/>
      <c r="ARE105" s="4"/>
      <c r="ARF105" s="4"/>
      <c r="ARG105" s="4"/>
      <c r="ARH105" s="4"/>
      <c r="ARI105" s="4"/>
      <c r="ARJ105" s="4"/>
      <c r="ARK105" s="4"/>
      <c r="ARL105" s="4"/>
      <c r="ARM105" s="4"/>
      <c r="ARN105" s="4"/>
      <c r="ARO105" s="4"/>
      <c r="ARP105" s="4"/>
      <c r="ARQ105" s="4"/>
      <c r="ARR105" s="4"/>
      <c r="ARS105" s="4"/>
      <c r="ART105" s="4"/>
      <c r="ARU105" s="4"/>
      <c r="ARV105" s="4"/>
      <c r="ARW105" s="4"/>
      <c r="ARX105" s="4"/>
      <c r="ARY105" s="4"/>
      <c r="ARZ105" s="4"/>
      <c r="ASA105" s="4"/>
      <c r="ASB105" s="4"/>
      <c r="ASC105" s="4"/>
      <c r="ASD105" s="4"/>
      <c r="ASE105" s="4"/>
      <c r="ASF105" s="4"/>
      <c r="ASG105" s="4"/>
      <c r="ASH105" s="4"/>
      <c r="ASI105" s="4"/>
      <c r="ASJ105" s="4"/>
      <c r="ASK105" s="4"/>
      <c r="ASL105" s="4"/>
      <c r="ASM105" s="4"/>
      <c r="ASN105" s="4"/>
      <c r="ASO105" s="4"/>
      <c r="ASP105" s="4"/>
      <c r="ASQ105" s="4"/>
      <c r="ASR105" s="4"/>
      <c r="ASS105" s="4"/>
      <c r="AST105" s="4"/>
      <c r="ASU105" s="4"/>
    </row>
    <row r="106" ht="15" customHeight="1" spans="1:1191" x14ac:dyDescent="0.25">
      <c r="A106" s="118"/>
      <c r="B106" s="564" t="s">
        <v>142</v>
      </c>
      <c r="C106" s="321" t="s">
        <v>140</v>
      </c>
      <c r="D106" s="121"/>
      <c r="E106" s="122"/>
      <c r="F106" s="292"/>
      <c r="G106" s="196"/>
      <c r="H106" s="196"/>
      <c r="I106" s="196"/>
      <c r="J106" s="196"/>
      <c r="K106" s="196"/>
      <c r="L106" s="196"/>
      <c r="M106" s="195"/>
      <c r="N106" s="197"/>
      <c r="O106" s="196"/>
      <c r="P106" s="196"/>
      <c r="Q106" s="198"/>
      <c r="R106" s="292"/>
      <c r="S106" s="196"/>
      <c r="T106" s="196"/>
      <c r="U106" s="196"/>
      <c r="V106" s="196"/>
      <c r="W106" s="196"/>
      <c r="X106" s="196"/>
      <c r="Y106" s="196"/>
      <c r="Z106" s="196"/>
      <c r="AA106" s="196"/>
      <c r="AB106" s="196"/>
      <c r="AC106" s="195"/>
      <c r="AD106" s="122"/>
      <c r="AE106" s="123"/>
      <c r="AF106" s="130">
        <f>SUM(D106:AE106)</f>
      </c>
      <c r="AG106" s="121"/>
      <c r="AH106" s="122"/>
      <c r="AI106" s="292"/>
      <c r="AJ106" s="196"/>
      <c r="AK106" s="196"/>
      <c r="AL106" s="196"/>
      <c r="AM106" s="196"/>
      <c r="AN106" s="196"/>
      <c r="AO106" s="196"/>
      <c r="AP106" s="195"/>
      <c r="AQ106" s="197"/>
      <c r="AR106" s="196"/>
      <c r="AS106" s="196"/>
      <c r="AT106" s="198"/>
      <c r="AU106" s="292"/>
      <c r="AV106" s="196"/>
      <c r="AW106" s="196"/>
      <c r="AX106" s="196"/>
      <c r="AY106" s="196"/>
      <c r="AZ106" s="196"/>
      <c r="BA106" s="196"/>
      <c r="BB106" s="196"/>
      <c r="BC106" s="196"/>
      <c r="BD106" s="196"/>
      <c r="BE106" s="196"/>
      <c r="BF106" s="195"/>
      <c r="BG106" s="122"/>
      <c r="BH106" s="123"/>
      <c r="BI106" s="130">
        <f>SUM(AG106:BH106)</f>
      </c>
      <c r="BJ106" s="121"/>
      <c r="BK106" s="122"/>
      <c r="BL106" s="123"/>
      <c r="BM106" s="124"/>
      <c r="BN106" s="124"/>
      <c r="BO106" s="124"/>
      <c r="BP106" s="124"/>
      <c r="BQ106" s="124"/>
      <c r="BR106" s="124"/>
      <c r="BS106" s="125"/>
      <c r="BT106" s="126"/>
      <c r="BU106" s="124"/>
      <c r="BV106" s="124"/>
      <c r="BW106" s="127"/>
      <c r="BX106" s="123"/>
      <c r="BY106" s="124"/>
      <c r="BZ106" s="124"/>
      <c r="CA106" s="124"/>
      <c r="CB106" s="124"/>
      <c r="CC106" s="124"/>
      <c r="CD106" s="124"/>
      <c r="CE106" s="124"/>
      <c r="CF106" s="124"/>
      <c r="CG106" s="124"/>
      <c r="CH106" s="124"/>
      <c r="CI106" s="125"/>
      <c r="CJ106" s="301"/>
      <c r="CK106" s="123"/>
      <c r="CL106" s="130">
        <f>SUM(BJ106:CK106)</f>
      </c>
      <c r="CM106" s="121"/>
      <c r="CN106" s="122"/>
      <c r="CO106" s="292"/>
      <c r="CP106" s="196"/>
      <c r="CQ106" s="196"/>
      <c r="CR106" s="196"/>
      <c r="CS106" s="196"/>
      <c r="CT106" s="196"/>
      <c r="CU106" s="196"/>
      <c r="CV106" s="195"/>
      <c r="CW106" s="197"/>
      <c r="CX106" s="196"/>
      <c r="CY106" s="196"/>
      <c r="CZ106" s="198"/>
      <c r="DA106" s="292"/>
      <c r="DB106" s="196"/>
      <c r="DC106" s="196"/>
      <c r="DD106" s="196"/>
      <c r="DE106" s="196"/>
      <c r="DF106" s="196"/>
      <c r="DG106" s="196"/>
      <c r="DH106" s="196"/>
      <c r="DI106" s="196"/>
      <c r="DJ106" s="196"/>
      <c r="DK106" s="196"/>
      <c r="DL106" s="195"/>
      <c r="DM106" s="122"/>
      <c r="DN106" s="123"/>
      <c r="DO106" s="130">
        <f>SUM(CM106:DN106)</f>
      </c>
      <c r="DP106" s="121"/>
      <c r="DQ106" s="122"/>
      <c r="DR106" s="292"/>
      <c r="DS106" s="196"/>
      <c r="DT106" s="196"/>
      <c r="DU106" s="196"/>
      <c r="DV106" s="196"/>
      <c r="DW106" s="196"/>
      <c r="DX106" s="196"/>
      <c r="DY106" s="195"/>
      <c r="DZ106" s="197"/>
      <c r="EA106" s="196"/>
      <c r="EB106" s="196"/>
      <c r="EC106" s="198"/>
      <c r="ED106" s="292"/>
      <c r="EE106" s="196"/>
      <c r="EF106" s="196"/>
      <c r="EG106" s="196"/>
      <c r="EH106" s="196"/>
      <c r="EI106" s="196"/>
      <c r="EJ106" s="196"/>
      <c r="EK106" s="196"/>
      <c r="EL106" s="196"/>
      <c r="EM106" s="196"/>
      <c r="EN106" s="196"/>
      <c r="EO106" s="195"/>
      <c r="EP106" s="122"/>
      <c r="EQ106" s="123"/>
      <c r="ER106" s="131">
        <f>SUM(DP106:EQ106)</f>
      </c>
      <c r="ES106" s="121"/>
      <c r="ET106" s="122"/>
      <c r="EU106" s="123"/>
      <c r="EV106" s="124"/>
      <c r="EW106" s="124"/>
      <c r="EX106" s="124"/>
      <c r="EY106" s="124"/>
      <c r="EZ106" s="124"/>
      <c r="FA106" s="124"/>
      <c r="FB106" s="125"/>
      <c r="FC106" s="126"/>
      <c r="FD106" s="124"/>
      <c r="FE106" s="124"/>
      <c r="FF106" s="127"/>
      <c r="FG106" s="123"/>
      <c r="FH106" s="124"/>
      <c r="FI106" s="124"/>
      <c r="FJ106" s="124"/>
      <c r="FK106" s="124"/>
      <c r="FL106" s="124"/>
      <c r="FM106" s="124"/>
      <c r="FN106" s="124"/>
      <c r="FO106" s="124"/>
      <c r="FP106" s="124"/>
      <c r="FQ106" s="124"/>
      <c r="FR106" s="125"/>
      <c r="FS106" s="301"/>
      <c r="FT106" s="123"/>
      <c r="FU106" s="131">
        <f>SUM(ES106:FT106)</f>
      </c>
      <c r="FV106" s="121"/>
      <c r="FW106" s="122"/>
      <c r="FX106" s="123"/>
      <c r="FY106" s="124"/>
      <c r="FZ106" s="124"/>
      <c r="GA106" s="124"/>
      <c r="GB106" s="124"/>
      <c r="GC106" s="124"/>
      <c r="GD106" s="124"/>
      <c r="GE106" s="125"/>
      <c r="GF106" s="126"/>
      <c r="GG106" s="124"/>
      <c r="GH106" s="124"/>
      <c r="GI106" s="127"/>
      <c r="GJ106" s="123"/>
      <c r="GK106" s="124"/>
      <c r="GL106" s="124"/>
      <c r="GM106" s="124"/>
      <c r="GN106" s="124"/>
      <c r="GO106" s="124"/>
      <c r="GP106" s="124"/>
      <c r="GQ106" s="124"/>
      <c r="GR106" s="124"/>
      <c r="GS106" s="124"/>
      <c r="GT106" s="124"/>
      <c r="GU106" s="125"/>
      <c r="GV106" s="301"/>
      <c r="GW106" s="123"/>
      <c r="GX106" s="131">
        <f>SUM(FV106:GW106)</f>
      </c>
      <c r="GY106" s="150">
        <f>AF106+BI106+CL106+DO106+ER106+FU106+GX106</f>
      </c>
      <c r="GZ106" s="302">
        <f>(COUNTIF(D106:GX106,"H")+COUNTIF(D106:GX106,"S")+COUNTIF(D106:GX106,"L")+COUNTIF(D106:GX106,"E")+COUNTIF(D106:GX106,"C"))/2</f>
      </c>
      <c r="HA106" s="131">
        <f>GY106+GZ106</f>
      </c>
      <c r="HB106" s="134"/>
      <c r="HC106" s="135"/>
      <c r="HD106" s="295"/>
      <c r="HE106" s="15">
        <v>0.5</v>
      </c>
      <c r="HF106" s="15">
        <v>0.5</v>
      </c>
      <c r="HG106" s="15">
        <v>0.5</v>
      </c>
      <c r="HH106" s="15">
        <v>0.5</v>
      </c>
      <c r="HI106" s="15">
        <v>0.5</v>
      </c>
      <c r="HJ106" s="15">
        <v>0.5</v>
      </c>
      <c r="HK106" s="211">
        <v>0.5</v>
      </c>
      <c r="HL106" s="424">
        <v>0.5</v>
      </c>
      <c r="HM106" s="15">
        <v>0.5</v>
      </c>
      <c r="HN106" s="612"/>
      <c r="HO106" s="615"/>
      <c r="HP106" s="377">
        <v>0.5</v>
      </c>
      <c r="HQ106" s="15">
        <v>0.5</v>
      </c>
      <c r="HR106" s="15">
        <v>0.5</v>
      </c>
      <c r="HS106" s="15">
        <v>0.5</v>
      </c>
      <c r="HT106" s="15">
        <v>0.5</v>
      </c>
      <c r="HU106" s="15">
        <v>0.5</v>
      </c>
      <c r="HV106" s="15">
        <v>0.5</v>
      </c>
      <c r="HW106" s="15">
        <v>0.5</v>
      </c>
      <c r="HX106" s="15">
        <v>0.5</v>
      </c>
      <c r="HY106" s="207"/>
      <c r="HZ106" s="207"/>
      <c r="IA106" s="202"/>
      <c r="IB106" s="135"/>
      <c r="IC106" s="136"/>
      <c r="ID106" s="130">
        <f>SUM(HB106:IC106)</f>
      </c>
      <c r="IE106" s="134"/>
      <c r="IF106" s="135"/>
      <c r="IG106" s="295"/>
      <c r="IH106" s="204">
        <v>0.5</v>
      </c>
      <c r="II106" s="204">
        <v>0.5</v>
      </c>
      <c r="IJ106" s="204">
        <v>0.5</v>
      </c>
      <c r="IK106" s="204">
        <v>0.5</v>
      </c>
      <c r="IL106" s="204">
        <v>0.5</v>
      </c>
      <c r="IM106" s="204">
        <v>0.5</v>
      </c>
      <c r="IN106" s="205">
        <v>0.5</v>
      </c>
      <c r="IO106" s="206">
        <v>0.5</v>
      </c>
      <c r="IP106" s="204">
        <v>0.5</v>
      </c>
      <c r="IQ106" s="612"/>
      <c r="IR106" s="615"/>
      <c r="IS106" s="613">
        <v>0.5</v>
      </c>
      <c r="IT106" s="204">
        <v>0.5</v>
      </c>
      <c r="IU106" s="204">
        <v>0.5</v>
      </c>
      <c r="IV106" s="204">
        <v>0.5</v>
      </c>
      <c r="IW106" s="204">
        <v>0.5</v>
      </c>
      <c r="IX106" s="204">
        <v>0.5</v>
      </c>
      <c r="IY106" s="204">
        <v>0.5</v>
      </c>
      <c r="IZ106" s="204">
        <v>0.5</v>
      </c>
      <c r="JA106" s="204">
        <v>0.5</v>
      </c>
      <c r="JB106" s="207"/>
      <c r="JC106" s="207"/>
      <c r="JD106" s="202"/>
      <c r="JE106" s="135"/>
      <c r="JF106" s="136"/>
      <c r="JG106" s="130">
        <f>SUM(IE106:JF106)</f>
      </c>
      <c r="JH106" s="134"/>
      <c r="JI106" s="135"/>
      <c r="JJ106" s="295"/>
      <c r="JK106" s="212">
        <v>0.5</v>
      </c>
      <c r="JL106" s="212">
        <v>0.5</v>
      </c>
      <c r="JM106" s="212">
        <v>0.5</v>
      </c>
      <c r="JN106" s="212">
        <v>0.5</v>
      </c>
      <c r="JO106" s="212">
        <v>0.5</v>
      </c>
      <c r="JP106" s="212">
        <v>0.5</v>
      </c>
      <c r="JQ106" s="213">
        <v>0.5</v>
      </c>
      <c r="JR106" s="214">
        <v>0.5</v>
      </c>
      <c r="JS106" s="212">
        <v>0.5</v>
      </c>
      <c r="JT106" s="612"/>
      <c r="JU106" s="615"/>
      <c r="JV106" s="298">
        <v>0.5</v>
      </c>
      <c r="JW106" s="212">
        <v>0.5</v>
      </c>
      <c r="JX106" s="212">
        <v>0.5</v>
      </c>
      <c r="JY106" s="212">
        <v>0.5</v>
      </c>
      <c r="JZ106" s="212">
        <v>0.5</v>
      </c>
      <c r="KA106" s="212">
        <v>0.5</v>
      </c>
      <c r="KB106" s="212">
        <v>0.5</v>
      </c>
      <c r="KC106" s="212">
        <v>0.5</v>
      </c>
      <c r="KD106" s="212">
        <v>0.5</v>
      </c>
      <c r="KE106" s="207"/>
      <c r="KF106" s="207"/>
      <c r="KG106" s="202"/>
      <c r="KH106" s="135"/>
      <c r="KI106" s="136"/>
      <c r="KJ106" s="130">
        <f>SUM(JH106:KI106)</f>
      </c>
      <c r="KK106" s="134"/>
      <c r="KL106" s="135"/>
      <c r="KM106" s="295"/>
      <c r="KN106" s="24">
        <v>0.5</v>
      </c>
      <c r="KO106" s="24">
        <v>0.5</v>
      </c>
      <c r="KP106" s="24">
        <v>0.5</v>
      </c>
      <c r="KQ106" s="24">
        <v>0.5</v>
      </c>
      <c r="KR106" s="24">
        <v>0.5</v>
      </c>
      <c r="KS106" s="24">
        <v>0.5</v>
      </c>
      <c r="KT106" s="203">
        <v>0.5</v>
      </c>
      <c r="KU106" s="425">
        <v>0.5</v>
      </c>
      <c r="KV106" s="24">
        <v>0.5</v>
      </c>
      <c r="KW106" s="612"/>
      <c r="KX106" s="615"/>
      <c r="KY106" s="426">
        <v>0.5</v>
      </c>
      <c r="KZ106" s="24">
        <v>0.5</v>
      </c>
      <c r="LA106" s="24">
        <v>0.5</v>
      </c>
      <c r="LB106" s="24">
        <v>0.5</v>
      </c>
      <c r="LC106" s="24">
        <v>0.5</v>
      </c>
      <c r="LD106" s="24">
        <v>0.5</v>
      </c>
      <c r="LE106" s="24">
        <v>0.5</v>
      </c>
      <c r="LF106" s="24">
        <v>0.5</v>
      </c>
      <c r="LG106" s="24">
        <v>0.5</v>
      </c>
      <c r="LH106" s="207"/>
      <c r="LI106" s="207"/>
      <c r="LJ106" s="202"/>
      <c r="LK106" s="135"/>
      <c r="LL106" s="136"/>
      <c r="LM106" s="130">
        <f>SUM(KK106:LL106)</f>
      </c>
      <c r="LN106" s="134"/>
      <c r="LO106" s="135"/>
      <c r="LP106" s="295"/>
      <c r="LQ106" s="207"/>
      <c r="LR106" s="207"/>
      <c r="LS106" s="212">
        <v>0.5</v>
      </c>
      <c r="LT106" s="212">
        <v>0.5</v>
      </c>
      <c r="LU106" s="212">
        <v>0.5</v>
      </c>
      <c r="LV106" s="212">
        <v>0.5</v>
      </c>
      <c r="LW106" s="213">
        <v>0.5</v>
      </c>
      <c r="LX106" s="214">
        <v>0.5</v>
      </c>
      <c r="LY106" s="212">
        <v>0.5</v>
      </c>
      <c r="LZ106" s="212">
        <v>0.5</v>
      </c>
      <c r="MA106" s="208"/>
      <c r="MB106" s="295"/>
      <c r="MC106" s="207"/>
      <c r="MD106" s="207"/>
      <c r="ME106" s="207"/>
      <c r="MF106" s="207"/>
      <c r="MG106" s="207"/>
      <c r="MH106" s="207"/>
      <c r="MI106" s="207"/>
      <c r="MJ106" s="207"/>
      <c r="MK106" s="207"/>
      <c r="ML106" s="207"/>
      <c r="MM106" s="202"/>
      <c r="MN106" s="135"/>
      <c r="MO106" s="136"/>
      <c r="MP106" s="131">
        <f>SUM(LN106:MO106)</f>
      </c>
      <c r="MQ106" s="121"/>
      <c r="MR106" s="122"/>
      <c r="MS106" s="123"/>
      <c r="MT106" s="124"/>
      <c r="MU106" s="124"/>
      <c r="MV106" s="124"/>
      <c r="MW106" s="124"/>
      <c r="MX106" s="124"/>
      <c r="MY106" s="124"/>
      <c r="MZ106" s="125"/>
      <c r="NA106" s="126"/>
      <c r="NB106" s="124"/>
      <c r="NC106" s="124"/>
      <c r="ND106" s="127"/>
      <c r="NE106" s="123"/>
      <c r="NF106" s="124"/>
      <c r="NG106" s="124"/>
      <c r="NH106" s="124"/>
      <c r="NI106" s="124"/>
      <c r="NJ106" s="124"/>
      <c r="NK106" s="124"/>
      <c r="NL106" s="124"/>
      <c r="NM106" s="124"/>
      <c r="NN106" s="124"/>
      <c r="NO106" s="124"/>
      <c r="NP106" s="125"/>
      <c r="NQ106" s="301"/>
      <c r="NR106" s="123"/>
      <c r="NS106" s="131">
        <f>SUM(MQ106:NR106)</f>
      </c>
      <c r="NT106" s="121"/>
      <c r="NU106" s="122"/>
      <c r="NV106" s="123"/>
      <c r="NW106" s="124"/>
      <c r="NX106" s="124"/>
      <c r="NY106" s="124"/>
      <c r="NZ106" s="124"/>
      <c r="OA106" s="124"/>
      <c r="OB106" s="124"/>
      <c r="OC106" s="125"/>
      <c r="OD106" s="126"/>
      <c r="OE106" s="124"/>
      <c r="OF106" s="124"/>
      <c r="OG106" s="127"/>
      <c r="OH106" s="123"/>
      <c r="OI106" s="124"/>
      <c r="OJ106" s="124"/>
      <c r="OK106" s="124"/>
      <c r="OL106" s="124"/>
      <c r="OM106" s="124"/>
      <c r="ON106" s="124"/>
      <c r="OO106" s="124"/>
      <c r="OP106" s="124"/>
      <c r="OQ106" s="124"/>
      <c r="OR106" s="124"/>
      <c r="OS106" s="125"/>
      <c r="OT106" s="301"/>
      <c r="OU106" s="123"/>
      <c r="OV106" s="131">
        <f>SUM(NT106:OU106)</f>
      </c>
      <c r="OW106" s="150">
        <f>ID106+JG106+KJ106+LM106+MP106+NS106+OV106</f>
      </c>
      <c r="OX106" s="302">
        <f>(COUNTIF(HB106:OV106,"H")+COUNTIF(HB106:OV106,"S")+COUNTIF(HB106:OV106,"L")+COUNTIF(HB106:OV106,"E")+COUNTIF(HB106:OV106,"C"))/2</f>
      </c>
      <c r="OY106" s="131">
        <f>OW106+OX106</f>
      </c>
      <c r="OZ106" s="134"/>
      <c r="PA106" s="135"/>
      <c r="PB106" s="136"/>
      <c r="PC106" s="137"/>
      <c r="PD106" s="137"/>
      <c r="PE106" s="143">
        <v>0.5</v>
      </c>
      <c r="PF106" s="143">
        <v>0.5</v>
      </c>
      <c r="PG106" s="143">
        <v>0.5</v>
      </c>
      <c r="PH106" s="138">
        <v>0.5</v>
      </c>
      <c r="PI106" s="139">
        <v>0.5</v>
      </c>
      <c r="PJ106" s="140">
        <v>0.5</v>
      </c>
      <c r="PK106" s="138">
        <v>0.5</v>
      </c>
      <c r="PL106" s="137"/>
      <c r="PM106" s="141"/>
      <c r="PN106" s="142">
        <v>0.5</v>
      </c>
      <c r="PO106" s="138">
        <v>0.5</v>
      </c>
      <c r="PP106" s="143">
        <v>0.5</v>
      </c>
      <c r="PQ106" s="143">
        <v>0.5</v>
      </c>
      <c r="PR106" s="143">
        <v>0.5</v>
      </c>
      <c r="PS106" s="143">
        <v>0.5</v>
      </c>
      <c r="PT106" s="143">
        <v>0.5</v>
      </c>
      <c r="PU106" s="143">
        <v>0.5</v>
      </c>
      <c r="PV106" s="143">
        <v>0.5</v>
      </c>
      <c r="PW106" s="137"/>
      <c r="PX106" s="137"/>
      <c r="PY106" s="153"/>
      <c r="PZ106" s="304"/>
      <c r="QA106" s="152"/>
      <c r="QB106" s="131">
        <f>SUM(OZ106:QA106)</f>
      </c>
      <c r="QC106" s="134"/>
      <c r="QD106" s="135"/>
      <c r="QE106" s="136"/>
      <c r="QF106" s="137"/>
      <c r="QG106" s="137"/>
      <c r="QH106" s="220">
        <v>0.5</v>
      </c>
      <c r="QI106" s="220">
        <v>0.5</v>
      </c>
      <c r="QJ106" s="220">
        <v>0.5</v>
      </c>
      <c r="QK106" s="220">
        <v>0.5</v>
      </c>
      <c r="QL106" s="227">
        <v>0.5</v>
      </c>
      <c r="QM106" s="427">
        <v>0.5</v>
      </c>
      <c r="QN106" s="220">
        <v>0.5</v>
      </c>
      <c r="QO106" s="137"/>
      <c r="QP106" s="141"/>
      <c r="QQ106" s="428">
        <v>0.5</v>
      </c>
      <c r="QR106" s="220">
        <v>0.5</v>
      </c>
      <c r="QS106" s="220">
        <v>0.5</v>
      </c>
      <c r="QT106" s="220">
        <v>0.5</v>
      </c>
      <c r="QU106" s="220">
        <v>0.5</v>
      </c>
      <c r="QV106" s="220">
        <v>0.5</v>
      </c>
      <c r="QW106" s="220">
        <v>0.5</v>
      </c>
      <c r="QX106" s="220">
        <v>0.5</v>
      </c>
      <c r="QY106" s="220">
        <v>0.5</v>
      </c>
      <c r="QZ106" s="137"/>
      <c r="RA106" s="137"/>
      <c r="RB106" s="153"/>
      <c r="RC106" s="304"/>
      <c r="RD106" s="152"/>
      <c r="RE106" s="131">
        <f>SUM(QC106:RD106)</f>
      </c>
      <c r="RF106" s="134"/>
      <c r="RG106" s="135"/>
      <c r="RH106" s="136"/>
      <c r="RI106" s="137"/>
      <c r="RJ106" s="137"/>
      <c r="RK106" s="138">
        <v>0.5</v>
      </c>
      <c r="RL106" s="138">
        <v>0.5</v>
      </c>
      <c r="RM106" s="138">
        <v>0.5</v>
      </c>
      <c r="RN106" s="138">
        <v>0.5</v>
      </c>
      <c r="RO106" s="139">
        <v>0.5</v>
      </c>
      <c r="RP106" s="140">
        <v>0.5</v>
      </c>
      <c r="RQ106" s="138">
        <v>0.5</v>
      </c>
      <c r="RR106" s="137"/>
      <c r="RS106" s="141"/>
      <c r="RT106" s="142">
        <v>0.5</v>
      </c>
      <c r="RU106" s="138">
        <v>0.5</v>
      </c>
      <c r="RV106" s="138">
        <v>0.5</v>
      </c>
      <c r="RW106" s="138">
        <v>0.5</v>
      </c>
      <c r="RX106" s="138">
        <v>0.5</v>
      </c>
      <c r="RY106" s="138">
        <v>0.5</v>
      </c>
      <c r="RZ106" s="138">
        <v>0.5</v>
      </c>
      <c r="SA106" s="138">
        <v>0.5</v>
      </c>
      <c r="SB106" s="138">
        <v>0.5</v>
      </c>
      <c r="SC106" s="137"/>
      <c r="SD106" s="137"/>
      <c r="SE106" s="153"/>
      <c r="SF106" s="304"/>
      <c r="SG106" s="152"/>
      <c r="SH106" s="131">
        <f>SUM(RF106:SG106)</f>
      </c>
      <c r="SI106" s="134"/>
      <c r="SJ106" s="135"/>
      <c r="SK106" s="136"/>
      <c r="SL106" s="137"/>
      <c r="SM106" s="137"/>
      <c r="SN106" s="216">
        <v>0.5</v>
      </c>
      <c r="SO106" s="216">
        <v>0.5</v>
      </c>
      <c r="SP106" s="216">
        <v>0.5</v>
      </c>
      <c r="SQ106" s="216">
        <v>0.5</v>
      </c>
      <c r="SR106" s="217">
        <v>0.5</v>
      </c>
      <c r="SS106" s="218">
        <v>0.5</v>
      </c>
      <c r="ST106" s="216">
        <v>0.5</v>
      </c>
      <c r="SU106" s="137"/>
      <c r="SV106" s="141"/>
      <c r="SW106" s="219">
        <v>0.5</v>
      </c>
      <c r="SX106" s="216">
        <v>0.5</v>
      </c>
      <c r="SY106" s="216">
        <v>0.5</v>
      </c>
      <c r="SZ106" s="216">
        <v>0.5</v>
      </c>
      <c r="TA106" s="216">
        <v>0.5</v>
      </c>
      <c r="TB106" s="216">
        <v>0.5</v>
      </c>
      <c r="TC106" s="216">
        <v>0.5</v>
      </c>
      <c r="TD106" s="216">
        <v>0.5</v>
      </c>
      <c r="TE106" s="216">
        <v>0.5</v>
      </c>
      <c r="TF106" s="137"/>
      <c r="TG106" s="137"/>
      <c r="TH106" s="153"/>
      <c r="TI106" s="304"/>
      <c r="TJ106" s="136"/>
      <c r="TK106" s="131">
        <f>SUM(SI106:TJ106)</f>
      </c>
      <c r="TL106" s="134"/>
      <c r="TM106" s="304"/>
      <c r="TN106" s="136"/>
      <c r="TO106" s="137"/>
      <c r="TP106" s="137"/>
      <c r="TQ106" s="143">
        <v>0.5</v>
      </c>
      <c r="TR106" s="143">
        <v>0.5</v>
      </c>
      <c r="TS106" s="143">
        <v>0.5</v>
      </c>
      <c r="TT106" s="138">
        <v>0.5</v>
      </c>
      <c r="TU106" s="139">
        <v>0.5</v>
      </c>
      <c r="TV106" s="140">
        <v>0.5</v>
      </c>
      <c r="TW106" s="138">
        <v>0.5</v>
      </c>
      <c r="TX106" s="137"/>
      <c r="TY106" s="141"/>
      <c r="TZ106" s="142">
        <v>0.5</v>
      </c>
      <c r="UA106" s="138">
        <v>0.5</v>
      </c>
      <c r="UB106" s="143">
        <v>0.5</v>
      </c>
      <c r="UC106" s="143">
        <v>0.5</v>
      </c>
      <c r="UD106" s="143">
        <v>0.5</v>
      </c>
      <c r="UE106" s="143">
        <v>0.5</v>
      </c>
      <c r="UF106" s="143">
        <v>0.5</v>
      </c>
      <c r="UG106" s="143">
        <v>0.5</v>
      </c>
      <c r="UH106" s="143">
        <v>0.5</v>
      </c>
      <c r="UI106" s="137"/>
      <c r="UJ106" s="137"/>
      <c r="UK106" s="153"/>
      <c r="UL106" s="304"/>
      <c r="UM106" s="152"/>
      <c r="UN106" s="131">
        <f>SUM(TL106:UM106)</f>
      </c>
      <c r="UO106" s="121"/>
      <c r="UP106" s="122"/>
      <c r="UQ106" s="123"/>
      <c r="UR106" s="124"/>
      <c r="US106" s="124"/>
      <c r="UT106" s="124"/>
      <c r="UU106" s="124"/>
      <c r="UV106" s="124"/>
      <c r="UW106" s="124"/>
      <c r="UX106" s="125"/>
      <c r="UY106" s="126"/>
      <c r="UZ106" s="124"/>
      <c r="VA106" s="124"/>
      <c r="VB106" s="127"/>
      <c r="VC106" s="123"/>
      <c r="VD106" s="124"/>
      <c r="VE106" s="124"/>
      <c r="VF106" s="124"/>
      <c r="VG106" s="124"/>
      <c r="VH106" s="124"/>
      <c r="VI106" s="124"/>
      <c r="VJ106" s="124"/>
      <c r="VK106" s="124"/>
      <c r="VL106" s="124"/>
      <c r="VM106" s="124"/>
      <c r="VN106" s="125"/>
      <c r="VO106" s="301"/>
      <c r="VP106" s="123"/>
      <c r="VQ106" s="131">
        <f>SUM(UO106:VP106)</f>
      </c>
      <c r="VR106" s="121"/>
      <c r="VS106" s="122"/>
      <c r="VT106" s="123"/>
      <c r="VU106" s="124"/>
      <c r="VV106" s="124"/>
      <c r="VW106" s="124"/>
      <c r="VX106" s="124"/>
      <c r="VY106" s="124"/>
      <c r="VZ106" s="124"/>
      <c r="WA106" s="125"/>
      <c r="WB106" s="126"/>
      <c r="WC106" s="124"/>
      <c r="WD106" s="124"/>
      <c r="WE106" s="127"/>
      <c r="WF106" s="123"/>
      <c r="WG106" s="124"/>
      <c r="WH106" s="124"/>
      <c r="WI106" s="124"/>
      <c r="WJ106" s="124"/>
      <c r="WK106" s="124"/>
      <c r="WL106" s="124"/>
      <c r="WM106" s="124"/>
      <c r="WN106" s="124"/>
      <c r="WO106" s="124"/>
      <c r="WP106" s="124"/>
      <c r="WQ106" s="125"/>
      <c r="WR106" s="301"/>
      <c r="WS106" s="123"/>
      <c r="WT106" s="131">
        <f>SUM(VR106:WS106)</f>
      </c>
      <c r="WU106" s="150">
        <f>QB106+RE106+SH106+TK106+UN106+VQ106+WT106</f>
      </c>
      <c r="WV106" s="302">
        <f>(COUNTIF(OZ106:WT106,"H")+COUNTIF(OZ106:WT106,"S")+COUNTIF(OZ106:WT106,"L")+COUNTIF(OZ106:WT106,"E")+COUNTIF(OZ106:WT106,"C"))/2</f>
      </c>
      <c r="WW106" s="131">
        <f>WU106+WV106</f>
      </c>
      <c r="WX106" s="134"/>
      <c r="WY106" s="135"/>
      <c r="WZ106" s="295"/>
      <c r="XA106" s="15">
        <v>0.5</v>
      </c>
      <c r="XB106" s="15">
        <v>0.5</v>
      </c>
      <c r="XC106" s="15">
        <v>0.5</v>
      </c>
      <c r="XD106" s="15">
        <v>0.5</v>
      </c>
      <c r="XE106" s="15">
        <v>0.5</v>
      </c>
      <c r="XF106" s="15">
        <v>0.5</v>
      </c>
      <c r="XG106" s="211">
        <v>0.5</v>
      </c>
      <c r="XH106" s="424">
        <v>0.5</v>
      </c>
      <c r="XI106" s="15">
        <v>0.5</v>
      </c>
      <c r="XJ106" s="612"/>
      <c r="XK106" s="615"/>
      <c r="XL106" s="377">
        <v>0.5</v>
      </c>
      <c r="XM106" s="15">
        <v>0.5</v>
      </c>
      <c r="XN106" s="15">
        <v>0.5</v>
      </c>
      <c r="XO106" s="15">
        <v>0.5</v>
      </c>
      <c r="XP106" s="15">
        <v>0.5</v>
      </c>
      <c r="XQ106" s="15">
        <v>0.5</v>
      </c>
      <c r="XR106" s="15">
        <v>0.5</v>
      </c>
      <c r="XS106" s="15">
        <v>0.5</v>
      </c>
      <c r="XT106" s="15">
        <v>0.5</v>
      </c>
      <c r="XU106" s="207"/>
      <c r="XV106" s="207"/>
      <c r="XW106" s="202"/>
      <c r="XX106" s="135"/>
      <c r="XY106" s="136"/>
      <c r="XZ106" s="130">
        <f>SUM(WX106:XY106)</f>
      </c>
      <c r="YA106" s="134"/>
      <c r="YB106" s="135"/>
      <c r="YC106" s="295"/>
      <c r="YD106" s="204">
        <v>0.5</v>
      </c>
      <c r="YE106" s="204">
        <v>0.5</v>
      </c>
      <c r="YF106" s="204">
        <v>0.5</v>
      </c>
      <c r="YG106" s="204">
        <v>0.5</v>
      </c>
      <c r="YH106" s="204">
        <v>0.5</v>
      </c>
      <c r="YI106" s="204">
        <v>0.5</v>
      </c>
      <c r="YJ106" s="205">
        <v>0.5</v>
      </c>
      <c r="YK106" s="206">
        <v>0.5</v>
      </c>
      <c r="YL106" s="204">
        <v>0.5</v>
      </c>
      <c r="YM106" s="612"/>
      <c r="YN106" s="615"/>
      <c r="YO106" s="613">
        <v>0.5</v>
      </c>
      <c r="YP106" s="204">
        <v>0.5</v>
      </c>
      <c r="YQ106" s="204">
        <v>0.5</v>
      </c>
      <c r="YR106" s="204">
        <v>0.5</v>
      </c>
      <c r="YS106" s="204">
        <v>0.5</v>
      </c>
      <c r="YT106" s="204">
        <v>0.5</v>
      </c>
      <c r="YU106" s="204">
        <v>0.5</v>
      </c>
      <c r="YV106" s="204">
        <v>0.5</v>
      </c>
      <c r="YW106" s="204">
        <v>0.5</v>
      </c>
      <c r="YX106" s="207"/>
      <c r="YY106" s="207"/>
      <c r="YZ106" s="202"/>
      <c r="ZA106" s="135"/>
      <c r="ZB106" s="136"/>
      <c r="ZC106" s="130">
        <f>SUM(YA106:ZB106)</f>
      </c>
      <c r="ZD106" s="134"/>
      <c r="ZE106" s="135"/>
      <c r="ZF106" s="295"/>
      <c r="ZG106" s="212">
        <v>0.5</v>
      </c>
      <c r="ZH106" s="212">
        <v>0.5</v>
      </c>
      <c r="ZI106" s="212">
        <v>0.5</v>
      </c>
      <c r="ZJ106" s="212">
        <v>0.5</v>
      </c>
      <c r="ZK106" s="212">
        <v>0.5</v>
      </c>
      <c r="ZL106" s="212">
        <v>0.5</v>
      </c>
      <c r="ZM106" s="213">
        <v>0.5</v>
      </c>
      <c r="ZN106" s="214">
        <v>0.5</v>
      </c>
      <c r="ZO106" s="212">
        <v>0.5</v>
      </c>
      <c r="ZP106" s="612"/>
      <c r="ZQ106" s="615"/>
      <c r="ZR106" s="298">
        <v>0.5</v>
      </c>
      <c r="ZS106" s="212">
        <v>0.5</v>
      </c>
      <c r="ZT106" s="212">
        <v>0.5</v>
      </c>
      <c r="ZU106" s="212">
        <v>0.5</v>
      </c>
      <c r="ZV106" s="212">
        <v>0.5</v>
      </c>
      <c r="ZW106" s="212">
        <v>0.5</v>
      </c>
      <c r="ZX106" s="212">
        <v>0.5</v>
      </c>
      <c r="ZY106" s="212">
        <v>0.5</v>
      </c>
      <c r="ZZ106" s="212">
        <v>0.5</v>
      </c>
      <c r="AAA106" s="207"/>
      <c r="AAB106" s="207"/>
      <c r="AAC106" s="202"/>
      <c r="AAD106" s="135"/>
      <c r="AAE106" s="136"/>
      <c r="AAF106" s="130">
        <f>SUM(ZD106:AAE106)</f>
      </c>
      <c r="AAG106" s="134"/>
      <c r="AAH106" s="135"/>
      <c r="AAI106" s="295"/>
      <c r="AAJ106" s="24">
        <v>0.5</v>
      </c>
      <c r="AAK106" s="24">
        <v>0.5</v>
      </c>
      <c r="AAL106" s="24">
        <v>0.5</v>
      </c>
      <c r="AAM106" s="24">
        <v>0.5</v>
      </c>
      <c r="AAN106" s="24">
        <v>0.5</v>
      </c>
      <c r="AAO106" s="24">
        <v>0.5</v>
      </c>
      <c r="AAP106" s="203">
        <v>0.5</v>
      </c>
      <c r="AAQ106" s="425">
        <v>0.5</v>
      </c>
      <c r="AAR106" s="24">
        <v>0.5</v>
      </c>
      <c r="AAS106" s="612"/>
      <c r="AAT106" s="615"/>
      <c r="AAU106" s="426">
        <v>0.5</v>
      </c>
      <c r="AAV106" s="24">
        <v>0.5</v>
      </c>
      <c r="AAW106" s="24">
        <v>0.5</v>
      </c>
      <c r="AAX106" s="24">
        <v>0.5</v>
      </c>
      <c r="AAY106" s="24">
        <v>0.5</v>
      </c>
      <c r="AAZ106" s="24">
        <v>0.5</v>
      </c>
      <c r="ABA106" s="24">
        <v>0.5</v>
      </c>
      <c r="ABB106" s="24">
        <v>0.5</v>
      </c>
      <c r="ABC106" s="24">
        <v>0.5</v>
      </c>
      <c r="ABD106" s="207"/>
      <c r="ABE106" s="207"/>
      <c r="ABF106" s="202"/>
      <c r="ABG106" s="135"/>
      <c r="ABH106" s="136"/>
      <c r="ABI106" s="130">
        <f>SUM(AAG106:ABH106)</f>
      </c>
      <c r="ABJ106" s="134"/>
      <c r="ABK106" s="135"/>
      <c r="ABL106" s="295"/>
      <c r="ABM106" s="207"/>
      <c r="ABN106" s="207"/>
      <c r="ABO106" s="212">
        <v>0.5</v>
      </c>
      <c r="ABP106" s="212">
        <v>0.5</v>
      </c>
      <c r="ABQ106" s="212">
        <v>0.5</v>
      </c>
      <c r="ABR106" s="212">
        <v>0.5</v>
      </c>
      <c r="ABS106" s="213">
        <v>0.5</v>
      </c>
      <c r="ABT106" s="214">
        <v>0.5</v>
      </c>
      <c r="ABU106" s="212">
        <v>0.5</v>
      </c>
      <c r="ABV106" s="212">
        <v>0.5</v>
      </c>
      <c r="ABW106" s="208"/>
      <c r="ABX106" s="295"/>
      <c r="ABY106" s="207"/>
      <c r="ABZ106" s="207"/>
      <c r="ACA106" s="207"/>
      <c r="ACB106" s="207"/>
      <c r="ACC106" s="207"/>
      <c r="ACD106" s="207"/>
      <c r="ACE106" s="207"/>
      <c r="ACF106" s="207"/>
      <c r="ACG106" s="207"/>
      <c r="ACH106" s="207"/>
      <c r="ACI106" s="202"/>
      <c r="ACJ106" s="135"/>
      <c r="ACK106" s="136"/>
      <c r="ACL106" s="131">
        <f>SUM(ABJ106:ACK106)</f>
      </c>
      <c r="ACM106" s="121"/>
      <c r="ACN106" s="122"/>
      <c r="ACO106" s="123"/>
      <c r="ACP106" s="124"/>
      <c r="ACQ106" s="124"/>
      <c r="ACR106" s="124"/>
      <c r="ACS106" s="124"/>
      <c r="ACT106" s="124"/>
      <c r="ACU106" s="124"/>
      <c r="ACV106" s="125"/>
      <c r="ACW106" s="126"/>
      <c r="ACX106" s="124"/>
      <c r="ACY106" s="124"/>
      <c r="ACZ106" s="127"/>
      <c r="ADA106" s="123"/>
      <c r="ADB106" s="124"/>
      <c r="ADC106" s="124"/>
      <c r="ADD106" s="124"/>
      <c r="ADE106" s="124"/>
      <c r="ADF106" s="124"/>
      <c r="ADG106" s="124"/>
      <c r="ADH106" s="124"/>
      <c r="ADI106" s="124"/>
      <c r="ADJ106" s="124"/>
      <c r="ADK106" s="124"/>
      <c r="ADL106" s="125"/>
      <c r="ADM106" s="301"/>
      <c r="ADN106" s="123"/>
      <c r="ADO106" s="131">
        <f>SUM(ACM106:ADN106)</f>
      </c>
      <c r="ADP106" s="121"/>
      <c r="ADQ106" s="122"/>
      <c r="ADR106" s="123"/>
      <c r="ADS106" s="124"/>
      <c r="ADT106" s="124"/>
      <c r="ADU106" s="124"/>
      <c r="ADV106" s="124"/>
      <c r="ADW106" s="124"/>
      <c r="ADX106" s="124"/>
      <c r="ADY106" s="125"/>
      <c r="ADZ106" s="126"/>
      <c r="AEA106" s="124"/>
      <c r="AEB106" s="124"/>
      <c r="AEC106" s="127"/>
      <c r="AED106" s="123"/>
      <c r="AEE106" s="124"/>
      <c r="AEF106" s="124"/>
      <c r="AEG106" s="124"/>
      <c r="AEH106" s="124"/>
      <c r="AEI106" s="124"/>
      <c r="AEJ106" s="124"/>
      <c r="AEK106" s="124"/>
      <c r="AEL106" s="124"/>
      <c r="AEM106" s="124"/>
      <c r="AEN106" s="124"/>
      <c r="AEO106" s="125"/>
      <c r="AEP106" s="301"/>
      <c r="AEQ106" s="123"/>
      <c r="AER106" s="131">
        <f>SUM(ADP106:AEQ106)</f>
      </c>
      <c r="AES106" s="150">
        <f>XZ106+ZC106+AAF106+ABI106+ACL106+ADO106+AER106</f>
      </c>
      <c r="AET106" s="302">
        <f>(COUNTIF(WX106:AER106,"H")+COUNTIF(WX106:AER106,"S")+COUNTIF(WX106:AER106,"L")+COUNTIF(WX106:AER106,"E")+COUNTIF(WX106:AER106,"C"))/2</f>
      </c>
      <c r="AEU106" s="131">
        <f>AES106+AET106</f>
      </c>
      <c r="AEV106" s="134"/>
      <c r="AEW106" s="135"/>
      <c r="AEX106" s="295"/>
      <c r="AEY106" s="15">
        <v>0.5</v>
      </c>
      <c r="AEZ106" s="15">
        <v>0.5</v>
      </c>
      <c r="AFA106" s="15">
        <v>0.5</v>
      </c>
      <c r="AFB106" s="15">
        <v>0.5</v>
      </c>
      <c r="AFC106" s="15">
        <v>0.5</v>
      </c>
      <c r="AFD106" s="15">
        <v>0.5</v>
      </c>
      <c r="AFE106" s="211">
        <v>0.5</v>
      </c>
      <c r="AFF106" s="424">
        <v>0.5</v>
      </c>
      <c r="AFG106" s="15">
        <v>0.5</v>
      </c>
      <c r="AFH106" s="612"/>
      <c r="AFI106" s="615"/>
      <c r="AFJ106" s="377">
        <v>0.5</v>
      </c>
      <c r="AFK106" s="15">
        <v>0.5</v>
      </c>
      <c r="AFL106" s="15">
        <v>0.5</v>
      </c>
      <c r="AFM106" s="15">
        <v>0.5</v>
      </c>
      <c r="AFN106" s="15">
        <v>0.5</v>
      </c>
      <c r="AFO106" s="15">
        <v>0.5</v>
      </c>
      <c r="AFP106" s="15">
        <v>0.5</v>
      </c>
      <c r="AFQ106" s="15">
        <v>0.5</v>
      </c>
      <c r="AFR106" s="15">
        <v>0.5</v>
      </c>
      <c r="AFS106" s="207"/>
      <c r="AFT106" s="207"/>
      <c r="AFU106" s="209"/>
      <c r="AFV106" s="135"/>
      <c r="AFW106" s="136"/>
      <c r="AFX106" s="130">
        <f>SUM(AEV106:AFW106)</f>
      </c>
      <c r="AFY106" s="134"/>
      <c r="AFZ106" s="135"/>
      <c r="AGA106" s="295"/>
      <c r="AGB106" s="377" t="s">
        <v>4</v>
      </c>
      <c r="AGC106" s="377" t="s">
        <v>4</v>
      </c>
      <c r="AGD106" s="18" t="s">
        <v>4</v>
      </c>
      <c r="AGE106" s="18" t="s">
        <v>4</v>
      </c>
      <c r="AGF106" s="18" t="s">
        <v>4</v>
      </c>
      <c r="AGG106" s="18" t="s">
        <v>4</v>
      </c>
      <c r="AGH106" s="224" t="s">
        <v>4</v>
      </c>
      <c r="AGI106" s="225" t="s">
        <v>4</v>
      </c>
      <c r="AGJ106" s="137"/>
      <c r="AGK106" s="207"/>
      <c r="AGL106" s="382" t="s">
        <v>4</v>
      </c>
      <c r="AGM106" s="18" t="s">
        <v>4</v>
      </c>
      <c r="AGN106" s="18" t="s">
        <v>4</v>
      </c>
      <c r="AGO106" s="18" t="s">
        <v>4</v>
      </c>
      <c r="AGP106" s="18" t="s">
        <v>4</v>
      </c>
      <c r="AGQ106" s="18" t="s">
        <v>4</v>
      </c>
      <c r="AGR106" s="18" t="s">
        <v>4</v>
      </c>
      <c r="AGS106" s="18" t="s">
        <v>4</v>
      </c>
      <c r="AGT106" s="137"/>
      <c r="AGU106" s="137"/>
      <c r="AGV106" s="207"/>
      <c r="AGW106" s="207"/>
      <c r="AGX106" s="209"/>
      <c r="AGY106" s="135"/>
      <c r="AGZ106" s="136"/>
      <c r="AHA106" s="130">
        <f>SUM(AFY106:AGZ106)</f>
      </c>
      <c r="AHB106" s="134"/>
      <c r="AHC106" s="135"/>
      <c r="AHD106" s="295"/>
      <c r="AHE106" s="377" t="s">
        <v>4</v>
      </c>
      <c r="AHF106" s="377" t="s">
        <v>4</v>
      </c>
      <c r="AHG106" s="18" t="s">
        <v>4</v>
      </c>
      <c r="AHH106" s="18" t="s">
        <v>4</v>
      </c>
      <c r="AHI106" s="18" t="s">
        <v>4</v>
      </c>
      <c r="AHJ106" s="18" t="s">
        <v>4</v>
      </c>
      <c r="AHK106" s="224" t="s">
        <v>4</v>
      </c>
      <c r="AHL106" s="225" t="s">
        <v>4</v>
      </c>
      <c r="AHM106" s="137"/>
      <c r="AHN106" s="207"/>
      <c r="AHO106" s="382" t="s">
        <v>4</v>
      </c>
      <c r="AHP106" s="18" t="s">
        <v>4</v>
      </c>
      <c r="AHQ106" s="18" t="s">
        <v>4</v>
      </c>
      <c r="AHR106" s="18" t="s">
        <v>4</v>
      </c>
      <c r="AHS106" s="18" t="s">
        <v>4</v>
      </c>
      <c r="AHT106" s="18" t="s">
        <v>4</v>
      </c>
      <c r="AHU106" s="18" t="s">
        <v>4</v>
      </c>
      <c r="AHV106" s="18" t="s">
        <v>4</v>
      </c>
      <c r="AHW106" s="137"/>
      <c r="AHX106" s="137"/>
      <c r="AHY106" s="207"/>
      <c r="AHZ106" s="207"/>
      <c r="AIA106" s="202"/>
      <c r="AIB106" s="135"/>
      <c r="AIC106" s="136"/>
      <c r="AID106" s="130">
        <f>SUM(AHB106:AIC106)</f>
      </c>
      <c r="AIE106" s="134"/>
      <c r="AIF106" s="135"/>
      <c r="AIG106" s="295"/>
      <c r="AIH106" s="377" t="s">
        <v>4</v>
      </c>
      <c r="AII106" s="377" t="s">
        <v>4</v>
      </c>
      <c r="AIJ106" s="377" t="s">
        <v>4</v>
      </c>
      <c r="AIK106" s="377" t="s">
        <v>4</v>
      </c>
      <c r="AIL106" s="377" t="s">
        <v>4</v>
      </c>
      <c r="AIM106" s="377" t="s">
        <v>4</v>
      </c>
      <c r="AIN106" s="377" t="s">
        <v>4</v>
      </c>
      <c r="AIO106" s="381" t="s">
        <v>4</v>
      </c>
      <c r="AIP106" s="207"/>
      <c r="AIQ106" s="207"/>
      <c r="AIR106" s="382" t="s">
        <v>4</v>
      </c>
      <c r="AIS106" s="377" t="s">
        <v>4</v>
      </c>
      <c r="AIT106" s="377" t="s">
        <v>4</v>
      </c>
      <c r="AIU106" s="377" t="s">
        <v>4</v>
      </c>
      <c r="AIV106" s="377" t="s">
        <v>4</v>
      </c>
      <c r="AIW106" s="377" t="s">
        <v>4</v>
      </c>
      <c r="AIX106" s="377" t="s">
        <v>4</v>
      </c>
      <c r="AIY106" s="377" t="s">
        <v>4</v>
      </c>
      <c r="AIZ106" s="207"/>
      <c r="AJA106" s="207"/>
      <c r="AJB106" s="207"/>
      <c r="AJC106" s="207"/>
      <c r="AJD106" s="202"/>
      <c r="AJE106" s="135"/>
      <c r="AJF106" s="136"/>
      <c r="AJG106" s="130">
        <f>SUM(AIE106:AJF106)</f>
      </c>
      <c r="AJH106" s="134"/>
      <c r="AJI106" s="135"/>
      <c r="AJJ106" s="295"/>
      <c r="AJK106" s="377" t="s">
        <v>4</v>
      </c>
      <c r="AJL106" s="377" t="s">
        <v>4</v>
      </c>
      <c r="AJM106" s="377" t="s">
        <v>4</v>
      </c>
      <c r="AJN106" s="377" t="s">
        <v>4</v>
      </c>
      <c r="AJO106" s="377" t="s">
        <v>4</v>
      </c>
      <c r="AJP106" s="377" t="s">
        <v>4</v>
      </c>
      <c r="AJQ106" s="377" t="s">
        <v>4</v>
      </c>
      <c r="AJR106" s="381" t="s">
        <v>4</v>
      </c>
      <c r="AJS106" s="207"/>
      <c r="AJT106" s="207"/>
      <c r="AJU106" s="382" t="s">
        <v>4</v>
      </c>
      <c r="AJV106" s="383" t="s">
        <v>4</v>
      </c>
      <c r="AJW106" s="377" t="s">
        <v>4</v>
      </c>
      <c r="AJX106" s="377" t="s">
        <v>4</v>
      </c>
      <c r="AJY106" s="377" t="s">
        <v>4</v>
      </c>
      <c r="AJZ106" s="377" t="s">
        <v>4</v>
      </c>
      <c r="AKA106" s="377" t="s">
        <v>4</v>
      </c>
      <c r="AKB106" s="377" t="s">
        <v>4</v>
      </c>
      <c r="AKC106" s="207"/>
      <c r="AKD106" s="207"/>
      <c r="AKE106" s="207"/>
      <c r="AKF106" s="207"/>
      <c r="AKG106" s="202"/>
      <c r="AKH106" s="135"/>
      <c r="AKI106" s="136"/>
      <c r="AKJ106" s="131">
        <f>SUM(AJH106:AKI106)</f>
      </c>
      <c r="AKK106" s="121"/>
      <c r="AKL106" s="122"/>
      <c r="AKM106" s="123"/>
      <c r="AKN106" s="124"/>
      <c r="AKO106" s="124"/>
      <c r="AKP106" s="124"/>
      <c r="AKQ106" s="124"/>
      <c r="AKR106" s="124"/>
      <c r="AKS106" s="124"/>
      <c r="AKT106" s="125"/>
      <c r="AKU106" s="126"/>
      <c r="AKV106" s="124"/>
      <c r="AKW106" s="124"/>
      <c r="AKX106" s="127"/>
      <c r="AKY106" s="123"/>
      <c r="AKZ106" s="124"/>
      <c r="ALA106" s="124"/>
      <c r="ALB106" s="124"/>
      <c r="ALC106" s="124"/>
      <c r="ALD106" s="124"/>
      <c r="ALE106" s="124"/>
      <c r="ALF106" s="124"/>
      <c r="ALG106" s="124"/>
      <c r="ALH106" s="124"/>
      <c r="ALI106" s="124"/>
      <c r="ALJ106" s="125"/>
      <c r="ALK106" s="301"/>
      <c r="ALL106" s="123"/>
      <c r="ALM106" s="131">
        <f>SUM(AKK106:ALL106)</f>
      </c>
      <c r="ALN106" s="121"/>
      <c r="ALO106" s="122"/>
      <c r="ALP106" s="123"/>
      <c r="ALQ106" s="124"/>
      <c r="ALR106" s="124"/>
      <c r="ALS106" s="124"/>
      <c r="ALT106" s="124"/>
      <c r="ALU106" s="124"/>
      <c r="ALV106" s="124"/>
      <c r="ALW106" s="125"/>
      <c r="ALX106" s="126"/>
      <c r="ALY106" s="124"/>
      <c r="ALZ106" s="124"/>
      <c r="AMA106" s="127"/>
      <c r="AMB106" s="123"/>
      <c r="AMC106" s="124"/>
      <c r="AMD106" s="124"/>
      <c r="AME106" s="124"/>
      <c r="AMF106" s="124"/>
      <c r="AMG106" s="124"/>
      <c r="AMH106" s="124"/>
      <c r="AMI106" s="124"/>
      <c r="AMJ106" s="124"/>
      <c r="AMK106" s="124"/>
      <c r="AML106" s="124"/>
      <c r="AMM106" s="125"/>
      <c r="AMN106" s="301"/>
      <c r="AMO106" s="123"/>
      <c r="AMP106" s="131">
        <f>SUM(ALN106:AMO106)</f>
      </c>
      <c r="AMQ106" s="150">
        <f>AFX106+AHA106+AID106+AJG106+AKJ106+ALM106+AMP106</f>
      </c>
      <c r="AMR106" s="302">
        <f>(COUNTIF(AEV106:AMP106,"H")+COUNTIF(AEV106:AMP106,"S")+COUNTIF(AEV106:AMP106,"L")+COUNTIF(AEV106:AMP106,"E")+COUNTIF(AEV106:AMP106,"C"))/2</f>
      </c>
      <c r="AMS106" s="131">
        <f>AMQ106+AMR106</f>
      </c>
      <c r="AMT106" s="4"/>
      <c r="AMU106" s="4"/>
      <c r="AMV106" s="4"/>
      <c r="AMW106" s="4"/>
      <c r="AMX106" s="4"/>
      <c r="AMY106" s="4"/>
      <c r="AMZ106" s="4"/>
      <c r="ANA106" s="4"/>
      <c r="ANB106" s="4"/>
      <c r="ANC106" s="4"/>
      <c r="AND106" s="4"/>
      <c r="ANE106" s="4"/>
      <c r="ANF106" s="4"/>
      <c r="ANG106" s="4"/>
      <c r="ANH106" s="4"/>
      <c r="ANI106" s="4"/>
      <c r="ANJ106" s="4"/>
      <c r="ANK106" s="4"/>
      <c r="ANL106" s="4"/>
      <c r="ANM106" s="4"/>
      <c r="ANN106" s="4"/>
      <c r="ANO106" s="4"/>
      <c r="ANP106" s="4"/>
      <c r="ANQ106" s="4"/>
      <c r="ANR106" s="4"/>
      <c r="ANS106" s="4"/>
      <c r="ANT106" s="4"/>
      <c r="ANU106" s="4"/>
      <c r="ANV106" s="4"/>
      <c r="ANW106" s="4"/>
      <c r="ANX106" s="4"/>
      <c r="ANY106" s="4"/>
      <c r="ANZ106" s="4"/>
      <c r="AOA106" s="4"/>
      <c r="AOB106" s="4"/>
      <c r="AOC106" s="4"/>
      <c r="AOD106" s="4"/>
      <c r="AOE106" s="4"/>
      <c r="AOF106" s="4"/>
      <c r="AOG106" s="4"/>
      <c r="AOH106" s="4"/>
      <c r="AOI106" s="4"/>
      <c r="AOJ106" s="4"/>
      <c r="AOK106" s="4"/>
      <c r="AOL106" s="4"/>
      <c r="AOM106" s="4"/>
      <c r="AON106" s="4"/>
      <c r="AOO106" s="4"/>
      <c r="AOP106" s="4"/>
      <c r="AOQ106" s="4"/>
      <c r="AOR106" s="4"/>
      <c r="AOS106" s="4"/>
      <c r="AOT106" s="4"/>
      <c r="AOU106" s="4"/>
      <c r="AOV106" s="4"/>
      <c r="AOW106" s="4"/>
      <c r="AOX106" s="4"/>
      <c r="AOY106" s="4"/>
      <c r="AOZ106" s="4"/>
      <c r="APA106" s="4"/>
      <c r="APB106" s="4"/>
      <c r="APC106" s="4"/>
      <c r="APD106" s="4"/>
      <c r="APE106" s="4"/>
      <c r="APF106" s="4"/>
      <c r="APG106" s="4"/>
      <c r="APH106" s="4"/>
      <c r="API106" s="4"/>
      <c r="APJ106" s="4"/>
      <c r="APK106" s="4"/>
      <c r="APL106" s="4"/>
      <c r="APM106" s="4"/>
      <c r="APN106" s="4"/>
      <c r="APO106" s="4"/>
      <c r="APP106" s="4"/>
      <c r="APQ106" s="4"/>
      <c r="APR106" s="4"/>
      <c r="APS106" s="4"/>
      <c r="APT106" s="4"/>
      <c r="APU106" s="4"/>
      <c r="APV106" s="4"/>
      <c r="APW106" s="4"/>
      <c r="APX106" s="4"/>
      <c r="APY106" s="4"/>
      <c r="APZ106" s="4"/>
      <c r="AQA106" s="4"/>
      <c r="AQB106" s="4"/>
      <c r="AQC106" s="4"/>
      <c r="AQD106" s="4"/>
      <c r="AQE106" s="4"/>
      <c r="AQF106" s="4"/>
      <c r="AQG106" s="4"/>
      <c r="AQH106" s="4"/>
      <c r="AQI106" s="4"/>
      <c r="AQJ106" s="4"/>
      <c r="AQK106" s="4"/>
      <c r="AQL106" s="4"/>
      <c r="AQM106" s="4"/>
      <c r="AQN106" s="4"/>
      <c r="AQO106" s="4"/>
      <c r="AQP106" s="4"/>
      <c r="AQQ106" s="4"/>
      <c r="AQR106" s="4"/>
      <c r="AQS106" s="4"/>
      <c r="AQT106" s="4"/>
      <c r="AQU106" s="4"/>
      <c r="AQV106" s="4"/>
      <c r="AQW106" s="4"/>
      <c r="AQX106" s="4"/>
      <c r="AQY106" s="4"/>
      <c r="AQZ106" s="4"/>
      <c r="ARA106" s="4"/>
      <c r="ARB106" s="4"/>
      <c r="ARC106" s="4"/>
      <c r="ARD106" s="4"/>
      <c r="ARE106" s="4"/>
      <c r="ARF106" s="4"/>
      <c r="ARG106" s="4"/>
      <c r="ARH106" s="4"/>
      <c r="ARI106" s="4"/>
      <c r="ARJ106" s="4"/>
      <c r="ARK106" s="4"/>
      <c r="ARL106" s="4"/>
      <c r="ARM106" s="4"/>
      <c r="ARN106" s="4"/>
      <c r="ARO106" s="4"/>
      <c r="ARP106" s="4"/>
      <c r="ARQ106" s="4"/>
      <c r="ARR106" s="4"/>
      <c r="ARS106" s="4"/>
      <c r="ART106" s="4"/>
      <c r="ARU106" s="4"/>
      <c r="ARV106" s="4"/>
      <c r="ARW106" s="4"/>
      <c r="ARX106" s="4"/>
      <c r="ARY106" s="4"/>
      <c r="ARZ106" s="4"/>
      <c r="ASA106" s="4"/>
      <c r="ASB106" s="4"/>
      <c r="ASC106" s="4"/>
      <c r="ASD106" s="4"/>
      <c r="ASE106" s="4"/>
      <c r="ASF106" s="4"/>
      <c r="ASG106" s="4"/>
      <c r="ASH106" s="4"/>
      <c r="ASI106" s="4"/>
      <c r="ASJ106" s="4"/>
      <c r="ASK106" s="4"/>
      <c r="ASL106" s="4"/>
      <c r="ASM106" s="4"/>
      <c r="ASN106" s="4"/>
      <c r="ASO106" s="4"/>
      <c r="ASP106" s="4"/>
      <c r="ASQ106" s="4"/>
      <c r="ASR106" s="4"/>
      <c r="ASS106" s="4"/>
      <c r="AST106" s="4"/>
      <c r="ASU106" s="4"/>
    </row>
    <row r="107" ht="15" customHeight="1" spans="1:1191" x14ac:dyDescent="0.25">
      <c r="A107" s="118"/>
      <c r="B107" s="564" t="s">
        <v>143</v>
      </c>
      <c r="C107" s="321" t="s">
        <v>140</v>
      </c>
      <c r="D107" s="121"/>
      <c r="E107" s="122"/>
      <c r="F107" s="123"/>
      <c r="G107" s="196"/>
      <c r="H107" s="196"/>
      <c r="I107" s="196"/>
      <c r="J107" s="196"/>
      <c r="K107" s="196"/>
      <c r="L107" s="196"/>
      <c r="M107" s="195"/>
      <c r="N107" s="126"/>
      <c r="O107" s="292"/>
      <c r="P107" s="124"/>
      <c r="Q107" s="127"/>
      <c r="R107" s="196"/>
      <c r="S107" s="196"/>
      <c r="T107" s="196"/>
      <c r="U107" s="196"/>
      <c r="V107" s="196"/>
      <c r="W107" s="196"/>
      <c r="X107" s="196"/>
      <c r="Y107" s="196"/>
      <c r="Z107" s="196"/>
      <c r="AA107" s="124"/>
      <c r="AB107" s="124"/>
      <c r="AC107" s="125"/>
      <c r="AD107" s="301"/>
      <c r="AE107" s="123"/>
      <c r="AF107" s="131">
        <f>SUM(D107:AE107)</f>
      </c>
      <c r="AG107" s="121"/>
      <c r="AH107" s="122"/>
      <c r="AI107" s="123"/>
      <c r="AJ107" s="124"/>
      <c r="AK107" s="124"/>
      <c r="AL107" s="124"/>
      <c r="AM107" s="124"/>
      <c r="AN107" s="124"/>
      <c r="AO107" s="124"/>
      <c r="AP107" s="125"/>
      <c r="AQ107" s="126"/>
      <c r="AR107" s="124"/>
      <c r="AS107" s="124"/>
      <c r="AT107" s="127"/>
      <c r="AU107" s="123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5"/>
      <c r="BG107" s="301"/>
      <c r="BH107" s="123"/>
      <c r="BI107" s="131">
        <f>SUM(AG107:BH107)</f>
      </c>
      <c r="BJ107" s="121"/>
      <c r="BK107" s="122"/>
      <c r="BL107" s="123"/>
      <c r="BM107" s="124"/>
      <c r="BN107" s="124"/>
      <c r="BO107" s="124"/>
      <c r="BP107" s="124"/>
      <c r="BQ107" s="124"/>
      <c r="BR107" s="124"/>
      <c r="BS107" s="125"/>
      <c r="BT107" s="126"/>
      <c r="BU107" s="124"/>
      <c r="BV107" s="124"/>
      <c r="BW107" s="127"/>
      <c r="BX107" s="123"/>
      <c r="BY107" s="124"/>
      <c r="BZ107" s="124"/>
      <c r="CA107" s="124"/>
      <c r="CB107" s="124"/>
      <c r="CC107" s="124"/>
      <c r="CD107" s="124"/>
      <c r="CE107" s="124"/>
      <c r="CF107" s="124"/>
      <c r="CG107" s="124"/>
      <c r="CH107" s="124"/>
      <c r="CI107" s="125"/>
      <c r="CJ107" s="301"/>
      <c r="CK107" s="123"/>
      <c r="CL107" s="131">
        <f>SUM(BJ107:CK107)</f>
      </c>
      <c r="CM107" s="121"/>
      <c r="CN107" s="122"/>
      <c r="CO107" s="123"/>
      <c r="CP107" s="124"/>
      <c r="CQ107" s="124"/>
      <c r="CR107" s="124"/>
      <c r="CS107" s="124"/>
      <c r="CT107" s="124"/>
      <c r="CU107" s="124"/>
      <c r="CV107" s="127"/>
      <c r="CW107" s="123"/>
      <c r="CX107" s="124"/>
      <c r="CY107" s="124"/>
      <c r="CZ107" s="127"/>
      <c r="DA107" s="124"/>
      <c r="DB107" s="124"/>
      <c r="DC107" s="124"/>
      <c r="DD107" s="124"/>
      <c r="DE107" s="124"/>
      <c r="DF107" s="124"/>
      <c r="DG107" s="124"/>
      <c r="DH107" s="124"/>
      <c r="DI107" s="124"/>
      <c r="DJ107" s="124"/>
      <c r="DK107" s="124"/>
      <c r="DL107" s="125"/>
      <c r="DM107" s="301"/>
      <c r="DN107" s="123"/>
      <c r="DO107" s="131">
        <f>SUM(CM107:DN107)</f>
      </c>
      <c r="DP107" s="121"/>
      <c r="DQ107" s="122"/>
      <c r="DR107" s="123"/>
      <c r="DS107" s="124"/>
      <c r="DT107" s="124"/>
      <c r="DU107" s="124"/>
      <c r="DV107" s="124"/>
      <c r="DW107" s="124"/>
      <c r="DX107" s="124"/>
      <c r="DY107" s="125"/>
      <c r="DZ107" s="126"/>
      <c r="EA107" s="124"/>
      <c r="EB107" s="124"/>
      <c r="EC107" s="127"/>
      <c r="ED107" s="123"/>
      <c r="EE107" s="124"/>
      <c r="EF107" s="124"/>
      <c r="EG107" s="124"/>
      <c r="EH107" s="124"/>
      <c r="EI107" s="124"/>
      <c r="EJ107" s="124"/>
      <c r="EK107" s="124"/>
      <c r="EL107" s="124"/>
      <c r="EM107" s="124"/>
      <c r="EN107" s="124"/>
      <c r="EO107" s="125"/>
      <c r="EP107" s="301"/>
      <c r="EQ107" s="123"/>
      <c r="ER107" s="131">
        <f>SUM(DP107:EQ107)</f>
      </c>
      <c r="ES107" s="121"/>
      <c r="ET107" s="122"/>
      <c r="EU107" s="123"/>
      <c r="EV107" s="124"/>
      <c r="EW107" s="124"/>
      <c r="EX107" s="124"/>
      <c r="EY107" s="124"/>
      <c r="EZ107" s="124"/>
      <c r="FA107" s="124"/>
      <c r="FB107" s="125"/>
      <c r="FC107" s="126"/>
      <c r="FD107" s="124"/>
      <c r="FE107" s="124"/>
      <c r="FF107" s="127"/>
      <c r="FG107" s="123"/>
      <c r="FH107" s="124"/>
      <c r="FI107" s="124"/>
      <c r="FJ107" s="124"/>
      <c r="FK107" s="124"/>
      <c r="FL107" s="124"/>
      <c r="FM107" s="124"/>
      <c r="FN107" s="124"/>
      <c r="FO107" s="124"/>
      <c r="FP107" s="124"/>
      <c r="FQ107" s="124"/>
      <c r="FR107" s="125"/>
      <c r="FS107" s="301"/>
      <c r="FT107" s="123"/>
      <c r="FU107" s="131">
        <f>SUM(ES107:FT107)</f>
      </c>
      <c r="FV107" s="121"/>
      <c r="FW107" s="122"/>
      <c r="FX107" s="123"/>
      <c r="FY107" s="124"/>
      <c r="FZ107" s="124"/>
      <c r="GA107" s="124"/>
      <c r="GB107" s="124"/>
      <c r="GC107" s="124"/>
      <c r="GD107" s="124"/>
      <c r="GE107" s="125"/>
      <c r="GF107" s="126"/>
      <c r="GG107" s="124"/>
      <c r="GH107" s="124"/>
      <c r="GI107" s="127"/>
      <c r="GJ107" s="123"/>
      <c r="GK107" s="124"/>
      <c r="GL107" s="124"/>
      <c r="GM107" s="124"/>
      <c r="GN107" s="124"/>
      <c r="GO107" s="124"/>
      <c r="GP107" s="124"/>
      <c r="GQ107" s="124"/>
      <c r="GR107" s="124"/>
      <c r="GS107" s="124"/>
      <c r="GT107" s="124"/>
      <c r="GU107" s="125"/>
      <c r="GV107" s="301"/>
      <c r="GW107" s="123"/>
      <c r="GX107" s="131">
        <f>SUM(FV107:GW107)</f>
      </c>
      <c r="GY107" s="150">
        <f>AF107+BI107+CL107+DO107+ER107+FU107+GX107</f>
      </c>
      <c r="GZ107" s="302">
        <f>(COUNTIF(D107:GX107,"H")+COUNTIF(D107:GX107,"S")+COUNTIF(D107:GX107,"L")+COUNTIF(D107:GX107,"E")+COUNTIF(D107:GX107,"C"))/2</f>
      </c>
      <c r="HA107" s="131">
        <f>GY107+GZ107</f>
      </c>
      <c r="HB107" s="134"/>
      <c r="HC107" s="135"/>
      <c r="HD107" s="136"/>
      <c r="HE107" s="207"/>
      <c r="HF107" s="207"/>
      <c r="HG107" s="24">
        <v>0.5</v>
      </c>
      <c r="HH107" s="24">
        <v>0.5</v>
      </c>
      <c r="HI107" s="24">
        <v>0.5</v>
      </c>
      <c r="HJ107" s="204">
        <v>0.5</v>
      </c>
      <c r="HK107" s="205">
        <v>0.5</v>
      </c>
      <c r="HL107" s="218">
        <v>0.5</v>
      </c>
      <c r="HM107" s="613">
        <v>0.5</v>
      </c>
      <c r="HN107" s="137"/>
      <c r="HO107" s="141"/>
      <c r="HP107" s="204">
        <v>0.5</v>
      </c>
      <c r="HQ107" s="204">
        <v>0.5</v>
      </c>
      <c r="HR107" s="24">
        <v>0.5</v>
      </c>
      <c r="HS107" s="24">
        <v>0.5</v>
      </c>
      <c r="HT107" s="24">
        <v>0.5</v>
      </c>
      <c r="HU107" s="24">
        <v>0.5</v>
      </c>
      <c r="HV107" s="24">
        <v>0.5</v>
      </c>
      <c r="HW107" s="24">
        <v>0.5</v>
      </c>
      <c r="HX107" s="24">
        <v>0.5</v>
      </c>
      <c r="HY107" s="137"/>
      <c r="HZ107" s="137"/>
      <c r="IA107" s="153"/>
      <c r="IB107" s="304"/>
      <c r="IC107" s="136"/>
      <c r="ID107" s="131">
        <f>SUM(HB107:IC107)</f>
      </c>
      <c r="IE107" s="134"/>
      <c r="IF107" s="135"/>
      <c r="IG107" s="136"/>
      <c r="IH107" s="137"/>
      <c r="II107" s="137"/>
      <c r="IJ107" s="143">
        <v>0.5</v>
      </c>
      <c r="IK107" s="143">
        <v>0.5</v>
      </c>
      <c r="IL107" s="143">
        <v>0.5</v>
      </c>
      <c r="IM107" s="138">
        <v>0.5</v>
      </c>
      <c r="IN107" s="139">
        <v>0.5</v>
      </c>
      <c r="IO107" s="140">
        <v>0.5</v>
      </c>
      <c r="IP107" s="138">
        <v>0.5</v>
      </c>
      <c r="IQ107" s="137"/>
      <c r="IR107" s="141"/>
      <c r="IS107" s="142">
        <v>0.5</v>
      </c>
      <c r="IT107" s="138">
        <v>0.5</v>
      </c>
      <c r="IU107" s="143">
        <v>0.5</v>
      </c>
      <c r="IV107" s="143">
        <v>0.5</v>
      </c>
      <c r="IW107" s="143">
        <v>0.5</v>
      </c>
      <c r="IX107" s="143">
        <v>0.5</v>
      </c>
      <c r="IY107" s="143">
        <v>0.5</v>
      </c>
      <c r="IZ107" s="143">
        <v>0.5</v>
      </c>
      <c r="JA107" s="143">
        <v>0.5</v>
      </c>
      <c r="JB107" s="137"/>
      <c r="JC107" s="137"/>
      <c r="JD107" s="153"/>
      <c r="JE107" s="304"/>
      <c r="JF107" s="136"/>
      <c r="JG107" s="131">
        <f>SUM(IE107:JF107)</f>
      </c>
      <c r="JH107" s="134"/>
      <c r="JI107" s="135"/>
      <c r="JJ107" s="136"/>
      <c r="JK107" s="137"/>
      <c r="JL107" s="137"/>
      <c r="JM107" s="220">
        <v>0.5</v>
      </c>
      <c r="JN107" s="220">
        <v>0.5</v>
      </c>
      <c r="JO107" s="220">
        <v>0.5</v>
      </c>
      <c r="JP107" s="216">
        <v>0.5</v>
      </c>
      <c r="JQ107" s="217">
        <v>0.5</v>
      </c>
      <c r="JR107" s="218">
        <v>0.5</v>
      </c>
      <c r="JS107" s="216">
        <v>0.5</v>
      </c>
      <c r="JT107" s="137"/>
      <c r="JU107" s="141"/>
      <c r="JV107" s="219">
        <v>0.5</v>
      </c>
      <c r="JW107" s="216">
        <v>0.5</v>
      </c>
      <c r="JX107" s="220">
        <v>0.5</v>
      </c>
      <c r="JY107" s="220">
        <v>0.5</v>
      </c>
      <c r="JZ107" s="220">
        <v>0.5</v>
      </c>
      <c r="KA107" s="220">
        <v>0.5</v>
      </c>
      <c r="KB107" s="220">
        <v>0.5</v>
      </c>
      <c r="KC107" s="220">
        <v>0.5</v>
      </c>
      <c r="KD107" s="220">
        <v>0.5</v>
      </c>
      <c r="KE107" s="137"/>
      <c r="KF107" s="137"/>
      <c r="KG107" s="153"/>
      <c r="KH107" s="304"/>
      <c r="KI107" s="136"/>
      <c r="KJ107" s="131">
        <f>SUM(JH107:KI107)</f>
      </c>
      <c r="KK107" s="134"/>
      <c r="KL107" s="135"/>
      <c r="KM107" s="136"/>
      <c r="KN107" s="137"/>
      <c r="KO107" s="137"/>
      <c r="KP107" s="143">
        <v>0.5</v>
      </c>
      <c r="KQ107" s="143">
        <v>0.5</v>
      </c>
      <c r="KR107" s="143">
        <v>0.5</v>
      </c>
      <c r="KS107" s="138">
        <v>0.5</v>
      </c>
      <c r="KT107" s="149">
        <v>0.5</v>
      </c>
      <c r="KU107" s="142">
        <v>0.5</v>
      </c>
      <c r="KV107" s="138">
        <v>0.5</v>
      </c>
      <c r="KW107" s="137"/>
      <c r="KX107" s="141"/>
      <c r="KY107" s="138">
        <v>0.5</v>
      </c>
      <c r="KZ107" s="138">
        <v>0.5</v>
      </c>
      <c r="LA107" s="143">
        <v>0.5</v>
      </c>
      <c r="LB107" s="143">
        <v>0.5</v>
      </c>
      <c r="LC107" s="143">
        <v>0.5</v>
      </c>
      <c r="LD107" s="143">
        <v>0.5</v>
      </c>
      <c r="LE107" s="143">
        <v>0.5</v>
      </c>
      <c r="LF107" s="143">
        <v>0.5</v>
      </c>
      <c r="LG107" s="143">
        <v>0.5</v>
      </c>
      <c r="LH107" s="137"/>
      <c r="LI107" s="137"/>
      <c r="LJ107" s="153"/>
      <c r="LK107" s="304"/>
      <c r="LL107" s="136"/>
      <c r="LM107" s="131">
        <f>SUM(KK107:LL107)</f>
      </c>
      <c r="LN107" s="134"/>
      <c r="LO107" s="135"/>
      <c r="LP107" s="136"/>
      <c r="LQ107" s="137"/>
      <c r="LR107" s="137"/>
      <c r="LS107" s="143">
        <v>0.5</v>
      </c>
      <c r="LT107" s="143">
        <v>0.5</v>
      </c>
      <c r="LU107" s="143">
        <v>0.5</v>
      </c>
      <c r="LV107" s="138">
        <v>0.5</v>
      </c>
      <c r="LW107" s="139">
        <v>0.5</v>
      </c>
      <c r="LX107" s="140">
        <v>0.5</v>
      </c>
      <c r="LY107" s="138">
        <v>0.5</v>
      </c>
      <c r="LZ107" s="137"/>
      <c r="MA107" s="141"/>
      <c r="MB107" s="142">
        <v>0.5</v>
      </c>
      <c r="MC107" s="138">
        <v>0.5</v>
      </c>
      <c r="MD107" s="143">
        <v>0.5</v>
      </c>
      <c r="ME107" s="143">
        <v>0.5</v>
      </c>
      <c r="MF107" s="143">
        <v>0.5</v>
      </c>
      <c r="MG107" s="143">
        <v>0.5</v>
      </c>
      <c r="MH107" s="143">
        <v>0.5</v>
      </c>
      <c r="MI107" s="143">
        <v>0.5</v>
      </c>
      <c r="MJ107" s="143">
        <v>0.5</v>
      </c>
      <c r="MK107" s="137"/>
      <c r="ML107" s="137"/>
      <c r="MM107" s="153"/>
      <c r="MN107" s="304"/>
      <c r="MO107" s="136"/>
      <c r="MP107" s="131">
        <f>SUM(LN107:MO107)</f>
      </c>
      <c r="MQ107" s="121"/>
      <c r="MR107" s="122"/>
      <c r="MS107" s="123"/>
      <c r="MT107" s="124"/>
      <c r="MU107" s="124"/>
      <c r="MV107" s="124"/>
      <c r="MW107" s="124"/>
      <c r="MX107" s="124"/>
      <c r="MY107" s="124"/>
      <c r="MZ107" s="125"/>
      <c r="NA107" s="126"/>
      <c r="NB107" s="124"/>
      <c r="NC107" s="124"/>
      <c r="ND107" s="127"/>
      <c r="NE107" s="123"/>
      <c r="NF107" s="124"/>
      <c r="NG107" s="124"/>
      <c r="NH107" s="124"/>
      <c r="NI107" s="124"/>
      <c r="NJ107" s="124"/>
      <c r="NK107" s="124"/>
      <c r="NL107" s="124"/>
      <c r="NM107" s="124"/>
      <c r="NN107" s="124"/>
      <c r="NO107" s="124"/>
      <c r="NP107" s="125"/>
      <c r="NQ107" s="301"/>
      <c r="NR107" s="123"/>
      <c r="NS107" s="131">
        <f>SUM(MQ107:NR107)</f>
      </c>
      <c r="NT107" s="121"/>
      <c r="NU107" s="122"/>
      <c r="NV107" s="123"/>
      <c r="NW107" s="124"/>
      <c r="NX107" s="124"/>
      <c r="NY107" s="124"/>
      <c r="NZ107" s="124"/>
      <c r="OA107" s="124"/>
      <c r="OB107" s="124"/>
      <c r="OC107" s="125"/>
      <c r="OD107" s="126"/>
      <c r="OE107" s="124"/>
      <c r="OF107" s="124"/>
      <c r="OG107" s="127"/>
      <c r="OH107" s="123"/>
      <c r="OI107" s="124"/>
      <c r="OJ107" s="124"/>
      <c r="OK107" s="124"/>
      <c r="OL107" s="124"/>
      <c r="OM107" s="124"/>
      <c r="ON107" s="124"/>
      <c r="OO107" s="124"/>
      <c r="OP107" s="124"/>
      <c r="OQ107" s="124"/>
      <c r="OR107" s="124"/>
      <c r="OS107" s="125"/>
      <c r="OT107" s="301"/>
      <c r="OU107" s="123"/>
      <c r="OV107" s="131">
        <f>SUM(NT107:OU107)</f>
      </c>
      <c r="OW107" s="150">
        <f>ID107+JG107+KJ107+LM107+MP107+NS107+OV107</f>
      </c>
      <c r="OX107" s="302">
        <f>(COUNTIF(HB107:OV107,"H")+COUNTIF(HB107:OV107,"S")+COUNTIF(HB107:OV107,"L")+COUNTIF(HB107:OV107,"E")+COUNTIF(HB107:OV107,"C"))/2</f>
      </c>
      <c r="OY107" s="131">
        <f>OW107+OX107</f>
      </c>
      <c r="OZ107" s="134"/>
      <c r="PA107" s="135"/>
      <c r="PB107" s="298">
        <v>0.5</v>
      </c>
      <c r="PC107" s="212">
        <v>0.5</v>
      </c>
      <c r="PD107" s="212">
        <v>0.5</v>
      </c>
      <c r="PE107" s="212">
        <v>0.5</v>
      </c>
      <c r="PF107" s="212">
        <v>0.5</v>
      </c>
      <c r="PG107" s="212">
        <v>0.5</v>
      </c>
      <c r="PH107" s="212">
        <v>0.5</v>
      </c>
      <c r="PI107" s="213">
        <v>0.5</v>
      </c>
      <c r="PJ107" s="611"/>
      <c r="PK107" s="612"/>
      <c r="PL107" s="212">
        <v>0.5</v>
      </c>
      <c r="PM107" s="297">
        <v>0.5</v>
      </c>
      <c r="PN107" s="298">
        <v>0.5</v>
      </c>
      <c r="PO107" s="212">
        <v>0.5</v>
      </c>
      <c r="PP107" s="212">
        <v>0.5</v>
      </c>
      <c r="PQ107" s="212">
        <v>0.5</v>
      </c>
      <c r="PR107" s="212">
        <v>0.5</v>
      </c>
      <c r="PS107" s="212">
        <v>0.5</v>
      </c>
      <c r="PT107" s="207"/>
      <c r="PU107" s="207"/>
      <c r="PV107" s="207"/>
      <c r="PW107" s="207"/>
      <c r="PX107" s="207"/>
      <c r="PY107" s="209"/>
      <c r="PZ107" s="135"/>
      <c r="QA107" s="136"/>
      <c r="QB107" s="130">
        <f>SUM(OZ107:QA107)</f>
      </c>
      <c r="QC107" s="134"/>
      <c r="QD107" s="135"/>
      <c r="QE107" s="298">
        <v>0.5</v>
      </c>
      <c r="QF107" s="212">
        <v>0.5</v>
      </c>
      <c r="QG107" s="212">
        <v>0.5</v>
      </c>
      <c r="QH107" s="138">
        <v>0.5</v>
      </c>
      <c r="QI107" s="138">
        <v>0.5</v>
      </c>
      <c r="QJ107" s="138">
        <v>0.5</v>
      </c>
      <c r="QK107" s="138">
        <v>0.5</v>
      </c>
      <c r="QL107" s="149">
        <v>0.5</v>
      </c>
      <c r="QM107" s="616"/>
      <c r="QN107" s="148"/>
      <c r="QO107" s="212">
        <v>0.5</v>
      </c>
      <c r="QP107" s="297">
        <v>0.5</v>
      </c>
      <c r="QQ107" s="138">
        <v>0.5</v>
      </c>
      <c r="QR107" s="138">
        <v>0.5</v>
      </c>
      <c r="QS107" s="138">
        <v>0.5</v>
      </c>
      <c r="QT107" s="138">
        <v>0.5</v>
      </c>
      <c r="QU107" s="138">
        <v>0.5</v>
      </c>
      <c r="QV107" s="138">
        <v>0.5</v>
      </c>
      <c r="QW107" s="137"/>
      <c r="QX107" s="137"/>
      <c r="QY107" s="137"/>
      <c r="QZ107" s="207"/>
      <c r="RA107" s="207"/>
      <c r="RB107" s="209"/>
      <c r="RC107" s="135"/>
      <c r="RD107" s="136"/>
      <c r="RE107" s="130">
        <f>SUM(QC107:RD107)</f>
      </c>
      <c r="RF107" s="134"/>
      <c r="RG107" s="135"/>
      <c r="RH107" s="298">
        <v>0.5</v>
      </c>
      <c r="RI107" s="212">
        <v>0.5</v>
      </c>
      <c r="RJ107" s="212">
        <v>0.5</v>
      </c>
      <c r="RK107" s="138">
        <v>0.5</v>
      </c>
      <c r="RL107" s="138">
        <v>0.5</v>
      </c>
      <c r="RM107" s="138">
        <v>0.5</v>
      </c>
      <c r="RN107" s="138">
        <v>0.5</v>
      </c>
      <c r="RO107" s="149">
        <v>0.5</v>
      </c>
      <c r="RP107" s="616"/>
      <c r="RQ107" s="148"/>
      <c r="RR107" s="212">
        <v>0.5</v>
      </c>
      <c r="RS107" s="297">
        <v>0.5</v>
      </c>
      <c r="RT107" s="138">
        <v>0.5</v>
      </c>
      <c r="RU107" s="138">
        <v>0.5</v>
      </c>
      <c r="RV107" s="138">
        <v>0.5</v>
      </c>
      <c r="RW107" s="138">
        <v>0.5</v>
      </c>
      <c r="RX107" s="138">
        <v>0.5</v>
      </c>
      <c r="RY107" s="138">
        <v>0.5</v>
      </c>
      <c r="RZ107" s="137"/>
      <c r="SA107" s="137"/>
      <c r="SB107" s="137"/>
      <c r="SC107" s="207"/>
      <c r="SD107" s="207"/>
      <c r="SE107" s="202"/>
      <c r="SF107" s="135"/>
      <c r="SG107" s="136"/>
      <c r="SH107" s="130">
        <f>SUM(RF107:SG107)</f>
      </c>
      <c r="SI107" s="134"/>
      <c r="SJ107" s="135"/>
      <c r="SK107" s="142">
        <v>0.5</v>
      </c>
      <c r="SL107" s="138">
        <v>0.5</v>
      </c>
      <c r="SM107" s="138">
        <v>0.5</v>
      </c>
      <c r="SN107" s="138">
        <v>0.5</v>
      </c>
      <c r="SO107" s="138">
        <v>0.5</v>
      </c>
      <c r="SP107" s="138">
        <v>0.5</v>
      </c>
      <c r="SQ107" s="138">
        <v>0.5</v>
      </c>
      <c r="SR107" s="139">
        <v>0.5</v>
      </c>
      <c r="SS107" s="147"/>
      <c r="ST107" s="148"/>
      <c r="SU107" s="138">
        <v>0.5</v>
      </c>
      <c r="SV107" s="149">
        <v>0.5</v>
      </c>
      <c r="SW107" s="142">
        <v>0.5</v>
      </c>
      <c r="SX107" s="138">
        <v>0.5</v>
      </c>
      <c r="SY107" s="138">
        <v>0.5</v>
      </c>
      <c r="SZ107" s="138">
        <v>0.5</v>
      </c>
      <c r="TA107" s="138">
        <v>0.5</v>
      </c>
      <c r="TB107" s="138">
        <v>0.5</v>
      </c>
      <c r="TC107" s="137"/>
      <c r="TD107" s="137"/>
      <c r="TE107" s="137"/>
      <c r="TF107" s="137"/>
      <c r="TG107" s="137"/>
      <c r="TH107" s="153"/>
      <c r="TI107" s="304"/>
      <c r="TJ107" s="136"/>
      <c r="TK107" s="130">
        <f>SUM(SI107:TJ107)</f>
      </c>
      <c r="TL107" s="134"/>
      <c r="TM107" s="135"/>
      <c r="TN107" s="298">
        <v>0.5</v>
      </c>
      <c r="TO107" s="212">
        <v>0.5</v>
      </c>
      <c r="TP107" s="212">
        <v>0.5</v>
      </c>
      <c r="TQ107" s="212">
        <v>0.5</v>
      </c>
      <c r="TR107" s="212">
        <v>0.5</v>
      </c>
      <c r="TS107" s="212">
        <v>0.5</v>
      </c>
      <c r="TT107" s="212">
        <v>0.5</v>
      </c>
      <c r="TU107" s="213">
        <v>0.5</v>
      </c>
      <c r="TV107" s="611"/>
      <c r="TW107" s="612"/>
      <c r="TX107" s="212">
        <v>0.5</v>
      </c>
      <c r="TY107" s="297">
        <v>0.5</v>
      </c>
      <c r="TZ107" s="298">
        <v>0.5</v>
      </c>
      <c r="UA107" s="212">
        <v>0.5</v>
      </c>
      <c r="UB107" s="212">
        <v>0.5</v>
      </c>
      <c r="UC107" s="212">
        <v>0.5</v>
      </c>
      <c r="UD107" s="212">
        <v>0.5</v>
      </c>
      <c r="UE107" s="212">
        <v>0.5</v>
      </c>
      <c r="UF107" s="207"/>
      <c r="UG107" s="207"/>
      <c r="UH107" s="207"/>
      <c r="UI107" s="207"/>
      <c r="UJ107" s="207"/>
      <c r="UK107" s="202"/>
      <c r="UL107" s="135"/>
      <c r="UM107" s="136"/>
      <c r="UN107" s="131">
        <f>SUM(TL107:UM107)</f>
      </c>
      <c r="UO107" s="121"/>
      <c r="UP107" s="122"/>
      <c r="UQ107" s="123"/>
      <c r="UR107" s="124"/>
      <c r="US107" s="124"/>
      <c r="UT107" s="124"/>
      <c r="UU107" s="124"/>
      <c r="UV107" s="124"/>
      <c r="UW107" s="124"/>
      <c r="UX107" s="125"/>
      <c r="UY107" s="126"/>
      <c r="UZ107" s="124"/>
      <c r="VA107" s="124"/>
      <c r="VB107" s="127"/>
      <c r="VC107" s="123"/>
      <c r="VD107" s="124"/>
      <c r="VE107" s="124"/>
      <c r="VF107" s="124"/>
      <c r="VG107" s="124"/>
      <c r="VH107" s="124"/>
      <c r="VI107" s="124"/>
      <c r="VJ107" s="124"/>
      <c r="VK107" s="124"/>
      <c r="VL107" s="124"/>
      <c r="VM107" s="124"/>
      <c r="VN107" s="125"/>
      <c r="VO107" s="301"/>
      <c r="VP107" s="123"/>
      <c r="VQ107" s="131">
        <f>SUM(UO107:VP107)</f>
      </c>
      <c r="VR107" s="121"/>
      <c r="VS107" s="122"/>
      <c r="VT107" s="123"/>
      <c r="VU107" s="124"/>
      <c r="VV107" s="124"/>
      <c r="VW107" s="124"/>
      <c r="VX107" s="124"/>
      <c r="VY107" s="124"/>
      <c r="VZ107" s="124"/>
      <c r="WA107" s="125"/>
      <c r="WB107" s="126"/>
      <c r="WC107" s="124"/>
      <c r="WD107" s="124"/>
      <c r="WE107" s="127"/>
      <c r="WF107" s="123"/>
      <c r="WG107" s="124"/>
      <c r="WH107" s="124"/>
      <c r="WI107" s="124"/>
      <c r="WJ107" s="124"/>
      <c r="WK107" s="124"/>
      <c r="WL107" s="124"/>
      <c r="WM107" s="124"/>
      <c r="WN107" s="124"/>
      <c r="WO107" s="124"/>
      <c r="WP107" s="124"/>
      <c r="WQ107" s="125"/>
      <c r="WR107" s="301"/>
      <c r="WS107" s="123"/>
      <c r="WT107" s="131">
        <f>SUM(VR107:WS107)</f>
      </c>
      <c r="WU107" s="150">
        <f>QB107+RE107+SH107+TK107+UN107+VQ107+WT107</f>
      </c>
      <c r="WV107" s="302">
        <f>(COUNTIF(OZ107:WT107,"H")+COUNTIF(OZ107:WT107,"S")+COUNTIF(OZ107:WT107,"L")+COUNTIF(OZ107:WT107,"E")+COUNTIF(OZ107:WT107,"C"))/2</f>
      </c>
      <c r="WW107" s="131">
        <f>WU107+WV107</f>
      </c>
      <c r="WX107" s="134"/>
      <c r="WY107" s="135"/>
      <c r="WZ107" s="136"/>
      <c r="XA107" s="137"/>
      <c r="XB107" s="137"/>
      <c r="XC107" s="137"/>
      <c r="XD107" s="137"/>
      <c r="XE107" s="137"/>
      <c r="XF107" s="137"/>
      <c r="XG107" s="153"/>
      <c r="XH107" s="155"/>
      <c r="XI107" s="137"/>
      <c r="XJ107" s="137"/>
      <c r="XK107" s="141"/>
      <c r="XL107" s="313">
        <v>0.5</v>
      </c>
      <c r="XM107" s="308">
        <v>0.5</v>
      </c>
      <c r="XN107" s="308">
        <v>0.5</v>
      </c>
      <c r="XO107" s="308">
        <v>0.5</v>
      </c>
      <c r="XP107" s="308">
        <v>0.5</v>
      </c>
      <c r="XQ107" s="308">
        <v>0.5</v>
      </c>
      <c r="XR107" s="308">
        <v>0.5</v>
      </c>
      <c r="XS107" s="308">
        <v>0.5</v>
      </c>
      <c r="XT107" s="308">
        <v>0.5</v>
      </c>
      <c r="XU107" s="308">
        <v>0.5</v>
      </c>
      <c r="XV107" s="137"/>
      <c r="XW107" s="146"/>
      <c r="XX107" s="304"/>
      <c r="XY107" s="152"/>
      <c r="XZ107" s="131">
        <f>SUM(WX107:XY107)</f>
      </c>
      <c r="YA107" s="134"/>
      <c r="YB107" s="135"/>
      <c r="YC107" s="313">
        <v>0.5</v>
      </c>
      <c r="YD107" s="308">
        <v>0.5</v>
      </c>
      <c r="YE107" s="308">
        <v>0.5</v>
      </c>
      <c r="YF107" s="308">
        <v>0.5</v>
      </c>
      <c r="YG107" s="308">
        <v>0.5</v>
      </c>
      <c r="YH107" s="308">
        <v>0.5</v>
      </c>
      <c r="YI107" s="308">
        <v>0.5</v>
      </c>
      <c r="YJ107" s="309">
        <v>0.5</v>
      </c>
      <c r="YK107" s="320">
        <v>0.5</v>
      </c>
      <c r="YL107" s="308">
        <v>0.5</v>
      </c>
      <c r="YM107" s="137"/>
      <c r="YN107" s="141"/>
      <c r="YO107" s="313">
        <v>0.5</v>
      </c>
      <c r="YP107" s="308">
        <v>0.5</v>
      </c>
      <c r="YQ107" s="308">
        <v>0.5</v>
      </c>
      <c r="YR107" s="308">
        <v>0.5</v>
      </c>
      <c r="YS107" s="308">
        <v>0.5</v>
      </c>
      <c r="YT107" s="308">
        <v>0.5</v>
      </c>
      <c r="YU107" s="308">
        <v>0.5</v>
      </c>
      <c r="YV107" s="308">
        <v>0.5</v>
      </c>
      <c r="YW107" s="308">
        <v>0.5</v>
      </c>
      <c r="YX107" s="308">
        <v>0.5</v>
      </c>
      <c r="YY107" s="137"/>
      <c r="YZ107" s="146"/>
      <c r="ZA107" s="304"/>
      <c r="ZB107" s="152"/>
      <c r="ZC107" s="131">
        <f>SUM(YA107:ZB107)</f>
      </c>
      <c r="ZD107" s="134"/>
      <c r="ZE107" s="135"/>
      <c r="ZF107" s="313">
        <v>0.5</v>
      </c>
      <c r="ZG107" s="308">
        <v>0.5</v>
      </c>
      <c r="ZH107" s="308">
        <v>0.5</v>
      </c>
      <c r="ZI107" s="308">
        <v>0.5</v>
      </c>
      <c r="ZJ107" s="308">
        <v>0.5</v>
      </c>
      <c r="ZK107" s="308">
        <v>0.5</v>
      </c>
      <c r="ZL107" s="308">
        <v>0.5</v>
      </c>
      <c r="ZM107" s="309">
        <v>0.5</v>
      </c>
      <c r="ZN107" s="320">
        <v>0.5</v>
      </c>
      <c r="ZO107" s="308">
        <v>0.5</v>
      </c>
      <c r="ZP107" s="137"/>
      <c r="ZQ107" s="141"/>
      <c r="ZR107" s="313">
        <v>0.5</v>
      </c>
      <c r="ZS107" s="308">
        <v>0.5</v>
      </c>
      <c r="ZT107" s="308">
        <v>0.5</v>
      </c>
      <c r="ZU107" s="308">
        <v>0.5</v>
      </c>
      <c r="ZV107" s="308">
        <v>0.5</v>
      </c>
      <c r="ZW107" s="308">
        <v>0.5</v>
      </c>
      <c r="ZX107" s="308">
        <v>0.5</v>
      </c>
      <c r="ZY107" s="308">
        <v>0.5</v>
      </c>
      <c r="ZZ107" s="308">
        <v>0.5</v>
      </c>
      <c r="AAA107" s="308">
        <v>0.5</v>
      </c>
      <c r="AAB107" s="137"/>
      <c r="AAC107" s="153"/>
      <c r="AAD107" s="304"/>
      <c r="AAE107" s="152"/>
      <c r="AAF107" s="131">
        <f>SUM(ZD107:AAE107)</f>
      </c>
      <c r="AAG107" s="134"/>
      <c r="AAH107" s="135"/>
      <c r="AAI107" s="313">
        <v>0.5</v>
      </c>
      <c r="AAJ107" s="308">
        <v>0.5</v>
      </c>
      <c r="AAK107" s="308">
        <v>0.5</v>
      </c>
      <c r="AAL107" s="308">
        <v>0.5</v>
      </c>
      <c r="AAM107" s="308">
        <v>0.5</v>
      </c>
      <c r="AAN107" s="308">
        <v>0.5</v>
      </c>
      <c r="AAO107" s="308">
        <v>0.5</v>
      </c>
      <c r="AAP107" s="309">
        <v>0.5</v>
      </c>
      <c r="AAQ107" s="320">
        <v>0.5</v>
      </c>
      <c r="AAR107" s="308">
        <v>0.5</v>
      </c>
      <c r="AAS107" s="308">
        <v>0.5</v>
      </c>
      <c r="AAT107" s="312">
        <v>0.5</v>
      </c>
      <c r="AAU107" s="136"/>
      <c r="AAV107" s="137"/>
      <c r="AAW107" s="137"/>
      <c r="AAX107" s="137"/>
      <c r="AAY107" s="137"/>
      <c r="AAZ107" s="137"/>
      <c r="ABA107" s="137"/>
      <c r="ABB107" s="137"/>
      <c r="ABC107" s="137"/>
      <c r="ABD107" s="137"/>
      <c r="ABE107" s="137"/>
      <c r="ABF107" s="153"/>
      <c r="ABG107" s="304"/>
      <c r="ABH107" s="152"/>
      <c r="ABI107" s="131">
        <f>SUM(AAG107:ABH107)</f>
      </c>
      <c r="ABJ107" s="134"/>
      <c r="ABK107" s="135"/>
      <c r="ABL107" s="136"/>
      <c r="ABM107" s="137"/>
      <c r="ABN107" s="137"/>
      <c r="ABO107" s="143">
        <v>0.5</v>
      </c>
      <c r="ABP107" s="143">
        <v>0.5</v>
      </c>
      <c r="ABQ107" s="143">
        <v>0.5</v>
      </c>
      <c r="ABR107" s="138">
        <v>0.5</v>
      </c>
      <c r="ABS107" s="139">
        <v>0.5</v>
      </c>
      <c r="ABT107" s="140">
        <v>0.5</v>
      </c>
      <c r="ABU107" s="138">
        <v>0.5</v>
      </c>
      <c r="ABV107" s="137"/>
      <c r="ABW107" s="141"/>
      <c r="ABX107" s="142">
        <v>0.5</v>
      </c>
      <c r="ABY107" s="138">
        <v>0.5</v>
      </c>
      <c r="ABZ107" s="143">
        <v>0.5</v>
      </c>
      <c r="ACA107" s="143">
        <v>0.5</v>
      </c>
      <c r="ACB107" s="143">
        <v>0.5</v>
      </c>
      <c r="ACC107" s="143">
        <v>0.5</v>
      </c>
      <c r="ACD107" s="143">
        <v>0.5</v>
      </c>
      <c r="ACE107" s="143">
        <v>0.5</v>
      </c>
      <c r="ACF107" s="143">
        <v>0.5</v>
      </c>
      <c r="ACG107" s="137"/>
      <c r="ACH107" s="137"/>
      <c r="ACI107" s="153"/>
      <c r="ACJ107" s="304"/>
      <c r="ACK107" s="136"/>
      <c r="ACL107" s="131">
        <f>SUM(ABJ107:ACK107)</f>
      </c>
      <c r="ACM107" s="121"/>
      <c r="ACN107" s="122"/>
      <c r="ACO107" s="123"/>
      <c r="ACP107" s="124"/>
      <c r="ACQ107" s="124"/>
      <c r="ACR107" s="124"/>
      <c r="ACS107" s="124"/>
      <c r="ACT107" s="124"/>
      <c r="ACU107" s="124"/>
      <c r="ACV107" s="125"/>
      <c r="ACW107" s="126"/>
      <c r="ACX107" s="124"/>
      <c r="ACY107" s="124"/>
      <c r="ACZ107" s="127"/>
      <c r="ADA107" s="123"/>
      <c r="ADB107" s="124"/>
      <c r="ADC107" s="124"/>
      <c r="ADD107" s="124"/>
      <c r="ADE107" s="124"/>
      <c r="ADF107" s="124"/>
      <c r="ADG107" s="124"/>
      <c r="ADH107" s="124"/>
      <c r="ADI107" s="124"/>
      <c r="ADJ107" s="124"/>
      <c r="ADK107" s="124"/>
      <c r="ADL107" s="125"/>
      <c r="ADM107" s="301"/>
      <c r="ADN107" s="123"/>
      <c r="ADO107" s="131">
        <f>SUM(ACM107:ADN107)</f>
      </c>
      <c r="ADP107" s="121"/>
      <c r="ADQ107" s="122"/>
      <c r="ADR107" s="123"/>
      <c r="ADS107" s="124"/>
      <c r="ADT107" s="124"/>
      <c r="ADU107" s="124"/>
      <c r="ADV107" s="124"/>
      <c r="ADW107" s="124"/>
      <c r="ADX107" s="124"/>
      <c r="ADY107" s="125"/>
      <c r="ADZ107" s="126"/>
      <c r="AEA107" s="124"/>
      <c r="AEB107" s="124"/>
      <c r="AEC107" s="127"/>
      <c r="AED107" s="123"/>
      <c r="AEE107" s="124"/>
      <c r="AEF107" s="124"/>
      <c r="AEG107" s="124"/>
      <c r="AEH107" s="124"/>
      <c r="AEI107" s="124"/>
      <c r="AEJ107" s="124"/>
      <c r="AEK107" s="124"/>
      <c r="AEL107" s="124"/>
      <c r="AEM107" s="124"/>
      <c r="AEN107" s="124"/>
      <c r="AEO107" s="125"/>
      <c r="AEP107" s="301"/>
      <c r="AEQ107" s="123"/>
      <c r="AER107" s="131">
        <f>SUM(ADP107:AEQ107)</f>
      </c>
      <c r="AES107" s="150">
        <f>XZ107+ZC107+AAF107+ABI107+ACL107+ADO107+AER107</f>
      </c>
      <c r="AET107" s="302">
        <f>(COUNTIF(WX107:AER107,"H")+COUNTIF(WX107:AER107,"S")+COUNTIF(WX107:AER107,"L")+COUNTIF(WX107:AER107,"E")+COUNTIF(WX107:AER107,"C"))/2</f>
      </c>
      <c r="AEU107" s="131">
        <f>AES107+AET107</f>
      </c>
      <c r="AEV107" s="134"/>
      <c r="AEW107" s="135"/>
      <c r="AEX107" s="136"/>
      <c r="AEY107" s="137"/>
      <c r="AEZ107" s="137"/>
      <c r="AFA107" s="220">
        <v>0.5</v>
      </c>
      <c r="AFB107" s="220">
        <v>0.5</v>
      </c>
      <c r="AFC107" s="220">
        <v>0.5</v>
      </c>
      <c r="AFD107" s="216">
        <v>0.5</v>
      </c>
      <c r="AFE107" s="217">
        <v>0.5</v>
      </c>
      <c r="AFF107" s="218">
        <v>0.5</v>
      </c>
      <c r="AFG107" s="216">
        <v>0.5</v>
      </c>
      <c r="AFH107" s="137"/>
      <c r="AFI107" s="141"/>
      <c r="AFJ107" s="219">
        <v>0.5</v>
      </c>
      <c r="AFK107" s="216">
        <v>0.5</v>
      </c>
      <c r="AFL107" s="220">
        <v>0.5</v>
      </c>
      <c r="AFM107" s="220">
        <v>0.5</v>
      </c>
      <c r="AFN107" s="220">
        <v>0.5</v>
      </c>
      <c r="AFO107" s="220">
        <v>0.5</v>
      </c>
      <c r="AFP107" s="220">
        <v>0.5</v>
      </c>
      <c r="AFQ107" s="220">
        <v>0.5</v>
      </c>
      <c r="AFR107" s="220">
        <v>0.5</v>
      </c>
      <c r="AFS107" s="137"/>
      <c r="AFT107" s="137"/>
      <c r="AFU107" s="146"/>
      <c r="AFV107" s="304"/>
      <c r="AFW107" s="152"/>
      <c r="AFX107" s="131">
        <f>SUM(AEV107:AFW107)</f>
      </c>
      <c r="AFY107" s="134"/>
      <c r="AFZ107" s="135"/>
      <c r="AGA107" s="136"/>
      <c r="AGB107" s="137"/>
      <c r="AGC107" s="137"/>
      <c r="AGD107" s="143">
        <v>0.5</v>
      </c>
      <c r="AGE107" s="143">
        <v>0.5</v>
      </c>
      <c r="AGF107" s="143">
        <v>0.5</v>
      </c>
      <c r="AGG107" s="138">
        <v>0.5</v>
      </c>
      <c r="AGH107" s="139">
        <v>0.5</v>
      </c>
      <c r="AGI107" s="140">
        <v>0.5</v>
      </c>
      <c r="AGJ107" s="138">
        <v>0.5</v>
      </c>
      <c r="AGK107" s="137"/>
      <c r="AGL107" s="141"/>
      <c r="AGM107" s="142">
        <v>0.5</v>
      </c>
      <c r="AGN107" s="138">
        <v>0.5</v>
      </c>
      <c r="AGO107" s="143">
        <v>0.5</v>
      </c>
      <c r="AGP107" s="143">
        <v>0.5</v>
      </c>
      <c r="AGQ107" s="143">
        <v>0.5</v>
      </c>
      <c r="AGR107" s="143">
        <v>0.5</v>
      </c>
      <c r="AGS107" s="143">
        <v>0.5</v>
      </c>
      <c r="AGT107" s="143">
        <v>0.5</v>
      </c>
      <c r="AGU107" s="143">
        <v>0.5</v>
      </c>
      <c r="AGV107" s="137"/>
      <c r="AGW107" s="137"/>
      <c r="AGX107" s="146"/>
      <c r="AGY107" s="304"/>
      <c r="AGZ107" s="152"/>
      <c r="AHA107" s="131">
        <f>SUM(AFY107:AGZ107)</f>
      </c>
      <c r="AHB107" s="134"/>
      <c r="AHC107" s="135"/>
      <c r="AHD107" s="136"/>
      <c r="AHE107" s="137"/>
      <c r="AHF107" s="137"/>
      <c r="AHG107" s="220">
        <v>0.5</v>
      </c>
      <c r="AHH107" s="220">
        <v>0.5</v>
      </c>
      <c r="AHI107" s="220">
        <v>0.5</v>
      </c>
      <c r="AHJ107" s="216">
        <v>0.5</v>
      </c>
      <c r="AHK107" s="217">
        <v>0.5</v>
      </c>
      <c r="AHL107" s="218">
        <v>0.5</v>
      </c>
      <c r="AHM107" s="216">
        <v>0.5</v>
      </c>
      <c r="AHN107" s="137"/>
      <c r="AHO107" s="141"/>
      <c r="AHP107" s="219">
        <v>0.5</v>
      </c>
      <c r="AHQ107" s="216">
        <v>0.5</v>
      </c>
      <c r="AHR107" s="220">
        <v>0.5</v>
      </c>
      <c r="AHS107" s="220">
        <v>0.5</v>
      </c>
      <c r="AHT107" s="220">
        <v>0.5</v>
      </c>
      <c r="AHU107" s="220">
        <v>0.5</v>
      </c>
      <c r="AHV107" s="220">
        <v>0.5</v>
      </c>
      <c r="AHW107" s="220">
        <v>0.5</v>
      </c>
      <c r="AHX107" s="220">
        <v>0.5</v>
      </c>
      <c r="AHY107" s="137"/>
      <c r="AHZ107" s="137"/>
      <c r="AIA107" s="153"/>
      <c r="AIB107" s="304"/>
      <c r="AIC107" s="152"/>
      <c r="AID107" s="131">
        <f>SUM(AHB107:AIC107)</f>
      </c>
      <c r="AIE107" s="134"/>
      <c r="AIF107" s="135"/>
      <c r="AIG107" s="136"/>
      <c r="AIH107" s="137"/>
      <c r="AII107" s="137"/>
      <c r="AIJ107" s="143">
        <v>0.5</v>
      </c>
      <c r="AIK107" s="143">
        <v>0.5</v>
      </c>
      <c r="AIL107" s="143">
        <v>0.5</v>
      </c>
      <c r="AIM107" s="138">
        <v>0.5</v>
      </c>
      <c r="AIN107" s="139">
        <v>0.5</v>
      </c>
      <c r="AIO107" s="140">
        <v>0.5</v>
      </c>
      <c r="AIP107" s="138">
        <v>0.5</v>
      </c>
      <c r="AIQ107" s="137"/>
      <c r="AIR107" s="141"/>
      <c r="AIS107" s="142">
        <v>0.5</v>
      </c>
      <c r="AIT107" s="138">
        <v>0.5</v>
      </c>
      <c r="AIU107" s="143">
        <v>0.5</v>
      </c>
      <c r="AIV107" s="143">
        <v>0.5</v>
      </c>
      <c r="AIW107" s="143">
        <v>0.5</v>
      </c>
      <c r="AIX107" s="143">
        <v>0.5</v>
      </c>
      <c r="AIY107" s="143">
        <v>0.5</v>
      </c>
      <c r="AIZ107" s="143">
        <v>0.5</v>
      </c>
      <c r="AJA107" s="143">
        <v>0.5</v>
      </c>
      <c r="AJB107" s="137"/>
      <c r="AJC107" s="137"/>
      <c r="AJD107" s="153"/>
      <c r="AJE107" s="304"/>
      <c r="AJF107" s="152"/>
      <c r="AJG107" s="131">
        <f>SUM(AIE107:AJF107)</f>
      </c>
      <c r="AJH107" s="134"/>
      <c r="AJI107" s="135"/>
      <c r="AJJ107" s="136"/>
      <c r="AJK107" s="137"/>
      <c r="AJL107" s="137"/>
      <c r="AJM107" s="143">
        <v>0.5</v>
      </c>
      <c r="AJN107" s="143">
        <v>0.5</v>
      </c>
      <c r="AJO107" s="143">
        <v>0.5</v>
      </c>
      <c r="AJP107" s="138">
        <v>0.5</v>
      </c>
      <c r="AJQ107" s="139">
        <v>0.5</v>
      </c>
      <c r="AJR107" s="140">
        <v>0.5</v>
      </c>
      <c r="AJS107" s="138">
        <v>0.5</v>
      </c>
      <c r="AJT107" s="137"/>
      <c r="AJU107" s="141"/>
      <c r="AJV107" s="142">
        <v>0.5</v>
      </c>
      <c r="AJW107" s="138">
        <v>0.5</v>
      </c>
      <c r="AJX107" s="143">
        <v>0.5</v>
      </c>
      <c r="AJY107" s="143">
        <v>0.5</v>
      </c>
      <c r="AJZ107" s="143">
        <v>0.5</v>
      </c>
      <c r="AKA107" s="143">
        <v>0.5</v>
      </c>
      <c r="AKB107" s="143">
        <v>0.5</v>
      </c>
      <c r="AKC107" s="143">
        <v>0.5</v>
      </c>
      <c r="AKD107" s="143">
        <v>0.5</v>
      </c>
      <c r="AKE107" s="137"/>
      <c r="AKF107" s="137"/>
      <c r="AKG107" s="153"/>
      <c r="AKH107" s="304"/>
      <c r="AKI107" s="136"/>
      <c r="AKJ107" s="131">
        <f>SUM(AJH107:AKI107)</f>
      </c>
      <c r="AKK107" s="121"/>
      <c r="AKL107" s="122"/>
      <c r="AKM107" s="123"/>
      <c r="AKN107" s="124"/>
      <c r="AKO107" s="124"/>
      <c r="AKP107" s="124"/>
      <c r="AKQ107" s="124"/>
      <c r="AKR107" s="124"/>
      <c r="AKS107" s="124"/>
      <c r="AKT107" s="125"/>
      <c r="AKU107" s="126"/>
      <c r="AKV107" s="124"/>
      <c r="AKW107" s="124"/>
      <c r="AKX107" s="127"/>
      <c r="AKY107" s="123"/>
      <c r="AKZ107" s="124"/>
      <c r="ALA107" s="124"/>
      <c r="ALB107" s="124"/>
      <c r="ALC107" s="124"/>
      <c r="ALD107" s="124"/>
      <c r="ALE107" s="124"/>
      <c r="ALF107" s="124"/>
      <c r="ALG107" s="124"/>
      <c r="ALH107" s="124"/>
      <c r="ALI107" s="124"/>
      <c r="ALJ107" s="125"/>
      <c r="ALK107" s="301"/>
      <c r="ALL107" s="123"/>
      <c r="ALM107" s="131">
        <f>SUM(AKK107:ALL107)</f>
      </c>
      <c r="ALN107" s="121"/>
      <c r="ALO107" s="122"/>
      <c r="ALP107" s="123"/>
      <c r="ALQ107" s="124"/>
      <c r="ALR107" s="124"/>
      <c r="ALS107" s="124"/>
      <c r="ALT107" s="124"/>
      <c r="ALU107" s="124"/>
      <c r="ALV107" s="124"/>
      <c r="ALW107" s="125"/>
      <c r="ALX107" s="126"/>
      <c r="ALY107" s="124"/>
      <c r="ALZ107" s="124"/>
      <c r="AMA107" s="127"/>
      <c r="AMB107" s="123"/>
      <c r="AMC107" s="124"/>
      <c r="AMD107" s="124"/>
      <c r="AME107" s="124"/>
      <c r="AMF107" s="124"/>
      <c r="AMG107" s="124"/>
      <c r="AMH107" s="124"/>
      <c r="AMI107" s="124"/>
      <c r="AMJ107" s="124"/>
      <c r="AMK107" s="124"/>
      <c r="AML107" s="124"/>
      <c r="AMM107" s="125"/>
      <c r="AMN107" s="301"/>
      <c r="AMO107" s="123"/>
      <c r="AMP107" s="131">
        <f>SUM(ALN107:AMO107)</f>
      </c>
      <c r="AMQ107" s="150">
        <f>AFX107+AHA107+AID107+AJG107+AKJ107+ALM107+AMP107</f>
      </c>
      <c r="AMR107" s="302">
        <f>(COUNTIF(AEV107:AMP107,"H")+COUNTIF(AEV107:AMP107,"S")+COUNTIF(AEV107:AMP107,"L")+COUNTIF(AEV107:AMP107,"E")+COUNTIF(AEV107:AMP107,"C"))/2</f>
      </c>
      <c r="AMS107" s="131">
        <f>AMQ107+AMR107</f>
      </c>
      <c r="AMT107" s="4"/>
      <c r="AMU107" s="4"/>
      <c r="AMV107" s="4"/>
      <c r="AMW107" s="4"/>
      <c r="AMX107" s="4"/>
      <c r="AMY107" s="4"/>
      <c r="AMZ107" s="4"/>
      <c r="ANA107" s="4"/>
      <c r="ANB107" s="4"/>
      <c r="ANC107" s="4"/>
      <c r="AND107" s="4"/>
      <c r="ANE107" s="4"/>
      <c r="ANF107" s="4"/>
      <c r="ANG107" s="4"/>
      <c r="ANH107" s="4"/>
      <c r="ANI107" s="4"/>
      <c r="ANJ107" s="4"/>
      <c r="ANK107" s="4"/>
      <c r="ANL107" s="4"/>
      <c r="ANM107" s="4"/>
      <c r="ANN107" s="4"/>
      <c r="ANO107" s="4"/>
      <c r="ANP107" s="4"/>
      <c r="ANQ107" s="4"/>
      <c r="ANR107" s="4"/>
      <c r="ANS107" s="4"/>
      <c r="ANT107" s="4"/>
      <c r="ANU107" s="4"/>
      <c r="ANV107" s="4"/>
      <c r="ANW107" s="4"/>
      <c r="ANX107" s="4"/>
      <c r="ANY107" s="4"/>
      <c r="ANZ107" s="4"/>
      <c r="AOA107" s="4"/>
      <c r="AOB107" s="4"/>
      <c r="AOC107" s="4"/>
      <c r="AOD107" s="4"/>
      <c r="AOE107" s="4"/>
      <c r="AOF107" s="4"/>
      <c r="AOG107" s="4"/>
      <c r="AOH107" s="4"/>
      <c r="AOI107" s="4"/>
      <c r="AOJ107" s="4"/>
      <c r="AOK107" s="4"/>
      <c r="AOL107" s="4"/>
      <c r="AOM107" s="4"/>
      <c r="AON107" s="4"/>
      <c r="AOO107" s="4"/>
      <c r="AOP107" s="4"/>
      <c r="AOQ107" s="4"/>
      <c r="AOR107" s="4"/>
      <c r="AOS107" s="4"/>
      <c r="AOT107" s="4"/>
      <c r="AOU107" s="4"/>
      <c r="AOV107" s="4"/>
      <c r="AOW107" s="4"/>
      <c r="AOX107" s="4"/>
      <c r="AOY107" s="4"/>
      <c r="AOZ107" s="4"/>
      <c r="APA107" s="4"/>
      <c r="APB107" s="4"/>
      <c r="APC107" s="4"/>
      <c r="APD107" s="4"/>
      <c r="APE107" s="4"/>
      <c r="APF107" s="4"/>
      <c r="APG107" s="4"/>
      <c r="APH107" s="4"/>
      <c r="API107" s="4"/>
      <c r="APJ107" s="4"/>
      <c r="APK107" s="4"/>
      <c r="APL107" s="4"/>
      <c r="APM107" s="4"/>
      <c r="APN107" s="4"/>
      <c r="APO107" s="4"/>
      <c r="APP107" s="4"/>
      <c r="APQ107" s="4"/>
      <c r="APR107" s="4"/>
      <c r="APS107" s="4"/>
      <c r="APT107" s="4"/>
      <c r="APU107" s="4"/>
      <c r="APV107" s="4"/>
      <c r="APW107" s="4"/>
      <c r="APX107" s="4"/>
      <c r="APY107" s="4"/>
      <c r="APZ107" s="4"/>
      <c r="AQA107" s="4"/>
      <c r="AQB107" s="4"/>
      <c r="AQC107" s="4"/>
      <c r="AQD107" s="4"/>
      <c r="AQE107" s="4"/>
      <c r="AQF107" s="4"/>
      <c r="AQG107" s="4"/>
      <c r="AQH107" s="4"/>
      <c r="AQI107" s="4"/>
      <c r="AQJ107" s="4"/>
      <c r="AQK107" s="4"/>
      <c r="AQL107" s="4"/>
      <c r="AQM107" s="4"/>
      <c r="AQN107" s="4"/>
      <c r="AQO107" s="4"/>
      <c r="AQP107" s="4"/>
      <c r="AQQ107" s="4"/>
      <c r="AQR107" s="4"/>
      <c r="AQS107" s="4"/>
      <c r="AQT107" s="4"/>
      <c r="AQU107" s="4"/>
      <c r="AQV107" s="4"/>
      <c r="AQW107" s="4"/>
      <c r="AQX107" s="4"/>
      <c r="AQY107" s="4"/>
      <c r="AQZ107" s="4"/>
      <c r="ARA107" s="4"/>
      <c r="ARB107" s="4"/>
      <c r="ARC107" s="4"/>
      <c r="ARD107" s="4"/>
      <c r="ARE107" s="4"/>
      <c r="ARF107" s="4"/>
      <c r="ARG107" s="4"/>
      <c r="ARH107" s="4"/>
      <c r="ARI107" s="4"/>
      <c r="ARJ107" s="4"/>
      <c r="ARK107" s="4"/>
      <c r="ARL107" s="4"/>
      <c r="ARM107" s="4"/>
      <c r="ARN107" s="4"/>
      <c r="ARO107" s="4"/>
      <c r="ARP107" s="4"/>
      <c r="ARQ107" s="4"/>
      <c r="ARR107" s="4"/>
      <c r="ARS107" s="4"/>
      <c r="ART107" s="4"/>
      <c r="ARU107" s="4"/>
      <c r="ARV107" s="4"/>
      <c r="ARW107" s="4"/>
      <c r="ARX107" s="4"/>
      <c r="ARY107" s="4"/>
      <c r="ARZ107" s="4"/>
      <c r="ASA107" s="4"/>
      <c r="ASB107" s="4"/>
      <c r="ASC107" s="4"/>
      <c r="ASD107" s="4"/>
      <c r="ASE107" s="4"/>
      <c r="ASF107" s="4"/>
      <c r="ASG107" s="4"/>
      <c r="ASH107" s="4"/>
      <c r="ASI107" s="4"/>
      <c r="ASJ107" s="4"/>
      <c r="ASK107" s="4"/>
      <c r="ASL107" s="4"/>
      <c r="ASM107" s="4"/>
      <c r="ASN107" s="4"/>
      <c r="ASO107" s="4"/>
      <c r="ASP107" s="4"/>
      <c r="ASQ107" s="4"/>
      <c r="ASR107" s="4"/>
      <c r="ASS107" s="4"/>
      <c r="AST107" s="4"/>
      <c r="ASU107" s="4"/>
    </row>
    <row r="108" ht="15" customHeight="1" spans="1:1191" x14ac:dyDescent="0.25">
      <c r="A108" s="118"/>
      <c r="B108" s="367" t="s">
        <v>144</v>
      </c>
      <c r="C108" s="289" t="s">
        <v>55</v>
      </c>
      <c r="D108" s="121"/>
      <c r="E108" s="122"/>
      <c r="F108" s="196"/>
      <c r="G108" s="196"/>
      <c r="H108" s="196"/>
      <c r="I108" s="196"/>
      <c r="J108" s="196"/>
      <c r="K108" s="196"/>
      <c r="L108" s="196"/>
      <c r="M108" s="196"/>
      <c r="N108" s="126"/>
      <c r="O108" s="124"/>
      <c r="P108" s="196"/>
      <c r="Q108" s="127"/>
      <c r="R108" s="196"/>
      <c r="S108" s="196"/>
      <c r="T108" s="196"/>
      <c r="U108" s="196"/>
      <c r="V108" s="196"/>
      <c r="W108" s="196"/>
      <c r="X108" s="196"/>
      <c r="Y108" s="196"/>
      <c r="Z108" s="124"/>
      <c r="AA108" s="124"/>
      <c r="AB108" s="124"/>
      <c r="AC108" s="125"/>
      <c r="AD108" s="301"/>
      <c r="AE108" s="151"/>
      <c r="AF108" s="131">
        <f>SUM(D108:AE108)</f>
      </c>
      <c r="AG108" s="121"/>
      <c r="AH108" s="122"/>
      <c r="AI108" s="123"/>
      <c r="AJ108" s="124"/>
      <c r="AK108" s="124"/>
      <c r="AL108" s="124"/>
      <c r="AM108" s="124"/>
      <c r="AN108" s="124"/>
      <c r="AO108" s="124"/>
      <c r="AP108" s="125"/>
      <c r="AQ108" s="126"/>
      <c r="AR108" s="124"/>
      <c r="AS108" s="124"/>
      <c r="AT108" s="127"/>
      <c r="AU108" s="123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5"/>
      <c r="BG108" s="301"/>
      <c r="BH108" s="151"/>
      <c r="BI108" s="131">
        <f>SUM(AG108:BH108)</f>
      </c>
      <c r="BJ108" s="121"/>
      <c r="BK108" s="122"/>
      <c r="BL108" s="123"/>
      <c r="BM108" s="124"/>
      <c r="BN108" s="124"/>
      <c r="BO108" s="124"/>
      <c r="BP108" s="124"/>
      <c r="BQ108" s="124"/>
      <c r="BR108" s="124"/>
      <c r="BS108" s="125"/>
      <c r="BT108" s="126"/>
      <c r="BU108" s="124"/>
      <c r="BV108" s="124"/>
      <c r="BW108" s="127"/>
      <c r="BX108" s="123"/>
      <c r="BY108" s="124"/>
      <c r="BZ108" s="124"/>
      <c r="CA108" s="124"/>
      <c r="CB108" s="124"/>
      <c r="CC108" s="124"/>
      <c r="CD108" s="124"/>
      <c r="CE108" s="124"/>
      <c r="CF108" s="124"/>
      <c r="CG108" s="124"/>
      <c r="CH108" s="124"/>
      <c r="CI108" s="125"/>
      <c r="CJ108" s="301"/>
      <c r="CK108" s="123"/>
      <c r="CL108" s="131">
        <f>SUM(BJ108:CK108)</f>
      </c>
      <c r="CM108" s="121"/>
      <c r="CN108" s="122"/>
      <c r="CO108" s="196"/>
      <c r="CP108" s="196"/>
      <c r="CQ108" s="196"/>
      <c r="CR108" s="196"/>
      <c r="CS108" s="196"/>
      <c r="CT108" s="196"/>
      <c r="CU108" s="196"/>
      <c r="CV108" s="196"/>
      <c r="CW108" s="126"/>
      <c r="CX108" s="124"/>
      <c r="CY108" s="196"/>
      <c r="CZ108" s="127"/>
      <c r="DA108" s="196"/>
      <c r="DB108" s="196"/>
      <c r="DC108" s="196"/>
      <c r="DD108" s="196"/>
      <c r="DE108" s="196"/>
      <c r="DF108" s="196"/>
      <c r="DG108" s="196"/>
      <c r="DH108" s="196"/>
      <c r="DI108" s="124"/>
      <c r="DJ108" s="124"/>
      <c r="DK108" s="124"/>
      <c r="DL108" s="125"/>
      <c r="DM108" s="301"/>
      <c r="DN108" s="151"/>
      <c r="DO108" s="131">
        <f>SUM(CM108:DN108)</f>
      </c>
      <c r="DP108" s="121"/>
      <c r="DQ108" s="122"/>
      <c r="DR108" s="196"/>
      <c r="DS108" s="196"/>
      <c r="DT108" s="196"/>
      <c r="DU108" s="196"/>
      <c r="DV108" s="196"/>
      <c r="DW108" s="196"/>
      <c r="DX108" s="196"/>
      <c r="DY108" s="196"/>
      <c r="DZ108" s="126"/>
      <c r="EA108" s="124"/>
      <c r="EB108" s="124"/>
      <c r="EC108" s="127"/>
      <c r="ED108" s="123"/>
      <c r="EE108" s="124"/>
      <c r="EF108" s="124"/>
      <c r="EG108" s="124"/>
      <c r="EH108" s="124"/>
      <c r="EI108" s="124"/>
      <c r="EJ108" s="124"/>
      <c r="EK108" s="124"/>
      <c r="EL108" s="124"/>
      <c r="EM108" s="124"/>
      <c r="EN108" s="124"/>
      <c r="EO108" s="125"/>
      <c r="EP108" s="301"/>
      <c r="EQ108" s="151"/>
      <c r="ER108" s="130">
        <f>SUM(DP108:EQ108)</f>
      </c>
      <c r="ES108" s="121"/>
      <c r="ET108" s="122"/>
      <c r="EU108" s="292"/>
      <c r="EV108" s="196"/>
      <c r="EW108" s="196"/>
      <c r="EX108" s="196"/>
      <c r="EY108" s="196"/>
      <c r="EZ108" s="196"/>
      <c r="FA108" s="196"/>
      <c r="FB108" s="195"/>
      <c r="FC108" s="197"/>
      <c r="FD108" s="196"/>
      <c r="FE108" s="196"/>
      <c r="FF108" s="198"/>
      <c r="FG108" s="292"/>
      <c r="FH108" s="196"/>
      <c r="FI108" s="196"/>
      <c r="FJ108" s="196"/>
      <c r="FK108" s="196"/>
      <c r="FL108" s="196"/>
      <c r="FM108" s="196"/>
      <c r="FN108" s="196"/>
      <c r="FO108" s="196"/>
      <c r="FP108" s="196"/>
      <c r="FQ108" s="196"/>
      <c r="FR108" s="195"/>
      <c r="FS108" s="122"/>
      <c r="FT108" s="123"/>
      <c r="FU108" s="130">
        <f>SUM(ES108:FT108)</f>
      </c>
      <c r="FV108" s="121"/>
      <c r="FW108" s="122"/>
      <c r="FX108" s="292"/>
      <c r="FY108" s="196"/>
      <c r="FZ108" s="196"/>
      <c r="GA108" s="196"/>
      <c r="GB108" s="196"/>
      <c r="GC108" s="196"/>
      <c r="GD108" s="196"/>
      <c r="GE108" s="195"/>
      <c r="GF108" s="197"/>
      <c r="GG108" s="196"/>
      <c r="GH108" s="196"/>
      <c r="GI108" s="198"/>
      <c r="GJ108" s="292"/>
      <c r="GK108" s="196"/>
      <c r="GL108" s="196"/>
      <c r="GM108" s="196"/>
      <c r="GN108" s="196"/>
      <c r="GO108" s="196"/>
      <c r="GP108" s="196"/>
      <c r="GQ108" s="196"/>
      <c r="GR108" s="196"/>
      <c r="GS108" s="196"/>
      <c r="GT108" s="196"/>
      <c r="GU108" s="195"/>
      <c r="GV108" s="122"/>
      <c r="GW108" s="123"/>
      <c r="GX108" s="130">
        <f>SUM(FV108:GW108)</f>
      </c>
      <c r="GY108" s="132">
        <f>AF108+BI108+CL108+DO108+ER108+FU108+GX108</f>
      </c>
      <c r="GZ108" s="133">
        <f>(COUNTIF(D108:GX108,"H")+COUNTIF(D108:GX108,"S")+COUNTIF(D108:GX108,"L")+COUNTIF(D108:GX108,"E")+COUNTIF(D108:GX108,"C"))/2</f>
      </c>
      <c r="HA108" s="130">
        <f>GY108+GZ108</f>
      </c>
      <c r="HB108" s="134"/>
      <c r="HC108" s="135"/>
      <c r="HD108" s="24">
        <v>0.5</v>
      </c>
      <c r="HE108" s="24">
        <v>0.5</v>
      </c>
      <c r="HF108" s="24">
        <v>0.5</v>
      </c>
      <c r="HG108" s="24">
        <v>0.5</v>
      </c>
      <c r="HH108" s="24">
        <v>0.5</v>
      </c>
      <c r="HI108" s="24">
        <v>0.5</v>
      </c>
      <c r="HJ108" s="24">
        <v>0.5</v>
      </c>
      <c r="HK108" s="24">
        <v>0.5</v>
      </c>
      <c r="HL108" s="147"/>
      <c r="HM108" s="148"/>
      <c r="HN108" s="24">
        <v>0.5</v>
      </c>
      <c r="HO108" s="429">
        <v>0.5</v>
      </c>
      <c r="HP108" s="24">
        <v>0.5</v>
      </c>
      <c r="HQ108" s="24">
        <v>0.5</v>
      </c>
      <c r="HR108" s="24">
        <v>0.5</v>
      </c>
      <c r="HS108" s="24">
        <v>0.5</v>
      </c>
      <c r="HT108" s="24">
        <v>0.5</v>
      </c>
      <c r="HU108" s="24">
        <v>0.5</v>
      </c>
      <c r="HV108" s="24">
        <v>0.5</v>
      </c>
      <c r="HW108" s="24">
        <v>0.5</v>
      </c>
      <c r="HX108" s="137"/>
      <c r="HY108" s="137"/>
      <c r="HZ108" s="137"/>
      <c r="IA108" s="153"/>
      <c r="IB108" s="304"/>
      <c r="IC108" s="152"/>
      <c r="ID108" s="131">
        <f>SUM(HB108:IC108)</f>
      </c>
      <c r="IE108" s="134"/>
      <c r="IF108" s="135"/>
      <c r="IG108" s="339">
        <v>0.5</v>
      </c>
      <c r="IH108" s="143">
        <v>0.5</v>
      </c>
      <c r="II108" s="143">
        <v>0.5</v>
      </c>
      <c r="IJ108" s="143">
        <v>0.5</v>
      </c>
      <c r="IK108" s="143">
        <v>0.5</v>
      </c>
      <c r="IL108" s="143">
        <v>0.5</v>
      </c>
      <c r="IM108" s="143">
        <v>0.5</v>
      </c>
      <c r="IN108" s="154">
        <v>0.5</v>
      </c>
      <c r="IO108" s="147"/>
      <c r="IP108" s="148"/>
      <c r="IQ108" s="138">
        <v>0.5</v>
      </c>
      <c r="IR108" s="149">
        <v>0.5</v>
      </c>
      <c r="IS108" s="339">
        <v>0.5</v>
      </c>
      <c r="IT108" s="143">
        <v>0.5</v>
      </c>
      <c r="IU108" s="143">
        <v>0.5</v>
      </c>
      <c r="IV108" s="143">
        <v>0.5</v>
      </c>
      <c r="IW108" s="143">
        <v>0.5</v>
      </c>
      <c r="IX108" s="143">
        <v>0.5</v>
      </c>
      <c r="IY108" s="143">
        <v>0.5</v>
      </c>
      <c r="IZ108" s="143">
        <v>0.5</v>
      </c>
      <c r="JA108" s="137"/>
      <c r="JB108" s="137"/>
      <c r="JC108" s="137"/>
      <c r="JD108" s="153"/>
      <c r="JE108" s="304"/>
      <c r="JF108" s="152"/>
      <c r="JG108" s="131">
        <f>SUM(IE108:JF108)</f>
      </c>
      <c r="JH108" s="134"/>
      <c r="JI108" s="135"/>
      <c r="JJ108" s="339">
        <v>0.5</v>
      </c>
      <c r="JK108" s="143">
        <v>0.5</v>
      </c>
      <c r="JL108" s="143">
        <v>0.5</v>
      </c>
      <c r="JM108" s="143">
        <v>0.5</v>
      </c>
      <c r="JN108" s="143">
        <v>0.5</v>
      </c>
      <c r="JO108" s="143">
        <v>0.5</v>
      </c>
      <c r="JP108" s="143">
        <v>0.5</v>
      </c>
      <c r="JQ108" s="154">
        <v>0.5</v>
      </c>
      <c r="JR108" s="147"/>
      <c r="JS108" s="148"/>
      <c r="JT108" s="138">
        <v>0.5</v>
      </c>
      <c r="JU108" s="149">
        <v>0.5</v>
      </c>
      <c r="JV108" s="339">
        <v>0.5</v>
      </c>
      <c r="JW108" s="143">
        <v>0.5</v>
      </c>
      <c r="JX108" s="143">
        <v>0.5</v>
      </c>
      <c r="JY108" s="143">
        <v>0.5</v>
      </c>
      <c r="JZ108" s="143">
        <v>0.5</v>
      </c>
      <c r="KA108" s="143">
        <v>0.5</v>
      </c>
      <c r="KB108" s="143">
        <v>0.5</v>
      </c>
      <c r="KC108" s="143">
        <v>0.5</v>
      </c>
      <c r="KD108" s="137"/>
      <c r="KE108" s="137"/>
      <c r="KF108" s="137"/>
      <c r="KG108" s="153"/>
      <c r="KH108" s="304"/>
      <c r="KI108" s="152"/>
      <c r="KJ108" s="131">
        <f>SUM(JH108:KI108)</f>
      </c>
      <c r="KK108" s="134"/>
      <c r="KL108" s="135"/>
      <c r="KM108" s="24">
        <v>0.5</v>
      </c>
      <c r="KN108" s="24">
        <v>0.5</v>
      </c>
      <c r="KO108" s="24">
        <v>0.5</v>
      </c>
      <c r="KP108" s="24">
        <v>0.5</v>
      </c>
      <c r="KQ108" s="24">
        <v>0.5</v>
      </c>
      <c r="KR108" s="24">
        <v>0.5</v>
      </c>
      <c r="KS108" s="24">
        <v>0.5</v>
      </c>
      <c r="KT108" s="24">
        <v>0.5</v>
      </c>
      <c r="KU108" s="147"/>
      <c r="KV108" s="148"/>
      <c r="KW108" s="24">
        <v>0.5</v>
      </c>
      <c r="KX108" s="429">
        <v>0.5</v>
      </c>
      <c r="KY108" s="24">
        <v>0.5</v>
      </c>
      <c r="KZ108" s="24">
        <v>0.5</v>
      </c>
      <c r="LA108" s="24">
        <v>0.5</v>
      </c>
      <c r="LB108" s="24">
        <v>0.5</v>
      </c>
      <c r="LC108" s="24">
        <v>0.5</v>
      </c>
      <c r="LD108" s="24">
        <v>0.5</v>
      </c>
      <c r="LE108" s="24">
        <v>0.5</v>
      </c>
      <c r="LF108" s="24">
        <v>0.5</v>
      </c>
      <c r="LG108" s="137"/>
      <c r="LH108" s="137"/>
      <c r="LI108" s="137"/>
      <c r="LJ108" s="153"/>
      <c r="LK108" s="304"/>
      <c r="LL108" s="152"/>
      <c r="LM108" s="131">
        <f>SUM(KK108:LL108)</f>
      </c>
      <c r="LN108" s="134"/>
      <c r="LO108" s="135"/>
      <c r="LP108" s="24">
        <v>0.5</v>
      </c>
      <c r="LQ108" s="24">
        <v>0.5</v>
      </c>
      <c r="LR108" s="24">
        <v>0.5</v>
      </c>
      <c r="LS108" s="24">
        <v>0.5</v>
      </c>
      <c r="LT108" s="24">
        <v>0.5</v>
      </c>
      <c r="LU108" s="24">
        <v>0.5</v>
      </c>
      <c r="LV108" s="24">
        <v>0.5</v>
      </c>
      <c r="LW108" s="24">
        <v>0.5</v>
      </c>
      <c r="LX108" s="155"/>
      <c r="LY108" s="137"/>
      <c r="LZ108" s="137"/>
      <c r="MA108" s="141"/>
      <c r="MB108" s="136"/>
      <c r="MC108" s="137"/>
      <c r="MD108" s="137"/>
      <c r="ME108" s="137"/>
      <c r="MF108" s="137"/>
      <c r="MG108" s="137"/>
      <c r="MH108" s="137"/>
      <c r="MI108" s="137"/>
      <c r="MJ108" s="137"/>
      <c r="MK108" s="137"/>
      <c r="ML108" s="137"/>
      <c r="MM108" s="153"/>
      <c r="MN108" s="304"/>
      <c r="MO108" s="152"/>
      <c r="MP108" s="130">
        <f>SUM(LN108:MO108)</f>
      </c>
      <c r="MQ108" s="121"/>
      <c r="MR108" s="122"/>
      <c r="MS108" s="292"/>
      <c r="MT108" s="196"/>
      <c r="MU108" s="196"/>
      <c r="MV108" s="196"/>
      <c r="MW108" s="196"/>
      <c r="MX108" s="196"/>
      <c r="MY108" s="196"/>
      <c r="MZ108" s="195"/>
      <c r="NA108" s="197"/>
      <c r="NB108" s="196"/>
      <c r="NC108" s="196"/>
      <c r="ND108" s="198"/>
      <c r="NE108" s="292"/>
      <c r="NF108" s="196"/>
      <c r="NG108" s="196"/>
      <c r="NH108" s="196"/>
      <c r="NI108" s="196"/>
      <c r="NJ108" s="196"/>
      <c r="NK108" s="196"/>
      <c r="NL108" s="196"/>
      <c r="NM108" s="196"/>
      <c r="NN108" s="196"/>
      <c r="NO108" s="196"/>
      <c r="NP108" s="195"/>
      <c r="NQ108" s="122"/>
      <c r="NR108" s="123"/>
      <c r="NS108" s="130">
        <f>SUM(MQ108:NR108)</f>
      </c>
      <c r="NT108" s="121"/>
      <c r="NU108" s="122"/>
      <c r="NV108" s="292"/>
      <c r="NW108" s="196"/>
      <c r="NX108" s="196"/>
      <c r="NY108" s="196"/>
      <c r="NZ108" s="196"/>
      <c r="OA108" s="196"/>
      <c r="OB108" s="196"/>
      <c r="OC108" s="195"/>
      <c r="OD108" s="197"/>
      <c r="OE108" s="196"/>
      <c r="OF108" s="196"/>
      <c r="OG108" s="198"/>
      <c r="OH108" s="292"/>
      <c r="OI108" s="196"/>
      <c r="OJ108" s="196"/>
      <c r="OK108" s="196"/>
      <c r="OL108" s="196"/>
      <c r="OM108" s="196"/>
      <c r="ON108" s="196"/>
      <c r="OO108" s="196"/>
      <c r="OP108" s="196"/>
      <c r="OQ108" s="196"/>
      <c r="OR108" s="196"/>
      <c r="OS108" s="195"/>
      <c r="OT108" s="122"/>
      <c r="OU108" s="123"/>
      <c r="OV108" s="130">
        <f>SUM(NT108:OU108)</f>
      </c>
      <c r="OW108" s="132">
        <f>ID108+JG108+KJ108+LM108+MP108+NS108+OV108</f>
      </c>
      <c r="OX108" s="133">
        <f>(COUNTIF(HB108:OV108,"H")+COUNTIF(HB108:OV108,"S")+COUNTIF(HB108:OV108,"L")+COUNTIF(HB108:OV108,"E")+COUNTIF(HB108:OV108,"C"))/2</f>
      </c>
      <c r="OY108" s="130">
        <f>OW108+OX108</f>
      </c>
      <c r="OZ108" s="134"/>
      <c r="PA108" s="135"/>
      <c r="PB108" s="24">
        <v>0.5</v>
      </c>
      <c r="PC108" s="24">
        <v>0.5</v>
      </c>
      <c r="PD108" s="24">
        <v>0.5</v>
      </c>
      <c r="PE108" s="24">
        <v>0.5</v>
      </c>
      <c r="PF108" s="24">
        <v>0.5</v>
      </c>
      <c r="PG108" s="24">
        <v>0.5</v>
      </c>
      <c r="PH108" s="24">
        <v>0.5</v>
      </c>
      <c r="PI108" s="24">
        <v>0.5</v>
      </c>
      <c r="PJ108" s="611"/>
      <c r="PK108" s="612"/>
      <c r="PL108" s="24">
        <v>0.5</v>
      </c>
      <c r="PM108" s="617">
        <v>0.5</v>
      </c>
      <c r="PN108" s="24">
        <v>0.5</v>
      </c>
      <c r="PO108" s="24">
        <v>0.5</v>
      </c>
      <c r="PP108" s="24">
        <v>0.5</v>
      </c>
      <c r="PQ108" s="24">
        <v>0.5</v>
      </c>
      <c r="PR108" s="24">
        <v>0.5</v>
      </c>
      <c r="PS108" s="24">
        <v>0.5</v>
      </c>
      <c r="PT108" s="207"/>
      <c r="PU108" s="207"/>
      <c r="PV108" s="207"/>
      <c r="PW108" s="207"/>
      <c r="PX108" s="207"/>
      <c r="PY108" s="202"/>
      <c r="PZ108" s="135"/>
      <c r="QA108" s="136"/>
      <c r="QB108" s="130">
        <f>SUM(OZ108:QA108)</f>
      </c>
      <c r="QC108" s="134"/>
      <c r="QD108" s="135"/>
      <c r="QE108" s="142">
        <v>0.5</v>
      </c>
      <c r="QF108" s="138">
        <v>0.5</v>
      </c>
      <c r="QG108" s="138">
        <v>0.5</v>
      </c>
      <c r="QH108" s="138">
        <v>0.5</v>
      </c>
      <c r="QI108" s="138">
        <v>0.5</v>
      </c>
      <c r="QJ108" s="138">
        <v>0.5</v>
      </c>
      <c r="QK108" s="138">
        <v>0.5</v>
      </c>
      <c r="QL108" s="139">
        <v>0.5</v>
      </c>
      <c r="QM108" s="147"/>
      <c r="QN108" s="148"/>
      <c r="QO108" s="138">
        <v>0.5</v>
      </c>
      <c r="QP108" s="149">
        <v>0.5</v>
      </c>
      <c r="QQ108" s="142">
        <v>0.5</v>
      </c>
      <c r="QR108" s="138">
        <v>0.5</v>
      </c>
      <c r="QS108" s="138">
        <v>0.5</v>
      </c>
      <c r="QT108" s="138">
        <v>0.5</v>
      </c>
      <c r="QU108" s="138">
        <v>0.5</v>
      </c>
      <c r="QV108" s="138">
        <v>0.5</v>
      </c>
      <c r="QW108" s="137"/>
      <c r="QX108" s="137"/>
      <c r="QY108" s="137"/>
      <c r="QZ108" s="137"/>
      <c r="RA108" s="137"/>
      <c r="RB108" s="153"/>
      <c r="RC108" s="304"/>
      <c r="RD108" s="152"/>
      <c r="RE108" s="131">
        <f>SUM(QC108:RD108)</f>
      </c>
      <c r="RF108" s="134"/>
      <c r="RG108" s="135"/>
      <c r="RH108" s="298">
        <v>0.5</v>
      </c>
      <c r="RI108" s="212">
        <v>0.5</v>
      </c>
      <c r="RJ108" s="212">
        <v>0.5</v>
      </c>
      <c r="RK108" s="212">
        <v>0.5</v>
      </c>
      <c r="RL108" s="212">
        <v>0.5</v>
      </c>
      <c r="RM108" s="212">
        <v>0.5</v>
      </c>
      <c r="RN108" s="212">
        <v>0.5</v>
      </c>
      <c r="RO108" s="213">
        <v>0.5</v>
      </c>
      <c r="RP108" s="611"/>
      <c r="RQ108" s="612"/>
      <c r="RR108" s="212">
        <v>0.5</v>
      </c>
      <c r="RS108" s="297">
        <v>0.5</v>
      </c>
      <c r="RT108" s="298">
        <v>0.5</v>
      </c>
      <c r="RU108" s="212">
        <v>0.5</v>
      </c>
      <c r="RV108" s="212">
        <v>0.5</v>
      </c>
      <c r="RW108" s="212">
        <v>0.5</v>
      </c>
      <c r="RX108" s="212">
        <v>0.5</v>
      </c>
      <c r="RY108" s="212">
        <v>0.5</v>
      </c>
      <c r="RZ108" s="207"/>
      <c r="SA108" s="207"/>
      <c r="SB108" s="207"/>
      <c r="SC108" s="207"/>
      <c r="SD108" s="207"/>
      <c r="SE108" s="202"/>
      <c r="SF108" s="135"/>
      <c r="SG108" s="136"/>
      <c r="SH108" s="131">
        <f>SUM(RF108:SG108)</f>
      </c>
      <c r="SI108" s="134"/>
      <c r="SJ108" s="135"/>
      <c r="SK108" s="426">
        <v>0.5</v>
      </c>
      <c r="SL108" s="24">
        <v>0.5</v>
      </c>
      <c r="SM108" s="24">
        <v>0.5</v>
      </c>
      <c r="SN108" s="24">
        <v>0.5</v>
      </c>
      <c r="SO108" s="24">
        <v>0.5</v>
      </c>
      <c r="SP108" s="24">
        <v>0.5</v>
      </c>
      <c r="SQ108" s="24">
        <v>0.5</v>
      </c>
      <c r="SR108" s="203">
        <v>0.5</v>
      </c>
      <c r="SS108" s="611"/>
      <c r="ST108" s="612"/>
      <c r="SU108" s="24">
        <v>0.5</v>
      </c>
      <c r="SV108" s="617">
        <v>0.5</v>
      </c>
      <c r="SW108" s="426">
        <v>0.5</v>
      </c>
      <c r="SX108" s="24">
        <v>0.5</v>
      </c>
      <c r="SY108" s="24">
        <v>0.5</v>
      </c>
      <c r="SZ108" s="24">
        <v>0.5</v>
      </c>
      <c r="TA108" s="24">
        <v>0.5</v>
      </c>
      <c r="TB108" s="24">
        <v>0.5</v>
      </c>
      <c r="TC108" s="207"/>
      <c r="TD108" s="207"/>
      <c r="TE108" s="207"/>
      <c r="TF108" s="207"/>
      <c r="TG108" s="207"/>
      <c r="TH108" s="202"/>
      <c r="TI108" s="135"/>
      <c r="TJ108" s="136"/>
      <c r="TK108" s="131">
        <f>SUM(SI108:TJ108)</f>
      </c>
      <c r="TL108" s="134"/>
      <c r="TM108" s="135"/>
      <c r="TN108" s="298">
        <v>0.5</v>
      </c>
      <c r="TO108" s="212">
        <v>0.5</v>
      </c>
      <c r="TP108" s="212">
        <v>0.5</v>
      </c>
      <c r="TQ108" s="212">
        <v>0.5</v>
      </c>
      <c r="TR108" s="212">
        <v>0.5</v>
      </c>
      <c r="TS108" s="212">
        <v>0.5</v>
      </c>
      <c r="TT108" s="212">
        <v>0.5</v>
      </c>
      <c r="TU108" s="213">
        <v>0.5</v>
      </c>
      <c r="TV108" s="611"/>
      <c r="TW108" s="612"/>
      <c r="TX108" s="212">
        <v>0.5</v>
      </c>
      <c r="TY108" s="297">
        <v>0.5</v>
      </c>
      <c r="TZ108" s="298">
        <v>0.5</v>
      </c>
      <c r="UA108" s="212">
        <v>0.5</v>
      </c>
      <c r="UB108" s="212">
        <v>0.5</v>
      </c>
      <c r="UC108" s="212">
        <v>0.5</v>
      </c>
      <c r="UD108" s="212">
        <v>0.5</v>
      </c>
      <c r="UE108" s="212">
        <v>0.5</v>
      </c>
      <c r="UF108" s="207"/>
      <c r="UG108" s="207"/>
      <c r="UH108" s="207"/>
      <c r="UI108" s="207"/>
      <c r="UJ108" s="207"/>
      <c r="UK108" s="202"/>
      <c r="UL108" s="135"/>
      <c r="UM108" s="136"/>
      <c r="UN108" s="131">
        <f>SUM(TL108:UM108)</f>
      </c>
      <c r="UO108" s="121"/>
      <c r="UP108" s="122"/>
      <c r="UQ108" s="292"/>
      <c r="UR108" s="196"/>
      <c r="US108" s="196"/>
      <c r="UT108" s="196"/>
      <c r="UU108" s="196"/>
      <c r="UV108" s="196"/>
      <c r="UW108" s="196"/>
      <c r="UX108" s="195"/>
      <c r="UY108" s="197"/>
      <c r="UZ108" s="196"/>
      <c r="VA108" s="196"/>
      <c r="VB108" s="198"/>
      <c r="VC108" s="292"/>
      <c r="VD108" s="196"/>
      <c r="VE108" s="196"/>
      <c r="VF108" s="196"/>
      <c r="VG108" s="196"/>
      <c r="VH108" s="196"/>
      <c r="VI108" s="196"/>
      <c r="VJ108" s="196"/>
      <c r="VK108" s="196"/>
      <c r="VL108" s="196"/>
      <c r="VM108" s="196"/>
      <c r="VN108" s="195"/>
      <c r="VO108" s="122"/>
      <c r="VP108" s="123"/>
      <c r="VQ108" s="130">
        <f>SUM(UO108:VP108)</f>
      </c>
      <c r="VR108" s="121"/>
      <c r="VS108" s="122"/>
      <c r="VT108" s="292"/>
      <c r="VU108" s="196"/>
      <c r="VV108" s="196"/>
      <c r="VW108" s="196"/>
      <c r="VX108" s="196"/>
      <c r="VY108" s="196"/>
      <c r="VZ108" s="196"/>
      <c r="WA108" s="195"/>
      <c r="WB108" s="197"/>
      <c r="WC108" s="196"/>
      <c r="WD108" s="196"/>
      <c r="WE108" s="198"/>
      <c r="WF108" s="292"/>
      <c r="WG108" s="196"/>
      <c r="WH108" s="196"/>
      <c r="WI108" s="196"/>
      <c r="WJ108" s="196"/>
      <c r="WK108" s="196"/>
      <c r="WL108" s="196"/>
      <c r="WM108" s="196"/>
      <c r="WN108" s="196"/>
      <c r="WO108" s="196"/>
      <c r="WP108" s="196"/>
      <c r="WQ108" s="195"/>
      <c r="WR108" s="122"/>
      <c r="WS108" s="123"/>
      <c r="WT108" s="130">
        <f>SUM(VR108:WS108)</f>
      </c>
      <c r="WU108" s="132">
        <f>QB108+RE108+SH108+TK108+UN108+VQ108+WT108</f>
      </c>
      <c r="WV108" s="133">
        <f>(COUNTIF(OZ108:WT108,"H")+COUNTIF(OZ108:WT108,"S")+COUNTIF(OZ108:WT108,"L")+COUNTIF(OZ108:WT108,"E")+COUNTIF(OZ108:WT108,"C"))/2</f>
      </c>
      <c r="WW108" s="130">
        <f>WU108+WV108</f>
      </c>
      <c r="WX108" s="134"/>
      <c r="WY108" s="135"/>
      <c r="WZ108" s="15"/>
      <c r="XA108" s="15"/>
      <c r="XB108" s="15"/>
      <c r="XC108" s="15"/>
      <c r="XD108" s="15"/>
      <c r="XE108" s="15"/>
      <c r="XF108" s="15"/>
      <c r="XG108" s="15"/>
      <c r="XH108" s="412"/>
      <c r="XI108" s="308">
        <v>0.5</v>
      </c>
      <c r="XJ108" s="29">
        <v>0.5</v>
      </c>
      <c r="XK108" s="312">
        <v>0.5</v>
      </c>
      <c r="XL108" s="29">
        <v>0.5</v>
      </c>
      <c r="XM108" s="29">
        <v>0.5</v>
      </c>
      <c r="XN108" s="29">
        <v>0.5</v>
      </c>
      <c r="XO108" s="29">
        <v>0.5</v>
      </c>
      <c r="XP108" s="29">
        <v>0.5</v>
      </c>
      <c r="XQ108" s="29">
        <v>0.5</v>
      </c>
      <c r="XR108" s="29">
        <v>0.5</v>
      </c>
      <c r="XS108" s="29">
        <v>0.5</v>
      </c>
      <c r="XT108" s="308">
        <v>0.5</v>
      </c>
      <c r="XU108" s="137"/>
      <c r="XV108" s="137"/>
      <c r="XW108" s="153"/>
      <c r="XX108" s="304"/>
      <c r="XY108" s="152"/>
      <c r="XZ108" s="131">
        <f>SUM(WX108:XY108)</f>
      </c>
      <c r="YA108" s="134"/>
      <c r="YB108" s="375"/>
      <c r="YC108" s="313">
        <v>0.5</v>
      </c>
      <c r="YD108" s="308">
        <v>0.5</v>
      </c>
      <c r="YE108" s="308">
        <v>0.5</v>
      </c>
      <c r="YF108" s="308">
        <v>0.5</v>
      </c>
      <c r="YG108" s="308">
        <v>0.5</v>
      </c>
      <c r="YH108" s="308">
        <v>0.5</v>
      </c>
      <c r="YI108" s="308">
        <v>0.5</v>
      </c>
      <c r="YJ108" s="309">
        <v>0.5</v>
      </c>
      <c r="YK108" s="147"/>
      <c r="YL108" s="148"/>
      <c r="YM108" s="308">
        <v>0.5</v>
      </c>
      <c r="YN108" s="312">
        <v>0.5</v>
      </c>
      <c r="YO108" s="313">
        <v>0.5</v>
      </c>
      <c r="YP108" s="308">
        <v>0.5</v>
      </c>
      <c r="YQ108" s="308">
        <v>0.5</v>
      </c>
      <c r="YR108" s="308">
        <v>0.5</v>
      </c>
      <c r="YS108" s="308">
        <v>0.5</v>
      </c>
      <c r="YT108" s="308">
        <v>0.5</v>
      </c>
      <c r="YU108" s="308">
        <v>0.5</v>
      </c>
      <c r="YV108" s="308">
        <v>0.5</v>
      </c>
      <c r="YW108" s="137"/>
      <c r="YX108" s="137"/>
      <c r="YY108" s="137"/>
      <c r="YZ108" s="153"/>
      <c r="ZA108" s="304"/>
      <c r="ZB108" s="152"/>
      <c r="ZC108" s="131">
        <f>SUM(YA108:ZB108)</f>
      </c>
      <c r="ZD108" s="134"/>
      <c r="ZE108" s="375"/>
      <c r="ZF108" s="313">
        <v>0.5</v>
      </c>
      <c r="ZG108" s="308">
        <v>0.5</v>
      </c>
      <c r="ZH108" s="308">
        <v>0.5</v>
      </c>
      <c r="ZI108" s="308">
        <v>0.5</v>
      </c>
      <c r="ZJ108" s="308">
        <v>0.5</v>
      </c>
      <c r="ZK108" s="308">
        <v>0.5</v>
      </c>
      <c r="ZL108" s="308">
        <v>0.5</v>
      </c>
      <c r="ZM108" s="309">
        <v>0.5</v>
      </c>
      <c r="ZN108" s="147"/>
      <c r="ZO108" s="148"/>
      <c r="ZP108" s="308">
        <v>0.5</v>
      </c>
      <c r="ZQ108" s="312">
        <v>0.5</v>
      </c>
      <c r="ZR108" s="313">
        <v>0.5</v>
      </c>
      <c r="ZS108" s="308">
        <v>0.5</v>
      </c>
      <c r="ZT108" s="308">
        <v>0.5</v>
      </c>
      <c r="ZU108" s="308">
        <v>0.5</v>
      </c>
      <c r="ZV108" s="308">
        <v>0.5</v>
      </c>
      <c r="ZW108" s="308">
        <v>0.5</v>
      </c>
      <c r="ZX108" s="308">
        <v>0.5</v>
      </c>
      <c r="ZY108" s="308">
        <v>0.5</v>
      </c>
      <c r="ZZ108" s="137"/>
      <c r="AAA108" s="137"/>
      <c r="AAB108" s="137"/>
      <c r="AAC108" s="153"/>
      <c r="AAD108" s="304"/>
      <c r="AAE108" s="152"/>
      <c r="AAF108" s="131">
        <f>SUM(ZD108:AAE108)</f>
      </c>
      <c r="AAG108" s="134"/>
      <c r="AAH108" s="135"/>
      <c r="AAI108" s="29">
        <v>0.5</v>
      </c>
      <c r="AAJ108" s="29">
        <v>0.5</v>
      </c>
      <c r="AAK108" s="29">
        <v>0.5</v>
      </c>
      <c r="AAL108" s="29">
        <v>0.5</v>
      </c>
      <c r="AAM108" s="29">
        <v>0.5</v>
      </c>
      <c r="AAN108" s="29">
        <v>0.5</v>
      </c>
      <c r="AAO108" s="29">
        <v>0.5</v>
      </c>
      <c r="AAP108" s="29">
        <v>0.5</v>
      </c>
      <c r="AAQ108" s="147"/>
      <c r="AAR108" s="148"/>
      <c r="AAS108" s="29">
        <v>0.5</v>
      </c>
      <c r="AAT108" s="312">
        <v>0.5</v>
      </c>
      <c r="AAU108" s="29">
        <v>0.5</v>
      </c>
      <c r="AAV108" s="29">
        <v>0.5</v>
      </c>
      <c r="AAW108" s="29">
        <v>0.5</v>
      </c>
      <c r="AAX108" s="29">
        <v>0.5</v>
      </c>
      <c r="AAY108" s="29">
        <v>0.5</v>
      </c>
      <c r="AAZ108" s="29">
        <v>0.5</v>
      </c>
      <c r="ABA108" s="15"/>
      <c r="ABB108" s="15"/>
      <c r="ABC108" s="137"/>
      <c r="ABD108" s="137"/>
      <c r="ABE108" s="137"/>
      <c r="ABF108" s="153"/>
      <c r="ABG108" s="304"/>
      <c r="ABH108" s="152"/>
      <c r="ABI108" s="131">
        <f>SUM(AAG108:ABH108)</f>
      </c>
      <c r="ABJ108" s="134"/>
      <c r="ABK108" s="135"/>
      <c r="ABL108" s="24">
        <v>0.5</v>
      </c>
      <c r="ABM108" s="24">
        <v>0.5</v>
      </c>
      <c r="ABN108" s="24">
        <v>0.5</v>
      </c>
      <c r="ABO108" s="24">
        <v>0.5</v>
      </c>
      <c r="ABP108" s="24">
        <v>0.5</v>
      </c>
      <c r="ABQ108" s="24">
        <v>0.5</v>
      </c>
      <c r="ABR108" s="24">
        <v>0.5</v>
      </c>
      <c r="ABS108" s="24">
        <v>0.5</v>
      </c>
      <c r="ABT108" s="155"/>
      <c r="ABU108" s="137"/>
      <c r="ABV108" s="137"/>
      <c r="ABW108" s="141"/>
      <c r="ABX108" s="136"/>
      <c r="ABY108" s="137"/>
      <c r="ABZ108" s="137"/>
      <c r="ACA108" s="137"/>
      <c r="ACB108" s="137"/>
      <c r="ACC108" s="137"/>
      <c r="ACD108" s="137"/>
      <c r="ACE108" s="137"/>
      <c r="ACF108" s="137"/>
      <c r="ACG108" s="137"/>
      <c r="ACH108" s="137"/>
      <c r="ACI108" s="153"/>
      <c r="ACJ108" s="304"/>
      <c r="ACK108" s="152"/>
      <c r="ACL108" s="130">
        <f>SUM(ABJ108:ACK108)</f>
      </c>
      <c r="ACM108" s="121"/>
      <c r="ACN108" s="122"/>
      <c r="ACO108" s="292"/>
      <c r="ACP108" s="196"/>
      <c r="ACQ108" s="196"/>
      <c r="ACR108" s="196"/>
      <c r="ACS108" s="196"/>
      <c r="ACT108" s="196"/>
      <c r="ACU108" s="196"/>
      <c r="ACV108" s="195"/>
      <c r="ACW108" s="197"/>
      <c r="ACX108" s="196"/>
      <c r="ACY108" s="196"/>
      <c r="ACZ108" s="198"/>
      <c r="ADA108" s="292"/>
      <c r="ADB108" s="196"/>
      <c r="ADC108" s="196"/>
      <c r="ADD108" s="196"/>
      <c r="ADE108" s="196"/>
      <c r="ADF108" s="196"/>
      <c r="ADG108" s="196"/>
      <c r="ADH108" s="196"/>
      <c r="ADI108" s="196"/>
      <c r="ADJ108" s="196"/>
      <c r="ADK108" s="196"/>
      <c r="ADL108" s="195"/>
      <c r="ADM108" s="122"/>
      <c r="ADN108" s="123"/>
      <c r="ADO108" s="130">
        <f>SUM(ACM108:ADN108)</f>
      </c>
      <c r="ADP108" s="121"/>
      <c r="ADQ108" s="122"/>
      <c r="ADR108" s="292"/>
      <c r="ADS108" s="196"/>
      <c r="ADT108" s="196"/>
      <c r="ADU108" s="196"/>
      <c r="ADV108" s="196"/>
      <c r="ADW108" s="196"/>
      <c r="ADX108" s="196"/>
      <c r="ADY108" s="195"/>
      <c r="ADZ108" s="197"/>
      <c r="AEA108" s="196"/>
      <c r="AEB108" s="196"/>
      <c r="AEC108" s="198"/>
      <c r="AED108" s="292"/>
      <c r="AEE108" s="196"/>
      <c r="AEF108" s="196"/>
      <c r="AEG108" s="196"/>
      <c r="AEH108" s="196"/>
      <c r="AEI108" s="196"/>
      <c r="AEJ108" s="196"/>
      <c r="AEK108" s="196"/>
      <c r="AEL108" s="196"/>
      <c r="AEM108" s="196"/>
      <c r="AEN108" s="196"/>
      <c r="AEO108" s="195"/>
      <c r="AEP108" s="122"/>
      <c r="AEQ108" s="123"/>
      <c r="AER108" s="130">
        <f>SUM(ADP108:AEQ108)</f>
      </c>
      <c r="AES108" s="132">
        <f>XZ108+ZC108+AAF108+ABI108+ACL108+ADO108+AER108</f>
      </c>
      <c r="AET108" s="133">
        <f>(COUNTIF(WX108:AER108,"H")+COUNTIF(WX108:AER108,"S")+COUNTIF(WX108:AER108,"L")+COUNTIF(WX108:AER108,"E")+COUNTIF(WX108:AER108,"C"))/2</f>
      </c>
      <c r="AEU108" s="130">
        <f>AES108+AET108</f>
      </c>
      <c r="AEV108" s="134"/>
      <c r="AEW108" s="135"/>
      <c r="AEX108" s="24">
        <v>0.5</v>
      </c>
      <c r="AEY108" s="24">
        <v>0.5</v>
      </c>
      <c r="AEZ108" s="24">
        <v>0.5</v>
      </c>
      <c r="AFA108" s="24">
        <v>0.5</v>
      </c>
      <c r="AFB108" s="24">
        <v>0.5</v>
      </c>
      <c r="AFC108" s="24">
        <v>0.5</v>
      </c>
      <c r="AFD108" s="24">
        <v>0.5</v>
      </c>
      <c r="AFE108" s="24">
        <v>0.5</v>
      </c>
      <c r="AFF108" s="611"/>
      <c r="AFG108" s="612"/>
      <c r="AFH108" s="24">
        <v>0.5</v>
      </c>
      <c r="AFI108" s="429">
        <v>0.5</v>
      </c>
      <c r="AFJ108" s="428">
        <v>0.5</v>
      </c>
      <c r="AFK108" s="24">
        <v>0.5</v>
      </c>
      <c r="AFL108" s="24">
        <v>0.5</v>
      </c>
      <c r="AFM108" s="24">
        <v>0.5</v>
      </c>
      <c r="AFN108" s="24">
        <v>0.5</v>
      </c>
      <c r="AFO108" s="24">
        <v>0.5</v>
      </c>
      <c r="AFP108" s="24">
        <v>0.5</v>
      </c>
      <c r="AFQ108" s="24">
        <v>0.5</v>
      </c>
      <c r="AFR108" s="207"/>
      <c r="AFS108" s="207"/>
      <c r="AFT108" s="207"/>
      <c r="AFU108" s="202"/>
      <c r="AFV108" s="135"/>
      <c r="AFW108" s="136"/>
      <c r="AFX108" s="130">
        <f>SUM(AEV108:AFW108)</f>
      </c>
      <c r="AFY108" s="134"/>
      <c r="AFZ108" s="135"/>
      <c r="AGA108" s="339">
        <v>0.5</v>
      </c>
      <c r="AGB108" s="143">
        <v>0.5</v>
      </c>
      <c r="AGC108" s="143">
        <v>0.5</v>
      </c>
      <c r="AGD108" s="143">
        <v>0.5</v>
      </c>
      <c r="AGE108" s="143">
        <v>0.5</v>
      </c>
      <c r="AGF108" s="143">
        <v>0.5</v>
      </c>
      <c r="AGG108" s="143">
        <v>0.5</v>
      </c>
      <c r="AGH108" s="154">
        <v>0.5</v>
      </c>
      <c r="AGI108" s="147"/>
      <c r="AGJ108" s="148"/>
      <c r="AGK108" s="138">
        <v>0.5</v>
      </c>
      <c r="AGL108" s="149">
        <v>0.5</v>
      </c>
      <c r="AGM108" s="339">
        <v>0.5</v>
      </c>
      <c r="AGN108" s="143">
        <v>0.5</v>
      </c>
      <c r="AGO108" s="143">
        <v>0.5</v>
      </c>
      <c r="AGP108" s="143">
        <v>0.5</v>
      </c>
      <c r="AGQ108" s="143">
        <v>0.5</v>
      </c>
      <c r="AGR108" s="143">
        <v>0.5</v>
      </c>
      <c r="AGS108" s="143">
        <v>0.5</v>
      </c>
      <c r="AGT108" s="143">
        <v>0.5</v>
      </c>
      <c r="AGU108" s="137"/>
      <c r="AGV108" s="137"/>
      <c r="AGW108" s="137"/>
      <c r="AGX108" s="153"/>
      <c r="AGY108" s="304"/>
      <c r="AGZ108" s="152"/>
      <c r="AHA108" s="131">
        <f>SUM(AFY108:AGZ108)</f>
      </c>
      <c r="AHB108" s="134"/>
      <c r="AHC108" s="135"/>
      <c r="AHD108" s="377">
        <v>0.5</v>
      </c>
      <c r="AHE108" s="15">
        <v>0.5</v>
      </c>
      <c r="AHF108" s="15">
        <v>0.5</v>
      </c>
      <c r="AHG108" s="15">
        <v>0.5</v>
      </c>
      <c r="AHH108" s="15">
        <v>0.5</v>
      </c>
      <c r="AHI108" s="15">
        <v>0.5</v>
      </c>
      <c r="AHJ108" s="15">
        <v>0.5</v>
      </c>
      <c r="AHK108" s="211">
        <v>0.5</v>
      </c>
      <c r="AHL108" s="611"/>
      <c r="AHM108" s="612"/>
      <c r="AHN108" s="212">
        <v>0.5</v>
      </c>
      <c r="AHO108" s="297">
        <v>0.5</v>
      </c>
      <c r="AHP108" s="377">
        <v>0.5</v>
      </c>
      <c r="AHQ108" s="15">
        <v>0.5</v>
      </c>
      <c r="AHR108" s="15">
        <v>0.5</v>
      </c>
      <c r="AHS108" s="15">
        <v>0.5</v>
      </c>
      <c r="AHT108" s="15">
        <v>0.5</v>
      </c>
      <c r="AHU108" s="15">
        <v>0.5</v>
      </c>
      <c r="AHV108" s="15">
        <v>0.5</v>
      </c>
      <c r="AHW108" s="15">
        <v>0.5</v>
      </c>
      <c r="AHX108" s="207"/>
      <c r="AHY108" s="207"/>
      <c r="AHZ108" s="207"/>
      <c r="AIA108" s="202"/>
      <c r="AIB108" s="135"/>
      <c r="AIC108" s="136"/>
      <c r="AID108" s="131">
        <f>SUM(AHB108:AIC108)</f>
      </c>
      <c r="AIE108" s="134"/>
      <c r="AIF108" s="135"/>
      <c r="AIG108" s="24">
        <v>0.5</v>
      </c>
      <c r="AIH108" s="24">
        <v>0.5</v>
      </c>
      <c r="AII108" s="24">
        <v>0.5</v>
      </c>
      <c r="AIJ108" s="24">
        <v>0.5</v>
      </c>
      <c r="AIK108" s="24">
        <v>0.5</v>
      </c>
      <c r="AIL108" s="24">
        <v>0.5</v>
      </c>
      <c r="AIM108" s="24">
        <v>0.5</v>
      </c>
      <c r="AIN108" s="24">
        <v>0.5</v>
      </c>
      <c r="AIO108" s="611"/>
      <c r="AIP108" s="612"/>
      <c r="AIQ108" s="24">
        <v>0.5</v>
      </c>
      <c r="AIR108" s="429">
        <v>0.5</v>
      </c>
      <c r="AIS108" s="428">
        <v>0.5</v>
      </c>
      <c r="AIT108" s="24">
        <v>0.5</v>
      </c>
      <c r="AIU108" s="24">
        <v>0.5</v>
      </c>
      <c r="AIV108" s="24">
        <v>0.5</v>
      </c>
      <c r="AIW108" s="24">
        <v>0.5</v>
      </c>
      <c r="AIX108" s="24">
        <v>0.5</v>
      </c>
      <c r="AIY108" s="24">
        <v>0.5</v>
      </c>
      <c r="AIZ108" s="24">
        <v>0.5</v>
      </c>
      <c r="AJA108" s="207"/>
      <c r="AJB108" s="207"/>
      <c r="AJC108" s="207"/>
      <c r="AJD108" s="202"/>
      <c r="AJE108" s="135"/>
      <c r="AJF108" s="136"/>
      <c r="AJG108" s="131">
        <f>SUM(AIE108:AJF108)</f>
      </c>
      <c r="AJH108" s="134"/>
      <c r="AJI108" s="135"/>
      <c r="AJJ108" s="426">
        <v>0.5</v>
      </c>
      <c r="AJK108" s="24">
        <v>0.5</v>
      </c>
      <c r="AJL108" s="24">
        <v>0.5</v>
      </c>
      <c r="AJM108" s="24">
        <v>0.5</v>
      </c>
      <c r="AJN108" s="24">
        <v>0.5</v>
      </c>
      <c r="AJO108" s="24">
        <v>0.5</v>
      </c>
      <c r="AJP108" s="24">
        <v>0.5</v>
      </c>
      <c r="AJQ108" s="203">
        <v>0.5</v>
      </c>
      <c r="AJR108" s="296"/>
      <c r="AJS108" s="207"/>
      <c r="AJT108" s="207"/>
      <c r="AJU108" s="208"/>
      <c r="AJV108" s="295"/>
      <c r="AJW108" s="207"/>
      <c r="AJX108" s="207"/>
      <c r="AJY108" s="207"/>
      <c r="AJZ108" s="207"/>
      <c r="AKA108" s="207"/>
      <c r="AKB108" s="207"/>
      <c r="AKC108" s="207"/>
      <c r="AKD108" s="207"/>
      <c r="AKE108" s="207"/>
      <c r="AKF108" s="207"/>
      <c r="AKG108" s="202"/>
      <c r="AKH108" s="135"/>
      <c r="AKI108" s="136"/>
      <c r="AKJ108" s="130">
        <f>SUM(AJH108:AKI108)</f>
      </c>
      <c r="AKK108" s="121"/>
      <c r="AKL108" s="122"/>
      <c r="AKM108" s="292"/>
      <c r="AKN108" s="196"/>
      <c r="AKO108" s="196"/>
      <c r="AKP108" s="196"/>
      <c r="AKQ108" s="196"/>
      <c r="AKR108" s="196"/>
      <c r="AKS108" s="196"/>
      <c r="AKT108" s="195"/>
      <c r="AKU108" s="197"/>
      <c r="AKV108" s="196"/>
      <c r="AKW108" s="196"/>
      <c r="AKX108" s="198"/>
      <c r="AKY108" s="292"/>
      <c r="AKZ108" s="196"/>
      <c r="ALA108" s="196"/>
      <c r="ALB108" s="196"/>
      <c r="ALC108" s="196"/>
      <c r="ALD108" s="196"/>
      <c r="ALE108" s="196"/>
      <c r="ALF108" s="196"/>
      <c r="ALG108" s="196"/>
      <c r="ALH108" s="196"/>
      <c r="ALI108" s="196"/>
      <c r="ALJ108" s="195"/>
      <c r="ALK108" s="122"/>
      <c r="ALL108" s="123"/>
      <c r="ALM108" s="130">
        <f>SUM(AKK108:ALL108)</f>
      </c>
      <c r="ALN108" s="121"/>
      <c r="ALO108" s="122"/>
      <c r="ALP108" s="292"/>
      <c r="ALQ108" s="196"/>
      <c r="ALR108" s="196"/>
      <c r="ALS108" s="196"/>
      <c r="ALT108" s="196"/>
      <c r="ALU108" s="196"/>
      <c r="ALV108" s="196"/>
      <c r="ALW108" s="195"/>
      <c r="ALX108" s="197"/>
      <c r="ALY108" s="196"/>
      <c r="ALZ108" s="196"/>
      <c r="AMA108" s="198"/>
      <c r="AMB108" s="292"/>
      <c r="AMC108" s="196"/>
      <c r="AMD108" s="196"/>
      <c r="AME108" s="196"/>
      <c r="AMF108" s="196"/>
      <c r="AMG108" s="196"/>
      <c r="AMH108" s="196"/>
      <c r="AMI108" s="196"/>
      <c r="AMJ108" s="196"/>
      <c r="AMK108" s="196"/>
      <c r="AML108" s="196"/>
      <c r="AMM108" s="195"/>
      <c r="AMN108" s="122"/>
      <c r="AMO108" s="123"/>
      <c r="AMP108" s="130">
        <f>SUM(ALN108:AMO108)</f>
      </c>
      <c r="AMQ108" s="132">
        <f>AFX108+AHA108+AID108+AJG108+AKJ108+ALM108+AMP108</f>
      </c>
      <c r="AMR108" s="133">
        <f>(COUNTIF(AEV108:AMP108,"H")+COUNTIF(AEV108:AMP108,"S")+COUNTIF(AEV108:AMP108,"L")+COUNTIF(AEV108:AMP108,"E")+COUNTIF(AEV108:AMP108,"C"))/2</f>
      </c>
      <c r="AMS108" s="130">
        <f>AMQ108+AMR108</f>
      </c>
      <c r="AMT108" s="4"/>
      <c r="AMU108" s="4"/>
      <c r="AMV108" s="4"/>
      <c r="AMW108" s="4"/>
      <c r="AMX108" s="4"/>
      <c r="AMY108" s="4"/>
      <c r="AMZ108" s="4"/>
      <c r="ANA108" s="4"/>
      <c r="ANB108" s="4"/>
      <c r="ANC108" s="4"/>
      <c r="AND108" s="4"/>
      <c r="ANE108" s="4"/>
      <c r="ANF108" s="4"/>
      <c r="ANG108" s="4"/>
      <c r="ANH108" s="4"/>
      <c r="ANI108" s="4"/>
      <c r="ANJ108" s="4"/>
      <c r="ANK108" s="4"/>
      <c r="ANL108" s="4"/>
      <c r="ANM108" s="4"/>
      <c r="ANN108" s="4"/>
      <c r="ANO108" s="4"/>
      <c r="ANP108" s="4"/>
      <c r="ANQ108" s="4"/>
      <c r="ANR108" s="4"/>
      <c r="ANS108" s="4"/>
      <c r="ANT108" s="4"/>
      <c r="ANU108" s="4"/>
      <c r="ANV108" s="4"/>
      <c r="ANW108" s="4"/>
      <c r="ANX108" s="4"/>
      <c r="ANY108" s="4"/>
      <c r="ANZ108" s="4"/>
      <c r="AOA108" s="4"/>
      <c r="AOB108" s="4"/>
      <c r="AOC108" s="4"/>
      <c r="AOD108" s="4"/>
      <c r="AOE108" s="4"/>
      <c r="AOF108" s="4"/>
      <c r="AOG108" s="4"/>
      <c r="AOH108" s="4"/>
      <c r="AOI108" s="4"/>
      <c r="AOJ108" s="4"/>
      <c r="AOK108" s="4"/>
      <c r="AOL108" s="4"/>
      <c r="AOM108" s="4"/>
      <c r="AON108" s="4"/>
      <c r="AOO108" s="4"/>
      <c r="AOP108" s="4"/>
      <c r="AOQ108" s="4"/>
      <c r="AOR108" s="4"/>
      <c r="AOS108" s="4"/>
      <c r="AOT108" s="4"/>
      <c r="AOU108" s="4"/>
      <c r="AOV108" s="4"/>
      <c r="AOW108" s="4"/>
      <c r="AOX108" s="4"/>
      <c r="AOY108" s="4"/>
      <c r="AOZ108" s="4"/>
      <c r="APA108" s="4"/>
      <c r="APB108" s="4"/>
      <c r="APC108" s="4"/>
      <c r="APD108" s="4"/>
      <c r="APE108" s="4"/>
      <c r="APF108" s="4"/>
      <c r="APG108" s="4"/>
      <c r="APH108" s="4"/>
      <c r="API108" s="4"/>
      <c r="APJ108" s="4"/>
      <c r="APK108" s="4"/>
      <c r="APL108" s="4"/>
      <c r="APM108" s="4"/>
      <c r="APN108" s="4"/>
      <c r="APO108" s="4"/>
      <c r="APP108" s="4"/>
      <c r="APQ108" s="4"/>
      <c r="APR108" s="4"/>
      <c r="APS108" s="4"/>
      <c r="APT108" s="4"/>
      <c r="APU108" s="4"/>
      <c r="APV108" s="4"/>
      <c r="APW108" s="4"/>
      <c r="APX108" s="4"/>
      <c r="APY108" s="4"/>
      <c r="APZ108" s="4"/>
      <c r="AQA108" s="4"/>
      <c r="AQB108" s="4"/>
      <c r="AQC108" s="4"/>
      <c r="AQD108" s="4"/>
      <c r="AQE108" s="4"/>
      <c r="AQF108" s="4"/>
      <c r="AQG108" s="4"/>
      <c r="AQH108" s="4"/>
      <c r="AQI108" s="4"/>
      <c r="AQJ108" s="4"/>
      <c r="AQK108" s="4"/>
      <c r="AQL108" s="4"/>
      <c r="AQM108" s="4"/>
      <c r="AQN108" s="4"/>
      <c r="AQO108" s="4"/>
      <c r="AQP108" s="4"/>
      <c r="AQQ108" s="4"/>
      <c r="AQR108" s="4"/>
      <c r="AQS108" s="4"/>
      <c r="AQT108" s="4"/>
      <c r="AQU108" s="4"/>
      <c r="AQV108" s="4"/>
      <c r="AQW108" s="4"/>
      <c r="AQX108" s="4"/>
      <c r="AQY108" s="4"/>
      <c r="AQZ108" s="4"/>
      <c r="ARA108" s="4"/>
      <c r="ARB108" s="4"/>
      <c r="ARC108" s="4"/>
      <c r="ARD108" s="4"/>
      <c r="ARE108" s="4"/>
      <c r="ARF108" s="4"/>
      <c r="ARG108" s="4"/>
      <c r="ARH108" s="4"/>
      <c r="ARI108" s="4"/>
      <c r="ARJ108" s="4"/>
      <c r="ARK108" s="4"/>
      <c r="ARL108" s="4"/>
      <c r="ARM108" s="4"/>
      <c r="ARN108" s="4"/>
      <c r="ARO108" s="4"/>
      <c r="ARP108" s="4"/>
      <c r="ARQ108" s="4"/>
      <c r="ARR108" s="4"/>
      <c r="ARS108" s="4"/>
      <c r="ART108" s="4"/>
      <c r="ARU108" s="4"/>
      <c r="ARV108" s="4"/>
      <c r="ARW108" s="4"/>
      <c r="ARX108" s="4"/>
      <c r="ARY108" s="4"/>
      <c r="ARZ108" s="4"/>
      <c r="ASA108" s="4"/>
      <c r="ASB108" s="4"/>
      <c r="ASC108" s="4"/>
      <c r="ASD108" s="4"/>
      <c r="ASE108" s="4"/>
      <c r="ASF108" s="4"/>
      <c r="ASG108" s="4"/>
      <c r="ASH108" s="4"/>
      <c r="ASI108" s="4"/>
      <c r="ASJ108" s="4"/>
      <c r="ASK108" s="4"/>
      <c r="ASL108" s="4"/>
      <c r="ASM108" s="4"/>
      <c r="ASN108" s="4"/>
      <c r="ASO108" s="4"/>
      <c r="ASP108" s="4"/>
      <c r="ASQ108" s="4"/>
      <c r="ASR108" s="4"/>
      <c r="ASS108" s="4"/>
      <c r="AST108" s="4"/>
      <c r="ASU108" s="4"/>
    </row>
    <row r="109" ht="15" customHeight="1" spans="1:1191" x14ac:dyDescent="0.25">
      <c r="A109" s="118"/>
      <c r="B109" s="367" t="s">
        <v>145</v>
      </c>
      <c r="C109" s="289" t="s">
        <v>55</v>
      </c>
      <c r="D109" s="121"/>
      <c r="E109" s="122"/>
      <c r="F109" s="123"/>
      <c r="G109" s="124"/>
      <c r="H109" s="124"/>
      <c r="I109" s="124"/>
      <c r="J109" s="124"/>
      <c r="K109" s="124"/>
      <c r="L109" s="124"/>
      <c r="M109" s="125"/>
      <c r="N109" s="126"/>
      <c r="O109" s="124"/>
      <c r="P109" s="124"/>
      <c r="Q109" s="127"/>
      <c r="R109" s="123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5"/>
      <c r="AD109" s="301"/>
      <c r="AE109" s="123"/>
      <c r="AF109" s="131">
        <f>SUM(D109:AE109)</f>
      </c>
      <c r="AG109" s="121"/>
      <c r="AH109" s="122"/>
      <c r="AI109" s="123"/>
      <c r="AJ109" s="124"/>
      <c r="AK109" s="124"/>
      <c r="AL109" s="124"/>
      <c r="AM109" s="124"/>
      <c r="AN109" s="124"/>
      <c r="AO109" s="124"/>
      <c r="AP109" s="125"/>
      <c r="AQ109" s="126"/>
      <c r="AR109" s="124"/>
      <c r="AS109" s="124"/>
      <c r="AT109" s="127"/>
      <c r="AU109" s="123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5"/>
      <c r="BG109" s="301"/>
      <c r="BH109" s="123"/>
      <c r="BI109" s="131">
        <f>SUM(AG109:BH109)</f>
      </c>
      <c r="BJ109" s="121"/>
      <c r="BK109" s="122"/>
      <c r="BL109" s="123"/>
      <c r="BM109" s="124"/>
      <c r="BN109" s="124"/>
      <c r="BO109" s="124"/>
      <c r="BP109" s="124"/>
      <c r="BQ109" s="124"/>
      <c r="BR109" s="124"/>
      <c r="BS109" s="125"/>
      <c r="BT109" s="126"/>
      <c r="BU109" s="124"/>
      <c r="BV109" s="124"/>
      <c r="BW109" s="127"/>
      <c r="BX109" s="123"/>
      <c r="BY109" s="124"/>
      <c r="BZ109" s="124"/>
      <c r="CA109" s="124"/>
      <c r="CB109" s="124"/>
      <c r="CC109" s="124"/>
      <c r="CD109" s="124"/>
      <c r="CE109" s="124"/>
      <c r="CF109" s="124"/>
      <c r="CG109" s="124"/>
      <c r="CH109" s="124"/>
      <c r="CI109" s="125"/>
      <c r="CJ109" s="301"/>
      <c r="CK109" s="123"/>
      <c r="CL109" s="131">
        <f>SUM(BJ109:CK109)</f>
      </c>
      <c r="CM109" s="121"/>
      <c r="CN109" s="122"/>
      <c r="CO109" s="123"/>
      <c r="CP109" s="124"/>
      <c r="CQ109" s="124"/>
      <c r="CR109" s="124"/>
      <c r="CS109" s="124"/>
      <c r="CT109" s="124"/>
      <c r="CU109" s="124"/>
      <c r="CV109" s="125"/>
      <c r="CW109" s="126"/>
      <c r="CX109" s="124"/>
      <c r="CY109" s="124"/>
      <c r="CZ109" s="127"/>
      <c r="DA109" s="123"/>
      <c r="DB109" s="124"/>
      <c r="DC109" s="124"/>
      <c r="DD109" s="124"/>
      <c r="DE109" s="124"/>
      <c r="DF109" s="124"/>
      <c r="DG109" s="124"/>
      <c r="DH109" s="124"/>
      <c r="DI109" s="124"/>
      <c r="DJ109" s="124"/>
      <c r="DK109" s="124"/>
      <c r="DL109" s="125"/>
      <c r="DM109" s="301"/>
      <c r="DN109" s="123"/>
      <c r="DO109" s="131">
        <f>SUM(CM109:DN109)</f>
      </c>
      <c r="DP109" s="121"/>
      <c r="DQ109" s="122"/>
      <c r="DR109" s="123"/>
      <c r="DS109" s="124"/>
      <c r="DT109" s="124"/>
      <c r="DU109" s="124"/>
      <c r="DV109" s="124"/>
      <c r="DW109" s="124"/>
      <c r="DX109" s="124"/>
      <c r="DY109" s="125"/>
      <c r="DZ109" s="126"/>
      <c r="EA109" s="124"/>
      <c r="EB109" s="124"/>
      <c r="EC109" s="127"/>
      <c r="ED109" s="123"/>
      <c r="EE109" s="124"/>
      <c r="EF109" s="124"/>
      <c r="EG109" s="124"/>
      <c r="EH109" s="124"/>
      <c r="EI109" s="124"/>
      <c r="EJ109" s="124"/>
      <c r="EK109" s="124"/>
      <c r="EL109" s="124"/>
      <c r="EM109" s="124"/>
      <c r="EN109" s="124"/>
      <c r="EO109" s="125"/>
      <c r="EP109" s="301"/>
      <c r="EQ109" s="123"/>
      <c r="ER109" s="131">
        <f>SUM(DP109:EQ109)</f>
      </c>
      <c r="ES109" s="121"/>
      <c r="ET109" s="122"/>
      <c r="EU109" s="123"/>
      <c r="EV109" s="124"/>
      <c r="EW109" s="124"/>
      <c r="EX109" s="124"/>
      <c r="EY109" s="124"/>
      <c r="EZ109" s="124"/>
      <c r="FA109" s="124"/>
      <c r="FB109" s="125"/>
      <c r="FC109" s="126"/>
      <c r="FD109" s="124"/>
      <c r="FE109" s="124"/>
      <c r="FF109" s="127"/>
      <c r="FG109" s="123"/>
      <c r="FH109" s="124"/>
      <c r="FI109" s="124"/>
      <c r="FJ109" s="124"/>
      <c r="FK109" s="124"/>
      <c r="FL109" s="124"/>
      <c r="FM109" s="124"/>
      <c r="FN109" s="124"/>
      <c r="FO109" s="124"/>
      <c r="FP109" s="124"/>
      <c r="FQ109" s="124"/>
      <c r="FR109" s="125"/>
      <c r="FS109" s="301"/>
      <c r="FT109" s="123"/>
      <c r="FU109" s="131">
        <f>SUM(ES109:FT109)</f>
      </c>
      <c r="FV109" s="121"/>
      <c r="FW109" s="122"/>
      <c r="FX109" s="123"/>
      <c r="FY109" s="124"/>
      <c r="FZ109" s="124"/>
      <c r="GA109" s="124"/>
      <c r="GB109" s="124"/>
      <c r="GC109" s="124"/>
      <c r="GD109" s="124"/>
      <c r="GE109" s="125"/>
      <c r="GF109" s="126"/>
      <c r="GG109" s="124"/>
      <c r="GH109" s="124"/>
      <c r="GI109" s="127"/>
      <c r="GJ109" s="123"/>
      <c r="GK109" s="124"/>
      <c r="GL109" s="124"/>
      <c r="GM109" s="124"/>
      <c r="GN109" s="124"/>
      <c r="GO109" s="124"/>
      <c r="GP109" s="124"/>
      <c r="GQ109" s="124"/>
      <c r="GR109" s="124"/>
      <c r="GS109" s="124"/>
      <c r="GT109" s="124"/>
      <c r="GU109" s="125"/>
      <c r="GV109" s="301"/>
      <c r="GW109" s="123"/>
      <c r="GX109" s="131">
        <f>SUM(FV109:GW109)</f>
      </c>
      <c r="GY109" s="150">
        <f>AF109+BI109+CL109+DO109+ER109+FU109+GX109</f>
      </c>
      <c r="GZ109" s="302">
        <f>(COUNTIF(D109:GX109,"H")+COUNTIF(D109:GX109,"S")+COUNTIF(D109:GX109,"L")+COUNTIF(D109:GX109,"E")+COUNTIF(D109:GX109,"C"))/2</f>
      </c>
      <c r="HA109" s="131">
        <f>GY109+GZ109</f>
      </c>
      <c r="HB109" s="134"/>
      <c r="HC109" s="135"/>
      <c r="HD109" s="428">
        <v>0.5</v>
      </c>
      <c r="HE109" s="220">
        <v>0.5</v>
      </c>
      <c r="HF109" s="220">
        <v>0.5</v>
      </c>
      <c r="HG109" s="220">
        <v>0.5</v>
      </c>
      <c r="HH109" s="220">
        <v>0.5</v>
      </c>
      <c r="HI109" s="220">
        <v>0.5</v>
      </c>
      <c r="HJ109" s="220">
        <v>0.5</v>
      </c>
      <c r="HK109" s="227">
        <v>0.5</v>
      </c>
      <c r="HL109" s="147"/>
      <c r="HM109" s="148"/>
      <c r="HN109" s="216">
        <v>0.5</v>
      </c>
      <c r="HO109" s="226">
        <v>0.5</v>
      </c>
      <c r="HP109" s="428">
        <v>0.5</v>
      </c>
      <c r="HQ109" s="220">
        <v>0.5</v>
      </c>
      <c r="HR109" s="220">
        <v>0.5</v>
      </c>
      <c r="HS109" s="220">
        <v>0.5</v>
      </c>
      <c r="HT109" s="220">
        <v>0.5</v>
      </c>
      <c r="HU109" s="220">
        <v>0.5</v>
      </c>
      <c r="HV109" s="220">
        <v>0.5</v>
      </c>
      <c r="HW109" s="220">
        <v>0.5</v>
      </c>
      <c r="HX109" s="137"/>
      <c r="HY109" s="137"/>
      <c r="HZ109" s="137"/>
      <c r="IA109" s="153"/>
      <c r="IB109" s="304"/>
      <c r="IC109" s="136"/>
      <c r="ID109" s="131">
        <f>SUM(HB109:IC109)</f>
      </c>
      <c r="IE109" s="134"/>
      <c r="IF109" s="135"/>
      <c r="IG109" s="339">
        <v>0.5</v>
      </c>
      <c r="IH109" s="143">
        <v>0.5</v>
      </c>
      <c r="II109" s="143">
        <v>0.5</v>
      </c>
      <c r="IJ109" s="143">
        <v>0.5</v>
      </c>
      <c r="IK109" s="143">
        <v>0.5</v>
      </c>
      <c r="IL109" s="143">
        <v>0.5</v>
      </c>
      <c r="IM109" s="143">
        <v>0.5</v>
      </c>
      <c r="IN109" s="154">
        <v>0.5</v>
      </c>
      <c r="IO109" s="147"/>
      <c r="IP109" s="148"/>
      <c r="IQ109" s="138">
        <v>0.5</v>
      </c>
      <c r="IR109" s="149">
        <v>0.5</v>
      </c>
      <c r="IS109" s="339">
        <v>0.5</v>
      </c>
      <c r="IT109" s="143">
        <v>0.5</v>
      </c>
      <c r="IU109" s="143">
        <v>0.5</v>
      </c>
      <c r="IV109" s="143">
        <v>0.5</v>
      </c>
      <c r="IW109" s="143">
        <v>0.5</v>
      </c>
      <c r="IX109" s="143">
        <v>0.5</v>
      </c>
      <c r="IY109" s="143">
        <v>0.5</v>
      </c>
      <c r="IZ109" s="143">
        <v>0.5</v>
      </c>
      <c r="JA109" s="137"/>
      <c r="JB109" s="137"/>
      <c r="JC109" s="137"/>
      <c r="JD109" s="153"/>
      <c r="JE109" s="304"/>
      <c r="JF109" s="136"/>
      <c r="JG109" s="131">
        <f>SUM(IE109:JF109)</f>
      </c>
      <c r="JH109" s="134"/>
      <c r="JI109" s="135"/>
      <c r="JJ109" s="339">
        <v>0.5</v>
      </c>
      <c r="JK109" s="143">
        <v>0.5</v>
      </c>
      <c r="JL109" s="143">
        <v>0.5</v>
      </c>
      <c r="JM109" s="143">
        <v>0.5</v>
      </c>
      <c r="JN109" s="143">
        <v>0.5</v>
      </c>
      <c r="JO109" s="143">
        <v>0.5</v>
      </c>
      <c r="JP109" s="143">
        <v>0.5</v>
      </c>
      <c r="JQ109" s="154">
        <v>0.5</v>
      </c>
      <c r="JR109" s="147"/>
      <c r="JS109" s="148"/>
      <c r="JT109" s="138">
        <v>0.5</v>
      </c>
      <c r="JU109" s="149">
        <v>0.5</v>
      </c>
      <c r="JV109" s="339">
        <v>0.5</v>
      </c>
      <c r="JW109" s="143">
        <v>0.5</v>
      </c>
      <c r="JX109" s="143">
        <v>0.5</v>
      </c>
      <c r="JY109" s="143">
        <v>0.5</v>
      </c>
      <c r="JZ109" s="143">
        <v>0.5</v>
      </c>
      <c r="KA109" s="143">
        <v>0.5</v>
      </c>
      <c r="KB109" s="143">
        <v>0.5</v>
      </c>
      <c r="KC109" s="143">
        <v>0.5</v>
      </c>
      <c r="KD109" s="137"/>
      <c r="KE109" s="137"/>
      <c r="KF109" s="137"/>
      <c r="KG109" s="153"/>
      <c r="KH109" s="304"/>
      <c r="KI109" s="136"/>
      <c r="KJ109" s="131">
        <f>SUM(JH109:KI109)</f>
      </c>
      <c r="KK109" s="134"/>
      <c r="KL109" s="135"/>
      <c r="KM109" s="339">
        <v>0.5</v>
      </c>
      <c r="KN109" s="143">
        <v>0.5</v>
      </c>
      <c r="KO109" s="143">
        <v>0.5</v>
      </c>
      <c r="KP109" s="143">
        <v>0.5</v>
      </c>
      <c r="KQ109" s="143">
        <v>0.5</v>
      </c>
      <c r="KR109" s="143">
        <v>0.5</v>
      </c>
      <c r="KS109" s="143">
        <v>0.5</v>
      </c>
      <c r="KT109" s="154">
        <v>0.5</v>
      </c>
      <c r="KU109" s="147"/>
      <c r="KV109" s="148"/>
      <c r="KW109" s="138">
        <v>0.5</v>
      </c>
      <c r="KX109" s="149">
        <v>0.5</v>
      </c>
      <c r="KY109" s="339">
        <v>0.5</v>
      </c>
      <c r="KZ109" s="143">
        <v>0.5</v>
      </c>
      <c r="LA109" s="143">
        <v>0.5</v>
      </c>
      <c r="LB109" s="143">
        <v>0.5</v>
      </c>
      <c r="LC109" s="143">
        <v>0.5</v>
      </c>
      <c r="LD109" s="143">
        <v>0.5</v>
      </c>
      <c r="LE109" s="143">
        <v>0.5</v>
      </c>
      <c r="LF109" s="143">
        <v>0.5</v>
      </c>
      <c r="LG109" s="137"/>
      <c r="LH109" s="137"/>
      <c r="LI109" s="137"/>
      <c r="LJ109" s="153"/>
      <c r="LK109" s="304"/>
      <c r="LL109" s="136"/>
      <c r="LM109" s="131">
        <f>SUM(KK109:LL109)</f>
      </c>
      <c r="LN109" s="134"/>
      <c r="LO109" s="135"/>
      <c r="LP109" s="339">
        <v>0.5</v>
      </c>
      <c r="LQ109" s="143">
        <v>0.5</v>
      </c>
      <c r="LR109" s="143">
        <v>0.5</v>
      </c>
      <c r="LS109" s="143">
        <v>0.5</v>
      </c>
      <c r="LT109" s="143">
        <v>0.5</v>
      </c>
      <c r="LU109" s="143">
        <v>0.5</v>
      </c>
      <c r="LV109" s="143">
        <v>0.5</v>
      </c>
      <c r="LW109" s="154">
        <v>0.5</v>
      </c>
      <c r="LX109" s="155"/>
      <c r="LY109" s="137"/>
      <c r="LZ109" s="137"/>
      <c r="MA109" s="141"/>
      <c r="MB109" s="136"/>
      <c r="MC109" s="137"/>
      <c r="MD109" s="137"/>
      <c r="ME109" s="137"/>
      <c r="MF109" s="137"/>
      <c r="MG109" s="137"/>
      <c r="MH109" s="137"/>
      <c r="MI109" s="137"/>
      <c r="MJ109" s="137"/>
      <c r="MK109" s="137"/>
      <c r="ML109" s="137"/>
      <c r="MM109" s="153"/>
      <c r="MN109" s="304"/>
      <c r="MO109" s="136"/>
      <c r="MP109" s="131">
        <f>SUM(LN109:MO109)</f>
      </c>
      <c r="MQ109" s="121"/>
      <c r="MR109" s="122"/>
      <c r="MS109" s="123"/>
      <c r="MT109" s="124"/>
      <c r="MU109" s="124"/>
      <c r="MV109" s="124"/>
      <c r="MW109" s="124"/>
      <c r="MX109" s="124"/>
      <c r="MY109" s="124"/>
      <c r="MZ109" s="125"/>
      <c r="NA109" s="126"/>
      <c r="NB109" s="124"/>
      <c r="NC109" s="124"/>
      <c r="ND109" s="127"/>
      <c r="NE109" s="123"/>
      <c r="NF109" s="124"/>
      <c r="NG109" s="124"/>
      <c r="NH109" s="124"/>
      <c r="NI109" s="124"/>
      <c r="NJ109" s="124"/>
      <c r="NK109" s="124"/>
      <c r="NL109" s="124"/>
      <c r="NM109" s="124"/>
      <c r="NN109" s="124"/>
      <c r="NO109" s="124"/>
      <c r="NP109" s="125"/>
      <c r="NQ109" s="301"/>
      <c r="NR109" s="123"/>
      <c r="NS109" s="131">
        <f>SUM(MQ109:NR109)</f>
      </c>
      <c r="NT109" s="121"/>
      <c r="NU109" s="122"/>
      <c r="NV109" s="123"/>
      <c r="NW109" s="124"/>
      <c r="NX109" s="124"/>
      <c r="NY109" s="124"/>
      <c r="NZ109" s="124"/>
      <c r="OA109" s="124"/>
      <c r="OB109" s="124"/>
      <c r="OC109" s="125"/>
      <c r="OD109" s="126"/>
      <c r="OE109" s="124"/>
      <c r="OF109" s="124"/>
      <c r="OG109" s="127"/>
      <c r="OH109" s="123"/>
      <c r="OI109" s="124"/>
      <c r="OJ109" s="124"/>
      <c r="OK109" s="124"/>
      <c r="OL109" s="124"/>
      <c r="OM109" s="124"/>
      <c r="ON109" s="124"/>
      <c r="OO109" s="124"/>
      <c r="OP109" s="124"/>
      <c r="OQ109" s="124"/>
      <c r="OR109" s="124"/>
      <c r="OS109" s="125"/>
      <c r="OT109" s="301"/>
      <c r="OU109" s="123"/>
      <c r="OV109" s="131">
        <f>SUM(NT109:OU109)</f>
      </c>
      <c r="OW109" s="150">
        <f>ID109+JG109+KJ109+LM109+MP109+NS109+OV109</f>
      </c>
      <c r="OX109" s="302">
        <f>(COUNTIF(HB109:OV109,"H")+COUNTIF(HB109:OV109,"S")+COUNTIF(HB109:OV109,"L")+COUNTIF(HB109:OV109,"E")+COUNTIF(HB109:OV109,"C"))/2</f>
      </c>
      <c r="OY109" s="131">
        <f>OW109+OX109</f>
      </c>
      <c r="OZ109" s="134"/>
      <c r="PA109" s="135"/>
      <c r="PB109" s="136"/>
      <c r="PC109" s="137"/>
      <c r="PD109" s="137"/>
      <c r="PE109" s="220">
        <v>0.5</v>
      </c>
      <c r="PF109" s="220">
        <v>0.5</v>
      </c>
      <c r="PG109" s="220">
        <v>0.5</v>
      </c>
      <c r="PH109" s="216">
        <v>0.5</v>
      </c>
      <c r="PI109" s="217">
        <v>0.5</v>
      </c>
      <c r="PJ109" s="218">
        <v>0.5</v>
      </c>
      <c r="PK109" s="216">
        <v>0.5</v>
      </c>
      <c r="PL109" s="137"/>
      <c r="PM109" s="141"/>
      <c r="PN109" s="219">
        <v>0.5</v>
      </c>
      <c r="PO109" s="216">
        <v>0.5</v>
      </c>
      <c r="PP109" s="220">
        <v>0.5</v>
      </c>
      <c r="PQ109" s="220">
        <v>0.5</v>
      </c>
      <c r="PR109" s="220">
        <v>0.5</v>
      </c>
      <c r="PS109" s="220">
        <v>0.5</v>
      </c>
      <c r="PT109" s="220">
        <v>0.5</v>
      </c>
      <c r="PU109" s="220">
        <v>0.5</v>
      </c>
      <c r="PV109" s="220">
        <v>0.5</v>
      </c>
      <c r="PW109" s="137"/>
      <c r="PX109" s="137"/>
      <c r="PY109" s="153"/>
      <c r="PZ109" s="304"/>
      <c r="QA109" s="152"/>
      <c r="QB109" s="131">
        <f>SUM(OZ109:QA109)</f>
      </c>
      <c r="QC109" s="134"/>
      <c r="QD109" s="135"/>
      <c r="QE109" s="136"/>
      <c r="QF109" s="137"/>
      <c r="QG109" s="137"/>
      <c r="QH109" s="220">
        <v>0.5</v>
      </c>
      <c r="QI109" s="220">
        <v>0.5</v>
      </c>
      <c r="QJ109" s="220">
        <v>0.5</v>
      </c>
      <c r="QK109" s="216">
        <v>0.5</v>
      </c>
      <c r="QL109" s="217">
        <v>0.5</v>
      </c>
      <c r="QM109" s="218">
        <v>0.5</v>
      </c>
      <c r="QN109" s="216">
        <v>0.5</v>
      </c>
      <c r="QO109" s="137"/>
      <c r="QP109" s="141"/>
      <c r="QQ109" s="219">
        <v>0.5</v>
      </c>
      <c r="QR109" s="216">
        <v>0.5</v>
      </c>
      <c r="QS109" s="220">
        <v>0.5</v>
      </c>
      <c r="QT109" s="220">
        <v>0.5</v>
      </c>
      <c r="QU109" s="220">
        <v>0.5</v>
      </c>
      <c r="QV109" s="220">
        <v>0.5</v>
      </c>
      <c r="QW109" s="220">
        <v>0.5</v>
      </c>
      <c r="QX109" s="220">
        <v>0.5</v>
      </c>
      <c r="QY109" s="220">
        <v>0.5</v>
      </c>
      <c r="QZ109" s="137"/>
      <c r="RA109" s="137"/>
      <c r="RB109" s="153"/>
      <c r="RC109" s="304"/>
      <c r="RD109" s="152"/>
      <c r="RE109" s="131">
        <f>SUM(QC109:RD109)</f>
      </c>
      <c r="RF109" s="134"/>
      <c r="RG109" s="135"/>
      <c r="RH109" s="136"/>
      <c r="RI109" s="137"/>
      <c r="RJ109" s="137"/>
      <c r="RK109" s="143">
        <v>0.5</v>
      </c>
      <c r="RL109" s="143">
        <v>0.5</v>
      </c>
      <c r="RM109" s="143">
        <v>0.5</v>
      </c>
      <c r="RN109" s="138">
        <v>0.5</v>
      </c>
      <c r="RO109" s="139">
        <v>0.5</v>
      </c>
      <c r="RP109" s="140">
        <v>0.5</v>
      </c>
      <c r="RQ109" s="138">
        <v>0.5</v>
      </c>
      <c r="RR109" s="137"/>
      <c r="RS109" s="141"/>
      <c r="RT109" s="142">
        <v>0.5</v>
      </c>
      <c r="RU109" s="138">
        <v>0.5</v>
      </c>
      <c r="RV109" s="143">
        <v>0.5</v>
      </c>
      <c r="RW109" s="143">
        <v>0.5</v>
      </c>
      <c r="RX109" s="143">
        <v>0.5</v>
      </c>
      <c r="RY109" s="143">
        <v>0.5</v>
      </c>
      <c r="RZ109" s="143">
        <v>0.5</v>
      </c>
      <c r="SA109" s="143">
        <v>0.5</v>
      </c>
      <c r="SB109" s="143">
        <v>0.5</v>
      </c>
      <c r="SC109" s="137"/>
      <c r="SD109" s="137"/>
      <c r="SE109" s="153"/>
      <c r="SF109" s="304"/>
      <c r="SG109" s="152"/>
      <c r="SH109" s="131">
        <f>SUM(RF109:SG109)</f>
      </c>
      <c r="SI109" s="134"/>
      <c r="SJ109" s="135"/>
      <c r="SK109" s="136"/>
      <c r="SL109" s="137"/>
      <c r="SM109" s="137"/>
      <c r="SN109" s="143">
        <v>0.5</v>
      </c>
      <c r="SO109" s="143">
        <v>0.5</v>
      </c>
      <c r="SP109" s="143">
        <v>0.5</v>
      </c>
      <c r="SQ109" s="138">
        <v>0.5</v>
      </c>
      <c r="SR109" s="139">
        <v>0.5</v>
      </c>
      <c r="SS109" s="140">
        <v>0.5</v>
      </c>
      <c r="ST109" s="138">
        <v>0.5</v>
      </c>
      <c r="SU109" s="137"/>
      <c r="SV109" s="141"/>
      <c r="SW109" s="142">
        <v>0.5</v>
      </c>
      <c r="SX109" s="138">
        <v>0.5</v>
      </c>
      <c r="SY109" s="143">
        <v>0.5</v>
      </c>
      <c r="SZ109" s="143">
        <v>0.5</v>
      </c>
      <c r="TA109" s="143">
        <v>0.5</v>
      </c>
      <c r="TB109" s="143">
        <v>0.5</v>
      </c>
      <c r="TC109" s="143">
        <v>0.5</v>
      </c>
      <c r="TD109" s="143">
        <v>0.5</v>
      </c>
      <c r="TE109" s="143">
        <v>0.5</v>
      </c>
      <c r="TF109" s="137"/>
      <c r="TG109" s="137"/>
      <c r="TH109" s="153"/>
      <c r="TI109" s="304"/>
      <c r="TJ109" s="136"/>
      <c r="TK109" s="131">
        <f>SUM(SI109:TJ109)</f>
      </c>
      <c r="TL109" s="134"/>
      <c r="TM109" s="135"/>
      <c r="TN109" s="136"/>
      <c r="TO109" s="137"/>
      <c r="TP109" s="137"/>
      <c r="TQ109" s="143">
        <v>0.5</v>
      </c>
      <c r="TR109" s="143">
        <v>0.5</v>
      </c>
      <c r="TS109" s="143">
        <v>0.5</v>
      </c>
      <c r="TT109" s="138">
        <v>0.5</v>
      </c>
      <c r="TU109" s="139">
        <v>0.5</v>
      </c>
      <c r="TV109" s="140">
        <v>0.5</v>
      </c>
      <c r="TW109" s="138">
        <v>0.5</v>
      </c>
      <c r="TX109" s="137"/>
      <c r="TY109" s="141"/>
      <c r="TZ109" s="142">
        <v>0.5</v>
      </c>
      <c r="UA109" s="138">
        <v>0.5</v>
      </c>
      <c r="UB109" s="143">
        <v>0.5</v>
      </c>
      <c r="UC109" s="143">
        <v>0.5</v>
      </c>
      <c r="UD109" s="143">
        <v>0.5</v>
      </c>
      <c r="UE109" s="143">
        <v>0.5</v>
      </c>
      <c r="UF109" s="143">
        <v>0.5</v>
      </c>
      <c r="UG109" s="143">
        <v>0.5</v>
      </c>
      <c r="UH109" s="143">
        <v>0.5</v>
      </c>
      <c r="UI109" s="137"/>
      <c r="UJ109" s="137"/>
      <c r="UK109" s="153"/>
      <c r="UL109" s="304"/>
      <c r="UM109" s="152"/>
      <c r="UN109" s="131">
        <f>SUM(TL109:UM109)</f>
      </c>
      <c r="UO109" s="121"/>
      <c r="UP109" s="122"/>
      <c r="UQ109" s="123"/>
      <c r="UR109" s="124"/>
      <c r="US109" s="124"/>
      <c r="UT109" s="124"/>
      <c r="UU109" s="124"/>
      <c r="UV109" s="124"/>
      <c r="UW109" s="124"/>
      <c r="UX109" s="125"/>
      <c r="UY109" s="126"/>
      <c r="UZ109" s="124"/>
      <c r="VA109" s="124"/>
      <c r="VB109" s="127"/>
      <c r="VC109" s="123"/>
      <c r="VD109" s="124"/>
      <c r="VE109" s="124"/>
      <c r="VF109" s="124"/>
      <c r="VG109" s="124"/>
      <c r="VH109" s="124"/>
      <c r="VI109" s="124"/>
      <c r="VJ109" s="124"/>
      <c r="VK109" s="124"/>
      <c r="VL109" s="124"/>
      <c r="VM109" s="124"/>
      <c r="VN109" s="125"/>
      <c r="VO109" s="301"/>
      <c r="VP109" s="123"/>
      <c r="VQ109" s="131">
        <f>SUM(UO109:VP109)</f>
      </c>
      <c r="VR109" s="121"/>
      <c r="VS109" s="122"/>
      <c r="VT109" s="123"/>
      <c r="VU109" s="124"/>
      <c r="VV109" s="124"/>
      <c r="VW109" s="124"/>
      <c r="VX109" s="124"/>
      <c r="VY109" s="124"/>
      <c r="VZ109" s="124"/>
      <c r="WA109" s="125"/>
      <c r="WB109" s="126"/>
      <c r="WC109" s="124"/>
      <c r="WD109" s="124"/>
      <c r="WE109" s="127"/>
      <c r="WF109" s="123"/>
      <c r="WG109" s="124"/>
      <c r="WH109" s="124"/>
      <c r="WI109" s="124"/>
      <c r="WJ109" s="124"/>
      <c r="WK109" s="124"/>
      <c r="WL109" s="124"/>
      <c r="WM109" s="124"/>
      <c r="WN109" s="124"/>
      <c r="WO109" s="124"/>
      <c r="WP109" s="124"/>
      <c r="WQ109" s="125"/>
      <c r="WR109" s="301"/>
      <c r="WS109" s="123"/>
      <c r="WT109" s="131">
        <f>SUM(VR109:WS109)</f>
      </c>
      <c r="WU109" s="150">
        <f>QB109+RE109+SH109+TK109+UN109+VQ109+WT109</f>
      </c>
      <c r="WV109" s="302">
        <f>(COUNTIF(OZ109:WT109,"H")+COUNTIF(OZ109:WT109,"S")+COUNTIF(OZ109:WT109,"L")+COUNTIF(OZ109:WT109,"E")+COUNTIF(OZ109:WT109,"C"))/2</f>
      </c>
      <c r="WW109" s="131">
        <f>WU109+WV109</f>
      </c>
      <c r="WX109" s="134"/>
      <c r="WY109" s="135"/>
      <c r="WZ109" s="428">
        <v>0.5</v>
      </c>
      <c r="XA109" s="220">
        <v>0.5</v>
      </c>
      <c r="XB109" s="220">
        <v>0.5</v>
      </c>
      <c r="XC109" s="220">
        <v>0.5</v>
      </c>
      <c r="XD109" s="220">
        <v>0.5</v>
      </c>
      <c r="XE109" s="220">
        <v>0.5</v>
      </c>
      <c r="XF109" s="220">
        <v>0.5</v>
      </c>
      <c r="XG109" s="227">
        <v>0.5</v>
      </c>
      <c r="XH109" s="147"/>
      <c r="XI109" s="148"/>
      <c r="XJ109" s="216">
        <v>0.5</v>
      </c>
      <c r="XK109" s="226">
        <v>0.5</v>
      </c>
      <c r="XL109" s="428">
        <v>0.5</v>
      </c>
      <c r="XM109" s="220">
        <v>0.5</v>
      </c>
      <c r="XN109" s="220">
        <v>0.5</v>
      </c>
      <c r="XO109" s="220">
        <v>0.5</v>
      </c>
      <c r="XP109" s="220">
        <v>0.5</v>
      </c>
      <c r="XQ109" s="220">
        <v>0.5</v>
      </c>
      <c r="XR109" s="220">
        <v>0.5</v>
      </c>
      <c r="XS109" s="220">
        <v>0.5</v>
      </c>
      <c r="XT109" s="137"/>
      <c r="XU109" s="137"/>
      <c r="XV109" s="137"/>
      <c r="XW109" s="153"/>
      <c r="XX109" s="304"/>
      <c r="XY109" s="136"/>
      <c r="XZ109" s="131">
        <f>SUM(WX109:XY109)</f>
      </c>
      <c r="YA109" s="134"/>
      <c r="YB109" s="135"/>
      <c r="YC109" s="339">
        <v>0.5</v>
      </c>
      <c r="YD109" s="143">
        <v>0.5</v>
      </c>
      <c r="YE109" s="143">
        <v>0.5</v>
      </c>
      <c r="YF109" s="143">
        <v>0.5</v>
      </c>
      <c r="YG109" s="143">
        <v>0.5</v>
      </c>
      <c r="YH109" s="143">
        <v>0.5</v>
      </c>
      <c r="YI109" s="143">
        <v>0.5</v>
      </c>
      <c r="YJ109" s="154">
        <v>0.5</v>
      </c>
      <c r="YK109" s="147"/>
      <c r="YL109" s="148"/>
      <c r="YM109" s="138">
        <v>0.5</v>
      </c>
      <c r="YN109" s="149">
        <v>0.5</v>
      </c>
      <c r="YO109" s="339">
        <v>0.5</v>
      </c>
      <c r="YP109" s="143">
        <v>0.5</v>
      </c>
      <c r="YQ109" s="143">
        <v>0.5</v>
      </c>
      <c r="YR109" s="143">
        <v>0.5</v>
      </c>
      <c r="YS109" s="143">
        <v>0.5</v>
      </c>
      <c r="YT109" s="143">
        <v>0.5</v>
      </c>
      <c r="YU109" s="143">
        <v>0.5</v>
      </c>
      <c r="YV109" s="143">
        <v>0.5</v>
      </c>
      <c r="YW109" s="137"/>
      <c r="YX109" s="137"/>
      <c r="YY109" s="137"/>
      <c r="YZ109" s="153"/>
      <c r="ZA109" s="304"/>
      <c r="ZB109" s="136"/>
      <c r="ZC109" s="131">
        <f>SUM(YA109:ZB109)</f>
      </c>
      <c r="ZD109" s="134"/>
      <c r="ZE109" s="135"/>
      <c r="ZF109" s="339">
        <v>0.5</v>
      </c>
      <c r="ZG109" s="143">
        <v>0.5</v>
      </c>
      <c r="ZH109" s="143">
        <v>0.5</v>
      </c>
      <c r="ZI109" s="143">
        <v>0.5</v>
      </c>
      <c r="ZJ109" s="143">
        <v>0.5</v>
      </c>
      <c r="ZK109" s="143">
        <v>0.5</v>
      </c>
      <c r="ZL109" s="143">
        <v>0.5</v>
      </c>
      <c r="ZM109" s="154">
        <v>0.5</v>
      </c>
      <c r="ZN109" s="147"/>
      <c r="ZO109" s="148"/>
      <c r="ZP109" s="138">
        <v>0.5</v>
      </c>
      <c r="ZQ109" s="149">
        <v>0.5</v>
      </c>
      <c r="ZR109" s="339">
        <v>0.5</v>
      </c>
      <c r="ZS109" s="143">
        <v>0.5</v>
      </c>
      <c r="ZT109" s="143">
        <v>0.5</v>
      </c>
      <c r="ZU109" s="143">
        <v>0.5</v>
      </c>
      <c r="ZV109" s="143">
        <v>0.5</v>
      </c>
      <c r="ZW109" s="143">
        <v>0.5</v>
      </c>
      <c r="ZX109" s="143">
        <v>0.5</v>
      </c>
      <c r="ZY109" s="143">
        <v>0.5</v>
      </c>
      <c r="ZZ109" s="137"/>
      <c r="AAA109" s="137"/>
      <c r="AAB109" s="137"/>
      <c r="AAC109" s="153"/>
      <c r="AAD109" s="304"/>
      <c r="AAE109" s="136"/>
      <c r="AAF109" s="131">
        <f>SUM(ZD109:AAE109)</f>
      </c>
      <c r="AAG109" s="134"/>
      <c r="AAH109" s="135"/>
      <c r="AAI109" s="339">
        <v>0.5</v>
      </c>
      <c r="AAJ109" s="143">
        <v>0.5</v>
      </c>
      <c r="AAK109" s="143">
        <v>0.5</v>
      </c>
      <c r="AAL109" s="143">
        <v>0.5</v>
      </c>
      <c r="AAM109" s="143">
        <v>0.5</v>
      </c>
      <c r="AAN109" s="143">
        <v>0.5</v>
      </c>
      <c r="AAO109" s="143">
        <v>0.5</v>
      </c>
      <c r="AAP109" s="154">
        <v>0.5</v>
      </c>
      <c r="AAQ109" s="147"/>
      <c r="AAR109" s="148"/>
      <c r="AAS109" s="138">
        <v>0.5</v>
      </c>
      <c r="AAT109" s="149">
        <v>0.5</v>
      </c>
      <c r="AAU109" s="339">
        <v>0.5</v>
      </c>
      <c r="AAV109" s="143">
        <v>0.5</v>
      </c>
      <c r="AAW109" s="143">
        <v>0.5</v>
      </c>
      <c r="AAX109" s="143">
        <v>0.5</v>
      </c>
      <c r="AAY109" s="143">
        <v>0.5</v>
      </c>
      <c r="AAZ109" s="143">
        <v>0.5</v>
      </c>
      <c r="ABA109" s="143">
        <v>0.5</v>
      </c>
      <c r="ABB109" s="143">
        <v>0.5</v>
      </c>
      <c r="ABC109" s="137"/>
      <c r="ABD109" s="137"/>
      <c r="ABE109" s="137"/>
      <c r="ABF109" s="153"/>
      <c r="ABG109" s="304"/>
      <c r="ABH109" s="136"/>
      <c r="ABI109" s="131">
        <f>SUM(AAG109:ABH109)</f>
      </c>
      <c r="ABJ109" s="134"/>
      <c r="ABK109" s="135"/>
      <c r="ABL109" s="339">
        <v>0.5</v>
      </c>
      <c r="ABM109" s="143">
        <v>0.5</v>
      </c>
      <c r="ABN109" s="143">
        <v>0.5</v>
      </c>
      <c r="ABO109" s="143">
        <v>0.5</v>
      </c>
      <c r="ABP109" s="143">
        <v>0.5</v>
      </c>
      <c r="ABQ109" s="143">
        <v>0.5</v>
      </c>
      <c r="ABR109" s="143">
        <v>0.5</v>
      </c>
      <c r="ABS109" s="154">
        <v>0.5</v>
      </c>
      <c r="ABT109" s="155"/>
      <c r="ABU109" s="137"/>
      <c r="ABV109" s="137"/>
      <c r="ABW109" s="141"/>
      <c r="ABX109" s="136"/>
      <c r="ABY109" s="137"/>
      <c r="ABZ109" s="137"/>
      <c r="ACA109" s="137"/>
      <c r="ACB109" s="137"/>
      <c r="ACC109" s="137"/>
      <c r="ACD109" s="137"/>
      <c r="ACE109" s="137"/>
      <c r="ACF109" s="137"/>
      <c r="ACG109" s="137"/>
      <c r="ACH109" s="137"/>
      <c r="ACI109" s="153"/>
      <c r="ACJ109" s="304"/>
      <c r="ACK109" s="136"/>
      <c r="ACL109" s="131">
        <f>SUM(ABJ109:ACK109)</f>
      </c>
      <c r="ACM109" s="121"/>
      <c r="ACN109" s="122"/>
      <c r="ACO109" s="123"/>
      <c r="ACP109" s="124"/>
      <c r="ACQ109" s="124"/>
      <c r="ACR109" s="124"/>
      <c r="ACS109" s="124"/>
      <c r="ACT109" s="124"/>
      <c r="ACU109" s="124"/>
      <c r="ACV109" s="125"/>
      <c r="ACW109" s="126"/>
      <c r="ACX109" s="124"/>
      <c r="ACY109" s="124"/>
      <c r="ACZ109" s="127"/>
      <c r="ADA109" s="123"/>
      <c r="ADB109" s="124"/>
      <c r="ADC109" s="124"/>
      <c r="ADD109" s="124"/>
      <c r="ADE109" s="124"/>
      <c r="ADF109" s="124"/>
      <c r="ADG109" s="124"/>
      <c r="ADH109" s="124"/>
      <c r="ADI109" s="124"/>
      <c r="ADJ109" s="124"/>
      <c r="ADK109" s="124"/>
      <c r="ADL109" s="125"/>
      <c r="ADM109" s="301"/>
      <c r="ADN109" s="123"/>
      <c r="ADO109" s="131">
        <f>SUM(ACM109:ADN109)</f>
      </c>
      <c r="ADP109" s="121"/>
      <c r="ADQ109" s="122"/>
      <c r="ADR109" s="123"/>
      <c r="ADS109" s="124"/>
      <c r="ADT109" s="124"/>
      <c r="ADU109" s="124"/>
      <c r="ADV109" s="124"/>
      <c r="ADW109" s="124"/>
      <c r="ADX109" s="124"/>
      <c r="ADY109" s="125"/>
      <c r="ADZ109" s="126"/>
      <c r="AEA109" s="124"/>
      <c r="AEB109" s="124"/>
      <c r="AEC109" s="127"/>
      <c r="AED109" s="123"/>
      <c r="AEE109" s="124"/>
      <c r="AEF109" s="124"/>
      <c r="AEG109" s="124"/>
      <c r="AEH109" s="124"/>
      <c r="AEI109" s="124"/>
      <c r="AEJ109" s="124"/>
      <c r="AEK109" s="124"/>
      <c r="AEL109" s="124"/>
      <c r="AEM109" s="124"/>
      <c r="AEN109" s="124"/>
      <c r="AEO109" s="125"/>
      <c r="AEP109" s="301"/>
      <c r="AEQ109" s="123"/>
      <c r="AER109" s="131">
        <f>SUM(ADP109:AEQ109)</f>
      </c>
      <c r="AES109" s="150">
        <f>XZ109+ZC109+AAF109+ABI109+ACL109+ADO109+AER109</f>
      </c>
      <c r="AET109" s="302">
        <f>(COUNTIF(WX109:AER109,"H")+COUNTIF(WX109:AER109,"S")+COUNTIF(WX109:AER109,"L")+COUNTIF(WX109:AER109,"E")+COUNTIF(WX109:AER109,"C"))/2</f>
      </c>
      <c r="AEU109" s="131">
        <f>AES109+AET109</f>
      </c>
      <c r="AEV109" s="134"/>
      <c r="AEW109" s="135"/>
      <c r="AEX109" s="428">
        <v>0.5</v>
      </c>
      <c r="AEY109" s="220">
        <v>0.5</v>
      </c>
      <c r="AEZ109" s="220">
        <v>0.5</v>
      </c>
      <c r="AFA109" s="220">
        <v>0.5</v>
      </c>
      <c r="AFB109" s="220">
        <v>0.5</v>
      </c>
      <c r="AFC109" s="220">
        <v>0.5</v>
      </c>
      <c r="AFD109" s="220">
        <v>0.5</v>
      </c>
      <c r="AFE109" s="227">
        <v>0.5</v>
      </c>
      <c r="AFF109" s="147"/>
      <c r="AFG109" s="148"/>
      <c r="AFH109" s="216">
        <v>0.5</v>
      </c>
      <c r="AFI109" s="226">
        <v>0.5</v>
      </c>
      <c r="AFJ109" s="428">
        <v>0.5</v>
      </c>
      <c r="AFK109" s="220">
        <v>0.5</v>
      </c>
      <c r="AFL109" s="220">
        <v>0.5</v>
      </c>
      <c r="AFM109" s="220">
        <v>0.5</v>
      </c>
      <c r="AFN109" s="220">
        <v>0.5</v>
      </c>
      <c r="AFO109" s="220">
        <v>0.5</v>
      </c>
      <c r="AFP109" s="220">
        <v>0.5</v>
      </c>
      <c r="AFQ109" s="220">
        <v>0.5</v>
      </c>
      <c r="AFR109" s="137"/>
      <c r="AFS109" s="137"/>
      <c r="AFT109" s="137"/>
      <c r="AFU109" s="153"/>
      <c r="AFV109" s="304"/>
      <c r="AFW109" s="152"/>
      <c r="AFX109" s="131">
        <f>SUM(AEV109:AFW109)</f>
      </c>
      <c r="AFY109" s="134"/>
      <c r="AFZ109" s="135"/>
      <c r="AGA109" s="339">
        <v>0.5</v>
      </c>
      <c r="AGB109" s="143">
        <v>0.5</v>
      </c>
      <c r="AGC109" s="143">
        <v>0.5</v>
      </c>
      <c r="AGD109" s="143">
        <v>0.5</v>
      </c>
      <c r="AGE109" s="143">
        <v>0.5</v>
      </c>
      <c r="AGF109" s="143">
        <v>0.5</v>
      </c>
      <c r="AGG109" s="143">
        <v>0.5</v>
      </c>
      <c r="AGH109" s="154">
        <v>0.5</v>
      </c>
      <c r="AGI109" s="147"/>
      <c r="AGJ109" s="148"/>
      <c r="AGK109" s="138">
        <v>0.5</v>
      </c>
      <c r="AGL109" s="149">
        <v>0.5</v>
      </c>
      <c r="AGM109" s="339">
        <v>0.5</v>
      </c>
      <c r="AGN109" s="143">
        <v>0.5</v>
      </c>
      <c r="AGO109" s="143">
        <v>0.5</v>
      </c>
      <c r="AGP109" s="143">
        <v>0.5</v>
      </c>
      <c r="AGQ109" s="143">
        <v>0.5</v>
      </c>
      <c r="AGR109" s="143">
        <v>0.5</v>
      </c>
      <c r="AGS109" s="143">
        <v>0.5</v>
      </c>
      <c r="AGT109" s="143">
        <v>0.5</v>
      </c>
      <c r="AGU109" s="137"/>
      <c r="AGV109" s="137"/>
      <c r="AGW109" s="137"/>
      <c r="AGX109" s="153"/>
      <c r="AGY109" s="304"/>
      <c r="AGZ109" s="152"/>
      <c r="AHA109" s="131">
        <f>SUM(AFY109:AGZ109)</f>
      </c>
      <c r="AHB109" s="134"/>
      <c r="AHC109" s="135"/>
      <c r="AHD109" s="339">
        <v>0.5</v>
      </c>
      <c r="AHE109" s="143">
        <v>0.5</v>
      </c>
      <c r="AHF109" s="143">
        <v>0.5</v>
      </c>
      <c r="AHG109" s="143">
        <v>0.5</v>
      </c>
      <c r="AHH109" s="143">
        <v>0.5</v>
      </c>
      <c r="AHI109" s="143">
        <v>0.5</v>
      </c>
      <c r="AHJ109" s="143">
        <v>0.5</v>
      </c>
      <c r="AHK109" s="154">
        <v>0.5</v>
      </c>
      <c r="AHL109" s="147"/>
      <c r="AHM109" s="148"/>
      <c r="AHN109" s="138">
        <v>0.5</v>
      </c>
      <c r="AHO109" s="149">
        <v>0.5</v>
      </c>
      <c r="AHP109" s="339">
        <v>0.5</v>
      </c>
      <c r="AHQ109" s="143">
        <v>0.5</v>
      </c>
      <c r="AHR109" s="143">
        <v>0.5</v>
      </c>
      <c r="AHS109" s="143">
        <v>0.5</v>
      </c>
      <c r="AHT109" s="143">
        <v>0.5</v>
      </c>
      <c r="AHU109" s="143">
        <v>0.5</v>
      </c>
      <c r="AHV109" s="143">
        <v>0.5</v>
      </c>
      <c r="AHW109" s="143">
        <v>0.5</v>
      </c>
      <c r="AHX109" s="137"/>
      <c r="AHY109" s="137"/>
      <c r="AHZ109" s="137"/>
      <c r="AIA109" s="153"/>
      <c r="AIB109" s="304"/>
      <c r="AIC109" s="152"/>
      <c r="AID109" s="131">
        <f>SUM(AHB109:AIC109)</f>
      </c>
      <c r="AIE109" s="134"/>
      <c r="AIF109" s="135"/>
      <c r="AIG109" s="339">
        <v>0.5</v>
      </c>
      <c r="AIH109" s="143">
        <v>0.5</v>
      </c>
      <c r="AII109" s="143">
        <v>0.5</v>
      </c>
      <c r="AIJ109" s="143">
        <v>0.5</v>
      </c>
      <c r="AIK109" s="143">
        <v>0.5</v>
      </c>
      <c r="AIL109" s="143">
        <v>0.5</v>
      </c>
      <c r="AIM109" s="143">
        <v>0.5</v>
      </c>
      <c r="AIN109" s="154">
        <v>0.5</v>
      </c>
      <c r="AIO109" s="147"/>
      <c r="AIP109" s="148"/>
      <c r="AIQ109" s="138">
        <v>0.5</v>
      </c>
      <c r="AIR109" s="149">
        <v>0.5</v>
      </c>
      <c r="AIS109" s="339">
        <v>0.5</v>
      </c>
      <c r="AIT109" s="143">
        <v>0.5</v>
      </c>
      <c r="AIU109" s="143">
        <v>0.5</v>
      </c>
      <c r="AIV109" s="143">
        <v>0.5</v>
      </c>
      <c r="AIW109" s="143">
        <v>0.5</v>
      </c>
      <c r="AIX109" s="143">
        <v>0.5</v>
      </c>
      <c r="AIY109" s="143">
        <v>0.5</v>
      </c>
      <c r="AIZ109" s="143">
        <v>0.5</v>
      </c>
      <c r="AJA109" s="137"/>
      <c r="AJB109" s="137"/>
      <c r="AJC109" s="137"/>
      <c r="AJD109" s="153"/>
      <c r="AJE109" s="304"/>
      <c r="AJF109" s="152"/>
      <c r="AJG109" s="131">
        <f>SUM(AIE109:AJF109)</f>
      </c>
      <c r="AJH109" s="134"/>
      <c r="AJI109" s="135"/>
      <c r="AJJ109" s="339">
        <v>0.5</v>
      </c>
      <c r="AJK109" s="143">
        <v>0.5</v>
      </c>
      <c r="AJL109" s="143">
        <v>0.5</v>
      </c>
      <c r="AJM109" s="143">
        <v>0.5</v>
      </c>
      <c r="AJN109" s="143">
        <v>0.5</v>
      </c>
      <c r="AJO109" s="143">
        <v>0.5</v>
      </c>
      <c r="AJP109" s="143">
        <v>0.5</v>
      </c>
      <c r="AJQ109" s="154">
        <v>0.5</v>
      </c>
      <c r="AJR109" s="155"/>
      <c r="AJS109" s="137"/>
      <c r="AJT109" s="137"/>
      <c r="AJU109" s="141"/>
      <c r="AJV109" s="136"/>
      <c r="AJW109" s="137"/>
      <c r="AJX109" s="137"/>
      <c r="AJY109" s="137"/>
      <c r="AJZ109" s="137"/>
      <c r="AKA109" s="137"/>
      <c r="AKB109" s="137"/>
      <c r="AKC109" s="137"/>
      <c r="AKD109" s="137"/>
      <c r="AKE109" s="137"/>
      <c r="AKF109" s="137"/>
      <c r="AKG109" s="153"/>
      <c r="AKH109" s="304"/>
      <c r="AKI109" s="152"/>
      <c r="AKJ109" s="131">
        <f>SUM(AJH109:AKI109)</f>
      </c>
      <c r="AKK109" s="121"/>
      <c r="AKL109" s="122"/>
      <c r="AKM109" s="123"/>
      <c r="AKN109" s="124"/>
      <c r="AKO109" s="124"/>
      <c r="AKP109" s="124"/>
      <c r="AKQ109" s="124"/>
      <c r="AKR109" s="124"/>
      <c r="AKS109" s="124"/>
      <c r="AKT109" s="125"/>
      <c r="AKU109" s="126"/>
      <c r="AKV109" s="124"/>
      <c r="AKW109" s="124"/>
      <c r="AKX109" s="127"/>
      <c r="AKY109" s="123"/>
      <c r="AKZ109" s="124"/>
      <c r="ALA109" s="124"/>
      <c r="ALB109" s="124"/>
      <c r="ALC109" s="124"/>
      <c r="ALD109" s="124"/>
      <c r="ALE109" s="124"/>
      <c r="ALF109" s="124"/>
      <c r="ALG109" s="124"/>
      <c r="ALH109" s="124"/>
      <c r="ALI109" s="124"/>
      <c r="ALJ109" s="125"/>
      <c r="ALK109" s="301"/>
      <c r="ALL109" s="123"/>
      <c r="ALM109" s="131">
        <f>SUM(AKK109:ALL109)</f>
      </c>
      <c r="ALN109" s="121"/>
      <c r="ALO109" s="122"/>
      <c r="ALP109" s="123"/>
      <c r="ALQ109" s="124"/>
      <c r="ALR109" s="124"/>
      <c r="ALS109" s="124"/>
      <c r="ALT109" s="124"/>
      <c r="ALU109" s="124"/>
      <c r="ALV109" s="124"/>
      <c r="ALW109" s="125"/>
      <c r="ALX109" s="126"/>
      <c r="ALY109" s="124"/>
      <c r="ALZ109" s="124"/>
      <c r="AMA109" s="127"/>
      <c r="AMB109" s="123"/>
      <c r="AMC109" s="124"/>
      <c r="AMD109" s="124"/>
      <c r="AME109" s="124"/>
      <c r="AMF109" s="124"/>
      <c r="AMG109" s="124"/>
      <c r="AMH109" s="124"/>
      <c r="AMI109" s="124"/>
      <c r="AMJ109" s="124"/>
      <c r="AMK109" s="124"/>
      <c r="AML109" s="124"/>
      <c r="AMM109" s="125"/>
      <c r="AMN109" s="301"/>
      <c r="AMO109" s="123"/>
      <c r="AMP109" s="131">
        <f>SUM(ALN109:AMO109)</f>
      </c>
      <c r="AMQ109" s="150">
        <f>AFX109+AHA109+AID109+AJG109+AKJ109+ALM109+AMP109</f>
      </c>
      <c r="AMR109" s="302">
        <f>(COUNTIF(AEV109:AMP109,"H")+COUNTIF(AEV109:AMP109,"S")+COUNTIF(AEV109:AMP109,"L")+COUNTIF(AEV109:AMP109,"E")+COUNTIF(AEV109:AMP109,"C"))/2</f>
      </c>
      <c r="AMS109" s="131">
        <f>AMQ109+AMR109</f>
      </c>
      <c r="AMT109" s="4"/>
      <c r="AMU109" s="4"/>
      <c r="AMV109" s="4"/>
      <c r="AMW109" s="4"/>
      <c r="AMX109" s="4"/>
      <c r="AMY109" s="4"/>
      <c r="AMZ109" s="4"/>
      <c r="ANA109" s="4"/>
      <c r="ANB109" s="4"/>
      <c r="ANC109" s="4"/>
      <c r="AND109" s="4"/>
      <c r="ANE109" s="4"/>
      <c r="ANF109" s="4"/>
      <c r="ANG109" s="4"/>
      <c r="ANH109" s="4"/>
      <c r="ANI109" s="4"/>
      <c r="ANJ109" s="4"/>
      <c r="ANK109" s="4"/>
      <c r="ANL109" s="4"/>
      <c r="ANM109" s="4"/>
      <c r="ANN109" s="4"/>
      <c r="ANO109" s="4"/>
      <c r="ANP109" s="4"/>
      <c r="ANQ109" s="4"/>
      <c r="ANR109" s="4"/>
      <c r="ANS109" s="4"/>
      <c r="ANT109" s="4"/>
      <c r="ANU109" s="4"/>
      <c r="ANV109" s="4"/>
      <c r="ANW109" s="4"/>
      <c r="ANX109" s="4"/>
      <c r="ANY109" s="4"/>
      <c r="ANZ109" s="4"/>
      <c r="AOA109" s="4"/>
      <c r="AOB109" s="4"/>
      <c r="AOC109" s="4"/>
      <c r="AOD109" s="4"/>
      <c r="AOE109" s="4"/>
      <c r="AOF109" s="4"/>
      <c r="AOG109" s="4"/>
      <c r="AOH109" s="4"/>
      <c r="AOI109" s="4"/>
      <c r="AOJ109" s="4"/>
      <c r="AOK109" s="4"/>
      <c r="AOL109" s="4"/>
      <c r="AOM109" s="4"/>
      <c r="AON109" s="4"/>
      <c r="AOO109" s="4"/>
      <c r="AOP109" s="4"/>
      <c r="AOQ109" s="4"/>
      <c r="AOR109" s="4"/>
      <c r="AOS109" s="4"/>
      <c r="AOT109" s="4"/>
      <c r="AOU109" s="4"/>
      <c r="AOV109" s="4"/>
      <c r="AOW109" s="4"/>
      <c r="AOX109" s="4"/>
      <c r="AOY109" s="4"/>
      <c r="AOZ109" s="4"/>
      <c r="APA109" s="4"/>
      <c r="APB109" s="4"/>
      <c r="APC109" s="4"/>
      <c r="APD109" s="4"/>
      <c r="APE109" s="4"/>
      <c r="APF109" s="4"/>
      <c r="APG109" s="4"/>
      <c r="APH109" s="4"/>
      <c r="API109" s="4"/>
      <c r="APJ109" s="4"/>
      <c r="APK109" s="4"/>
      <c r="APL109" s="4"/>
      <c r="APM109" s="4"/>
      <c r="APN109" s="4"/>
      <c r="APO109" s="4"/>
      <c r="APP109" s="4"/>
      <c r="APQ109" s="4"/>
      <c r="APR109" s="4"/>
      <c r="APS109" s="4"/>
      <c r="APT109" s="4"/>
      <c r="APU109" s="4"/>
      <c r="APV109" s="4"/>
      <c r="APW109" s="4"/>
      <c r="APX109" s="4"/>
      <c r="APY109" s="4"/>
      <c r="APZ109" s="4"/>
      <c r="AQA109" s="4"/>
      <c r="AQB109" s="4"/>
      <c r="AQC109" s="4"/>
      <c r="AQD109" s="4"/>
      <c r="AQE109" s="4"/>
      <c r="AQF109" s="4"/>
      <c r="AQG109" s="4"/>
      <c r="AQH109" s="4"/>
      <c r="AQI109" s="4"/>
      <c r="AQJ109" s="4"/>
      <c r="AQK109" s="4"/>
      <c r="AQL109" s="4"/>
      <c r="AQM109" s="4"/>
      <c r="AQN109" s="4"/>
      <c r="AQO109" s="4"/>
      <c r="AQP109" s="4"/>
      <c r="AQQ109" s="4"/>
      <c r="AQR109" s="4"/>
      <c r="AQS109" s="4"/>
      <c r="AQT109" s="4"/>
      <c r="AQU109" s="4"/>
      <c r="AQV109" s="4"/>
      <c r="AQW109" s="4"/>
      <c r="AQX109" s="4"/>
      <c r="AQY109" s="4"/>
      <c r="AQZ109" s="4"/>
      <c r="ARA109" s="4"/>
      <c r="ARB109" s="4"/>
      <c r="ARC109" s="4"/>
      <c r="ARD109" s="4"/>
      <c r="ARE109" s="4"/>
      <c r="ARF109" s="4"/>
      <c r="ARG109" s="4"/>
      <c r="ARH109" s="4"/>
      <c r="ARI109" s="4"/>
      <c r="ARJ109" s="4"/>
      <c r="ARK109" s="4"/>
      <c r="ARL109" s="4"/>
      <c r="ARM109" s="4"/>
      <c r="ARN109" s="4"/>
      <c r="ARO109" s="4"/>
      <c r="ARP109" s="4"/>
      <c r="ARQ109" s="4"/>
      <c r="ARR109" s="4"/>
      <c r="ARS109" s="4"/>
      <c r="ART109" s="4"/>
      <c r="ARU109" s="4"/>
      <c r="ARV109" s="4"/>
      <c r="ARW109" s="4"/>
      <c r="ARX109" s="4"/>
      <c r="ARY109" s="4"/>
      <c r="ARZ109" s="4"/>
      <c r="ASA109" s="4"/>
      <c r="ASB109" s="4"/>
      <c r="ASC109" s="4"/>
      <c r="ASD109" s="4"/>
      <c r="ASE109" s="4"/>
      <c r="ASF109" s="4"/>
      <c r="ASG109" s="4"/>
      <c r="ASH109" s="4"/>
      <c r="ASI109" s="4"/>
      <c r="ASJ109" s="4"/>
      <c r="ASK109" s="4"/>
      <c r="ASL109" s="4"/>
      <c r="ASM109" s="4"/>
      <c r="ASN109" s="4"/>
      <c r="ASO109" s="4"/>
      <c r="ASP109" s="4"/>
      <c r="ASQ109" s="4"/>
      <c r="ASR109" s="4"/>
      <c r="ASS109" s="4"/>
      <c r="AST109" s="4"/>
      <c r="ASU109" s="4"/>
    </row>
    <row r="110" ht="15" customHeight="1" spans="1:1191" x14ac:dyDescent="0.25">
      <c r="A110" s="118"/>
      <c r="B110" s="367" t="s">
        <v>146</v>
      </c>
      <c r="C110" s="289" t="s">
        <v>55</v>
      </c>
      <c r="D110" s="121"/>
      <c r="E110" s="122"/>
      <c r="F110" s="123"/>
      <c r="G110" s="196"/>
      <c r="H110" s="196"/>
      <c r="I110" s="196"/>
      <c r="J110" s="196"/>
      <c r="K110" s="196"/>
      <c r="L110" s="196"/>
      <c r="M110" s="195"/>
      <c r="N110" s="126"/>
      <c r="O110" s="292"/>
      <c r="P110" s="124"/>
      <c r="Q110" s="127"/>
      <c r="R110" s="196"/>
      <c r="S110" s="196"/>
      <c r="T110" s="196"/>
      <c r="U110" s="196"/>
      <c r="V110" s="196"/>
      <c r="W110" s="196"/>
      <c r="X110" s="196"/>
      <c r="Y110" s="196"/>
      <c r="Z110" s="196"/>
      <c r="AA110" s="124"/>
      <c r="AB110" s="124"/>
      <c r="AC110" s="125"/>
      <c r="AD110" s="301"/>
      <c r="AE110" s="123"/>
      <c r="AF110" s="131">
        <f>SUM(D110:AE110)</f>
      </c>
      <c r="AG110" s="121"/>
      <c r="AH110" s="122"/>
      <c r="AI110" s="123"/>
      <c r="AJ110" s="196"/>
      <c r="AK110" s="196"/>
      <c r="AL110" s="196"/>
      <c r="AM110" s="196"/>
      <c r="AN110" s="196"/>
      <c r="AO110" s="196"/>
      <c r="AP110" s="195"/>
      <c r="AQ110" s="126"/>
      <c r="AR110" s="292"/>
      <c r="AS110" s="124"/>
      <c r="AT110" s="127"/>
      <c r="AU110" s="196"/>
      <c r="AV110" s="196"/>
      <c r="AW110" s="196"/>
      <c r="AX110" s="196"/>
      <c r="AY110" s="196"/>
      <c r="AZ110" s="196"/>
      <c r="BA110" s="196"/>
      <c r="BB110" s="196"/>
      <c r="BC110" s="196"/>
      <c r="BD110" s="124"/>
      <c r="BE110" s="124"/>
      <c r="BF110" s="125"/>
      <c r="BG110" s="301"/>
      <c r="BH110" s="123"/>
      <c r="BI110" s="131">
        <f>SUM(AG110:BH110)</f>
      </c>
      <c r="BJ110" s="121"/>
      <c r="BK110" s="122"/>
      <c r="BL110" s="123"/>
      <c r="BM110" s="124"/>
      <c r="BN110" s="124"/>
      <c r="BO110" s="124"/>
      <c r="BP110" s="124"/>
      <c r="BQ110" s="124"/>
      <c r="BR110" s="124"/>
      <c r="BS110" s="125"/>
      <c r="BT110" s="126"/>
      <c r="BU110" s="124"/>
      <c r="BV110" s="124"/>
      <c r="BW110" s="127"/>
      <c r="BX110" s="123"/>
      <c r="BY110" s="124"/>
      <c r="BZ110" s="124"/>
      <c r="CA110" s="124"/>
      <c r="CB110" s="124"/>
      <c r="CC110" s="124"/>
      <c r="CD110" s="124"/>
      <c r="CE110" s="124"/>
      <c r="CF110" s="124"/>
      <c r="CG110" s="124"/>
      <c r="CH110" s="124"/>
      <c r="CI110" s="125"/>
      <c r="CJ110" s="301"/>
      <c r="CK110" s="123"/>
      <c r="CL110" s="131">
        <f>SUM(BJ110:CK110)</f>
      </c>
      <c r="CM110" s="121"/>
      <c r="CN110" s="122"/>
      <c r="CO110" s="123"/>
      <c r="CP110" s="196"/>
      <c r="CQ110" s="196"/>
      <c r="CR110" s="196"/>
      <c r="CS110" s="196"/>
      <c r="CT110" s="196"/>
      <c r="CU110" s="196"/>
      <c r="CV110" s="195"/>
      <c r="CW110" s="126"/>
      <c r="CX110" s="292"/>
      <c r="CY110" s="124"/>
      <c r="CZ110" s="127"/>
      <c r="DA110" s="196"/>
      <c r="DB110" s="196"/>
      <c r="DC110" s="196"/>
      <c r="DD110" s="196"/>
      <c r="DE110" s="196"/>
      <c r="DF110" s="196"/>
      <c r="DG110" s="196"/>
      <c r="DH110" s="196"/>
      <c r="DI110" s="196"/>
      <c r="DJ110" s="124"/>
      <c r="DK110" s="124"/>
      <c r="DL110" s="125"/>
      <c r="DM110" s="301"/>
      <c r="DN110" s="123"/>
      <c r="DO110" s="131">
        <f>SUM(CM110:DN110)</f>
      </c>
      <c r="DP110" s="121"/>
      <c r="DQ110" s="122"/>
      <c r="DR110" s="123"/>
      <c r="DS110" s="196"/>
      <c r="DT110" s="196"/>
      <c r="DU110" s="196"/>
      <c r="DV110" s="196"/>
      <c r="DW110" s="196"/>
      <c r="DX110" s="196"/>
      <c r="DY110" s="195"/>
      <c r="DZ110" s="126"/>
      <c r="EA110" s="292"/>
      <c r="EB110" s="124"/>
      <c r="EC110" s="127"/>
      <c r="ED110" s="196"/>
      <c r="EE110" s="196"/>
      <c r="EF110" s="196"/>
      <c r="EG110" s="196"/>
      <c r="EH110" s="196"/>
      <c r="EI110" s="196"/>
      <c r="EJ110" s="196"/>
      <c r="EK110" s="196"/>
      <c r="EL110" s="196"/>
      <c r="EM110" s="124"/>
      <c r="EN110" s="124"/>
      <c r="EO110" s="125"/>
      <c r="EP110" s="301"/>
      <c r="EQ110" s="123"/>
      <c r="ER110" s="131">
        <f>SUM(DP110:EQ110)</f>
      </c>
      <c r="ES110" s="121"/>
      <c r="ET110" s="122"/>
      <c r="EU110" s="123"/>
      <c r="EV110" s="124"/>
      <c r="EW110" s="124"/>
      <c r="EX110" s="124"/>
      <c r="EY110" s="124"/>
      <c r="EZ110" s="124"/>
      <c r="FA110" s="124"/>
      <c r="FB110" s="125"/>
      <c r="FC110" s="126"/>
      <c r="FD110" s="124"/>
      <c r="FE110" s="124"/>
      <c r="FF110" s="127"/>
      <c r="FG110" s="123"/>
      <c r="FH110" s="124"/>
      <c r="FI110" s="124"/>
      <c r="FJ110" s="124"/>
      <c r="FK110" s="124"/>
      <c r="FL110" s="124"/>
      <c r="FM110" s="124"/>
      <c r="FN110" s="124"/>
      <c r="FO110" s="124"/>
      <c r="FP110" s="124"/>
      <c r="FQ110" s="124"/>
      <c r="FR110" s="125"/>
      <c r="FS110" s="301"/>
      <c r="FT110" s="123"/>
      <c r="FU110" s="131">
        <f>SUM(ES110:FT110)</f>
      </c>
      <c r="FV110" s="121"/>
      <c r="FW110" s="122"/>
      <c r="FX110" s="123"/>
      <c r="FY110" s="124"/>
      <c r="FZ110" s="124"/>
      <c r="GA110" s="124"/>
      <c r="GB110" s="124"/>
      <c r="GC110" s="124"/>
      <c r="GD110" s="124"/>
      <c r="GE110" s="125"/>
      <c r="GF110" s="126"/>
      <c r="GG110" s="124"/>
      <c r="GH110" s="124"/>
      <c r="GI110" s="127"/>
      <c r="GJ110" s="123"/>
      <c r="GK110" s="124"/>
      <c r="GL110" s="124"/>
      <c r="GM110" s="124"/>
      <c r="GN110" s="124"/>
      <c r="GO110" s="124"/>
      <c r="GP110" s="124"/>
      <c r="GQ110" s="124"/>
      <c r="GR110" s="124"/>
      <c r="GS110" s="124"/>
      <c r="GT110" s="124"/>
      <c r="GU110" s="125"/>
      <c r="GV110" s="301"/>
      <c r="GW110" s="123"/>
      <c r="GX110" s="131">
        <f>SUM(FV110:GW110)</f>
      </c>
      <c r="GY110" s="150">
        <f>AF110+BI110+CL110+DO110+ER110+FU110+GX110</f>
      </c>
      <c r="GZ110" s="302">
        <f>(COUNTIF(D110:GX110,"H")+COUNTIF(D110:GX110,"S")+COUNTIF(D110:GX110,"L")+COUNTIF(D110:GX110,"E")+COUNTIF(D110:GX110,"C"))/2</f>
      </c>
      <c r="HA110" s="131">
        <f>GY110+GZ110</f>
      </c>
      <c r="HB110" s="134"/>
      <c r="HC110" s="135"/>
      <c r="HD110" s="136"/>
      <c r="HE110" s="15">
        <v>0.5</v>
      </c>
      <c r="HF110" s="15">
        <v>0.5</v>
      </c>
      <c r="HG110" s="15">
        <v>0.5</v>
      </c>
      <c r="HH110" s="15">
        <v>0.5</v>
      </c>
      <c r="HI110" s="15">
        <v>0.5</v>
      </c>
      <c r="HJ110" s="15">
        <v>0.5</v>
      </c>
      <c r="HK110" s="211">
        <v>0.5</v>
      </c>
      <c r="HL110" s="404">
        <v>0.5</v>
      </c>
      <c r="HM110" s="377">
        <v>0.5</v>
      </c>
      <c r="HN110" s="148"/>
      <c r="HO110" s="305"/>
      <c r="HP110" s="15">
        <v>0.5</v>
      </c>
      <c r="HQ110" s="15">
        <v>0.5</v>
      </c>
      <c r="HR110" s="15">
        <v>0.5</v>
      </c>
      <c r="HS110" s="15">
        <v>0.5</v>
      </c>
      <c r="HT110" s="15">
        <v>0.5</v>
      </c>
      <c r="HU110" s="15">
        <v>0.5</v>
      </c>
      <c r="HV110" s="15">
        <v>0.5</v>
      </c>
      <c r="HW110" s="15">
        <v>0.5</v>
      </c>
      <c r="HX110" s="15">
        <v>0.5</v>
      </c>
      <c r="HY110" s="137"/>
      <c r="HZ110" s="137"/>
      <c r="IA110" s="153"/>
      <c r="IB110" s="304"/>
      <c r="IC110" s="136"/>
      <c r="ID110" s="131">
        <f>SUM(HB110:IC110)</f>
      </c>
      <c r="IE110" s="134"/>
      <c r="IF110" s="135"/>
      <c r="IG110" s="136"/>
      <c r="IH110" s="15">
        <v>0.5</v>
      </c>
      <c r="II110" s="15">
        <v>0.5</v>
      </c>
      <c r="IJ110" s="15">
        <v>0.5</v>
      </c>
      <c r="IK110" s="15">
        <v>0.5</v>
      </c>
      <c r="IL110" s="15">
        <v>0.5</v>
      </c>
      <c r="IM110" s="15">
        <v>0.5</v>
      </c>
      <c r="IN110" s="211">
        <v>0.5</v>
      </c>
      <c r="IO110" s="404">
        <v>0.5</v>
      </c>
      <c r="IP110" s="377">
        <v>0.5</v>
      </c>
      <c r="IQ110" s="148"/>
      <c r="IR110" s="305"/>
      <c r="IS110" s="15">
        <v>0.5</v>
      </c>
      <c r="IT110" s="15">
        <v>0.5</v>
      </c>
      <c r="IU110" s="15">
        <v>0.5</v>
      </c>
      <c r="IV110" s="15">
        <v>0.5</v>
      </c>
      <c r="IW110" s="15">
        <v>0.5</v>
      </c>
      <c r="IX110" s="15">
        <v>0.5</v>
      </c>
      <c r="IY110" s="15">
        <v>0.5</v>
      </c>
      <c r="IZ110" s="15">
        <v>0.5</v>
      </c>
      <c r="JA110" s="15">
        <v>0.5</v>
      </c>
      <c r="JB110" s="137"/>
      <c r="JC110" s="137"/>
      <c r="JD110" s="153"/>
      <c r="JE110" s="304"/>
      <c r="JF110" s="136"/>
      <c r="JG110" s="131">
        <f>SUM(IE110:JF110)</f>
      </c>
      <c r="JH110" s="134"/>
      <c r="JI110" s="135"/>
      <c r="JJ110" s="136"/>
      <c r="JK110" s="15">
        <v>0.5</v>
      </c>
      <c r="JL110" s="15">
        <v>0.5</v>
      </c>
      <c r="JM110" s="15">
        <v>0.5</v>
      </c>
      <c r="JN110" s="15">
        <v>0.5</v>
      </c>
      <c r="JO110" s="15">
        <v>0.5</v>
      </c>
      <c r="JP110" s="15">
        <v>0.5</v>
      </c>
      <c r="JQ110" s="211">
        <v>0.5</v>
      </c>
      <c r="JR110" s="404">
        <v>0.5</v>
      </c>
      <c r="JS110" s="377">
        <v>0.5</v>
      </c>
      <c r="JT110" s="148"/>
      <c r="JU110" s="305"/>
      <c r="JV110" s="15">
        <v>0.5</v>
      </c>
      <c r="JW110" s="15">
        <v>0.5</v>
      </c>
      <c r="JX110" s="15">
        <v>0.5</v>
      </c>
      <c r="JY110" s="15">
        <v>0.5</v>
      </c>
      <c r="JZ110" s="15">
        <v>0.5</v>
      </c>
      <c r="KA110" s="15">
        <v>0.5</v>
      </c>
      <c r="KB110" s="15">
        <v>0.5</v>
      </c>
      <c r="KC110" s="15">
        <v>0.5</v>
      </c>
      <c r="KD110" s="15">
        <v>0.5</v>
      </c>
      <c r="KE110" s="137"/>
      <c r="KF110" s="137"/>
      <c r="KG110" s="153"/>
      <c r="KH110" s="304"/>
      <c r="KI110" s="136"/>
      <c r="KJ110" s="131">
        <f>SUM(JH110:KI110)</f>
      </c>
      <c r="KK110" s="134"/>
      <c r="KL110" s="135"/>
      <c r="KM110" s="136"/>
      <c r="KN110" s="15">
        <v>0.5</v>
      </c>
      <c r="KO110" s="15">
        <v>0.5</v>
      </c>
      <c r="KP110" s="15">
        <v>0.5</v>
      </c>
      <c r="KQ110" s="15">
        <v>0.5</v>
      </c>
      <c r="KR110" s="15">
        <v>0.5</v>
      </c>
      <c r="KS110" s="15">
        <v>0.5</v>
      </c>
      <c r="KT110" s="211">
        <v>0.5</v>
      </c>
      <c r="KU110" s="404">
        <v>0.5</v>
      </c>
      <c r="KV110" s="377">
        <v>0.5</v>
      </c>
      <c r="KW110" s="148"/>
      <c r="KX110" s="305"/>
      <c r="KY110" s="15">
        <v>0.5</v>
      </c>
      <c r="KZ110" s="15">
        <v>0.5</v>
      </c>
      <c r="LA110" s="15">
        <v>0.5</v>
      </c>
      <c r="LB110" s="15">
        <v>0.5</v>
      </c>
      <c r="LC110" s="15">
        <v>0.5</v>
      </c>
      <c r="LD110" s="15">
        <v>0.5</v>
      </c>
      <c r="LE110" s="15">
        <v>0.5</v>
      </c>
      <c r="LF110" s="15">
        <v>0.5</v>
      </c>
      <c r="LG110" s="15">
        <v>0.5</v>
      </c>
      <c r="LH110" s="137"/>
      <c r="LI110" s="137"/>
      <c r="LJ110" s="153"/>
      <c r="LK110" s="304"/>
      <c r="LL110" s="136"/>
      <c r="LM110" s="131">
        <f>SUM(KK110:LL110)</f>
      </c>
      <c r="LN110" s="134"/>
      <c r="LO110" s="135"/>
      <c r="LP110" s="136"/>
      <c r="LQ110" s="15"/>
      <c r="LR110" s="15">
        <v>0.5</v>
      </c>
      <c r="LS110" s="15">
        <v>0.5</v>
      </c>
      <c r="LT110" s="15">
        <v>0.5</v>
      </c>
      <c r="LU110" s="15">
        <v>0.5</v>
      </c>
      <c r="LV110" s="15">
        <v>0.5</v>
      </c>
      <c r="LW110" s="211">
        <v>0.5</v>
      </c>
      <c r="LX110" s="404">
        <v>0.5</v>
      </c>
      <c r="LY110" s="377">
        <v>0.5</v>
      </c>
      <c r="LZ110" s="148"/>
      <c r="MA110" s="305"/>
      <c r="MB110" s="207"/>
      <c r="MC110" s="207"/>
      <c r="MD110" s="207"/>
      <c r="ME110" s="207"/>
      <c r="MF110" s="207"/>
      <c r="MG110" s="207"/>
      <c r="MH110" s="207"/>
      <c r="MI110" s="207"/>
      <c r="MJ110" s="207"/>
      <c r="MK110" s="137"/>
      <c r="ML110" s="137"/>
      <c r="MM110" s="153"/>
      <c r="MN110" s="304"/>
      <c r="MO110" s="136"/>
      <c r="MP110" s="131">
        <f>SUM(LN110:MO110)</f>
      </c>
      <c r="MQ110" s="121"/>
      <c r="MR110" s="122"/>
      <c r="MS110" s="123"/>
      <c r="MT110" s="124"/>
      <c r="MU110" s="124"/>
      <c r="MV110" s="124"/>
      <c r="MW110" s="124"/>
      <c r="MX110" s="124"/>
      <c r="MY110" s="124"/>
      <c r="MZ110" s="125"/>
      <c r="NA110" s="126"/>
      <c r="NB110" s="124"/>
      <c r="NC110" s="124"/>
      <c r="ND110" s="127"/>
      <c r="NE110" s="123"/>
      <c r="NF110" s="124"/>
      <c r="NG110" s="124"/>
      <c r="NH110" s="124"/>
      <c r="NI110" s="124"/>
      <c r="NJ110" s="124"/>
      <c r="NK110" s="124"/>
      <c r="NL110" s="124"/>
      <c r="NM110" s="124"/>
      <c r="NN110" s="124"/>
      <c r="NO110" s="124"/>
      <c r="NP110" s="125"/>
      <c r="NQ110" s="301"/>
      <c r="NR110" s="123"/>
      <c r="NS110" s="131">
        <f>SUM(MQ110:NR110)</f>
      </c>
      <c r="NT110" s="121"/>
      <c r="NU110" s="122"/>
      <c r="NV110" s="123"/>
      <c r="NW110" s="124"/>
      <c r="NX110" s="124"/>
      <c r="NY110" s="124"/>
      <c r="NZ110" s="124"/>
      <c r="OA110" s="124"/>
      <c r="OB110" s="124"/>
      <c r="OC110" s="125"/>
      <c r="OD110" s="126"/>
      <c r="OE110" s="124"/>
      <c r="OF110" s="124"/>
      <c r="OG110" s="127"/>
      <c r="OH110" s="123"/>
      <c r="OI110" s="124"/>
      <c r="OJ110" s="124"/>
      <c r="OK110" s="124"/>
      <c r="OL110" s="124"/>
      <c r="OM110" s="124"/>
      <c r="ON110" s="124"/>
      <c r="OO110" s="124"/>
      <c r="OP110" s="124"/>
      <c r="OQ110" s="124"/>
      <c r="OR110" s="124"/>
      <c r="OS110" s="125"/>
      <c r="OT110" s="301"/>
      <c r="OU110" s="123"/>
      <c r="OV110" s="131">
        <f>SUM(NT110:OU110)</f>
      </c>
      <c r="OW110" s="150">
        <f>ID110+JG110+KJ110+LM110+MP110+NS110+OV110</f>
      </c>
      <c r="OX110" s="302">
        <f>(COUNTIF(HB110:OV110,"H")+COUNTIF(HB110:OV110,"S")+COUNTIF(HB110:OV110,"L")+COUNTIF(HB110:OV110,"E")+COUNTIF(HB110:OV110,"C"))/2</f>
      </c>
      <c r="OY110" s="131">
        <f>OW110+OX110</f>
      </c>
      <c r="OZ110" s="134"/>
      <c r="PA110" s="135"/>
      <c r="PB110" s="295"/>
      <c r="PC110" s="295"/>
      <c r="PD110" s="15">
        <v>0.5</v>
      </c>
      <c r="PE110" s="15">
        <v>0.5</v>
      </c>
      <c r="PF110" s="15">
        <v>0.5</v>
      </c>
      <c r="PG110" s="15">
        <v>0.5</v>
      </c>
      <c r="PH110" s="212">
        <v>0.5</v>
      </c>
      <c r="PI110" s="213">
        <v>0.5</v>
      </c>
      <c r="PJ110" s="214">
        <v>0.5</v>
      </c>
      <c r="PK110" s="212">
        <v>0.5</v>
      </c>
      <c r="PL110" s="207"/>
      <c r="PM110" s="208"/>
      <c r="PN110" s="298">
        <v>0.5</v>
      </c>
      <c r="PO110" s="212">
        <v>0.5</v>
      </c>
      <c r="PP110" s="15">
        <v>0.5</v>
      </c>
      <c r="PQ110" s="15">
        <v>0.5</v>
      </c>
      <c r="PR110" s="15">
        <v>0.5</v>
      </c>
      <c r="PS110" s="15">
        <v>0.5</v>
      </c>
      <c r="PT110" s="15">
        <v>0.5</v>
      </c>
      <c r="PU110" s="15">
        <v>0.5</v>
      </c>
      <c r="PV110" s="207"/>
      <c r="PW110" s="207"/>
      <c r="PX110" s="207"/>
      <c r="PY110" s="209"/>
      <c r="PZ110" s="135"/>
      <c r="QA110" s="136"/>
      <c r="QB110" s="130">
        <f>SUM(OZ110:QA110)</f>
      </c>
      <c r="QC110" s="134"/>
      <c r="QD110" s="135"/>
      <c r="QE110" s="295"/>
      <c r="QF110" s="295"/>
      <c r="QG110" s="24">
        <v>0.5</v>
      </c>
      <c r="QH110" s="24">
        <v>0.5</v>
      </c>
      <c r="QI110" s="24">
        <v>0.5</v>
      </c>
      <c r="QJ110" s="24">
        <v>0.5</v>
      </c>
      <c r="QK110" s="24">
        <v>0.5</v>
      </c>
      <c r="QL110" s="203">
        <v>0.5</v>
      </c>
      <c r="QM110" s="427">
        <v>0.5</v>
      </c>
      <c r="QN110" s="24">
        <v>0.5</v>
      </c>
      <c r="QO110" s="207"/>
      <c r="QP110" s="208"/>
      <c r="QQ110" s="427">
        <v>0.5</v>
      </c>
      <c r="QR110" s="24">
        <v>0.5</v>
      </c>
      <c r="QS110" s="24">
        <v>0.5</v>
      </c>
      <c r="QT110" s="24">
        <v>0.5</v>
      </c>
      <c r="QU110" s="24">
        <v>0.5</v>
      </c>
      <c r="QV110" s="24">
        <v>0.5</v>
      </c>
      <c r="QW110" s="24">
        <v>0.5</v>
      </c>
      <c r="QX110" s="24">
        <v>0.5</v>
      </c>
      <c r="QY110" s="207"/>
      <c r="QZ110" s="207"/>
      <c r="RA110" s="207"/>
      <c r="RB110" s="209"/>
      <c r="RC110" s="135"/>
      <c r="RD110" s="136"/>
      <c r="RE110" s="130">
        <f>SUM(QC110:RD110)</f>
      </c>
      <c r="RF110" s="134"/>
      <c r="RG110" s="135"/>
      <c r="RH110" s="295"/>
      <c r="RI110" s="295"/>
      <c r="RJ110" s="15">
        <v>0.5</v>
      </c>
      <c r="RK110" s="15">
        <v>0.5</v>
      </c>
      <c r="RL110" s="15">
        <v>0.5</v>
      </c>
      <c r="RM110" s="15">
        <v>0.5</v>
      </c>
      <c r="RN110" s="212">
        <v>0.5</v>
      </c>
      <c r="RO110" s="213">
        <v>0.5</v>
      </c>
      <c r="RP110" s="214">
        <v>0.5</v>
      </c>
      <c r="RQ110" s="212">
        <v>0.5</v>
      </c>
      <c r="RR110" s="207"/>
      <c r="RS110" s="208"/>
      <c r="RT110" s="298">
        <v>0.5</v>
      </c>
      <c r="RU110" s="212">
        <v>0.5</v>
      </c>
      <c r="RV110" s="15">
        <v>0.5</v>
      </c>
      <c r="RW110" s="15">
        <v>0.5</v>
      </c>
      <c r="RX110" s="15">
        <v>0.5</v>
      </c>
      <c r="RY110" s="15">
        <v>0.5</v>
      </c>
      <c r="RZ110" s="15">
        <v>0.5</v>
      </c>
      <c r="SA110" s="15">
        <v>0.5</v>
      </c>
      <c r="SB110" s="207"/>
      <c r="SC110" s="207"/>
      <c r="SD110" s="207"/>
      <c r="SE110" s="209"/>
      <c r="SF110" s="135"/>
      <c r="SG110" s="136"/>
      <c r="SH110" s="130">
        <f>SUM(RF110:SG110)</f>
      </c>
      <c r="SI110" s="134"/>
      <c r="SJ110" s="135"/>
      <c r="SK110" s="136"/>
      <c r="SL110" s="137"/>
      <c r="SM110" s="220">
        <v>0.5</v>
      </c>
      <c r="SN110" s="220">
        <v>0.5</v>
      </c>
      <c r="SO110" s="220">
        <v>0.5</v>
      </c>
      <c r="SP110" s="220">
        <v>0.5</v>
      </c>
      <c r="SQ110" s="220">
        <v>0.5</v>
      </c>
      <c r="SR110" s="227">
        <v>0.5</v>
      </c>
      <c r="SS110" s="427">
        <v>0.5</v>
      </c>
      <c r="ST110" s="220">
        <v>0.5</v>
      </c>
      <c r="SU110" s="137"/>
      <c r="SV110" s="141"/>
      <c r="SW110" s="428">
        <v>0.5</v>
      </c>
      <c r="SX110" s="220">
        <v>0.5</v>
      </c>
      <c r="SY110" s="220">
        <v>0.5</v>
      </c>
      <c r="SZ110" s="220">
        <v>0.5</v>
      </c>
      <c r="TA110" s="220">
        <v>0.5</v>
      </c>
      <c r="TB110" s="220">
        <v>0.5</v>
      </c>
      <c r="TC110" s="220">
        <v>0.5</v>
      </c>
      <c r="TD110" s="220">
        <v>0.5</v>
      </c>
      <c r="TE110" s="137"/>
      <c r="TF110" s="137"/>
      <c r="TG110" s="137"/>
      <c r="TH110" s="153"/>
      <c r="TI110" s="304"/>
      <c r="TJ110" s="136"/>
      <c r="TK110" s="130">
        <f>SUM(SI110:TJ110)</f>
      </c>
      <c r="TL110" s="134"/>
      <c r="TM110" s="135"/>
      <c r="TN110" s="295"/>
      <c r="TO110" s="295"/>
      <c r="TP110" s="15">
        <v>0.5</v>
      </c>
      <c r="TQ110" s="15">
        <v>0.5</v>
      </c>
      <c r="TR110" s="15">
        <v>0.5</v>
      </c>
      <c r="TS110" s="15">
        <v>0.5</v>
      </c>
      <c r="TT110" s="212">
        <v>0.5</v>
      </c>
      <c r="TU110" s="213">
        <v>0.5</v>
      </c>
      <c r="TV110" s="214">
        <v>0.5</v>
      </c>
      <c r="TW110" s="212">
        <v>0.5</v>
      </c>
      <c r="TX110" s="207"/>
      <c r="TY110" s="208"/>
      <c r="TZ110" s="298">
        <v>0.5</v>
      </c>
      <c r="UA110" s="212">
        <v>0.5</v>
      </c>
      <c r="UB110" s="15">
        <v>0.5</v>
      </c>
      <c r="UC110" s="15">
        <v>0.5</v>
      </c>
      <c r="UD110" s="15">
        <v>0.5</v>
      </c>
      <c r="UE110" s="15">
        <v>0.5</v>
      </c>
      <c r="UF110" s="15">
        <v>0.5</v>
      </c>
      <c r="UG110" s="15">
        <v>0.5</v>
      </c>
      <c r="UH110" s="207"/>
      <c r="UI110" s="207"/>
      <c r="UJ110" s="207"/>
      <c r="UK110" s="209"/>
      <c r="UL110" s="135"/>
      <c r="UM110" s="136"/>
      <c r="UN110" s="131">
        <f>SUM(TL110:UM110)</f>
      </c>
      <c r="UO110" s="121"/>
      <c r="UP110" s="122"/>
      <c r="UQ110" s="123"/>
      <c r="UR110" s="124"/>
      <c r="US110" s="124"/>
      <c r="UT110" s="124"/>
      <c r="UU110" s="124"/>
      <c r="UV110" s="124"/>
      <c r="UW110" s="124"/>
      <c r="UX110" s="125"/>
      <c r="UY110" s="126"/>
      <c r="UZ110" s="124"/>
      <c r="VA110" s="124"/>
      <c r="VB110" s="127"/>
      <c r="VC110" s="123"/>
      <c r="VD110" s="124"/>
      <c r="VE110" s="124"/>
      <c r="VF110" s="124"/>
      <c r="VG110" s="124"/>
      <c r="VH110" s="124"/>
      <c r="VI110" s="124"/>
      <c r="VJ110" s="124"/>
      <c r="VK110" s="124"/>
      <c r="VL110" s="124"/>
      <c r="VM110" s="124"/>
      <c r="VN110" s="125"/>
      <c r="VO110" s="301"/>
      <c r="VP110" s="123"/>
      <c r="VQ110" s="131">
        <f>SUM(UO110:VP110)</f>
      </c>
      <c r="VR110" s="121"/>
      <c r="VS110" s="122"/>
      <c r="VT110" s="123"/>
      <c r="VU110" s="124"/>
      <c r="VV110" s="124"/>
      <c r="VW110" s="124"/>
      <c r="VX110" s="124"/>
      <c r="VY110" s="124"/>
      <c r="VZ110" s="124"/>
      <c r="WA110" s="125"/>
      <c r="WB110" s="126"/>
      <c r="WC110" s="124"/>
      <c r="WD110" s="124"/>
      <c r="WE110" s="127"/>
      <c r="WF110" s="123"/>
      <c r="WG110" s="124"/>
      <c r="WH110" s="124"/>
      <c r="WI110" s="124"/>
      <c r="WJ110" s="124"/>
      <c r="WK110" s="124"/>
      <c r="WL110" s="124"/>
      <c r="WM110" s="124"/>
      <c r="WN110" s="124"/>
      <c r="WO110" s="124"/>
      <c r="WP110" s="124"/>
      <c r="WQ110" s="125"/>
      <c r="WR110" s="301"/>
      <c r="WS110" s="123"/>
      <c r="WT110" s="131">
        <f>SUM(VR110:WS110)</f>
      </c>
      <c r="WU110" s="150">
        <f>QB110+RE110+SH110+TK110+UN110+VQ110+WT110</f>
      </c>
      <c r="WV110" s="302">
        <f>(COUNTIF(OZ110:WT110,"H")+COUNTIF(OZ110:WT110,"S")+COUNTIF(OZ110:WT110,"L")+COUNTIF(OZ110:WT110,"E")+COUNTIF(OZ110:WT110,"C"))/2</f>
      </c>
      <c r="WW110" s="131">
        <f>WU110+WV110</f>
      </c>
      <c r="WX110" s="134"/>
      <c r="WY110" s="135"/>
      <c r="WZ110" s="136"/>
      <c r="XA110" s="15">
        <v>0.5</v>
      </c>
      <c r="XB110" s="15">
        <v>0.5</v>
      </c>
      <c r="XC110" s="15">
        <v>0.5</v>
      </c>
      <c r="XD110" s="15">
        <v>0.5</v>
      </c>
      <c r="XE110" s="15">
        <v>0.5</v>
      </c>
      <c r="XF110" s="15">
        <v>0.5</v>
      </c>
      <c r="XG110" s="211">
        <v>0.5</v>
      </c>
      <c r="XH110" s="404">
        <v>0.5</v>
      </c>
      <c r="XI110" s="377">
        <v>0.5</v>
      </c>
      <c r="XJ110" s="148"/>
      <c r="XK110" s="305"/>
      <c r="XL110" s="15">
        <v>0.5</v>
      </c>
      <c r="XM110" s="15">
        <v>0.5</v>
      </c>
      <c r="XN110" s="15">
        <v>0.5</v>
      </c>
      <c r="XO110" s="15">
        <v>0.5</v>
      </c>
      <c r="XP110" s="15">
        <v>0.5</v>
      </c>
      <c r="XQ110" s="15">
        <v>0.5</v>
      </c>
      <c r="XR110" s="15">
        <v>0.5</v>
      </c>
      <c r="XS110" s="15">
        <v>0.5</v>
      </c>
      <c r="XT110" s="15">
        <v>0.5</v>
      </c>
      <c r="XU110" s="137"/>
      <c r="XV110" s="137"/>
      <c r="XW110" s="153"/>
      <c r="XX110" s="304"/>
      <c r="XY110" s="136"/>
      <c r="XZ110" s="131">
        <f>SUM(WX110:XY110)</f>
      </c>
      <c r="YA110" s="134"/>
      <c r="YB110" s="135"/>
      <c r="YC110" s="136"/>
      <c r="YD110" s="15">
        <v>0.5</v>
      </c>
      <c r="YE110" s="15">
        <v>0.5</v>
      </c>
      <c r="YF110" s="15">
        <v>0.5</v>
      </c>
      <c r="YG110" s="15">
        <v>0.5</v>
      </c>
      <c r="YH110" s="15">
        <v>0.5</v>
      </c>
      <c r="YI110" s="15">
        <v>0.5</v>
      </c>
      <c r="YJ110" s="211">
        <v>0.5</v>
      </c>
      <c r="YK110" s="404">
        <v>0.5</v>
      </c>
      <c r="YL110" s="377">
        <v>0.5</v>
      </c>
      <c r="YM110" s="148"/>
      <c r="YN110" s="305"/>
      <c r="YO110" s="15">
        <v>0.5</v>
      </c>
      <c r="YP110" s="15">
        <v>0.5</v>
      </c>
      <c r="YQ110" s="15">
        <v>0.5</v>
      </c>
      <c r="YR110" s="15">
        <v>0.5</v>
      </c>
      <c r="YS110" s="15">
        <v>0.5</v>
      </c>
      <c r="YT110" s="15">
        <v>0.5</v>
      </c>
      <c r="YU110" s="15">
        <v>0.5</v>
      </c>
      <c r="YV110" s="15">
        <v>0.5</v>
      </c>
      <c r="YW110" s="15">
        <v>0.5</v>
      </c>
      <c r="YX110" s="137"/>
      <c r="YY110" s="137"/>
      <c r="YZ110" s="153"/>
      <c r="ZA110" s="304"/>
      <c r="ZB110" s="136"/>
      <c r="ZC110" s="131">
        <f>SUM(YA110:ZB110)</f>
      </c>
      <c r="ZD110" s="134"/>
      <c r="ZE110" s="135"/>
      <c r="ZF110" s="136"/>
      <c r="ZG110" s="15">
        <v>0.5</v>
      </c>
      <c r="ZH110" s="15">
        <v>0.5</v>
      </c>
      <c r="ZI110" s="15">
        <v>0.5</v>
      </c>
      <c r="ZJ110" s="15">
        <v>0.5</v>
      </c>
      <c r="ZK110" s="15">
        <v>0.5</v>
      </c>
      <c r="ZL110" s="15">
        <v>0.5</v>
      </c>
      <c r="ZM110" s="211">
        <v>0.5</v>
      </c>
      <c r="ZN110" s="404">
        <v>0.5</v>
      </c>
      <c r="ZO110" s="377">
        <v>0.5</v>
      </c>
      <c r="ZP110" s="148"/>
      <c r="ZQ110" s="305"/>
      <c r="ZR110" s="15">
        <v>0.5</v>
      </c>
      <c r="ZS110" s="15">
        <v>0.5</v>
      </c>
      <c r="ZT110" s="15">
        <v>0.5</v>
      </c>
      <c r="ZU110" s="15">
        <v>0.5</v>
      </c>
      <c r="ZV110" s="15">
        <v>0.5</v>
      </c>
      <c r="ZW110" s="15">
        <v>0.5</v>
      </c>
      <c r="ZX110" s="15">
        <v>0.5</v>
      </c>
      <c r="ZY110" s="15">
        <v>0.5</v>
      </c>
      <c r="ZZ110" s="15">
        <v>0.5</v>
      </c>
      <c r="AAA110" s="137"/>
      <c r="AAB110" s="137"/>
      <c r="AAC110" s="153"/>
      <c r="AAD110" s="304"/>
      <c r="AAE110" s="136"/>
      <c r="AAF110" s="131">
        <f>SUM(ZD110:AAE110)</f>
      </c>
      <c r="AAG110" s="134"/>
      <c r="AAH110" s="135"/>
      <c r="AAI110" s="136"/>
      <c r="AAJ110" s="15">
        <v>0.5</v>
      </c>
      <c r="AAK110" s="15">
        <v>0.5</v>
      </c>
      <c r="AAL110" s="15">
        <v>0.5</v>
      </c>
      <c r="AAM110" s="15">
        <v>0.5</v>
      </c>
      <c r="AAN110" s="15">
        <v>0.5</v>
      </c>
      <c r="AAO110" s="15">
        <v>0.5</v>
      </c>
      <c r="AAP110" s="211">
        <v>0.5</v>
      </c>
      <c r="AAQ110" s="404">
        <v>0.5</v>
      </c>
      <c r="AAR110" s="377">
        <v>0.5</v>
      </c>
      <c r="AAS110" s="148"/>
      <c r="AAT110" s="305"/>
      <c r="AAU110" s="15">
        <v>0.5</v>
      </c>
      <c r="AAV110" s="15">
        <v>0.5</v>
      </c>
      <c r="AAW110" s="15">
        <v>0.5</v>
      </c>
      <c r="AAX110" s="15">
        <v>0.5</v>
      </c>
      <c r="AAY110" s="15">
        <v>0.5</v>
      </c>
      <c r="AAZ110" s="15">
        <v>0.5</v>
      </c>
      <c r="ABA110" s="15">
        <v>0.5</v>
      </c>
      <c r="ABB110" s="15">
        <v>0.5</v>
      </c>
      <c r="ABC110" s="15">
        <v>0.5</v>
      </c>
      <c r="ABD110" s="137"/>
      <c r="ABE110" s="137"/>
      <c r="ABF110" s="153"/>
      <c r="ABG110" s="304"/>
      <c r="ABH110" s="136"/>
      <c r="ABI110" s="131">
        <f>SUM(AAG110:ABH110)</f>
      </c>
      <c r="ABJ110" s="134"/>
      <c r="ABK110" s="135"/>
      <c r="ABL110" s="136"/>
      <c r="ABM110" s="15"/>
      <c r="ABN110" s="15">
        <v>0.5</v>
      </c>
      <c r="ABO110" s="15">
        <v>0.5</v>
      </c>
      <c r="ABP110" s="15">
        <v>0.5</v>
      </c>
      <c r="ABQ110" s="15">
        <v>0.5</v>
      </c>
      <c r="ABR110" s="15">
        <v>0.5</v>
      </c>
      <c r="ABS110" s="211">
        <v>0.5</v>
      </c>
      <c r="ABT110" s="404">
        <v>0.5</v>
      </c>
      <c r="ABU110" s="377">
        <v>0.5</v>
      </c>
      <c r="ABV110" s="148"/>
      <c r="ABW110" s="305"/>
      <c r="ABX110" s="207"/>
      <c r="ABY110" s="207"/>
      <c r="ABZ110" s="207"/>
      <c r="ACA110" s="207"/>
      <c r="ACB110" s="207"/>
      <c r="ACC110" s="207"/>
      <c r="ACD110" s="207"/>
      <c r="ACE110" s="207"/>
      <c r="ACF110" s="207"/>
      <c r="ACG110" s="137"/>
      <c r="ACH110" s="137"/>
      <c r="ACI110" s="153"/>
      <c r="ACJ110" s="304"/>
      <c r="ACK110" s="136"/>
      <c r="ACL110" s="131">
        <f>SUM(ABJ110:ACK110)</f>
      </c>
      <c r="ACM110" s="121"/>
      <c r="ACN110" s="122"/>
      <c r="ACO110" s="123"/>
      <c r="ACP110" s="124"/>
      <c r="ACQ110" s="124"/>
      <c r="ACR110" s="124"/>
      <c r="ACS110" s="124"/>
      <c r="ACT110" s="124"/>
      <c r="ACU110" s="124"/>
      <c r="ACV110" s="125"/>
      <c r="ACW110" s="126"/>
      <c r="ACX110" s="124"/>
      <c r="ACY110" s="124"/>
      <c r="ACZ110" s="127"/>
      <c r="ADA110" s="123"/>
      <c r="ADB110" s="124"/>
      <c r="ADC110" s="124"/>
      <c r="ADD110" s="124"/>
      <c r="ADE110" s="124"/>
      <c r="ADF110" s="124"/>
      <c r="ADG110" s="124"/>
      <c r="ADH110" s="124"/>
      <c r="ADI110" s="124"/>
      <c r="ADJ110" s="124"/>
      <c r="ADK110" s="124"/>
      <c r="ADL110" s="125"/>
      <c r="ADM110" s="301"/>
      <c r="ADN110" s="123"/>
      <c r="ADO110" s="131">
        <f>SUM(ACM110:ADN110)</f>
      </c>
      <c r="ADP110" s="121"/>
      <c r="ADQ110" s="122"/>
      <c r="ADR110" s="123"/>
      <c r="ADS110" s="124"/>
      <c r="ADT110" s="124"/>
      <c r="ADU110" s="124"/>
      <c r="ADV110" s="124"/>
      <c r="ADW110" s="124"/>
      <c r="ADX110" s="124"/>
      <c r="ADY110" s="125"/>
      <c r="ADZ110" s="126"/>
      <c r="AEA110" s="124"/>
      <c r="AEB110" s="124"/>
      <c r="AEC110" s="127"/>
      <c r="AED110" s="123"/>
      <c r="AEE110" s="124"/>
      <c r="AEF110" s="124"/>
      <c r="AEG110" s="124"/>
      <c r="AEH110" s="124"/>
      <c r="AEI110" s="124"/>
      <c r="AEJ110" s="124"/>
      <c r="AEK110" s="124"/>
      <c r="AEL110" s="124"/>
      <c r="AEM110" s="124"/>
      <c r="AEN110" s="124"/>
      <c r="AEO110" s="125"/>
      <c r="AEP110" s="301"/>
      <c r="AEQ110" s="123"/>
      <c r="AER110" s="131">
        <f>SUM(ADP110:AEQ110)</f>
      </c>
      <c r="AES110" s="150">
        <f>XZ110+ZC110+AAF110+ABI110+ACL110+ADO110+AER110</f>
      </c>
      <c r="AET110" s="302">
        <f>(COUNTIF(WX110:AER110,"H")+COUNTIF(WX110:AER110,"S")+COUNTIF(WX110:AER110,"L")+COUNTIF(WX110:AER110,"E")+COUNTIF(WX110:AER110,"C"))/2</f>
      </c>
      <c r="AEU110" s="131">
        <f>AES110+AET110</f>
      </c>
      <c r="AEV110" s="134"/>
      <c r="AEW110" s="135"/>
      <c r="AEX110" s="295"/>
      <c r="AEY110" s="377">
        <v>0.5</v>
      </c>
      <c r="AEZ110" s="15">
        <v>0.5</v>
      </c>
      <c r="AFA110" s="15">
        <v>0.5</v>
      </c>
      <c r="AFB110" s="15">
        <v>0.5</v>
      </c>
      <c r="AFC110" s="15">
        <v>0.5</v>
      </c>
      <c r="AFD110" s="15">
        <v>0.5</v>
      </c>
      <c r="AFE110" s="211">
        <v>0.5</v>
      </c>
      <c r="AFF110" s="424">
        <v>0.5</v>
      </c>
      <c r="AFG110" s="15">
        <v>0.5</v>
      </c>
      <c r="AFH110" s="612"/>
      <c r="AFI110" s="615"/>
      <c r="AFJ110" s="377">
        <v>0.5</v>
      </c>
      <c r="AFK110" s="15">
        <v>0.5</v>
      </c>
      <c r="AFL110" s="15">
        <v>0.5</v>
      </c>
      <c r="AFM110" s="15">
        <v>0.5</v>
      </c>
      <c r="AFN110" s="15">
        <v>0.5</v>
      </c>
      <c r="AFO110" s="15">
        <v>0.5</v>
      </c>
      <c r="AFP110" s="15">
        <v>0.5</v>
      </c>
      <c r="AFQ110" s="15">
        <v>0.5</v>
      </c>
      <c r="AFR110" s="15">
        <v>0.5</v>
      </c>
      <c r="AFS110" s="207"/>
      <c r="AFT110" s="207"/>
      <c r="AFU110" s="209"/>
      <c r="AFV110" s="135"/>
      <c r="AFW110" s="136"/>
      <c r="AFX110" s="130">
        <f>SUM(AEV110:AFW110)</f>
      </c>
      <c r="AFY110" s="134"/>
      <c r="AFZ110" s="135"/>
      <c r="AGA110" s="295"/>
      <c r="AGB110" s="377">
        <v>0.5</v>
      </c>
      <c r="AGC110" s="15">
        <v>0.5</v>
      </c>
      <c r="AGD110" s="15">
        <v>0.5</v>
      </c>
      <c r="AGE110" s="15">
        <v>0.5</v>
      </c>
      <c r="AGF110" s="15">
        <v>0.5</v>
      </c>
      <c r="AGG110" s="15">
        <v>0.5</v>
      </c>
      <c r="AGH110" s="211">
        <v>0.5</v>
      </c>
      <c r="AGI110" s="404">
        <v>0.5</v>
      </c>
      <c r="AGJ110" s="15">
        <v>0.5</v>
      </c>
      <c r="AGK110" s="612"/>
      <c r="AGL110" s="615"/>
      <c r="AGM110" s="404">
        <v>0.5</v>
      </c>
      <c r="AGN110" s="15">
        <v>0.5</v>
      </c>
      <c r="AGO110" s="15">
        <v>0.5</v>
      </c>
      <c r="AGP110" s="15">
        <v>0.5</v>
      </c>
      <c r="AGQ110" s="15">
        <v>0.5</v>
      </c>
      <c r="AGR110" s="15">
        <v>0.5</v>
      </c>
      <c r="AGS110" s="15">
        <v>0.5</v>
      </c>
      <c r="AGT110" s="15">
        <v>0.5</v>
      </c>
      <c r="AGU110" s="15">
        <v>0.5</v>
      </c>
      <c r="AGV110" s="207"/>
      <c r="AGW110" s="207"/>
      <c r="AGX110" s="209"/>
      <c r="AGY110" s="304"/>
      <c r="AGZ110" s="136"/>
      <c r="AHA110" s="130">
        <f>SUM(AFY110:AGZ110)</f>
      </c>
      <c r="AHB110" s="134"/>
      <c r="AHC110" s="135"/>
      <c r="AHD110" s="295"/>
      <c r="AHE110" s="377">
        <v>0.5</v>
      </c>
      <c r="AHF110" s="15">
        <v>0.5</v>
      </c>
      <c r="AHG110" s="15">
        <v>0.5</v>
      </c>
      <c r="AHH110" s="15">
        <v>0.5</v>
      </c>
      <c r="AHI110" s="15">
        <v>0.5</v>
      </c>
      <c r="AHJ110" s="15">
        <v>0.5</v>
      </c>
      <c r="AHK110" s="211">
        <v>0.5</v>
      </c>
      <c r="AHL110" s="424">
        <v>0.5</v>
      </c>
      <c r="AHM110" s="15">
        <v>0.5</v>
      </c>
      <c r="AHN110" s="612"/>
      <c r="AHO110" s="615"/>
      <c r="AHP110" s="377">
        <v>0.5</v>
      </c>
      <c r="AHQ110" s="15">
        <v>0.5</v>
      </c>
      <c r="AHR110" s="15">
        <v>0.5</v>
      </c>
      <c r="AHS110" s="15">
        <v>0.5</v>
      </c>
      <c r="AHT110" s="15">
        <v>0.5</v>
      </c>
      <c r="AHU110" s="15">
        <v>0.5</v>
      </c>
      <c r="AHV110" s="15">
        <v>0.5</v>
      </c>
      <c r="AHW110" s="15">
        <v>0.5</v>
      </c>
      <c r="AHX110" s="15">
        <v>0.5</v>
      </c>
      <c r="AHY110" s="207"/>
      <c r="AHZ110" s="207"/>
      <c r="AIA110" s="209"/>
      <c r="AIB110" s="135"/>
      <c r="AIC110" s="136"/>
      <c r="AID110" s="130">
        <f>SUM(AHB110:AIC110)</f>
      </c>
      <c r="AIE110" s="134"/>
      <c r="AIF110" s="135"/>
      <c r="AIG110" s="295"/>
      <c r="AIH110" s="377">
        <v>0.5</v>
      </c>
      <c r="AII110" s="143">
        <v>0.5</v>
      </c>
      <c r="AIJ110" s="143">
        <v>0.5</v>
      </c>
      <c r="AIK110" s="143">
        <v>0.5</v>
      </c>
      <c r="AIL110" s="143">
        <v>0.5</v>
      </c>
      <c r="AIM110" s="143">
        <v>0.5</v>
      </c>
      <c r="AIN110" s="154">
        <v>0.5</v>
      </c>
      <c r="AIO110" s="404">
        <v>0.5</v>
      </c>
      <c r="AIP110" s="143">
        <v>0.5</v>
      </c>
      <c r="AIQ110" s="612"/>
      <c r="AIR110" s="615"/>
      <c r="AIS110" s="143">
        <v>0.5</v>
      </c>
      <c r="AIT110" s="143">
        <v>0.5</v>
      </c>
      <c r="AIU110" s="143">
        <v>0.5</v>
      </c>
      <c r="AIV110" s="143">
        <v>0.5</v>
      </c>
      <c r="AIW110" s="143">
        <v>0.5</v>
      </c>
      <c r="AIX110" s="143">
        <v>0.5</v>
      </c>
      <c r="AIY110" s="143">
        <v>0.5</v>
      </c>
      <c r="AIZ110" s="143">
        <v>0.5</v>
      </c>
      <c r="AJA110" s="15">
        <v>0.5</v>
      </c>
      <c r="AJB110" s="207"/>
      <c r="AJC110" s="207"/>
      <c r="AJD110" s="209"/>
      <c r="AJE110" s="135"/>
      <c r="AJF110" s="136"/>
      <c r="AJG110" s="130">
        <f>SUM(AIE110:AJF110)</f>
      </c>
      <c r="AJH110" s="134"/>
      <c r="AJI110" s="135"/>
      <c r="AJJ110" s="295"/>
      <c r="AJK110" s="377"/>
      <c r="AJL110" s="15">
        <v>0.5</v>
      </c>
      <c r="AJM110" s="15">
        <v>0.5</v>
      </c>
      <c r="AJN110" s="15">
        <v>0.5</v>
      </c>
      <c r="AJO110" s="15">
        <v>0.5</v>
      </c>
      <c r="AJP110" s="15">
        <v>0.5</v>
      </c>
      <c r="AJQ110" s="211">
        <v>0.5</v>
      </c>
      <c r="AJR110" s="424">
        <v>0.5</v>
      </c>
      <c r="AJS110" s="15">
        <v>0.5</v>
      </c>
      <c r="AJT110" s="612"/>
      <c r="AJU110" s="615"/>
      <c r="AJV110" s="295"/>
      <c r="AJW110" s="207"/>
      <c r="AJX110" s="207"/>
      <c r="AJY110" s="207"/>
      <c r="AJZ110" s="207"/>
      <c r="AKA110" s="207"/>
      <c r="AKB110" s="207"/>
      <c r="AKC110" s="207"/>
      <c r="AKD110" s="207"/>
      <c r="AKE110" s="207"/>
      <c r="AKF110" s="207"/>
      <c r="AKG110" s="209"/>
      <c r="AKH110" s="135"/>
      <c r="AKI110" s="136"/>
      <c r="AKJ110" s="131">
        <f>SUM(AJH110:AKI110)</f>
      </c>
      <c r="AKK110" s="121"/>
      <c r="AKL110" s="122"/>
      <c r="AKM110" s="123"/>
      <c r="AKN110" s="124"/>
      <c r="AKO110" s="124"/>
      <c r="AKP110" s="124"/>
      <c r="AKQ110" s="124"/>
      <c r="AKR110" s="124"/>
      <c r="AKS110" s="124"/>
      <c r="AKT110" s="125"/>
      <c r="AKU110" s="126"/>
      <c r="AKV110" s="124"/>
      <c r="AKW110" s="124"/>
      <c r="AKX110" s="127"/>
      <c r="AKY110" s="123"/>
      <c r="AKZ110" s="124"/>
      <c r="ALA110" s="124"/>
      <c r="ALB110" s="124"/>
      <c r="ALC110" s="124"/>
      <c r="ALD110" s="124"/>
      <c r="ALE110" s="124"/>
      <c r="ALF110" s="124"/>
      <c r="ALG110" s="124"/>
      <c r="ALH110" s="124"/>
      <c r="ALI110" s="124"/>
      <c r="ALJ110" s="125"/>
      <c r="ALK110" s="301"/>
      <c r="ALL110" s="123"/>
      <c r="ALM110" s="131">
        <f>SUM(AKK110:ALL110)</f>
      </c>
      <c r="ALN110" s="121"/>
      <c r="ALO110" s="122"/>
      <c r="ALP110" s="123"/>
      <c r="ALQ110" s="124"/>
      <c r="ALR110" s="124"/>
      <c r="ALS110" s="124"/>
      <c r="ALT110" s="124"/>
      <c r="ALU110" s="124"/>
      <c r="ALV110" s="124"/>
      <c r="ALW110" s="125"/>
      <c r="ALX110" s="126"/>
      <c r="ALY110" s="124"/>
      <c r="ALZ110" s="124"/>
      <c r="AMA110" s="127"/>
      <c r="AMB110" s="123"/>
      <c r="AMC110" s="124"/>
      <c r="AMD110" s="124"/>
      <c r="AME110" s="124"/>
      <c r="AMF110" s="124"/>
      <c r="AMG110" s="124"/>
      <c r="AMH110" s="124"/>
      <c r="AMI110" s="124"/>
      <c r="AMJ110" s="124"/>
      <c r="AMK110" s="124"/>
      <c r="AML110" s="124"/>
      <c r="AMM110" s="125"/>
      <c r="AMN110" s="301"/>
      <c r="AMO110" s="123"/>
      <c r="AMP110" s="131">
        <f>SUM(ALN110:AMO110)</f>
      </c>
      <c r="AMQ110" s="150">
        <f>AFX110+AHA110+AID110+AJG110+AKJ110+ALM110+AMP110</f>
      </c>
      <c r="AMR110" s="302">
        <f>(COUNTIF(AEV110:AMP110,"H")+COUNTIF(AEV110:AMP110,"S")+COUNTIF(AEV110:AMP110,"L")+COUNTIF(AEV110:AMP110,"E")+COUNTIF(AEV110:AMP110,"C"))/2</f>
      </c>
      <c r="AMS110" s="131">
        <f>AMQ110+AMR110</f>
      </c>
      <c r="AMT110" s="4"/>
      <c r="AMU110" s="4"/>
      <c r="AMV110" s="4"/>
      <c r="AMW110" s="4"/>
      <c r="AMX110" s="4"/>
      <c r="AMY110" s="4"/>
      <c r="AMZ110" s="4"/>
      <c r="ANA110" s="4"/>
      <c r="ANB110" s="4"/>
      <c r="ANC110" s="4"/>
      <c r="AND110" s="4"/>
      <c r="ANE110" s="4"/>
      <c r="ANF110" s="4"/>
      <c r="ANG110" s="4"/>
      <c r="ANH110" s="4"/>
      <c r="ANI110" s="4"/>
      <c r="ANJ110" s="4"/>
      <c r="ANK110" s="4"/>
      <c r="ANL110" s="4"/>
      <c r="ANM110" s="4"/>
      <c r="ANN110" s="4"/>
      <c r="ANO110" s="4"/>
      <c r="ANP110" s="4"/>
      <c r="ANQ110" s="4"/>
      <c r="ANR110" s="4"/>
      <c r="ANS110" s="4"/>
      <c r="ANT110" s="4"/>
      <c r="ANU110" s="4"/>
      <c r="ANV110" s="4"/>
      <c r="ANW110" s="4"/>
      <c r="ANX110" s="4"/>
      <c r="ANY110" s="4"/>
      <c r="ANZ110" s="4"/>
      <c r="AOA110" s="4"/>
      <c r="AOB110" s="4"/>
      <c r="AOC110" s="4"/>
      <c r="AOD110" s="4"/>
      <c r="AOE110" s="4"/>
      <c r="AOF110" s="4"/>
      <c r="AOG110" s="4"/>
      <c r="AOH110" s="4"/>
      <c r="AOI110" s="4"/>
      <c r="AOJ110" s="4"/>
      <c r="AOK110" s="4"/>
      <c r="AOL110" s="4"/>
      <c r="AOM110" s="4"/>
      <c r="AON110" s="4"/>
      <c r="AOO110" s="4"/>
      <c r="AOP110" s="4"/>
      <c r="AOQ110" s="4"/>
      <c r="AOR110" s="4"/>
      <c r="AOS110" s="4"/>
      <c r="AOT110" s="4"/>
      <c r="AOU110" s="4"/>
      <c r="AOV110" s="4"/>
      <c r="AOW110" s="4"/>
      <c r="AOX110" s="4"/>
      <c r="AOY110" s="4"/>
      <c r="AOZ110" s="4"/>
      <c r="APA110" s="4"/>
      <c r="APB110" s="4"/>
      <c r="APC110" s="4"/>
      <c r="APD110" s="4"/>
      <c r="APE110" s="4"/>
      <c r="APF110" s="4"/>
      <c r="APG110" s="4"/>
      <c r="APH110" s="4"/>
      <c r="API110" s="4"/>
      <c r="APJ110" s="4"/>
      <c r="APK110" s="4"/>
      <c r="APL110" s="4"/>
      <c r="APM110" s="4"/>
      <c r="APN110" s="4"/>
      <c r="APO110" s="4"/>
      <c r="APP110" s="4"/>
      <c r="APQ110" s="4"/>
      <c r="APR110" s="4"/>
      <c r="APS110" s="4"/>
      <c r="APT110" s="4"/>
      <c r="APU110" s="4"/>
      <c r="APV110" s="4"/>
      <c r="APW110" s="4"/>
      <c r="APX110" s="4"/>
      <c r="APY110" s="4"/>
      <c r="APZ110" s="4"/>
      <c r="AQA110" s="4"/>
      <c r="AQB110" s="4"/>
      <c r="AQC110" s="4"/>
      <c r="AQD110" s="4"/>
      <c r="AQE110" s="4"/>
      <c r="AQF110" s="4"/>
      <c r="AQG110" s="4"/>
      <c r="AQH110" s="4"/>
      <c r="AQI110" s="4"/>
      <c r="AQJ110" s="4"/>
      <c r="AQK110" s="4"/>
      <c r="AQL110" s="4"/>
      <c r="AQM110" s="4"/>
      <c r="AQN110" s="4"/>
      <c r="AQO110" s="4"/>
      <c r="AQP110" s="4"/>
      <c r="AQQ110" s="4"/>
      <c r="AQR110" s="4"/>
      <c r="AQS110" s="4"/>
      <c r="AQT110" s="4"/>
      <c r="AQU110" s="4"/>
      <c r="AQV110" s="4"/>
      <c r="AQW110" s="4"/>
      <c r="AQX110" s="4"/>
      <c r="AQY110" s="4"/>
      <c r="AQZ110" s="4"/>
      <c r="ARA110" s="4"/>
      <c r="ARB110" s="4"/>
      <c r="ARC110" s="4"/>
      <c r="ARD110" s="4"/>
      <c r="ARE110" s="4"/>
      <c r="ARF110" s="4"/>
      <c r="ARG110" s="4"/>
      <c r="ARH110" s="4"/>
      <c r="ARI110" s="4"/>
      <c r="ARJ110" s="4"/>
      <c r="ARK110" s="4"/>
      <c r="ARL110" s="4"/>
      <c r="ARM110" s="4"/>
      <c r="ARN110" s="4"/>
      <c r="ARO110" s="4"/>
      <c r="ARP110" s="4"/>
      <c r="ARQ110" s="4"/>
      <c r="ARR110" s="4"/>
      <c r="ARS110" s="4"/>
      <c r="ART110" s="4"/>
      <c r="ARU110" s="4"/>
      <c r="ARV110" s="4"/>
      <c r="ARW110" s="4"/>
      <c r="ARX110" s="4"/>
      <c r="ARY110" s="4"/>
      <c r="ARZ110" s="4"/>
      <c r="ASA110" s="4"/>
      <c r="ASB110" s="4"/>
      <c r="ASC110" s="4"/>
      <c r="ASD110" s="4"/>
      <c r="ASE110" s="4"/>
      <c r="ASF110" s="4"/>
      <c r="ASG110" s="4"/>
      <c r="ASH110" s="4"/>
      <c r="ASI110" s="4"/>
      <c r="ASJ110" s="4"/>
      <c r="ASK110" s="4"/>
      <c r="ASL110" s="4"/>
      <c r="ASM110" s="4"/>
      <c r="ASN110" s="4"/>
      <c r="ASO110" s="4"/>
      <c r="ASP110" s="4"/>
      <c r="ASQ110" s="4"/>
      <c r="ASR110" s="4"/>
      <c r="ASS110" s="4"/>
      <c r="AST110" s="4"/>
      <c r="ASU110" s="4"/>
    </row>
    <row r="111" ht="15" customHeight="1" spans="1:1191" x14ac:dyDescent="0.25">
      <c r="A111" s="156"/>
      <c r="B111" s="618" t="s">
        <v>147</v>
      </c>
      <c r="C111" s="619" t="s">
        <v>140</v>
      </c>
      <c r="D111" s="567"/>
      <c r="E111" s="168"/>
      <c r="F111" s="568"/>
      <c r="G111" s="569"/>
      <c r="H111" s="569"/>
      <c r="I111" s="569"/>
      <c r="J111" s="569"/>
      <c r="K111" s="569"/>
      <c r="L111" s="569"/>
      <c r="M111" s="570"/>
      <c r="N111" s="571"/>
      <c r="O111" s="569"/>
      <c r="P111" s="569"/>
      <c r="Q111" s="572"/>
      <c r="R111" s="568"/>
      <c r="S111" s="569"/>
      <c r="T111" s="569"/>
      <c r="U111" s="569"/>
      <c r="V111" s="569"/>
      <c r="W111" s="569"/>
      <c r="X111" s="569"/>
      <c r="Y111" s="569"/>
      <c r="Z111" s="569"/>
      <c r="AA111" s="569"/>
      <c r="AB111" s="569"/>
      <c r="AC111" s="570"/>
      <c r="AD111" s="168"/>
      <c r="AE111" s="168"/>
      <c r="AF111" s="574">
        <f>SUM(D111:AE111)</f>
      </c>
      <c r="AG111" s="567"/>
      <c r="AH111" s="168"/>
      <c r="AI111" s="568"/>
      <c r="AJ111" s="569"/>
      <c r="AK111" s="569"/>
      <c r="AL111" s="569"/>
      <c r="AM111" s="569"/>
      <c r="AN111" s="569"/>
      <c r="AO111" s="569"/>
      <c r="AP111" s="570"/>
      <c r="AQ111" s="571"/>
      <c r="AR111" s="569"/>
      <c r="AS111" s="569"/>
      <c r="AT111" s="572"/>
      <c r="AU111" s="568"/>
      <c r="AV111" s="569"/>
      <c r="AW111" s="569"/>
      <c r="AX111" s="569"/>
      <c r="AY111" s="569"/>
      <c r="AZ111" s="569"/>
      <c r="BA111" s="569"/>
      <c r="BB111" s="569"/>
      <c r="BC111" s="569"/>
      <c r="BD111" s="569"/>
      <c r="BE111" s="569"/>
      <c r="BF111" s="570"/>
      <c r="BG111" s="168"/>
      <c r="BH111" s="168"/>
      <c r="BI111" s="574">
        <f>SUM(AG111:BH111)</f>
      </c>
      <c r="BJ111" s="567"/>
      <c r="BK111" s="168"/>
      <c r="BL111" s="568"/>
      <c r="BM111" s="569"/>
      <c r="BN111" s="569"/>
      <c r="BO111" s="569"/>
      <c r="BP111" s="569"/>
      <c r="BQ111" s="569"/>
      <c r="BR111" s="569"/>
      <c r="BS111" s="570"/>
      <c r="BT111" s="571"/>
      <c r="BU111" s="569"/>
      <c r="BV111" s="569"/>
      <c r="BW111" s="572"/>
      <c r="BX111" s="568"/>
      <c r="BY111" s="569"/>
      <c r="BZ111" s="569"/>
      <c r="CA111" s="569"/>
      <c r="CB111" s="569"/>
      <c r="CC111" s="569"/>
      <c r="CD111" s="569"/>
      <c r="CE111" s="569"/>
      <c r="CF111" s="569"/>
      <c r="CG111" s="569"/>
      <c r="CH111" s="569"/>
      <c r="CI111" s="570"/>
      <c r="CJ111" s="168"/>
      <c r="CK111" s="168"/>
      <c r="CL111" s="574">
        <f>SUM(BJ111:CK111)</f>
      </c>
      <c r="CM111" s="567"/>
      <c r="CN111" s="168"/>
      <c r="CO111" s="568"/>
      <c r="CP111" s="569"/>
      <c r="CQ111" s="569"/>
      <c r="CR111" s="569"/>
      <c r="CS111" s="569"/>
      <c r="CT111" s="569"/>
      <c r="CU111" s="569"/>
      <c r="CV111" s="570"/>
      <c r="CW111" s="571"/>
      <c r="CX111" s="569"/>
      <c r="CY111" s="569"/>
      <c r="CZ111" s="572"/>
      <c r="DA111" s="568"/>
      <c r="DB111" s="569"/>
      <c r="DC111" s="569"/>
      <c r="DD111" s="569"/>
      <c r="DE111" s="569"/>
      <c r="DF111" s="569"/>
      <c r="DG111" s="569"/>
      <c r="DH111" s="569"/>
      <c r="DI111" s="569"/>
      <c r="DJ111" s="569"/>
      <c r="DK111" s="569"/>
      <c r="DL111" s="570"/>
      <c r="DM111" s="168"/>
      <c r="DN111" s="168"/>
      <c r="DO111" s="574">
        <f>SUM(CM111:DN111)</f>
      </c>
      <c r="DP111" s="567"/>
      <c r="DQ111" s="168"/>
      <c r="DR111" s="568"/>
      <c r="DS111" s="569"/>
      <c r="DT111" s="569"/>
      <c r="DU111" s="569"/>
      <c r="DV111" s="569"/>
      <c r="DW111" s="569"/>
      <c r="DX111" s="569"/>
      <c r="DY111" s="570"/>
      <c r="DZ111" s="571"/>
      <c r="EA111" s="569"/>
      <c r="EB111" s="569"/>
      <c r="EC111" s="572"/>
      <c r="ED111" s="569"/>
      <c r="EE111" s="569"/>
      <c r="EF111" s="569"/>
      <c r="EG111" s="569"/>
      <c r="EH111" s="569"/>
      <c r="EI111" s="569"/>
      <c r="EJ111" s="569"/>
      <c r="EK111" s="569"/>
      <c r="EL111" s="569"/>
      <c r="EM111" s="569"/>
      <c r="EN111" s="569"/>
      <c r="EO111" s="570"/>
      <c r="EP111" s="168"/>
      <c r="EQ111" s="168"/>
      <c r="ER111" s="574">
        <f>SUM(DP111:EQ111)</f>
      </c>
      <c r="ES111" s="567"/>
      <c r="ET111" s="168"/>
      <c r="EU111" s="568"/>
      <c r="EV111" s="569"/>
      <c r="EW111" s="569"/>
      <c r="EX111" s="569"/>
      <c r="EY111" s="569"/>
      <c r="EZ111" s="569"/>
      <c r="FA111" s="569"/>
      <c r="FB111" s="570"/>
      <c r="FC111" s="571"/>
      <c r="FD111" s="569"/>
      <c r="FE111" s="569"/>
      <c r="FF111" s="572"/>
      <c r="FG111" s="568"/>
      <c r="FH111" s="569"/>
      <c r="FI111" s="569"/>
      <c r="FJ111" s="569"/>
      <c r="FK111" s="569"/>
      <c r="FL111" s="569"/>
      <c r="FM111" s="569"/>
      <c r="FN111" s="569"/>
      <c r="FO111" s="569"/>
      <c r="FP111" s="569"/>
      <c r="FQ111" s="569"/>
      <c r="FR111" s="570"/>
      <c r="FS111" s="168"/>
      <c r="FT111" s="168"/>
      <c r="FU111" s="574">
        <f>SUM(ES111:FT111)</f>
      </c>
      <c r="FV111" s="567"/>
      <c r="FW111" s="168"/>
      <c r="FX111" s="568"/>
      <c r="FY111" s="569"/>
      <c r="FZ111" s="569"/>
      <c r="GA111" s="569"/>
      <c r="GB111" s="569"/>
      <c r="GC111" s="569"/>
      <c r="GD111" s="569"/>
      <c r="GE111" s="570"/>
      <c r="GF111" s="571"/>
      <c r="GG111" s="569"/>
      <c r="GH111" s="569"/>
      <c r="GI111" s="572"/>
      <c r="GJ111" s="568"/>
      <c r="GK111" s="569"/>
      <c r="GL111" s="569"/>
      <c r="GM111" s="569"/>
      <c r="GN111" s="569"/>
      <c r="GO111" s="569"/>
      <c r="GP111" s="569"/>
      <c r="GQ111" s="569"/>
      <c r="GR111" s="569"/>
      <c r="GS111" s="569"/>
      <c r="GT111" s="569"/>
      <c r="GU111" s="570"/>
      <c r="GV111" s="168"/>
      <c r="GW111" s="168"/>
      <c r="GX111" s="574">
        <f>SUM(FV111:GW111)</f>
      </c>
      <c r="GY111" s="575">
        <f>AF111+BI111+CL111+DO111+ER111+FU111+GX111</f>
      </c>
      <c r="GZ111" s="576">
        <f>(COUNTIF(D111:GX111,"H")+COUNTIF(D111:GX111,"S")+COUNTIF(D111:GX111,"L")+COUNTIF(D111:GX111,"E")+COUNTIF(D111:GX111,"C"))/2</f>
      </c>
      <c r="HA111" s="574">
        <f>GY111+GZ111</f>
      </c>
      <c r="HB111" s="577"/>
      <c r="HC111" s="189"/>
      <c r="HD111" s="585">
        <v>0.5</v>
      </c>
      <c r="HE111" s="581">
        <v>0.5</v>
      </c>
      <c r="HF111" s="581">
        <v>0.5</v>
      </c>
      <c r="HG111" s="581">
        <v>0.5</v>
      </c>
      <c r="HH111" s="581">
        <v>0.5</v>
      </c>
      <c r="HI111" s="581">
        <v>0.5</v>
      </c>
      <c r="HJ111" s="581">
        <v>0.5</v>
      </c>
      <c r="HK111" s="582">
        <v>0.5</v>
      </c>
      <c r="HL111" s="620"/>
      <c r="HM111" s="621"/>
      <c r="HN111" s="581">
        <v>0.5</v>
      </c>
      <c r="HO111" s="584">
        <v>0.5</v>
      </c>
      <c r="HP111" s="585">
        <v>0.5</v>
      </c>
      <c r="HQ111" s="581">
        <v>0.5</v>
      </c>
      <c r="HR111" s="581">
        <v>0.5</v>
      </c>
      <c r="HS111" s="581">
        <v>0.5</v>
      </c>
      <c r="HT111" s="581">
        <v>0.5</v>
      </c>
      <c r="HU111" s="581">
        <v>0.5</v>
      </c>
      <c r="HV111" s="579"/>
      <c r="HW111" s="579"/>
      <c r="HX111" s="579"/>
      <c r="HY111" s="579"/>
      <c r="HZ111" s="579"/>
      <c r="IA111" s="586"/>
      <c r="IB111" s="189"/>
      <c r="IC111" s="189"/>
      <c r="ID111" s="574">
        <f>SUM(HB111:IC111)</f>
      </c>
      <c r="IE111" s="577"/>
      <c r="IF111" s="189"/>
      <c r="IG111" s="622">
        <v>0.5</v>
      </c>
      <c r="IH111" s="623">
        <v>0.5</v>
      </c>
      <c r="II111" s="623">
        <v>0.5</v>
      </c>
      <c r="IJ111" s="623">
        <v>0.5</v>
      </c>
      <c r="IK111" s="623">
        <v>0.5</v>
      </c>
      <c r="IL111" s="623">
        <v>0.5</v>
      </c>
      <c r="IM111" s="623">
        <v>0.5</v>
      </c>
      <c r="IN111" s="624">
        <v>0.5</v>
      </c>
      <c r="IO111" s="620"/>
      <c r="IP111" s="621"/>
      <c r="IQ111" s="623">
        <v>0.5</v>
      </c>
      <c r="IR111" s="625">
        <v>0.5</v>
      </c>
      <c r="IS111" s="622">
        <v>0.5</v>
      </c>
      <c r="IT111" s="623">
        <v>0.5</v>
      </c>
      <c r="IU111" s="623">
        <v>0.5</v>
      </c>
      <c r="IV111" s="623">
        <v>0.5</v>
      </c>
      <c r="IW111" s="623">
        <v>0.5</v>
      </c>
      <c r="IX111" s="623">
        <v>0.5</v>
      </c>
      <c r="IY111" s="579"/>
      <c r="IZ111" s="579"/>
      <c r="JA111" s="579"/>
      <c r="JB111" s="579"/>
      <c r="JC111" s="579"/>
      <c r="JD111" s="586"/>
      <c r="JE111" s="189"/>
      <c r="JF111" s="189"/>
      <c r="JG111" s="574">
        <f>SUM(IE111:JF111)</f>
      </c>
      <c r="JH111" s="577"/>
      <c r="JI111" s="189"/>
      <c r="JJ111" s="578"/>
      <c r="JK111" s="626" t="s">
        <v>9</v>
      </c>
      <c r="JL111" s="626" t="s">
        <v>9</v>
      </c>
      <c r="JM111" s="626" t="s">
        <v>9</v>
      </c>
      <c r="JN111" s="626" t="s">
        <v>9</v>
      </c>
      <c r="JO111" s="626" t="s">
        <v>9</v>
      </c>
      <c r="JP111" s="626" t="s">
        <v>9</v>
      </c>
      <c r="JQ111" s="627" t="s">
        <v>9</v>
      </c>
      <c r="JR111" s="628" t="s">
        <v>9</v>
      </c>
      <c r="JS111" s="579"/>
      <c r="JT111" s="579"/>
      <c r="JU111" s="629" t="s">
        <v>9</v>
      </c>
      <c r="JV111" s="630" t="s">
        <v>9</v>
      </c>
      <c r="JW111" s="626" t="s">
        <v>9</v>
      </c>
      <c r="JX111" s="626" t="s">
        <v>9</v>
      </c>
      <c r="JY111" s="626" t="s">
        <v>9</v>
      </c>
      <c r="JZ111" s="626" t="s">
        <v>9</v>
      </c>
      <c r="KA111" s="626" t="s">
        <v>9</v>
      </c>
      <c r="KB111" s="626" t="s">
        <v>9</v>
      </c>
      <c r="KC111" s="579"/>
      <c r="KD111" s="579"/>
      <c r="KE111" s="579"/>
      <c r="KF111" s="579"/>
      <c r="KG111" s="586"/>
      <c r="KH111" s="189"/>
      <c r="KI111" s="189"/>
      <c r="KJ111" s="574">
        <f>SUM(JH111:KI111)</f>
      </c>
      <c r="KK111" s="577"/>
      <c r="KL111" s="189"/>
      <c r="KM111" s="578"/>
      <c r="KN111" s="626" t="s">
        <v>9</v>
      </c>
      <c r="KO111" s="626" t="s">
        <v>9</v>
      </c>
      <c r="KP111" s="626" t="s">
        <v>9</v>
      </c>
      <c r="KQ111" s="626" t="s">
        <v>9</v>
      </c>
      <c r="KR111" s="626" t="s">
        <v>9</v>
      </c>
      <c r="KS111" s="626" t="s">
        <v>9</v>
      </c>
      <c r="KT111" s="627" t="s">
        <v>9</v>
      </c>
      <c r="KU111" s="628" t="s">
        <v>9</v>
      </c>
      <c r="KV111" s="579"/>
      <c r="KW111" s="579"/>
      <c r="KX111" s="629" t="s">
        <v>9</v>
      </c>
      <c r="KY111" s="630" t="s">
        <v>9</v>
      </c>
      <c r="KZ111" s="626" t="s">
        <v>9</v>
      </c>
      <c r="LA111" s="626" t="s">
        <v>9</v>
      </c>
      <c r="LB111" s="626" t="s">
        <v>9</v>
      </c>
      <c r="LC111" s="626" t="s">
        <v>9</v>
      </c>
      <c r="LD111" s="626" t="s">
        <v>9</v>
      </c>
      <c r="LE111" s="626" t="s">
        <v>9</v>
      </c>
      <c r="LF111" s="579"/>
      <c r="LG111" s="579"/>
      <c r="LH111" s="579"/>
      <c r="LI111" s="579"/>
      <c r="LJ111" s="586"/>
      <c r="LK111" s="189"/>
      <c r="LL111" s="189"/>
      <c r="LM111" s="574">
        <f>SUM(KK111:LL111)</f>
      </c>
      <c r="LN111" s="577"/>
      <c r="LO111" s="189"/>
      <c r="LP111" s="578"/>
      <c r="LQ111" s="626" t="s">
        <v>9</v>
      </c>
      <c r="LR111" s="626" t="s">
        <v>9</v>
      </c>
      <c r="LS111" s="626" t="s">
        <v>9</v>
      </c>
      <c r="LT111" s="626" t="s">
        <v>9</v>
      </c>
      <c r="LU111" s="626" t="s">
        <v>9</v>
      </c>
      <c r="LV111" s="626" t="s">
        <v>9</v>
      </c>
      <c r="LW111" s="627" t="s">
        <v>9</v>
      </c>
      <c r="LX111" s="628" t="s">
        <v>9</v>
      </c>
      <c r="LY111" s="579"/>
      <c r="LZ111" s="579"/>
      <c r="MA111" s="629" t="s">
        <v>9</v>
      </c>
      <c r="MB111" s="626" t="s">
        <v>9</v>
      </c>
      <c r="MC111" s="626" t="s">
        <v>9</v>
      </c>
      <c r="MD111" s="626" t="s">
        <v>9</v>
      </c>
      <c r="ME111" s="626" t="s">
        <v>9</v>
      </c>
      <c r="MF111" s="626" t="s">
        <v>9</v>
      </c>
      <c r="MG111" s="626" t="s">
        <v>9</v>
      </c>
      <c r="MH111" s="626" t="s">
        <v>9</v>
      </c>
      <c r="MI111" s="579"/>
      <c r="MJ111" s="579"/>
      <c r="MK111" s="579"/>
      <c r="ML111" s="579"/>
      <c r="MM111" s="586"/>
      <c r="MN111" s="189"/>
      <c r="MO111" s="189"/>
      <c r="MP111" s="574">
        <f>SUM(LN111:MO111)</f>
      </c>
      <c r="MQ111" s="567"/>
      <c r="MR111" s="168"/>
      <c r="MS111" s="568"/>
      <c r="MT111" s="569"/>
      <c r="MU111" s="569"/>
      <c r="MV111" s="569"/>
      <c r="MW111" s="569"/>
      <c r="MX111" s="569"/>
      <c r="MY111" s="569"/>
      <c r="MZ111" s="570"/>
      <c r="NA111" s="571"/>
      <c r="NB111" s="569"/>
      <c r="NC111" s="569"/>
      <c r="ND111" s="572"/>
      <c r="NE111" s="568"/>
      <c r="NF111" s="569"/>
      <c r="NG111" s="569"/>
      <c r="NH111" s="569"/>
      <c r="NI111" s="569"/>
      <c r="NJ111" s="569"/>
      <c r="NK111" s="569"/>
      <c r="NL111" s="569"/>
      <c r="NM111" s="569"/>
      <c r="NN111" s="569"/>
      <c r="NO111" s="569"/>
      <c r="NP111" s="570"/>
      <c r="NQ111" s="168"/>
      <c r="NR111" s="168"/>
      <c r="NS111" s="574">
        <f>SUM(MQ111:NR111)</f>
      </c>
      <c r="NT111" s="567"/>
      <c r="NU111" s="168"/>
      <c r="NV111" s="568"/>
      <c r="NW111" s="569"/>
      <c r="NX111" s="569"/>
      <c r="NY111" s="569"/>
      <c r="NZ111" s="569"/>
      <c r="OA111" s="569"/>
      <c r="OB111" s="569"/>
      <c r="OC111" s="570"/>
      <c r="OD111" s="571"/>
      <c r="OE111" s="569"/>
      <c r="OF111" s="569"/>
      <c r="OG111" s="572"/>
      <c r="OH111" s="568"/>
      <c r="OI111" s="569"/>
      <c r="OJ111" s="569"/>
      <c r="OK111" s="569"/>
      <c r="OL111" s="569"/>
      <c r="OM111" s="569"/>
      <c r="ON111" s="569"/>
      <c r="OO111" s="569"/>
      <c r="OP111" s="569"/>
      <c r="OQ111" s="569"/>
      <c r="OR111" s="569"/>
      <c r="OS111" s="570"/>
      <c r="OT111" s="168"/>
      <c r="OU111" s="168"/>
      <c r="OV111" s="574">
        <f>SUM(NT111:OU111)</f>
      </c>
      <c r="OW111" s="575">
        <f>ID111+JG111+KJ111+LM111+MP111+NS111+OV111</f>
      </c>
      <c r="OX111" s="576">
        <f>(COUNTIF(HB111:OV111,"H")+COUNTIF(HB111:OV111,"S")+COUNTIF(HB111:OV111,"L")+COUNTIF(HB111:OV111,"E")+COUNTIF(HB111:OV111,"C"))/2</f>
      </c>
      <c r="OY111" s="574">
        <f>OW111+OX111</f>
      </c>
      <c r="OZ111" s="577"/>
      <c r="PA111" s="189"/>
      <c r="PB111" s="585">
        <v>0.5</v>
      </c>
      <c r="PC111" s="581">
        <v>0.5</v>
      </c>
      <c r="PD111" s="581">
        <v>0.5</v>
      </c>
      <c r="PE111" s="581">
        <v>0.5</v>
      </c>
      <c r="PF111" s="581">
        <v>0.5</v>
      </c>
      <c r="PG111" s="581">
        <v>0.5</v>
      </c>
      <c r="PH111" s="581">
        <v>0.5</v>
      </c>
      <c r="PI111" s="582">
        <v>0.5</v>
      </c>
      <c r="PJ111" s="620"/>
      <c r="PK111" s="621"/>
      <c r="PL111" s="581">
        <v>0.5</v>
      </c>
      <c r="PM111" s="584">
        <v>0.5</v>
      </c>
      <c r="PN111" s="585">
        <v>0.5</v>
      </c>
      <c r="PO111" s="581">
        <v>0.5</v>
      </c>
      <c r="PP111" s="581">
        <v>0.5</v>
      </c>
      <c r="PQ111" s="581">
        <v>0.5</v>
      </c>
      <c r="PR111" s="581">
        <v>0.5</v>
      </c>
      <c r="PS111" s="581">
        <v>0.5</v>
      </c>
      <c r="PT111" s="579"/>
      <c r="PU111" s="579"/>
      <c r="PV111" s="579"/>
      <c r="PW111" s="579"/>
      <c r="PX111" s="579"/>
      <c r="PY111" s="586"/>
      <c r="PZ111" s="189"/>
      <c r="QA111" s="189"/>
      <c r="QB111" s="574">
        <f>SUM(OZ111:QA111)</f>
      </c>
      <c r="QC111" s="577"/>
      <c r="QD111" s="189"/>
      <c r="QE111" s="622">
        <v>0.5</v>
      </c>
      <c r="QF111" s="623">
        <v>0.5</v>
      </c>
      <c r="QG111" s="623">
        <v>0.5</v>
      </c>
      <c r="QH111" s="623">
        <v>0.5</v>
      </c>
      <c r="QI111" s="623">
        <v>0.5</v>
      </c>
      <c r="QJ111" s="623">
        <v>0.5</v>
      </c>
      <c r="QK111" s="623">
        <v>0.5</v>
      </c>
      <c r="QL111" s="624">
        <v>0.5</v>
      </c>
      <c r="QM111" s="620"/>
      <c r="QN111" s="621"/>
      <c r="QO111" s="623">
        <v>0.5</v>
      </c>
      <c r="QP111" s="625">
        <v>0.5</v>
      </c>
      <c r="QQ111" s="622">
        <v>0.5</v>
      </c>
      <c r="QR111" s="623">
        <v>0.5</v>
      </c>
      <c r="QS111" s="623">
        <v>0.5</v>
      </c>
      <c r="QT111" s="623">
        <v>0.5</v>
      </c>
      <c r="QU111" s="623">
        <v>0.5</v>
      </c>
      <c r="QV111" s="623">
        <v>0.5</v>
      </c>
      <c r="QW111" s="579"/>
      <c r="QX111" s="579"/>
      <c r="QY111" s="579"/>
      <c r="QZ111" s="579"/>
      <c r="RA111" s="579"/>
      <c r="RB111" s="586"/>
      <c r="RC111" s="189"/>
      <c r="RD111" s="189"/>
      <c r="RE111" s="574">
        <f>SUM(QC111:RD111)</f>
      </c>
      <c r="RF111" s="577"/>
      <c r="RG111" s="189"/>
      <c r="RH111" s="585">
        <v>0.5</v>
      </c>
      <c r="RI111" s="581">
        <v>0.5</v>
      </c>
      <c r="RJ111" s="581">
        <v>0.5</v>
      </c>
      <c r="RK111" s="581">
        <v>0.5</v>
      </c>
      <c r="RL111" s="581">
        <v>0.5</v>
      </c>
      <c r="RM111" s="581">
        <v>0.5</v>
      </c>
      <c r="RN111" s="581">
        <v>0.5</v>
      </c>
      <c r="RO111" s="582">
        <v>0.5</v>
      </c>
      <c r="RP111" s="620"/>
      <c r="RQ111" s="621"/>
      <c r="RR111" s="581">
        <v>0.5</v>
      </c>
      <c r="RS111" s="584">
        <v>0.5</v>
      </c>
      <c r="RT111" s="585">
        <v>0.5</v>
      </c>
      <c r="RU111" s="581">
        <v>0.5</v>
      </c>
      <c r="RV111" s="581">
        <v>0.5</v>
      </c>
      <c r="RW111" s="581">
        <v>0.5</v>
      </c>
      <c r="RX111" s="581">
        <v>0.5</v>
      </c>
      <c r="RY111" s="581">
        <v>0.5</v>
      </c>
      <c r="RZ111" s="579"/>
      <c r="SA111" s="579"/>
      <c r="SB111" s="579"/>
      <c r="SC111" s="579"/>
      <c r="SD111" s="579"/>
      <c r="SE111" s="586"/>
      <c r="SF111" s="189"/>
      <c r="SG111" s="189"/>
      <c r="SH111" s="574">
        <f>SUM(RF111:SG111)</f>
      </c>
      <c r="SI111" s="577"/>
      <c r="SJ111" s="189"/>
      <c r="SK111" s="585">
        <v>0.5</v>
      </c>
      <c r="SL111" s="581">
        <v>0.5</v>
      </c>
      <c r="SM111" s="581">
        <v>0.5</v>
      </c>
      <c r="SN111" s="581">
        <v>0.5</v>
      </c>
      <c r="SO111" s="581">
        <v>0.5</v>
      </c>
      <c r="SP111" s="581">
        <v>0.5</v>
      </c>
      <c r="SQ111" s="581">
        <v>0.5</v>
      </c>
      <c r="SR111" s="582">
        <v>0.5</v>
      </c>
      <c r="SS111" s="620"/>
      <c r="ST111" s="621"/>
      <c r="SU111" s="581">
        <v>0.5</v>
      </c>
      <c r="SV111" s="584">
        <v>0.5</v>
      </c>
      <c r="SW111" s="585">
        <v>0.5</v>
      </c>
      <c r="SX111" s="581">
        <v>0.5</v>
      </c>
      <c r="SY111" s="581">
        <v>0.5</v>
      </c>
      <c r="SZ111" s="581">
        <v>0.5</v>
      </c>
      <c r="TA111" s="581">
        <v>0.5</v>
      </c>
      <c r="TB111" s="581">
        <v>0.5</v>
      </c>
      <c r="TC111" s="579"/>
      <c r="TD111" s="579"/>
      <c r="TE111" s="579"/>
      <c r="TF111" s="579"/>
      <c r="TG111" s="579"/>
      <c r="TH111" s="586"/>
      <c r="TI111" s="189"/>
      <c r="TJ111" s="189"/>
      <c r="TK111" s="574">
        <f>SUM(SI111:TJ111)</f>
      </c>
      <c r="TL111" s="577"/>
      <c r="TM111" s="189"/>
      <c r="TN111" s="622">
        <v>0.5</v>
      </c>
      <c r="TO111" s="623">
        <v>0.5</v>
      </c>
      <c r="TP111" s="623">
        <v>0.5</v>
      </c>
      <c r="TQ111" s="623">
        <v>0.5</v>
      </c>
      <c r="TR111" s="623">
        <v>0.5</v>
      </c>
      <c r="TS111" s="623">
        <v>0.5</v>
      </c>
      <c r="TT111" s="623">
        <v>0.5</v>
      </c>
      <c r="TU111" s="624">
        <v>0.5</v>
      </c>
      <c r="TV111" s="620"/>
      <c r="TW111" s="621"/>
      <c r="TX111" s="623">
        <v>0.5</v>
      </c>
      <c r="TY111" s="625">
        <v>0.5</v>
      </c>
      <c r="TZ111" s="623">
        <v>0.5</v>
      </c>
      <c r="UA111" s="623">
        <v>0.5</v>
      </c>
      <c r="UB111" s="623">
        <v>0.5</v>
      </c>
      <c r="UC111" s="623">
        <v>0.5</v>
      </c>
      <c r="UD111" s="623">
        <v>0.5</v>
      </c>
      <c r="UE111" s="623">
        <v>0.5</v>
      </c>
      <c r="UF111" s="579"/>
      <c r="UG111" s="579"/>
      <c r="UH111" s="579"/>
      <c r="UI111" s="579"/>
      <c r="UJ111" s="579"/>
      <c r="UK111" s="586"/>
      <c r="UL111" s="189"/>
      <c r="UM111" s="189"/>
      <c r="UN111" s="574">
        <f>SUM(TL111:UM111)</f>
      </c>
      <c r="UO111" s="567"/>
      <c r="UP111" s="168"/>
      <c r="UQ111" s="568"/>
      <c r="UR111" s="569"/>
      <c r="US111" s="569"/>
      <c r="UT111" s="569"/>
      <c r="UU111" s="569"/>
      <c r="UV111" s="569"/>
      <c r="UW111" s="569"/>
      <c r="UX111" s="570"/>
      <c r="UY111" s="571"/>
      <c r="UZ111" s="569"/>
      <c r="VA111" s="569"/>
      <c r="VB111" s="572"/>
      <c r="VC111" s="568"/>
      <c r="VD111" s="569"/>
      <c r="VE111" s="569"/>
      <c r="VF111" s="569"/>
      <c r="VG111" s="569"/>
      <c r="VH111" s="569"/>
      <c r="VI111" s="569"/>
      <c r="VJ111" s="569"/>
      <c r="VK111" s="569"/>
      <c r="VL111" s="569"/>
      <c r="VM111" s="569"/>
      <c r="VN111" s="570"/>
      <c r="VO111" s="168"/>
      <c r="VP111" s="168"/>
      <c r="VQ111" s="574">
        <f>SUM(UO111:VP111)</f>
      </c>
      <c r="VR111" s="567"/>
      <c r="VS111" s="168"/>
      <c r="VT111" s="568"/>
      <c r="VU111" s="569"/>
      <c r="VV111" s="569"/>
      <c r="VW111" s="569"/>
      <c r="VX111" s="569"/>
      <c r="VY111" s="569"/>
      <c r="VZ111" s="569"/>
      <c r="WA111" s="570"/>
      <c r="WB111" s="571"/>
      <c r="WC111" s="569"/>
      <c r="WD111" s="569"/>
      <c r="WE111" s="572"/>
      <c r="WF111" s="568"/>
      <c r="WG111" s="569"/>
      <c r="WH111" s="569"/>
      <c r="WI111" s="569"/>
      <c r="WJ111" s="569"/>
      <c r="WK111" s="569"/>
      <c r="WL111" s="569"/>
      <c r="WM111" s="569"/>
      <c r="WN111" s="569"/>
      <c r="WO111" s="569"/>
      <c r="WP111" s="569"/>
      <c r="WQ111" s="570"/>
      <c r="WR111" s="168"/>
      <c r="WS111" s="168"/>
      <c r="WT111" s="574">
        <f>SUM(VR111:WS111)</f>
      </c>
      <c r="WU111" s="575">
        <f>QB111+RE111+SH111+TK111+UN111+VQ111+WT111</f>
      </c>
      <c r="WV111" s="576">
        <f>(COUNTIF(OZ111:WT111,"H")+COUNTIF(OZ111:WT111,"S")+COUNTIF(OZ111:WT111,"L")+COUNTIF(OZ111:WT111,"E")+COUNTIF(OZ111:WT111,"C"))/2</f>
      </c>
      <c r="WW111" s="574">
        <f>WU111+WV111</f>
      </c>
      <c r="WX111" s="577"/>
      <c r="WY111" s="189"/>
      <c r="WZ111" s="585">
        <v>0.5</v>
      </c>
      <c r="XA111" s="581">
        <v>0.5</v>
      </c>
      <c r="XB111" s="581">
        <v>0.5</v>
      </c>
      <c r="XC111" s="581">
        <v>0.5</v>
      </c>
      <c r="XD111" s="581">
        <v>0.5</v>
      </c>
      <c r="XE111" s="581">
        <v>0.5</v>
      </c>
      <c r="XF111" s="581">
        <v>0.5</v>
      </c>
      <c r="XG111" s="582">
        <v>0.5</v>
      </c>
      <c r="XH111" s="620"/>
      <c r="XI111" s="621"/>
      <c r="XJ111" s="581">
        <v>0.5</v>
      </c>
      <c r="XK111" s="584">
        <v>0.5</v>
      </c>
      <c r="XL111" s="585">
        <v>0.5</v>
      </c>
      <c r="XM111" s="581">
        <v>0.5</v>
      </c>
      <c r="XN111" s="581">
        <v>0.5</v>
      </c>
      <c r="XO111" s="581">
        <v>0.5</v>
      </c>
      <c r="XP111" s="581">
        <v>0.5</v>
      </c>
      <c r="XQ111" s="581">
        <v>0.5</v>
      </c>
      <c r="XR111" s="579"/>
      <c r="XS111" s="579"/>
      <c r="XT111" s="579"/>
      <c r="XU111" s="579"/>
      <c r="XV111" s="579"/>
      <c r="XW111" s="586"/>
      <c r="XX111" s="189"/>
      <c r="XY111" s="189"/>
      <c r="XZ111" s="574">
        <f>SUM(WX111:XY111)</f>
      </c>
      <c r="YA111" s="577"/>
      <c r="YB111" s="189"/>
      <c r="YC111" s="622">
        <v>0.5</v>
      </c>
      <c r="YD111" s="623">
        <v>0.5</v>
      </c>
      <c r="YE111" s="623">
        <v>0.5</v>
      </c>
      <c r="YF111" s="623">
        <v>0.5</v>
      </c>
      <c r="YG111" s="623">
        <v>0.5</v>
      </c>
      <c r="YH111" s="623">
        <v>0.5</v>
      </c>
      <c r="YI111" s="623">
        <v>0.5</v>
      </c>
      <c r="YJ111" s="624">
        <v>0.5</v>
      </c>
      <c r="YK111" s="620"/>
      <c r="YL111" s="621"/>
      <c r="YM111" s="623">
        <v>0.5</v>
      </c>
      <c r="YN111" s="625">
        <v>0.5</v>
      </c>
      <c r="YO111" s="622">
        <v>0.5</v>
      </c>
      <c r="YP111" s="623">
        <v>0.5</v>
      </c>
      <c r="YQ111" s="623">
        <v>0.5</v>
      </c>
      <c r="YR111" s="623">
        <v>0.5</v>
      </c>
      <c r="YS111" s="623">
        <v>0.5</v>
      </c>
      <c r="YT111" s="623">
        <v>0.5</v>
      </c>
      <c r="YU111" s="579"/>
      <c r="YV111" s="579"/>
      <c r="YW111" s="579"/>
      <c r="YX111" s="579"/>
      <c r="YY111" s="579"/>
      <c r="YZ111" s="586"/>
      <c r="ZA111" s="189"/>
      <c r="ZB111" s="189"/>
      <c r="ZC111" s="574">
        <f>SUM(YA111:ZB111)</f>
      </c>
      <c r="ZD111" s="577"/>
      <c r="ZE111" s="189"/>
      <c r="ZF111" s="585">
        <v>0.5</v>
      </c>
      <c r="ZG111" s="581">
        <v>0.5</v>
      </c>
      <c r="ZH111" s="581">
        <v>0.5</v>
      </c>
      <c r="ZI111" s="581">
        <v>0.5</v>
      </c>
      <c r="ZJ111" s="581">
        <v>0.5</v>
      </c>
      <c r="ZK111" s="581">
        <v>0.5</v>
      </c>
      <c r="ZL111" s="581">
        <v>0.5</v>
      </c>
      <c r="ZM111" s="582">
        <v>0.5</v>
      </c>
      <c r="ZN111" s="620"/>
      <c r="ZO111" s="621"/>
      <c r="ZP111" s="581">
        <v>0.5</v>
      </c>
      <c r="ZQ111" s="584">
        <v>0.5</v>
      </c>
      <c r="ZR111" s="585">
        <v>0.5</v>
      </c>
      <c r="ZS111" s="581">
        <v>0.5</v>
      </c>
      <c r="ZT111" s="581">
        <v>0.5</v>
      </c>
      <c r="ZU111" s="581">
        <v>0.5</v>
      </c>
      <c r="ZV111" s="581">
        <v>0.5</v>
      </c>
      <c r="ZW111" s="581">
        <v>0.5</v>
      </c>
      <c r="ZX111" s="579"/>
      <c r="ZY111" s="579"/>
      <c r="ZZ111" s="579"/>
      <c r="AAA111" s="579"/>
      <c r="AAB111" s="579"/>
      <c r="AAC111" s="586"/>
      <c r="AAD111" s="189"/>
      <c r="AAE111" s="189"/>
      <c r="AAF111" s="574">
        <f>SUM(ZD111:AAE111)</f>
      </c>
      <c r="AAG111" s="577"/>
      <c r="AAH111" s="189"/>
      <c r="AAI111" s="585">
        <v>0.5</v>
      </c>
      <c r="AAJ111" s="581">
        <v>0.5</v>
      </c>
      <c r="AAK111" s="581">
        <v>0.5</v>
      </c>
      <c r="AAL111" s="581">
        <v>0.5</v>
      </c>
      <c r="AAM111" s="581">
        <v>0.5</v>
      </c>
      <c r="AAN111" s="581">
        <v>0.5</v>
      </c>
      <c r="AAO111" s="581">
        <v>0.5</v>
      </c>
      <c r="AAP111" s="582">
        <v>0.5</v>
      </c>
      <c r="AAQ111" s="620"/>
      <c r="AAR111" s="621"/>
      <c r="AAS111" s="581">
        <v>0.5</v>
      </c>
      <c r="AAT111" s="584">
        <v>0.5</v>
      </c>
      <c r="AAU111" s="585">
        <v>0.5</v>
      </c>
      <c r="AAV111" s="581">
        <v>0.5</v>
      </c>
      <c r="AAW111" s="581">
        <v>0.5</v>
      </c>
      <c r="AAX111" s="581">
        <v>0.5</v>
      </c>
      <c r="AAY111" s="581">
        <v>0.5</v>
      </c>
      <c r="AAZ111" s="581">
        <v>0.5</v>
      </c>
      <c r="ABA111" s="579"/>
      <c r="ABB111" s="579"/>
      <c r="ABC111" s="579"/>
      <c r="ABD111" s="579"/>
      <c r="ABE111" s="579"/>
      <c r="ABF111" s="586"/>
      <c r="ABG111" s="189"/>
      <c r="ABH111" s="189"/>
      <c r="ABI111" s="574">
        <f>SUM(AAG111:ABH111)</f>
      </c>
      <c r="ABJ111" s="577"/>
      <c r="ABK111" s="189"/>
      <c r="ABL111" s="622">
        <v>0.5</v>
      </c>
      <c r="ABM111" s="623">
        <v>0.5</v>
      </c>
      <c r="ABN111" s="623">
        <v>0.5</v>
      </c>
      <c r="ABO111" s="623">
        <v>0.5</v>
      </c>
      <c r="ABP111" s="623">
        <v>0.5</v>
      </c>
      <c r="ABQ111" s="623">
        <v>0.5</v>
      </c>
      <c r="ABR111" s="623">
        <v>0.5</v>
      </c>
      <c r="ABS111" s="624">
        <v>0.5</v>
      </c>
      <c r="ABT111" s="620"/>
      <c r="ABU111" s="621"/>
      <c r="ABV111" s="623">
        <v>0.5</v>
      </c>
      <c r="ABW111" s="625">
        <v>0.5</v>
      </c>
      <c r="ABX111" s="622">
        <v>0.5</v>
      </c>
      <c r="ABY111" s="623">
        <v>0.5</v>
      </c>
      <c r="ABZ111" s="623">
        <v>0.5</v>
      </c>
      <c r="ACA111" s="623">
        <v>0.5</v>
      </c>
      <c r="ACB111" s="623">
        <v>0.5</v>
      </c>
      <c r="ACC111" s="623">
        <v>0.5</v>
      </c>
      <c r="ACD111" s="579"/>
      <c r="ACE111" s="579"/>
      <c r="ACF111" s="579"/>
      <c r="ACG111" s="579"/>
      <c r="ACH111" s="579"/>
      <c r="ACI111" s="586"/>
      <c r="ACJ111" s="189"/>
      <c r="ACK111" s="189"/>
      <c r="ACL111" s="574">
        <f>SUM(ABJ111:ACK111)</f>
      </c>
      <c r="ACM111" s="567"/>
      <c r="ACN111" s="168"/>
      <c r="ACO111" s="568"/>
      <c r="ACP111" s="569"/>
      <c r="ACQ111" s="569"/>
      <c r="ACR111" s="569"/>
      <c r="ACS111" s="569"/>
      <c r="ACT111" s="569"/>
      <c r="ACU111" s="569"/>
      <c r="ACV111" s="570"/>
      <c r="ACW111" s="571"/>
      <c r="ACX111" s="569"/>
      <c r="ACY111" s="569"/>
      <c r="ACZ111" s="572"/>
      <c r="ADA111" s="568"/>
      <c r="ADB111" s="569"/>
      <c r="ADC111" s="569"/>
      <c r="ADD111" s="569"/>
      <c r="ADE111" s="569"/>
      <c r="ADF111" s="569"/>
      <c r="ADG111" s="569"/>
      <c r="ADH111" s="569"/>
      <c r="ADI111" s="569"/>
      <c r="ADJ111" s="569"/>
      <c r="ADK111" s="569"/>
      <c r="ADL111" s="570"/>
      <c r="ADM111" s="168"/>
      <c r="ADN111" s="168"/>
      <c r="ADO111" s="574">
        <f>SUM(ACM111:ADN111)</f>
      </c>
      <c r="ADP111" s="567"/>
      <c r="ADQ111" s="168"/>
      <c r="ADR111" s="568"/>
      <c r="ADS111" s="569"/>
      <c r="ADT111" s="569"/>
      <c r="ADU111" s="569"/>
      <c r="ADV111" s="569"/>
      <c r="ADW111" s="569"/>
      <c r="ADX111" s="569"/>
      <c r="ADY111" s="570"/>
      <c r="ADZ111" s="571"/>
      <c r="AEA111" s="569"/>
      <c r="AEB111" s="569"/>
      <c r="AEC111" s="572"/>
      <c r="AED111" s="568"/>
      <c r="AEE111" s="569"/>
      <c r="AEF111" s="569"/>
      <c r="AEG111" s="569"/>
      <c r="AEH111" s="569"/>
      <c r="AEI111" s="569"/>
      <c r="AEJ111" s="569"/>
      <c r="AEK111" s="569"/>
      <c r="AEL111" s="569"/>
      <c r="AEM111" s="569"/>
      <c r="AEN111" s="569"/>
      <c r="AEO111" s="570"/>
      <c r="AEP111" s="168"/>
      <c r="AEQ111" s="168"/>
      <c r="AER111" s="574">
        <f>SUM(ADP111:AEQ111)</f>
      </c>
      <c r="AES111" s="575">
        <f>XZ111+ZC111+AAF111+ABI111+ACL111+ADO111+AER111</f>
      </c>
      <c r="AET111" s="576">
        <f>(COUNTIF(WX111:AER111,"H")+COUNTIF(WX111:AER111,"S")+COUNTIF(WX111:AER111,"L")+COUNTIF(WX111:AER111,"E")+COUNTIF(WX111:AER111,"C"))/2</f>
      </c>
      <c r="AEU111" s="574">
        <f>AES111+AET111</f>
      </c>
      <c r="AEV111" s="577"/>
      <c r="AEW111" s="189"/>
      <c r="AEX111" s="585">
        <v>0.5</v>
      </c>
      <c r="AEY111" s="581">
        <v>0.5</v>
      </c>
      <c r="AEZ111" s="581">
        <v>0.5</v>
      </c>
      <c r="AFA111" s="581">
        <v>0.5</v>
      </c>
      <c r="AFB111" s="581">
        <v>0.5</v>
      </c>
      <c r="AFC111" s="581">
        <v>0.5</v>
      </c>
      <c r="AFD111" s="581">
        <v>0.5</v>
      </c>
      <c r="AFE111" s="582">
        <v>0.5</v>
      </c>
      <c r="AFF111" s="620"/>
      <c r="AFG111" s="621"/>
      <c r="AFH111" s="581">
        <v>0.5</v>
      </c>
      <c r="AFI111" s="584">
        <v>0.5</v>
      </c>
      <c r="AFJ111" s="585">
        <v>0.5</v>
      </c>
      <c r="AFK111" s="581">
        <v>0.5</v>
      </c>
      <c r="AFL111" s="581">
        <v>0.5</v>
      </c>
      <c r="AFM111" s="581">
        <v>0.5</v>
      </c>
      <c r="AFN111" s="581">
        <v>0.5</v>
      </c>
      <c r="AFO111" s="581">
        <v>0.5</v>
      </c>
      <c r="AFP111" s="579"/>
      <c r="AFQ111" s="579"/>
      <c r="AFR111" s="579"/>
      <c r="AFS111" s="579"/>
      <c r="AFT111" s="579"/>
      <c r="AFU111" s="586"/>
      <c r="AFV111" s="189"/>
      <c r="AFW111" s="189"/>
      <c r="AFX111" s="574">
        <f>SUM(AEV111:AFW111)</f>
      </c>
      <c r="AFY111" s="577"/>
      <c r="AFZ111" s="189"/>
      <c r="AGA111" s="622">
        <v>0.5</v>
      </c>
      <c r="AGB111" s="623">
        <v>0.5</v>
      </c>
      <c r="AGC111" s="623">
        <v>0.5</v>
      </c>
      <c r="AGD111" s="623">
        <v>0.5</v>
      </c>
      <c r="AGE111" s="623">
        <v>0.5</v>
      </c>
      <c r="AGF111" s="623">
        <v>0.5</v>
      </c>
      <c r="AGG111" s="623">
        <v>0.5</v>
      </c>
      <c r="AGH111" s="624">
        <v>0.5</v>
      </c>
      <c r="AGI111" s="620"/>
      <c r="AGJ111" s="621"/>
      <c r="AGK111" s="623">
        <v>0.5</v>
      </c>
      <c r="AGL111" s="625">
        <v>0.5</v>
      </c>
      <c r="AGM111" s="622">
        <v>0.5</v>
      </c>
      <c r="AGN111" s="623">
        <v>0.5</v>
      </c>
      <c r="AGO111" s="623">
        <v>0.5</v>
      </c>
      <c r="AGP111" s="623">
        <v>0.5</v>
      </c>
      <c r="AGQ111" s="623">
        <v>0.5</v>
      </c>
      <c r="AGR111" s="623">
        <v>0.5</v>
      </c>
      <c r="AGS111" s="579"/>
      <c r="AGT111" s="579"/>
      <c r="AGU111" s="579"/>
      <c r="AGV111" s="579"/>
      <c r="AGW111" s="579"/>
      <c r="AGX111" s="586"/>
      <c r="AGY111" s="189"/>
      <c r="AGZ111" s="189"/>
      <c r="AHA111" s="574">
        <f>SUM(AFY111:AGZ111)</f>
      </c>
      <c r="AHB111" s="577"/>
      <c r="AHC111" s="189"/>
      <c r="AHD111" s="585">
        <v>0.5</v>
      </c>
      <c r="AHE111" s="581">
        <v>0.5</v>
      </c>
      <c r="AHF111" s="581">
        <v>0.5</v>
      </c>
      <c r="AHG111" s="581">
        <v>0.5</v>
      </c>
      <c r="AHH111" s="581">
        <v>0.5</v>
      </c>
      <c r="AHI111" s="581">
        <v>0.5</v>
      </c>
      <c r="AHJ111" s="581">
        <v>0.5</v>
      </c>
      <c r="AHK111" s="582">
        <v>0.5</v>
      </c>
      <c r="AHL111" s="620"/>
      <c r="AHM111" s="621"/>
      <c r="AHN111" s="581">
        <v>0.5</v>
      </c>
      <c r="AHO111" s="584">
        <v>0.5</v>
      </c>
      <c r="AHP111" s="585">
        <v>0.5</v>
      </c>
      <c r="AHQ111" s="581">
        <v>0.5</v>
      </c>
      <c r="AHR111" s="581">
        <v>0.5</v>
      </c>
      <c r="AHS111" s="581">
        <v>0.5</v>
      </c>
      <c r="AHT111" s="581">
        <v>0.5</v>
      </c>
      <c r="AHU111" s="581">
        <v>0.5</v>
      </c>
      <c r="AHV111" s="579"/>
      <c r="AHW111" s="579"/>
      <c r="AHX111" s="579"/>
      <c r="AHY111" s="579"/>
      <c r="AHZ111" s="579"/>
      <c r="AIA111" s="586"/>
      <c r="AIB111" s="189"/>
      <c r="AIC111" s="189"/>
      <c r="AID111" s="574">
        <f>SUM(AHB111:AIC111)</f>
      </c>
      <c r="AIE111" s="577"/>
      <c r="AIF111" s="189"/>
      <c r="AIG111" s="585">
        <v>0.5</v>
      </c>
      <c r="AIH111" s="581">
        <v>0.5</v>
      </c>
      <c r="AII111" s="581">
        <v>0.5</v>
      </c>
      <c r="AIJ111" s="581">
        <v>0.5</v>
      </c>
      <c r="AIK111" s="581">
        <v>0.5</v>
      </c>
      <c r="AIL111" s="581">
        <v>0.5</v>
      </c>
      <c r="AIM111" s="581">
        <v>0.5</v>
      </c>
      <c r="AIN111" s="582">
        <v>0.5</v>
      </c>
      <c r="AIO111" s="620"/>
      <c r="AIP111" s="621"/>
      <c r="AIQ111" s="581">
        <v>0.5</v>
      </c>
      <c r="AIR111" s="584">
        <v>0.5</v>
      </c>
      <c r="AIS111" s="585">
        <v>0.5</v>
      </c>
      <c r="AIT111" s="581">
        <v>0.5</v>
      </c>
      <c r="AIU111" s="581">
        <v>0.5</v>
      </c>
      <c r="AIV111" s="581">
        <v>0.5</v>
      </c>
      <c r="AIW111" s="581">
        <v>0.5</v>
      </c>
      <c r="AIX111" s="581">
        <v>0.5</v>
      </c>
      <c r="AIY111" s="579"/>
      <c r="AIZ111" s="579"/>
      <c r="AJA111" s="579"/>
      <c r="AJB111" s="579"/>
      <c r="AJC111" s="579"/>
      <c r="AJD111" s="586"/>
      <c r="AJE111" s="189"/>
      <c r="AJF111" s="189"/>
      <c r="AJG111" s="574">
        <f>SUM(AIE111:AJF111)</f>
      </c>
      <c r="AJH111" s="577"/>
      <c r="AJI111" s="189"/>
      <c r="AJJ111" s="622">
        <v>0.5</v>
      </c>
      <c r="AJK111" s="623">
        <v>0.5</v>
      </c>
      <c r="AJL111" s="623">
        <v>0.5</v>
      </c>
      <c r="AJM111" s="623">
        <v>0.5</v>
      </c>
      <c r="AJN111" s="623">
        <v>0.5</v>
      </c>
      <c r="AJO111" s="623">
        <v>0.5</v>
      </c>
      <c r="AJP111" s="623">
        <v>0.5</v>
      </c>
      <c r="AJQ111" s="624">
        <v>0.5</v>
      </c>
      <c r="AJR111" s="620"/>
      <c r="AJS111" s="621"/>
      <c r="AJT111" s="623">
        <v>0.5</v>
      </c>
      <c r="AJU111" s="625">
        <v>0.5</v>
      </c>
      <c r="AJV111" s="622">
        <v>0.5</v>
      </c>
      <c r="AJW111" s="623">
        <v>0.5</v>
      </c>
      <c r="AJX111" s="623">
        <v>0.5</v>
      </c>
      <c r="AJY111" s="623">
        <v>0.5</v>
      </c>
      <c r="AJZ111" s="623">
        <v>0.5</v>
      </c>
      <c r="AKA111" s="623">
        <v>0.5</v>
      </c>
      <c r="AKB111" s="579"/>
      <c r="AKC111" s="579"/>
      <c r="AKD111" s="579"/>
      <c r="AKE111" s="579"/>
      <c r="AKF111" s="579"/>
      <c r="AKG111" s="586"/>
      <c r="AKH111" s="189"/>
      <c r="AKI111" s="189"/>
      <c r="AKJ111" s="574">
        <f>SUM(AJH111:AKI111)</f>
      </c>
      <c r="AKK111" s="567"/>
      <c r="AKL111" s="168"/>
      <c r="AKM111" s="568"/>
      <c r="AKN111" s="569"/>
      <c r="AKO111" s="569"/>
      <c r="AKP111" s="569"/>
      <c r="AKQ111" s="569"/>
      <c r="AKR111" s="569"/>
      <c r="AKS111" s="569"/>
      <c r="AKT111" s="570"/>
      <c r="AKU111" s="571"/>
      <c r="AKV111" s="569"/>
      <c r="AKW111" s="569"/>
      <c r="AKX111" s="572"/>
      <c r="AKY111" s="568"/>
      <c r="AKZ111" s="569"/>
      <c r="ALA111" s="569"/>
      <c r="ALB111" s="569"/>
      <c r="ALC111" s="569"/>
      <c r="ALD111" s="569"/>
      <c r="ALE111" s="569"/>
      <c r="ALF111" s="569"/>
      <c r="ALG111" s="569"/>
      <c r="ALH111" s="569"/>
      <c r="ALI111" s="569"/>
      <c r="ALJ111" s="570"/>
      <c r="ALK111" s="168"/>
      <c r="ALL111" s="168"/>
      <c r="ALM111" s="574">
        <f>SUM(AKK111:ALL111)</f>
      </c>
      <c r="ALN111" s="567"/>
      <c r="ALO111" s="168"/>
      <c r="ALP111" s="568"/>
      <c r="ALQ111" s="569"/>
      <c r="ALR111" s="569"/>
      <c r="ALS111" s="569"/>
      <c r="ALT111" s="569"/>
      <c r="ALU111" s="569"/>
      <c r="ALV111" s="569"/>
      <c r="ALW111" s="570"/>
      <c r="ALX111" s="571"/>
      <c r="ALY111" s="569"/>
      <c r="ALZ111" s="569"/>
      <c r="AMA111" s="572"/>
      <c r="AMB111" s="568"/>
      <c r="AMC111" s="569"/>
      <c r="AMD111" s="569"/>
      <c r="AME111" s="569"/>
      <c r="AMF111" s="569"/>
      <c r="AMG111" s="569"/>
      <c r="AMH111" s="569"/>
      <c r="AMI111" s="569"/>
      <c r="AMJ111" s="569"/>
      <c r="AMK111" s="569"/>
      <c r="AML111" s="569"/>
      <c r="AMM111" s="570"/>
      <c r="AMN111" s="168"/>
      <c r="AMO111" s="168"/>
      <c r="AMP111" s="574">
        <f>SUM(ALN111:AMO111)</f>
      </c>
      <c r="AMQ111" s="575">
        <f>AFX111+AHA111+AID111+AJG111+AKJ111+ALM111+AMP111</f>
      </c>
      <c r="AMR111" s="576">
        <f>(COUNTIF(AEV111:AMP111,"H")+COUNTIF(AEV111:AMP111,"S")+COUNTIF(AEV111:AMP111,"L")+COUNTIF(AEV111:AMP111,"E")+COUNTIF(AEV111:AMP111,"C"))/2</f>
      </c>
      <c r="AMS111" s="574">
        <f>AMQ111+AMR111</f>
      </c>
      <c r="AMT111" s="4"/>
      <c r="AMU111" s="4"/>
      <c r="AMV111" s="4"/>
      <c r="AMW111" s="4"/>
      <c r="AMX111" s="4"/>
      <c r="AMY111" s="4"/>
      <c r="AMZ111" s="4"/>
      <c r="ANA111" s="4"/>
      <c r="ANB111" s="4"/>
      <c r="ANC111" s="4"/>
      <c r="AND111" s="4"/>
      <c r="ANE111" s="4"/>
      <c r="ANF111" s="4"/>
      <c r="ANG111" s="4"/>
      <c r="ANH111" s="4"/>
      <c r="ANI111" s="4"/>
      <c r="ANJ111" s="4"/>
      <c r="ANK111" s="4"/>
      <c r="ANL111" s="4"/>
      <c r="ANM111" s="4"/>
      <c r="ANN111" s="4"/>
      <c r="ANO111" s="4"/>
      <c r="ANP111" s="4"/>
      <c r="ANQ111" s="4"/>
      <c r="ANR111" s="4"/>
      <c r="ANS111" s="4"/>
      <c r="ANT111" s="4"/>
      <c r="ANU111" s="4"/>
      <c r="ANV111" s="4"/>
      <c r="ANW111" s="4"/>
      <c r="ANX111" s="4"/>
      <c r="ANY111" s="4"/>
      <c r="ANZ111" s="4"/>
      <c r="AOA111" s="4"/>
      <c r="AOB111" s="4"/>
      <c r="AOC111" s="4"/>
      <c r="AOD111" s="4"/>
      <c r="AOE111" s="4"/>
      <c r="AOF111" s="4"/>
      <c r="AOG111" s="4"/>
      <c r="AOH111" s="4"/>
      <c r="AOI111" s="4"/>
      <c r="AOJ111" s="4"/>
      <c r="AOK111" s="4"/>
      <c r="AOL111" s="4"/>
      <c r="AOM111" s="4"/>
      <c r="AON111" s="4"/>
      <c r="AOO111" s="4"/>
      <c r="AOP111" s="4"/>
      <c r="AOQ111" s="4"/>
      <c r="AOR111" s="4"/>
      <c r="AOS111" s="4"/>
      <c r="AOT111" s="4"/>
      <c r="AOU111" s="4"/>
      <c r="AOV111" s="4"/>
      <c r="AOW111" s="4"/>
      <c r="AOX111" s="4"/>
      <c r="AOY111" s="4"/>
      <c r="AOZ111" s="4"/>
      <c r="APA111" s="4"/>
      <c r="APB111" s="4"/>
      <c r="APC111" s="4"/>
      <c r="APD111" s="4"/>
      <c r="APE111" s="4"/>
      <c r="APF111" s="4"/>
      <c r="APG111" s="4"/>
      <c r="APH111" s="4"/>
      <c r="API111" s="4"/>
      <c r="APJ111" s="4"/>
      <c r="APK111" s="4"/>
      <c r="APL111" s="4"/>
      <c r="APM111" s="4"/>
      <c r="APN111" s="4"/>
      <c r="APO111" s="4"/>
      <c r="APP111" s="4"/>
      <c r="APQ111" s="4"/>
      <c r="APR111" s="4"/>
      <c r="APS111" s="4"/>
      <c r="APT111" s="4"/>
      <c r="APU111" s="4"/>
      <c r="APV111" s="4"/>
      <c r="APW111" s="4"/>
      <c r="APX111" s="4"/>
      <c r="APY111" s="4"/>
      <c r="APZ111" s="4"/>
      <c r="AQA111" s="4"/>
      <c r="AQB111" s="4"/>
      <c r="AQC111" s="4"/>
      <c r="AQD111" s="4"/>
      <c r="AQE111" s="4"/>
      <c r="AQF111" s="4"/>
      <c r="AQG111" s="4"/>
      <c r="AQH111" s="4"/>
      <c r="AQI111" s="4"/>
      <c r="AQJ111" s="4"/>
      <c r="AQK111" s="4"/>
      <c r="AQL111" s="4"/>
      <c r="AQM111" s="4"/>
      <c r="AQN111" s="4"/>
      <c r="AQO111" s="4"/>
      <c r="AQP111" s="4"/>
      <c r="AQQ111" s="4"/>
      <c r="AQR111" s="4"/>
      <c r="AQS111" s="4"/>
      <c r="AQT111" s="4"/>
      <c r="AQU111" s="4"/>
      <c r="AQV111" s="4"/>
      <c r="AQW111" s="4"/>
      <c r="AQX111" s="4"/>
      <c r="AQY111" s="4"/>
      <c r="AQZ111" s="4"/>
      <c r="ARA111" s="4"/>
      <c r="ARB111" s="4"/>
      <c r="ARC111" s="4"/>
      <c r="ARD111" s="4"/>
      <c r="ARE111" s="4"/>
      <c r="ARF111" s="4"/>
      <c r="ARG111" s="4"/>
      <c r="ARH111" s="4"/>
      <c r="ARI111" s="4"/>
      <c r="ARJ111" s="4"/>
      <c r="ARK111" s="4"/>
      <c r="ARL111" s="4"/>
      <c r="ARM111" s="4"/>
      <c r="ARN111" s="4"/>
      <c r="ARO111" s="4"/>
      <c r="ARP111" s="4"/>
      <c r="ARQ111" s="4"/>
      <c r="ARR111" s="4"/>
      <c r="ARS111" s="4"/>
      <c r="ART111" s="4"/>
      <c r="ARU111" s="4"/>
      <c r="ARV111" s="4"/>
      <c r="ARW111" s="4"/>
      <c r="ARX111" s="4"/>
      <c r="ARY111" s="4"/>
      <c r="ARZ111" s="4"/>
      <c r="ASA111" s="4"/>
      <c r="ASB111" s="4"/>
      <c r="ASC111" s="4"/>
      <c r="ASD111" s="4"/>
      <c r="ASE111" s="4"/>
      <c r="ASF111" s="4"/>
      <c r="ASG111" s="4"/>
      <c r="ASH111" s="4"/>
      <c r="ASI111" s="4"/>
      <c r="ASJ111" s="4"/>
      <c r="ASK111" s="4"/>
      <c r="ASL111" s="4"/>
      <c r="ASM111" s="4"/>
      <c r="ASN111" s="4"/>
      <c r="ASO111" s="4"/>
      <c r="ASP111" s="4"/>
      <c r="ASQ111" s="4"/>
      <c r="ASR111" s="4"/>
      <c r="ASS111" s="4"/>
      <c r="AST111" s="4"/>
      <c r="ASU111" s="4"/>
    </row>
    <row r="112" ht="15" customHeight="1" spans="1:1191" x14ac:dyDescent="0.25">
      <c r="A112" s="517" t="s">
        <v>148</v>
      </c>
      <c r="B112" s="403" t="s">
        <v>149</v>
      </c>
      <c r="C112" s="289" t="s">
        <v>55</v>
      </c>
      <c r="D112" s="631"/>
      <c r="E112" s="632"/>
      <c r="F112" s="633"/>
      <c r="G112" s="634"/>
      <c r="H112" s="634"/>
      <c r="I112" s="634"/>
      <c r="J112" s="634"/>
      <c r="K112" s="634"/>
      <c r="L112" s="634"/>
      <c r="M112" s="635"/>
      <c r="N112" s="636"/>
      <c r="O112" s="634"/>
      <c r="P112" s="634"/>
      <c r="Q112" s="637"/>
      <c r="R112" s="633"/>
      <c r="S112" s="634"/>
      <c r="T112" s="634"/>
      <c r="U112" s="634"/>
      <c r="V112" s="634"/>
      <c r="W112" s="634"/>
      <c r="X112" s="634"/>
      <c r="Y112" s="634"/>
      <c r="Z112" s="634"/>
      <c r="AA112" s="634"/>
      <c r="AB112" s="634"/>
      <c r="AC112" s="635"/>
      <c r="AD112" s="573"/>
      <c r="AE112" s="638"/>
      <c r="AF112" s="131">
        <f>SUM(D112:AE112)</f>
      </c>
      <c r="AG112" s="631"/>
      <c r="AH112" s="632"/>
      <c r="AI112" s="633"/>
      <c r="AJ112" s="634"/>
      <c r="AK112" s="634"/>
      <c r="AL112" s="634"/>
      <c r="AM112" s="634"/>
      <c r="AN112" s="634"/>
      <c r="AO112" s="634"/>
      <c r="AP112" s="635"/>
      <c r="AQ112" s="636"/>
      <c r="AR112" s="634"/>
      <c r="AS112" s="634"/>
      <c r="AT112" s="637"/>
      <c r="AU112" s="633"/>
      <c r="AV112" s="634"/>
      <c r="AW112" s="634"/>
      <c r="AX112" s="634"/>
      <c r="AY112" s="634"/>
      <c r="AZ112" s="634"/>
      <c r="BA112" s="634"/>
      <c r="BB112" s="634"/>
      <c r="BC112" s="634"/>
      <c r="BD112" s="634"/>
      <c r="BE112" s="634"/>
      <c r="BF112" s="635"/>
      <c r="BG112" s="573"/>
      <c r="BH112" s="638"/>
      <c r="BI112" s="131">
        <f>SUM(AG112:BH112)</f>
      </c>
      <c r="BJ112" s="631"/>
      <c r="BK112" s="632"/>
      <c r="BL112" s="633"/>
      <c r="BM112" s="634"/>
      <c r="BN112" s="634"/>
      <c r="BO112" s="634"/>
      <c r="BP112" s="634"/>
      <c r="BQ112" s="634"/>
      <c r="BR112" s="634"/>
      <c r="BS112" s="635"/>
      <c r="BT112" s="636"/>
      <c r="BU112" s="634"/>
      <c r="BV112" s="634"/>
      <c r="BW112" s="637"/>
      <c r="BX112" s="633"/>
      <c r="BY112" s="634"/>
      <c r="BZ112" s="634"/>
      <c r="CA112" s="634"/>
      <c r="CB112" s="634"/>
      <c r="CC112" s="634"/>
      <c r="CD112" s="634"/>
      <c r="CE112" s="634"/>
      <c r="CF112" s="634"/>
      <c r="CG112" s="634"/>
      <c r="CH112" s="634"/>
      <c r="CI112" s="635"/>
      <c r="CJ112" s="573"/>
      <c r="CK112" s="638"/>
      <c r="CL112" s="131">
        <f>SUM(BJ112:CK112)</f>
      </c>
      <c r="CM112" s="631"/>
      <c r="CN112" s="632"/>
      <c r="CO112" s="633"/>
      <c r="CP112" s="634"/>
      <c r="CQ112" s="634"/>
      <c r="CR112" s="634"/>
      <c r="CS112" s="634"/>
      <c r="CT112" s="634"/>
      <c r="CU112" s="634"/>
      <c r="CV112" s="635"/>
      <c r="CW112" s="636"/>
      <c r="CX112" s="634"/>
      <c r="CY112" s="634"/>
      <c r="CZ112" s="637"/>
      <c r="DA112" s="633"/>
      <c r="DB112" s="634"/>
      <c r="DC112" s="634"/>
      <c r="DD112" s="634"/>
      <c r="DE112" s="634"/>
      <c r="DF112" s="634"/>
      <c r="DG112" s="634"/>
      <c r="DH112" s="634"/>
      <c r="DI112" s="634"/>
      <c r="DJ112" s="634"/>
      <c r="DK112" s="634"/>
      <c r="DL112" s="635"/>
      <c r="DM112" s="573"/>
      <c r="DN112" s="638"/>
      <c r="DO112" s="131">
        <f>SUM(CM112:DN112)</f>
      </c>
      <c r="DP112" s="631"/>
      <c r="DQ112" s="632"/>
      <c r="DR112" s="633"/>
      <c r="DS112" s="634"/>
      <c r="DT112" s="634"/>
      <c r="DU112" s="634"/>
      <c r="DV112" s="634"/>
      <c r="DW112" s="634"/>
      <c r="DX112" s="634"/>
      <c r="DY112" s="635"/>
      <c r="DZ112" s="636"/>
      <c r="EA112" s="634"/>
      <c r="EB112" s="634"/>
      <c r="EC112" s="637"/>
      <c r="ED112" s="633"/>
      <c r="EE112" s="634"/>
      <c r="EF112" s="634"/>
      <c r="EG112" s="634"/>
      <c r="EH112" s="634"/>
      <c r="EI112" s="634"/>
      <c r="EJ112" s="634"/>
      <c r="EK112" s="634"/>
      <c r="EL112" s="634"/>
      <c r="EM112" s="634"/>
      <c r="EN112" s="634"/>
      <c r="EO112" s="635"/>
      <c r="EP112" s="573"/>
      <c r="EQ112" s="638"/>
      <c r="ER112" s="131">
        <f>SUM(DP112:EQ112)</f>
      </c>
      <c r="ES112" s="631"/>
      <c r="ET112" s="632"/>
      <c r="EU112" s="633"/>
      <c r="EV112" s="634"/>
      <c r="EW112" s="634"/>
      <c r="EX112" s="634"/>
      <c r="EY112" s="634"/>
      <c r="EZ112" s="634"/>
      <c r="FA112" s="634"/>
      <c r="FB112" s="635"/>
      <c r="FC112" s="636"/>
      <c r="FD112" s="634"/>
      <c r="FE112" s="634"/>
      <c r="FF112" s="637"/>
      <c r="FG112" s="633"/>
      <c r="FH112" s="634"/>
      <c r="FI112" s="634"/>
      <c r="FJ112" s="634"/>
      <c r="FK112" s="634"/>
      <c r="FL112" s="634"/>
      <c r="FM112" s="634"/>
      <c r="FN112" s="634"/>
      <c r="FO112" s="634"/>
      <c r="FP112" s="634"/>
      <c r="FQ112" s="634"/>
      <c r="FR112" s="635"/>
      <c r="FS112" s="573"/>
      <c r="FT112" s="638"/>
      <c r="FU112" s="131">
        <f>SUM(ES112:FT112)</f>
      </c>
      <c r="FV112" s="631"/>
      <c r="FW112" s="632"/>
      <c r="FX112" s="633"/>
      <c r="FY112" s="634"/>
      <c r="FZ112" s="634"/>
      <c r="GA112" s="634"/>
      <c r="GB112" s="634"/>
      <c r="GC112" s="634"/>
      <c r="GD112" s="634"/>
      <c r="GE112" s="635"/>
      <c r="GF112" s="636"/>
      <c r="GG112" s="634"/>
      <c r="GH112" s="634"/>
      <c r="GI112" s="637"/>
      <c r="GJ112" s="633"/>
      <c r="GK112" s="634"/>
      <c r="GL112" s="634"/>
      <c r="GM112" s="634"/>
      <c r="GN112" s="634"/>
      <c r="GO112" s="634"/>
      <c r="GP112" s="634"/>
      <c r="GQ112" s="634"/>
      <c r="GR112" s="634"/>
      <c r="GS112" s="634"/>
      <c r="GT112" s="634"/>
      <c r="GU112" s="635"/>
      <c r="GV112" s="573"/>
      <c r="GW112" s="638"/>
      <c r="GX112" s="131">
        <f>SUM(FV112:GW112)</f>
      </c>
      <c r="GY112" s="150">
        <f>AF112+BI112+CL112+DO112+ER112+FU112+GX112</f>
      </c>
      <c r="GZ112" s="302">
        <f>(COUNTIF(D112:GX112,"H")+COUNTIF(D112:GX112,"S")+COUNTIF(D112:GX112,"L")+COUNTIF(D112:GX112,"E")+COUNTIF(D112:GX112,"C"))/2</f>
      </c>
      <c r="HA112" s="131">
        <f>GY112+GZ112</f>
      </c>
      <c r="HB112" s="639"/>
      <c r="HC112" s="640"/>
      <c r="HD112" s="641">
        <v>0.5</v>
      </c>
      <c r="HE112" s="328">
        <v>0.5</v>
      </c>
      <c r="HF112" s="328">
        <v>0.5</v>
      </c>
      <c r="HG112" s="328">
        <v>0.5</v>
      </c>
      <c r="HH112" s="328">
        <v>0.5</v>
      </c>
      <c r="HI112" s="328">
        <v>0.5</v>
      </c>
      <c r="HJ112" s="328">
        <v>0.5</v>
      </c>
      <c r="HK112" s="327">
        <v>0.5</v>
      </c>
      <c r="HL112" s="188"/>
      <c r="HM112" s="334"/>
      <c r="HN112" s="328">
        <v>0.5</v>
      </c>
      <c r="HO112" s="330">
        <v>0.5</v>
      </c>
      <c r="HP112" s="641">
        <v>0.5</v>
      </c>
      <c r="HQ112" s="328">
        <v>0.5</v>
      </c>
      <c r="HR112" s="328">
        <v>0.5</v>
      </c>
      <c r="HS112" s="328">
        <v>0.5</v>
      </c>
      <c r="HT112" s="328">
        <v>0.5</v>
      </c>
      <c r="HU112" s="328">
        <v>0.5</v>
      </c>
      <c r="HV112" s="337"/>
      <c r="HW112" s="337"/>
      <c r="HX112" s="337"/>
      <c r="HY112" s="337"/>
      <c r="HZ112" s="337"/>
      <c r="IA112" s="332"/>
      <c r="IB112" s="587"/>
      <c r="IC112" s="331"/>
      <c r="ID112" s="131">
        <f>SUM(HB112:IC112)</f>
      </c>
      <c r="IE112" s="639"/>
      <c r="IF112" s="640"/>
      <c r="IG112" s="641">
        <v>0.5</v>
      </c>
      <c r="IH112" s="328">
        <v>0.5</v>
      </c>
      <c r="II112" s="328">
        <v>0.5</v>
      </c>
      <c r="IJ112" s="328">
        <v>0.5</v>
      </c>
      <c r="IK112" s="328">
        <v>0.5</v>
      </c>
      <c r="IL112" s="328">
        <v>0.5</v>
      </c>
      <c r="IM112" s="328">
        <v>0.5</v>
      </c>
      <c r="IN112" s="327">
        <v>0.5</v>
      </c>
      <c r="IO112" s="188"/>
      <c r="IP112" s="334"/>
      <c r="IQ112" s="328">
        <v>0.5</v>
      </c>
      <c r="IR112" s="330">
        <v>0.5</v>
      </c>
      <c r="IS112" s="641">
        <v>0.5</v>
      </c>
      <c r="IT112" s="328">
        <v>0.5</v>
      </c>
      <c r="IU112" s="328">
        <v>0.5</v>
      </c>
      <c r="IV112" s="328">
        <v>0.5</v>
      </c>
      <c r="IW112" s="328">
        <v>0.5</v>
      </c>
      <c r="IX112" s="328">
        <v>0.5</v>
      </c>
      <c r="IY112" s="337"/>
      <c r="IZ112" s="337"/>
      <c r="JA112" s="337"/>
      <c r="JB112" s="337"/>
      <c r="JC112" s="337"/>
      <c r="JD112" s="332"/>
      <c r="JE112" s="587"/>
      <c r="JF112" s="331"/>
      <c r="JG112" s="131">
        <f>SUM(IE112:JF112)</f>
      </c>
      <c r="JH112" s="639"/>
      <c r="JI112" s="640"/>
      <c r="JJ112" s="641">
        <v>0.5</v>
      </c>
      <c r="JK112" s="328">
        <v>0.5</v>
      </c>
      <c r="JL112" s="328">
        <v>0.5</v>
      </c>
      <c r="JM112" s="328">
        <v>0.5</v>
      </c>
      <c r="JN112" s="328">
        <v>0.5</v>
      </c>
      <c r="JO112" s="328">
        <v>0.5</v>
      </c>
      <c r="JP112" s="328">
        <v>0.5</v>
      </c>
      <c r="JQ112" s="327">
        <v>0.5</v>
      </c>
      <c r="JR112" s="188"/>
      <c r="JS112" s="334"/>
      <c r="JT112" s="328">
        <v>0.5</v>
      </c>
      <c r="JU112" s="330">
        <v>0.5</v>
      </c>
      <c r="JV112" s="641">
        <v>0.5</v>
      </c>
      <c r="JW112" s="328">
        <v>0.5</v>
      </c>
      <c r="JX112" s="328">
        <v>0.5</v>
      </c>
      <c r="JY112" s="328">
        <v>0.5</v>
      </c>
      <c r="JZ112" s="328">
        <v>0.5</v>
      </c>
      <c r="KA112" s="328">
        <v>0.5</v>
      </c>
      <c r="KB112" s="337"/>
      <c r="KC112" s="337"/>
      <c r="KD112" s="337"/>
      <c r="KE112" s="337"/>
      <c r="KF112" s="337"/>
      <c r="KG112" s="332"/>
      <c r="KH112" s="587"/>
      <c r="KI112" s="331"/>
      <c r="KJ112" s="131">
        <f>SUM(JH112:KI112)</f>
      </c>
      <c r="KK112" s="639"/>
      <c r="KL112" s="640"/>
      <c r="KM112" s="641">
        <v>0.5</v>
      </c>
      <c r="KN112" s="328">
        <v>0.5</v>
      </c>
      <c r="KO112" s="328">
        <v>0.5</v>
      </c>
      <c r="KP112" s="328">
        <v>0.5</v>
      </c>
      <c r="KQ112" s="328">
        <v>0.5</v>
      </c>
      <c r="KR112" s="328">
        <v>0.5</v>
      </c>
      <c r="KS112" s="328">
        <v>0.5</v>
      </c>
      <c r="KT112" s="327">
        <v>0.5</v>
      </c>
      <c r="KU112" s="188"/>
      <c r="KV112" s="334"/>
      <c r="KW112" s="328">
        <v>0.5</v>
      </c>
      <c r="KX112" s="330">
        <v>0.5</v>
      </c>
      <c r="KY112" s="641">
        <v>0.5</v>
      </c>
      <c r="KZ112" s="328">
        <v>0.5</v>
      </c>
      <c r="LA112" s="328">
        <v>0.5</v>
      </c>
      <c r="LB112" s="328">
        <v>0.5</v>
      </c>
      <c r="LC112" s="328">
        <v>0.5</v>
      </c>
      <c r="LD112" s="328">
        <v>0.5</v>
      </c>
      <c r="LE112" s="337"/>
      <c r="LF112" s="337"/>
      <c r="LG112" s="337"/>
      <c r="LH112" s="337"/>
      <c r="LI112" s="337"/>
      <c r="LJ112" s="332"/>
      <c r="LK112" s="587"/>
      <c r="LL112" s="331"/>
      <c r="LM112" s="131">
        <f>SUM(KK112:LL112)</f>
      </c>
      <c r="LN112" s="639"/>
      <c r="LO112" s="640"/>
      <c r="LP112" s="641">
        <v>0.5</v>
      </c>
      <c r="LQ112" s="328">
        <v>0.5</v>
      </c>
      <c r="LR112" s="328">
        <v>0.5</v>
      </c>
      <c r="LS112" s="328">
        <v>0.5</v>
      </c>
      <c r="LT112" s="328">
        <v>0.5</v>
      </c>
      <c r="LU112" s="328">
        <v>0.5</v>
      </c>
      <c r="LV112" s="328">
        <v>0.5</v>
      </c>
      <c r="LW112" s="327">
        <v>0.5</v>
      </c>
      <c r="LX112" s="188"/>
      <c r="LY112" s="334"/>
      <c r="LZ112" s="328">
        <v>0.5</v>
      </c>
      <c r="MA112" s="330">
        <v>0.5</v>
      </c>
      <c r="MB112" s="641">
        <v>0.5</v>
      </c>
      <c r="MC112" s="328">
        <v>0.5</v>
      </c>
      <c r="MD112" s="328">
        <v>0.5</v>
      </c>
      <c r="ME112" s="328">
        <v>0.5</v>
      </c>
      <c r="MF112" s="328">
        <v>0.5</v>
      </c>
      <c r="MG112" s="328">
        <v>0.5</v>
      </c>
      <c r="MH112" s="337"/>
      <c r="MI112" s="337"/>
      <c r="MJ112" s="337"/>
      <c r="MK112" s="337"/>
      <c r="ML112" s="337"/>
      <c r="MM112" s="332"/>
      <c r="MN112" s="587"/>
      <c r="MO112" s="331"/>
      <c r="MP112" s="131">
        <f>SUM(LN112:MO112)</f>
      </c>
      <c r="MQ112" s="631"/>
      <c r="MR112" s="632"/>
      <c r="MS112" s="633"/>
      <c r="MT112" s="634"/>
      <c r="MU112" s="634"/>
      <c r="MV112" s="634"/>
      <c r="MW112" s="634"/>
      <c r="MX112" s="634"/>
      <c r="MY112" s="634"/>
      <c r="MZ112" s="635"/>
      <c r="NA112" s="636"/>
      <c r="NB112" s="634"/>
      <c r="NC112" s="634"/>
      <c r="ND112" s="637"/>
      <c r="NE112" s="633"/>
      <c r="NF112" s="634"/>
      <c r="NG112" s="634"/>
      <c r="NH112" s="634"/>
      <c r="NI112" s="634"/>
      <c r="NJ112" s="634"/>
      <c r="NK112" s="634"/>
      <c r="NL112" s="634"/>
      <c r="NM112" s="634"/>
      <c r="NN112" s="634"/>
      <c r="NO112" s="634"/>
      <c r="NP112" s="635"/>
      <c r="NQ112" s="573"/>
      <c r="NR112" s="638"/>
      <c r="NS112" s="131">
        <f>SUM(MQ112:NR112)</f>
      </c>
      <c r="NT112" s="631"/>
      <c r="NU112" s="632"/>
      <c r="NV112" s="633"/>
      <c r="NW112" s="634"/>
      <c r="NX112" s="634"/>
      <c r="NY112" s="634"/>
      <c r="NZ112" s="634"/>
      <c r="OA112" s="634"/>
      <c r="OB112" s="634"/>
      <c r="OC112" s="635"/>
      <c r="OD112" s="636"/>
      <c r="OE112" s="634"/>
      <c r="OF112" s="634"/>
      <c r="OG112" s="637"/>
      <c r="OH112" s="633"/>
      <c r="OI112" s="634"/>
      <c r="OJ112" s="634"/>
      <c r="OK112" s="634"/>
      <c r="OL112" s="634"/>
      <c r="OM112" s="634"/>
      <c r="ON112" s="634"/>
      <c r="OO112" s="634"/>
      <c r="OP112" s="634"/>
      <c r="OQ112" s="634"/>
      <c r="OR112" s="634"/>
      <c r="OS112" s="635"/>
      <c r="OT112" s="573"/>
      <c r="OU112" s="638"/>
      <c r="OV112" s="131">
        <f>SUM(NT112:OU112)</f>
      </c>
      <c r="OW112" s="150">
        <f>ID112+JG112+KJ112+LM112+MP112+NS112+OV112</f>
      </c>
      <c r="OX112" s="302">
        <f>(COUNTIF(HB112:OV112,"H")+COUNTIF(HB112:OV112,"S")+COUNTIF(HB112:OV112,"L")+COUNTIF(HB112:OV112,"E")+COUNTIF(HB112:OV112,"C"))/2</f>
      </c>
      <c r="OY112" s="131">
        <f>OW112+OX112</f>
      </c>
      <c r="OZ112" s="134"/>
      <c r="PA112" s="135"/>
      <c r="PB112" s="142">
        <v>0.5</v>
      </c>
      <c r="PC112" s="138">
        <v>0.5</v>
      </c>
      <c r="PD112" s="138">
        <v>0.5</v>
      </c>
      <c r="PE112" s="138">
        <v>0.5</v>
      </c>
      <c r="PF112" s="138">
        <v>0.5</v>
      </c>
      <c r="PG112" s="138">
        <v>0.5</v>
      </c>
      <c r="PH112" s="138">
        <v>0.5</v>
      </c>
      <c r="PI112" s="139">
        <v>0.5</v>
      </c>
      <c r="PJ112" s="147"/>
      <c r="PK112" s="148"/>
      <c r="PL112" s="138">
        <v>0.5</v>
      </c>
      <c r="PM112" s="149">
        <v>0.5</v>
      </c>
      <c r="PN112" s="142">
        <v>0.5</v>
      </c>
      <c r="PO112" s="138">
        <v>0.5</v>
      </c>
      <c r="PP112" s="138">
        <v>0.5</v>
      </c>
      <c r="PQ112" s="138">
        <v>0.5</v>
      </c>
      <c r="PR112" s="138">
        <v>0.5</v>
      </c>
      <c r="PS112" s="138">
        <v>0.5</v>
      </c>
      <c r="PT112" s="137"/>
      <c r="PU112" s="137"/>
      <c r="PV112" s="137"/>
      <c r="PW112" s="137"/>
      <c r="PX112" s="137"/>
      <c r="PY112" s="153"/>
      <c r="PZ112" s="304"/>
      <c r="QA112" s="152"/>
      <c r="QB112" s="131">
        <f>SUM(OZ112:QA112)</f>
      </c>
      <c r="QC112" s="134"/>
      <c r="QD112" s="135"/>
      <c r="QE112" s="142">
        <v>0.5</v>
      </c>
      <c r="QF112" s="138">
        <v>0.5</v>
      </c>
      <c r="QG112" s="138">
        <v>0.5</v>
      </c>
      <c r="QH112" s="138">
        <v>0.5</v>
      </c>
      <c r="QI112" s="138">
        <v>0.5</v>
      </c>
      <c r="QJ112" s="138">
        <v>0.5</v>
      </c>
      <c r="QK112" s="138">
        <v>0.5</v>
      </c>
      <c r="QL112" s="139">
        <v>0.5</v>
      </c>
      <c r="QM112" s="147"/>
      <c r="QN112" s="148"/>
      <c r="QO112" s="138">
        <v>0.5</v>
      </c>
      <c r="QP112" s="149">
        <v>0.5</v>
      </c>
      <c r="QQ112" s="142">
        <v>0.5</v>
      </c>
      <c r="QR112" s="138">
        <v>0.5</v>
      </c>
      <c r="QS112" s="138">
        <v>0.5</v>
      </c>
      <c r="QT112" s="138">
        <v>0.5</v>
      </c>
      <c r="QU112" s="138">
        <v>0.5</v>
      </c>
      <c r="QV112" s="138">
        <v>0.5</v>
      </c>
      <c r="QW112" s="137"/>
      <c r="QX112" s="137"/>
      <c r="QY112" s="137"/>
      <c r="QZ112" s="137"/>
      <c r="RA112" s="137"/>
      <c r="RB112" s="153"/>
      <c r="RC112" s="304"/>
      <c r="RD112" s="152"/>
      <c r="RE112" s="131">
        <f>SUM(QC112:RD112)</f>
      </c>
      <c r="RF112" s="134"/>
      <c r="RG112" s="135"/>
      <c r="RH112" s="142">
        <v>0.5</v>
      </c>
      <c r="RI112" s="138">
        <v>0.5</v>
      </c>
      <c r="RJ112" s="138">
        <v>0.5</v>
      </c>
      <c r="RK112" s="138">
        <v>0.5</v>
      </c>
      <c r="RL112" s="138">
        <v>0.5</v>
      </c>
      <c r="RM112" s="138">
        <v>0.5</v>
      </c>
      <c r="RN112" s="138">
        <v>0.5</v>
      </c>
      <c r="RO112" s="139">
        <v>0.5</v>
      </c>
      <c r="RP112" s="147"/>
      <c r="RQ112" s="148"/>
      <c r="RR112" s="138">
        <v>0.5</v>
      </c>
      <c r="RS112" s="149">
        <v>0.5</v>
      </c>
      <c r="RT112" s="142">
        <v>0.5</v>
      </c>
      <c r="RU112" s="138">
        <v>0.5</v>
      </c>
      <c r="RV112" s="138">
        <v>0.5</v>
      </c>
      <c r="RW112" s="138">
        <v>0.5</v>
      </c>
      <c r="RX112" s="138">
        <v>0.5</v>
      </c>
      <c r="RY112" s="138">
        <v>0.5</v>
      </c>
      <c r="RZ112" s="137"/>
      <c r="SA112" s="137"/>
      <c r="SB112" s="137"/>
      <c r="SC112" s="137"/>
      <c r="SD112" s="137"/>
      <c r="SE112" s="153"/>
      <c r="SF112" s="304"/>
      <c r="SG112" s="152"/>
      <c r="SH112" s="131">
        <f>SUM(RF112:SG112)</f>
      </c>
      <c r="SI112" s="639"/>
      <c r="SJ112" s="640"/>
      <c r="SK112" s="641">
        <v>0.5</v>
      </c>
      <c r="SL112" s="328">
        <v>0.5</v>
      </c>
      <c r="SM112" s="328">
        <v>0.5</v>
      </c>
      <c r="SN112" s="328">
        <v>0.5</v>
      </c>
      <c r="SO112" s="328">
        <v>0.5</v>
      </c>
      <c r="SP112" s="328">
        <v>0.5</v>
      </c>
      <c r="SQ112" s="328">
        <v>0.5</v>
      </c>
      <c r="SR112" s="327">
        <v>0.5</v>
      </c>
      <c r="SS112" s="188"/>
      <c r="ST112" s="334"/>
      <c r="SU112" s="328">
        <v>0.5</v>
      </c>
      <c r="SV112" s="330">
        <v>0.5</v>
      </c>
      <c r="SW112" s="641">
        <v>0.5</v>
      </c>
      <c r="SX112" s="328">
        <v>0.5</v>
      </c>
      <c r="SY112" s="328">
        <v>0.5</v>
      </c>
      <c r="SZ112" s="328">
        <v>0.5</v>
      </c>
      <c r="TA112" s="328">
        <v>0.5</v>
      </c>
      <c r="TB112" s="328">
        <v>0.5</v>
      </c>
      <c r="TC112" s="337"/>
      <c r="TD112" s="337"/>
      <c r="TE112" s="337"/>
      <c r="TF112" s="337"/>
      <c r="TG112" s="337"/>
      <c r="TH112" s="332"/>
      <c r="TI112" s="587"/>
      <c r="TJ112" s="331"/>
      <c r="TK112" s="131">
        <f>SUM(SI112:TJ112)</f>
      </c>
      <c r="TL112" s="134"/>
      <c r="TM112" s="135"/>
      <c r="TN112" s="142">
        <v>0.5</v>
      </c>
      <c r="TO112" s="138">
        <v>0.5</v>
      </c>
      <c r="TP112" s="138">
        <v>0.5</v>
      </c>
      <c r="TQ112" s="138">
        <v>0.5</v>
      </c>
      <c r="TR112" s="138">
        <v>0.5</v>
      </c>
      <c r="TS112" s="138">
        <v>0.5</v>
      </c>
      <c r="TT112" s="138">
        <v>0.5</v>
      </c>
      <c r="TU112" s="139">
        <v>0.5</v>
      </c>
      <c r="TV112" s="147"/>
      <c r="TW112" s="148"/>
      <c r="TX112" s="138">
        <v>0.5</v>
      </c>
      <c r="TY112" s="149">
        <v>0.5</v>
      </c>
      <c r="TZ112" s="142">
        <v>0.5</v>
      </c>
      <c r="UA112" s="138">
        <v>0.5</v>
      </c>
      <c r="UB112" s="138">
        <v>0.5</v>
      </c>
      <c r="UC112" s="138">
        <v>0.5</v>
      </c>
      <c r="UD112" s="138">
        <v>0.5</v>
      </c>
      <c r="UE112" s="138">
        <v>0.5</v>
      </c>
      <c r="UF112" s="137"/>
      <c r="UG112" s="137"/>
      <c r="UH112" s="137"/>
      <c r="UI112" s="137"/>
      <c r="UJ112" s="137"/>
      <c r="UK112" s="153"/>
      <c r="UL112" s="304"/>
      <c r="UM112" s="152"/>
      <c r="UN112" s="131">
        <f>SUM(TL112:UM112)</f>
      </c>
      <c r="UO112" s="631"/>
      <c r="UP112" s="632"/>
      <c r="UQ112" s="633"/>
      <c r="UR112" s="634"/>
      <c r="US112" s="634"/>
      <c r="UT112" s="634"/>
      <c r="UU112" s="634"/>
      <c r="UV112" s="634"/>
      <c r="UW112" s="634"/>
      <c r="UX112" s="635"/>
      <c r="UY112" s="636"/>
      <c r="UZ112" s="634"/>
      <c r="VA112" s="634"/>
      <c r="VB112" s="637"/>
      <c r="VC112" s="633"/>
      <c r="VD112" s="634"/>
      <c r="VE112" s="634"/>
      <c r="VF112" s="634"/>
      <c r="VG112" s="634"/>
      <c r="VH112" s="634"/>
      <c r="VI112" s="634"/>
      <c r="VJ112" s="634"/>
      <c r="VK112" s="634"/>
      <c r="VL112" s="634"/>
      <c r="VM112" s="634"/>
      <c r="VN112" s="635"/>
      <c r="VO112" s="573"/>
      <c r="VP112" s="638"/>
      <c r="VQ112" s="131">
        <f>SUM(UO112:VP112)</f>
      </c>
      <c r="VR112" s="631"/>
      <c r="VS112" s="632"/>
      <c r="VT112" s="633"/>
      <c r="VU112" s="634"/>
      <c r="VV112" s="634"/>
      <c r="VW112" s="634"/>
      <c r="VX112" s="634"/>
      <c r="VY112" s="634"/>
      <c r="VZ112" s="634"/>
      <c r="WA112" s="635"/>
      <c r="WB112" s="636"/>
      <c r="WC112" s="634"/>
      <c r="WD112" s="634"/>
      <c r="WE112" s="637"/>
      <c r="WF112" s="633"/>
      <c r="WG112" s="634"/>
      <c r="WH112" s="634"/>
      <c r="WI112" s="634"/>
      <c r="WJ112" s="634"/>
      <c r="WK112" s="634"/>
      <c r="WL112" s="634"/>
      <c r="WM112" s="634"/>
      <c r="WN112" s="634"/>
      <c r="WO112" s="634"/>
      <c r="WP112" s="634"/>
      <c r="WQ112" s="635"/>
      <c r="WR112" s="573"/>
      <c r="WS112" s="638"/>
      <c r="WT112" s="131">
        <f>SUM(VR112:WS112)</f>
      </c>
      <c r="WU112" s="150">
        <f>QB112+RE112+SH112+TK112+UN112+VQ112+WT112</f>
      </c>
      <c r="WV112" s="302">
        <f>(COUNTIF(OZ112:WT112,"H")+COUNTIF(OZ112:WT112,"S")+COUNTIF(OZ112:WT112,"L")+COUNTIF(OZ112:WT112,"E")+COUNTIF(OZ112:WT112,"C"))/2</f>
      </c>
      <c r="WW112" s="131">
        <f>WU112+WV112</f>
      </c>
      <c r="WX112" s="639"/>
      <c r="WY112" s="640"/>
      <c r="WZ112" s="641">
        <v>0.5</v>
      </c>
      <c r="XA112" s="328">
        <v>0.5</v>
      </c>
      <c r="XB112" s="328">
        <v>0.5</v>
      </c>
      <c r="XC112" s="328">
        <v>0.5</v>
      </c>
      <c r="XD112" s="328">
        <v>0.5</v>
      </c>
      <c r="XE112" s="328">
        <v>0.5</v>
      </c>
      <c r="XF112" s="328">
        <v>0.5</v>
      </c>
      <c r="XG112" s="327">
        <v>0.5</v>
      </c>
      <c r="XH112" s="188"/>
      <c r="XI112" s="334"/>
      <c r="XJ112" s="328">
        <v>0.5</v>
      </c>
      <c r="XK112" s="330">
        <v>0.5</v>
      </c>
      <c r="XL112" s="641">
        <v>0.5</v>
      </c>
      <c r="XM112" s="328">
        <v>0.5</v>
      </c>
      <c r="XN112" s="328">
        <v>0.5</v>
      </c>
      <c r="XO112" s="328">
        <v>0.5</v>
      </c>
      <c r="XP112" s="328">
        <v>0.5</v>
      </c>
      <c r="XQ112" s="328">
        <v>0.5</v>
      </c>
      <c r="XR112" s="337"/>
      <c r="XS112" s="337"/>
      <c r="XT112" s="337"/>
      <c r="XU112" s="337"/>
      <c r="XV112" s="337"/>
      <c r="XW112" s="332"/>
      <c r="XX112" s="587"/>
      <c r="XY112" s="331"/>
      <c r="XZ112" s="131">
        <f>SUM(WX112:XY112)</f>
      </c>
      <c r="YA112" s="639"/>
      <c r="YB112" s="640"/>
      <c r="YC112" s="641">
        <v>0.5</v>
      </c>
      <c r="YD112" s="328">
        <v>0.5</v>
      </c>
      <c r="YE112" s="328">
        <v>0.5</v>
      </c>
      <c r="YF112" s="328">
        <v>0.5</v>
      </c>
      <c r="YG112" s="328">
        <v>0.5</v>
      </c>
      <c r="YH112" s="328">
        <v>0.5</v>
      </c>
      <c r="YI112" s="328">
        <v>0.5</v>
      </c>
      <c r="YJ112" s="327">
        <v>0.5</v>
      </c>
      <c r="YK112" s="188"/>
      <c r="YL112" s="334"/>
      <c r="YM112" s="328">
        <v>0.5</v>
      </c>
      <c r="YN112" s="330">
        <v>0.5</v>
      </c>
      <c r="YO112" s="641">
        <v>0.5</v>
      </c>
      <c r="YP112" s="328">
        <v>0.5</v>
      </c>
      <c r="YQ112" s="328">
        <v>0.5</v>
      </c>
      <c r="YR112" s="328">
        <v>0.5</v>
      </c>
      <c r="YS112" s="328">
        <v>0.5</v>
      </c>
      <c r="YT112" s="328">
        <v>0.5</v>
      </c>
      <c r="YU112" s="337"/>
      <c r="YV112" s="337"/>
      <c r="YW112" s="337"/>
      <c r="YX112" s="337"/>
      <c r="YY112" s="337"/>
      <c r="YZ112" s="332"/>
      <c r="ZA112" s="587"/>
      <c r="ZB112" s="331"/>
      <c r="ZC112" s="131">
        <f>SUM(YA112:ZB112)</f>
      </c>
      <c r="ZD112" s="639"/>
      <c r="ZE112" s="640"/>
      <c r="ZF112" s="641">
        <v>0.5</v>
      </c>
      <c r="ZG112" s="328">
        <v>0.5</v>
      </c>
      <c r="ZH112" s="328">
        <v>0.5</v>
      </c>
      <c r="ZI112" s="328">
        <v>0.5</v>
      </c>
      <c r="ZJ112" s="328">
        <v>0.5</v>
      </c>
      <c r="ZK112" s="328">
        <v>0.5</v>
      </c>
      <c r="ZL112" s="328">
        <v>0.5</v>
      </c>
      <c r="ZM112" s="327">
        <v>0.5</v>
      </c>
      <c r="ZN112" s="188"/>
      <c r="ZO112" s="334"/>
      <c r="ZP112" s="328">
        <v>0.5</v>
      </c>
      <c r="ZQ112" s="330">
        <v>0.5</v>
      </c>
      <c r="ZR112" s="641">
        <v>0.5</v>
      </c>
      <c r="ZS112" s="328">
        <v>0.5</v>
      </c>
      <c r="ZT112" s="328">
        <v>0.5</v>
      </c>
      <c r="ZU112" s="328">
        <v>0.5</v>
      </c>
      <c r="ZV112" s="328">
        <v>0.5</v>
      </c>
      <c r="ZW112" s="328">
        <v>0.5</v>
      </c>
      <c r="ZX112" s="337"/>
      <c r="ZY112" s="337"/>
      <c r="ZZ112" s="337"/>
      <c r="AAA112" s="337"/>
      <c r="AAB112" s="337"/>
      <c r="AAC112" s="332"/>
      <c r="AAD112" s="587"/>
      <c r="AAE112" s="331"/>
      <c r="AAF112" s="131">
        <f>SUM(ZD112:AAE112)</f>
      </c>
      <c r="AAG112" s="639"/>
      <c r="AAH112" s="640"/>
      <c r="AAI112" s="641">
        <v>0.5</v>
      </c>
      <c r="AAJ112" s="328">
        <v>0.5</v>
      </c>
      <c r="AAK112" s="328">
        <v>0.5</v>
      </c>
      <c r="AAL112" s="328">
        <v>0.5</v>
      </c>
      <c r="AAM112" s="328">
        <v>0.5</v>
      </c>
      <c r="AAN112" s="328">
        <v>0.5</v>
      </c>
      <c r="AAO112" s="328">
        <v>0.5</v>
      </c>
      <c r="AAP112" s="327">
        <v>0.5</v>
      </c>
      <c r="AAQ112" s="188"/>
      <c r="AAR112" s="334"/>
      <c r="AAS112" s="328">
        <v>0.5</v>
      </c>
      <c r="AAT112" s="330">
        <v>0.5</v>
      </c>
      <c r="AAU112" s="641">
        <v>0.5</v>
      </c>
      <c r="AAV112" s="328">
        <v>0.5</v>
      </c>
      <c r="AAW112" s="328">
        <v>0.5</v>
      </c>
      <c r="AAX112" s="328">
        <v>0.5</v>
      </c>
      <c r="AAY112" s="328">
        <v>0.5</v>
      </c>
      <c r="AAZ112" s="328">
        <v>0.5</v>
      </c>
      <c r="ABA112" s="337"/>
      <c r="ABB112" s="337"/>
      <c r="ABC112" s="337"/>
      <c r="ABD112" s="337"/>
      <c r="ABE112" s="337"/>
      <c r="ABF112" s="332"/>
      <c r="ABG112" s="587"/>
      <c r="ABH112" s="331"/>
      <c r="ABI112" s="131">
        <f>SUM(AAG112:ABH112)</f>
      </c>
      <c r="ABJ112" s="639"/>
      <c r="ABK112" s="640"/>
      <c r="ABL112" s="641">
        <v>0.5</v>
      </c>
      <c r="ABM112" s="328">
        <v>0.5</v>
      </c>
      <c r="ABN112" s="328">
        <v>0.5</v>
      </c>
      <c r="ABO112" s="328">
        <v>0.5</v>
      </c>
      <c r="ABP112" s="328">
        <v>0.5</v>
      </c>
      <c r="ABQ112" s="328">
        <v>0.5</v>
      </c>
      <c r="ABR112" s="328">
        <v>0.5</v>
      </c>
      <c r="ABS112" s="327">
        <v>0.5</v>
      </c>
      <c r="ABT112" s="188"/>
      <c r="ABU112" s="334"/>
      <c r="ABV112" s="328">
        <v>0.5</v>
      </c>
      <c r="ABW112" s="330">
        <v>0.5</v>
      </c>
      <c r="ABX112" s="641">
        <v>0.5</v>
      </c>
      <c r="ABY112" s="328">
        <v>0.5</v>
      </c>
      <c r="ABZ112" s="328">
        <v>0.5</v>
      </c>
      <c r="ACA112" s="328">
        <v>0.5</v>
      </c>
      <c r="ACB112" s="328">
        <v>0.5</v>
      </c>
      <c r="ACC112" s="328">
        <v>0.5</v>
      </c>
      <c r="ACD112" s="337"/>
      <c r="ACE112" s="337"/>
      <c r="ACF112" s="337"/>
      <c r="ACG112" s="337"/>
      <c r="ACH112" s="337"/>
      <c r="ACI112" s="332"/>
      <c r="ACJ112" s="587"/>
      <c r="ACK112" s="331"/>
      <c r="ACL112" s="131">
        <f>SUM(ABJ112:ACK112)</f>
      </c>
      <c r="ACM112" s="631"/>
      <c r="ACN112" s="632"/>
      <c r="ACO112" s="633"/>
      <c r="ACP112" s="634"/>
      <c r="ACQ112" s="634"/>
      <c r="ACR112" s="634"/>
      <c r="ACS112" s="634"/>
      <c r="ACT112" s="634"/>
      <c r="ACU112" s="634"/>
      <c r="ACV112" s="635"/>
      <c r="ACW112" s="636"/>
      <c r="ACX112" s="634"/>
      <c r="ACY112" s="634"/>
      <c r="ACZ112" s="637"/>
      <c r="ADA112" s="633"/>
      <c r="ADB112" s="634"/>
      <c r="ADC112" s="634"/>
      <c r="ADD112" s="634"/>
      <c r="ADE112" s="634"/>
      <c r="ADF112" s="634"/>
      <c r="ADG112" s="634"/>
      <c r="ADH112" s="634"/>
      <c r="ADI112" s="634"/>
      <c r="ADJ112" s="634"/>
      <c r="ADK112" s="634"/>
      <c r="ADL112" s="635"/>
      <c r="ADM112" s="573"/>
      <c r="ADN112" s="638"/>
      <c r="ADO112" s="131">
        <f>SUM(ACM112:ADN112)</f>
      </c>
      <c r="ADP112" s="631"/>
      <c r="ADQ112" s="632"/>
      <c r="ADR112" s="633"/>
      <c r="ADS112" s="634"/>
      <c r="ADT112" s="634"/>
      <c r="ADU112" s="634"/>
      <c r="ADV112" s="634"/>
      <c r="ADW112" s="634"/>
      <c r="ADX112" s="634"/>
      <c r="ADY112" s="635"/>
      <c r="ADZ112" s="636"/>
      <c r="AEA112" s="634"/>
      <c r="AEB112" s="634"/>
      <c r="AEC112" s="637"/>
      <c r="AED112" s="633"/>
      <c r="AEE112" s="634"/>
      <c r="AEF112" s="634"/>
      <c r="AEG112" s="634"/>
      <c r="AEH112" s="634"/>
      <c r="AEI112" s="634"/>
      <c r="AEJ112" s="634"/>
      <c r="AEK112" s="634"/>
      <c r="AEL112" s="634"/>
      <c r="AEM112" s="634"/>
      <c r="AEN112" s="634"/>
      <c r="AEO112" s="635"/>
      <c r="AEP112" s="573"/>
      <c r="AEQ112" s="638"/>
      <c r="AER112" s="131">
        <f>SUM(ADP112:AEQ112)</f>
      </c>
      <c r="AES112" s="150">
        <f>XZ112+ZC112+AAF112+ABI112+ACL112+ADO112+AER112</f>
      </c>
      <c r="AET112" s="302">
        <f>(COUNTIF(WX112:AER112,"H")+COUNTIF(WX112:AER112,"S")+COUNTIF(WX112:AER112,"L")+COUNTIF(WX112:AER112,"E")+COUNTIF(WX112:AER112,"C"))/2</f>
      </c>
      <c r="AEU112" s="131">
        <f>AES112+AET112</f>
      </c>
      <c r="AEV112" s="639"/>
      <c r="AEW112" s="640"/>
      <c r="AEX112" s="641">
        <v>0.5</v>
      </c>
      <c r="AEY112" s="328">
        <v>0.5</v>
      </c>
      <c r="AEZ112" s="328">
        <v>0.5</v>
      </c>
      <c r="AFA112" s="328">
        <v>0.5</v>
      </c>
      <c r="AFB112" s="328">
        <v>0.5</v>
      </c>
      <c r="AFC112" s="328">
        <v>0.5</v>
      </c>
      <c r="AFD112" s="328">
        <v>0.5</v>
      </c>
      <c r="AFE112" s="327">
        <v>0.5</v>
      </c>
      <c r="AFF112" s="188"/>
      <c r="AFG112" s="334"/>
      <c r="AFH112" s="328">
        <v>0.5</v>
      </c>
      <c r="AFI112" s="330">
        <v>0.5</v>
      </c>
      <c r="AFJ112" s="641">
        <v>0.5</v>
      </c>
      <c r="AFK112" s="328">
        <v>0.5</v>
      </c>
      <c r="AFL112" s="328">
        <v>0.5</v>
      </c>
      <c r="AFM112" s="328">
        <v>0.5</v>
      </c>
      <c r="AFN112" s="328">
        <v>0.5</v>
      </c>
      <c r="AFO112" s="328">
        <v>0.5</v>
      </c>
      <c r="AFP112" s="337"/>
      <c r="AFQ112" s="337"/>
      <c r="AFR112" s="337"/>
      <c r="AFS112" s="337"/>
      <c r="AFT112" s="337"/>
      <c r="AFU112" s="332"/>
      <c r="AFV112" s="587"/>
      <c r="AFW112" s="331"/>
      <c r="AFX112" s="131">
        <f>SUM(AEV112:AFW112)</f>
      </c>
      <c r="AFY112" s="639"/>
      <c r="AFZ112" s="640"/>
      <c r="AGA112" s="641">
        <v>0.5</v>
      </c>
      <c r="AGB112" s="328">
        <v>0.5</v>
      </c>
      <c r="AGC112" s="328">
        <v>0.5</v>
      </c>
      <c r="AGD112" s="328">
        <v>0.5</v>
      </c>
      <c r="AGE112" s="328">
        <v>0.5</v>
      </c>
      <c r="AGF112" s="328">
        <v>0.5</v>
      </c>
      <c r="AGG112" s="328">
        <v>0.5</v>
      </c>
      <c r="AGH112" s="327">
        <v>0.5</v>
      </c>
      <c r="AGI112" s="188"/>
      <c r="AGJ112" s="334"/>
      <c r="AGK112" s="328">
        <v>0.5</v>
      </c>
      <c r="AGL112" s="330">
        <v>0.5</v>
      </c>
      <c r="AGM112" s="641">
        <v>0.5</v>
      </c>
      <c r="AGN112" s="328">
        <v>0.5</v>
      </c>
      <c r="AGO112" s="328">
        <v>0.5</v>
      </c>
      <c r="AGP112" s="328">
        <v>0.5</v>
      </c>
      <c r="AGQ112" s="328">
        <v>0.5</v>
      </c>
      <c r="AGR112" s="328">
        <v>0.5</v>
      </c>
      <c r="AGS112" s="337"/>
      <c r="AGT112" s="337"/>
      <c r="AGU112" s="337"/>
      <c r="AGV112" s="337"/>
      <c r="AGW112" s="337"/>
      <c r="AGX112" s="332"/>
      <c r="AGY112" s="587"/>
      <c r="AGZ112" s="331"/>
      <c r="AHA112" s="131">
        <f>SUM(AFY112:AGZ112)</f>
      </c>
      <c r="AHB112" s="639"/>
      <c r="AHC112" s="640"/>
      <c r="AHD112" s="641">
        <v>0.5</v>
      </c>
      <c r="AHE112" s="328">
        <v>0.5</v>
      </c>
      <c r="AHF112" s="328">
        <v>0.5</v>
      </c>
      <c r="AHG112" s="328">
        <v>0.5</v>
      </c>
      <c r="AHH112" s="328">
        <v>0.5</v>
      </c>
      <c r="AHI112" s="328">
        <v>0.5</v>
      </c>
      <c r="AHJ112" s="328">
        <v>0.5</v>
      </c>
      <c r="AHK112" s="327">
        <v>0.5</v>
      </c>
      <c r="AHL112" s="188"/>
      <c r="AHM112" s="334"/>
      <c r="AHN112" s="328">
        <v>0.5</v>
      </c>
      <c r="AHO112" s="330">
        <v>0.5</v>
      </c>
      <c r="AHP112" s="641">
        <v>0.5</v>
      </c>
      <c r="AHQ112" s="328">
        <v>0.5</v>
      </c>
      <c r="AHR112" s="328">
        <v>0.5</v>
      </c>
      <c r="AHS112" s="328">
        <v>0.5</v>
      </c>
      <c r="AHT112" s="328">
        <v>0.5</v>
      </c>
      <c r="AHU112" s="328">
        <v>0.5</v>
      </c>
      <c r="AHV112" s="337"/>
      <c r="AHW112" s="337"/>
      <c r="AHX112" s="337"/>
      <c r="AHY112" s="337"/>
      <c r="AHZ112" s="337"/>
      <c r="AIA112" s="332"/>
      <c r="AIB112" s="587"/>
      <c r="AIC112" s="331"/>
      <c r="AID112" s="131">
        <f>SUM(AHB112:AIC112)</f>
      </c>
      <c r="AIE112" s="639"/>
      <c r="AIF112" s="640"/>
      <c r="AIG112" s="641">
        <v>0.5</v>
      </c>
      <c r="AIH112" s="328">
        <v>0.5</v>
      </c>
      <c r="AII112" s="328">
        <v>0.5</v>
      </c>
      <c r="AIJ112" s="328">
        <v>0.5</v>
      </c>
      <c r="AIK112" s="328">
        <v>0.5</v>
      </c>
      <c r="AIL112" s="328">
        <v>0.5</v>
      </c>
      <c r="AIM112" s="328">
        <v>0.5</v>
      </c>
      <c r="AIN112" s="327">
        <v>0.5</v>
      </c>
      <c r="AIO112" s="188"/>
      <c r="AIP112" s="334"/>
      <c r="AIQ112" s="328">
        <v>0.5</v>
      </c>
      <c r="AIR112" s="330">
        <v>0.5</v>
      </c>
      <c r="AIS112" s="641">
        <v>0.5</v>
      </c>
      <c r="AIT112" s="328">
        <v>0.5</v>
      </c>
      <c r="AIU112" s="328">
        <v>0.5</v>
      </c>
      <c r="AIV112" s="328">
        <v>0.5</v>
      </c>
      <c r="AIW112" s="328">
        <v>0.5</v>
      </c>
      <c r="AIX112" s="328">
        <v>0.5</v>
      </c>
      <c r="AIY112" s="337"/>
      <c r="AIZ112" s="337"/>
      <c r="AJA112" s="337"/>
      <c r="AJB112" s="337"/>
      <c r="AJC112" s="337"/>
      <c r="AJD112" s="332"/>
      <c r="AJE112" s="587"/>
      <c r="AJF112" s="331"/>
      <c r="AJG112" s="131">
        <f>SUM(AIE112:AJF112)</f>
      </c>
      <c r="AJH112" s="639"/>
      <c r="AJI112" s="640"/>
      <c r="AJJ112" s="641">
        <v>0.5</v>
      </c>
      <c r="AJK112" s="328">
        <v>0.5</v>
      </c>
      <c r="AJL112" s="328">
        <v>0.5</v>
      </c>
      <c r="AJM112" s="328">
        <v>0.5</v>
      </c>
      <c r="AJN112" s="328">
        <v>0.5</v>
      </c>
      <c r="AJO112" s="328">
        <v>0.5</v>
      </c>
      <c r="AJP112" s="328">
        <v>0.5</v>
      </c>
      <c r="AJQ112" s="327">
        <v>0.5</v>
      </c>
      <c r="AJR112" s="188"/>
      <c r="AJS112" s="334"/>
      <c r="AJT112" s="328">
        <v>0.5</v>
      </c>
      <c r="AJU112" s="330">
        <v>0.5</v>
      </c>
      <c r="AJV112" s="641">
        <v>0.5</v>
      </c>
      <c r="AJW112" s="328">
        <v>0.5</v>
      </c>
      <c r="AJX112" s="328">
        <v>0.5</v>
      </c>
      <c r="AJY112" s="328">
        <v>0.5</v>
      </c>
      <c r="AJZ112" s="328">
        <v>0.5</v>
      </c>
      <c r="AKA112" s="328">
        <v>0.5</v>
      </c>
      <c r="AKB112" s="337"/>
      <c r="AKC112" s="337"/>
      <c r="AKD112" s="337"/>
      <c r="AKE112" s="337"/>
      <c r="AKF112" s="337"/>
      <c r="AKG112" s="332"/>
      <c r="AKH112" s="587"/>
      <c r="AKI112" s="331"/>
      <c r="AKJ112" s="131">
        <f>SUM(AJH112:AKI112)</f>
      </c>
      <c r="AKK112" s="631"/>
      <c r="AKL112" s="632"/>
      <c r="AKM112" s="633"/>
      <c r="AKN112" s="634"/>
      <c r="AKO112" s="634"/>
      <c r="AKP112" s="634"/>
      <c r="AKQ112" s="634"/>
      <c r="AKR112" s="634"/>
      <c r="AKS112" s="634"/>
      <c r="AKT112" s="635"/>
      <c r="AKU112" s="636"/>
      <c r="AKV112" s="634"/>
      <c r="AKW112" s="634"/>
      <c r="AKX112" s="637"/>
      <c r="AKY112" s="633"/>
      <c r="AKZ112" s="634"/>
      <c r="ALA112" s="634"/>
      <c r="ALB112" s="634"/>
      <c r="ALC112" s="634"/>
      <c r="ALD112" s="634"/>
      <c r="ALE112" s="634"/>
      <c r="ALF112" s="634"/>
      <c r="ALG112" s="634"/>
      <c r="ALH112" s="634"/>
      <c r="ALI112" s="634"/>
      <c r="ALJ112" s="635"/>
      <c r="ALK112" s="573"/>
      <c r="ALL112" s="638"/>
      <c r="ALM112" s="131">
        <f>SUM(AKK112:ALL112)</f>
      </c>
      <c r="ALN112" s="631"/>
      <c r="ALO112" s="632"/>
      <c r="ALP112" s="633"/>
      <c r="ALQ112" s="634"/>
      <c r="ALR112" s="634"/>
      <c r="ALS112" s="634"/>
      <c r="ALT112" s="634"/>
      <c r="ALU112" s="634"/>
      <c r="ALV112" s="634"/>
      <c r="ALW112" s="635"/>
      <c r="ALX112" s="636"/>
      <c r="ALY112" s="634"/>
      <c r="ALZ112" s="634"/>
      <c r="AMA112" s="637"/>
      <c r="AMB112" s="633"/>
      <c r="AMC112" s="634"/>
      <c r="AMD112" s="634"/>
      <c r="AME112" s="634"/>
      <c r="AMF112" s="634"/>
      <c r="AMG112" s="634"/>
      <c r="AMH112" s="634"/>
      <c r="AMI112" s="634"/>
      <c r="AMJ112" s="634"/>
      <c r="AMK112" s="634"/>
      <c r="AML112" s="634"/>
      <c r="AMM112" s="635"/>
      <c r="AMN112" s="573"/>
      <c r="AMO112" s="638"/>
      <c r="AMP112" s="131">
        <f>SUM(ALN112:AMO112)</f>
      </c>
      <c r="AMQ112" s="150">
        <f>AFX112+AHA112+AID112+AJG112+AKJ112+ALM112+AMP112</f>
      </c>
      <c r="AMR112" s="302">
        <f>(COUNTIF(AEV112:AMP112,"H")+COUNTIF(AEV112:AMP112,"S")+COUNTIF(AEV112:AMP112,"L")+COUNTIF(AEV112:AMP112,"E")+COUNTIF(AEV112:AMP112,"C"))/2</f>
      </c>
      <c r="AMS112" s="131">
        <f>AMQ112+AMR112</f>
      </c>
      <c r="AMT112" s="4"/>
      <c r="AMU112" s="4"/>
      <c r="AMV112" s="4"/>
      <c r="AMW112" s="4"/>
      <c r="AMX112" s="4"/>
      <c r="AMY112" s="4"/>
      <c r="AMZ112" s="4"/>
      <c r="ANA112" s="4"/>
      <c r="ANB112" s="4"/>
      <c r="ANC112" s="4"/>
      <c r="AND112" s="4"/>
      <c r="ANE112" s="4"/>
      <c r="ANF112" s="4"/>
      <c r="ANG112" s="4"/>
      <c r="ANH112" s="4"/>
      <c r="ANI112" s="4"/>
      <c r="ANJ112" s="4"/>
      <c r="ANK112" s="4"/>
      <c r="ANL112" s="4"/>
      <c r="ANM112" s="4"/>
      <c r="ANN112" s="4"/>
      <c r="ANO112" s="4"/>
      <c r="ANP112" s="4"/>
      <c r="ANQ112" s="4"/>
      <c r="ANR112" s="4"/>
      <c r="ANS112" s="4"/>
      <c r="ANT112" s="4"/>
      <c r="ANU112" s="4"/>
      <c r="ANV112" s="4"/>
      <c r="ANW112" s="4"/>
      <c r="ANX112" s="4"/>
      <c r="ANY112" s="4"/>
      <c r="ANZ112" s="4"/>
      <c r="AOA112" s="4"/>
      <c r="AOB112" s="4"/>
      <c r="AOC112" s="4"/>
      <c r="AOD112" s="4"/>
      <c r="AOE112" s="4"/>
      <c r="AOF112" s="4"/>
      <c r="AOG112" s="4"/>
      <c r="AOH112" s="4"/>
      <c r="AOI112" s="4"/>
      <c r="AOJ112" s="4"/>
      <c r="AOK112" s="4"/>
      <c r="AOL112" s="4"/>
      <c r="AOM112" s="4"/>
      <c r="AON112" s="4"/>
      <c r="AOO112" s="4"/>
      <c r="AOP112" s="4"/>
      <c r="AOQ112" s="4"/>
      <c r="AOR112" s="4"/>
      <c r="AOS112" s="4"/>
      <c r="AOT112" s="4"/>
      <c r="AOU112" s="4"/>
      <c r="AOV112" s="4"/>
      <c r="AOW112" s="4"/>
      <c r="AOX112" s="4"/>
      <c r="AOY112" s="4"/>
      <c r="AOZ112" s="4"/>
      <c r="APA112" s="4"/>
      <c r="APB112" s="4"/>
      <c r="APC112" s="4"/>
      <c r="APD112" s="4"/>
      <c r="APE112" s="4"/>
      <c r="APF112" s="4"/>
      <c r="APG112" s="4"/>
      <c r="APH112" s="4"/>
      <c r="API112" s="4"/>
      <c r="APJ112" s="4"/>
      <c r="APK112" s="4"/>
      <c r="APL112" s="4"/>
      <c r="APM112" s="4"/>
      <c r="APN112" s="4"/>
      <c r="APO112" s="4"/>
      <c r="APP112" s="4"/>
      <c r="APQ112" s="4"/>
      <c r="APR112" s="4"/>
      <c r="APS112" s="4"/>
      <c r="APT112" s="4"/>
      <c r="APU112" s="4"/>
      <c r="APV112" s="4"/>
      <c r="APW112" s="4"/>
      <c r="APX112" s="4"/>
      <c r="APY112" s="4"/>
      <c r="APZ112" s="4"/>
      <c r="AQA112" s="4"/>
      <c r="AQB112" s="4"/>
      <c r="AQC112" s="4"/>
      <c r="AQD112" s="4"/>
      <c r="AQE112" s="4"/>
      <c r="AQF112" s="4"/>
      <c r="AQG112" s="4"/>
      <c r="AQH112" s="4"/>
      <c r="AQI112" s="4"/>
      <c r="AQJ112" s="4"/>
      <c r="AQK112" s="4"/>
      <c r="AQL112" s="4"/>
      <c r="AQM112" s="4"/>
      <c r="AQN112" s="4"/>
      <c r="AQO112" s="4"/>
      <c r="AQP112" s="4"/>
      <c r="AQQ112" s="4"/>
      <c r="AQR112" s="4"/>
      <c r="AQS112" s="4"/>
      <c r="AQT112" s="4"/>
      <c r="AQU112" s="4"/>
      <c r="AQV112" s="4"/>
      <c r="AQW112" s="4"/>
      <c r="AQX112" s="4"/>
      <c r="AQY112" s="4"/>
      <c r="AQZ112" s="4"/>
      <c r="ARA112" s="4"/>
      <c r="ARB112" s="4"/>
      <c r="ARC112" s="4"/>
      <c r="ARD112" s="4"/>
      <c r="ARE112" s="4"/>
      <c r="ARF112" s="4"/>
      <c r="ARG112" s="4"/>
      <c r="ARH112" s="4"/>
      <c r="ARI112" s="4"/>
      <c r="ARJ112" s="4"/>
      <c r="ARK112" s="4"/>
      <c r="ARL112" s="4"/>
      <c r="ARM112" s="4"/>
      <c r="ARN112" s="4"/>
      <c r="ARO112" s="4"/>
      <c r="ARP112" s="4"/>
      <c r="ARQ112" s="4"/>
      <c r="ARR112" s="4"/>
      <c r="ARS112" s="4"/>
      <c r="ART112" s="4"/>
      <c r="ARU112" s="4"/>
      <c r="ARV112" s="4"/>
      <c r="ARW112" s="4"/>
      <c r="ARX112" s="4"/>
      <c r="ARY112" s="4"/>
      <c r="ARZ112" s="4"/>
      <c r="ASA112" s="4"/>
      <c r="ASB112" s="4"/>
      <c r="ASC112" s="4"/>
      <c r="ASD112" s="4"/>
      <c r="ASE112" s="4"/>
      <c r="ASF112" s="4"/>
      <c r="ASG112" s="4"/>
      <c r="ASH112" s="4"/>
      <c r="ASI112" s="4"/>
      <c r="ASJ112" s="4"/>
      <c r="ASK112" s="4"/>
      <c r="ASL112" s="4"/>
      <c r="ASM112" s="4"/>
      <c r="ASN112" s="4"/>
      <c r="ASO112" s="4"/>
      <c r="ASP112" s="4"/>
      <c r="ASQ112" s="4"/>
      <c r="ASR112" s="4"/>
      <c r="ASS112" s="4"/>
      <c r="AST112" s="4"/>
      <c r="ASU112" s="4"/>
    </row>
    <row r="113" ht="15.75" customHeight="1" spans="1:1191" x14ac:dyDescent="0.25">
      <c r="A113" s="156"/>
      <c r="B113" s="565" t="s">
        <v>150</v>
      </c>
      <c r="C113" s="642" t="s">
        <v>55</v>
      </c>
      <c r="D113" s="567"/>
      <c r="E113" s="168"/>
      <c r="F113" s="568"/>
      <c r="G113" s="569"/>
      <c r="H113" s="569"/>
      <c r="I113" s="569"/>
      <c r="J113" s="569"/>
      <c r="K113" s="569"/>
      <c r="L113" s="569"/>
      <c r="M113" s="570"/>
      <c r="N113" s="571"/>
      <c r="O113" s="569"/>
      <c r="P113" s="569"/>
      <c r="Q113" s="572"/>
      <c r="R113" s="568"/>
      <c r="S113" s="569"/>
      <c r="T113" s="569"/>
      <c r="U113" s="569"/>
      <c r="V113" s="569"/>
      <c r="W113" s="569"/>
      <c r="X113" s="569"/>
      <c r="Y113" s="569"/>
      <c r="Z113" s="569"/>
      <c r="AA113" s="569"/>
      <c r="AB113" s="569"/>
      <c r="AC113" s="570"/>
      <c r="AD113" s="168"/>
      <c r="AE113" s="168"/>
      <c r="AF113" s="574">
        <f>SUM(D113:AE113)</f>
      </c>
      <c r="AG113" s="567"/>
      <c r="AH113" s="168"/>
      <c r="AI113" s="568"/>
      <c r="AJ113" s="569"/>
      <c r="AK113" s="569"/>
      <c r="AL113" s="569"/>
      <c r="AM113" s="569"/>
      <c r="AN113" s="569"/>
      <c r="AO113" s="569"/>
      <c r="AP113" s="570"/>
      <c r="AQ113" s="571"/>
      <c r="AR113" s="569"/>
      <c r="AS113" s="569"/>
      <c r="AT113" s="572"/>
      <c r="AU113" s="568"/>
      <c r="AV113" s="569"/>
      <c r="AW113" s="569"/>
      <c r="AX113" s="569"/>
      <c r="AY113" s="569"/>
      <c r="AZ113" s="569"/>
      <c r="BA113" s="569"/>
      <c r="BB113" s="569"/>
      <c r="BC113" s="569"/>
      <c r="BD113" s="569"/>
      <c r="BE113" s="569"/>
      <c r="BF113" s="570"/>
      <c r="BG113" s="168"/>
      <c r="BH113" s="168"/>
      <c r="BI113" s="574">
        <f>SUM(AG113:BH113)</f>
      </c>
      <c r="BJ113" s="567"/>
      <c r="BK113" s="168"/>
      <c r="BL113" s="568"/>
      <c r="BM113" s="569"/>
      <c r="BN113" s="569"/>
      <c r="BO113" s="569"/>
      <c r="BP113" s="569"/>
      <c r="BQ113" s="569"/>
      <c r="BR113" s="569"/>
      <c r="BS113" s="570"/>
      <c r="BT113" s="571"/>
      <c r="BU113" s="569"/>
      <c r="BV113" s="569"/>
      <c r="BW113" s="572"/>
      <c r="BX113" s="568"/>
      <c r="BY113" s="569"/>
      <c r="BZ113" s="569"/>
      <c r="CA113" s="569"/>
      <c r="CB113" s="569"/>
      <c r="CC113" s="569"/>
      <c r="CD113" s="569"/>
      <c r="CE113" s="569"/>
      <c r="CF113" s="569"/>
      <c r="CG113" s="569"/>
      <c r="CH113" s="569"/>
      <c r="CI113" s="570"/>
      <c r="CJ113" s="168"/>
      <c r="CK113" s="168"/>
      <c r="CL113" s="574">
        <f>SUM(BJ113:CK113)</f>
      </c>
      <c r="CM113" s="567"/>
      <c r="CN113" s="168"/>
      <c r="CO113" s="568"/>
      <c r="CP113" s="569"/>
      <c r="CQ113" s="569"/>
      <c r="CR113" s="569"/>
      <c r="CS113" s="569"/>
      <c r="CT113" s="569"/>
      <c r="CU113" s="569"/>
      <c r="CV113" s="570"/>
      <c r="CW113" s="571"/>
      <c r="CX113" s="569"/>
      <c r="CY113" s="569"/>
      <c r="CZ113" s="572"/>
      <c r="DA113" s="568"/>
      <c r="DB113" s="569"/>
      <c r="DC113" s="569"/>
      <c r="DD113" s="569"/>
      <c r="DE113" s="569"/>
      <c r="DF113" s="569"/>
      <c r="DG113" s="569"/>
      <c r="DH113" s="569"/>
      <c r="DI113" s="569"/>
      <c r="DJ113" s="569"/>
      <c r="DK113" s="569"/>
      <c r="DL113" s="570"/>
      <c r="DM113" s="168"/>
      <c r="DN113" s="168"/>
      <c r="DO113" s="574">
        <f>SUM(CM113:DN113)</f>
      </c>
      <c r="DP113" s="567"/>
      <c r="DQ113" s="168"/>
      <c r="DR113" s="568"/>
      <c r="DS113" s="569"/>
      <c r="DT113" s="569"/>
      <c r="DU113" s="569"/>
      <c r="DV113" s="569"/>
      <c r="DW113" s="569"/>
      <c r="DX113" s="569"/>
      <c r="DY113" s="570"/>
      <c r="DZ113" s="571"/>
      <c r="EA113" s="569"/>
      <c r="EB113" s="569"/>
      <c r="EC113" s="572"/>
      <c r="ED113" s="568"/>
      <c r="EE113" s="569"/>
      <c r="EF113" s="569"/>
      <c r="EG113" s="569"/>
      <c r="EH113" s="569"/>
      <c r="EI113" s="569"/>
      <c r="EJ113" s="569"/>
      <c r="EK113" s="569"/>
      <c r="EL113" s="569"/>
      <c r="EM113" s="569"/>
      <c r="EN113" s="569"/>
      <c r="EO113" s="570"/>
      <c r="EP113" s="168"/>
      <c r="EQ113" s="168"/>
      <c r="ER113" s="574">
        <f>SUM(DP113:EQ113)</f>
      </c>
      <c r="ES113" s="567"/>
      <c r="ET113" s="168"/>
      <c r="EU113" s="568"/>
      <c r="EV113" s="569"/>
      <c r="EW113" s="569"/>
      <c r="EX113" s="569"/>
      <c r="EY113" s="569"/>
      <c r="EZ113" s="569"/>
      <c r="FA113" s="569"/>
      <c r="FB113" s="570"/>
      <c r="FC113" s="571"/>
      <c r="FD113" s="569"/>
      <c r="FE113" s="569"/>
      <c r="FF113" s="572"/>
      <c r="FG113" s="568"/>
      <c r="FH113" s="569"/>
      <c r="FI113" s="569"/>
      <c r="FJ113" s="569"/>
      <c r="FK113" s="569"/>
      <c r="FL113" s="569"/>
      <c r="FM113" s="569"/>
      <c r="FN113" s="569"/>
      <c r="FO113" s="569"/>
      <c r="FP113" s="569"/>
      <c r="FQ113" s="569"/>
      <c r="FR113" s="570"/>
      <c r="FS113" s="168"/>
      <c r="FT113" s="168"/>
      <c r="FU113" s="574">
        <f>SUM(ES113:FT113)</f>
      </c>
      <c r="FV113" s="567"/>
      <c r="FW113" s="168"/>
      <c r="FX113" s="568"/>
      <c r="FY113" s="569"/>
      <c r="FZ113" s="569"/>
      <c r="GA113" s="569"/>
      <c r="GB113" s="569"/>
      <c r="GC113" s="569"/>
      <c r="GD113" s="569"/>
      <c r="GE113" s="570"/>
      <c r="GF113" s="571"/>
      <c r="GG113" s="569"/>
      <c r="GH113" s="569"/>
      <c r="GI113" s="572"/>
      <c r="GJ113" s="568"/>
      <c r="GK113" s="569"/>
      <c r="GL113" s="569"/>
      <c r="GM113" s="569"/>
      <c r="GN113" s="569"/>
      <c r="GO113" s="569"/>
      <c r="GP113" s="569"/>
      <c r="GQ113" s="569"/>
      <c r="GR113" s="569"/>
      <c r="GS113" s="569"/>
      <c r="GT113" s="569"/>
      <c r="GU113" s="570"/>
      <c r="GV113" s="168"/>
      <c r="GW113" s="168"/>
      <c r="GX113" s="574">
        <f>SUM(FV113:GW113)</f>
      </c>
      <c r="GY113" s="575">
        <f>AF113+BI113+CL113+DO113+ER113+FU113+GX113</f>
      </c>
      <c r="GZ113" s="576">
        <f>(COUNTIF(D113:GX113,"H")+COUNTIF(D113:GX113,"S")+COUNTIF(D113:GX113,"L")+COUNTIF(D113:GX113,"E")+COUNTIF(D113:GX113,"C"))/2</f>
      </c>
      <c r="HA113" s="574">
        <f>GY113+GZ113</f>
      </c>
      <c r="HB113" s="577"/>
      <c r="HC113" s="189"/>
      <c r="HD113" s="578"/>
      <c r="HE113" s="581">
        <v>0.5</v>
      </c>
      <c r="HF113" s="581">
        <v>0.5</v>
      </c>
      <c r="HG113" s="581">
        <v>0.5</v>
      </c>
      <c r="HH113" s="581">
        <v>0.5</v>
      </c>
      <c r="HI113" s="581">
        <v>0.5</v>
      </c>
      <c r="HJ113" s="581">
        <v>0.5</v>
      </c>
      <c r="HK113" s="582">
        <v>0.5</v>
      </c>
      <c r="HL113" s="583"/>
      <c r="HM113" s="579"/>
      <c r="HN113" s="581">
        <v>0.5</v>
      </c>
      <c r="HO113" s="584">
        <v>0.5</v>
      </c>
      <c r="HP113" s="585">
        <v>0.5</v>
      </c>
      <c r="HQ113" s="581">
        <v>0.5</v>
      </c>
      <c r="HR113" s="581">
        <v>0.5</v>
      </c>
      <c r="HS113" s="581">
        <v>0.5</v>
      </c>
      <c r="HT113" s="581">
        <v>0.5</v>
      </c>
      <c r="HU113" s="581">
        <v>0.5</v>
      </c>
      <c r="HV113" s="581">
        <v>0.5</v>
      </c>
      <c r="HW113" s="581">
        <v>0.5</v>
      </c>
      <c r="HX113" s="579"/>
      <c r="HY113" s="579"/>
      <c r="HZ113" s="579"/>
      <c r="IA113" s="586"/>
      <c r="IB113" s="189"/>
      <c r="IC113" s="189"/>
      <c r="ID113" s="574">
        <f>SUM(HB113:IC113)</f>
      </c>
      <c r="IE113" s="577"/>
      <c r="IF113" s="189"/>
      <c r="IG113" s="578"/>
      <c r="IH113" s="581">
        <v>0.5</v>
      </c>
      <c r="II113" s="581">
        <v>0.5</v>
      </c>
      <c r="IJ113" s="581">
        <v>0.5</v>
      </c>
      <c r="IK113" s="581">
        <v>0.5</v>
      </c>
      <c r="IL113" s="581">
        <v>0.5</v>
      </c>
      <c r="IM113" s="581">
        <v>0.5</v>
      </c>
      <c r="IN113" s="582">
        <v>0.5</v>
      </c>
      <c r="IO113" s="583"/>
      <c r="IP113" s="579"/>
      <c r="IQ113" s="581">
        <v>0.5</v>
      </c>
      <c r="IR113" s="584">
        <v>0.5</v>
      </c>
      <c r="IS113" s="585">
        <v>0.5</v>
      </c>
      <c r="IT113" s="581">
        <v>0.5</v>
      </c>
      <c r="IU113" s="581">
        <v>0.5</v>
      </c>
      <c r="IV113" s="581">
        <v>0.5</v>
      </c>
      <c r="IW113" s="581">
        <v>0.5</v>
      </c>
      <c r="IX113" s="581">
        <v>0.5</v>
      </c>
      <c r="IY113" s="581">
        <v>0.5</v>
      </c>
      <c r="IZ113" s="581">
        <v>0.5</v>
      </c>
      <c r="JA113" s="579"/>
      <c r="JB113" s="579"/>
      <c r="JC113" s="579"/>
      <c r="JD113" s="586"/>
      <c r="JE113" s="189"/>
      <c r="JF113" s="189"/>
      <c r="JG113" s="574">
        <f>SUM(IE113:JF113)</f>
      </c>
      <c r="JH113" s="577"/>
      <c r="JI113" s="189"/>
      <c r="JJ113" s="578"/>
      <c r="JK113" s="581">
        <v>0.5</v>
      </c>
      <c r="JL113" s="581">
        <v>0.5</v>
      </c>
      <c r="JM113" s="581">
        <v>0.5</v>
      </c>
      <c r="JN113" s="581">
        <v>0.5</v>
      </c>
      <c r="JO113" s="581">
        <v>0.5</v>
      </c>
      <c r="JP113" s="581">
        <v>0.5</v>
      </c>
      <c r="JQ113" s="582">
        <v>0.5</v>
      </c>
      <c r="JR113" s="583"/>
      <c r="JS113" s="579"/>
      <c r="JT113" s="581">
        <v>0.5</v>
      </c>
      <c r="JU113" s="584">
        <v>0.5</v>
      </c>
      <c r="JV113" s="585">
        <v>0.5</v>
      </c>
      <c r="JW113" s="581">
        <v>0.5</v>
      </c>
      <c r="JX113" s="581">
        <v>0.5</v>
      </c>
      <c r="JY113" s="581">
        <v>0.5</v>
      </c>
      <c r="JZ113" s="581">
        <v>0.5</v>
      </c>
      <c r="KA113" s="581">
        <v>0.5</v>
      </c>
      <c r="KB113" s="581">
        <v>0.5</v>
      </c>
      <c r="KC113" s="581">
        <v>0.5</v>
      </c>
      <c r="KD113" s="579"/>
      <c r="KE113" s="579"/>
      <c r="KF113" s="579"/>
      <c r="KG113" s="586"/>
      <c r="KH113" s="189"/>
      <c r="KI113" s="189"/>
      <c r="KJ113" s="574">
        <f>SUM(JH113:KI113)</f>
      </c>
      <c r="KK113" s="577"/>
      <c r="KL113" s="189"/>
      <c r="KM113" s="578"/>
      <c r="KN113" s="581">
        <v>0.5</v>
      </c>
      <c r="KO113" s="581">
        <v>0.5</v>
      </c>
      <c r="KP113" s="581">
        <v>0.5</v>
      </c>
      <c r="KQ113" s="581">
        <v>0.5</v>
      </c>
      <c r="KR113" s="581">
        <v>0.5</v>
      </c>
      <c r="KS113" s="581">
        <v>0.5</v>
      </c>
      <c r="KT113" s="582">
        <v>0.5</v>
      </c>
      <c r="KU113" s="583"/>
      <c r="KV113" s="579"/>
      <c r="KW113" s="581">
        <v>0.5</v>
      </c>
      <c r="KX113" s="584">
        <v>0.5</v>
      </c>
      <c r="KY113" s="585">
        <v>0.5</v>
      </c>
      <c r="KZ113" s="581">
        <v>0.5</v>
      </c>
      <c r="LA113" s="581">
        <v>0.5</v>
      </c>
      <c r="LB113" s="581">
        <v>0.5</v>
      </c>
      <c r="LC113" s="581">
        <v>0.5</v>
      </c>
      <c r="LD113" s="581">
        <v>0.5</v>
      </c>
      <c r="LE113" s="581">
        <v>0.5</v>
      </c>
      <c r="LF113" s="581">
        <v>0.5</v>
      </c>
      <c r="LG113" s="579"/>
      <c r="LH113" s="579"/>
      <c r="LI113" s="579"/>
      <c r="LJ113" s="586"/>
      <c r="LK113" s="189"/>
      <c r="LL113" s="189"/>
      <c r="LM113" s="574">
        <f>SUM(KK113:LL113)</f>
      </c>
      <c r="LN113" s="577"/>
      <c r="LO113" s="189"/>
      <c r="LP113" s="585">
        <v>0.5</v>
      </c>
      <c r="LQ113" s="581">
        <v>0.5</v>
      </c>
      <c r="LR113" s="581">
        <v>0.5</v>
      </c>
      <c r="LS113" s="581">
        <v>0.5</v>
      </c>
      <c r="LT113" s="581">
        <v>0.5</v>
      </c>
      <c r="LU113" s="581">
        <v>0.5</v>
      </c>
      <c r="LV113" s="581">
        <v>0.5</v>
      </c>
      <c r="LW113" s="582">
        <v>0.5</v>
      </c>
      <c r="LX113" s="594">
        <v>0.5</v>
      </c>
      <c r="LY113" s="581"/>
      <c r="LZ113" s="581">
        <v>0.5</v>
      </c>
      <c r="MA113" s="643">
        <v>0.5</v>
      </c>
      <c r="MB113" s="593">
        <v>0.5</v>
      </c>
      <c r="MC113" s="579"/>
      <c r="MD113" s="579"/>
      <c r="ME113" s="579"/>
      <c r="MF113" s="579"/>
      <c r="MG113" s="579"/>
      <c r="MH113" s="579"/>
      <c r="MI113" s="579"/>
      <c r="MJ113" s="579"/>
      <c r="MK113" s="579"/>
      <c r="ML113" s="579"/>
      <c r="MM113" s="586"/>
      <c r="MN113" s="189"/>
      <c r="MO113" s="189"/>
      <c r="MP113" s="574">
        <f>SUM(LN113:MO113)</f>
      </c>
      <c r="MQ113" s="567"/>
      <c r="MR113" s="168"/>
      <c r="MS113" s="568"/>
      <c r="MT113" s="569"/>
      <c r="MU113" s="569"/>
      <c r="MV113" s="569"/>
      <c r="MW113" s="569"/>
      <c r="MX113" s="569"/>
      <c r="MY113" s="569"/>
      <c r="MZ113" s="570"/>
      <c r="NA113" s="571"/>
      <c r="NB113" s="569"/>
      <c r="NC113" s="569"/>
      <c r="ND113" s="572"/>
      <c r="NE113" s="568"/>
      <c r="NF113" s="569"/>
      <c r="NG113" s="569"/>
      <c r="NH113" s="569"/>
      <c r="NI113" s="569"/>
      <c r="NJ113" s="569"/>
      <c r="NK113" s="569"/>
      <c r="NL113" s="569"/>
      <c r="NM113" s="569"/>
      <c r="NN113" s="569"/>
      <c r="NO113" s="569"/>
      <c r="NP113" s="570"/>
      <c r="NQ113" s="168"/>
      <c r="NR113" s="168"/>
      <c r="NS113" s="574">
        <f>SUM(MQ113:NR113)</f>
      </c>
      <c r="NT113" s="567"/>
      <c r="NU113" s="168"/>
      <c r="NV113" s="568"/>
      <c r="NW113" s="569"/>
      <c r="NX113" s="569"/>
      <c r="NY113" s="569"/>
      <c r="NZ113" s="569"/>
      <c r="OA113" s="569"/>
      <c r="OB113" s="569"/>
      <c r="OC113" s="570"/>
      <c r="OD113" s="571"/>
      <c r="OE113" s="569"/>
      <c r="OF113" s="569"/>
      <c r="OG113" s="572"/>
      <c r="OH113" s="568"/>
      <c r="OI113" s="569"/>
      <c r="OJ113" s="569"/>
      <c r="OK113" s="569"/>
      <c r="OL113" s="569"/>
      <c r="OM113" s="569"/>
      <c r="ON113" s="569"/>
      <c r="OO113" s="569"/>
      <c r="OP113" s="569"/>
      <c r="OQ113" s="569"/>
      <c r="OR113" s="569"/>
      <c r="OS113" s="570"/>
      <c r="OT113" s="168"/>
      <c r="OU113" s="168"/>
      <c r="OV113" s="574">
        <f>SUM(NT113:OU113)</f>
      </c>
      <c r="OW113" s="575">
        <f>ID113+JG113+KJ113+LM113+MP113+NS113+OV113</f>
      </c>
      <c r="OX113" s="576">
        <f>(COUNTIF(HB113:OV113,"H")+COUNTIF(HB113:OV113,"S")+COUNTIF(HB113:OV113,"L")+COUNTIF(HB113:OV113,"E")+COUNTIF(HB113:OV113,"C"))/2</f>
      </c>
      <c r="OY113" s="574">
        <f>OW113+OX113</f>
      </c>
      <c r="OZ113" s="577"/>
      <c r="PA113" s="189"/>
      <c r="PB113" s="578"/>
      <c r="PC113" s="581">
        <v>0.5</v>
      </c>
      <c r="PD113" s="581">
        <v>0.5</v>
      </c>
      <c r="PE113" s="581">
        <v>0.5</v>
      </c>
      <c r="PF113" s="581">
        <v>0.5</v>
      </c>
      <c r="PG113" s="581">
        <v>0.5</v>
      </c>
      <c r="PH113" s="581">
        <v>0.5</v>
      </c>
      <c r="PI113" s="582">
        <v>0.5</v>
      </c>
      <c r="PJ113" s="583"/>
      <c r="PK113" s="579"/>
      <c r="PL113" s="581">
        <v>0.5</v>
      </c>
      <c r="PM113" s="584">
        <v>0.5</v>
      </c>
      <c r="PN113" s="585">
        <v>0.5</v>
      </c>
      <c r="PO113" s="581">
        <v>0.5</v>
      </c>
      <c r="PP113" s="581">
        <v>0.5</v>
      </c>
      <c r="PQ113" s="581">
        <v>0.5</v>
      </c>
      <c r="PR113" s="581">
        <v>0.5</v>
      </c>
      <c r="PS113" s="581">
        <v>0.5</v>
      </c>
      <c r="PT113" s="581">
        <v>0.5</v>
      </c>
      <c r="PU113" s="581">
        <v>0.5</v>
      </c>
      <c r="PV113" s="579"/>
      <c r="PW113" s="579"/>
      <c r="PX113" s="579"/>
      <c r="PY113" s="586"/>
      <c r="PZ113" s="189"/>
      <c r="QA113" s="189"/>
      <c r="QB113" s="574">
        <f>SUM(OZ113:QA113)</f>
      </c>
      <c r="QC113" s="577"/>
      <c r="QD113" s="189"/>
      <c r="QE113" s="578"/>
      <c r="QF113" s="581">
        <v>0.5</v>
      </c>
      <c r="QG113" s="581">
        <v>0.5</v>
      </c>
      <c r="QH113" s="581">
        <v>0.5</v>
      </c>
      <c r="QI113" s="581">
        <v>0.5</v>
      </c>
      <c r="QJ113" s="581">
        <v>0.5</v>
      </c>
      <c r="QK113" s="581">
        <v>0.5</v>
      </c>
      <c r="QL113" s="582">
        <v>0.5</v>
      </c>
      <c r="QM113" s="583"/>
      <c r="QN113" s="579"/>
      <c r="QO113" s="581">
        <v>0.5</v>
      </c>
      <c r="QP113" s="584">
        <v>0.5</v>
      </c>
      <c r="QQ113" s="585">
        <v>0.5</v>
      </c>
      <c r="QR113" s="581">
        <v>0.5</v>
      </c>
      <c r="QS113" s="581">
        <v>0.5</v>
      </c>
      <c r="QT113" s="581">
        <v>0.5</v>
      </c>
      <c r="QU113" s="581">
        <v>0.5</v>
      </c>
      <c r="QV113" s="581">
        <v>0.5</v>
      </c>
      <c r="QW113" s="581">
        <v>0.5</v>
      </c>
      <c r="QX113" s="581">
        <v>0.5</v>
      </c>
      <c r="QY113" s="579"/>
      <c r="QZ113" s="579"/>
      <c r="RA113" s="579"/>
      <c r="RB113" s="586"/>
      <c r="RC113" s="189"/>
      <c r="RD113" s="189"/>
      <c r="RE113" s="574">
        <f>SUM(QC113:RD113)</f>
      </c>
      <c r="RF113" s="577"/>
      <c r="RG113" s="189"/>
      <c r="RH113" s="578"/>
      <c r="RI113" s="581">
        <v>0.5</v>
      </c>
      <c r="RJ113" s="581">
        <v>0.5</v>
      </c>
      <c r="RK113" s="581">
        <v>0.5</v>
      </c>
      <c r="RL113" s="581">
        <v>0.5</v>
      </c>
      <c r="RM113" s="581">
        <v>0.5</v>
      </c>
      <c r="RN113" s="581">
        <v>0.5</v>
      </c>
      <c r="RO113" s="582">
        <v>0.5</v>
      </c>
      <c r="RP113" s="583"/>
      <c r="RQ113" s="579"/>
      <c r="RR113" s="581">
        <v>0.5</v>
      </c>
      <c r="RS113" s="584">
        <v>0.5</v>
      </c>
      <c r="RT113" s="585">
        <v>0.5</v>
      </c>
      <c r="RU113" s="581">
        <v>0.5</v>
      </c>
      <c r="RV113" s="581">
        <v>0.5</v>
      </c>
      <c r="RW113" s="581">
        <v>0.5</v>
      </c>
      <c r="RX113" s="581">
        <v>0.5</v>
      </c>
      <c r="RY113" s="581">
        <v>0.5</v>
      </c>
      <c r="RZ113" s="581">
        <v>0.5</v>
      </c>
      <c r="SA113" s="581">
        <v>0.5</v>
      </c>
      <c r="SB113" s="579"/>
      <c r="SC113" s="579"/>
      <c r="SD113" s="579"/>
      <c r="SE113" s="586"/>
      <c r="SF113" s="189"/>
      <c r="SG113" s="189"/>
      <c r="SH113" s="574">
        <f>SUM(RF113:SG113)</f>
      </c>
      <c r="SI113" s="577"/>
      <c r="SJ113" s="189"/>
      <c r="SK113" s="578"/>
      <c r="SL113" s="581">
        <v>0.5</v>
      </c>
      <c r="SM113" s="581">
        <v>0.5</v>
      </c>
      <c r="SN113" s="581">
        <v>0.5</v>
      </c>
      <c r="SO113" s="581">
        <v>0.5</v>
      </c>
      <c r="SP113" s="581">
        <v>0.5</v>
      </c>
      <c r="SQ113" s="581">
        <v>0.5</v>
      </c>
      <c r="SR113" s="582">
        <v>0.5</v>
      </c>
      <c r="SS113" s="583"/>
      <c r="ST113" s="579"/>
      <c r="SU113" s="581">
        <v>0.5</v>
      </c>
      <c r="SV113" s="584">
        <v>0.5</v>
      </c>
      <c r="SW113" s="585">
        <v>0.5</v>
      </c>
      <c r="SX113" s="581">
        <v>0.5</v>
      </c>
      <c r="SY113" s="581">
        <v>0.5</v>
      </c>
      <c r="SZ113" s="581">
        <v>0.5</v>
      </c>
      <c r="TA113" s="581">
        <v>0.5</v>
      </c>
      <c r="TB113" s="581">
        <v>0.5</v>
      </c>
      <c r="TC113" s="581">
        <v>0.5</v>
      </c>
      <c r="TD113" s="581">
        <v>0.5</v>
      </c>
      <c r="TE113" s="579"/>
      <c r="TF113" s="579"/>
      <c r="TG113" s="579"/>
      <c r="TH113" s="586"/>
      <c r="TI113" s="189"/>
      <c r="TJ113" s="189"/>
      <c r="TK113" s="574">
        <f>SUM(SI113:TJ113)</f>
      </c>
      <c r="TL113" s="577"/>
      <c r="TM113" s="189"/>
      <c r="TN113" s="585">
        <v>0.5</v>
      </c>
      <c r="TO113" s="581">
        <v>0.5</v>
      </c>
      <c r="TP113" s="581">
        <v>0.5</v>
      </c>
      <c r="TQ113" s="581">
        <v>0.5</v>
      </c>
      <c r="TR113" s="581">
        <v>0.5</v>
      </c>
      <c r="TS113" s="581">
        <v>0.5</v>
      </c>
      <c r="TT113" s="581">
        <v>0.5</v>
      </c>
      <c r="TU113" s="582">
        <v>0.5</v>
      </c>
      <c r="TV113" s="594">
        <v>0.5</v>
      </c>
      <c r="TW113" s="581"/>
      <c r="TX113" s="581">
        <v>0.5</v>
      </c>
      <c r="TY113" s="643">
        <v>0.5</v>
      </c>
      <c r="TZ113" s="593">
        <v>0.5</v>
      </c>
      <c r="UA113" s="579"/>
      <c r="UB113" s="579"/>
      <c r="UC113" s="579"/>
      <c r="UD113" s="579"/>
      <c r="UE113" s="579"/>
      <c r="UF113" s="579"/>
      <c r="UG113" s="579"/>
      <c r="UH113" s="579"/>
      <c r="UI113" s="579"/>
      <c r="UJ113" s="579"/>
      <c r="UK113" s="586"/>
      <c r="UL113" s="189"/>
      <c r="UM113" s="189"/>
      <c r="UN113" s="574">
        <f>SUM(TL113:UM113)</f>
      </c>
      <c r="UO113" s="567"/>
      <c r="UP113" s="168"/>
      <c r="UQ113" s="568"/>
      <c r="UR113" s="569"/>
      <c r="US113" s="569"/>
      <c r="UT113" s="569"/>
      <c r="UU113" s="569"/>
      <c r="UV113" s="569"/>
      <c r="UW113" s="569"/>
      <c r="UX113" s="570"/>
      <c r="UY113" s="571"/>
      <c r="UZ113" s="569"/>
      <c r="VA113" s="569"/>
      <c r="VB113" s="572"/>
      <c r="VC113" s="568"/>
      <c r="VD113" s="569"/>
      <c r="VE113" s="569"/>
      <c r="VF113" s="569"/>
      <c r="VG113" s="569"/>
      <c r="VH113" s="569"/>
      <c r="VI113" s="569"/>
      <c r="VJ113" s="569"/>
      <c r="VK113" s="569"/>
      <c r="VL113" s="569"/>
      <c r="VM113" s="569"/>
      <c r="VN113" s="570"/>
      <c r="VO113" s="168"/>
      <c r="VP113" s="168"/>
      <c r="VQ113" s="574">
        <f>SUM(UO113:VP113)</f>
      </c>
      <c r="VR113" s="567"/>
      <c r="VS113" s="168"/>
      <c r="VT113" s="568"/>
      <c r="VU113" s="569"/>
      <c r="VV113" s="569"/>
      <c r="VW113" s="569"/>
      <c r="VX113" s="569"/>
      <c r="VY113" s="569"/>
      <c r="VZ113" s="569"/>
      <c r="WA113" s="570"/>
      <c r="WB113" s="571"/>
      <c r="WC113" s="569"/>
      <c r="WD113" s="569"/>
      <c r="WE113" s="572"/>
      <c r="WF113" s="568"/>
      <c r="WG113" s="569"/>
      <c r="WH113" s="569"/>
      <c r="WI113" s="569"/>
      <c r="WJ113" s="569"/>
      <c r="WK113" s="569"/>
      <c r="WL113" s="569"/>
      <c r="WM113" s="569"/>
      <c r="WN113" s="569"/>
      <c r="WO113" s="569"/>
      <c r="WP113" s="569"/>
      <c r="WQ113" s="570"/>
      <c r="WR113" s="168"/>
      <c r="WS113" s="168"/>
      <c r="WT113" s="574">
        <f>SUM(VR113:WS113)</f>
      </c>
      <c r="WU113" s="575">
        <f>QB113+RE113+SH113+TK113+UN113+VQ113+WT113</f>
      </c>
      <c r="WV113" s="576">
        <f>(COUNTIF(OZ113:WT113,"H")+COUNTIF(OZ113:WT113,"S")+COUNTIF(OZ113:WT113,"L")+COUNTIF(OZ113:WT113,"E")+COUNTIF(OZ113:WT113,"C"))/2</f>
      </c>
      <c r="WW113" s="574">
        <f>WU113+WV113</f>
      </c>
      <c r="WX113" s="577"/>
      <c r="WY113" s="189"/>
      <c r="WZ113" s="578"/>
      <c r="XA113" s="581">
        <v>0.5</v>
      </c>
      <c r="XB113" s="581">
        <v>0.5</v>
      </c>
      <c r="XC113" s="581">
        <v>0.5</v>
      </c>
      <c r="XD113" s="581">
        <v>0.5</v>
      </c>
      <c r="XE113" s="581">
        <v>0.5</v>
      </c>
      <c r="XF113" s="581">
        <v>0.5</v>
      </c>
      <c r="XG113" s="582">
        <v>0.5</v>
      </c>
      <c r="XH113" s="583"/>
      <c r="XI113" s="579"/>
      <c r="XJ113" s="581">
        <v>0.5</v>
      </c>
      <c r="XK113" s="584">
        <v>0.5</v>
      </c>
      <c r="XL113" s="585">
        <v>0.5</v>
      </c>
      <c r="XM113" s="581">
        <v>0.5</v>
      </c>
      <c r="XN113" s="581">
        <v>0.5</v>
      </c>
      <c r="XO113" s="581">
        <v>0.5</v>
      </c>
      <c r="XP113" s="581">
        <v>0.5</v>
      </c>
      <c r="XQ113" s="581">
        <v>0.5</v>
      </c>
      <c r="XR113" s="581">
        <v>0.5</v>
      </c>
      <c r="XS113" s="581">
        <v>0.5</v>
      </c>
      <c r="XT113" s="579"/>
      <c r="XU113" s="579"/>
      <c r="XV113" s="579"/>
      <c r="XW113" s="586"/>
      <c r="XX113" s="189"/>
      <c r="XY113" s="189"/>
      <c r="XZ113" s="574">
        <f>SUM(WX113:XY113)</f>
      </c>
      <c r="YA113" s="577"/>
      <c r="YB113" s="189"/>
      <c r="YC113" s="578"/>
      <c r="YD113" s="581">
        <v>0.5</v>
      </c>
      <c r="YE113" s="581">
        <v>0.5</v>
      </c>
      <c r="YF113" s="581">
        <v>0.5</v>
      </c>
      <c r="YG113" s="581">
        <v>0.5</v>
      </c>
      <c r="YH113" s="581">
        <v>0.5</v>
      </c>
      <c r="YI113" s="581">
        <v>0.5</v>
      </c>
      <c r="YJ113" s="582">
        <v>0.5</v>
      </c>
      <c r="YK113" s="583"/>
      <c r="YL113" s="579"/>
      <c r="YM113" s="581">
        <v>0.5</v>
      </c>
      <c r="YN113" s="584">
        <v>0.5</v>
      </c>
      <c r="YO113" s="585">
        <v>0.5</v>
      </c>
      <c r="YP113" s="581">
        <v>0.5</v>
      </c>
      <c r="YQ113" s="581">
        <v>0.5</v>
      </c>
      <c r="YR113" s="581">
        <v>0.5</v>
      </c>
      <c r="YS113" s="581">
        <v>0.5</v>
      </c>
      <c r="YT113" s="581">
        <v>0.5</v>
      </c>
      <c r="YU113" s="581">
        <v>0.5</v>
      </c>
      <c r="YV113" s="581">
        <v>0.5</v>
      </c>
      <c r="YW113" s="579"/>
      <c r="YX113" s="579"/>
      <c r="YY113" s="579"/>
      <c r="YZ113" s="586"/>
      <c r="ZA113" s="189"/>
      <c r="ZB113" s="189"/>
      <c r="ZC113" s="574">
        <f>SUM(YA113:ZB113)</f>
      </c>
      <c r="ZD113" s="577"/>
      <c r="ZE113" s="189"/>
      <c r="ZF113" s="578"/>
      <c r="ZG113" s="581">
        <v>0.5</v>
      </c>
      <c r="ZH113" s="581">
        <v>0.5</v>
      </c>
      <c r="ZI113" s="581">
        <v>0.5</v>
      </c>
      <c r="ZJ113" s="581">
        <v>0.5</v>
      </c>
      <c r="ZK113" s="581">
        <v>0.5</v>
      </c>
      <c r="ZL113" s="581">
        <v>0.5</v>
      </c>
      <c r="ZM113" s="582">
        <v>0.5</v>
      </c>
      <c r="ZN113" s="583"/>
      <c r="ZO113" s="579"/>
      <c r="ZP113" s="581">
        <v>0.5</v>
      </c>
      <c r="ZQ113" s="584">
        <v>0.5</v>
      </c>
      <c r="ZR113" s="585">
        <v>0.5</v>
      </c>
      <c r="ZS113" s="581">
        <v>0.5</v>
      </c>
      <c r="ZT113" s="581">
        <v>0.5</v>
      </c>
      <c r="ZU113" s="581">
        <v>0.5</v>
      </c>
      <c r="ZV113" s="581">
        <v>0.5</v>
      </c>
      <c r="ZW113" s="581">
        <v>0.5</v>
      </c>
      <c r="ZX113" s="581">
        <v>0.5</v>
      </c>
      <c r="ZY113" s="581">
        <v>0.5</v>
      </c>
      <c r="ZZ113" s="579"/>
      <c r="AAA113" s="579"/>
      <c r="AAB113" s="579"/>
      <c r="AAC113" s="586"/>
      <c r="AAD113" s="189"/>
      <c r="AAE113" s="189"/>
      <c r="AAF113" s="574">
        <f>SUM(ZD113:AAE113)</f>
      </c>
      <c r="AAG113" s="577"/>
      <c r="AAH113" s="189"/>
      <c r="AAI113" s="578"/>
      <c r="AAJ113" s="581">
        <v>0.5</v>
      </c>
      <c r="AAK113" s="581">
        <v>0.5</v>
      </c>
      <c r="AAL113" s="581">
        <v>0.5</v>
      </c>
      <c r="AAM113" s="581">
        <v>0.5</v>
      </c>
      <c r="AAN113" s="581">
        <v>0.5</v>
      </c>
      <c r="AAO113" s="581">
        <v>0.5</v>
      </c>
      <c r="AAP113" s="582">
        <v>0.5</v>
      </c>
      <c r="AAQ113" s="583"/>
      <c r="AAR113" s="579"/>
      <c r="AAS113" s="581">
        <v>0.5</v>
      </c>
      <c r="AAT113" s="584">
        <v>0.5</v>
      </c>
      <c r="AAU113" s="585">
        <v>0.5</v>
      </c>
      <c r="AAV113" s="581">
        <v>0.5</v>
      </c>
      <c r="AAW113" s="581">
        <v>0.5</v>
      </c>
      <c r="AAX113" s="581">
        <v>0.5</v>
      </c>
      <c r="AAY113" s="581">
        <v>0.5</v>
      </c>
      <c r="AAZ113" s="581">
        <v>0.5</v>
      </c>
      <c r="ABA113" s="581">
        <v>0.5</v>
      </c>
      <c r="ABB113" s="581">
        <v>0.5</v>
      </c>
      <c r="ABC113" s="579"/>
      <c r="ABD113" s="579"/>
      <c r="ABE113" s="579"/>
      <c r="ABF113" s="586"/>
      <c r="ABG113" s="189"/>
      <c r="ABH113" s="189"/>
      <c r="ABI113" s="574">
        <f>SUM(AAG113:ABH113)</f>
      </c>
      <c r="ABJ113" s="577"/>
      <c r="ABK113" s="189"/>
      <c r="ABL113" s="585">
        <v>0.5</v>
      </c>
      <c r="ABM113" s="581">
        <v>0.5</v>
      </c>
      <c r="ABN113" s="581">
        <v>0.5</v>
      </c>
      <c r="ABO113" s="581">
        <v>0.5</v>
      </c>
      <c r="ABP113" s="581">
        <v>0.5</v>
      </c>
      <c r="ABQ113" s="581">
        <v>0.5</v>
      </c>
      <c r="ABR113" s="581">
        <v>0.5</v>
      </c>
      <c r="ABS113" s="582">
        <v>0.5</v>
      </c>
      <c r="ABT113" s="594">
        <v>0.5</v>
      </c>
      <c r="ABU113" s="581"/>
      <c r="ABV113" s="581">
        <v>0.5</v>
      </c>
      <c r="ABW113" s="643">
        <v>0.5</v>
      </c>
      <c r="ABX113" s="593">
        <v>0.5</v>
      </c>
      <c r="ABY113" s="579"/>
      <c r="ABZ113" s="579"/>
      <c r="ACA113" s="579"/>
      <c r="ACB113" s="579"/>
      <c r="ACC113" s="579"/>
      <c r="ACD113" s="579"/>
      <c r="ACE113" s="579"/>
      <c r="ACF113" s="579"/>
      <c r="ACG113" s="579"/>
      <c r="ACH113" s="579"/>
      <c r="ACI113" s="586"/>
      <c r="ACJ113" s="189"/>
      <c r="ACK113" s="189"/>
      <c r="ACL113" s="574">
        <f>SUM(ABJ113:ACK113)</f>
      </c>
      <c r="ACM113" s="567"/>
      <c r="ACN113" s="168"/>
      <c r="ACO113" s="568"/>
      <c r="ACP113" s="569"/>
      <c r="ACQ113" s="569"/>
      <c r="ACR113" s="569"/>
      <c r="ACS113" s="569"/>
      <c r="ACT113" s="569"/>
      <c r="ACU113" s="569"/>
      <c r="ACV113" s="570"/>
      <c r="ACW113" s="571"/>
      <c r="ACX113" s="569"/>
      <c r="ACY113" s="569"/>
      <c r="ACZ113" s="572"/>
      <c r="ADA113" s="568"/>
      <c r="ADB113" s="569"/>
      <c r="ADC113" s="569"/>
      <c r="ADD113" s="569"/>
      <c r="ADE113" s="569"/>
      <c r="ADF113" s="569"/>
      <c r="ADG113" s="569"/>
      <c r="ADH113" s="569"/>
      <c r="ADI113" s="569"/>
      <c r="ADJ113" s="569"/>
      <c r="ADK113" s="569"/>
      <c r="ADL113" s="570"/>
      <c r="ADM113" s="168"/>
      <c r="ADN113" s="168"/>
      <c r="ADO113" s="574">
        <f>SUM(ACM113:ADN113)</f>
      </c>
      <c r="ADP113" s="567"/>
      <c r="ADQ113" s="168"/>
      <c r="ADR113" s="568"/>
      <c r="ADS113" s="569"/>
      <c r="ADT113" s="569"/>
      <c r="ADU113" s="569"/>
      <c r="ADV113" s="569"/>
      <c r="ADW113" s="569"/>
      <c r="ADX113" s="569"/>
      <c r="ADY113" s="570"/>
      <c r="ADZ113" s="571"/>
      <c r="AEA113" s="569"/>
      <c r="AEB113" s="569"/>
      <c r="AEC113" s="572"/>
      <c r="AED113" s="568"/>
      <c r="AEE113" s="569"/>
      <c r="AEF113" s="569"/>
      <c r="AEG113" s="569"/>
      <c r="AEH113" s="569"/>
      <c r="AEI113" s="569"/>
      <c r="AEJ113" s="569"/>
      <c r="AEK113" s="569"/>
      <c r="AEL113" s="569"/>
      <c r="AEM113" s="569"/>
      <c r="AEN113" s="569"/>
      <c r="AEO113" s="570"/>
      <c r="AEP113" s="168"/>
      <c r="AEQ113" s="168"/>
      <c r="AER113" s="574">
        <f>SUM(ADP113:AEQ113)</f>
      </c>
      <c r="AES113" s="575">
        <f>XZ113+ZC113+AAF113+ABI113+ACL113+ADO113+AER113</f>
      </c>
      <c r="AET113" s="576">
        <f>(COUNTIF(WX113:AER113,"H")+COUNTIF(WX113:AER113,"S")+COUNTIF(WX113:AER113,"L")+COUNTIF(WX113:AER113,"E")+COUNTIF(WX113:AER113,"C"))/2</f>
      </c>
      <c r="AEU113" s="574">
        <f>AES113+AET113</f>
      </c>
      <c r="AEV113" s="577"/>
      <c r="AEW113" s="189"/>
      <c r="AEX113" s="578"/>
      <c r="AEY113" s="581">
        <v>0.5</v>
      </c>
      <c r="AEZ113" s="581">
        <v>0.5</v>
      </c>
      <c r="AFA113" s="581">
        <v>0.5</v>
      </c>
      <c r="AFB113" s="581">
        <v>0.5</v>
      </c>
      <c r="AFC113" s="581">
        <v>0.5</v>
      </c>
      <c r="AFD113" s="581">
        <v>0.5</v>
      </c>
      <c r="AFE113" s="582">
        <v>0.5</v>
      </c>
      <c r="AFF113" s="583"/>
      <c r="AFG113" s="579"/>
      <c r="AFH113" s="581">
        <v>0.5</v>
      </c>
      <c r="AFI113" s="584">
        <v>0.5</v>
      </c>
      <c r="AFJ113" s="585">
        <v>0.5</v>
      </c>
      <c r="AFK113" s="581">
        <v>0.5</v>
      </c>
      <c r="AFL113" s="581">
        <v>0.5</v>
      </c>
      <c r="AFM113" s="581">
        <v>0.5</v>
      </c>
      <c r="AFN113" s="581">
        <v>0.5</v>
      </c>
      <c r="AFO113" s="581">
        <v>0.5</v>
      </c>
      <c r="AFP113" s="581">
        <v>0.5</v>
      </c>
      <c r="AFQ113" s="581">
        <v>0.5</v>
      </c>
      <c r="AFR113" s="579"/>
      <c r="AFS113" s="579"/>
      <c r="AFT113" s="579"/>
      <c r="AFU113" s="586"/>
      <c r="AFV113" s="189"/>
      <c r="AFW113" s="189"/>
      <c r="AFX113" s="574">
        <f>SUM(AEV113:AFW113)</f>
      </c>
      <c r="AFY113" s="577"/>
      <c r="AFZ113" s="189"/>
      <c r="AGA113" s="578"/>
      <c r="AGB113" s="581">
        <v>0.5</v>
      </c>
      <c r="AGC113" s="581">
        <v>0.5</v>
      </c>
      <c r="AGD113" s="581">
        <v>0.5</v>
      </c>
      <c r="AGE113" s="581">
        <v>0.5</v>
      </c>
      <c r="AGF113" s="581">
        <v>0.5</v>
      </c>
      <c r="AGG113" s="581">
        <v>0.5</v>
      </c>
      <c r="AGH113" s="582">
        <v>0.5</v>
      </c>
      <c r="AGI113" s="583"/>
      <c r="AGJ113" s="579"/>
      <c r="AGK113" s="581">
        <v>0.5</v>
      </c>
      <c r="AGL113" s="584">
        <v>0.5</v>
      </c>
      <c r="AGM113" s="585">
        <v>0.5</v>
      </c>
      <c r="AGN113" s="581">
        <v>0.5</v>
      </c>
      <c r="AGO113" s="581">
        <v>0.5</v>
      </c>
      <c r="AGP113" s="581">
        <v>0.5</v>
      </c>
      <c r="AGQ113" s="581">
        <v>0.5</v>
      </c>
      <c r="AGR113" s="581">
        <v>0.5</v>
      </c>
      <c r="AGS113" s="581">
        <v>0.5</v>
      </c>
      <c r="AGT113" s="581">
        <v>0.5</v>
      </c>
      <c r="AGU113" s="579"/>
      <c r="AGV113" s="579"/>
      <c r="AGW113" s="579"/>
      <c r="AGX113" s="586"/>
      <c r="AGY113" s="189"/>
      <c r="AGZ113" s="189"/>
      <c r="AHA113" s="574">
        <f>SUM(AFY113:AGZ113)</f>
      </c>
      <c r="AHB113" s="577"/>
      <c r="AHC113" s="189"/>
      <c r="AHD113" s="578"/>
      <c r="AHE113" s="581">
        <v>0.5</v>
      </c>
      <c r="AHF113" s="581">
        <v>0.5</v>
      </c>
      <c r="AHG113" s="581">
        <v>0.5</v>
      </c>
      <c r="AHH113" s="581">
        <v>0.5</v>
      </c>
      <c r="AHI113" s="581">
        <v>0.5</v>
      </c>
      <c r="AHJ113" s="581">
        <v>0.5</v>
      </c>
      <c r="AHK113" s="582">
        <v>0.5</v>
      </c>
      <c r="AHL113" s="583"/>
      <c r="AHM113" s="579"/>
      <c r="AHN113" s="581">
        <v>0.5</v>
      </c>
      <c r="AHO113" s="584">
        <v>0.5</v>
      </c>
      <c r="AHP113" s="585">
        <v>0.5</v>
      </c>
      <c r="AHQ113" s="581">
        <v>0.5</v>
      </c>
      <c r="AHR113" s="581">
        <v>0.5</v>
      </c>
      <c r="AHS113" s="581">
        <v>0.5</v>
      </c>
      <c r="AHT113" s="581">
        <v>0.5</v>
      </c>
      <c r="AHU113" s="581">
        <v>0.5</v>
      </c>
      <c r="AHV113" s="581">
        <v>0.5</v>
      </c>
      <c r="AHW113" s="581">
        <v>0.5</v>
      </c>
      <c r="AHX113" s="579"/>
      <c r="AHY113" s="579"/>
      <c r="AHZ113" s="579"/>
      <c r="AIA113" s="586"/>
      <c r="AIB113" s="189"/>
      <c r="AIC113" s="189"/>
      <c r="AID113" s="574">
        <f>SUM(AHB113:AIC113)</f>
      </c>
      <c r="AIE113" s="577"/>
      <c r="AIF113" s="189"/>
      <c r="AIG113" s="578"/>
      <c r="AIH113" s="581">
        <v>0.5</v>
      </c>
      <c r="AII113" s="581">
        <v>0.5</v>
      </c>
      <c r="AIJ113" s="581">
        <v>0.5</v>
      </c>
      <c r="AIK113" s="581">
        <v>0.5</v>
      </c>
      <c r="AIL113" s="581">
        <v>0.5</v>
      </c>
      <c r="AIM113" s="581">
        <v>0.5</v>
      </c>
      <c r="AIN113" s="582">
        <v>0.5</v>
      </c>
      <c r="AIO113" s="583"/>
      <c r="AIP113" s="579"/>
      <c r="AIQ113" s="581">
        <v>0.5</v>
      </c>
      <c r="AIR113" s="584">
        <v>0.5</v>
      </c>
      <c r="AIS113" s="585">
        <v>0.5</v>
      </c>
      <c r="AIT113" s="581">
        <v>0.5</v>
      </c>
      <c r="AIU113" s="581">
        <v>0.5</v>
      </c>
      <c r="AIV113" s="581">
        <v>0.5</v>
      </c>
      <c r="AIW113" s="581">
        <v>0.5</v>
      </c>
      <c r="AIX113" s="581">
        <v>0.5</v>
      </c>
      <c r="AIY113" s="581">
        <v>0.5</v>
      </c>
      <c r="AIZ113" s="581">
        <v>0.5</v>
      </c>
      <c r="AJA113" s="579"/>
      <c r="AJB113" s="579"/>
      <c r="AJC113" s="579"/>
      <c r="AJD113" s="586"/>
      <c r="AJE113" s="189"/>
      <c r="AJF113" s="189"/>
      <c r="AJG113" s="574">
        <f>SUM(AIE113:AJF113)</f>
      </c>
      <c r="AJH113" s="577"/>
      <c r="AJI113" s="189"/>
      <c r="AJJ113" s="585">
        <v>0.5</v>
      </c>
      <c r="AJK113" s="581">
        <v>0.5</v>
      </c>
      <c r="AJL113" s="581">
        <v>0.5</v>
      </c>
      <c r="AJM113" s="581">
        <v>0.5</v>
      </c>
      <c r="AJN113" s="581">
        <v>0.5</v>
      </c>
      <c r="AJO113" s="581">
        <v>0.5</v>
      </c>
      <c r="AJP113" s="581">
        <v>0.5</v>
      </c>
      <c r="AJQ113" s="582">
        <v>0.5</v>
      </c>
      <c r="AJR113" s="594">
        <v>0.5</v>
      </c>
      <c r="AJS113" s="581"/>
      <c r="AJT113" s="581">
        <v>0.5</v>
      </c>
      <c r="AJU113" s="643">
        <v>0.5</v>
      </c>
      <c r="AJV113" s="593">
        <v>0.5</v>
      </c>
      <c r="AJW113" s="579"/>
      <c r="AJX113" s="579"/>
      <c r="AJY113" s="579"/>
      <c r="AJZ113" s="579"/>
      <c r="AKA113" s="579"/>
      <c r="AKB113" s="579"/>
      <c r="AKC113" s="579"/>
      <c r="AKD113" s="579"/>
      <c r="AKE113" s="579"/>
      <c r="AKF113" s="579"/>
      <c r="AKG113" s="586"/>
      <c r="AKH113" s="189"/>
      <c r="AKI113" s="189"/>
      <c r="AKJ113" s="574">
        <f>SUM(AJH113:AKI113)</f>
      </c>
      <c r="AKK113" s="567"/>
      <c r="AKL113" s="168"/>
      <c r="AKM113" s="568"/>
      <c r="AKN113" s="569"/>
      <c r="AKO113" s="569"/>
      <c r="AKP113" s="569"/>
      <c r="AKQ113" s="569"/>
      <c r="AKR113" s="569"/>
      <c r="AKS113" s="569"/>
      <c r="AKT113" s="570"/>
      <c r="AKU113" s="571"/>
      <c r="AKV113" s="569"/>
      <c r="AKW113" s="569"/>
      <c r="AKX113" s="572"/>
      <c r="AKY113" s="568"/>
      <c r="AKZ113" s="569"/>
      <c r="ALA113" s="569"/>
      <c r="ALB113" s="569"/>
      <c r="ALC113" s="569"/>
      <c r="ALD113" s="569"/>
      <c r="ALE113" s="569"/>
      <c r="ALF113" s="569"/>
      <c r="ALG113" s="569"/>
      <c r="ALH113" s="569"/>
      <c r="ALI113" s="569"/>
      <c r="ALJ113" s="570"/>
      <c r="ALK113" s="168"/>
      <c r="ALL113" s="168"/>
      <c r="ALM113" s="574">
        <f>SUM(AKK113:ALL113)</f>
      </c>
      <c r="ALN113" s="567"/>
      <c r="ALO113" s="168"/>
      <c r="ALP113" s="568"/>
      <c r="ALQ113" s="569"/>
      <c r="ALR113" s="569"/>
      <c r="ALS113" s="569"/>
      <c r="ALT113" s="569"/>
      <c r="ALU113" s="569"/>
      <c r="ALV113" s="569"/>
      <c r="ALW113" s="570"/>
      <c r="ALX113" s="571"/>
      <c r="ALY113" s="569"/>
      <c r="ALZ113" s="569"/>
      <c r="AMA113" s="572"/>
      <c r="AMB113" s="568"/>
      <c r="AMC113" s="569"/>
      <c r="AMD113" s="569"/>
      <c r="AME113" s="569"/>
      <c r="AMF113" s="569"/>
      <c r="AMG113" s="569"/>
      <c r="AMH113" s="569"/>
      <c r="AMI113" s="569"/>
      <c r="AMJ113" s="569"/>
      <c r="AMK113" s="569"/>
      <c r="AML113" s="569"/>
      <c r="AMM113" s="570"/>
      <c r="AMN113" s="168"/>
      <c r="AMO113" s="168"/>
      <c r="AMP113" s="574">
        <f>SUM(ALN113:AMO113)</f>
      </c>
      <c r="AMQ113" s="575">
        <f>AFX113+AHA113+AID113+AJG113+AKJ113+ALM113+AMP113</f>
      </c>
      <c r="AMR113" s="576">
        <f>(COUNTIF(AEV113:AMP113,"H")+COUNTIF(AEV113:AMP113,"S")+COUNTIF(AEV113:AMP113,"L")+COUNTIF(AEV113:AMP113,"E")+COUNTIF(AEV113:AMP113,"C"))/2</f>
      </c>
      <c r="AMS113" s="574">
        <f>AMQ113+AMR113</f>
      </c>
      <c r="AMT113" s="4"/>
      <c r="AMU113" s="4"/>
      <c r="AMV113" s="4"/>
      <c r="AMW113" s="4"/>
      <c r="AMX113" s="4"/>
      <c r="AMY113" s="4"/>
      <c r="AMZ113" s="4"/>
      <c r="ANA113" s="4"/>
      <c r="ANB113" s="4"/>
      <c r="ANC113" s="4"/>
      <c r="AND113" s="4"/>
      <c r="ANE113" s="4"/>
      <c r="ANF113" s="4"/>
      <c r="ANG113" s="4"/>
      <c r="ANH113" s="4"/>
      <c r="ANI113" s="4"/>
      <c r="ANJ113" s="4"/>
      <c r="ANK113" s="4"/>
      <c r="ANL113" s="4"/>
      <c r="ANM113" s="4"/>
      <c r="ANN113" s="4"/>
      <c r="ANO113" s="4"/>
      <c r="ANP113" s="4"/>
      <c r="ANQ113" s="4"/>
      <c r="ANR113" s="4"/>
      <c r="ANS113" s="4"/>
      <c r="ANT113" s="4"/>
      <c r="ANU113" s="4"/>
      <c r="ANV113" s="4"/>
      <c r="ANW113" s="4"/>
      <c r="ANX113" s="4"/>
      <c r="ANY113" s="4"/>
      <c r="ANZ113" s="4"/>
      <c r="AOA113" s="4"/>
      <c r="AOB113" s="4"/>
      <c r="AOC113" s="4"/>
      <c r="AOD113" s="4"/>
      <c r="AOE113" s="4"/>
      <c r="AOF113" s="4"/>
      <c r="AOG113" s="4"/>
      <c r="AOH113" s="4"/>
      <c r="AOI113" s="4"/>
      <c r="AOJ113" s="4"/>
      <c r="AOK113" s="4"/>
      <c r="AOL113" s="4"/>
      <c r="AOM113" s="4"/>
      <c r="AON113" s="4"/>
      <c r="AOO113" s="4"/>
      <c r="AOP113" s="4"/>
      <c r="AOQ113" s="4"/>
      <c r="AOR113" s="4"/>
      <c r="AOS113" s="4"/>
      <c r="AOT113" s="4"/>
      <c r="AOU113" s="4"/>
      <c r="AOV113" s="4"/>
      <c r="AOW113" s="4"/>
      <c r="AOX113" s="4"/>
      <c r="AOY113" s="4"/>
      <c r="AOZ113" s="4"/>
      <c r="APA113" s="4"/>
      <c r="APB113" s="4"/>
      <c r="APC113" s="4"/>
      <c r="APD113" s="4"/>
      <c r="APE113" s="4"/>
      <c r="APF113" s="4"/>
      <c r="APG113" s="4"/>
      <c r="APH113" s="4"/>
      <c r="API113" s="4"/>
      <c r="APJ113" s="4"/>
      <c r="APK113" s="4"/>
      <c r="APL113" s="4"/>
      <c r="APM113" s="4"/>
      <c r="APN113" s="4"/>
      <c r="APO113" s="4"/>
      <c r="APP113" s="4"/>
      <c r="APQ113" s="4"/>
      <c r="APR113" s="4"/>
      <c r="APS113" s="4"/>
      <c r="APT113" s="4"/>
      <c r="APU113" s="4"/>
      <c r="APV113" s="4"/>
      <c r="APW113" s="4"/>
      <c r="APX113" s="4"/>
      <c r="APY113" s="4"/>
      <c r="APZ113" s="4"/>
      <c r="AQA113" s="4"/>
      <c r="AQB113" s="4"/>
      <c r="AQC113" s="4"/>
      <c r="AQD113" s="4"/>
      <c r="AQE113" s="4"/>
      <c r="AQF113" s="4"/>
      <c r="AQG113" s="4"/>
      <c r="AQH113" s="4"/>
      <c r="AQI113" s="4"/>
      <c r="AQJ113" s="4"/>
      <c r="AQK113" s="4"/>
      <c r="AQL113" s="4"/>
      <c r="AQM113" s="4"/>
      <c r="AQN113" s="4"/>
      <c r="AQO113" s="4"/>
      <c r="AQP113" s="4"/>
      <c r="AQQ113" s="4"/>
      <c r="AQR113" s="4"/>
      <c r="AQS113" s="4"/>
      <c r="AQT113" s="4"/>
      <c r="AQU113" s="4"/>
      <c r="AQV113" s="4"/>
      <c r="AQW113" s="4"/>
      <c r="AQX113" s="4"/>
      <c r="AQY113" s="4"/>
      <c r="AQZ113" s="4"/>
      <c r="ARA113" s="4"/>
      <c r="ARB113" s="4"/>
      <c r="ARC113" s="4"/>
      <c r="ARD113" s="4"/>
      <c r="ARE113" s="4"/>
      <c r="ARF113" s="4"/>
      <c r="ARG113" s="4"/>
      <c r="ARH113" s="4"/>
      <c r="ARI113" s="4"/>
      <c r="ARJ113" s="4"/>
      <c r="ARK113" s="4"/>
      <c r="ARL113" s="4"/>
      <c r="ARM113" s="4"/>
      <c r="ARN113" s="4"/>
      <c r="ARO113" s="4"/>
      <c r="ARP113" s="4"/>
      <c r="ARQ113" s="4"/>
      <c r="ARR113" s="4"/>
      <c r="ARS113" s="4"/>
      <c r="ART113" s="4"/>
      <c r="ARU113" s="4"/>
      <c r="ARV113" s="4"/>
      <c r="ARW113" s="4"/>
      <c r="ARX113" s="4"/>
      <c r="ARY113" s="4"/>
      <c r="ARZ113" s="4"/>
      <c r="ASA113" s="4"/>
      <c r="ASB113" s="4"/>
      <c r="ASC113" s="4"/>
      <c r="ASD113" s="4"/>
      <c r="ASE113" s="4"/>
      <c r="ASF113" s="4"/>
      <c r="ASG113" s="4"/>
      <c r="ASH113" s="4"/>
      <c r="ASI113" s="4"/>
      <c r="ASJ113" s="4"/>
      <c r="ASK113" s="4"/>
      <c r="ASL113" s="4"/>
      <c r="ASM113" s="4"/>
      <c r="ASN113" s="4"/>
      <c r="ASO113" s="4"/>
      <c r="ASP113" s="4"/>
      <c r="ASQ113" s="4"/>
      <c r="ASR113" s="4"/>
      <c r="ASS113" s="4"/>
      <c r="AST113" s="4"/>
      <c r="ASU113" s="4"/>
    </row>
    <row r="114" spans="1:1191" x14ac:dyDescent="0.25">
      <c r="A114" s="644" t="s">
        <v>48</v>
      </c>
      <c r="B114" s="417" t="s">
        <v>151</v>
      </c>
      <c r="C114" s="321" t="s">
        <v>140</v>
      </c>
      <c r="D114" s="121"/>
      <c r="E114" s="122"/>
      <c r="F114" s="123"/>
      <c r="G114" s="124"/>
      <c r="H114" s="124"/>
      <c r="I114" s="124"/>
      <c r="J114" s="124"/>
      <c r="K114" s="124"/>
      <c r="L114" s="124"/>
      <c r="M114" s="125"/>
      <c r="N114" s="126"/>
      <c r="O114" s="124"/>
      <c r="P114" s="124"/>
      <c r="Q114" s="127"/>
      <c r="R114" s="123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5"/>
      <c r="AD114" s="122"/>
      <c r="AE114" s="123"/>
      <c r="AF114" s="131">
        <f>SUM(D114:AE114)</f>
      </c>
      <c r="AG114" s="121"/>
      <c r="AH114" s="122"/>
      <c r="AI114" s="123"/>
      <c r="AJ114" s="124"/>
      <c r="AK114" s="124"/>
      <c r="AL114" s="124"/>
      <c r="AM114" s="124"/>
      <c r="AN114" s="124"/>
      <c r="AO114" s="124"/>
      <c r="AP114" s="125"/>
      <c r="AQ114" s="126"/>
      <c r="AR114" s="124"/>
      <c r="AS114" s="124"/>
      <c r="AT114" s="127"/>
      <c r="AU114" s="123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5"/>
      <c r="BG114" s="122"/>
      <c r="BH114" s="123"/>
      <c r="BI114" s="131">
        <f>SUM(AG114:BH114)</f>
      </c>
      <c r="BJ114" s="121"/>
      <c r="BK114" s="122"/>
      <c r="BL114" s="123"/>
      <c r="BM114" s="124"/>
      <c r="BN114" s="124"/>
      <c r="BO114" s="124"/>
      <c r="BP114" s="124"/>
      <c r="BQ114" s="124"/>
      <c r="BR114" s="124"/>
      <c r="BS114" s="125"/>
      <c r="BT114" s="126"/>
      <c r="BU114" s="124"/>
      <c r="BV114" s="124"/>
      <c r="BW114" s="127"/>
      <c r="BX114" s="123"/>
      <c r="BY114" s="124"/>
      <c r="BZ114" s="124"/>
      <c r="CA114" s="124"/>
      <c r="CB114" s="124"/>
      <c r="CC114" s="124"/>
      <c r="CD114" s="124"/>
      <c r="CE114" s="124"/>
      <c r="CF114" s="124"/>
      <c r="CG114" s="124"/>
      <c r="CH114" s="124"/>
      <c r="CI114" s="125"/>
      <c r="CJ114" s="122"/>
      <c r="CK114" s="123"/>
      <c r="CL114" s="131">
        <f>SUM(BJ114:CK114)</f>
      </c>
      <c r="CM114" s="121"/>
      <c r="CN114" s="122"/>
      <c r="CO114" s="123"/>
      <c r="CP114" s="124"/>
      <c r="CQ114" s="124"/>
      <c r="CR114" s="124"/>
      <c r="CS114" s="124"/>
      <c r="CT114" s="124"/>
      <c r="CU114" s="124"/>
      <c r="CV114" s="125"/>
      <c r="CW114" s="126"/>
      <c r="CX114" s="124"/>
      <c r="CY114" s="124"/>
      <c r="CZ114" s="127"/>
      <c r="DA114" s="123"/>
      <c r="DB114" s="124"/>
      <c r="DC114" s="124"/>
      <c r="DD114" s="124"/>
      <c r="DE114" s="124"/>
      <c r="DF114" s="124"/>
      <c r="DG114" s="124"/>
      <c r="DH114" s="124"/>
      <c r="DI114" s="124"/>
      <c r="DJ114" s="124"/>
      <c r="DK114" s="124"/>
      <c r="DL114" s="125"/>
      <c r="DM114" s="122"/>
      <c r="DN114" s="123"/>
      <c r="DO114" s="131">
        <f>SUM(CM114:DN114)</f>
      </c>
      <c r="DP114" s="121"/>
      <c r="DQ114" s="122"/>
      <c r="DR114" s="123"/>
      <c r="DS114" s="124"/>
      <c r="DT114" s="124"/>
      <c r="DU114" s="124"/>
      <c r="DV114" s="124"/>
      <c r="DW114" s="124"/>
      <c r="DX114" s="124"/>
      <c r="DY114" s="125"/>
      <c r="DZ114" s="126"/>
      <c r="EA114" s="124"/>
      <c r="EB114" s="124"/>
      <c r="EC114" s="127"/>
      <c r="ED114" s="123"/>
      <c r="EE114" s="124"/>
      <c r="EF114" s="124"/>
      <c r="EG114" s="124"/>
      <c r="EH114" s="124"/>
      <c r="EI114" s="124"/>
      <c r="EJ114" s="124"/>
      <c r="EK114" s="124"/>
      <c r="EL114" s="124"/>
      <c r="EM114" s="124"/>
      <c r="EN114" s="124"/>
      <c r="EO114" s="125"/>
      <c r="EP114" s="122"/>
      <c r="EQ114" s="123"/>
      <c r="ER114" s="131">
        <f>SUM(DP114:EQ114)</f>
      </c>
      <c r="ES114" s="121"/>
      <c r="ET114" s="122"/>
      <c r="EU114" s="123"/>
      <c r="EV114" s="124"/>
      <c r="EW114" s="124"/>
      <c r="EX114" s="124"/>
      <c r="EY114" s="124"/>
      <c r="EZ114" s="124"/>
      <c r="FA114" s="124"/>
      <c r="FB114" s="125"/>
      <c r="FC114" s="126"/>
      <c r="FD114" s="124"/>
      <c r="FE114" s="124"/>
      <c r="FF114" s="127"/>
      <c r="FG114" s="123"/>
      <c r="FH114" s="124"/>
      <c r="FI114" s="124"/>
      <c r="FJ114" s="124"/>
      <c r="FK114" s="124"/>
      <c r="FL114" s="124"/>
      <c r="FM114" s="124"/>
      <c r="FN114" s="124"/>
      <c r="FO114" s="124"/>
      <c r="FP114" s="124"/>
      <c r="FQ114" s="124"/>
      <c r="FR114" s="125"/>
      <c r="FS114" s="122"/>
      <c r="FT114" s="123"/>
      <c r="FU114" s="131">
        <f>SUM(ES114:FT114)</f>
      </c>
      <c r="FV114" s="121"/>
      <c r="FW114" s="122"/>
      <c r="FX114" s="123"/>
      <c r="FY114" s="124"/>
      <c r="FZ114" s="124"/>
      <c r="GA114" s="124"/>
      <c r="GB114" s="124"/>
      <c r="GC114" s="124"/>
      <c r="GD114" s="124"/>
      <c r="GE114" s="125"/>
      <c r="GF114" s="126"/>
      <c r="GG114" s="124"/>
      <c r="GH114" s="124"/>
      <c r="GI114" s="127"/>
      <c r="GJ114" s="123"/>
      <c r="GK114" s="124"/>
      <c r="GL114" s="124"/>
      <c r="GM114" s="124"/>
      <c r="GN114" s="124"/>
      <c r="GO114" s="124"/>
      <c r="GP114" s="124"/>
      <c r="GQ114" s="124"/>
      <c r="GR114" s="124"/>
      <c r="GS114" s="124"/>
      <c r="GT114" s="124"/>
      <c r="GU114" s="125"/>
      <c r="GV114" s="122"/>
      <c r="GW114" s="123"/>
      <c r="GX114" s="131">
        <f>SUM(FV114:GW114)</f>
      </c>
      <c r="GY114" s="150">
        <f>AF114+BI114+CL114+DO114+ER114+FU114+GX114</f>
      </c>
      <c r="GZ114" s="302">
        <f>(COUNTIF(D114:GX114,"H")+COUNTIF(D114:GX114,"S")+COUNTIF(D114:GX114,"L")+COUNTIF(D114:GX114,"E")+COUNTIF(D114:GX114,"C"))/2</f>
      </c>
      <c r="HA114" s="131">
        <f>GY114+GZ114</f>
      </c>
      <c r="HB114" s="134"/>
      <c r="HC114" s="135"/>
      <c r="HD114" s="142">
        <v>0.5</v>
      </c>
      <c r="HE114" s="138">
        <v>0.5</v>
      </c>
      <c r="HF114" s="138">
        <v>0.5</v>
      </c>
      <c r="HG114" s="138">
        <v>0.5</v>
      </c>
      <c r="HH114" s="138">
        <v>0.5</v>
      </c>
      <c r="HI114" s="138">
        <v>0.5</v>
      </c>
      <c r="HJ114" s="138">
        <v>0.5</v>
      </c>
      <c r="HK114" s="139">
        <v>0.5</v>
      </c>
      <c r="HL114" s="147"/>
      <c r="HM114" s="148"/>
      <c r="HN114" s="138">
        <v>0.5</v>
      </c>
      <c r="HO114" s="149">
        <v>0.5</v>
      </c>
      <c r="HP114" s="142">
        <v>0.5</v>
      </c>
      <c r="HQ114" s="138">
        <v>0.5</v>
      </c>
      <c r="HR114" s="138">
        <v>0.5</v>
      </c>
      <c r="HS114" s="138">
        <v>0.5</v>
      </c>
      <c r="HT114" s="138">
        <v>0.5</v>
      </c>
      <c r="HU114" s="138">
        <v>0.5</v>
      </c>
      <c r="HV114" s="137"/>
      <c r="HW114" s="137"/>
      <c r="HX114" s="137"/>
      <c r="HY114" s="137"/>
      <c r="HZ114" s="137"/>
      <c r="IA114" s="153"/>
      <c r="IB114" s="135"/>
      <c r="IC114" s="136"/>
      <c r="ID114" s="131">
        <f>SUM(HB114:IC114)</f>
      </c>
      <c r="IE114" s="134"/>
      <c r="IF114" s="135"/>
      <c r="IG114" s="142">
        <v>0.5</v>
      </c>
      <c r="IH114" s="138">
        <v>0.5</v>
      </c>
      <c r="II114" s="138">
        <v>0.5</v>
      </c>
      <c r="IJ114" s="138">
        <v>0.5</v>
      </c>
      <c r="IK114" s="138">
        <v>0.5</v>
      </c>
      <c r="IL114" s="138">
        <v>0.5</v>
      </c>
      <c r="IM114" s="138">
        <v>0.5</v>
      </c>
      <c r="IN114" s="139">
        <v>0.5</v>
      </c>
      <c r="IO114" s="147"/>
      <c r="IP114" s="148"/>
      <c r="IQ114" s="138">
        <v>0.5</v>
      </c>
      <c r="IR114" s="149">
        <v>0.5</v>
      </c>
      <c r="IS114" s="142">
        <v>0.5</v>
      </c>
      <c r="IT114" s="138">
        <v>0.5</v>
      </c>
      <c r="IU114" s="138">
        <v>0.5</v>
      </c>
      <c r="IV114" s="138">
        <v>0.5</v>
      </c>
      <c r="IW114" s="138">
        <v>0.5</v>
      </c>
      <c r="IX114" s="138">
        <v>0.5</v>
      </c>
      <c r="IY114" s="137"/>
      <c r="IZ114" s="137"/>
      <c r="JA114" s="137"/>
      <c r="JB114" s="137"/>
      <c r="JC114" s="137"/>
      <c r="JD114" s="153"/>
      <c r="JE114" s="135"/>
      <c r="JF114" s="136"/>
      <c r="JG114" s="131">
        <f>SUM(IE114:JF114)</f>
      </c>
      <c r="JH114" s="134"/>
      <c r="JI114" s="135"/>
      <c r="JJ114" s="219">
        <v>0.5</v>
      </c>
      <c r="JK114" s="216">
        <v>0.5</v>
      </c>
      <c r="JL114" s="216">
        <v>0.5</v>
      </c>
      <c r="JM114" s="216">
        <v>0.5</v>
      </c>
      <c r="JN114" s="216">
        <v>0.5</v>
      </c>
      <c r="JO114" s="216">
        <v>0.5</v>
      </c>
      <c r="JP114" s="216">
        <v>0.5</v>
      </c>
      <c r="JQ114" s="217">
        <v>0.5</v>
      </c>
      <c r="JR114" s="147"/>
      <c r="JS114" s="148"/>
      <c r="JT114" s="216">
        <v>0.5</v>
      </c>
      <c r="JU114" s="226">
        <v>0.5</v>
      </c>
      <c r="JV114" s="219">
        <v>0.5</v>
      </c>
      <c r="JW114" s="216">
        <v>0.5</v>
      </c>
      <c r="JX114" s="216">
        <v>0.5</v>
      </c>
      <c r="JY114" s="216">
        <v>0.5</v>
      </c>
      <c r="JZ114" s="216">
        <v>0.5</v>
      </c>
      <c r="KA114" s="216">
        <v>0.5</v>
      </c>
      <c r="KB114" s="137"/>
      <c r="KC114" s="137"/>
      <c r="KD114" s="137"/>
      <c r="KE114" s="137"/>
      <c r="KF114" s="137"/>
      <c r="KG114" s="153"/>
      <c r="KH114" s="135"/>
      <c r="KI114" s="136"/>
      <c r="KJ114" s="131">
        <f>SUM(JH114:KI114)</f>
      </c>
      <c r="KK114" s="134"/>
      <c r="KL114" s="135"/>
      <c r="KM114" s="219">
        <v>0.5</v>
      </c>
      <c r="KN114" s="216">
        <v>0.5</v>
      </c>
      <c r="KO114" s="216">
        <v>0.5</v>
      </c>
      <c r="KP114" s="216">
        <v>0.5</v>
      </c>
      <c r="KQ114" s="216">
        <v>0.5</v>
      </c>
      <c r="KR114" s="216">
        <v>0.5</v>
      </c>
      <c r="KS114" s="216">
        <v>0.5</v>
      </c>
      <c r="KT114" s="217">
        <v>0.5</v>
      </c>
      <c r="KU114" s="147"/>
      <c r="KV114" s="148"/>
      <c r="KW114" s="216">
        <v>0.5</v>
      </c>
      <c r="KX114" s="226">
        <v>0.5</v>
      </c>
      <c r="KY114" s="219">
        <v>0.5</v>
      </c>
      <c r="KZ114" s="216">
        <v>0.5</v>
      </c>
      <c r="LA114" s="216">
        <v>0.5</v>
      </c>
      <c r="LB114" s="216">
        <v>0.5</v>
      </c>
      <c r="LC114" s="216">
        <v>0.5</v>
      </c>
      <c r="LD114" s="216">
        <v>0.5</v>
      </c>
      <c r="LE114" s="137"/>
      <c r="LF114" s="137"/>
      <c r="LG114" s="137"/>
      <c r="LH114" s="137"/>
      <c r="LI114" s="137"/>
      <c r="LJ114" s="153"/>
      <c r="LK114" s="135"/>
      <c r="LL114" s="136"/>
      <c r="LM114" s="131">
        <f>SUM(KK114:LL114)</f>
      </c>
      <c r="LN114" s="134"/>
      <c r="LO114" s="135"/>
      <c r="LP114" s="142">
        <v>0.5</v>
      </c>
      <c r="LQ114" s="138">
        <v>0.5</v>
      </c>
      <c r="LR114" s="138">
        <v>0.5</v>
      </c>
      <c r="LS114" s="138">
        <v>0.5</v>
      </c>
      <c r="LT114" s="138">
        <v>0.5</v>
      </c>
      <c r="LU114" s="138">
        <v>0.5</v>
      </c>
      <c r="LV114" s="138">
        <v>0.5</v>
      </c>
      <c r="LW114" s="139">
        <v>0.5</v>
      </c>
      <c r="LX114" s="147"/>
      <c r="LY114" s="148"/>
      <c r="LZ114" s="138">
        <v>0.5</v>
      </c>
      <c r="MA114" s="149">
        <v>0.5</v>
      </c>
      <c r="MB114" s="142">
        <v>0.5</v>
      </c>
      <c r="MC114" s="138">
        <v>0.5</v>
      </c>
      <c r="MD114" s="138">
        <v>0.5</v>
      </c>
      <c r="ME114" s="138">
        <v>0.5</v>
      </c>
      <c r="MF114" s="138">
        <v>0.5</v>
      </c>
      <c r="MG114" s="138">
        <v>0.5</v>
      </c>
      <c r="MH114" s="137"/>
      <c r="MI114" s="137"/>
      <c r="MJ114" s="137"/>
      <c r="MK114" s="137"/>
      <c r="ML114" s="137"/>
      <c r="MM114" s="153"/>
      <c r="MN114" s="135"/>
      <c r="MO114" s="136"/>
      <c r="MP114" s="131">
        <f>SUM(LN114:MO114)</f>
      </c>
      <c r="MQ114" s="121"/>
      <c r="MR114" s="122"/>
      <c r="MS114" s="123"/>
      <c r="MT114" s="124"/>
      <c r="MU114" s="124"/>
      <c r="MV114" s="124"/>
      <c r="MW114" s="124"/>
      <c r="MX114" s="124"/>
      <c r="MY114" s="124"/>
      <c r="MZ114" s="125"/>
      <c r="NA114" s="126"/>
      <c r="NB114" s="124"/>
      <c r="NC114" s="124"/>
      <c r="ND114" s="127"/>
      <c r="NE114" s="123"/>
      <c r="NF114" s="124"/>
      <c r="NG114" s="124"/>
      <c r="NH114" s="124"/>
      <c r="NI114" s="124"/>
      <c r="NJ114" s="124"/>
      <c r="NK114" s="124"/>
      <c r="NL114" s="124"/>
      <c r="NM114" s="124"/>
      <c r="NN114" s="124"/>
      <c r="NO114" s="124"/>
      <c r="NP114" s="125"/>
      <c r="NQ114" s="122"/>
      <c r="NR114" s="123"/>
      <c r="NS114" s="131">
        <f>SUM(MQ114:NR114)</f>
      </c>
      <c r="NT114" s="121"/>
      <c r="NU114" s="122"/>
      <c r="NV114" s="123"/>
      <c r="NW114" s="124"/>
      <c r="NX114" s="124"/>
      <c r="NY114" s="124"/>
      <c r="NZ114" s="124"/>
      <c r="OA114" s="124"/>
      <c r="OB114" s="124"/>
      <c r="OC114" s="125"/>
      <c r="OD114" s="126"/>
      <c r="OE114" s="124"/>
      <c r="OF114" s="124"/>
      <c r="OG114" s="127"/>
      <c r="OH114" s="123"/>
      <c r="OI114" s="124"/>
      <c r="OJ114" s="124"/>
      <c r="OK114" s="124"/>
      <c r="OL114" s="124"/>
      <c r="OM114" s="124"/>
      <c r="ON114" s="124"/>
      <c r="OO114" s="124"/>
      <c r="OP114" s="124"/>
      <c r="OQ114" s="124"/>
      <c r="OR114" s="124"/>
      <c r="OS114" s="125"/>
      <c r="OT114" s="122"/>
      <c r="OU114" s="123"/>
      <c r="OV114" s="131">
        <f>SUM(NT114:OU114)</f>
      </c>
      <c r="OW114" s="150">
        <f>ID114+JG114+KJ114+LM114+MP114+NS114+OV114</f>
      </c>
      <c r="OX114" s="302">
        <f>(COUNTIF(HB114:OV114,"H")+COUNTIF(HB114:OV114,"S")+COUNTIF(HB114:OV114,"L")+COUNTIF(HB114:OV114,"E")+COUNTIF(HB114:OV114,"C"))/2</f>
      </c>
      <c r="OY114" s="131">
        <f>OW114+OX114</f>
      </c>
      <c r="OZ114" s="134"/>
      <c r="PA114" s="135"/>
      <c r="PB114" s="142">
        <v>0.5</v>
      </c>
      <c r="PC114" s="138">
        <v>0.5</v>
      </c>
      <c r="PD114" s="138">
        <v>0.5</v>
      </c>
      <c r="PE114" s="138">
        <v>0.5</v>
      </c>
      <c r="PF114" s="138">
        <v>0.5</v>
      </c>
      <c r="PG114" s="138">
        <v>0.5</v>
      </c>
      <c r="PH114" s="138">
        <v>0.5</v>
      </c>
      <c r="PI114" s="139">
        <v>0.5</v>
      </c>
      <c r="PJ114" s="147"/>
      <c r="PK114" s="148"/>
      <c r="PL114" s="138">
        <v>0.5</v>
      </c>
      <c r="PM114" s="149">
        <v>0.5</v>
      </c>
      <c r="PN114" s="142">
        <v>0.5</v>
      </c>
      <c r="PO114" s="138">
        <v>0.5</v>
      </c>
      <c r="PP114" s="138">
        <v>0.5</v>
      </c>
      <c r="PQ114" s="138">
        <v>0.5</v>
      </c>
      <c r="PR114" s="138">
        <v>0.5</v>
      </c>
      <c r="PS114" s="138">
        <v>0.5</v>
      </c>
      <c r="PT114" s="137"/>
      <c r="PU114" s="137"/>
      <c r="PV114" s="137"/>
      <c r="PW114" s="137"/>
      <c r="PX114" s="137"/>
      <c r="PY114" s="153"/>
      <c r="PZ114" s="135"/>
      <c r="QA114" s="136"/>
      <c r="QB114" s="131">
        <f>SUM(OZ114:QA114)</f>
      </c>
      <c r="QC114" s="134"/>
      <c r="QD114" s="135"/>
      <c r="QE114" s="142">
        <v>0.5</v>
      </c>
      <c r="QF114" s="138">
        <v>0.5</v>
      </c>
      <c r="QG114" s="138">
        <v>0.5</v>
      </c>
      <c r="QH114" s="138">
        <v>0.5</v>
      </c>
      <c r="QI114" s="138">
        <v>0.5</v>
      </c>
      <c r="QJ114" s="138">
        <v>0.5</v>
      </c>
      <c r="QK114" s="138">
        <v>0.5</v>
      </c>
      <c r="QL114" s="139">
        <v>0.5</v>
      </c>
      <c r="QM114" s="147"/>
      <c r="QN114" s="148"/>
      <c r="QO114" s="138">
        <v>0.5</v>
      </c>
      <c r="QP114" s="149">
        <v>0.5</v>
      </c>
      <c r="QQ114" s="142">
        <v>0.5</v>
      </c>
      <c r="QR114" s="138">
        <v>0.5</v>
      </c>
      <c r="QS114" s="138">
        <v>0.5</v>
      </c>
      <c r="QT114" s="138">
        <v>0.5</v>
      </c>
      <c r="QU114" s="138">
        <v>0.5</v>
      </c>
      <c r="QV114" s="138">
        <v>0.5</v>
      </c>
      <c r="QW114" s="137"/>
      <c r="QX114" s="137"/>
      <c r="QY114" s="137"/>
      <c r="QZ114" s="137"/>
      <c r="RA114" s="137"/>
      <c r="RB114" s="153"/>
      <c r="RC114" s="135"/>
      <c r="RD114" s="136"/>
      <c r="RE114" s="131">
        <f>SUM(QC114:RD114)</f>
      </c>
      <c r="RF114" s="134"/>
      <c r="RG114" s="135"/>
      <c r="RH114" s="219">
        <v>0.5</v>
      </c>
      <c r="RI114" s="216">
        <v>0.5</v>
      </c>
      <c r="RJ114" s="216">
        <v>0.5</v>
      </c>
      <c r="RK114" s="216">
        <v>0.5</v>
      </c>
      <c r="RL114" s="216">
        <v>0.5</v>
      </c>
      <c r="RM114" s="216">
        <v>0.5</v>
      </c>
      <c r="RN114" s="216">
        <v>0.5</v>
      </c>
      <c r="RO114" s="217">
        <v>0.5</v>
      </c>
      <c r="RP114" s="147"/>
      <c r="RQ114" s="148"/>
      <c r="RR114" s="216">
        <v>0.5</v>
      </c>
      <c r="RS114" s="226">
        <v>0.5</v>
      </c>
      <c r="RT114" s="219">
        <v>0.5</v>
      </c>
      <c r="RU114" s="216">
        <v>0.5</v>
      </c>
      <c r="RV114" s="216">
        <v>0.5</v>
      </c>
      <c r="RW114" s="216">
        <v>0.5</v>
      </c>
      <c r="RX114" s="216">
        <v>0.5</v>
      </c>
      <c r="RY114" s="216">
        <v>0.5</v>
      </c>
      <c r="RZ114" s="137"/>
      <c r="SA114" s="137"/>
      <c r="SB114" s="137"/>
      <c r="SC114" s="137"/>
      <c r="SD114" s="137"/>
      <c r="SE114" s="153"/>
      <c r="SF114" s="135"/>
      <c r="SG114" s="136"/>
      <c r="SH114" s="131">
        <f>SUM(RF114:SG114)</f>
      </c>
      <c r="SI114" s="134"/>
      <c r="SJ114" s="135"/>
      <c r="SK114" s="219">
        <v>0.5</v>
      </c>
      <c r="SL114" s="216">
        <v>0.5</v>
      </c>
      <c r="SM114" s="216">
        <v>0.5</v>
      </c>
      <c r="SN114" s="216">
        <v>0.5</v>
      </c>
      <c r="SO114" s="216">
        <v>0.5</v>
      </c>
      <c r="SP114" s="216">
        <v>0.5</v>
      </c>
      <c r="SQ114" s="216">
        <v>0.5</v>
      </c>
      <c r="SR114" s="217">
        <v>0.5</v>
      </c>
      <c r="SS114" s="147"/>
      <c r="ST114" s="148"/>
      <c r="SU114" s="216">
        <v>0.5</v>
      </c>
      <c r="SV114" s="226">
        <v>0.5</v>
      </c>
      <c r="SW114" s="219">
        <v>0.5</v>
      </c>
      <c r="SX114" s="216">
        <v>0.5</v>
      </c>
      <c r="SY114" s="216">
        <v>0.5</v>
      </c>
      <c r="SZ114" s="216">
        <v>0.5</v>
      </c>
      <c r="TA114" s="216">
        <v>0.5</v>
      </c>
      <c r="TB114" s="216">
        <v>0.5</v>
      </c>
      <c r="TC114" s="137"/>
      <c r="TD114" s="137"/>
      <c r="TE114" s="137"/>
      <c r="TF114" s="137"/>
      <c r="TG114" s="137"/>
      <c r="TH114" s="153"/>
      <c r="TI114" s="135"/>
      <c r="TJ114" s="136"/>
      <c r="TK114" s="131">
        <f>SUM(SI114:TJ114)</f>
      </c>
      <c r="TL114" s="134"/>
      <c r="TM114" s="135"/>
      <c r="TN114" s="142">
        <v>0.5</v>
      </c>
      <c r="TO114" s="138">
        <v>0.5</v>
      </c>
      <c r="TP114" s="138">
        <v>0.5</v>
      </c>
      <c r="TQ114" s="138">
        <v>0.5</v>
      </c>
      <c r="TR114" s="138">
        <v>0.5</v>
      </c>
      <c r="TS114" s="138">
        <v>0.5</v>
      </c>
      <c r="TT114" s="138">
        <v>0.5</v>
      </c>
      <c r="TU114" s="139">
        <v>0.5</v>
      </c>
      <c r="TV114" s="147"/>
      <c r="TW114" s="148"/>
      <c r="TX114" s="138">
        <v>0.5</v>
      </c>
      <c r="TY114" s="149">
        <v>0.5</v>
      </c>
      <c r="TZ114" s="142">
        <v>0.5</v>
      </c>
      <c r="UA114" s="138">
        <v>0.5</v>
      </c>
      <c r="UB114" s="138">
        <v>0.5</v>
      </c>
      <c r="UC114" s="138">
        <v>0.5</v>
      </c>
      <c r="UD114" s="138">
        <v>0.5</v>
      </c>
      <c r="UE114" s="138">
        <v>0.5</v>
      </c>
      <c r="UF114" s="137"/>
      <c r="UG114" s="137"/>
      <c r="UH114" s="137"/>
      <c r="UI114" s="137"/>
      <c r="UJ114" s="137"/>
      <c r="UK114" s="153"/>
      <c r="UL114" s="135"/>
      <c r="UM114" s="136"/>
      <c r="UN114" s="131">
        <f>SUM(TL114:UM114)</f>
      </c>
      <c r="UO114" s="121"/>
      <c r="UP114" s="122"/>
      <c r="UQ114" s="123"/>
      <c r="UR114" s="124"/>
      <c r="US114" s="124"/>
      <c r="UT114" s="124"/>
      <c r="UU114" s="124"/>
      <c r="UV114" s="124"/>
      <c r="UW114" s="124"/>
      <c r="UX114" s="125"/>
      <c r="UY114" s="126"/>
      <c r="UZ114" s="124"/>
      <c r="VA114" s="124"/>
      <c r="VB114" s="127"/>
      <c r="VC114" s="123"/>
      <c r="VD114" s="124"/>
      <c r="VE114" s="124"/>
      <c r="VF114" s="124"/>
      <c r="VG114" s="124"/>
      <c r="VH114" s="124"/>
      <c r="VI114" s="124"/>
      <c r="VJ114" s="124"/>
      <c r="VK114" s="124"/>
      <c r="VL114" s="124"/>
      <c r="VM114" s="124"/>
      <c r="VN114" s="125"/>
      <c r="VO114" s="122"/>
      <c r="VP114" s="123"/>
      <c r="VQ114" s="131">
        <f>SUM(UO114:VP114)</f>
      </c>
      <c r="VR114" s="121"/>
      <c r="VS114" s="122"/>
      <c r="VT114" s="123"/>
      <c r="VU114" s="124"/>
      <c r="VV114" s="124"/>
      <c r="VW114" s="124"/>
      <c r="VX114" s="124"/>
      <c r="VY114" s="124"/>
      <c r="VZ114" s="124"/>
      <c r="WA114" s="125"/>
      <c r="WB114" s="126"/>
      <c r="WC114" s="124"/>
      <c r="WD114" s="124"/>
      <c r="WE114" s="127"/>
      <c r="WF114" s="123"/>
      <c r="WG114" s="124"/>
      <c r="WH114" s="124"/>
      <c r="WI114" s="124"/>
      <c r="WJ114" s="124"/>
      <c r="WK114" s="124"/>
      <c r="WL114" s="124"/>
      <c r="WM114" s="124"/>
      <c r="WN114" s="124"/>
      <c r="WO114" s="124"/>
      <c r="WP114" s="124"/>
      <c r="WQ114" s="125"/>
      <c r="WR114" s="122"/>
      <c r="WS114" s="123"/>
      <c r="WT114" s="131">
        <f>SUM(VR114:WS114)</f>
      </c>
      <c r="WU114" s="150">
        <f>QB114+RE114+SH114+TK114+UN114+VQ114+WT114</f>
      </c>
      <c r="WV114" s="302">
        <f>(COUNTIF(OZ114:WT114,"H")+COUNTIF(OZ114:WT114,"S")+COUNTIF(OZ114:WT114,"L")+COUNTIF(OZ114:WT114,"E")+COUNTIF(OZ114:WT114,"C"))/2</f>
      </c>
      <c r="WW114" s="131">
        <f>WU114+WV114</f>
      </c>
      <c r="WX114" s="134"/>
      <c r="WY114" s="135"/>
      <c r="WZ114" s="142">
        <v>0.5</v>
      </c>
      <c r="XA114" s="138">
        <v>0.5</v>
      </c>
      <c r="XB114" s="138">
        <v>0.5</v>
      </c>
      <c r="XC114" s="138">
        <v>0.5</v>
      </c>
      <c r="XD114" s="138">
        <v>0.5</v>
      </c>
      <c r="XE114" s="138">
        <v>0.5</v>
      </c>
      <c r="XF114" s="138">
        <v>0.5</v>
      </c>
      <c r="XG114" s="139">
        <v>0.5</v>
      </c>
      <c r="XH114" s="147"/>
      <c r="XI114" s="148"/>
      <c r="XJ114" s="138">
        <v>0.5</v>
      </c>
      <c r="XK114" s="149">
        <v>0.5</v>
      </c>
      <c r="XL114" s="142">
        <v>0.5</v>
      </c>
      <c r="XM114" s="138">
        <v>0.5</v>
      </c>
      <c r="XN114" s="138">
        <v>0.5</v>
      </c>
      <c r="XO114" s="138">
        <v>0.5</v>
      </c>
      <c r="XP114" s="138">
        <v>0.5</v>
      </c>
      <c r="XQ114" s="138">
        <v>0.5</v>
      </c>
      <c r="XR114" s="137"/>
      <c r="XS114" s="137"/>
      <c r="XT114" s="137"/>
      <c r="XU114" s="137"/>
      <c r="XV114" s="137"/>
      <c r="XW114" s="153"/>
      <c r="XX114" s="135"/>
      <c r="XY114" s="136"/>
      <c r="XZ114" s="131">
        <f>SUM(WX114:XY114)</f>
      </c>
      <c r="YA114" s="134"/>
      <c r="YB114" s="135"/>
      <c r="YC114" s="142">
        <v>0.5</v>
      </c>
      <c r="YD114" s="138">
        <v>0.5</v>
      </c>
      <c r="YE114" s="138">
        <v>0.5</v>
      </c>
      <c r="YF114" s="138">
        <v>0.5</v>
      </c>
      <c r="YG114" s="138">
        <v>0.5</v>
      </c>
      <c r="YH114" s="138">
        <v>0.5</v>
      </c>
      <c r="YI114" s="138">
        <v>0.5</v>
      </c>
      <c r="YJ114" s="139">
        <v>0.5</v>
      </c>
      <c r="YK114" s="147"/>
      <c r="YL114" s="148"/>
      <c r="YM114" s="138">
        <v>0.5</v>
      </c>
      <c r="YN114" s="149">
        <v>0.5</v>
      </c>
      <c r="YO114" s="142">
        <v>0.5</v>
      </c>
      <c r="YP114" s="138">
        <v>0.5</v>
      </c>
      <c r="YQ114" s="138">
        <v>0.5</v>
      </c>
      <c r="YR114" s="138">
        <v>0.5</v>
      </c>
      <c r="YS114" s="138">
        <v>0.5</v>
      </c>
      <c r="YT114" s="138">
        <v>0.5</v>
      </c>
      <c r="YU114" s="137"/>
      <c r="YV114" s="137"/>
      <c r="YW114" s="137"/>
      <c r="YX114" s="137"/>
      <c r="YY114" s="137"/>
      <c r="YZ114" s="153"/>
      <c r="ZA114" s="135"/>
      <c r="ZB114" s="136"/>
      <c r="ZC114" s="131">
        <f>SUM(YA114:ZB114)</f>
      </c>
      <c r="ZD114" s="134"/>
      <c r="ZE114" s="135"/>
      <c r="ZF114" s="219">
        <v>0.5</v>
      </c>
      <c r="ZG114" s="216">
        <v>0.5</v>
      </c>
      <c r="ZH114" s="216">
        <v>0.5</v>
      </c>
      <c r="ZI114" s="216">
        <v>0.5</v>
      </c>
      <c r="ZJ114" s="216">
        <v>0.5</v>
      </c>
      <c r="ZK114" s="216">
        <v>0.5</v>
      </c>
      <c r="ZL114" s="216">
        <v>0.5</v>
      </c>
      <c r="ZM114" s="217">
        <v>0.5</v>
      </c>
      <c r="ZN114" s="147"/>
      <c r="ZO114" s="148"/>
      <c r="ZP114" s="216">
        <v>0.5</v>
      </c>
      <c r="ZQ114" s="226">
        <v>0.5</v>
      </c>
      <c r="ZR114" s="219">
        <v>0.5</v>
      </c>
      <c r="ZS114" s="216">
        <v>0.5</v>
      </c>
      <c r="ZT114" s="216">
        <v>0.5</v>
      </c>
      <c r="ZU114" s="216">
        <v>0.5</v>
      </c>
      <c r="ZV114" s="216">
        <v>0.5</v>
      </c>
      <c r="ZW114" s="216">
        <v>0.5</v>
      </c>
      <c r="ZX114" s="137"/>
      <c r="ZY114" s="137"/>
      <c r="ZZ114" s="137"/>
      <c r="AAA114" s="137"/>
      <c r="AAB114" s="137"/>
      <c r="AAC114" s="153"/>
      <c r="AAD114" s="135"/>
      <c r="AAE114" s="136"/>
      <c r="AAF114" s="131">
        <f>SUM(ZD114:AAE114)</f>
      </c>
      <c r="AAG114" s="134"/>
      <c r="AAH114" s="135"/>
      <c r="AAI114" s="219">
        <v>0.5</v>
      </c>
      <c r="AAJ114" s="216">
        <v>0.5</v>
      </c>
      <c r="AAK114" s="216">
        <v>0.5</v>
      </c>
      <c r="AAL114" s="216">
        <v>0.5</v>
      </c>
      <c r="AAM114" s="216">
        <v>0.5</v>
      </c>
      <c r="AAN114" s="216">
        <v>0.5</v>
      </c>
      <c r="AAO114" s="216">
        <v>0.5</v>
      </c>
      <c r="AAP114" s="217">
        <v>0.5</v>
      </c>
      <c r="AAQ114" s="147"/>
      <c r="AAR114" s="148"/>
      <c r="AAS114" s="216">
        <v>0.5</v>
      </c>
      <c r="AAT114" s="226">
        <v>0.5</v>
      </c>
      <c r="AAU114" s="219">
        <v>0.5</v>
      </c>
      <c r="AAV114" s="216">
        <v>0.5</v>
      </c>
      <c r="AAW114" s="216">
        <v>0.5</v>
      </c>
      <c r="AAX114" s="216">
        <v>0.5</v>
      </c>
      <c r="AAY114" s="216">
        <v>0.5</v>
      </c>
      <c r="AAZ114" s="216">
        <v>0.5</v>
      </c>
      <c r="ABA114" s="137"/>
      <c r="ABB114" s="137"/>
      <c r="ABC114" s="137"/>
      <c r="ABD114" s="137"/>
      <c r="ABE114" s="137"/>
      <c r="ABF114" s="153"/>
      <c r="ABG114" s="135"/>
      <c r="ABH114" s="136"/>
      <c r="ABI114" s="131">
        <f>SUM(AAG114:ABH114)</f>
      </c>
      <c r="ABJ114" s="134"/>
      <c r="ABK114" s="135"/>
      <c r="ABL114" s="142">
        <v>0.5</v>
      </c>
      <c r="ABM114" s="138">
        <v>0.5</v>
      </c>
      <c r="ABN114" s="138">
        <v>0.5</v>
      </c>
      <c r="ABO114" s="138">
        <v>0.5</v>
      </c>
      <c r="ABP114" s="138">
        <v>0.5</v>
      </c>
      <c r="ABQ114" s="138">
        <v>0.5</v>
      </c>
      <c r="ABR114" s="138">
        <v>0.5</v>
      </c>
      <c r="ABS114" s="139">
        <v>0.5</v>
      </c>
      <c r="ABT114" s="147"/>
      <c r="ABU114" s="148"/>
      <c r="ABV114" s="138">
        <v>0.5</v>
      </c>
      <c r="ABW114" s="149">
        <v>0.5</v>
      </c>
      <c r="ABX114" s="142">
        <v>0.5</v>
      </c>
      <c r="ABY114" s="138">
        <v>0.5</v>
      </c>
      <c r="ABZ114" s="138">
        <v>0.5</v>
      </c>
      <c r="ACA114" s="138">
        <v>0.5</v>
      </c>
      <c r="ACB114" s="138">
        <v>0.5</v>
      </c>
      <c r="ACC114" s="138">
        <v>0.5</v>
      </c>
      <c r="ACD114" s="137"/>
      <c r="ACE114" s="137"/>
      <c r="ACF114" s="137"/>
      <c r="ACG114" s="137"/>
      <c r="ACH114" s="137"/>
      <c r="ACI114" s="153"/>
      <c r="ACJ114" s="135"/>
      <c r="ACK114" s="136"/>
      <c r="ACL114" s="131">
        <f>SUM(ABJ114:ACK114)</f>
      </c>
      <c r="ACM114" s="121"/>
      <c r="ACN114" s="122"/>
      <c r="ACO114" s="123"/>
      <c r="ACP114" s="124"/>
      <c r="ACQ114" s="124"/>
      <c r="ACR114" s="124"/>
      <c r="ACS114" s="124"/>
      <c r="ACT114" s="124"/>
      <c r="ACU114" s="124"/>
      <c r="ACV114" s="125"/>
      <c r="ACW114" s="126"/>
      <c r="ACX114" s="124"/>
      <c r="ACY114" s="124"/>
      <c r="ACZ114" s="127"/>
      <c r="ADA114" s="123"/>
      <c r="ADB114" s="124"/>
      <c r="ADC114" s="124"/>
      <c r="ADD114" s="124"/>
      <c r="ADE114" s="124"/>
      <c r="ADF114" s="124"/>
      <c r="ADG114" s="124"/>
      <c r="ADH114" s="124"/>
      <c r="ADI114" s="124"/>
      <c r="ADJ114" s="124"/>
      <c r="ADK114" s="124"/>
      <c r="ADL114" s="125"/>
      <c r="ADM114" s="122"/>
      <c r="ADN114" s="123"/>
      <c r="ADO114" s="131">
        <f>SUM(ACM114:ADN114)</f>
      </c>
      <c r="ADP114" s="121"/>
      <c r="ADQ114" s="122"/>
      <c r="ADR114" s="123"/>
      <c r="ADS114" s="124"/>
      <c r="ADT114" s="124"/>
      <c r="ADU114" s="124"/>
      <c r="ADV114" s="124"/>
      <c r="ADW114" s="124"/>
      <c r="ADX114" s="124"/>
      <c r="ADY114" s="125"/>
      <c r="ADZ114" s="126"/>
      <c r="AEA114" s="124"/>
      <c r="AEB114" s="124"/>
      <c r="AEC114" s="127"/>
      <c r="AED114" s="123"/>
      <c r="AEE114" s="124"/>
      <c r="AEF114" s="124"/>
      <c r="AEG114" s="124"/>
      <c r="AEH114" s="124"/>
      <c r="AEI114" s="124"/>
      <c r="AEJ114" s="124"/>
      <c r="AEK114" s="124"/>
      <c r="AEL114" s="124"/>
      <c r="AEM114" s="124"/>
      <c r="AEN114" s="124"/>
      <c r="AEO114" s="125"/>
      <c r="AEP114" s="122"/>
      <c r="AEQ114" s="123"/>
      <c r="AER114" s="131">
        <f>SUM(ADP114:AEQ114)</f>
      </c>
      <c r="AES114" s="150">
        <f>XZ114+ZC114+AAF114+ABI114+ACL114+ADO114+AER114</f>
      </c>
      <c r="AET114" s="302">
        <f>(COUNTIF(WX114:AER114,"H")+COUNTIF(WX114:AER114,"S")+COUNTIF(WX114:AER114,"L")+COUNTIF(WX114:AER114,"E")+COUNTIF(WX114:AER114,"C"))/2</f>
      </c>
      <c r="AEU114" s="131">
        <f>AES114+AET114</f>
      </c>
      <c r="AEV114" s="134"/>
      <c r="AEW114" s="135"/>
      <c r="AEX114" s="142">
        <v>0.5</v>
      </c>
      <c r="AEY114" s="138">
        <v>0.5</v>
      </c>
      <c r="AEZ114" s="138">
        <v>0.5</v>
      </c>
      <c r="AFA114" s="138">
        <v>0.5</v>
      </c>
      <c r="AFB114" s="138">
        <v>0.5</v>
      </c>
      <c r="AFC114" s="138">
        <v>0.5</v>
      </c>
      <c r="AFD114" s="138">
        <v>0.5</v>
      </c>
      <c r="AFE114" s="139">
        <v>0.5</v>
      </c>
      <c r="AFF114" s="147"/>
      <c r="AFG114" s="148"/>
      <c r="AFH114" s="138">
        <v>0.5</v>
      </c>
      <c r="AFI114" s="149">
        <v>0.5</v>
      </c>
      <c r="AFJ114" s="142">
        <v>0.5</v>
      </c>
      <c r="AFK114" s="138">
        <v>0.5</v>
      </c>
      <c r="AFL114" s="138">
        <v>0.5</v>
      </c>
      <c r="AFM114" s="138">
        <v>0.5</v>
      </c>
      <c r="AFN114" s="138">
        <v>0.5</v>
      </c>
      <c r="AFO114" s="138">
        <v>0.5</v>
      </c>
      <c r="AFP114" s="137"/>
      <c r="AFQ114" s="137"/>
      <c r="AFR114" s="137"/>
      <c r="AFS114" s="137"/>
      <c r="AFT114" s="137"/>
      <c r="AFU114" s="153"/>
      <c r="AFV114" s="135"/>
      <c r="AFW114" s="136"/>
      <c r="AFX114" s="131">
        <f>SUM(AEV114:AFW114)</f>
      </c>
      <c r="AFY114" s="134"/>
      <c r="AFZ114" s="135"/>
      <c r="AGA114" s="142">
        <v>0.5</v>
      </c>
      <c r="AGB114" s="138">
        <v>0.5</v>
      </c>
      <c r="AGC114" s="138">
        <v>0.5</v>
      </c>
      <c r="AGD114" s="138">
        <v>0.5</v>
      </c>
      <c r="AGE114" s="138">
        <v>0.5</v>
      </c>
      <c r="AGF114" s="138">
        <v>0.5</v>
      </c>
      <c r="AGG114" s="138">
        <v>0.5</v>
      </c>
      <c r="AGH114" s="139">
        <v>0.5</v>
      </c>
      <c r="AGI114" s="147"/>
      <c r="AGJ114" s="148"/>
      <c r="AGK114" s="138">
        <v>0.5</v>
      </c>
      <c r="AGL114" s="149">
        <v>0.5</v>
      </c>
      <c r="AGM114" s="142">
        <v>0.5</v>
      </c>
      <c r="AGN114" s="138">
        <v>0.5</v>
      </c>
      <c r="AGO114" s="138">
        <v>0.5</v>
      </c>
      <c r="AGP114" s="138">
        <v>0.5</v>
      </c>
      <c r="AGQ114" s="138">
        <v>0.5</v>
      </c>
      <c r="AGR114" s="138">
        <v>0.5</v>
      </c>
      <c r="AGS114" s="137"/>
      <c r="AGT114" s="137"/>
      <c r="AGU114" s="137"/>
      <c r="AGV114" s="137"/>
      <c r="AGW114" s="137"/>
      <c r="AGX114" s="153"/>
      <c r="AGY114" s="135"/>
      <c r="AGZ114" s="136"/>
      <c r="AHA114" s="131">
        <f>SUM(AFY114:AGZ114)</f>
      </c>
      <c r="AHB114" s="134"/>
      <c r="AHC114" s="135"/>
      <c r="AHD114" s="219">
        <v>0.5</v>
      </c>
      <c r="AHE114" s="216">
        <v>0.5</v>
      </c>
      <c r="AHF114" s="216">
        <v>0.5</v>
      </c>
      <c r="AHG114" s="216">
        <v>0.5</v>
      </c>
      <c r="AHH114" s="216">
        <v>0.5</v>
      </c>
      <c r="AHI114" s="216">
        <v>0.5</v>
      </c>
      <c r="AHJ114" s="216">
        <v>0.5</v>
      </c>
      <c r="AHK114" s="217">
        <v>0.5</v>
      </c>
      <c r="AHL114" s="147"/>
      <c r="AHM114" s="148"/>
      <c r="AHN114" s="216">
        <v>0.5</v>
      </c>
      <c r="AHO114" s="226">
        <v>0.5</v>
      </c>
      <c r="AHP114" s="219">
        <v>0.5</v>
      </c>
      <c r="AHQ114" s="216">
        <v>0.5</v>
      </c>
      <c r="AHR114" s="216">
        <v>0.5</v>
      </c>
      <c r="AHS114" s="216">
        <v>0.5</v>
      </c>
      <c r="AHT114" s="216">
        <v>0.5</v>
      </c>
      <c r="AHU114" s="216">
        <v>0.5</v>
      </c>
      <c r="AHV114" s="137"/>
      <c r="AHW114" s="137"/>
      <c r="AHX114" s="137"/>
      <c r="AHY114" s="137"/>
      <c r="AHZ114" s="137"/>
      <c r="AIA114" s="153"/>
      <c r="AIB114" s="135"/>
      <c r="AIC114" s="136"/>
      <c r="AID114" s="131">
        <f>SUM(AHB114:AIC114)</f>
      </c>
      <c r="AIE114" s="134"/>
      <c r="AIF114" s="135"/>
      <c r="AIG114" s="219">
        <v>0.5</v>
      </c>
      <c r="AIH114" s="216">
        <v>0.5</v>
      </c>
      <c r="AII114" s="216">
        <v>0.5</v>
      </c>
      <c r="AIJ114" s="216">
        <v>0.5</v>
      </c>
      <c r="AIK114" s="216">
        <v>0.5</v>
      </c>
      <c r="AIL114" s="216">
        <v>0.5</v>
      </c>
      <c r="AIM114" s="216">
        <v>0.5</v>
      </c>
      <c r="AIN114" s="217">
        <v>0.5</v>
      </c>
      <c r="AIO114" s="147"/>
      <c r="AIP114" s="148"/>
      <c r="AIQ114" s="216">
        <v>0.5</v>
      </c>
      <c r="AIR114" s="226">
        <v>0.5</v>
      </c>
      <c r="AIS114" s="219">
        <v>0.5</v>
      </c>
      <c r="AIT114" s="216">
        <v>0.5</v>
      </c>
      <c r="AIU114" s="216">
        <v>0.5</v>
      </c>
      <c r="AIV114" s="216">
        <v>0.5</v>
      </c>
      <c r="AIW114" s="216">
        <v>0.5</v>
      </c>
      <c r="AIX114" s="216">
        <v>0.5</v>
      </c>
      <c r="AIY114" s="137"/>
      <c r="AIZ114" s="137"/>
      <c r="AJA114" s="137"/>
      <c r="AJB114" s="137"/>
      <c r="AJC114" s="137"/>
      <c r="AJD114" s="153"/>
      <c r="AJE114" s="135"/>
      <c r="AJF114" s="136"/>
      <c r="AJG114" s="131">
        <f>SUM(AIE114:AJF114)</f>
      </c>
      <c r="AJH114" s="134"/>
      <c r="AJI114" s="135"/>
      <c r="AJJ114" s="142">
        <v>0.5</v>
      </c>
      <c r="AJK114" s="138">
        <v>0.5</v>
      </c>
      <c r="AJL114" s="138">
        <v>0.5</v>
      </c>
      <c r="AJM114" s="138">
        <v>0.5</v>
      </c>
      <c r="AJN114" s="138">
        <v>0.5</v>
      </c>
      <c r="AJO114" s="138">
        <v>0.5</v>
      </c>
      <c r="AJP114" s="138">
        <v>0.5</v>
      </c>
      <c r="AJQ114" s="139">
        <v>0.5</v>
      </c>
      <c r="AJR114" s="147"/>
      <c r="AJS114" s="148"/>
      <c r="AJT114" s="138">
        <v>0.5</v>
      </c>
      <c r="AJU114" s="149">
        <v>0.5</v>
      </c>
      <c r="AJV114" s="142">
        <v>0.5</v>
      </c>
      <c r="AJW114" s="138">
        <v>0.5</v>
      </c>
      <c r="AJX114" s="138">
        <v>0.5</v>
      </c>
      <c r="AJY114" s="138">
        <v>0.5</v>
      </c>
      <c r="AJZ114" s="138">
        <v>0.5</v>
      </c>
      <c r="AKA114" s="138">
        <v>0.5</v>
      </c>
      <c r="AKB114" s="137"/>
      <c r="AKC114" s="137"/>
      <c r="AKD114" s="137"/>
      <c r="AKE114" s="137"/>
      <c r="AKF114" s="137"/>
      <c r="AKG114" s="153"/>
      <c r="AKH114" s="135"/>
      <c r="AKI114" s="136"/>
      <c r="AKJ114" s="131">
        <f>SUM(AJH114:AKI114)</f>
      </c>
      <c r="AKK114" s="121"/>
      <c r="AKL114" s="122"/>
      <c r="AKM114" s="123"/>
      <c r="AKN114" s="124"/>
      <c r="AKO114" s="124"/>
      <c r="AKP114" s="124"/>
      <c r="AKQ114" s="124"/>
      <c r="AKR114" s="124"/>
      <c r="AKS114" s="124"/>
      <c r="AKT114" s="125"/>
      <c r="AKU114" s="126"/>
      <c r="AKV114" s="124"/>
      <c r="AKW114" s="124"/>
      <c r="AKX114" s="127"/>
      <c r="AKY114" s="123"/>
      <c r="AKZ114" s="124"/>
      <c r="ALA114" s="124"/>
      <c r="ALB114" s="124"/>
      <c r="ALC114" s="124"/>
      <c r="ALD114" s="124"/>
      <c r="ALE114" s="124"/>
      <c r="ALF114" s="124"/>
      <c r="ALG114" s="124"/>
      <c r="ALH114" s="124"/>
      <c r="ALI114" s="124"/>
      <c r="ALJ114" s="125"/>
      <c r="ALK114" s="122"/>
      <c r="ALL114" s="123"/>
      <c r="ALM114" s="131">
        <f>SUM(AKK114:ALL114)</f>
      </c>
      <c r="ALN114" s="121"/>
      <c r="ALO114" s="122"/>
      <c r="ALP114" s="123"/>
      <c r="ALQ114" s="124"/>
      <c r="ALR114" s="124"/>
      <c r="ALS114" s="124"/>
      <c r="ALT114" s="124"/>
      <c r="ALU114" s="124"/>
      <c r="ALV114" s="124"/>
      <c r="ALW114" s="125"/>
      <c r="ALX114" s="126"/>
      <c r="ALY114" s="124"/>
      <c r="ALZ114" s="124"/>
      <c r="AMA114" s="127"/>
      <c r="AMB114" s="123"/>
      <c r="AMC114" s="124"/>
      <c r="AMD114" s="124"/>
      <c r="AME114" s="124"/>
      <c r="AMF114" s="124"/>
      <c r="AMG114" s="124"/>
      <c r="AMH114" s="124"/>
      <c r="AMI114" s="124"/>
      <c r="AMJ114" s="124"/>
      <c r="AMK114" s="124"/>
      <c r="AML114" s="124"/>
      <c r="AMM114" s="125"/>
      <c r="AMN114" s="122"/>
      <c r="AMO114" s="123"/>
      <c r="AMP114" s="131">
        <f>SUM(ALN114:AMO114)</f>
      </c>
      <c r="AMQ114" s="150">
        <f>AFX114+AHA114+AID114+AJG114+AKJ114+ALM114+AMP114</f>
      </c>
      <c r="AMR114" s="302">
        <f>(COUNTIF(AEV114:AMP114,"H")+COUNTIF(AEV114:AMP114,"S")+COUNTIF(AEV114:AMP114,"L")+COUNTIF(AEV114:AMP114,"E")+COUNTIF(AEV114:AMP114,"C"))/2</f>
      </c>
      <c r="AMS114" s="131">
        <f>AMQ114+AMR114</f>
      </c>
      <c r="AMT114" s="4"/>
      <c r="AMU114" s="4"/>
      <c r="AMV114" s="4"/>
      <c r="AMW114" s="4"/>
      <c r="AMX114" s="4"/>
      <c r="AMY114" s="4"/>
      <c r="AMZ114" s="4"/>
      <c r="ANA114" s="4"/>
      <c r="ANB114" s="4"/>
      <c r="ANC114" s="4"/>
      <c r="AND114" s="4"/>
      <c r="ANE114" s="4"/>
      <c r="ANF114" s="4"/>
      <c r="ANG114" s="4"/>
      <c r="ANH114" s="4"/>
      <c r="ANI114" s="4"/>
      <c r="ANJ114" s="4"/>
      <c r="ANK114" s="4"/>
      <c r="ANL114" s="4"/>
      <c r="ANM114" s="4"/>
      <c r="ANN114" s="4"/>
      <c r="ANO114" s="4"/>
      <c r="ANP114" s="4"/>
      <c r="ANQ114" s="4"/>
      <c r="ANR114" s="4"/>
      <c r="ANS114" s="4"/>
      <c r="ANT114" s="4"/>
      <c r="ANU114" s="4"/>
      <c r="ANV114" s="4"/>
      <c r="ANW114" s="4"/>
      <c r="ANX114" s="4"/>
      <c r="ANY114" s="4"/>
      <c r="ANZ114" s="4"/>
      <c r="AOA114" s="4"/>
      <c r="AOB114" s="4"/>
      <c r="AOC114" s="4"/>
      <c r="AOD114" s="4"/>
      <c r="AOE114" s="4"/>
      <c r="AOF114" s="4"/>
      <c r="AOG114" s="4"/>
      <c r="AOH114" s="4"/>
      <c r="AOI114" s="4"/>
      <c r="AOJ114" s="4"/>
      <c r="AOK114" s="4"/>
      <c r="AOL114" s="4"/>
      <c r="AOM114" s="4"/>
      <c r="AON114" s="4"/>
      <c r="AOO114" s="4"/>
      <c r="AOP114" s="4"/>
      <c r="AOQ114" s="4"/>
      <c r="AOR114" s="4"/>
      <c r="AOS114" s="4"/>
      <c r="AOT114" s="4"/>
      <c r="AOU114" s="4"/>
      <c r="AOV114" s="4"/>
      <c r="AOW114" s="4"/>
      <c r="AOX114" s="4"/>
      <c r="AOY114" s="4"/>
      <c r="AOZ114" s="4"/>
      <c r="APA114" s="4"/>
      <c r="APB114" s="4"/>
      <c r="APC114" s="4"/>
      <c r="APD114" s="4"/>
      <c r="APE114" s="4"/>
      <c r="APF114" s="4"/>
      <c r="APG114" s="4"/>
      <c r="APH114" s="4"/>
      <c r="API114" s="4"/>
      <c r="APJ114" s="4"/>
      <c r="APK114" s="4"/>
      <c r="APL114" s="4"/>
      <c r="APM114" s="4"/>
      <c r="APN114" s="4"/>
      <c r="APO114" s="4"/>
      <c r="APP114" s="4"/>
      <c r="APQ114" s="4"/>
      <c r="APR114" s="4"/>
      <c r="APS114" s="4"/>
      <c r="APT114" s="4"/>
      <c r="APU114" s="4"/>
      <c r="APV114" s="4"/>
      <c r="APW114" s="4"/>
      <c r="APX114" s="4"/>
      <c r="APY114" s="4"/>
      <c r="APZ114" s="4"/>
      <c r="AQA114" s="4"/>
      <c r="AQB114" s="4"/>
      <c r="AQC114" s="4"/>
      <c r="AQD114" s="4"/>
      <c r="AQE114" s="4"/>
      <c r="AQF114" s="4"/>
      <c r="AQG114" s="4"/>
      <c r="AQH114" s="4"/>
      <c r="AQI114" s="4"/>
      <c r="AQJ114" s="4"/>
      <c r="AQK114" s="4"/>
      <c r="AQL114" s="4"/>
      <c r="AQM114" s="4"/>
      <c r="AQN114" s="4"/>
      <c r="AQO114" s="4"/>
      <c r="AQP114" s="4"/>
      <c r="AQQ114" s="4"/>
      <c r="AQR114" s="4"/>
      <c r="AQS114" s="4"/>
      <c r="AQT114" s="4"/>
      <c r="AQU114" s="4"/>
      <c r="AQV114" s="4"/>
      <c r="AQW114" s="4"/>
      <c r="AQX114" s="4"/>
      <c r="AQY114" s="4"/>
      <c r="AQZ114" s="4"/>
      <c r="ARA114" s="4"/>
      <c r="ARB114" s="4"/>
      <c r="ARC114" s="4"/>
      <c r="ARD114" s="4"/>
      <c r="ARE114" s="4"/>
      <c r="ARF114" s="4"/>
      <c r="ARG114" s="4"/>
      <c r="ARH114" s="4"/>
      <c r="ARI114" s="4"/>
      <c r="ARJ114" s="4"/>
      <c r="ARK114" s="4"/>
      <c r="ARL114" s="4"/>
      <c r="ARM114" s="4"/>
      <c r="ARN114" s="4"/>
      <c r="ARO114" s="4"/>
      <c r="ARP114" s="4"/>
      <c r="ARQ114" s="4"/>
      <c r="ARR114" s="4"/>
      <c r="ARS114" s="4"/>
      <c r="ART114" s="4"/>
      <c r="ARU114" s="4"/>
      <c r="ARV114" s="4"/>
      <c r="ARW114" s="4"/>
      <c r="ARX114" s="4"/>
      <c r="ARY114" s="4"/>
      <c r="ARZ114" s="4"/>
      <c r="ASA114" s="4"/>
      <c r="ASB114" s="4"/>
      <c r="ASC114" s="4"/>
      <c r="ASD114" s="4"/>
      <c r="ASE114" s="4"/>
      <c r="ASF114" s="4"/>
      <c r="ASG114" s="4"/>
      <c r="ASH114" s="4"/>
      <c r="ASI114" s="4"/>
      <c r="ASJ114" s="4"/>
      <c r="ASK114" s="4"/>
      <c r="ASL114" s="4"/>
      <c r="ASM114" s="4"/>
      <c r="ASN114" s="4"/>
      <c r="ASO114" s="4"/>
      <c r="ASP114" s="4"/>
      <c r="ASQ114" s="4"/>
      <c r="ASR114" s="4"/>
      <c r="ASS114" s="4"/>
      <c r="AST114" s="4"/>
      <c r="ASU114" s="4"/>
    </row>
    <row r="115" ht="15.75" customHeight="1" spans="1:1191" x14ac:dyDescent="0.25">
      <c r="A115" s="232"/>
      <c r="B115" s="645" t="s">
        <v>152</v>
      </c>
      <c r="C115" s="343" t="s">
        <v>55</v>
      </c>
      <c r="D115" s="235"/>
      <c r="E115" s="236"/>
      <c r="F115" s="346"/>
      <c r="G115" s="239"/>
      <c r="H115" s="239"/>
      <c r="I115" s="239"/>
      <c r="J115" s="239"/>
      <c r="K115" s="239"/>
      <c r="L115" s="239"/>
      <c r="M115" s="238"/>
      <c r="N115" s="240"/>
      <c r="O115" s="239"/>
      <c r="P115" s="239"/>
      <c r="Q115" s="241"/>
      <c r="R115" s="346"/>
      <c r="S115" s="239"/>
      <c r="T115" s="239"/>
      <c r="U115" s="239"/>
      <c r="V115" s="239"/>
      <c r="W115" s="239"/>
      <c r="X115" s="239"/>
      <c r="Y115" s="239"/>
      <c r="Z115" s="239"/>
      <c r="AA115" s="239"/>
      <c r="AB115" s="239"/>
      <c r="AC115" s="238"/>
      <c r="AD115" s="345"/>
      <c r="AE115" s="646"/>
      <c r="AF115" s="247">
        <f>SUM(D115:AE115)</f>
      </c>
      <c r="AG115" s="235"/>
      <c r="AH115" s="236"/>
      <c r="AI115" s="346"/>
      <c r="AJ115" s="239"/>
      <c r="AK115" s="239"/>
      <c r="AL115" s="239"/>
      <c r="AM115" s="239"/>
      <c r="AN115" s="239"/>
      <c r="AO115" s="239"/>
      <c r="AP115" s="238"/>
      <c r="AQ115" s="240"/>
      <c r="AR115" s="239"/>
      <c r="AS115" s="239"/>
      <c r="AT115" s="241"/>
      <c r="AU115" s="346"/>
      <c r="AV115" s="239"/>
      <c r="AW115" s="239"/>
      <c r="AX115" s="239"/>
      <c r="AY115" s="239"/>
      <c r="AZ115" s="239"/>
      <c r="BA115" s="239"/>
      <c r="BB115" s="239"/>
      <c r="BC115" s="239"/>
      <c r="BD115" s="239"/>
      <c r="BE115" s="239"/>
      <c r="BF115" s="238"/>
      <c r="BG115" s="345"/>
      <c r="BH115" s="646"/>
      <c r="BI115" s="247">
        <f>SUM(AG115:BH115)</f>
      </c>
      <c r="BJ115" s="235"/>
      <c r="BK115" s="236"/>
      <c r="BL115" s="346"/>
      <c r="BM115" s="239"/>
      <c r="BN115" s="239"/>
      <c r="BO115" s="239"/>
      <c r="BP115" s="239"/>
      <c r="BQ115" s="239"/>
      <c r="BR115" s="239"/>
      <c r="BS115" s="238"/>
      <c r="BT115" s="240"/>
      <c r="BU115" s="239"/>
      <c r="BV115" s="239"/>
      <c r="BW115" s="241"/>
      <c r="BX115" s="346"/>
      <c r="BY115" s="239"/>
      <c r="BZ115" s="239"/>
      <c r="CA115" s="239"/>
      <c r="CB115" s="239"/>
      <c r="CC115" s="239"/>
      <c r="CD115" s="239"/>
      <c r="CE115" s="239"/>
      <c r="CF115" s="239"/>
      <c r="CG115" s="239"/>
      <c r="CH115" s="239"/>
      <c r="CI115" s="238"/>
      <c r="CJ115" s="345"/>
      <c r="CK115" s="646"/>
      <c r="CL115" s="247">
        <f>SUM(BJ115:CK115)</f>
      </c>
      <c r="CM115" s="235"/>
      <c r="CN115" s="236"/>
      <c r="CO115" s="346"/>
      <c r="CP115" s="239"/>
      <c r="CQ115" s="239"/>
      <c r="CR115" s="239"/>
      <c r="CS115" s="239"/>
      <c r="CT115" s="239"/>
      <c r="CU115" s="239"/>
      <c r="CV115" s="238"/>
      <c r="CW115" s="240"/>
      <c r="CX115" s="239"/>
      <c r="CY115" s="239"/>
      <c r="CZ115" s="241"/>
      <c r="DA115" s="346"/>
      <c r="DB115" s="239"/>
      <c r="DC115" s="239"/>
      <c r="DD115" s="239"/>
      <c r="DE115" s="239"/>
      <c r="DF115" s="239"/>
      <c r="DG115" s="239"/>
      <c r="DH115" s="239"/>
      <c r="DI115" s="239"/>
      <c r="DJ115" s="239"/>
      <c r="DK115" s="239"/>
      <c r="DL115" s="238"/>
      <c r="DM115" s="345"/>
      <c r="DN115" s="646"/>
      <c r="DO115" s="244">
        <f>SUM(CM115:DN115)</f>
      </c>
      <c r="DP115" s="235"/>
      <c r="DQ115" s="236"/>
      <c r="DR115" s="346"/>
      <c r="DS115" s="239"/>
      <c r="DT115" s="239"/>
      <c r="DU115" s="239"/>
      <c r="DV115" s="239"/>
      <c r="DW115" s="239"/>
      <c r="DX115" s="239"/>
      <c r="DY115" s="238"/>
      <c r="DZ115" s="240"/>
      <c r="EA115" s="239"/>
      <c r="EB115" s="239"/>
      <c r="EC115" s="241"/>
      <c r="ED115" s="346"/>
      <c r="EE115" s="239"/>
      <c r="EF115" s="239"/>
      <c r="EG115" s="239"/>
      <c r="EH115" s="239"/>
      <c r="EI115" s="239"/>
      <c r="EJ115" s="239"/>
      <c r="EK115" s="239"/>
      <c r="EL115" s="239"/>
      <c r="EM115" s="239"/>
      <c r="EN115" s="239"/>
      <c r="EO115" s="238"/>
      <c r="EP115" s="345"/>
      <c r="EQ115" s="646"/>
      <c r="ER115" s="244">
        <f>SUM(DP115:EQ115)</f>
      </c>
      <c r="ES115" s="235"/>
      <c r="ET115" s="236"/>
      <c r="EU115" s="346"/>
      <c r="EV115" s="239"/>
      <c r="EW115" s="239"/>
      <c r="EX115" s="239"/>
      <c r="EY115" s="239"/>
      <c r="EZ115" s="239"/>
      <c r="FA115" s="239"/>
      <c r="FB115" s="238"/>
      <c r="FC115" s="240"/>
      <c r="FD115" s="239"/>
      <c r="FE115" s="239"/>
      <c r="FF115" s="241"/>
      <c r="FG115" s="346"/>
      <c r="FH115" s="239"/>
      <c r="FI115" s="239"/>
      <c r="FJ115" s="239"/>
      <c r="FK115" s="239"/>
      <c r="FL115" s="239"/>
      <c r="FM115" s="239"/>
      <c r="FN115" s="239"/>
      <c r="FO115" s="239"/>
      <c r="FP115" s="239"/>
      <c r="FQ115" s="239"/>
      <c r="FR115" s="238"/>
      <c r="FS115" s="345"/>
      <c r="FT115" s="646"/>
      <c r="FU115" s="244">
        <f>SUM(ES115:FT115)</f>
      </c>
      <c r="FV115" s="235"/>
      <c r="FW115" s="236"/>
      <c r="FX115" s="346"/>
      <c r="FY115" s="239"/>
      <c r="FZ115" s="239"/>
      <c r="GA115" s="239"/>
      <c r="GB115" s="239"/>
      <c r="GC115" s="239"/>
      <c r="GD115" s="239"/>
      <c r="GE115" s="238"/>
      <c r="GF115" s="240"/>
      <c r="GG115" s="239"/>
      <c r="GH115" s="239"/>
      <c r="GI115" s="241"/>
      <c r="GJ115" s="346"/>
      <c r="GK115" s="239"/>
      <c r="GL115" s="239"/>
      <c r="GM115" s="239"/>
      <c r="GN115" s="239"/>
      <c r="GO115" s="239"/>
      <c r="GP115" s="239"/>
      <c r="GQ115" s="239"/>
      <c r="GR115" s="239"/>
      <c r="GS115" s="239"/>
      <c r="GT115" s="239"/>
      <c r="GU115" s="238"/>
      <c r="GV115" s="345"/>
      <c r="GW115" s="646"/>
      <c r="GX115" s="244">
        <f>SUM(FV115:GW115)</f>
      </c>
      <c r="GY115" s="264">
        <f>AF115+BI115+CL115+DO115+ER115+FU115+GX115</f>
      </c>
      <c r="GZ115" s="347">
        <f>(COUNTIF(D115:GX115,"H")+COUNTIF(D115:GX115,"S")+COUNTIF(D115:GX115,"L")+COUNTIF(D115:GX115,"E")+COUNTIF(D115:GX115,"C"))/2</f>
      </c>
      <c r="HA115" s="244">
        <f>GY115+GZ115</f>
      </c>
      <c r="HB115" s="248"/>
      <c r="HC115" s="249"/>
      <c r="HD115" s="603">
        <v>0.5</v>
      </c>
      <c r="HE115" s="599">
        <v>0.5</v>
      </c>
      <c r="HF115" s="599">
        <v>0.5</v>
      </c>
      <c r="HG115" s="599">
        <v>0.5</v>
      </c>
      <c r="HH115" s="599">
        <v>0.5</v>
      </c>
      <c r="HI115" s="599">
        <v>0.5</v>
      </c>
      <c r="HJ115" s="599">
        <v>0.5</v>
      </c>
      <c r="HK115" s="260">
        <v>0.5</v>
      </c>
      <c r="HL115" s="647"/>
      <c r="HM115" s="356"/>
      <c r="HN115" s="261">
        <v>0.5</v>
      </c>
      <c r="HO115" s="266">
        <v>0.5</v>
      </c>
      <c r="HP115" s="603">
        <v>0.5</v>
      </c>
      <c r="HQ115" s="599">
        <v>0.5</v>
      </c>
      <c r="HR115" s="599">
        <v>0.5</v>
      </c>
      <c r="HS115" s="599">
        <v>0.5</v>
      </c>
      <c r="HT115" s="599">
        <v>0.5</v>
      </c>
      <c r="HU115" s="599">
        <v>0.5</v>
      </c>
      <c r="HV115" s="599">
        <v>0.5</v>
      </c>
      <c r="HW115" s="599">
        <v>0.5</v>
      </c>
      <c r="HX115" s="256"/>
      <c r="HY115" s="256"/>
      <c r="HZ115" s="256"/>
      <c r="IA115" s="251"/>
      <c r="IB115" s="349"/>
      <c r="IC115" s="648"/>
      <c r="ID115" s="247">
        <f>SUM(HB115:IC115)</f>
      </c>
      <c r="IE115" s="248"/>
      <c r="IF115" s="249"/>
      <c r="IG115" s="603">
        <v>0.5</v>
      </c>
      <c r="IH115" s="599">
        <v>0.5</v>
      </c>
      <c r="II115" s="599">
        <v>0.5</v>
      </c>
      <c r="IJ115" s="599">
        <v>0.5</v>
      </c>
      <c r="IK115" s="599">
        <v>0.5</v>
      </c>
      <c r="IL115" s="599">
        <v>0.5</v>
      </c>
      <c r="IM115" s="599">
        <v>0.5</v>
      </c>
      <c r="IN115" s="260">
        <v>0.5</v>
      </c>
      <c r="IO115" s="647"/>
      <c r="IP115" s="356"/>
      <c r="IQ115" s="261">
        <v>0.5</v>
      </c>
      <c r="IR115" s="266">
        <v>0.5</v>
      </c>
      <c r="IS115" s="603">
        <v>0.5</v>
      </c>
      <c r="IT115" s="599">
        <v>0.5</v>
      </c>
      <c r="IU115" s="599">
        <v>0.5</v>
      </c>
      <c r="IV115" s="599">
        <v>0.5</v>
      </c>
      <c r="IW115" s="599">
        <v>0.5</v>
      </c>
      <c r="IX115" s="599">
        <v>0.5</v>
      </c>
      <c r="IY115" s="599">
        <v>0.5</v>
      </c>
      <c r="IZ115" s="599">
        <v>0.5</v>
      </c>
      <c r="JA115" s="256"/>
      <c r="JB115" s="256"/>
      <c r="JC115" s="256"/>
      <c r="JD115" s="251"/>
      <c r="JE115" s="349"/>
      <c r="JF115" s="648"/>
      <c r="JG115" s="247">
        <f>SUM(IE115:JF115)</f>
      </c>
      <c r="JH115" s="248"/>
      <c r="JI115" s="249"/>
      <c r="JJ115" s="603">
        <v>0.5</v>
      </c>
      <c r="JK115" s="599">
        <v>0.5</v>
      </c>
      <c r="JL115" s="599">
        <v>0.5</v>
      </c>
      <c r="JM115" s="599">
        <v>0.5</v>
      </c>
      <c r="JN115" s="599">
        <v>0.5</v>
      </c>
      <c r="JO115" s="599">
        <v>0.5</v>
      </c>
      <c r="JP115" s="599">
        <v>0.5</v>
      </c>
      <c r="JQ115" s="260">
        <v>0.5</v>
      </c>
      <c r="JR115" s="647"/>
      <c r="JS115" s="356"/>
      <c r="JT115" s="261">
        <v>0.5</v>
      </c>
      <c r="JU115" s="266">
        <v>0.5</v>
      </c>
      <c r="JV115" s="603">
        <v>0.5</v>
      </c>
      <c r="JW115" s="599">
        <v>0.5</v>
      </c>
      <c r="JX115" s="599">
        <v>0.5</v>
      </c>
      <c r="JY115" s="599">
        <v>0.5</v>
      </c>
      <c r="JZ115" s="599">
        <v>0.5</v>
      </c>
      <c r="KA115" s="599">
        <v>0.5</v>
      </c>
      <c r="KB115" s="599">
        <v>0.5</v>
      </c>
      <c r="KC115" s="599">
        <v>0.5</v>
      </c>
      <c r="KD115" s="256"/>
      <c r="KE115" s="256"/>
      <c r="KF115" s="256"/>
      <c r="KG115" s="251"/>
      <c r="KH115" s="349"/>
      <c r="KI115" s="648"/>
      <c r="KJ115" s="247">
        <f>SUM(JH115:KI115)</f>
      </c>
      <c r="KK115" s="248"/>
      <c r="KL115" s="249"/>
      <c r="KM115" s="649">
        <v>0.5</v>
      </c>
      <c r="KN115" s="650">
        <v>0.5</v>
      </c>
      <c r="KO115" s="650">
        <v>0.5</v>
      </c>
      <c r="KP115" s="650">
        <v>0.5</v>
      </c>
      <c r="KQ115" s="650">
        <v>0.5</v>
      </c>
      <c r="KR115" s="650">
        <v>0.5</v>
      </c>
      <c r="KS115" s="650">
        <v>0.5</v>
      </c>
      <c r="KT115" s="252">
        <v>0.5</v>
      </c>
      <c r="KU115" s="647"/>
      <c r="KV115" s="356"/>
      <c r="KW115" s="253">
        <v>0.5</v>
      </c>
      <c r="KX115" s="267">
        <v>0.5</v>
      </c>
      <c r="KY115" s="651">
        <v>0.5</v>
      </c>
      <c r="KZ115" s="253">
        <v>0.5</v>
      </c>
      <c r="LA115" s="253">
        <v>0.5</v>
      </c>
      <c r="LB115" s="253">
        <v>0.5</v>
      </c>
      <c r="LC115" s="253">
        <v>0.5</v>
      </c>
      <c r="LD115" s="253">
        <v>0.5</v>
      </c>
      <c r="LE115" s="356"/>
      <c r="LF115" s="356"/>
      <c r="LG115" s="356"/>
      <c r="LH115" s="256"/>
      <c r="LI115" s="256"/>
      <c r="LJ115" s="251"/>
      <c r="LK115" s="349"/>
      <c r="LL115" s="648"/>
      <c r="LM115" s="244">
        <f>SUM(KK115:LL115)</f>
      </c>
      <c r="LN115" s="248"/>
      <c r="LO115" s="249"/>
      <c r="LP115" s="649">
        <v>0.5</v>
      </c>
      <c r="LQ115" s="650">
        <v>0.5</v>
      </c>
      <c r="LR115" s="650">
        <v>0.5</v>
      </c>
      <c r="LS115" s="650">
        <v>0.5</v>
      </c>
      <c r="LT115" s="650">
        <v>0.5</v>
      </c>
      <c r="LU115" s="650">
        <v>0.5</v>
      </c>
      <c r="LV115" s="650">
        <v>0.5</v>
      </c>
      <c r="LW115" s="252">
        <v>0.5</v>
      </c>
      <c r="LX115" s="265"/>
      <c r="LY115" s="256"/>
      <c r="LZ115" s="256"/>
      <c r="MA115" s="257"/>
      <c r="MB115" s="350"/>
      <c r="MC115" s="256"/>
      <c r="MD115" s="256"/>
      <c r="ME115" s="256"/>
      <c r="MF115" s="256"/>
      <c r="MG115" s="256"/>
      <c r="MH115" s="256"/>
      <c r="MI115" s="256"/>
      <c r="MJ115" s="256"/>
      <c r="MK115" s="256"/>
      <c r="ML115" s="256"/>
      <c r="MM115" s="251"/>
      <c r="MN115" s="349"/>
      <c r="MO115" s="648"/>
      <c r="MP115" s="244">
        <f>SUM(LN115:MO115)</f>
      </c>
      <c r="MQ115" s="235"/>
      <c r="MR115" s="236"/>
      <c r="MS115" s="346"/>
      <c r="MT115" s="239"/>
      <c r="MU115" s="239"/>
      <c r="MV115" s="239"/>
      <c r="MW115" s="239"/>
      <c r="MX115" s="239"/>
      <c r="MY115" s="239"/>
      <c r="MZ115" s="238"/>
      <c r="NA115" s="240"/>
      <c r="NB115" s="239"/>
      <c r="NC115" s="239"/>
      <c r="ND115" s="241"/>
      <c r="NE115" s="346"/>
      <c r="NF115" s="239"/>
      <c r="NG115" s="239"/>
      <c r="NH115" s="239"/>
      <c r="NI115" s="239"/>
      <c r="NJ115" s="239"/>
      <c r="NK115" s="239"/>
      <c r="NL115" s="239"/>
      <c r="NM115" s="239"/>
      <c r="NN115" s="239"/>
      <c r="NO115" s="239"/>
      <c r="NP115" s="238"/>
      <c r="NQ115" s="345"/>
      <c r="NR115" s="646"/>
      <c r="NS115" s="244">
        <f>SUM(MQ115:NR115)</f>
      </c>
      <c r="NT115" s="235"/>
      <c r="NU115" s="236"/>
      <c r="NV115" s="346"/>
      <c r="NW115" s="239"/>
      <c r="NX115" s="239"/>
      <c r="NY115" s="239"/>
      <c r="NZ115" s="239"/>
      <c r="OA115" s="239"/>
      <c r="OB115" s="239"/>
      <c r="OC115" s="238"/>
      <c r="OD115" s="240"/>
      <c r="OE115" s="239"/>
      <c r="OF115" s="239"/>
      <c r="OG115" s="241"/>
      <c r="OH115" s="346"/>
      <c r="OI115" s="239"/>
      <c r="OJ115" s="239"/>
      <c r="OK115" s="239"/>
      <c r="OL115" s="239"/>
      <c r="OM115" s="239"/>
      <c r="ON115" s="239"/>
      <c r="OO115" s="239"/>
      <c r="OP115" s="239"/>
      <c r="OQ115" s="239"/>
      <c r="OR115" s="239"/>
      <c r="OS115" s="238"/>
      <c r="OT115" s="345"/>
      <c r="OU115" s="646"/>
      <c r="OV115" s="244">
        <f>SUM(NT115:OU115)</f>
      </c>
      <c r="OW115" s="264">
        <f>ID115+JG115+KJ115+LM115+MP115+NS115+OV115</f>
      </c>
      <c r="OX115" s="347">
        <f>(COUNTIF(HB115:OV115,"H")+COUNTIF(HB115:OV115,"S")+COUNTIF(HB115:OV115,"L")+COUNTIF(HB115:OV115,"E")+COUNTIF(HB115:OV115,"C"))/2</f>
      </c>
      <c r="OY115" s="244">
        <f>OW115+OX115</f>
      </c>
      <c r="OZ115" s="248"/>
      <c r="PA115" s="249"/>
      <c r="PB115" s="351">
        <v>0.5</v>
      </c>
      <c r="PC115" s="261">
        <v>0.5</v>
      </c>
      <c r="PD115" s="261">
        <v>0.5</v>
      </c>
      <c r="PE115" s="261">
        <v>0.5</v>
      </c>
      <c r="PF115" s="261">
        <v>0.5</v>
      </c>
      <c r="PG115" s="261">
        <v>0.5</v>
      </c>
      <c r="PH115" s="261">
        <v>0.5</v>
      </c>
      <c r="PI115" s="262">
        <v>0.5</v>
      </c>
      <c r="PJ115" s="647"/>
      <c r="PK115" s="356"/>
      <c r="PL115" s="261">
        <v>0.5</v>
      </c>
      <c r="PM115" s="266">
        <v>0.5</v>
      </c>
      <c r="PN115" s="351">
        <v>0.5</v>
      </c>
      <c r="PO115" s="261">
        <v>0.5</v>
      </c>
      <c r="PP115" s="261">
        <v>0.5</v>
      </c>
      <c r="PQ115" s="261">
        <v>0.5</v>
      </c>
      <c r="PR115" s="261">
        <v>0.5</v>
      </c>
      <c r="PS115" s="261">
        <v>0.5</v>
      </c>
      <c r="PT115" s="256"/>
      <c r="PU115" s="256"/>
      <c r="PV115" s="256"/>
      <c r="PW115" s="256"/>
      <c r="PX115" s="256"/>
      <c r="PY115" s="251"/>
      <c r="PZ115" s="349"/>
      <c r="QA115" s="648"/>
      <c r="QB115" s="244">
        <f>SUM(OZ115:QA115)</f>
      </c>
      <c r="QC115" s="248"/>
      <c r="QD115" s="249"/>
      <c r="QE115" s="351">
        <v>0.5</v>
      </c>
      <c r="QF115" s="261">
        <v>0.5</v>
      </c>
      <c r="QG115" s="261">
        <v>0.5</v>
      </c>
      <c r="QH115" s="261">
        <v>0.5</v>
      </c>
      <c r="QI115" s="261">
        <v>0.5</v>
      </c>
      <c r="QJ115" s="261">
        <v>0.5</v>
      </c>
      <c r="QK115" s="261">
        <v>0.5</v>
      </c>
      <c r="QL115" s="262">
        <v>0.5</v>
      </c>
      <c r="QM115" s="647"/>
      <c r="QN115" s="356"/>
      <c r="QO115" s="261">
        <v>0.5</v>
      </c>
      <c r="QP115" s="266">
        <v>0.5</v>
      </c>
      <c r="QQ115" s="351">
        <v>0.5</v>
      </c>
      <c r="QR115" s="261">
        <v>0.5</v>
      </c>
      <c r="QS115" s="261">
        <v>0.5</v>
      </c>
      <c r="QT115" s="261">
        <v>0.5</v>
      </c>
      <c r="QU115" s="261">
        <v>0.5</v>
      </c>
      <c r="QV115" s="261">
        <v>0.5</v>
      </c>
      <c r="QW115" s="256"/>
      <c r="QX115" s="256"/>
      <c r="QY115" s="256"/>
      <c r="QZ115" s="256"/>
      <c r="RA115" s="256"/>
      <c r="RB115" s="251"/>
      <c r="RC115" s="349"/>
      <c r="RD115" s="648"/>
      <c r="RE115" s="244">
        <f>SUM(QC115:RD115)</f>
      </c>
      <c r="RF115" s="248"/>
      <c r="RG115" s="249"/>
      <c r="RH115" s="351">
        <v>0.5</v>
      </c>
      <c r="RI115" s="261">
        <v>0.5</v>
      </c>
      <c r="RJ115" s="261">
        <v>0.5</v>
      </c>
      <c r="RK115" s="261">
        <v>0.5</v>
      </c>
      <c r="RL115" s="261">
        <v>0.5</v>
      </c>
      <c r="RM115" s="261">
        <v>0.5</v>
      </c>
      <c r="RN115" s="261">
        <v>0.5</v>
      </c>
      <c r="RO115" s="262">
        <v>0.5</v>
      </c>
      <c r="RP115" s="647"/>
      <c r="RQ115" s="356"/>
      <c r="RR115" s="261">
        <v>0.5</v>
      </c>
      <c r="RS115" s="266">
        <v>0.5</v>
      </c>
      <c r="RT115" s="351">
        <v>0.5</v>
      </c>
      <c r="RU115" s="261">
        <v>0.5</v>
      </c>
      <c r="RV115" s="261">
        <v>0.5</v>
      </c>
      <c r="RW115" s="261">
        <v>0.5</v>
      </c>
      <c r="RX115" s="261">
        <v>0.5</v>
      </c>
      <c r="RY115" s="261">
        <v>0.5</v>
      </c>
      <c r="RZ115" s="256"/>
      <c r="SA115" s="256"/>
      <c r="SB115" s="256"/>
      <c r="SC115" s="256"/>
      <c r="SD115" s="256"/>
      <c r="SE115" s="251"/>
      <c r="SF115" s="349"/>
      <c r="SG115" s="648"/>
      <c r="SH115" s="244">
        <f>SUM(RF115:SG115)</f>
      </c>
      <c r="SI115" s="248"/>
      <c r="SJ115" s="249"/>
      <c r="SK115" s="651">
        <v>0.5</v>
      </c>
      <c r="SL115" s="253">
        <v>0.5</v>
      </c>
      <c r="SM115" s="253">
        <v>0.5</v>
      </c>
      <c r="SN115" s="253">
        <v>0.5</v>
      </c>
      <c r="SO115" s="253">
        <v>0.5</v>
      </c>
      <c r="SP115" s="253">
        <v>0.5</v>
      </c>
      <c r="SQ115" s="253">
        <v>0.5</v>
      </c>
      <c r="SR115" s="254">
        <v>0.5</v>
      </c>
      <c r="SS115" s="647"/>
      <c r="ST115" s="356"/>
      <c r="SU115" s="253">
        <v>0.5</v>
      </c>
      <c r="SV115" s="267">
        <v>0.5</v>
      </c>
      <c r="SW115" s="651">
        <v>0.5</v>
      </c>
      <c r="SX115" s="253">
        <v>0.5</v>
      </c>
      <c r="SY115" s="253">
        <v>0.5</v>
      </c>
      <c r="SZ115" s="253">
        <v>0.5</v>
      </c>
      <c r="TA115" s="253">
        <v>0.5</v>
      </c>
      <c r="TB115" s="253">
        <v>0.5</v>
      </c>
      <c r="TC115" s="256"/>
      <c r="TD115" s="256"/>
      <c r="TE115" s="256"/>
      <c r="TF115" s="256"/>
      <c r="TG115" s="256"/>
      <c r="TH115" s="251"/>
      <c r="TI115" s="349"/>
      <c r="TJ115" s="648"/>
      <c r="TK115" s="244">
        <f>SUM(SI115:TJ115)</f>
      </c>
      <c r="TL115" s="248"/>
      <c r="TM115" s="249"/>
      <c r="TN115" s="652">
        <v>0.5</v>
      </c>
      <c r="TO115" s="651">
        <v>0.5</v>
      </c>
      <c r="TP115" s="651">
        <v>0.5</v>
      </c>
      <c r="TQ115" s="651">
        <v>0.5</v>
      </c>
      <c r="TR115" s="651">
        <v>0.5</v>
      </c>
      <c r="TS115" s="651">
        <v>0.5</v>
      </c>
      <c r="TT115" s="651">
        <v>0.5</v>
      </c>
      <c r="TU115" s="653">
        <v>0.5</v>
      </c>
      <c r="TV115" s="647"/>
      <c r="TW115" s="356"/>
      <c r="TX115" s="253">
        <v>0.5</v>
      </c>
      <c r="TY115" s="653">
        <v>0.5</v>
      </c>
      <c r="TZ115" s="255">
        <v>0.5</v>
      </c>
      <c r="UA115" s="651">
        <v>0.5</v>
      </c>
      <c r="UB115" s="651">
        <v>0.5</v>
      </c>
      <c r="UC115" s="651">
        <v>0.5</v>
      </c>
      <c r="UD115" s="651">
        <v>0.5</v>
      </c>
      <c r="UE115" s="651">
        <v>0.5</v>
      </c>
      <c r="UF115" s="256"/>
      <c r="UG115" s="256"/>
      <c r="UH115" s="256"/>
      <c r="UI115" s="256"/>
      <c r="UJ115" s="256"/>
      <c r="UK115" s="251"/>
      <c r="UL115" s="349"/>
      <c r="UM115" s="648"/>
      <c r="UN115" s="244">
        <f>SUM(TL115:UM115)</f>
      </c>
      <c r="UO115" s="235"/>
      <c r="UP115" s="236"/>
      <c r="UQ115" s="346"/>
      <c r="UR115" s="239"/>
      <c r="US115" s="239"/>
      <c r="UT115" s="239"/>
      <c r="UU115" s="239"/>
      <c r="UV115" s="239"/>
      <c r="UW115" s="239"/>
      <c r="UX115" s="238"/>
      <c r="UY115" s="240"/>
      <c r="UZ115" s="239"/>
      <c r="VA115" s="239"/>
      <c r="VB115" s="241"/>
      <c r="VC115" s="346"/>
      <c r="VD115" s="239"/>
      <c r="VE115" s="239"/>
      <c r="VF115" s="239"/>
      <c r="VG115" s="239"/>
      <c r="VH115" s="239"/>
      <c r="VI115" s="239"/>
      <c r="VJ115" s="239"/>
      <c r="VK115" s="239"/>
      <c r="VL115" s="239"/>
      <c r="VM115" s="239"/>
      <c r="VN115" s="238"/>
      <c r="VO115" s="345"/>
      <c r="VP115" s="646"/>
      <c r="VQ115" s="244">
        <f>SUM(UO115:VP115)</f>
      </c>
      <c r="VR115" s="235"/>
      <c r="VS115" s="236"/>
      <c r="VT115" s="346"/>
      <c r="VU115" s="239"/>
      <c r="VV115" s="239"/>
      <c r="VW115" s="239"/>
      <c r="VX115" s="239"/>
      <c r="VY115" s="239"/>
      <c r="VZ115" s="239"/>
      <c r="WA115" s="238"/>
      <c r="WB115" s="240"/>
      <c r="WC115" s="239"/>
      <c r="WD115" s="239"/>
      <c r="WE115" s="241"/>
      <c r="WF115" s="346"/>
      <c r="WG115" s="239"/>
      <c r="WH115" s="239"/>
      <c r="WI115" s="239"/>
      <c r="WJ115" s="239"/>
      <c r="WK115" s="239"/>
      <c r="WL115" s="239"/>
      <c r="WM115" s="239"/>
      <c r="WN115" s="239"/>
      <c r="WO115" s="239"/>
      <c r="WP115" s="239"/>
      <c r="WQ115" s="238"/>
      <c r="WR115" s="345"/>
      <c r="WS115" s="646"/>
      <c r="WT115" s="244">
        <f>SUM(VR115:WS115)</f>
      </c>
      <c r="WU115" s="245">
        <f>QB115+RE115+SH115+TK115+UN115+VQ115+WT115</f>
      </c>
      <c r="WV115" s="347">
        <f>(COUNTIF(OZ115:WT115,"H")+COUNTIF(OZ115:WT115,"S")+COUNTIF(OZ115:WT115,"L")+COUNTIF(OZ115:WT115,"E")+COUNTIF(OZ115:WT115,"C"))/2</f>
      </c>
      <c r="WW115" s="247">
        <f>WU115+WV115</f>
      </c>
      <c r="WX115" s="248"/>
      <c r="WY115" s="249"/>
      <c r="WZ115" s="603">
        <v>0.5</v>
      </c>
      <c r="XA115" s="599">
        <v>0.5</v>
      </c>
      <c r="XB115" s="599">
        <v>0.5</v>
      </c>
      <c r="XC115" s="599">
        <v>0.5</v>
      </c>
      <c r="XD115" s="599">
        <v>0.5</v>
      </c>
      <c r="XE115" s="599">
        <v>0.5</v>
      </c>
      <c r="XF115" s="599">
        <v>0.5</v>
      </c>
      <c r="XG115" s="260">
        <v>0.5</v>
      </c>
      <c r="XH115" s="647"/>
      <c r="XI115" s="356"/>
      <c r="XJ115" s="261">
        <v>0.5</v>
      </c>
      <c r="XK115" s="266">
        <v>0.5</v>
      </c>
      <c r="XL115" s="603">
        <v>0.5</v>
      </c>
      <c r="XM115" s="599">
        <v>0.5</v>
      </c>
      <c r="XN115" s="599">
        <v>0.5</v>
      </c>
      <c r="XO115" s="599">
        <v>0.5</v>
      </c>
      <c r="XP115" s="599">
        <v>0.5</v>
      </c>
      <c r="XQ115" s="599">
        <v>0.5</v>
      </c>
      <c r="XR115" s="599">
        <v>0.5</v>
      </c>
      <c r="XS115" s="599">
        <v>0.5</v>
      </c>
      <c r="XT115" s="256"/>
      <c r="XU115" s="256"/>
      <c r="XV115" s="256"/>
      <c r="XW115" s="251"/>
      <c r="XX115" s="349"/>
      <c r="XY115" s="648"/>
      <c r="XZ115" s="247">
        <f>SUM(WX115:XY115)</f>
      </c>
      <c r="YA115" s="248"/>
      <c r="YB115" s="249"/>
      <c r="YC115" s="603">
        <v>0.5</v>
      </c>
      <c r="YD115" s="599">
        <v>0.5</v>
      </c>
      <c r="YE115" s="599">
        <v>0.5</v>
      </c>
      <c r="YF115" s="599">
        <v>0.5</v>
      </c>
      <c r="YG115" s="599">
        <v>0.5</v>
      </c>
      <c r="YH115" s="599">
        <v>0.5</v>
      </c>
      <c r="YI115" s="599">
        <v>0.5</v>
      </c>
      <c r="YJ115" s="260">
        <v>0.5</v>
      </c>
      <c r="YK115" s="647"/>
      <c r="YL115" s="356"/>
      <c r="YM115" s="261">
        <v>0.5</v>
      </c>
      <c r="YN115" s="266">
        <v>0.5</v>
      </c>
      <c r="YO115" s="603">
        <v>0.5</v>
      </c>
      <c r="YP115" s="599">
        <v>0.5</v>
      </c>
      <c r="YQ115" s="599">
        <v>0.5</v>
      </c>
      <c r="YR115" s="599">
        <v>0.5</v>
      </c>
      <c r="YS115" s="599">
        <v>0.5</v>
      </c>
      <c r="YT115" s="599">
        <v>0.5</v>
      </c>
      <c r="YU115" s="599">
        <v>0.5</v>
      </c>
      <c r="YV115" s="599">
        <v>0.5</v>
      </c>
      <c r="YW115" s="256"/>
      <c r="YX115" s="256"/>
      <c r="YY115" s="256"/>
      <c r="YZ115" s="251"/>
      <c r="ZA115" s="349"/>
      <c r="ZB115" s="648"/>
      <c r="ZC115" s="247">
        <f>SUM(YA115:ZB115)</f>
      </c>
      <c r="ZD115" s="248"/>
      <c r="ZE115" s="249"/>
      <c r="ZF115" s="603">
        <v>0.5</v>
      </c>
      <c r="ZG115" s="599">
        <v>0.5</v>
      </c>
      <c r="ZH115" s="599">
        <v>0.5</v>
      </c>
      <c r="ZI115" s="599">
        <v>0.5</v>
      </c>
      <c r="ZJ115" s="599">
        <v>0.5</v>
      </c>
      <c r="ZK115" s="599">
        <v>0.5</v>
      </c>
      <c r="ZL115" s="599">
        <v>0.5</v>
      </c>
      <c r="ZM115" s="260">
        <v>0.5</v>
      </c>
      <c r="ZN115" s="647"/>
      <c r="ZO115" s="356"/>
      <c r="ZP115" s="261">
        <v>0.5</v>
      </c>
      <c r="ZQ115" s="266">
        <v>0.5</v>
      </c>
      <c r="ZR115" s="603">
        <v>0.5</v>
      </c>
      <c r="ZS115" s="599">
        <v>0.5</v>
      </c>
      <c r="ZT115" s="599">
        <v>0.5</v>
      </c>
      <c r="ZU115" s="599">
        <v>0.5</v>
      </c>
      <c r="ZV115" s="599">
        <v>0.5</v>
      </c>
      <c r="ZW115" s="599">
        <v>0.5</v>
      </c>
      <c r="ZX115" s="599">
        <v>0.5</v>
      </c>
      <c r="ZY115" s="599">
        <v>0.5</v>
      </c>
      <c r="ZZ115" s="256"/>
      <c r="AAA115" s="256"/>
      <c r="AAB115" s="256"/>
      <c r="AAC115" s="251"/>
      <c r="AAD115" s="349"/>
      <c r="AAE115" s="648"/>
      <c r="AAF115" s="247">
        <f>SUM(ZD115:AAE115)</f>
      </c>
      <c r="AAG115" s="248"/>
      <c r="AAH115" s="249"/>
      <c r="AAI115" s="649">
        <v>0.5</v>
      </c>
      <c r="AAJ115" s="650">
        <v>0.5</v>
      </c>
      <c r="AAK115" s="650">
        <v>0.5</v>
      </c>
      <c r="AAL115" s="650">
        <v>0.5</v>
      </c>
      <c r="AAM115" s="650">
        <v>0.5</v>
      </c>
      <c r="AAN115" s="650">
        <v>0.5</v>
      </c>
      <c r="AAO115" s="650">
        <v>0.5</v>
      </c>
      <c r="AAP115" s="252">
        <v>0.5</v>
      </c>
      <c r="AAQ115" s="647"/>
      <c r="AAR115" s="356"/>
      <c r="AAS115" s="253">
        <v>0.5</v>
      </c>
      <c r="AAT115" s="267">
        <v>0.5</v>
      </c>
      <c r="AAU115" s="651">
        <v>0.5</v>
      </c>
      <c r="AAV115" s="253">
        <v>0.5</v>
      </c>
      <c r="AAW115" s="253">
        <v>0.5</v>
      </c>
      <c r="AAX115" s="253">
        <v>0.5</v>
      </c>
      <c r="AAY115" s="253">
        <v>0.5</v>
      </c>
      <c r="AAZ115" s="253">
        <v>0.5</v>
      </c>
      <c r="ABA115" s="356"/>
      <c r="ABB115" s="356"/>
      <c r="ABC115" s="356"/>
      <c r="ABD115" s="256"/>
      <c r="ABE115" s="256"/>
      <c r="ABF115" s="251"/>
      <c r="ABG115" s="349"/>
      <c r="ABH115" s="648"/>
      <c r="ABI115" s="244">
        <f>SUM(AAG115:ABH115)</f>
      </c>
      <c r="ABJ115" s="248"/>
      <c r="ABK115" s="249"/>
      <c r="ABL115" s="649">
        <v>0.5</v>
      </c>
      <c r="ABM115" s="650">
        <v>0.5</v>
      </c>
      <c r="ABN115" s="650">
        <v>0.5</v>
      </c>
      <c r="ABO115" s="650">
        <v>0.5</v>
      </c>
      <c r="ABP115" s="650">
        <v>0.5</v>
      </c>
      <c r="ABQ115" s="650">
        <v>0.5</v>
      </c>
      <c r="ABR115" s="650">
        <v>0.5</v>
      </c>
      <c r="ABS115" s="252">
        <v>0.5</v>
      </c>
      <c r="ABT115" s="265"/>
      <c r="ABU115" s="256"/>
      <c r="ABV115" s="256"/>
      <c r="ABW115" s="257"/>
      <c r="ABX115" s="350"/>
      <c r="ABY115" s="256"/>
      <c r="ABZ115" s="256"/>
      <c r="ACA115" s="256"/>
      <c r="ACB115" s="256"/>
      <c r="ACC115" s="256"/>
      <c r="ACD115" s="256"/>
      <c r="ACE115" s="256"/>
      <c r="ACF115" s="256"/>
      <c r="ACG115" s="256"/>
      <c r="ACH115" s="256"/>
      <c r="ACI115" s="251"/>
      <c r="ACJ115" s="349"/>
      <c r="ACK115" s="648"/>
      <c r="ACL115" s="244">
        <f>SUM(ABJ115:ACK115)</f>
      </c>
      <c r="ACM115" s="235"/>
      <c r="ACN115" s="236"/>
      <c r="ACO115" s="346"/>
      <c r="ACP115" s="239"/>
      <c r="ACQ115" s="239"/>
      <c r="ACR115" s="239"/>
      <c r="ACS115" s="239"/>
      <c r="ACT115" s="239"/>
      <c r="ACU115" s="239"/>
      <c r="ACV115" s="238"/>
      <c r="ACW115" s="240"/>
      <c r="ACX115" s="239"/>
      <c r="ACY115" s="239"/>
      <c r="ACZ115" s="241"/>
      <c r="ADA115" s="346"/>
      <c r="ADB115" s="239"/>
      <c r="ADC115" s="239"/>
      <c r="ADD115" s="239"/>
      <c r="ADE115" s="239"/>
      <c r="ADF115" s="239"/>
      <c r="ADG115" s="239"/>
      <c r="ADH115" s="239"/>
      <c r="ADI115" s="239"/>
      <c r="ADJ115" s="239"/>
      <c r="ADK115" s="239"/>
      <c r="ADL115" s="238"/>
      <c r="ADM115" s="345"/>
      <c r="ADN115" s="646"/>
      <c r="ADO115" s="244">
        <f>SUM(ACM115:ADN115)</f>
      </c>
      <c r="ADP115" s="235"/>
      <c r="ADQ115" s="236"/>
      <c r="ADR115" s="346"/>
      <c r="ADS115" s="239"/>
      <c r="ADT115" s="239"/>
      <c r="ADU115" s="239"/>
      <c r="ADV115" s="239"/>
      <c r="ADW115" s="239"/>
      <c r="ADX115" s="239"/>
      <c r="ADY115" s="238"/>
      <c r="ADZ115" s="240"/>
      <c r="AEA115" s="239"/>
      <c r="AEB115" s="239"/>
      <c r="AEC115" s="241"/>
      <c r="AED115" s="346"/>
      <c r="AEE115" s="239"/>
      <c r="AEF115" s="239"/>
      <c r="AEG115" s="239"/>
      <c r="AEH115" s="239"/>
      <c r="AEI115" s="239"/>
      <c r="AEJ115" s="239"/>
      <c r="AEK115" s="239"/>
      <c r="AEL115" s="239"/>
      <c r="AEM115" s="239"/>
      <c r="AEN115" s="239"/>
      <c r="AEO115" s="238"/>
      <c r="AEP115" s="345"/>
      <c r="AEQ115" s="646"/>
      <c r="AER115" s="244">
        <f>SUM(ADP115:AEQ115)</f>
      </c>
      <c r="AES115" s="245">
        <f>XZ115+ZC115+AAF115+ABI115+ACL115+ADO115+AER115</f>
      </c>
      <c r="AET115" s="347">
        <f>(COUNTIF(WX115:AER115,"H")+COUNTIF(WX115:AER115,"S")+COUNTIF(WX115:AER115,"L")+COUNTIF(WX115:AER115,"E")+COUNTIF(WX115:AER115,"C"))/2</f>
      </c>
      <c r="AEU115" s="247">
        <f>AES115+AET115</f>
      </c>
      <c r="AEV115" s="248"/>
      <c r="AEW115" s="249"/>
      <c r="AEX115" s="603">
        <v>0.5</v>
      </c>
      <c r="AEY115" s="599">
        <v>0.5</v>
      </c>
      <c r="AEZ115" s="599">
        <v>0.5</v>
      </c>
      <c r="AFA115" s="599">
        <v>0.5</v>
      </c>
      <c r="AFB115" s="599">
        <v>0.5</v>
      </c>
      <c r="AFC115" s="599">
        <v>0.5</v>
      </c>
      <c r="AFD115" s="599">
        <v>0.5</v>
      </c>
      <c r="AFE115" s="260">
        <v>0.5</v>
      </c>
      <c r="AFF115" s="647"/>
      <c r="AFG115" s="356"/>
      <c r="AFH115" s="261">
        <v>0.5</v>
      </c>
      <c r="AFI115" s="266">
        <v>0.5</v>
      </c>
      <c r="AFJ115" s="603">
        <v>0.5</v>
      </c>
      <c r="AFK115" s="599">
        <v>0.5</v>
      </c>
      <c r="AFL115" s="599">
        <v>0.5</v>
      </c>
      <c r="AFM115" s="599">
        <v>0.5</v>
      </c>
      <c r="AFN115" s="599">
        <v>0.5</v>
      </c>
      <c r="AFO115" s="599">
        <v>0.5</v>
      </c>
      <c r="AFP115" s="599">
        <v>0.5</v>
      </c>
      <c r="AFQ115" s="599">
        <v>0.5</v>
      </c>
      <c r="AFR115" s="256"/>
      <c r="AFS115" s="256"/>
      <c r="AFT115" s="256"/>
      <c r="AFU115" s="251"/>
      <c r="AFV115" s="349"/>
      <c r="AFW115" s="648"/>
      <c r="AFX115" s="244">
        <f>SUM(AEV115:AFW115)</f>
      </c>
      <c r="AFY115" s="248"/>
      <c r="AFZ115" s="249"/>
      <c r="AGA115" s="603">
        <v>0.5</v>
      </c>
      <c r="AGB115" s="599">
        <v>0.5</v>
      </c>
      <c r="AGC115" s="599">
        <v>0.5</v>
      </c>
      <c r="AGD115" s="599">
        <v>0.5</v>
      </c>
      <c r="AGE115" s="599">
        <v>0.5</v>
      </c>
      <c r="AGF115" s="599">
        <v>0.5</v>
      </c>
      <c r="AGG115" s="599">
        <v>0.5</v>
      </c>
      <c r="AGH115" s="260">
        <v>0.5</v>
      </c>
      <c r="AGI115" s="647"/>
      <c r="AGJ115" s="356"/>
      <c r="AGK115" s="261">
        <v>0.5</v>
      </c>
      <c r="AGL115" s="266">
        <v>0.5</v>
      </c>
      <c r="AGM115" s="603">
        <v>0.5</v>
      </c>
      <c r="AGN115" s="599">
        <v>0.5</v>
      </c>
      <c r="AGO115" s="599">
        <v>0.5</v>
      </c>
      <c r="AGP115" s="599">
        <v>0.5</v>
      </c>
      <c r="AGQ115" s="599">
        <v>0.5</v>
      </c>
      <c r="AGR115" s="599">
        <v>0.5</v>
      </c>
      <c r="AGS115" s="599">
        <v>0.5</v>
      </c>
      <c r="AGT115" s="599">
        <v>0.5</v>
      </c>
      <c r="AGU115" s="256"/>
      <c r="AGV115" s="256"/>
      <c r="AGW115" s="256"/>
      <c r="AGX115" s="251"/>
      <c r="AGY115" s="349"/>
      <c r="AGZ115" s="648"/>
      <c r="AHA115" s="244">
        <f>SUM(AFY115:AGZ115)</f>
      </c>
      <c r="AHB115" s="248"/>
      <c r="AHC115" s="249"/>
      <c r="AHD115" s="603">
        <v>0.5</v>
      </c>
      <c r="AHE115" s="599">
        <v>0.5</v>
      </c>
      <c r="AHF115" s="599">
        <v>0.5</v>
      </c>
      <c r="AHG115" s="599">
        <v>0.5</v>
      </c>
      <c r="AHH115" s="599">
        <v>0.5</v>
      </c>
      <c r="AHI115" s="599">
        <v>0.5</v>
      </c>
      <c r="AHJ115" s="599">
        <v>0.5</v>
      </c>
      <c r="AHK115" s="260">
        <v>0.5</v>
      </c>
      <c r="AHL115" s="647"/>
      <c r="AHM115" s="356"/>
      <c r="AHN115" s="261">
        <v>0.5</v>
      </c>
      <c r="AHO115" s="266">
        <v>0.5</v>
      </c>
      <c r="AHP115" s="603">
        <v>0.5</v>
      </c>
      <c r="AHQ115" s="599">
        <v>0.5</v>
      </c>
      <c r="AHR115" s="599">
        <v>0.5</v>
      </c>
      <c r="AHS115" s="599">
        <v>0.5</v>
      </c>
      <c r="AHT115" s="599">
        <v>0.5</v>
      </c>
      <c r="AHU115" s="599">
        <v>0.5</v>
      </c>
      <c r="AHV115" s="599">
        <v>0.5</v>
      </c>
      <c r="AHW115" s="599">
        <v>0.5</v>
      </c>
      <c r="AHX115" s="256"/>
      <c r="AHY115" s="256"/>
      <c r="AHZ115" s="256"/>
      <c r="AIA115" s="251"/>
      <c r="AIB115" s="349"/>
      <c r="AIC115" s="648"/>
      <c r="AID115" s="244">
        <f>SUM(AHB115:AIC115)</f>
      </c>
      <c r="AIE115" s="248"/>
      <c r="AIF115" s="249"/>
      <c r="AIG115" s="654">
        <v>0.5</v>
      </c>
      <c r="AIH115" s="649">
        <v>0.5</v>
      </c>
      <c r="AII115" s="649">
        <v>0.5</v>
      </c>
      <c r="AIJ115" s="649">
        <v>0.5</v>
      </c>
      <c r="AIK115" s="649">
        <v>0.5</v>
      </c>
      <c r="AIL115" s="649">
        <v>0.5</v>
      </c>
      <c r="AIM115" s="649">
        <v>0.5</v>
      </c>
      <c r="AIN115" s="655">
        <v>0.5</v>
      </c>
      <c r="AIO115" s="647"/>
      <c r="AIP115" s="356"/>
      <c r="AIQ115" s="253">
        <v>0.5</v>
      </c>
      <c r="AIR115" s="653">
        <v>0.5</v>
      </c>
      <c r="AIS115" s="255">
        <v>0.5</v>
      </c>
      <c r="AIT115" s="651">
        <v>0.5</v>
      </c>
      <c r="AIU115" s="651">
        <v>0.5</v>
      </c>
      <c r="AIV115" s="651">
        <v>0.5</v>
      </c>
      <c r="AIW115" s="651">
        <v>0.5</v>
      </c>
      <c r="AIX115" s="651">
        <v>0.5</v>
      </c>
      <c r="AIY115" s="356"/>
      <c r="AIZ115" s="356"/>
      <c r="AJA115" s="356"/>
      <c r="AJB115" s="256"/>
      <c r="AJC115" s="256"/>
      <c r="AJD115" s="251"/>
      <c r="AJE115" s="349"/>
      <c r="AJF115" s="648"/>
      <c r="AJG115" s="244">
        <f>SUM(AIE115:AJF115)</f>
      </c>
      <c r="AJH115" s="248"/>
      <c r="AJI115" s="249"/>
      <c r="AJJ115" s="650">
        <v>0.5</v>
      </c>
      <c r="AJK115" s="650">
        <v>0.5</v>
      </c>
      <c r="AJL115" s="650">
        <v>0.5</v>
      </c>
      <c r="AJM115" s="650">
        <v>0.5</v>
      </c>
      <c r="AJN115" s="650">
        <v>0.5</v>
      </c>
      <c r="AJO115" s="650">
        <v>0.5</v>
      </c>
      <c r="AJP115" s="650">
        <v>0.5</v>
      </c>
      <c r="AJQ115" s="656">
        <v>0.5</v>
      </c>
      <c r="AJR115" s="265"/>
      <c r="AJS115" s="256"/>
      <c r="AJT115" s="256"/>
      <c r="AJU115" s="257"/>
      <c r="AJV115" s="350"/>
      <c r="AJW115" s="256"/>
      <c r="AJX115" s="256"/>
      <c r="AJY115" s="256"/>
      <c r="AJZ115" s="256"/>
      <c r="AKA115" s="256"/>
      <c r="AKB115" s="256"/>
      <c r="AKC115" s="256"/>
      <c r="AKD115" s="256"/>
      <c r="AKE115" s="256"/>
      <c r="AKF115" s="256"/>
      <c r="AKG115" s="251"/>
      <c r="AKH115" s="349"/>
      <c r="AKI115" s="648"/>
      <c r="AKJ115" s="244">
        <f>SUM(AJH115:AKI115)</f>
      </c>
      <c r="AKK115" s="235"/>
      <c r="AKL115" s="236"/>
      <c r="AKM115" s="346"/>
      <c r="AKN115" s="239"/>
      <c r="AKO115" s="239"/>
      <c r="AKP115" s="239"/>
      <c r="AKQ115" s="239"/>
      <c r="AKR115" s="239"/>
      <c r="AKS115" s="239"/>
      <c r="AKT115" s="238"/>
      <c r="AKU115" s="240"/>
      <c r="AKV115" s="239"/>
      <c r="AKW115" s="239"/>
      <c r="AKX115" s="241"/>
      <c r="AKY115" s="346"/>
      <c r="AKZ115" s="239"/>
      <c r="ALA115" s="239"/>
      <c r="ALB115" s="239"/>
      <c r="ALC115" s="239"/>
      <c r="ALD115" s="239"/>
      <c r="ALE115" s="239"/>
      <c r="ALF115" s="239"/>
      <c r="ALG115" s="239"/>
      <c r="ALH115" s="239"/>
      <c r="ALI115" s="239"/>
      <c r="ALJ115" s="238"/>
      <c r="ALK115" s="345"/>
      <c r="ALL115" s="646"/>
      <c r="ALM115" s="244">
        <f>SUM(AKK115:ALL115)</f>
      </c>
      <c r="ALN115" s="235"/>
      <c r="ALO115" s="236"/>
      <c r="ALP115" s="346"/>
      <c r="ALQ115" s="239"/>
      <c r="ALR115" s="239"/>
      <c r="ALS115" s="239"/>
      <c r="ALT115" s="239"/>
      <c r="ALU115" s="239"/>
      <c r="ALV115" s="239"/>
      <c r="ALW115" s="238"/>
      <c r="ALX115" s="240"/>
      <c r="ALY115" s="239"/>
      <c r="ALZ115" s="239"/>
      <c r="AMA115" s="241"/>
      <c r="AMB115" s="346"/>
      <c r="AMC115" s="239"/>
      <c r="AMD115" s="239"/>
      <c r="AME115" s="239"/>
      <c r="AMF115" s="239"/>
      <c r="AMG115" s="239"/>
      <c r="AMH115" s="239"/>
      <c r="AMI115" s="239"/>
      <c r="AMJ115" s="239"/>
      <c r="AMK115" s="239"/>
      <c r="AML115" s="239"/>
      <c r="AMM115" s="238"/>
      <c r="AMN115" s="345"/>
      <c r="AMO115" s="646"/>
      <c r="AMP115" s="244">
        <f>SUM(ALN115:AMO115)</f>
      </c>
      <c r="AMQ115" s="245">
        <f>AFX115+AHA115+AID115+AJG115+AKJ115+ALM115+AMP115</f>
      </c>
      <c r="AMR115" s="347">
        <f>(COUNTIF(AEV115:AMP115,"H")+COUNTIF(AEV115:AMP115,"S")+COUNTIF(AEV115:AMP115,"L")+COUNTIF(AEV115:AMP115,"E")+COUNTIF(AEV115:AMP115,"C"))/2</f>
      </c>
      <c r="AMS115" s="247">
        <f>AMQ115+AMR115</f>
      </c>
      <c r="AMT115" s="4"/>
      <c r="AMU115" s="4"/>
      <c r="AMV115" s="4"/>
      <c r="AMW115" s="4"/>
      <c r="AMX115" s="4"/>
      <c r="AMY115" s="4"/>
      <c r="AMZ115" s="4"/>
      <c r="ANA115" s="4"/>
      <c r="ANB115" s="4"/>
      <c r="ANC115" s="4"/>
      <c r="AND115" s="4"/>
      <c r="ANE115" s="4"/>
      <c r="ANF115" s="4"/>
      <c r="ANG115" s="4"/>
      <c r="ANH115" s="4"/>
      <c r="ANI115" s="4"/>
      <c r="ANJ115" s="4"/>
      <c r="ANK115" s="4"/>
      <c r="ANL115" s="4"/>
      <c r="ANM115" s="4"/>
      <c r="ANN115" s="4"/>
      <c r="ANO115" s="4"/>
      <c r="ANP115" s="4"/>
      <c r="ANQ115" s="4"/>
      <c r="ANR115" s="4"/>
      <c r="ANS115" s="4"/>
      <c r="ANT115" s="4"/>
      <c r="ANU115" s="4"/>
      <c r="ANV115" s="4"/>
      <c r="ANW115" s="4"/>
      <c r="ANX115" s="4"/>
      <c r="ANY115" s="4"/>
      <c r="ANZ115" s="4"/>
      <c r="AOA115" s="4"/>
      <c r="AOB115" s="4"/>
      <c r="AOC115" s="4"/>
      <c r="AOD115" s="4"/>
      <c r="AOE115" s="4"/>
      <c r="AOF115" s="4"/>
      <c r="AOG115" s="4"/>
      <c r="AOH115" s="4"/>
      <c r="AOI115" s="4"/>
      <c r="AOJ115" s="4"/>
      <c r="AOK115" s="4"/>
      <c r="AOL115" s="4"/>
      <c r="AOM115" s="4"/>
      <c r="AON115" s="4"/>
      <c r="AOO115" s="4"/>
      <c r="AOP115" s="4"/>
      <c r="AOQ115" s="4"/>
      <c r="AOR115" s="4"/>
      <c r="AOS115" s="4"/>
      <c r="AOT115" s="4"/>
      <c r="AOU115" s="4"/>
      <c r="AOV115" s="4"/>
      <c r="AOW115" s="4"/>
      <c r="AOX115" s="4"/>
      <c r="AOY115" s="4"/>
      <c r="AOZ115" s="4"/>
      <c r="APA115" s="4"/>
      <c r="APB115" s="4"/>
      <c r="APC115" s="4"/>
      <c r="APD115" s="4"/>
      <c r="APE115" s="4"/>
      <c r="APF115" s="4"/>
      <c r="APG115" s="4"/>
      <c r="APH115" s="4"/>
      <c r="API115" s="4"/>
      <c r="APJ115" s="4"/>
      <c r="APK115" s="4"/>
      <c r="APL115" s="4"/>
      <c r="APM115" s="4"/>
      <c r="APN115" s="4"/>
      <c r="APO115" s="4"/>
      <c r="APP115" s="4"/>
      <c r="APQ115" s="4"/>
      <c r="APR115" s="4"/>
      <c r="APS115" s="4"/>
      <c r="APT115" s="4"/>
      <c r="APU115" s="4"/>
      <c r="APV115" s="4"/>
      <c r="APW115" s="4"/>
      <c r="APX115" s="4"/>
      <c r="APY115" s="4"/>
      <c r="APZ115" s="4"/>
      <c r="AQA115" s="4"/>
      <c r="AQB115" s="4"/>
      <c r="AQC115" s="4"/>
      <c r="AQD115" s="4"/>
      <c r="AQE115" s="4"/>
      <c r="AQF115" s="4"/>
      <c r="AQG115" s="4"/>
      <c r="AQH115" s="4"/>
      <c r="AQI115" s="4"/>
      <c r="AQJ115" s="4"/>
      <c r="AQK115" s="4"/>
      <c r="AQL115" s="4"/>
      <c r="AQM115" s="4"/>
      <c r="AQN115" s="4"/>
      <c r="AQO115" s="4"/>
      <c r="AQP115" s="4"/>
      <c r="AQQ115" s="4"/>
      <c r="AQR115" s="4"/>
      <c r="AQS115" s="4"/>
      <c r="AQT115" s="4"/>
      <c r="AQU115" s="4"/>
      <c r="AQV115" s="4"/>
      <c r="AQW115" s="4"/>
      <c r="AQX115" s="4"/>
      <c r="AQY115" s="4"/>
      <c r="AQZ115" s="4"/>
      <c r="ARA115" s="4"/>
      <c r="ARB115" s="4"/>
      <c r="ARC115" s="4"/>
      <c r="ARD115" s="4"/>
      <c r="ARE115" s="4"/>
      <c r="ARF115" s="4"/>
      <c r="ARG115" s="4"/>
      <c r="ARH115" s="4"/>
      <c r="ARI115" s="4"/>
      <c r="ARJ115" s="4"/>
      <c r="ARK115" s="4"/>
      <c r="ARL115" s="4"/>
      <c r="ARM115" s="4"/>
      <c r="ARN115" s="4"/>
      <c r="ARO115" s="4"/>
      <c r="ARP115" s="4"/>
      <c r="ARQ115" s="4"/>
      <c r="ARR115" s="4"/>
      <c r="ARS115" s="4"/>
      <c r="ART115" s="4"/>
      <c r="ARU115" s="4"/>
      <c r="ARV115" s="4"/>
      <c r="ARW115" s="4"/>
      <c r="ARX115" s="4"/>
      <c r="ARY115" s="4"/>
      <c r="ARZ115" s="4"/>
      <c r="ASA115" s="4"/>
      <c r="ASB115" s="4"/>
      <c r="ASC115" s="4"/>
      <c r="ASD115" s="4"/>
      <c r="ASE115" s="4"/>
      <c r="ASF115" s="4"/>
      <c r="ASG115" s="4"/>
      <c r="ASH115" s="4"/>
      <c r="ASI115" s="4"/>
      <c r="ASJ115" s="4"/>
      <c r="ASK115" s="4"/>
      <c r="ASL115" s="4"/>
      <c r="ASM115" s="4"/>
      <c r="ASN115" s="4"/>
      <c r="ASO115" s="4"/>
      <c r="ASP115" s="4"/>
      <c r="ASQ115" s="4"/>
      <c r="ASR115" s="4"/>
      <c r="ASS115" s="4"/>
      <c r="AST115" s="4"/>
      <c r="ASU115" s="4"/>
    </row>
    <row r="116" spans="1:1191" x14ac:dyDescent="0.25">
      <c r="A116" s="9"/>
      <c r="B116" s="268" t="s">
        <v>73</v>
      </c>
      <c r="C116" s="269">
        <f>COUNTA(C104:C115)</f>
      </c>
      <c r="D116" s="273"/>
      <c r="E116" s="273"/>
      <c r="F116" s="271">
        <f>COUNTIF(F104:F115,0.5)</f>
      </c>
      <c r="G116" s="271">
        <f>COUNTIF(G104:G115,0.5)</f>
      </c>
      <c r="H116" s="271">
        <f>COUNTIF(H104:H115,0.5)</f>
      </c>
      <c r="I116" s="271">
        <f>COUNTIF(I104:I115,0.5)</f>
      </c>
      <c r="J116" s="271">
        <f>COUNTIF(J104:J115,0.5)</f>
      </c>
      <c r="K116" s="271">
        <f>COUNTIF(K104:K115,0.5)</f>
      </c>
      <c r="L116" s="271">
        <f>COUNTIF(L104:L115,0.5)</f>
      </c>
      <c r="M116" s="271">
        <f>COUNTIF(M104:M115,0.5)</f>
      </c>
      <c r="N116" s="271">
        <f>COUNTIF(N104:N115,0.5)</f>
      </c>
      <c r="O116" s="271">
        <f>COUNTIF(O104:O115,0.5)</f>
      </c>
      <c r="P116" s="271">
        <f>COUNTIF(P104:P115,0.5)</f>
      </c>
      <c r="Q116" s="271">
        <f>COUNTIF(Q104:Q115,0.5)</f>
      </c>
      <c r="R116" s="271">
        <f>COUNTIF(R104:R115,0.5)</f>
      </c>
      <c r="S116" s="271">
        <f>COUNTIF(S104:S115,0.5)</f>
      </c>
      <c r="T116" s="271">
        <f>COUNTIF(T104:T115,0.5)</f>
      </c>
      <c r="U116" s="271">
        <f>COUNTIF(U104:U115,0.5)</f>
      </c>
      <c r="V116" s="271">
        <f>COUNTIF(V104:V115,0.5)</f>
      </c>
      <c r="W116" s="271">
        <f>COUNTIF(W104:W115,0.5)</f>
      </c>
      <c r="X116" s="271">
        <f>COUNTIF(X104:X115,0.5)</f>
      </c>
      <c r="Y116" s="271">
        <f>COUNTIF(Y104:Y115,0.5)</f>
      </c>
      <c r="Z116" s="271">
        <f>COUNTIF(Z104:Z115,0.5)</f>
      </c>
      <c r="AA116" s="271">
        <f>COUNTIF(AA104:AA115,0.5)</f>
      </c>
      <c r="AB116" s="271">
        <f>COUNTIF(AB104:AB115,0.5)</f>
      </c>
      <c r="AC116" s="271">
        <f>COUNTIF(AC104:AC115,0.5)</f>
      </c>
      <c r="AD116" s="269"/>
      <c r="AE116" s="269"/>
      <c r="AF116" s="657"/>
      <c r="AG116" s="657"/>
      <c r="AH116" s="273"/>
      <c r="AI116" s="271">
        <f>COUNTIF(AI104:AI115,0.5)</f>
      </c>
      <c r="AJ116" s="271">
        <f>COUNTIF(AJ104:AJ115,0.5)</f>
      </c>
      <c r="AK116" s="271">
        <f>COUNTIF(AK104:AK115,0.5)</f>
      </c>
      <c r="AL116" s="271">
        <f>COUNTIF(AL104:AL115,0.5)</f>
      </c>
      <c r="AM116" s="271">
        <f>COUNTIF(AM104:AM115,0.5)</f>
      </c>
      <c r="AN116" s="271">
        <f>COUNTIF(AN104:AN115,0.5)</f>
      </c>
      <c r="AO116" s="271">
        <f>COUNTIF(AO104:AO115,0.5)</f>
      </c>
      <c r="AP116" s="271">
        <f>COUNTIF(AP104:AP115,0.5)</f>
      </c>
      <c r="AQ116" s="271">
        <f>COUNTIF(AQ104:AQ115,0.5)</f>
      </c>
      <c r="AR116" s="271">
        <f>COUNTIF(AR104:AR115,0.5)</f>
      </c>
      <c r="AS116" s="271">
        <f>COUNTIF(AS104:AS115,0.5)</f>
      </c>
      <c r="AT116" s="271">
        <f>COUNTIF(AT104:AT115,0.5)</f>
      </c>
      <c r="AU116" s="271">
        <f>COUNTIF(AU104:AU115,0.5)</f>
      </c>
      <c r="AV116" s="271">
        <f>COUNTIF(AV104:AV115,0.5)</f>
      </c>
      <c r="AW116" s="271">
        <f>COUNTIF(AW104:AW115,0.5)</f>
      </c>
      <c r="AX116" s="271">
        <f>COUNTIF(AX104:AX115,0.5)</f>
      </c>
      <c r="AY116" s="271">
        <f>COUNTIF(AY104:AY115,0.5)</f>
      </c>
      <c r="AZ116" s="271">
        <f>COUNTIF(AZ104:AZ115,0.5)</f>
      </c>
      <c r="BA116" s="271">
        <f>COUNTIF(BA104:BA115,0.5)</f>
      </c>
      <c r="BB116" s="271">
        <f>COUNTIF(BB104:BB115,0.5)</f>
      </c>
      <c r="BC116" s="271">
        <f>COUNTIF(BC104:BC115,0.5)</f>
      </c>
      <c r="BD116" s="271">
        <f>COUNTIF(BD104:BD115,0.5)</f>
      </c>
      <c r="BE116" s="271">
        <f>COUNTIF(BE104:BE115,0.5)</f>
      </c>
      <c r="BF116" s="271">
        <f>COUNTIF(BF104:BF115,0.5)</f>
      </c>
      <c r="BG116" s="269"/>
      <c r="BH116" s="269"/>
      <c r="BI116" s="657"/>
      <c r="BJ116" s="657"/>
      <c r="BK116" s="273"/>
      <c r="BL116" s="271">
        <f>COUNTIF(BL104:BL115,0.5)</f>
      </c>
      <c r="BM116" s="271">
        <f>COUNTIF(BM104:BM115,0.5)</f>
      </c>
      <c r="BN116" s="271">
        <f>COUNTIF(BN104:BN115,0.5)</f>
      </c>
      <c r="BO116" s="271">
        <f>COUNTIF(BO104:BO115,0.5)</f>
      </c>
      <c r="BP116" s="271">
        <f>COUNTIF(BP104:BP115,0.5)</f>
      </c>
      <c r="BQ116" s="271">
        <f>COUNTIF(BQ104:BQ115,0.5)</f>
      </c>
      <c r="BR116" s="271">
        <f>COUNTIF(BR104:BR115,0.5)</f>
      </c>
      <c r="BS116" s="271">
        <f>COUNTIF(BS104:BS115,0.5)</f>
      </c>
      <c r="BT116" s="271">
        <f>COUNTIF(BT104:BT115,0.5)</f>
      </c>
      <c r="BU116" s="271">
        <f>COUNTIF(BU104:BU115,0.5)</f>
      </c>
      <c r="BV116" s="271">
        <f>COUNTIF(BV104:BV115,0.5)</f>
      </c>
      <c r="BW116" s="271">
        <f>COUNTIF(BW104:BW115,0.5)</f>
      </c>
      <c r="BX116" s="271">
        <f>COUNTIF(BX104:BX115,0.5)</f>
      </c>
      <c r="BY116" s="271">
        <f>COUNTIF(BY104:BY115,0.5)</f>
      </c>
      <c r="BZ116" s="271">
        <f>COUNTIF(BZ104:BZ115,0.5)</f>
      </c>
      <c r="CA116" s="271">
        <f>COUNTIF(CA104:CA115,0.5)</f>
      </c>
      <c r="CB116" s="271">
        <f>COUNTIF(CB104:CB115,0.5)</f>
      </c>
      <c r="CC116" s="271">
        <f>COUNTIF(CC104:CC115,0.5)</f>
      </c>
      <c r="CD116" s="271">
        <f>COUNTIF(CD104:CD115,0.5)</f>
      </c>
      <c r="CE116" s="271">
        <f>COUNTIF(CE104:CE115,0.5)</f>
      </c>
      <c r="CF116" s="271">
        <f>COUNTIF(CF104:CF115,0.5)</f>
      </c>
      <c r="CG116" s="271">
        <f>COUNTIF(CG104:CG115,0.5)</f>
      </c>
      <c r="CH116" s="271">
        <f>COUNTIF(CH104:CH115,0.5)</f>
      </c>
      <c r="CI116" s="271">
        <f>COUNTIF(CI104:CI115,0.5)</f>
      </c>
      <c r="CJ116" s="269"/>
      <c r="CK116" s="269"/>
      <c r="CL116" s="657"/>
      <c r="CM116" s="657"/>
      <c r="CN116" s="273"/>
      <c r="CO116" s="271">
        <f>COUNTIF(CO104:CO115,0.5)</f>
      </c>
      <c r="CP116" s="271">
        <f>COUNTIF(CP104:CP115,0.5)</f>
      </c>
      <c r="CQ116" s="271">
        <f>COUNTIF(CQ104:CQ115,0.5)</f>
      </c>
      <c r="CR116" s="271">
        <f>COUNTIF(CR104:CR115,0.5)</f>
      </c>
      <c r="CS116" s="271">
        <f>COUNTIF(CS104:CS115,0.5)</f>
      </c>
      <c r="CT116" s="271">
        <f>COUNTIF(CT104:CT115,0.5)</f>
      </c>
      <c r="CU116" s="271">
        <f>COUNTIF(CU104:CU115,0.5)</f>
      </c>
      <c r="CV116" s="271">
        <f>COUNTIF(CV104:CV115,0.5)</f>
      </c>
      <c r="CW116" s="271">
        <f>COUNTIF(CW104:CW115,0.5)</f>
      </c>
      <c r="CX116" s="271">
        <f>COUNTIF(CX104:CX115,0.5)</f>
      </c>
      <c r="CY116" s="271">
        <f>COUNTIF(CY104:CY115,0.5)</f>
      </c>
      <c r="CZ116" s="271">
        <f>COUNTIF(CZ104:CZ115,0.5)</f>
      </c>
      <c r="DA116" s="271">
        <f>COUNTIF(DA104:DA115,0.5)</f>
      </c>
      <c r="DB116" s="271">
        <f>COUNTIF(DB104:DB115,0.5)</f>
      </c>
      <c r="DC116" s="271">
        <f>COUNTIF(DC104:DC115,0.5)</f>
      </c>
      <c r="DD116" s="271">
        <f>COUNTIF(DD104:DD115,0.5)</f>
      </c>
      <c r="DE116" s="271">
        <f>COUNTIF(DE104:DE115,0.5)</f>
      </c>
      <c r="DF116" s="271">
        <f>COUNTIF(DF104:DF115,0.5)</f>
      </c>
      <c r="DG116" s="271">
        <f>COUNTIF(DG104:DG115,0.5)</f>
      </c>
      <c r="DH116" s="271">
        <f>COUNTIF(DH104:DH115,0.5)</f>
      </c>
      <c r="DI116" s="271">
        <f>COUNTIF(DI104:DI115,0.5)</f>
      </c>
      <c r="DJ116" s="271">
        <f>COUNTIF(DJ104:DJ115,0.5)</f>
      </c>
      <c r="DK116" s="271">
        <f>COUNTIF(DK104:DK115,0.5)</f>
      </c>
      <c r="DL116" s="271">
        <f>COUNTIF(DL104:DL115,0.5)</f>
      </c>
      <c r="DM116" s="269"/>
      <c r="DN116" s="269"/>
      <c r="DO116" s="657"/>
      <c r="DP116" s="657"/>
      <c r="DQ116" s="273"/>
      <c r="DR116" s="271">
        <f>COUNTIF(DR104:DR115,0.5)</f>
      </c>
      <c r="DS116" s="271">
        <f>COUNTIF(DS104:DS115,0.5)</f>
      </c>
      <c r="DT116" s="271">
        <f>COUNTIF(DT104:DT115,0.5)</f>
      </c>
      <c r="DU116" s="271">
        <f>COUNTIF(DU104:DU115,0.5)</f>
      </c>
      <c r="DV116" s="271">
        <f>COUNTIF(DV104:DV115,0.5)</f>
      </c>
      <c r="DW116" s="271">
        <f>COUNTIF(DW104:DW115,0.5)</f>
      </c>
      <c r="DX116" s="271">
        <f>COUNTIF(DX104:DX115,0.5)</f>
      </c>
      <c r="DY116" s="271">
        <f>COUNTIF(DY104:DY115,0.5)</f>
      </c>
      <c r="DZ116" s="271">
        <f>COUNTIF(DZ104:DZ115,0.5)</f>
      </c>
      <c r="EA116" s="271">
        <f>COUNTIF(EA104:EA115,0.5)</f>
      </c>
      <c r="EB116" s="271">
        <f>COUNTIF(EB104:EB115,0.5)</f>
      </c>
      <c r="EC116" s="271">
        <f>COUNTIF(EC104:EC115,0.5)</f>
      </c>
      <c r="ED116" s="271">
        <f>COUNTIF(ED104:ED115,0.5)</f>
      </c>
      <c r="EE116" s="271">
        <f>COUNTIF(EE104:EE115,0.5)</f>
      </c>
      <c r="EF116" s="271">
        <f>COUNTIF(EF104:EF115,0.5)</f>
      </c>
      <c r="EG116" s="271">
        <f>COUNTIF(EG104:EG115,0.5)</f>
      </c>
      <c r="EH116" s="271">
        <f>COUNTIF(EH104:EH115,0.5)</f>
      </c>
      <c r="EI116" s="271">
        <f>COUNTIF(EI104:EI115,0.5)</f>
      </c>
      <c r="EJ116" s="271">
        <f>COUNTIF(EJ104:EJ115,0.5)</f>
      </c>
      <c r="EK116" s="271">
        <f>COUNTIF(EK104:EK115,0.5)</f>
      </c>
      <c r="EL116" s="271">
        <f>COUNTIF(EL104:EL115,0.5)</f>
      </c>
      <c r="EM116" s="271">
        <f>COUNTIF(EM104:EM115,0.5)</f>
      </c>
      <c r="EN116" s="271">
        <f>COUNTIF(EN104:EN115,0.5)</f>
      </c>
      <c r="EO116" s="271">
        <f>COUNTIF(EO104:EO115,0.5)</f>
      </c>
      <c r="EP116" s="269"/>
      <c r="EQ116" s="269"/>
      <c r="ER116" s="657"/>
      <c r="ES116" s="657"/>
      <c r="ET116" s="273"/>
      <c r="EU116" s="273"/>
      <c r="EV116" s="273"/>
      <c r="EW116" s="273"/>
      <c r="EX116" s="273"/>
      <c r="EY116" s="273"/>
      <c r="EZ116" s="273"/>
      <c r="FA116" s="273"/>
      <c r="FB116" s="273"/>
      <c r="FC116" s="273"/>
      <c r="FD116" s="273"/>
      <c r="FE116" s="273"/>
      <c r="FF116" s="273"/>
      <c r="FG116" s="273"/>
      <c r="FH116" s="273"/>
      <c r="FI116" s="273"/>
      <c r="FJ116" s="273"/>
      <c r="FK116" s="273"/>
      <c r="FL116" s="273"/>
      <c r="FM116" s="273"/>
      <c r="FN116" s="273"/>
      <c r="FO116" s="273"/>
      <c r="FP116" s="273"/>
      <c r="FQ116" s="273"/>
      <c r="FR116" s="273"/>
      <c r="FS116" s="273"/>
      <c r="FT116" s="273"/>
      <c r="FU116" s="273"/>
      <c r="FV116" s="273"/>
      <c r="FW116" s="273"/>
      <c r="FX116" s="273"/>
      <c r="FY116" s="273"/>
      <c r="FZ116" s="273"/>
      <c r="GA116" s="273"/>
      <c r="GB116" s="273"/>
      <c r="GC116" s="273"/>
      <c r="GD116" s="273"/>
      <c r="GE116" s="273"/>
      <c r="GF116" s="273"/>
      <c r="GG116" s="273"/>
      <c r="GH116" s="273"/>
      <c r="GI116" s="273"/>
      <c r="GJ116" s="273"/>
      <c r="GK116" s="273"/>
      <c r="GL116" s="273"/>
      <c r="GM116" s="273"/>
      <c r="GN116" s="273"/>
      <c r="GO116" s="273"/>
      <c r="GP116" s="273"/>
      <c r="GQ116" s="273"/>
      <c r="GR116" s="273"/>
      <c r="GS116" s="273"/>
      <c r="GT116" s="273"/>
      <c r="GU116" s="273"/>
      <c r="GV116" s="269"/>
      <c r="GW116" s="269"/>
      <c r="GX116" s="657"/>
      <c r="GY116" s="657"/>
      <c r="GZ116" s="657"/>
      <c r="HA116" s="658"/>
      <c r="HB116" s="359"/>
      <c r="HC116" s="273"/>
      <c r="HD116" s="271">
        <f>COUNTIF(HD104:HD115,0.5)</f>
      </c>
      <c r="HE116" s="271">
        <f>COUNTIF(HE104:HE115,0.5)</f>
      </c>
      <c r="HF116" s="271">
        <f>COUNTIF(HF104:HF115,0.5)</f>
      </c>
      <c r="HG116" s="271">
        <f>COUNTIF(HG104:HG115,0.5)</f>
      </c>
      <c r="HH116" s="271">
        <f>COUNTIF(HH104:HH115,0.5)</f>
      </c>
      <c r="HI116" s="271">
        <f>COUNTIF(HI104:HI115,0.5)</f>
      </c>
      <c r="HJ116" s="271">
        <f>COUNTIF(HJ104:HJ115,0.5)</f>
      </c>
      <c r="HK116" s="271">
        <f>COUNTIF(HK104:HK115,0.5)</f>
      </c>
      <c r="HL116" s="271">
        <f>COUNTIF(HL104:HL115,0.5)</f>
      </c>
      <c r="HM116" s="271">
        <f>COUNTIF(HM104:HM115,0.5)</f>
      </c>
      <c r="HN116" s="271">
        <f>COUNTIF(HN104:HN115,0.5)</f>
      </c>
      <c r="HO116" s="271">
        <f>COUNTIF(HO104:HO115,0.5)</f>
      </c>
      <c r="HP116" s="271">
        <f>COUNTIF(HP104:HP115,0.5)</f>
      </c>
      <c r="HQ116" s="271">
        <f>COUNTIF(HQ104:HQ115,0.5)</f>
      </c>
      <c r="HR116" s="271">
        <f>COUNTIF(HR104:HR115,0.5)</f>
      </c>
      <c r="HS116" s="271">
        <f>COUNTIF(HS104:HS115,0.5)</f>
      </c>
      <c r="HT116" s="271">
        <f>COUNTIF(HT104:HT115,0.5)</f>
      </c>
      <c r="HU116" s="271">
        <f>COUNTIF(HU104:HU115,0.5)</f>
      </c>
      <c r="HV116" s="271">
        <f>COUNTIF(HV104:HV115,0.5)</f>
      </c>
      <c r="HW116" s="271">
        <f>COUNTIF(HW104:HW115,0.5)</f>
      </c>
      <c r="HX116" s="271">
        <f>COUNTIF(HX104:HX115,0.5)</f>
      </c>
      <c r="HY116" s="271">
        <f>COUNTIF(HY104:HY115,0.5)</f>
      </c>
      <c r="HZ116" s="271">
        <f>COUNTIF(HZ104:HZ115,0.5)</f>
      </c>
      <c r="IA116" s="271">
        <f>COUNTIF(IA104:IA115,0.5)</f>
      </c>
      <c r="IB116" s="269"/>
      <c r="IC116" s="269"/>
      <c r="ID116" s="657"/>
      <c r="IE116" s="657"/>
      <c r="IF116" s="273"/>
      <c r="IG116" s="271">
        <f>COUNTIF(IG104:IG115,0.5)</f>
      </c>
      <c r="IH116" s="271">
        <f>COUNTIF(IH104:IH115,0.5)</f>
      </c>
      <c r="II116" s="271">
        <f>COUNTIF(II104:II115,0.5)</f>
      </c>
      <c r="IJ116" s="271">
        <f>COUNTIF(IJ104:IJ115,0.5)</f>
      </c>
      <c r="IK116" s="271">
        <f>COUNTIF(IK104:IK115,0.5)</f>
      </c>
      <c r="IL116" s="271">
        <f>COUNTIF(IL104:IL115,0.5)</f>
      </c>
      <c r="IM116" s="271">
        <f>COUNTIF(IM104:IM115,0.5)</f>
      </c>
      <c r="IN116" s="271">
        <f>COUNTIF(IN104:IN115,0.5)</f>
      </c>
      <c r="IO116" s="271">
        <f>COUNTIF(IO104:IO115,0.5)</f>
      </c>
      <c r="IP116" s="271">
        <f>COUNTIF(IP104:IP115,0.5)</f>
      </c>
      <c r="IQ116" s="271">
        <f>COUNTIF(IQ104:IQ115,0.5)</f>
      </c>
      <c r="IR116" s="271">
        <f>COUNTIF(IR104:IR115,0.5)</f>
      </c>
      <c r="IS116" s="271">
        <f>COUNTIF(IS104:IS115,0.5)</f>
      </c>
      <c r="IT116" s="271">
        <f>COUNTIF(IT104:IT115,0.5)</f>
      </c>
      <c r="IU116" s="271">
        <f>COUNTIF(IU104:IU115,0.5)</f>
      </c>
      <c r="IV116" s="271">
        <f>COUNTIF(IV104:IV115,0.5)</f>
      </c>
      <c r="IW116" s="271">
        <f>COUNTIF(IW104:IW115,0.5)</f>
      </c>
      <c r="IX116" s="271">
        <f>COUNTIF(IX104:IX115,0.5)</f>
      </c>
      <c r="IY116" s="271">
        <f>COUNTIF(IY104:IY115,0.5)</f>
      </c>
      <c r="IZ116" s="271">
        <f>COUNTIF(IZ104:IZ115,0.5)</f>
      </c>
      <c r="JA116" s="271">
        <f>COUNTIF(JA104:JA115,0.5)</f>
      </c>
      <c r="JB116" s="271">
        <f>COUNTIF(JB104:JB115,0.5)</f>
      </c>
      <c r="JC116" s="271">
        <f>COUNTIF(JC104:JC115,0.5)</f>
      </c>
      <c r="JD116" s="271">
        <f>COUNTIF(JD104:JD115,0.5)</f>
      </c>
      <c r="JE116" s="269"/>
      <c r="JF116" s="269"/>
      <c r="JG116" s="657"/>
      <c r="JH116" s="657"/>
      <c r="JI116" s="273"/>
      <c r="JJ116" s="271">
        <f>COUNTIF(JJ104:JJ115,0.5)</f>
      </c>
      <c r="JK116" s="271">
        <f>COUNTIF(JK104:JK115,0.5)</f>
      </c>
      <c r="JL116" s="271">
        <f>COUNTIF(JL104:JL115,0.5)</f>
      </c>
      <c r="JM116" s="271">
        <f>COUNTIF(JM104:JM115,0.5)</f>
      </c>
      <c r="JN116" s="271">
        <f>COUNTIF(JN104:JN115,0.5)</f>
      </c>
      <c r="JO116" s="271">
        <f>COUNTIF(JO104:JO115,0.5)</f>
      </c>
      <c r="JP116" s="271">
        <f>COUNTIF(JP104:JP115,0.5)</f>
      </c>
      <c r="JQ116" s="271">
        <f>COUNTIF(JQ104:JQ115,0.5)</f>
      </c>
      <c r="JR116" s="271">
        <f>COUNTIF(JR104:JR115,0.5)</f>
      </c>
      <c r="JS116" s="271">
        <f>COUNTIF(JS104:JS115,0.5)</f>
      </c>
      <c r="JT116" s="271">
        <f>COUNTIF(JT104:JT115,0.5)</f>
      </c>
      <c r="JU116" s="271">
        <f>COUNTIF(JU104:JU115,0.5)</f>
      </c>
      <c r="JV116" s="271">
        <f>COUNTIF(JV104:JV115,0.5)</f>
      </c>
      <c r="JW116" s="271">
        <f>COUNTIF(JW104:JW115,0.5)</f>
      </c>
      <c r="JX116" s="271">
        <f>COUNTIF(JX104:JX115,0.5)</f>
      </c>
      <c r="JY116" s="271">
        <f>COUNTIF(JY104:JY115,0.5)</f>
      </c>
      <c r="JZ116" s="271">
        <f>COUNTIF(JZ104:JZ115,0.5)</f>
      </c>
      <c r="KA116" s="271">
        <f>COUNTIF(KA104:KA115,0.5)</f>
      </c>
      <c r="KB116" s="271">
        <f>COUNTIF(KB104:KB115,0.5)</f>
      </c>
      <c r="KC116" s="271">
        <f>COUNTIF(KC104:KC115,0.5)</f>
      </c>
      <c r="KD116" s="271">
        <f>COUNTIF(KD104:KD115,0.5)</f>
      </c>
      <c r="KE116" s="271">
        <f>COUNTIF(KE104:KE115,0.5)</f>
      </c>
      <c r="KF116" s="271">
        <f>COUNTIF(KF104:KF115,0.5)</f>
      </c>
      <c r="KG116" s="271">
        <f>COUNTIF(KG104:KG115,0.5)</f>
      </c>
      <c r="KH116" s="269"/>
      <c r="KI116" s="269"/>
      <c r="KJ116" s="657"/>
      <c r="KK116" s="657"/>
      <c r="KL116" s="273"/>
      <c r="KM116" s="271">
        <f>COUNTIF(KM104:KM115,0.5)</f>
      </c>
      <c r="KN116" s="271">
        <f>COUNTIF(KN104:KN115,0.5)</f>
      </c>
      <c r="KO116" s="271">
        <f>COUNTIF(KO104:KO115,0.5)</f>
      </c>
      <c r="KP116" s="271">
        <f>COUNTIF(KP104:KP115,0.5)</f>
      </c>
      <c r="KQ116" s="271">
        <f>COUNTIF(KQ104:KQ115,0.5)</f>
      </c>
      <c r="KR116" s="271">
        <f>COUNTIF(KR104:KR115,0.5)</f>
      </c>
      <c r="KS116" s="271">
        <f>COUNTIF(KS104:KS115,0.5)</f>
      </c>
      <c r="KT116" s="271">
        <f>COUNTIF(KT104:KT115,0.5)</f>
      </c>
      <c r="KU116" s="271">
        <f>COUNTIF(KU104:KU115,0.5)</f>
      </c>
      <c r="KV116" s="271">
        <f>COUNTIF(KV104:KV115,0.5)</f>
      </c>
      <c r="KW116" s="271">
        <f>COUNTIF(KW104:KW115,0.5)</f>
      </c>
      <c r="KX116" s="271">
        <f>COUNTIF(KX104:KX115,0.5)</f>
      </c>
      <c r="KY116" s="271">
        <f>COUNTIF(KY104:KY115,0.5)</f>
      </c>
      <c r="KZ116" s="271">
        <f>COUNTIF(KZ104:KZ115,0.5)</f>
      </c>
      <c r="LA116" s="271">
        <f>COUNTIF(LA104:LA115,0.5)</f>
      </c>
      <c r="LB116" s="271">
        <f>COUNTIF(LB104:LB115,0.5)</f>
      </c>
      <c r="LC116" s="271">
        <f>COUNTIF(LC104:LC115,0.5)</f>
      </c>
      <c r="LD116" s="271">
        <f>COUNTIF(LD104:LD115,0.5)</f>
      </c>
      <c r="LE116" s="271">
        <f>COUNTIF(LE104:LE115,0.5)</f>
      </c>
      <c r="LF116" s="271">
        <f>COUNTIF(LF104:LF115,0.5)</f>
      </c>
      <c r="LG116" s="271">
        <f>COUNTIF(LG104:LG115,0.5)</f>
      </c>
      <c r="LH116" s="271">
        <f>COUNTIF(LH104:LH115,0.5)</f>
      </c>
      <c r="LI116" s="271">
        <f>COUNTIF(LI104:LI115,0.5)</f>
      </c>
      <c r="LJ116" s="271">
        <f>COUNTIF(LJ104:LJ115,0.5)</f>
      </c>
      <c r="LK116" s="269"/>
      <c r="LL116" s="269"/>
      <c r="LM116" s="657"/>
      <c r="LN116" s="657"/>
      <c r="LO116" s="273"/>
      <c r="LP116" s="271">
        <f>COUNTIF(LP104:LP115,0.5)</f>
      </c>
      <c r="LQ116" s="271">
        <f>COUNTIF(LQ104:LQ115,0.5)</f>
      </c>
      <c r="LR116" s="271">
        <f>COUNTIF(LR104:LR115,0.5)</f>
      </c>
      <c r="LS116" s="271">
        <f>COUNTIF(LS104:LS115,0.5)</f>
      </c>
      <c r="LT116" s="271">
        <f>COUNTIF(LT104:LT115,0.5)</f>
      </c>
      <c r="LU116" s="271">
        <f>COUNTIF(LU104:LU115,0.5)</f>
      </c>
      <c r="LV116" s="271">
        <f>COUNTIF(LV104:LV115,0.5)</f>
      </c>
      <c r="LW116" s="271">
        <f>COUNTIF(LW104:LW115,0.5)</f>
      </c>
      <c r="LX116" s="271">
        <f>COUNTIF(LX104:LX115,0.5)</f>
      </c>
      <c r="LY116" s="271">
        <f>COUNTIF(LY104:LY115,0.5)</f>
      </c>
      <c r="LZ116" s="271">
        <f>COUNTIF(LZ104:LZ115,0.5)</f>
      </c>
      <c r="MA116" s="271">
        <f>COUNTIF(MA104:MA115,0.5)</f>
      </c>
      <c r="MB116" s="271">
        <f>COUNTIF(MB104:MB115,0.5)</f>
      </c>
      <c r="MC116" s="271">
        <f>COUNTIF(MC104:MC115,0.5)</f>
      </c>
      <c r="MD116" s="271">
        <f>COUNTIF(MD104:MD115,0.5)</f>
      </c>
      <c r="ME116" s="271">
        <f>COUNTIF(ME104:ME115,0.5)</f>
      </c>
      <c r="MF116" s="271">
        <f>COUNTIF(MF104:MF115,0.5)</f>
      </c>
      <c r="MG116" s="271">
        <f>COUNTIF(MG104:MG115,0.5)</f>
      </c>
      <c r="MH116" s="271">
        <f>COUNTIF(MH104:MH115,0.5)</f>
      </c>
      <c r="MI116" s="271">
        <f>COUNTIF(MI104:MI115,0.5)</f>
      </c>
      <c r="MJ116" s="271">
        <f>COUNTIF(MJ104:MJ115,0.5)</f>
      </c>
      <c r="MK116" s="271">
        <f>COUNTIF(MK104:MK115,0.5)</f>
      </c>
      <c r="ML116" s="271">
        <f>COUNTIF(ML104:ML115,0.5)</f>
      </c>
      <c r="MM116" s="271">
        <f>COUNTIF(MM104:MM115,0.5)</f>
      </c>
      <c r="MN116" s="269"/>
      <c r="MO116" s="269"/>
      <c r="MP116" s="657"/>
      <c r="MQ116" s="657"/>
      <c r="MR116" s="273"/>
      <c r="MS116" s="273"/>
      <c r="MT116" s="273"/>
      <c r="MU116" s="273"/>
      <c r="MV116" s="273"/>
      <c r="MW116" s="273"/>
      <c r="MX116" s="273"/>
      <c r="MY116" s="273"/>
      <c r="MZ116" s="273"/>
      <c r="NA116" s="273"/>
      <c r="NB116" s="273"/>
      <c r="NC116" s="273"/>
      <c r="ND116" s="273"/>
      <c r="NE116" s="273"/>
      <c r="NF116" s="273"/>
      <c r="NG116" s="273"/>
      <c r="NH116" s="273"/>
      <c r="NI116" s="273"/>
      <c r="NJ116" s="273"/>
      <c r="NK116" s="273"/>
      <c r="NL116" s="273"/>
      <c r="NM116" s="273"/>
      <c r="NN116" s="273"/>
      <c r="NO116" s="273"/>
      <c r="NP116" s="273"/>
      <c r="NQ116" s="273"/>
      <c r="NR116" s="273"/>
      <c r="NS116" s="273"/>
      <c r="NT116" s="273"/>
      <c r="NU116" s="273"/>
      <c r="NV116" s="273"/>
      <c r="NW116" s="273"/>
      <c r="NX116" s="273"/>
      <c r="NY116" s="273"/>
      <c r="NZ116" s="273"/>
      <c r="OA116" s="273"/>
      <c r="OB116" s="273"/>
      <c r="OC116" s="273"/>
      <c r="OD116" s="273"/>
      <c r="OE116" s="273"/>
      <c r="OF116" s="273"/>
      <c r="OG116" s="273"/>
      <c r="OH116" s="273"/>
      <c r="OI116" s="273"/>
      <c r="OJ116" s="273"/>
      <c r="OK116" s="273"/>
      <c r="OL116" s="273"/>
      <c r="OM116" s="273"/>
      <c r="ON116" s="273"/>
      <c r="OO116" s="273"/>
      <c r="OP116" s="273"/>
      <c r="OQ116" s="273"/>
      <c r="OR116" s="273"/>
      <c r="OS116" s="273"/>
      <c r="OT116" s="269"/>
      <c r="OU116" s="269"/>
      <c r="OV116" s="657"/>
      <c r="OW116" s="657"/>
      <c r="OX116" s="657"/>
      <c r="OY116" s="659"/>
      <c r="OZ116" s="359"/>
      <c r="PA116" s="273"/>
      <c r="PB116" s="271">
        <f>COUNTIF(PB104:PB115,0.5)</f>
      </c>
      <c r="PC116" s="271">
        <f>COUNTIF(PC104:PC115,0.5)</f>
      </c>
      <c r="PD116" s="271">
        <f>COUNTIF(PD104:PD115,0.5)</f>
      </c>
      <c r="PE116" s="271">
        <f>COUNTIF(PE104:PE115,0.5)</f>
      </c>
      <c r="PF116" s="271">
        <f>COUNTIF(PF104:PF115,0.5)</f>
      </c>
      <c r="PG116" s="271">
        <f>COUNTIF(PG104:PG115,0.5)</f>
      </c>
      <c r="PH116" s="271">
        <f>COUNTIF(PH104:PH115,0.5)</f>
      </c>
      <c r="PI116" s="271">
        <f>COUNTIF(PI104:PI115,0.5)</f>
      </c>
      <c r="PJ116" s="271">
        <f>COUNTIF(PJ104:PJ115,0.5)</f>
      </c>
      <c r="PK116" s="271">
        <f>COUNTIF(PK104:PK115,0.5)</f>
      </c>
      <c r="PL116" s="271">
        <f>COUNTIF(PL104:PL115,0.5)</f>
      </c>
      <c r="PM116" s="271">
        <f>COUNTIF(PM104:PM115,0.5)</f>
      </c>
      <c r="PN116" s="271">
        <f>COUNTIF(PN104:PN115,0.5)</f>
      </c>
      <c r="PO116" s="271">
        <f>COUNTIF(PO104:PO115,0.5)</f>
      </c>
      <c r="PP116" s="271">
        <f>COUNTIF(PP104:PP115,0.5)</f>
      </c>
      <c r="PQ116" s="271">
        <f>COUNTIF(PQ104:PQ115,0.5)</f>
      </c>
      <c r="PR116" s="271">
        <f>COUNTIF(PR104:PR115,0.5)</f>
      </c>
      <c r="PS116" s="271">
        <f>COUNTIF(PS104:PS115,0.5)</f>
      </c>
      <c r="PT116" s="271">
        <f>COUNTIF(PT104:PT115,0.5)</f>
      </c>
      <c r="PU116" s="271">
        <f>COUNTIF(PU104:PU115,0.5)</f>
      </c>
      <c r="PV116" s="271">
        <f>COUNTIF(PV104:PV115,0.5)</f>
      </c>
      <c r="PW116" s="271">
        <f>COUNTIF(PW104:PW115,0.5)</f>
      </c>
      <c r="PX116" s="271">
        <f>COUNTIF(PX104:PX115,0.5)</f>
      </c>
      <c r="PY116" s="271">
        <f>COUNTIF(PY104:PY115,0.5)</f>
      </c>
      <c r="PZ116" s="269"/>
      <c r="QA116" s="269"/>
      <c r="QB116" s="282"/>
      <c r="QC116" s="282"/>
      <c r="QD116" s="273"/>
      <c r="QE116" s="271">
        <f>COUNTIF(QE104:QE115,0.5)</f>
      </c>
      <c r="QF116" s="271">
        <f>COUNTIF(QF104:QF115,0.5)</f>
      </c>
      <c r="QG116" s="271">
        <f>COUNTIF(QG104:QG115,0.5)</f>
      </c>
      <c r="QH116" s="271">
        <f>COUNTIF(QH104:QH115,0.5)</f>
      </c>
      <c r="QI116" s="271">
        <f>COUNTIF(QI104:QI115,0.5)</f>
      </c>
      <c r="QJ116" s="271">
        <f>COUNTIF(QJ104:QJ115,0.5)</f>
      </c>
      <c r="QK116" s="271">
        <f>COUNTIF(QK104:QK115,0.5)</f>
      </c>
      <c r="QL116" s="271">
        <f>COUNTIF(QL104:QL115,0.5)</f>
      </c>
      <c r="QM116" s="271">
        <f>COUNTIF(QM104:QM115,0.5)</f>
      </c>
      <c r="QN116" s="271">
        <f>COUNTIF(QN104:QN115,0.5)</f>
      </c>
      <c r="QO116" s="271">
        <f>COUNTIF(QO104:QO115,0.5)</f>
      </c>
      <c r="QP116" s="271">
        <f>COUNTIF(QP104:QP115,0.5)</f>
      </c>
      <c r="QQ116" s="271">
        <f>COUNTIF(QQ104:QQ115,0.5)</f>
      </c>
      <c r="QR116" s="271">
        <f>COUNTIF(QR104:QR115,0.5)</f>
      </c>
      <c r="QS116" s="271">
        <f>COUNTIF(QS104:QS115,0.5)</f>
      </c>
      <c r="QT116" s="271">
        <f>COUNTIF(QT104:QT115,0.5)</f>
      </c>
      <c r="QU116" s="271">
        <f>COUNTIF(QU104:QU115,0.5)</f>
      </c>
      <c r="QV116" s="271">
        <f>COUNTIF(QV104:QV115,0.5)</f>
      </c>
      <c r="QW116" s="271">
        <f>COUNTIF(QW104:QW115,0.5)</f>
      </c>
      <c r="QX116" s="271">
        <f>COUNTIF(QX104:QX115,0.5)</f>
      </c>
      <c r="QY116" s="271">
        <f>COUNTIF(QY104:QY115,0.5)</f>
      </c>
      <c r="QZ116" s="271">
        <f>COUNTIF(QZ104:QZ115,0.5)</f>
      </c>
      <c r="RA116" s="271">
        <f>COUNTIF(RA104:RA115,0.5)</f>
      </c>
      <c r="RB116" s="271">
        <f>COUNTIF(RB104:RB115,0.5)</f>
      </c>
      <c r="RC116" s="269"/>
      <c r="RD116" s="269"/>
      <c r="RE116" s="282"/>
      <c r="RF116" s="282"/>
      <c r="RG116" s="273"/>
      <c r="RH116" s="271">
        <f>COUNTIF(RH104:RH115,0.5)</f>
      </c>
      <c r="RI116" s="271">
        <f>COUNTIF(RI104:RI115,0.5)</f>
      </c>
      <c r="RJ116" s="271">
        <f>COUNTIF(RJ104:RJ115,0.5)</f>
      </c>
      <c r="RK116" s="271">
        <f>COUNTIF(RK104:RK115,0.5)</f>
      </c>
      <c r="RL116" s="271">
        <f>COUNTIF(RL104:RL115,0.5)</f>
      </c>
      <c r="RM116" s="271">
        <f>COUNTIF(RM104:RM115,0.5)</f>
      </c>
      <c r="RN116" s="271">
        <f>COUNTIF(RN104:RN115,0.5)</f>
      </c>
      <c r="RO116" s="271">
        <f>COUNTIF(RO104:RO115,0.5)</f>
      </c>
      <c r="RP116" s="271">
        <f>COUNTIF(RP104:RP115,0.5)</f>
      </c>
      <c r="RQ116" s="271">
        <f>COUNTIF(RQ104:RQ115,0.5)</f>
      </c>
      <c r="RR116" s="271">
        <f>COUNTIF(RR104:RR115,0.5)</f>
      </c>
      <c r="RS116" s="271">
        <f>COUNTIF(RS104:RS115,0.5)</f>
      </c>
      <c r="RT116" s="271">
        <f>COUNTIF(RT104:RT115,0.5)</f>
      </c>
      <c r="RU116" s="271">
        <f>COUNTIF(RU104:RU115,0.5)</f>
      </c>
      <c r="RV116" s="271">
        <f>COUNTIF(RV104:RV115,0.5)</f>
      </c>
      <c r="RW116" s="271">
        <f>COUNTIF(RW104:RW115,0.5)</f>
      </c>
      <c r="RX116" s="271">
        <f>COUNTIF(RX104:RX115,0.5)</f>
      </c>
      <c r="RY116" s="271">
        <f>COUNTIF(RY104:RY115,0.5)</f>
      </c>
      <c r="RZ116" s="271">
        <f>COUNTIF(RZ104:RZ115,0.5)</f>
      </c>
      <c r="SA116" s="271">
        <f>COUNTIF(SA104:SA115,0.5)</f>
      </c>
      <c r="SB116" s="271">
        <f>COUNTIF(SB104:SB115,0.5)</f>
      </c>
      <c r="SC116" s="271">
        <f>COUNTIF(SC104:SC115,0.5)</f>
      </c>
      <c r="SD116" s="271">
        <f>COUNTIF(SD104:SD115,0.5)</f>
      </c>
      <c r="SE116" s="271">
        <f>COUNTIF(SE104:SE115,0.5)</f>
      </c>
      <c r="SF116" s="269"/>
      <c r="SG116" s="269"/>
      <c r="SH116" s="282"/>
      <c r="SI116" s="282"/>
      <c r="SJ116" s="273"/>
      <c r="SK116" s="271">
        <f>COUNTIF(SK104:SK115,0.5)</f>
      </c>
      <c r="SL116" s="271">
        <f>COUNTIF(SL104:SL115,0.5)</f>
      </c>
      <c r="SM116" s="271">
        <f>COUNTIF(SM104:SM115,0.5)</f>
      </c>
      <c r="SN116" s="271">
        <f>COUNTIF(SN104:SN115,0.5)</f>
      </c>
      <c r="SO116" s="271">
        <f>COUNTIF(SO104:SO115,0.5)</f>
      </c>
      <c r="SP116" s="271">
        <f>COUNTIF(SP104:SP115,0.5)</f>
      </c>
      <c r="SQ116" s="271">
        <f>COUNTIF(SQ104:SQ115,0.5)</f>
      </c>
      <c r="SR116" s="271">
        <f>COUNTIF(SR104:SR115,0.5)</f>
      </c>
      <c r="SS116" s="271">
        <f>COUNTIF(SS104:SS115,0.5)</f>
      </c>
      <c r="ST116" s="271">
        <f>COUNTIF(ST104:ST115,0.5)</f>
      </c>
      <c r="SU116" s="271">
        <f>COUNTIF(SU104:SU115,0.5)</f>
      </c>
      <c r="SV116" s="271">
        <f>COUNTIF(SV104:SV115,0.5)</f>
      </c>
      <c r="SW116" s="271">
        <f>COUNTIF(SW104:SW115,0.5)</f>
      </c>
      <c r="SX116" s="271">
        <f>COUNTIF(SX104:SX115,0.5)</f>
      </c>
      <c r="SY116" s="271">
        <f>COUNTIF(SY104:SY115,0.5)</f>
      </c>
      <c r="SZ116" s="271">
        <f>COUNTIF(SZ104:SZ115,0.5)</f>
      </c>
      <c r="TA116" s="271">
        <f>COUNTIF(TA104:TA115,0.5)</f>
      </c>
      <c r="TB116" s="271">
        <f>COUNTIF(TB104:TB115,0.5)</f>
      </c>
      <c r="TC116" s="271">
        <f>COUNTIF(TC104:TC115,0.5)</f>
      </c>
      <c r="TD116" s="271">
        <f>COUNTIF(TD104:TD115,0.5)</f>
      </c>
      <c r="TE116" s="271">
        <f>COUNTIF(TE104:TE115,0.5)</f>
      </c>
      <c r="TF116" s="271">
        <f>COUNTIF(TF104:TF115,0.5)</f>
      </c>
      <c r="TG116" s="271">
        <f>COUNTIF(TG104:TG115,0.5)</f>
      </c>
      <c r="TH116" s="271">
        <f>COUNTIF(TH104:TH115,0.5)</f>
      </c>
      <c r="TI116" s="269"/>
      <c r="TJ116" s="269"/>
      <c r="TK116" s="282"/>
      <c r="TL116" s="282"/>
      <c r="TM116" s="273"/>
      <c r="TN116" s="271">
        <f>COUNTIF(TN104:TN115,0.5)</f>
      </c>
      <c r="TO116" s="271">
        <f>COUNTIF(TO104:TO115,0.5)</f>
      </c>
      <c r="TP116" s="271">
        <f>COUNTIF(TP104:TP115,0.5)</f>
      </c>
      <c r="TQ116" s="271">
        <f>COUNTIF(TQ104:TQ115,0.5)</f>
      </c>
      <c r="TR116" s="271">
        <f>COUNTIF(TR104:TR115,0.5)</f>
      </c>
      <c r="TS116" s="271">
        <f>COUNTIF(TS104:TS115,0.5)</f>
      </c>
      <c r="TT116" s="271">
        <f>COUNTIF(TT104:TT115,0.5)</f>
      </c>
      <c r="TU116" s="271">
        <f>COUNTIF(TU104:TU115,0.5)</f>
      </c>
      <c r="TV116" s="271">
        <f>COUNTIF(TV104:TV115,0.5)</f>
      </c>
      <c r="TW116" s="271">
        <f>COUNTIF(TW104:TW115,0.5)</f>
      </c>
      <c r="TX116" s="271">
        <f>COUNTIF(TX104:TX115,0.5)</f>
      </c>
      <c r="TY116" s="271">
        <f>COUNTIF(TY104:TY115,0.5)</f>
      </c>
      <c r="TZ116" s="271">
        <f>COUNTIF(TZ104:TZ115,0.5)</f>
      </c>
      <c r="UA116" s="271">
        <f>COUNTIF(UA104:UA115,0.5)</f>
      </c>
      <c r="UB116" s="271">
        <f>COUNTIF(UB104:UB115,0.5)</f>
      </c>
      <c r="UC116" s="271">
        <f>COUNTIF(UC104:UC115,0.5)</f>
      </c>
      <c r="UD116" s="271">
        <f>COUNTIF(UD104:UD115,0.5)</f>
      </c>
      <c r="UE116" s="271">
        <f>COUNTIF(UE104:UE115,0.5)</f>
      </c>
      <c r="UF116" s="271">
        <f>COUNTIF(UF104:UF115,0.5)</f>
      </c>
      <c r="UG116" s="271">
        <f>COUNTIF(UG104:UG115,0.5)</f>
      </c>
      <c r="UH116" s="271">
        <f>COUNTIF(UH104:UH115,0.5)</f>
      </c>
      <c r="UI116" s="271">
        <f>COUNTIF(UI104:UI115,0.5)</f>
      </c>
      <c r="UJ116" s="271">
        <f>COUNTIF(UJ104:UJ115,0.5)</f>
      </c>
      <c r="UK116" s="271">
        <f>COUNTIF(UK104:UK115,0.5)</f>
      </c>
      <c r="UL116" s="269"/>
      <c r="UM116" s="269"/>
      <c r="UN116" s="282"/>
      <c r="UO116" s="657"/>
      <c r="UP116" s="273"/>
      <c r="UQ116" s="273"/>
      <c r="UR116" s="273"/>
      <c r="US116" s="273"/>
      <c r="UT116" s="273"/>
      <c r="UU116" s="273"/>
      <c r="UV116" s="273"/>
      <c r="UW116" s="273"/>
      <c r="UX116" s="273"/>
      <c r="UY116" s="273"/>
      <c r="UZ116" s="273"/>
      <c r="VA116" s="273"/>
      <c r="VB116" s="273"/>
      <c r="VC116" s="273"/>
      <c r="VD116" s="273"/>
      <c r="VE116" s="273"/>
      <c r="VF116" s="273"/>
      <c r="VG116" s="273"/>
      <c r="VH116" s="273"/>
      <c r="VI116" s="273"/>
      <c r="VJ116" s="273"/>
      <c r="VK116" s="273"/>
      <c r="VL116" s="273"/>
      <c r="VM116" s="273"/>
      <c r="VN116" s="273"/>
      <c r="VO116" s="273"/>
      <c r="VP116" s="273"/>
      <c r="VQ116" s="273"/>
      <c r="VR116" s="273"/>
      <c r="VS116" s="273"/>
      <c r="VT116" s="273"/>
      <c r="VU116" s="273"/>
      <c r="VV116" s="273"/>
      <c r="VW116" s="273"/>
      <c r="VX116" s="273"/>
      <c r="VY116" s="273"/>
      <c r="VZ116" s="273"/>
      <c r="WA116" s="273"/>
      <c r="WB116" s="273"/>
      <c r="WC116" s="273"/>
      <c r="WD116" s="273"/>
      <c r="WE116" s="273"/>
      <c r="WF116" s="273"/>
      <c r="WG116" s="273"/>
      <c r="WH116" s="273"/>
      <c r="WI116" s="273"/>
      <c r="WJ116" s="273"/>
      <c r="WK116" s="273"/>
      <c r="WL116" s="273"/>
      <c r="WM116" s="273"/>
      <c r="WN116" s="273"/>
      <c r="WO116" s="273"/>
      <c r="WP116" s="273"/>
      <c r="WQ116" s="273"/>
      <c r="WR116" s="269"/>
      <c r="WS116" s="269"/>
      <c r="WT116" s="657"/>
      <c r="WU116" s="657"/>
      <c r="WV116" s="657"/>
      <c r="WW116" s="659"/>
      <c r="WX116" s="359"/>
      <c r="WY116" s="273"/>
      <c r="WZ116" s="271">
        <f>COUNTIF(WZ104:WZ115,0.5)</f>
      </c>
      <c r="XA116" s="271">
        <f>COUNTIF(XA104:XA115,0.5)</f>
      </c>
      <c r="XB116" s="271">
        <f>COUNTIF(XB104:XB115,0.5)</f>
      </c>
      <c r="XC116" s="271">
        <f>COUNTIF(XC104:XC115,0.5)</f>
      </c>
      <c r="XD116" s="271">
        <f>COUNTIF(XD104:XD115,0.5)</f>
      </c>
      <c r="XE116" s="271">
        <f>COUNTIF(XE104:XE115,0.5)</f>
      </c>
      <c r="XF116" s="271">
        <f>COUNTIF(XF104:XF115,0.5)</f>
      </c>
      <c r="XG116" s="271">
        <f>COUNTIF(XG104:XG115,0.5)</f>
      </c>
      <c r="XH116" s="271">
        <f>COUNTIF(XH104:XH115,0.5)</f>
      </c>
      <c r="XI116" s="271">
        <f>COUNTIF(XI104:XI115,0.5)</f>
      </c>
      <c r="XJ116" s="271">
        <f>COUNTIF(XJ104:XJ115,0.5)</f>
      </c>
      <c r="XK116" s="271">
        <f>COUNTIF(XK104:XK115,0.5)</f>
      </c>
      <c r="XL116" s="271">
        <f>COUNTIF(XL104:XL115,0.5)</f>
      </c>
      <c r="XM116" s="271">
        <f>COUNTIF(XM104:XM115,0.5)</f>
      </c>
      <c r="XN116" s="271">
        <f>COUNTIF(XN104:XN115,0.5)</f>
      </c>
      <c r="XO116" s="271">
        <f>COUNTIF(XO104:XO115,0.5)</f>
      </c>
      <c r="XP116" s="271">
        <f>COUNTIF(XP104:XP115,0.5)</f>
      </c>
      <c r="XQ116" s="271">
        <f>COUNTIF(XQ104:XQ115,0.5)</f>
      </c>
      <c r="XR116" s="271">
        <f>COUNTIF(XR104:XR115,0.5)</f>
      </c>
      <c r="XS116" s="271">
        <f>COUNTIF(XS104:XS115,0.5)</f>
      </c>
      <c r="XT116" s="271">
        <f>COUNTIF(XT104:XT115,0.5)</f>
      </c>
      <c r="XU116" s="271">
        <f>COUNTIF(XU104:XU115,0.5)</f>
      </c>
      <c r="XV116" s="271">
        <f>COUNTIF(XV104:XV115,0.5)</f>
      </c>
      <c r="XW116" s="271">
        <f>COUNTIF(XW104:XW115,0.5)</f>
      </c>
      <c r="XX116" s="269"/>
      <c r="XY116" s="269"/>
      <c r="XZ116" s="657"/>
      <c r="YA116" s="657"/>
      <c r="YB116" s="273"/>
      <c r="YC116" s="271">
        <f>COUNTIF(YC104:YC115,0.5)</f>
      </c>
      <c r="YD116" s="271">
        <f>COUNTIF(YD104:YD115,0.5)</f>
      </c>
      <c r="YE116" s="271">
        <f>COUNTIF(YE104:YE115,0.5)</f>
      </c>
      <c r="YF116" s="271">
        <f>COUNTIF(YF104:YF115,0.5)</f>
      </c>
      <c r="YG116" s="271">
        <f>COUNTIF(YG104:YG115,0.5)</f>
      </c>
      <c r="YH116" s="271">
        <f>COUNTIF(YH104:YH115,0.5)</f>
      </c>
      <c r="YI116" s="271">
        <f>COUNTIF(YI104:YI115,0.5)</f>
      </c>
      <c r="YJ116" s="271">
        <f>COUNTIF(YJ104:YJ115,0.5)</f>
      </c>
      <c r="YK116" s="271">
        <f>COUNTIF(YK104:YK115,0.5)</f>
      </c>
      <c r="YL116" s="271">
        <f>COUNTIF(YL104:YL115,0.5)</f>
      </c>
      <c r="YM116" s="271">
        <f>COUNTIF(YM104:YM115,0.5)</f>
      </c>
      <c r="YN116" s="271">
        <f>COUNTIF(YN104:YN115,0.5)</f>
      </c>
      <c r="YO116" s="271">
        <f>COUNTIF(YO104:YO115,0.5)</f>
      </c>
      <c r="YP116" s="271">
        <f>COUNTIF(YP104:YP115,0.5)</f>
      </c>
      <c r="YQ116" s="271">
        <f>COUNTIF(YQ104:YQ115,0.5)</f>
      </c>
      <c r="YR116" s="271">
        <f>COUNTIF(YR104:YR115,0.5)</f>
      </c>
      <c r="YS116" s="271">
        <f>COUNTIF(YS104:YS115,0.5)</f>
      </c>
      <c r="YT116" s="271">
        <f>COUNTIF(YT104:YT115,0.5)</f>
      </c>
      <c r="YU116" s="271">
        <f>COUNTIF(YU104:YU115,0.5)</f>
      </c>
      <c r="YV116" s="271">
        <f>COUNTIF(YV104:YV115,0.5)</f>
      </c>
      <c r="YW116" s="271">
        <f>COUNTIF(YW104:YW115,0.5)</f>
      </c>
      <c r="YX116" s="271">
        <f>COUNTIF(YX104:YX115,0.5)</f>
      </c>
      <c r="YY116" s="271">
        <f>COUNTIF(YY104:YY115,0.5)</f>
      </c>
      <c r="YZ116" s="271">
        <f>COUNTIF(YZ104:YZ115,0.5)</f>
      </c>
      <c r="ZA116" s="269"/>
      <c r="ZB116" s="269"/>
      <c r="ZC116" s="657"/>
      <c r="ZD116" s="657"/>
      <c r="ZE116" s="273"/>
      <c r="ZF116" s="271">
        <f>COUNTIF(ZF104:ZF115,0.5)</f>
      </c>
      <c r="ZG116" s="271">
        <f>COUNTIF(ZG104:ZG115,0.5)</f>
      </c>
      <c r="ZH116" s="271">
        <f>COUNTIF(ZH104:ZH115,0.5)</f>
      </c>
      <c r="ZI116" s="271">
        <f>COUNTIF(ZI104:ZI115,0.5)</f>
      </c>
      <c r="ZJ116" s="271">
        <f>COUNTIF(ZJ104:ZJ115,0.5)</f>
      </c>
      <c r="ZK116" s="271">
        <f>COUNTIF(ZK104:ZK115,0.5)</f>
      </c>
      <c r="ZL116" s="271">
        <f>COUNTIF(ZL104:ZL115,0.5)</f>
      </c>
      <c r="ZM116" s="271">
        <f>COUNTIF(ZM104:ZM115,0.5)</f>
      </c>
      <c r="ZN116" s="271">
        <f>COUNTIF(ZN104:ZN115,0.5)</f>
      </c>
      <c r="ZO116" s="271">
        <f>COUNTIF(ZO104:ZO115,0.5)</f>
      </c>
      <c r="ZP116" s="271">
        <f>COUNTIF(ZP104:ZP115,0.5)</f>
      </c>
      <c r="ZQ116" s="271">
        <f>COUNTIF(ZQ104:ZQ115,0.5)</f>
      </c>
      <c r="ZR116" s="271">
        <f>COUNTIF(ZR104:ZR115,0.5)</f>
      </c>
      <c r="ZS116" s="271">
        <f>COUNTIF(ZS104:ZS115,0.5)</f>
      </c>
      <c r="ZT116" s="271">
        <f>COUNTIF(ZT104:ZT115,0.5)</f>
      </c>
      <c r="ZU116" s="271">
        <f>COUNTIF(ZU104:ZU115,0.5)</f>
      </c>
      <c r="ZV116" s="271">
        <f>COUNTIF(ZV104:ZV115,0.5)</f>
      </c>
      <c r="ZW116" s="271">
        <f>COUNTIF(ZW104:ZW115,0.5)</f>
      </c>
      <c r="ZX116" s="271">
        <f>COUNTIF(ZX104:ZX115,0.5)</f>
      </c>
      <c r="ZY116" s="271">
        <f>COUNTIF(ZY104:ZY115,0.5)</f>
      </c>
      <c r="ZZ116" s="271">
        <f>COUNTIF(ZZ104:ZZ115,0.5)</f>
      </c>
      <c r="AAA116" s="271">
        <f>COUNTIF(AAA104:AAA115,0.5)</f>
      </c>
      <c r="AAB116" s="271">
        <f>COUNTIF(AAB104:AAB115,0.5)</f>
      </c>
      <c r="AAC116" s="271">
        <f>COUNTIF(AAC104:AAC115,0.5)</f>
      </c>
      <c r="AAD116" s="269"/>
      <c r="AAE116" s="269"/>
      <c r="AAF116" s="657"/>
      <c r="AAG116" s="657"/>
      <c r="AAH116" s="273"/>
      <c r="AAI116" s="271">
        <f>COUNTIF(AAI104:AAI115,0.5)</f>
      </c>
      <c r="AAJ116" s="271">
        <f>COUNTIF(AAJ104:AAJ115,0.5)</f>
      </c>
      <c r="AAK116" s="271">
        <f>COUNTIF(AAK104:AAK115,0.5)</f>
      </c>
      <c r="AAL116" s="271">
        <f>COUNTIF(AAL104:AAL115,0.5)</f>
      </c>
      <c r="AAM116" s="271">
        <f>COUNTIF(AAM104:AAM115,0.5)</f>
      </c>
      <c r="AAN116" s="271">
        <f>COUNTIF(AAN104:AAN115,0.5)</f>
      </c>
      <c r="AAO116" s="271">
        <f>COUNTIF(AAO104:AAO115,0.5)</f>
      </c>
      <c r="AAP116" s="271">
        <f>COUNTIF(AAP104:AAP115,0.5)</f>
      </c>
      <c r="AAQ116" s="271">
        <f>COUNTIF(AAQ104:AAQ115,0.5)</f>
      </c>
      <c r="AAR116" s="271">
        <f>COUNTIF(AAR104:AAR115,0.5)</f>
      </c>
      <c r="AAS116" s="271">
        <f>COUNTIF(AAS104:AAS115,0.5)</f>
      </c>
      <c r="AAT116" s="271">
        <f>COUNTIF(AAT104:AAT115,0.5)</f>
      </c>
      <c r="AAU116" s="271">
        <f>COUNTIF(AAU104:AAU115,0.5)</f>
      </c>
      <c r="AAV116" s="271">
        <f>COUNTIF(AAV104:AAV115,0.5)</f>
      </c>
      <c r="AAW116" s="271">
        <f>COUNTIF(AAW104:AAW115,0.5)</f>
      </c>
      <c r="AAX116" s="271">
        <f>COUNTIF(AAX104:AAX115,0.5)</f>
      </c>
      <c r="AAY116" s="271">
        <f>COUNTIF(AAY104:AAY115,0.5)</f>
      </c>
      <c r="AAZ116" s="271">
        <f>COUNTIF(AAZ104:AAZ115,0.5)</f>
      </c>
      <c r="ABA116" s="271">
        <f>COUNTIF(ABA104:ABA115,0.5)</f>
      </c>
      <c r="ABB116" s="271">
        <f>COUNTIF(ABB104:ABB115,0.5)</f>
      </c>
      <c r="ABC116" s="271">
        <f>COUNTIF(ABC104:ABC115,0.5)</f>
      </c>
      <c r="ABD116" s="271">
        <f>COUNTIF(ABD104:ABD115,0.5)</f>
      </c>
      <c r="ABE116" s="271">
        <f>COUNTIF(ABE104:ABE115,0.5)</f>
      </c>
      <c r="ABF116" s="271">
        <f>COUNTIF(ABF104:ABF115,0.5)</f>
      </c>
      <c r="ABG116" s="269"/>
      <c r="ABH116" s="269"/>
      <c r="ABI116" s="657"/>
      <c r="ABJ116" s="657"/>
      <c r="ABK116" s="273"/>
      <c r="ABL116" s="271">
        <f>COUNTIF(ABL104:ABL115,0.5)</f>
      </c>
      <c r="ABM116" s="271">
        <f>COUNTIF(ABM104:ABM115,0.5)</f>
      </c>
      <c r="ABN116" s="271">
        <f>COUNTIF(ABN104:ABN115,0.5)</f>
      </c>
      <c r="ABO116" s="271">
        <f>COUNTIF(ABO104:ABO115,0.5)</f>
      </c>
      <c r="ABP116" s="271">
        <f>COUNTIF(ABP104:ABP115,0.5)</f>
      </c>
      <c r="ABQ116" s="271">
        <f>COUNTIF(ABQ104:ABQ115,0.5)</f>
      </c>
      <c r="ABR116" s="271">
        <f>COUNTIF(ABR104:ABR115,0.5)</f>
      </c>
      <c r="ABS116" s="271">
        <f>COUNTIF(ABS104:ABS115,0.5)</f>
      </c>
      <c r="ABT116" s="271">
        <f>COUNTIF(ABT104:ABT115,0.5)</f>
      </c>
      <c r="ABU116" s="271">
        <f>COUNTIF(ABU104:ABU115,0.5)</f>
      </c>
      <c r="ABV116" s="271">
        <f>COUNTIF(ABV104:ABV115,0.5)</f>
      </c>
      <c r="ABW116" s="271">
        <f>COUNTIF(ABW104:ABW115,0.5)</f>
      </c>
      <c r="ABX116" s="271">
        <f>COUNTIF(ABX104:ABX115,0.5)</f>
      </c>
      <c r="ABY116" s="271">
        <f>COUNTIF(ABY104:ABY115,0.5)</f>
      </c>
      <c r="ABZ116" s="271">
        <f>COUNTIF(ABZ104:ABZ115,0.5)</f>
      </c>
      <c r="ACA116" s="271">
        <f>COUNTIF(ACA104:ACA115,0.5)</f>
      </c>
      <c r="ACB116" s="271">
        <f>COUNTIF(ACB104:ACB115,0.5)</f>
      </c>
      <c r="ACC116" s="271">
        <f>COUNTIF(ACC104:ACC115,0.5)</f>
      </c>
      <c r="ACD116" s="271">
        <f>COUNTIF(ACD104:ACD115,0.5)</f>
      </c>
      <c r="ACE116" s="271">
        <f>COUNTIF(ACE104:ACE115,0.5)</f>
      </c>
      <c r="ACF116" s="271">
        <f>COUNTIF(ACF104:ACF115,0.5)</f>
      </c>
      <c r="ACG116" s="271">
        <f>COUNTIF(ACG104:ACG115,0.5)</f>
      </c>
      <c r="ACH116" s="271">
        <f>COUNTIF(ACH104:ACH115,0.5)</f>
      </c>
      <c r="ACI116" s="271">
        <f>COUNTIF(ACI104:ACI115,0.5)</f>
      </c>
      <c r="ACJ116" s="269"/>
      <c r="ACK116" s="269"/>
      <c r="ACL116" s="657"/>
      <c r="ACM116" s="657"/>
      <c r="ACN116" s="273"/>
      <c r="ACO116" s="273"/>
      <c r="ACP116" s="273"/>
      <c r="ACQ116" s="273"/>
      <c r="ACR116" s="273"/>
      <c r="ACS116" s="273"/>
      <c r="ACT116" s="273"/>
      <c r="ACU116" s="273"/>
      <c r="ACV116" s="273"/>
      <c r="ACW116" s="273"/>
      <c r="ACX116" s="273"/>
      <c r="ACY116" s="273"/>
      <c r="ACZ116" s="273"/>
      <c r="ADA116" s="273"/>
      <c r="ADB116" s="273"/>
      <c r="ADC116" s="273"/>
      <c r="ADD116" s="273"/>
      <c r="ADE116" s="273"/>
      <c r="ADF116" s="273"/>
      <c r="ADG116" s="273"/>
      <c r="ADH116" s="273"/>
      <c r="ADI116" s="273"/>
      <c r="ADJ116" s="273"/>
      <c r="ADK116" s="273"/>
      <c r="ADL116" s="273"/>
      <c r="ADM116" s="273"/>
      <c r="ADN116" s="273"/>
      <c r="ADO116" s="273"/>
      <c r="ADP116" s="273"/>
      <c r="ADQ116" s="273"/>
      <c r="ADR116" s="273"/>
      <c r="ADS116" s="273"/>
      <c r="ADT116" s="273"/>
      <c r="ADU116" s="273"/>
      <c r="ADV116" s="273"/>
      <c r="ADW116" s="273"/>
      <c r="ADX116" s="273"/>
      <c r="ADY116" s="273"/>
      <c r="ADZ116" s="273"/>
      <c r="AEA116" s="273"/>
      <c r="AEB116" s="273"/>
      <c r="AEC116" s="273"/>
      <c r="AED116" s="273"/>
      <c r="AEE116" s="273"/>
      <c r="AEF116" s="273"/>
      <c r="AEG116" s="273"/>
      <c r="AEH116" s="273"/>
      <c r="AEI116" s="273"/>
      <c r="AEJ116" s="273"/>
      <c r="AEK116" s="273"/>
      <c r="AEL116" s="273"/>
      <c r="AEM116" s="273"/>
      <c r="AEN116" s="273"/>
      <c r="AEO116" s="273"/>
      <c r="AEP116" s="269"/>
      <c r="AEQ116" s="269"/>
      <c r="AER116" s="657"/>
      <c r="AES116" s="657"/>
      <c r="AET116" s="657"/>
      <c r="AEU116" s="659"/>
      <c r="AEV116" s="359"/>
      <c r="AEW116" s="273"/>
      <c r="AEX116" s="271">
        <f>COUNTIF(AEX104:AEX115,0.5)</f>
      </c>
      <c r="AEY116" s="271">
        <f>COUNTIF(AEY104:AEY115,0.5)</f>
      </c>
      <c r="AEZ116" s="271">
        <f>COUNTIF(AEZ104:AEZ115,0.5)</f>
      </c>
      <c r="AFA116" s="271">
        <f>COUNTIF(AFA104:AFA115,0.5)</f>
      </c>
      <c r="AFB116" s="271">
        <f>COUNTIF(AFB104:AFB115,0.5)</f>
      </c>
      <c r="AFC116" s="271">
        <f>COUNTIF(AFC104:AFC115,0.5)</f>
      </c>
      <c r="AFD116" s="271">
        <f>COUNTIF(AFD104:AFD115,0.5)</f>
      </c>
      <c r="AFE116" s="271">
        <f>COUNTIF(AFE104:AFE115,0.5)</f>
      </c>
      <c r="AFF116" s="271">
        <f>COUNTIF(AFF104:AFF115,0.5)</f>
      </c>
      <c r="AFG116" s="271">
        <f>COUNTIF(AFG104:AFG115,0.5)</f>
      </c>
      <c r="AFH116" s="271">
        <f>COUNTIF(AFH104:AFH115,0.5)</f>
      </c>
      <c r="AFI116" s="271">
        <f>COUNTIF(AFI104:AFI115,0.5)</f>
      </c>
      <c r="AFJ116" s="271">
        <f>COUNTIF(AFJ104:AFJ115,0.5)</f>
      </c>
      <c r="AFK116" s="271">
        <f>COUNTIF(AFK104:AFK115,0.5)</f>
      </c>
      <c r="AFL116" s="271">
        <f>COUNTIF(AFL104:AFL115,0.5)</f>
      </c>
      <c r="AFM116" s="271">
        <f>COUNTIF(AFM104:AFM115,0.5)</f>
      </c>
      <c r="AFN116" s="271">
        <f>COUNTIF(AFN104:AFN115,0.5)</f>
      </c>
      <c r="AFO116" s="271">
        <f>COUNTIF(AFO104:AFO115,0.5)</f>
      </c>
      <c r="AFP116" s="271">
        <f>COUNTIF(AFP104:AFP115,0.5)</f>
      </c>
      <c r="AFQ116" s="271">
        <f>COUNTIF(AFQ104:AFQ115,0.5)</f>
      </c>
      <c r="AFR116" s="271">
        <f>COUNTIF(AFR104:AFR115,0.5)</f>
      </c>
      <c r="AFS116" s="271">
        <f>COUNTIF(AFS104:AFS115,0.5)</f>
      </c>
      <c r="AFT116" s="271">
        <f>COUNTIF(AFT104:AFT115,0.5)</f>
      </c>
      <c r="AFU116" s="271">
        <f>COUNTIF(AFU104:AFU115,0.5)</f>
      </c>
      <c r="AFV116" s="269"/>
      <c r="AFW116" s="269"/>
      <c r="AFX116" s="657"/>
      <c r="AFY116" s="657"/>
      <c r="AFZ116" s="273"/>
      <c r="AGA116" s="271">
        <f>COUNTIF(AGA104:AGA115,0.5)</f>
      </c>
      <c r="AGB116" s="271">
        <f>COUNTIF(AGB104:AGB115,0.5)</f>
      </c>
      <c r="AGC116" s="271">
        <f>COUNTIF(AGC104:AGC115,0.5)</f>
      </c>
      <c r="AGD116" s="271">
        <f>COUNTIF(AGD104:AGD115,0.5)</f>
      </c>
      <c r="AGE116" s="271">
        <f>COUNTIF(AGE104:AGE115,0.5)</f>
      </c>
      <c r="AGF116" s="271">
        <f>COUNTIF(AGF104:AGF115,0.5)</f>
      </c>
      <c r="AGG116" s="271">
        <f>COUNTIF(AGG104:AGG115,0.5)</f>
      </c>
      <c r="AGH116" s="271">
        <f>COUNTIF(AGH104:AGH115,0.5)</f>
      </c>
      <c r="AGI116" s="271">
        <f>COUNTIF(AGI104:AGI115,0.5)</f>
      </c>
      <c r="AGJ116" s="271">
        <f>COUNTIF(AGJ104:AGJ115,0.5)</f>
      </c>
      <c r="AGK116" s="271">
        <f>COUNTIF(AGK104:AGK115,0.5)</f>
      </c>
      <c r="AGL116" s="271">
        <f>COUNTIF(AGL104:AGL115,0.5)</f>
      </c>
      <c r="AGM116" s="271">
        <f>COUNTIF(AGM104:AGM115,0.5)</f>
      </c>
      <c r="AGN116" s="271">
        <f>COUNTIF(AGN104:AGN115,0.5)</f>
      </c>
      <c r="AGO116" s="271">
        <f>COUNTIF(AGO104:AGO115,0.5)</f>
      </c>
      <c r="AGP116" s="271">
        <f>COUNTIF(AGP104:AGP115,0.5)</f>
      </c>
      <c r="AGQ116" s="271">
        <f>COUNTIF(AGQ104:AGQ115,0.5)</f>
      </c>
      <c r="AGR116" s="271">
        <f>COUNTIF(AGR104:AGR115,0.5)</f>
      </c>
      <c r="AGS116" s="271">
        <f>COUNTIF(AGS104:AGS115,0.5)</f>
      </c>
      <c r="AGT116" s="271">
        <f>COUNTIF(AGT104:AGT115,0.5)</f>
      </c>
      <c r="AGU116" s="271">
        <f>COUNTIF(AGU104:AGU115,0.5)</f>
      </c>
      <c r="AGV116" s="271">
        <f>COUNTIF(AGV104:AGV115,0.5)</f>
      </c>
      <c r="AGW116" s="271">
        <f>COUNTIF(AGW104:AGW115,0.5)</f>
      </c>
      <c r="AGX116" s="271">
        <f>COUNTIF(AGX104:AGX115,0.5)</f>
      </c>
      <c r="AGY116" s="269"/>
      <c r="AGZ116" s="269"/>
      <c r="AHA116" s="657"/>
      <c r="AHB116" s="657"/>
      <c r="AHC116" s="273"/>
      <c r="AHD116" s="271">
        <f>COUNTIF(AHD104:AHD115,0.5)</f>
      </c>
      <c r="AHE116" s="271">
        <f>COUNTIF(AHE104:AHE115,0.5)</f>
      </c>
      <c r="AHF116" s="271">
        <f>COUNTIF(AHF104:AHF115,0.5)</f>
      </c>
      <c r="AHG116" s="271">
        <f>COUNTIF(AHG104:AHG115,0.5)</f>
      </c>
      <c r="AHH116" s="271">
        <f>COUNTIF(AHH104:AHH115,0.5)</f>
      </c>
      <c r="AHI116" s="271">
        <f>COUNTIF(AHI104:AHI115,0.5)</f>
      </c>
      <c r="AHJ116" s="271">
        <f>COUNTIF(AHJ104:AHJ115,0.5)</f>
      </c>
      <c r="AHK116" s="271">
        <f>COUNTIF(AHK104:AHK115,0.5)</f>
      </c>
      <c r="AHL116" s="271">
        <f>COUNTIF(AHL104:AHL115,0.5)</f>
      </c>
      <c r="AHM116" s="271">
        <f>COUNTIF(AHM104:AHM115,0.5)</f>
      </c>
      <c r="AHN116" s="271">
        <f>COUNTIF(AHN104:AHN115,0.5)</f>
      </c>
      <c r="AHO116" s="271">
        <f>COUNTIF(AHO104:AHO115,0.5)</f>
      </c>
      <c r="AHP116" s="271">
        <f>COUNTIF(AHP104:AHP115,0.5)</f>
      </c>
      <c r="AHQ116" s="271">
        <f>COUNTIF(AHQ104:AHQ115,0.5)</f>
      </c>
      <c r="AHR116" s="271">
        <f>COUNTIF(AHR104:AHR115,0.5)</f>
      </c>
      <c r="AHS116" s="271">
        <f>COUNTIF(AHS104:AHS115,0.5)</f>
      </c>
      <c r="AHT116" s="271">
        <f>COUNTIF(AHT104:AHT115,0.5)</f>
      </c>
      <c r="AHU116" s="271">
        <f>COUNTIF(AHU104:AHU115,0.5)</f>
      </c>
      <c r="AHV116" s="271">
        <f>COUNTIF(AHV104:AHV115,0.5)</f>
      </c>
      <c r="AHW116" s="271">
        <f>COUNTIF(AHW104:AHW115,0.5)</f>
      </c>
      <c r="AHX116" s="271">
        <f>COUNTIF(AHX104:AHX115,0.5)</f>
      </c>
      <c r="AHY116" s="271">
        <f>COUNTIF(AHY104:AHY115,0.5)</f>
      </c>
      <c r="AHZ116" s="271">
        <f>COUNTIF(AHZ104:AHZ115,0.5)</f>
      </c>
      <c r="AIA116" s="271">
        <f>COUNTIF(AIA104:AIA115,0.5)</f>
      </c>
      <c r="AIB116" s="269"/>
      <c r="AIC116" s="269"/>
      <c r="AID116" s="657"/>
      <c r="AIE116" s="657"/>
      <c r="AIF116" s="273"/>
      <c r="AIG116" s="271">
        <f>COUNTIF(AIG104:AIG115,0.5)</f>
      </c>
      <c r="AIH116" s="271">
        <f>COUNTIF(AIH104:AIH115,0.5)</f>
      </c>
      <c r="AII116" s="271">
        <f>COUNTIF(AII104:AII115,0.5)</f>
      </c>
      <c r="AIJ116" s="271">
        <f>COUNTIF(AIJ104:AIJ115,0.5)</f>
      </c>
      <c r="AIK116" s="271">
        <f>COUNTIF(AIK104:AIK115,0.5)</f>
      </c>
      <c r="AIL116" s="271">
        <f>COUNTIF(AIL104:AIL115,0.5)</f>
      </c>
      <c r="AIM116" s="271">
        <f>COUNTIF(AIM104:AIM115,0.5)</f>
      </c>
      <c r="AIN116" s="271">
        <f>COUNTIF(AIN104:AIN115,0.5)</f>
      </c>
      <c r="AIO116" s="271">
        <f>COUNTIF(AIO104:AIO115,0.5)</f>
      </c>
      <c r="AIP116" s="271">
        <f>COUNTIF(AIP104:AIP115,0.5)</f>
      </c>
      <c r="AIQ116" s="271">
        <f>COUNTIF(AIQ104:AIQ115,0.5)</f>
      </c>
      <c r="AIR116" s="271">
        <f>COUNTIF(AIR104:AIR115,0.5)</f>
      </c>
      <c r="AIS116" s="271">
        <f>COUNTIF(AIS104:AIS115,0.5)</f>
      </c>
      <c r="AIT116" s="271">
        <f>COUNTIF(AIT104:AIT115,0.5)</f>
      </c>
      <c r="AIU116" s="271">
        <f>COUNTIF(AIU104:AIU115,0.5)</f>
      </c>
      <c r="AIV116" s="271">
        <f>COUNTIF(AIV104:AIV115,0.5)</f>
      </c>
      <c r="AIW116" s="271">
        <f>COUNTIF(AIW104:AIW115,0.5)</f>
      </c>
      <c r="AIX116" s="271">
        <f>COUNTIF(AIX104:AIX115,0.5)</f>
      </c>
      <c r="AIY116" s="271">
        <f>COUNTIF(AIY104:AIY115,0.5)</f>
      </c>
      <c r="AIZ116" s="271">
        <f>COUNTIF(AIZ104:AIZ115,0.5)</f>
      </c>
      <c r="AJA116" s="271">
        <f>COUNTIF(AJA104:AJA115,0.5)</f>
      </c>
      <c r="AJB116" s="271">
        <f>COUNTIF(AJB104:AJB115,0.5)</f>
      </c>
      <c r="AJC116" s="271">
        <f>COUNTIF(AJC104:AJC115,0.5)</f>
      </c>
      <c r="AJD116" s="271">
        <f>COUNTIF(AJD104:AJD115,0.5)</f>
      </c>
      <c r="AJE116" s="269"/>
      <c r="AJF116" s="269"/>
      <c r="AJG116" s="657"/>
      <c r="AJH116" s="657"/>
      <c r="AJI116" s="273"/>
      <c r="AJJ116" s="271">
        <f>COUNTIF(AJJ104:AJJ115,0.5)</f>
      </c>
      <c r="AJK116" s="271">
        <f>COUNTIF(AJK104:AJK115,0.5)</f>
      </c>
      <c r="AJL116" s="271">
        <f>COUNTIF(AJL104:AJL115,0.5)</f>
      </c>
      <c r="AJM116" s="271">
        <f>COUNTIF(AJM104:AJM115,0.5)</f>
      </c>
      <c r="AJN116" s="271">
        <f>COUNTIF(AJN104:AJN115,0.5)</f>
      </c>
      <c r="AJO116" s="271">
        <f>COUNTIF(AJO104:AJO115,0.5)</f>
      </c>
      <c r="AJP116" s="271">
        <f>COUNTIF(AJP104:AJP115,0.5)</f>
      </c>
      <c r="AJQ116" s="271">
        <f>COUNTIF(AJQ104:AJQ115,0.5)</f>
      </c>
      <c r="AJR116" s="271">
        <f>COUNTIF(AJR104:AJR115,0.5)</f>
      </c>
      <c r="AJS116" s="271">
        <f>COUNTIF(AJS104:AJS115,0.5)</f>
      </c>
      <c r="AJT116" s="271">
        <f>COUNTIF(AJT104:AJT115,0.5)</f>
      </c>
      <c r="AJU116" s="271">
        <f>COUNTIF(AJU104:AJU115,0.5)</f>
      </c>
      <c r="AJV116" s="271">
        <f>COUNTIF(AJV104:AJV115,0.5)</f>
      </c>
      <c r="AJW116" s="271">
        <f>COUNTIF(AJW104:AJW115,0.5)</f>
      </c>
      <c r="AJX116" s="271">
        <f>COUNTIF(AJX104:AJX115,0.5)</f>
      </c>
      <c r="AJY116" s="271">
        <f>COUNTIF(AJY104:AJY115,0.5)</f>
      </c>
      <c r="AJZ116" s="271">
        <f>COUNTIF(AJZ104:AJZ115,0.5)</f>
      </c>
      <c r="AKA116" s="271">
        <f>COUNTIF(AKA104:AKA115,0.5)</f>
      </c>
      <c r="AKB116" s="271">
        <f>COUNTIF(AKB104:AKB115,0.5)</f>
      </c>
      <c r="AKC116" s="271">
        <f>COUNTIF(AKC104:AKC115,0.5)</f>
      </c>
      <c r="AKD116" s="271">
        <f>COUNTIF(AKD104:AKD115,0.5)</f>
      </c>
      <c r="AKE116" s="271">
        <f>COUNTIF(AKE104:AKE115,0.5)</f>
      </c>
      <c r="AKF116" s="271">
        <f>COUNTIF(AKF104:AKF115,0.5)</f>
      </c>
      <c r="AKG116" s="271">
        <f>COUNTIF(AKG104:AKG115,0.5)</f>
      </c>
      <c r="AKH116" s="269"/>
      <c r="AKI116" s="269"/>
      <c r="AKJ116" s="657"/>
      <c r="AKK116" s="657"/>
      <c r="AKL116" s="273"/>
      <c r="AKM116" s="273"/>
      <c r="AKN116" s="273"/>
      <c r="AKO116" s="273"/>
      <c r="AKP116" s="273"/>
      <c r="AKQ116" s="273"/>
      <c r="AKR116" s="273"/>
      <c r="AKS116" s="273"/>
      <c r="AKT116" s="273"/>
      <c r="AKU116" s="273"/>
      <c r="AKV116" s="273"/>
      <c r="AKW116" s="273"/>
      <c r="AKX116" s="273"/>
      <c r="AKY116" s="273"/>
      <c r="AKZ116" s="273"/>
      <c r="ALA116" s="273"/>
      <c r="ALB116" s="273"/>
      <c r="ALC116" s="273"/>
      <c r="ALD116" s="273"/>
      <c r="ALE116" s="273"/>
      <c r="ALF116" s="273"/>
      <c r="ALG116" s="273"/>
      <c r="ALH116" s="273"/>
      <c r="ALI116" s="273"/>
      <c r="ALJ116" s="273"/>
      <c r="ALK116" s="273"/>
      <c r="ALL116" s="273"/>
      <c r="ALM116" s="273"/>
      <c r="ALN116" s="273"/>
      <c r="ALO116" s="273"/>
      <c r="ALP116" s="273"/>
      <c r="ALQ116" s="273"/>
      <c r="ALR116" s="273"/>
      <c r="ALS116" s="273"/>
      <c r="ALT116" s="273"/>
      <c r="ALU116" s="273"/>
      <c r="ALV116" s="273"/>
      <c r="ALW116" s="273"/>
      <c r="ALX116" s="273"/>
      <c r="ALY116" s="273"/>
      <c r="ALZ116" s="273"/>
      <c r="AMA116" s="273"/>
      <c r="AMB116" s="273"/>
      <c r="AMC116" s="273"/>
      <c r="AMD116" s="273"/>
      <c r="AME116" s="273"/>
      <c r="AMF116" s="273"/>
      <c r="AMG116" s="273"/>
      <c r="AMH116" s="273"/>
      <c r="AMI116" s="273"/>
      <c r="AMJ116" s="273"/>
      <c r="AMK116" s="273"/>
      <c r="AML116" s="273"/>
      <c r="AMM116" s="273"/>
      <c r="AMN116" s="269"/>
      <c r="AMO116" s="269"/>
      <c r="AMP116" s="657"/>
      <c r="AMQ116" s="657"/>
      <c r="AMR116" s="657"/>
      <c r="AMS116" s="659"/>
      <c r="AMT116" s="4"/>
      <c r="AMU116" s="4"/>
      <c r="AMV116" s="4"/>
      <c r="AMW116" s="4"/>
      <c r="AMX116" s="4"/>
      <c r="AMY116" s="4"/>
      <c r="AMZ116" s="4"/>
      <c r="ANA116" s="4"/>
      <c r="ANB116" s="4"/>
      <c r="ANC116" s="4"/>
      <c r="AND116" s="4"/>
      <c r="ANE116" s="4"/>
      <c r="ANF116" s="4"/>
      <c r="ANG116" s="4"/>
      <c r="ANH116" s="4"/>
      <c r="ANI116" s="4"/>
      <c r="ANJ116" s="4"/>
      <c r="ANK116" s="4"/>
      <c r="ANL116" s="4"/>
      <c r="ANM116" s="4"/>
      <c r="ANN116" s="4"/>
      <c r="ANO116" s="4"/>
      <c r="ANP116" s="4"/>
      <c r="ANQ116" s="4"/>
      <c r="ANR116" s="4"/>
      <c r="ANS116" s="4"/>
      <c r="ANT116" s="4"/>
      <c r="ANU116" s="4"/>
      <c r="ANV116" s="4"/>
      <c r="ANW116" s="4"/>
      <c r="ANX116" s="4"/>
      <c r="ANY116" s="4"/>
      <c r="ANZ116" s="4"/>
      <c r="AOA116" s="4"/>
      <c r="AOB116" s="4"/>
      <c r="AOC116" s="4"/>
      <c r="AOD116" s="4"/>
      <c r="AOE116" s="4"/>
      <c r="AOF116" s="4"/>
      <c r="AOG116" s="4"/>
      <c r="AOH116" s="4"/>
      <c r="AOI116" s="4"/>
      <c r="AOJ116" s="4"/>
      <c r="AOK116" s="4"/>
      <c r="AOL116" s="4"/>
      <c r="AOM116" s="4"/>
      <c r="AON116" s="4"/>
      <c r="AOO116" s="4"/>
      <c r="AOP116" s="4"/>
      <c r="AOQ116" s="4"/>
      <c r="AOR116" s="4"/>
      <c r="AOS116" s="4"/>
      <c r="AOT116" s="4"/>
      <c r="AOU116" s="4"/>
      <c r="AOV116" s="4"/>
      <c r="AOW116" s="4"/>
      <c r="AOX116" s="4"/>
      <c r="AOY116" s="4"/>
      <c r="AOZ116" s="4"/>
      <c r="APA116" s="4"/>
      <c r="APB116" s="4"/>
      <c r="APC116" s="4"/>
      <c r="APD116" s="4"/>
      <c r="APE116" s="4"/>
      <c r="APF116" s="4"/>
      <c r="APG116" s="4"/>
      <c r="APH116" s="4"/>
      <c r="API116" s="4"/>
      <c r="APJ116" s="4"/>
      <c r="APK116" s="4"/>
      <c r="APL116" s="4"/>
      <c r="APM116" s="4"/>
      <c r="APN116" s="4"/>
      <c r="APO116" s="4"/>
      <c r="APP116" s="4"/>
      <c r="APQ116" s="4"/>
      <c r="APR116" s="4"/>
      <c r="APS116" s="4"/>
      <c r="APT116" s="4"/>
      <c r="APU116" s="4"/>
      <c r="APV116" s="4"/>
      <c r="APW116" s="4"/>
      <c r="APX116" s="4"/>
      <c r="APY116" s="4"/>
      <c r="APZ116" s="4"/>
      <c r="AQA116" s="4"/>
      <c r="AQB116" s="4"/>
      <c r="AQC116" s="4"/>
      <c r="AQD116" s="4"/>
      <c r="AQE116" s="4"/>
      <c r="AQF116" s="4"/>
      <c r="AQG116" s="4"/>
      <c r="AQH116" s="4"/>
      <c r="AQI116" s="4"/>
      <c r="AQJ116" s="4"/>
      <c r="AQK116" s="4"/>
      <c r="AQL116" s="4"/>
      <c r="AQM116" s="4"/>
      <c r="AQN116" s="4"/>
      <c r="AQO116" s="4"/>
      <c r="AQP116" s="4"/>
      <c r="AQQ116" s="4"/>
      <c r="AQR116" s="4"/>
      <c r="AQS116" s="4"/>
      <c r="AQT116" s="4"/>
      <c r="AQU116" s="4"/>
      <c r="AQV116" s="4"/>
      <c r="AQW116" s="4"/>
      <c r="AQX116" s="4"/>
      <c r="AQY116" s="4"/>
      <c r="AQZ116" s="4"/>
      <c r="ARA116" s="4"/>
      <c r="ARB116" s="4"/>
      <c r="ARC116" s="4"/>
      <c r="ARD116" s="4"/>
      <c r="ARE116" s="4"/>
      <c r="ARF116" s="4"/>
      <c r="ARG116" s="4"/>
      <c r="ARH116" s="4"/>
      <c r="ARI116" s="4"/>
      <c r="ARJ116" s="4"/>
      <c r="ARK116" s="4"/>
      <c r="ARL116" s="4"/>
      <c r="ARM116" s="4"/>
      <c r="ARN116" s="4"/>
      <c r="ARO116" s="4"/>
      <c r="ARP116" s="4"/>
      <c r="ARQ116" s="4"/>
      <c r="ARR116" s="4"/>
      <c r="ARS116" s="4"/>
      <c r="ART116" s="4"/>
      <c r="ARU116" s="4"/>
      <c r="ARV116" s="4"/>
      <c r="ARW116" s="4"/>
      <c r="ARX116" s="4"/>
      <c r="ARY116" s="4"/>
      <c r="ARZ116" s="4"/>
      <c r="ASA116" s="4"/>
      <c r="ASB116" s="4"/>
      <c r="ASC116" s="4"/>
      <c r="ASD116" s="4"/>
      <c r="ASE116" s="4"/>
      <c r="ASF116" s="4"/>
      <c r="ASG116" s="4"/>
      <c r="ASH116" s="4"/>
      <c r="ASI116" s="4"/>
      <c r="ASJ116" s="4"/>
      <c r="ASK116" s="4"/>
      <c r="ASL116" s="4"/>
      <c r="ASM116" s="4"/>
      <c r="ASN116" s="4"/>
      <c r="ASO116" s="4"/>
      <c r="ASP116" s="4"/>
      <c r="ASQ116" s="4"/>
      <c r="ASR116" s="4"/>
      <c r="ASS116" s="4"/>
      <c r="AST116" s="4"/>
      <c r="ASU116" s="4"/>
    </row>
    <row r="117" ht="15.75" customHeight="1" spans="1:1191" x14ac:dyDescent="0.25">
      <c r="A117" s="9"/>
      <c r="B117" s="360"/>
      <c r="C117" s="657"/>
      <c r="D117" s="273"/>
      <c r="E117" s="273"/>
      <c r="F117" s="277"/>
      <c r="G117" s="278" t="s">
        <v>74</v>
      </c>
      <c r="H117" s="279"/>
      <c r="I117" s="280">
        <f>SUM(F116:AC116)/16</f>
      </c>
      <c r="J117" s="279"/>
      <c r="K117" s="277"/>
      <c r="L117" s="277"/>
      <c r="M117" s="277"/>
      <c r="N117" s="277"/>
      <c r="O117" s="277"/>
      <c r="P117" s="277"/>
      <c r="Q117" s="277"/>
      <c r="R117" s="277"/>
      <c r="S117" s="277"/>
      <c r="T117" s="277"/>
      <c r="U117" s="277"/>
      <c r="V117" s="277"/>
      <c r="W117" s="277"/>
      <c r="X117" s="277"/>
      <c r="Y117" s="277"/>
      <c r="Z117" s="277"/>
      <c r="AA117" s="277"/>
      <c r="AB117" s="277"/>
      <c r="AC117" s="277"/>
      <c r="AD117" s="277"/>
      <c r="AE117" s="277"/>
      <c r="AF117" s="657"/>
      <c r="AG117" s="657"/>
      <c r="AH117" s="273"/>
      <c r="AI117" s="277"/>
      <c r="AJ117" s="278" t="s">
        <v>74</v>
      </c>
      <c r="AK117" s="279"/>
      <c r="AL117" s="280">
        <f>SUM(AI116:BF116)/16</f>
      </c>
      <c r="AM117" s="279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657"/>
      <c r="BJ117" s="657"/>
      <c r="BK117" s="273"/>
      <c r="BL117" s="277"/>
      <c r="BM117" s="278" t="s">
        <v>74</v>
      </c>
      <c r="BN117" s="279"/>
      <c r="BO117" s="280">
        <f>SUM(BL116:CI116)/16</f>
      </c>
      <c r="BP117" s="279"/>
      <c r="BQ117" s="277"/>
      <c r="BR117" s="277"/>
      <c r="BS117" s="277"/>
      <c r="BT117" s="277"/>
      <c r="BU117" s="277"/>
      <c r="BV117" s="277"/>
      <c r="BW117" s="277"/>
      <c r="BX117" s="277"/>
      <c r="BY117" s="277"/>
      <c r="BZ117" s="277"/>
      <c r="CA117" s="277"/>
      <c r="CB117" s="277"/>
      <c r="CC117" s="277"/>
      <c r="CD117" s="277"/>
      <c r="CE117" s="277"/>
      <c r="CF117" s="277"/>
      <c r="CG117" s="277"/>
      <c r="CH117" s="277"/>
      <c r="CI117" s="277"/>
      <c r="CJ117" s="277"/>
      <c r="CK117" s="277"/>
      <c r="CL117" s="657"/>
      <c r="CM117" s="657"/>
      <c r="CN117" s="273"/>
      <c r="CO117" s="277"/>
      <c r="CP117" s="278" t="s">
        <v>74</v>
      </c>
      <c r="CQ117" s="279"/>
      <c r="CR117" s="280">
        <f>SUM(CO116:DL116)/16</f>
      </c>
      <c r="CS117" s="279"/>
      <c r="CT117" s="277"/>
      <c r="CU117" s="277"/>
      <c r="CV117" s="277"/>
      <c r="CW117" s="277"/>
      <c r="CX117" s="277"/>
      <c r="CY117" s="277"/>
      <c r="CZ117" s="277"/>
      <c r="DA117" s="277"/>
      <c r="DB117" s="277"/>
      <c r="DC117" s="277"/>
      <c r="DD117" s="277"/>
      <c r="DE117" s="277"/>
      <c r="DF117" s="277"/>
      <c r="DG117" s="277"/>
      <c r="DH117" s="277"/>
      <c r="DI117" s="277"/>
      <c r="DJ117" s="277"/>
      <c r="DK117" s="277"/>
      <c r="DL117" s="277"/>
      <c r="DM117" s="277"/>
      <c r="DN117" s="277"/>
      <c r="DO117" s="657"/>
      <c r="DP117" s="657"/>
      <c r="DQ117" s="273"/>
      <c r="DR117" s="277"/>
      <c r="DS117" s="278" t="s">
        <v>74</v>
      </c>
      <c r="DT117" s="279"/>
      <c r="DU117" s="280">
        <f>SUM(DR116:EO116)/16</f>
      </c>
      <c r="DV117" s="279"/>
      <c r="DW117" s="277"/>
      <c r="DX117" s="277"/>
      <c r="DY117" s="277"/>
      <c r="DZ117" s="277"/>
      <c r="EA117" s="277"/>
      <c r="EB117" s="277"/>
      <c r="EC117" s="277"/>
      <c r="ED117" s="277"/>
      <c r="EE117" s="277"/>
      <c r="EF117" s="277"/>
      <c r="EG117" s="277"/>
      <c r="EH117" s="277"/>
      <c r="EI117" s="277"/>
      <c r="EJ117" s="277"/>
      <c r="EK117" s="277"/>
      <c r="EL117" s="277"/>
      <c r="EM117" s="277"/>
      <c r="EN117" s="277"/>
      <c r="EO117" s="277"/>
      <c r="EP117" s="277"/>
      <c r="EQ117" s="277"/>
      <c r="ER117" s="657"/>
      <c r="ES117" s="657"/>
      <c r="ET117" s="273"/>
      <c r="EU117" s="277"/>
      <c r="EV117" s="273"/>
      <c r="EW117" s="273"/>
      <c r="EX117" s="273"/>
      <c r="EY117" s="273"/>
      <c r="EZ117" s="273"/>
      <c r="FA117" s="273"/>
      <c r="FB117" s="273"/>
      <c r="FC117" s="273"/>
      <c r="FD117" s="273"/>
      <c r="FE117" s="273"/>
      <c r="FF117" s="273"/>
      <c r="FG117" s="273"/>
      <c r="FH117" s="273"/>
      <c r="FI117" s="273"/>
      <c r="FJ117" s="273"/>
      <c r="FK117" s="273"/>
      <c r="FL117" s="273"/>
      <c r="FM117" s="273"/>
      <c r="FN117" s="273"/>
      <c r="FO117" s="273"/>
      <c r="FP117" s="273"/>
      <c r="FQ117" s="273"/>
      <c r="FR117" s="273"/>
      <c r="FS117" s="273"/>
      <c r="FT117" s="273"/>
      <c r="FU117" s="273"/>
      <c r="FV117" s="273"/>
      <c r="FW117" s="273"/>
      <c r="FX117" s="273"/>
      <c r="FY117" s="273"/>
      <c r="FZ117" s="273"/>
      <c r="GA117" s="273"/>
      <c r="GB117" s="273"/>
      <c r="GC117" s="277"/>
      <c r="GD117" s="277"/>
      <c r="GE117" s="277"/>
      <c r="GF117" s="277"/>
      <c r="GG117" s="277"/>
      <c r="GH117" s="277"/>
      <c r="GI117" s="277"/>
      <c r="GJ117" s="277"/>
      <c r="GK117" s="277"/>
      <c r="GL117" s="277"/>
      <c r="GM117" s="277"/>
      <c r="GN117" s="277"/>
      <c r="GO117" s="277"/>
      <c r="GP117" s="277"/>
      <c r="GQ117" s="277"/>
      <c r="GR117" s="277"/>
      <c r="GS117" s="277"/>
      <c r="GT117" s="277"/>
      <c r="GU117" s="277"/>
      <c r="GV117" s="277"/>
      <c r="GW117" s="277"/>
      <c r="GX117" s="657"/>
      <c r="GY117" s="657"/>
      <c r="GZ117" s="657"/>
      <c r="HA117" s="659"/>
      <c r="HB117" s="359"/>
      <c r="HC117" s="273"/>
      <c r="HD117" s="277"/>
      <c r="HE117" s="278" t="s">
        <v>74</v>
      </c>
      <c r="HF117" s="279"/>
      <c r="HG117" s="280">
        <f>SUM(HD116:IA116)/16</f>
      </c>
      <c r="HH117" s="279"/>
      <c r="HI117" s="277"/>
      <c r="HJ117" s="277"/>
      <c r="HK117" s="277"/>
      <c r="HL117" s="277"/>
      <c r="HM117" s="277"/>
      <c r="HN117" s="277"/>
      <c r="HO117" s="277"/>
      <c r="HP117" s="277"/>
      <c r="HQ117" s="277"/>
      <c r="HR117" s="277"/>
      <c r="HS117" s="277"/>
      <c r="HT117" s="277"/>
      <c r="HU117" s="277"/>
      <c r="HV117" s="277"/>
      <c r="HW117" s="277"/>
      <c r="HX117" s="277"/>
      <c r="HY117" s="277"/>
      <c r="HZ117" s="277"/>
      <c r="IA117" s="277"/>
      <c r="IB117" s="277"/>
      <c r="IC117" s="277"/>
      <c r="ID117" s="657"/>
      <c r="IE117" s="657"/>
      <c r="IF117" s="273"/>
      <c r="IG117" s="277"/>
      <c r="IH117" s="278" t="s">
        <v>74</v>
      </c>
      <c r="II117" s="279"/>
      <c r="IJ117" s="280">
        <f>SUM(IG116:JD116)/16</f>
      </c>
      <c r="IK117" s="279"/>
      <c r="IL117" s="277"/>
      <c r="IM117" s="277"/>
      <c r="IN117" s="277"/>
      <c r="IO117" s="277"/>
      <c r="IP117" s="277"/>
      <c r="IQ117" s="277"/>
      <c r="IR117" s="277"/>
      <c r="IS117" s="277"/>
      <c r="IT117" s="277"/>
      <c r="IU117" s="277"/>
      <c r="IV117" s="277"/>
      <c r="IW117" s="277"/>
      <c r="IX117" s="277"/>
      <c r="IY117" s="277"/>
      <c r="IZ117" s="277"/>
      <c r="JA117" s="277"/>
      <c r="JB117" s="277"/>
      <c r="JC117" s="277"/>
      <c r="JD117" s="277"/>
      <c r="JE117" s="277"/>
      <c r="JF117" s="277"/>
      <c r="JG117" s="657"/>
      <c r="JH117" s="657"/>
      <c r="JI117" s="273"/>
      <c r="JJ117" s="277"/>
      <c r="JK117" s="278" t="s">
        <v>74</v>
      </c>
      <c r="JL117" s="279"/>
      <c r="JM117" s="280">
        <f>SUM(JJ116:KG116)/16</f>
      </c>
      <c r="JN117" s="279"/>
      <c r="JO117" s="277"/>
      <c r="JP117" s="277"/>
      <c r="JQ117" s="277"/>
      <c r="JR117" s="277"/>
      <c r="JS117" s="277"/>
      <c r="JT117" s="277"/>
      <c r="JU117" s="277"/>
      <c r="JV117" s="277"/>
      <c r="JW117" s="277"/>
      <c r="JX117" s="277"/>
      <c r="JY117" s="277"/>
      <c r="JZ117" s="277"/>
      <c r="KA117" s="277"/>
      <c r="KB117" s="277"/>
      <c r="KC117" s="277"/>
      <c r="KD117" s="277"/>
      <c r="KE117" s="277"/>
      <c r="KF117" s="277"/>
      <c r="KG117" s="277"/>
      <c r="KH117" s="277"/>
      <c r="KI117" s="277"/>
      <c r="KJ117" s="657"/>
      <c r="KK117" s="657"/>
      <c r="KL117" s="273"/>
      <c r="KM117" s="277"/>
      <c r="KN117" s="278" t="s">
        <v>74</v>
      </c>
      <c r="KO117" s="279"/>
      <c r="KP117" s="280">
        <f>SUM(KM116:LJ116)/16</f>
      </c>
      <c r="KQ117" s="279"/>
      <c r="KR117" s="277"/>
      <c r="KS117" s="277"/>
      <c r="KT117" s="277"/>
      <c r="KU117" s="277"/>
      <c r="KV117" s="277"/>
      <c r="KW117" s="277"/>
      <c r="KX117" s="277"/>
      <c r="KY117" s="277"/>
      <c r="KZ117" s="277"/>
      <c r="LA117" s="277"/>
      <c r="LB117" s="277"/>
      <c r="LC117" s="277"/>
      <c r="LD117" s="277"/>
      <c r="LE117" s="277"/>
      <c r="LF117" s="277"/>
      <c r="LG117" s="277"/>
      <c r="LH117" s="277"/>
      <c r="LI117" s="277"/>
      <c r="LJ117" s="277"/>
      <c r="LK117" s="277"/>
      <c r="LL117" s="277"/>
      <c r="LM117" s="657"/>
      <c r="LN117" s="657"/>
      <c r="LO117" s="273"/>
      <c r="LP117" s="277"/>
      <c r="LQ117" s="278" t="s">
        <v>74</v>
      </c>
      <c r="LR117" s="279"/>
      <c r="LS117" s="280">
        <f>SUM(LP116:MM116)/16</f>
      </c>
      <c r="LT117" s="279"/>
      <c r="LU117" s="277"/>
      <c r="LV117" s="277"/>
      <c r="LW117" s="277"/>
      <c r="LX117" s="277"/>
      <c r="LY117" s="277"/>
      <c r="LZ117" s="277"/>
      <c r="MA117" s="277"/>
      <c r="MB117" s="277"/>
      <c r="MC117" s="277"/>
      <c r="MD117" s="277"/>
      <c r="ME117" s="277"/>
      <c r="MF117" s="277"/>
      <c r="MG117" s="277"/>
      <c r="MH117" s="277"/>
      <c r="MI117" s="277"/>
      <c r="MJ117" s="277"/>
      <c r="MK117" s="277"/>
      <c r="ML117" s="277"/>
      <c r="MM117" s="277"/>
      <c r="MN117" s="277"/>
      <c r="MO117" s="277"/>
      <c r="MP117" s="657"/>
      <c r="MQ117" s="657"/>
      <c r="MR117" s="273"/>
      <c r="MS117" s="277"/>
      <c r="MT117" s="273"/>
      <c r="MU117" s="273"/>
      <c r="MV117" s="273"/>
      <c r="MW117" s="273"/>
      <c r="MX117" s="273"/>
      <c r="MY117" s="273"/>
      <c r="MZ117" s="273"/>
      <c r="NA117" s="273"/>
      <c r="NB117" s="273"/>
      <c r="NC117" s="273"/>
      <c r="ND117" s="273"/>
      <c r="NE117" s="273"/>
      <c r="NF117" s="273"/>
      <c r="NG117" s="273"/>
      <c r="NH117" s="273"/>
      <c r="NI117" s="273"/>
      <c r="NJ117" s="273"/>
      <c r="NK117" s="273"/>
      <c r="NL117" s="273"/>
      <c r="NM117" s="273"/>
      <c r="NN117" s="273"/>
      <c r="NO117" s="273"/>
      <c r="NP117" s="273"/>
      <c r="NQ117" s="273"/>
      <c r="NR117" s="273"/>
      <c r="NS117" s="273"/>
      <c r="NT117" s="273"/>
      <c r="NU117" s="273"/>
      <c r="NV117" s="273"/>
      <c r="NW117" s="273"/>
      <c r="NX117" s="273"/>
      <c r="NY117" s="273"/>
      <c r="NZ117" s="273"/>
      <c r="OA117" s="277"/>
      <c r="OB117" s="277"/>
      <c r="OC117" s="277"/>
      <c r="OD117" s="277"/>
      <c r="OE117" s="277"/>
      <c r="OF117" s="277"/>
      <c r="OG117" s="277"/>
      <c r="OH117" s="277"/>
      <c r="OI117" s="277"/>
      <c r="OJ117" s="277"/>
      <c r="OK117" s="277"/>
      <c r="OL117" s="277"/>
      <c r="OM117" s="277"/>
      <c r="ON117" s="277"/>
      <c r="OO117" s="277"/>
      <c r="OP117" s="277"/>
      <c r="OQ117" s="277"/>
      <c r="OR117" s="277"/>
      <c r="OS117" s="277"/>
      <c r="OT117" s="277"/>
      <c r="OU117" s="277"/>
      <c r="OV117" s="657"/>
      <c r="OW117" s="657"/>
      <c r="OX117" s="657"/>
      <c r="OY117" s="659"/>
      <c r="OZ117" s="359"/>
      <c r="PA117" s="273"/>
      <c r="PB117" s="277"/>
      <c r="PC117" s="278" t="s">
        <v>74</v>
      </c>
      <c r="PD117" s="279"/>
      <c r="PE117" s="280">
        <f>SUM(PB116:PY116)/16</f>
      </c>
      <c r="PF117" s="279"/>
      <c r="PG117" s="277"/>
      <c r="PH117" s="277"/>
      <c r="PI117" s="277"/>
      <c r="PJ117" s="277"/>
      <c r="PK117" s="277"/>
      <c r="PL117" s="277"/>
      <c r="PM117" s="277"/>
      <c r="PN117" s="277"/>
      <c r="PO117" s="277"/>
      <c r="PP117" s="277"/>
      <c r="PQ117" s="277"/>
      <c r="PR117" s="277"/>
      <c r="PS117" s="277"/>
      <c r="PT117" s="277"/>
      <c r="PU117" s="277"/>
      <c r="PV117" s="277"/>
      <c r="PW117" s="277"/>
      <c r="PX117" s="277"/>
      <c r="PY117" s="277"/>
      <c r="PZ117" s="277"/>
      <c r="QA117" s="277"/>
      <c r="QB117" s="657"/>
      <c r="QC117" s="657"/>
      <c r="QD117" s="273"/>
      <c r="QE117" s="277"/>
      <c r="QF117" s="278" t="s">
        <v>74</v>
      </c>
      <c r="QG117" s="279"/>
      <c r="QH117" s="280">
        <f>SUM(QE116:RB116)/16</f>
      </c>
      <c r="QI117" s="279"/>
      <c r="QJ117" s="277"/>
      <c r="QK117" s="277"/>
      <c r="QL117" s="277"/>
      <c r="QM117" s="277"/>
      <c r="QN117" s="277"/>
      <c r="QO117" s="277"/>
      <c r="QP117" s="277"/>
      <c r="QQ117" s="277"/>
      <c r="QR117" s="277"/>
      <c r="QS117" s="277"/>
      <c r="QT117" s="277"/>
      <c r="QU117" s="277"/>
      <c r="QV117" s="277"/>
      <c r="QW117" s="277"/>
      <c r="QX117" s="277"/>
      <c r="QY117" s="277"/>
      <c r="QZ117" s="277"/>
      <c r="RA117" s="277"/>
      <c r="RB117" s="277"/>
      <c r="RC117" s="277"/>
      <c r="RD117" s="277"/>
      <c r="RE117" s="657"/>
      <c r="RF117" s="657"/>
      <c r="RG117" s="273"/>
      <c r="RH117" s="277"/>
      <c r="RI117" s="278" t="s">
        <v>74</v>
      </c>
      <c r="RJ117" s="279"/>
      <c r="RK117" s="280">
        <f>SUM(RH116:SE116)/16</f>
      </c>
      <c r="RL117" s="279"/>
      <c r="RM117" s="277"/>
      <c r="RN117" s="277"/>
      <c r="RO117" s="277"/>
      <c r="RP117" s="277"/>
      <c r="RQ117" s="277"/>
      <c r="RR117" s="277"/>
      <c r="RS117" s="277"/>
      <c r="RT117" s="277"/>
      <c r="RU117" s="277"/>
      <c r="RV117" s="277"/>
      <c r="RW117" s="277"/>
      <c r="RX117" s="277"/>
      <c r="RY117" s="277"/>
      <c r="RZ117" s="277"/>
      <c r="SA117" s="277"/>
      <c r="SB117" s="277"/>
      <c r="SC117" s="277"/>
      <c r="SD117" s="277"/>
      <c r="SE117" s="277"/>
      <c r="SF117" s="277"/>
      <c r="SG117" s="277"/>
      <c r="SH117" s="657"/>
      <c r="SI117" s="657"/>
      <c r="SJ117" s="273"/>
      <c r="SK117" s="277"/>
      <c r="SL117" s="278" t="s">
        <v>74</v>
      </c>
      <c r="SM117" s="279"/>
      <c r="SN117" s="280">
        <f>SUM(SK116:TH116)/16</f>
      </c>
      <c r="SO117" s="279"/>
      <c r="SP117" s="277"/>
      <c r="SQ117" s="277"/>
      <c r="SR117" s="277"/>
      <c r="SS117" s="277"/>
      <c r="ST117" s="277"/>
      <c r="SU117" s="277"/>
      <c r="SV117" s="277"/>
      <c r="SW117" s="277"/>
      <c r="SX117" s="277"/>
      <c r="SY117" s="277"/>
      <c r="SZ117" s="277"/>
      <c r="TA117" s="277"/>
      <c r="TB117" s="277"/>
      <c r="TC117" s="277"/>
      <c r="TD117" s="277"/>
      <c r="TE117" s="277"/>
      <c r="TF117" s="277"/>
      <c r="TG117" s="277"/>
      <c r="TH117" s="277"/>
      <c r="TI117" s="277"/>
      <c r="TJ117" s="277"/>
      <c r="TK117" s="657"/>
      <c r="TL117" s="657"/>
      <c r="TM117" s="273"/>
      <c r="TN117" s="277"/>
      <c r="TO117" s="278" t="s">
        <v>74</v>
      </c>
      <c r="TP117" s="279"/>
      <c r="TQ117" s="280">
        <f>SUM(TN116:UK116)/16</f>
      </c>
      <c r="TR117" s="279"/>
      <c r="TS117" s="277"/>
      <c r="TT117" s="277"/>
      <c r="TU117" s="277"/>
      <c r="TV117" s="277"/>
      <c r="TW117" s="277"/>
      <c r="TX117" s="277"/>
      <c r="TY117" s="277"/>
      <c r="TZ117" s="277"/>
      <c r="UA117" s="277"/>
      <c r="UB117" s="277"/>
      <c r="UC117" s="277"/>
      <c r="UD117" s="277"/>
      <c r="UE117" s="277"/>
      <c r="UF117" s="277"/>
      <c r="UG117" s="277"/>
      <c r="UH117" s="277"/>
      <c r="UI117" s="277"/>
      <c r="UJ117" s="277"/>
      <c r="UK117" s="277"/>
      <c r="UL117" s="277"/>
      <c r="UM117" s="277"/>
      <c r="UN117" s="657"/>
      <c r="UO117" s="657"/>
      <c r="UP117" s="273"/>
      <c r="UQ117" s="277"/>
      <c r="UR117" s="273"/>
      <c r="US117" s="273"/>
      <c r="UT117" s="273"/>
      <c r="UU117" s="273"/>
      <c r="UV117" s="273"/>
      <c r="UW117" s="273"/>
      <c r="UX117" s="273"/>
      <c r="UY117" s="273"/>
      <c r="UZ117" s="273"/>
      <c r="VA117" s="273"/>
      <c r="VB117" s="273"/>
      <c r="VC117" s="273"/>
      <c r="VD117" s="273"/>
      <c r="VE117" s="273"/>
      <c r="VF117" s="273"/>
      <c r="VG117" s="273"/>
      <c r="VH117" s="273"/>
      <c r="VI117" s="273"/>
      <c r="VJ117" s="273"/>
      <c r="VK117" s="273"/>
      <c r="VL117" s="273"/>
      <c r="VM117" s="273"/>
      <c r="VN117" s="273"/>
      <c r="VO117" s="273"/>
      <c r="VP117" s="273"/>
      <c r="VQ117" s="273"/>
      <c r="VR117" s="273"/>
      <c r="VS117" s="273"/>
      <c r="VT117" s="273"/>
      <c r="VU117" s="273"/>
      <c r="VV117" s="273"/>
      <c r="VW117" s="273"/>
      <c r="VX117" s="273"/>
      <c r="VY117" s="277"/>
      <c r="VZ117" s="277"/>
      <c r="WA117" s="277"/>
      <c r="WB117" s="277"/>
      <c r="WC117" s="277"/>
      <c r="WD117" s="277"/>
      <c r="WE117" s="277"/>
      <c r="WF117" s="277"/>
      <c r="WG117" s="277"/>
      <c r="WH117" s="277"/>
      <c r="WI117" s="277"/>
      <c r="WJ117" s="277"/>
      <c r="WK117" s="277"/>
      <c r="WL117" s="277"/>
      <c r="WM117" s="277"/>
      <c r="WN117" s="277"/>
      <c r="WO117" s="277"/>
      <c r="WP117" s="277"/>
      <c r="WQ117" s="277"/>
      <c r="WR117" s="277"/>
      <c r="WS117" s="277"/>
      <c r="WT117" s="657"/>
      <c r="WU117" s="657"/>
      <c r="WV117" s="657"/>
      <c r="WW117" s="659"/>
      <c r="WX117" s="359"/>
      <c r="WY117" s="273"/>
      <c r="WZ117" s="277"/>
      <c r="XA117" s="278" t="s">
        <v>74</v>
      </c>
      <c r="XB117" s="279"/>
      <c r="XC117" s="280">
        <f>SUM(WZ116:XW116)/16</f>
      </c>
      <c r="XD117" s="279"/>
      <c r="XE117" s="277"/>
      <c r="XF117" s="277"/>
      <c r="XG117" s="277"/>
      <c r="XH117" s="277"/>
      <c r="XI117" s="277"/>
      <c r="XJ117" s="277"/>
      <c r="XK117" s="277"/>
      <c r="XL117" s="277"/>
      <c r="XM117" s="277"/>
      <c r="XN117" s="277"/>
      <c r="XO117" s="277"/>
      <c r="XP117" s="277"/>
      <c r="XQ117" s="277"/>
      <c r="XR117" s="277"/>
      <c r="XS117" s="277"/>
      <c r="XT117" s="277"/>
      <c r="XU117" s="277"/>
      <c r="XV117" s="277"/>
      <c r="XW117" s="277"/>
      <c r="XX117" s="277"/>
      <c r="XY117" s="277"/>
      <c r="XZ117" s="657"/>
      <c r="YA117" s="657"/>
      <c r="YB117" s="273"/>
      <c r="YC117" s="277"/>
      <c r="YD117" s="278" t="s">
        <v>74</v>
      </c>
      <c r="YE117" s="279"/>
      <c r="YF117" s="280">
        <f>SUM(YC116:YZ116)/16</f>
      </c>
      <c r="YG117" s="279"/>
      <c r="YH117" s="277"/>
      <c r="YI117" s="277"/>
      <c r="YJ117" s="277"/>
      <c r="YK117" s="277"/>
      <c r="YL117" s="277"/>
      <c r="YM117" s="277"/>
      <c r="YN117" s="277"/>
      <c r="YO117" s="277"/>
      <c r="YP117" s="277"/>
      <c r="YQ117" s="277"/>
      <c r="YR117" s="277"/>
      <c r="YS117" s="277"/>
      <c r="YT117" s="277"/>
      <c r="YU117" s="277"/>
      <c r="YV117" s="277"/>
      <c r="YW117" s="277"/>
      <c r="YX117" s="277"/>
      <c r="YY117" s="277"/>
      <c r="YZ117" s="277"/>
      <c r="ZA117" s="277"/>
      <c r="ZB117" s="277"/>
      <c r="ZC117" s="657"/>
      <c r="ZD117" s="657"/>
      <c r="ZE117" s="273"/>
      <c r="ZF117" s="277"/>
      <c r="ZG117" s="278" t="s">
        <v>74</v>
      </c>
      <c r="ZH117" s="279"/>
      <c r="ZI117" s="280">
        <f>SUM(ZF116:AAC116)/16</f>
      </c>
      <c r="ZJ117" s="279"/>
      <c r="ZK117" s="277"/>
      <c r="ZL117" s="277"/>
      <c r="ZM117" s="277"/>
      <c r="ZN117" s="277"/>
      <c r="ZO117" s="277"/>
      <c r="ZP117" s="277"/>
      <c r="ZQ117" s="277"/>
      <c r="ZR117" s="277"/>
      <c r="ZS117" s="277"/>
      <c r="ZT117" s="277"/>
      <c r="ZU117" s="277"/>
      <c r="ZV117" s="277"/>
      <c r="ZW117" s="277"/>
      <c r="ZX117" s="277"/>
      <c r="ZY117" s="277"/>
      <c r="ZZ117" s="277"/>
      <c r="AAA117" s="277"/>
      <c r="AAB117" s="277"/>
      <c r="AAC117" s="277"/>
      <c r="AAD117" s="277"/>
      <c r="AAE117" s="277"/>
      <c r="AAF117" s="657"/>
      <c r="AAG117" s="657"/>
      <c r="AAH117" s="273"/>
      <c r="AAI117" s="277"/>
      <c r="AAJ117" s="278" t="s">
        <v>74</v>
      </c>
      <c r="AAK117" s="279"/>
      <c r="AAL117" s="280">
        <f>SUM(AAI116:ABF116)/16</f>
      </c>
      <c r="AAM117" s="279"/>
      <c r="AAN117" s="277"/>
      <c r="AAO117" s="277"/>
      <c r="AAP117" s="277"/>
      <c r="AAQ117" s="277"/>
      <c r="AAR117" s="277"/>
      <c r="AAS117" s="277"/>
      <c r="AAT117" s="277"/>
      <c r="AAU117" s="277"/>
      <c r="AAV117" s="277"/>
      <c r="AAW117" s="277"/>
      <c r="AAX117" s="277"/>
      <c r="AAY117" s="277"/>
      <c r="AAZ117" s="277"/>
      <c r="ABA117" s="277"/>
      <c r="ABB117" s="277"/>
      <c r="ABC117" s="277"/>
      <c r="ABD117" s="277"/>
      <c r="ABE117" s="277"/>
      <c r="ABF117" s="277"/>
      <c r="ABG117" s="277"/>
      <c r="ABH117" s="277"/>
      <c r="ABI117" s="657"/>
      <c r="ABJ117" s="657"/>
      <c r="ABK117" s="273"/>
      <c r="ABL117" s="277"/>
      <c r="ABM117" s="278" t="s">
        <v>74</v>
      </c>
      <c r="ABN117" s="279"/>
      <c r="ABO117" s="280">
        <f>SUM(ABL116:ACI116)/16</f>
      </c>
      <c r="ABP117" s="279"/>
      <c r="ABQ117" s="277"/>
      <c r="ABR117" s="277"/>
      <c r="ABS117" s="277"/>
      <c r="ABT117" s="277"/>
      <c r="ABU117" s="277"/>
      <c r="ABV117" s="277"/>
      <c r="ABW117" s="277"/>
      <c r="ABX117" s="277"/>
      <c r="ABY117" s="277"/>
      <c r="ABZ117" s="277"/>
      <c r="ACA117" s="277"/>
      <c r="ACB117" s="277"/>
      <c r="ACC117" s="277"/>
      <c r="ACD117" s="277"/>
      <c r="ACE117" s="277"/>
      <c r="ACF117" s="277"/>
      <c r="ACG117" s="277"/>
      <c r="ACH117" s="277"/>
      <c r="ACI117" s="277"/>
      <c r="ACJ117" s="277"/>
      <c r="ACK117" s="277"/>
      <c r="ACL117" s="657"/>
      <c r="ACM117" s="657"/>
      <c r="ACN117" s="273"/>
      <c r="ACO117" s="277"/>
      <c r="ACP117" s="273"/>
      <c r="ACQ117" s="273"/>
      <c r="ACR117" s="273"/>
      <c r="ACS117" s="273"/>
      <c r="ACT117" s="273"/>
      <c r="ACU117" s="273"/>
      <c r="ACV117" s="273"/>
      <c r="ACW117" s="273"/>
      <c r="ACX117" s="273"/>
      <c r="ACY117" s="273"/>
      <c r="ACZ117" s="273"/>
      <c r="ADA117" s="273"/>
      <c r="ADB117" s="273"/>
      <c r="ADC117" s="273"/>
      <c r="ADD117" s="273"/>
      <c r="ADE117" s="273"/>
      <c r="ADF117" s="273"/>
      <c r="ADG117" s="273"/>
      <c r="ADH117" s="273"/>
      <c r="ADI117" s="273"/>
      <c r="ADJ117" s="273"/>
      <c r="ADK117" s="273"/>
      <c r="ADL117" s="273"/>
      <c r="ADM117" s="273"/>
      <c r="ADN117" s="273"/>
      <c r="ADO117" s="273"/>
      <c r="ADP117" s="273"/>
      <c r="ADQ117" s="273"/>
      <c r="ADR117" s="273"/>
      <c r="ADS117" s="273"/>
      <c r="ADT117" s="273"/>
      <c r="ADU117" s="273"/>
      <c r="ADV117" s="273"/>
      <c r="ADW117" s="277"/>
      <c r="ADX117" s="277"/>
      <c r="ADY117" s="277"/>
      <c r="ADZ117" s="277"/>
      <c r="AEA117" s="277"/>
      <c r="AEB117" s="277"/>
      <c r="AEC117" s="277"/>
      <c r="AED117" s="277"/>
      <c r="AEE117" s="277"/>
      <c r="AEF117" s="277"/>
      <c r="AEG117" s="277"/>
      <c r="AEH117" s="277"/>
      <c r="AEI117" s="277"/>
      <c r="AEJ117" s="277"/>
      <c r="AEK117" s="277"/>
      <c r="AEL117" s="277"/>
      <c r="AEM117" s="277"/>
      <c r="AEN117" s="277"/>
      <c r="AEO117" s="277"/>
      <c r="AEP117" s="277"/>
      <c r="AEQ117" s="277"/>
      <c r="AER117" s="657"/>
      <c r="AES117" s="657"/>
      <c r="AET117" s="657"/>
      <c r="AEU117" s="659"/>
      <c r="AEV117" s="359"/>
      <c r="AEW117" s="273"/>
      <c r="AEX117" s="277"/>
      <c r="AEY117" s="278" t="s">
        <v>74</v>
      </c>
      <c r="AEZ117" s="279"/>
      <c r="AFA117" s="280">
        <f>SUM(AEX116:AFU116)/16</f>
      </c>
      <c r="AFB117" s="279"/>
      <c r="AFC117" s="277"/>
      <c r="AFD117" s="277"/>
      <c r="AFE117" s="277"/>
      <c r="AFF117" s="277"/>
      <c r="AFG117" s="277"/>
      <c r="AFH117" s="277"/>
      <c r="AFI117" s="277"/>
      <c r="AFJ117" s="277"/>
      <c r="AFK117" s="277"/>
      <c r="AFL117" s="277"/>
      <c r="AFM117" s="277"/>
      <c r="AFN117" s="277"/>
      <c r="AFO117" s="277"/>
      <c r="AFP117" s="277"/>
      <c r="AFQ117" s="277"/>
      <c r="AFR117" s="277"/>
      <c r="AFS117" s="277"/>
      <c r="AFT117" s="277"/>
      <c r="AFU117" s="277"/>
      <c r="AFV117" s="277"/>
      <c r="AFW117" s="277"/>
      <c r="AFX117" s="657"/>
      <c r="AFY117" s="657"/>
      <c r="AFZ117" s="273"/>
      <c r="AGA117" s="277"/>
      <c r="AGB117" s="278" t="s">
        <v>74</v>
      </c>
      <c r="AGC117" s="279"/>
      <c r="AGD117" s="280">
        <f>SUM(AGA116:AGX116)/16</f>
      </c>
      <c r="AGE117" s="279"/>
      <c r="AGF117" s="277"/>
      <c r="AGG117" s="277"/>
      <c r="AGH117" s="277"/>
      <c r="AGI117" s="277"/>
      <c r="AGJ117" s="277"/>
      <c r="AGK117" s="277"/>
      <c r="AGL117" s="277"/>
      <c r="AGM117" s="277"/>
      <c r="AGN117" s="277"/>
      <c r="AGO117" s="277"/>
      <c r="AGP117" s="277"/>
      <c r="AGQ117" s="277"/>
      <c r="AGR117" s="277"/>
      <c r="AGS117" s="277"/>
      <c r="AGT117" s="277"/>
      <c r="AGU117" s="277"/>
      <c r="AGV117" s="277"/>
      <c r="AGW117" s="277"/>
      <c r="AGX117" s="277"/>
      <c r="AGY117" s="277"/>
      <c r="AGZ117" s="277"/>
      <c r="AHA117" s="657"/>
      <c r="AHB117" s="657"/>
      <c r="AHC117" s="273"/>
      <c r="AHD117" s="277"/>
      <c r="AHE117" s="278" t="s">
        <v>74</v>
      </c>
      <c r="AHF117" s="279"/>
      <c r="AHG117" s="280">
        <f>SUM(AHD116:AIA116)/16</f>
      </c>
      <c r="AHH117" s="279"/>
      <c r="AHI117" s="277"/>
      <c r="AHJ117" s="277"/>
      <c r="AHK117" s="277"/>
      <c r="AHL117" s="277"/>
      <c r="AHM117" s="277"/>
      <c r="AHN117" s="277"/>
      <c r="AHO117" s="277"/>
      <c r="AHP117" s="277"/>
      <c r="AHQ117" s="277"/>
      <c r="AHR117" s="277"/>
      <c r="AHS117" s="277"/>
      <c r="AHT117" s="277"/>
      <c r="AHU117" s="277"/>
      <c r="AHV117" s="277"/>
      <c r="AHW117" s="277"/>
      <c r="AHX117" s="277"/>
      <c r="AHY117" s="277"/>
      <c r="AHZ117" s="277"/>
      <c r="AIA117" s="277"/>
      <c r="AIB117" s="277"/>
      <c r="AIC117" s="277"/>
      <c r="AID117" s="657"/>
      <c r="AIE117" s="657"/>
      <c r="AIF117" s="273"/>
      <c r="AIG117" s="277"/>
      <c r="AIH117" s="278" t="s">
        <v>74</v>
      </c>
      <c r="AII117" s="279"/>
      <c r="AIJ117" s="280">
        <f>SUM(AIG116:AJD116)/16</f>
      </c>
      <c r="AIK117" s="279"/>
      <c r="AIL117" s="277"/>
      <c r="AIM117" s="277"/>
      <c r="AIN117" s="277"/>
      <c r="AIO117" s="277"/>
      <c r="AIP117" s="277"/>
      <c r="AIQ117" s="277"/>
      <c r="AIR117" s="277"/>
      <c r="AIS117" s="277"/>
      <c r="AIT117" s="277"/>
      <c r="AIU117" s="277"/>
      <c r="AIV117" s="277"/>
      <c r="AIW117" s="277"/>
      <c r="AIX117" s="277"/>
      <c r="AIY117" s="277"/>
      <c r="AIZ117" s="277"/>
      <c r="AJA117" s="277"/>
      <c r="AJB117" s="277"/>
      <c r="AJC117" s="277"/>
      <c r="AJD117" s="277"/>
      <c r="AJE117" s="277"/>
      <c r="AJF117" s="277"/>
      <c r="AJG117" s="657"/>
      <c r="AJH117" s="657"/>
      <c r="AJI117" s="273"/>
      <c r="AJJ117" s="277"/>
      <c r="AJK117" s="278" t="s">
        <v>74</v>
      </c>
      <c r="AJL117" s="279"/>
      <c r="AJM117" s="280">
        <f>SUM(AJJ116:AKG116)/16</f>
      </c>
      <c r="AJN117" s="279"/>
      <c r="AJO117" s="277"/>
      <c r="AJP117" s="277"/>
      <c r="AJQ117" s="277"/>
      <c r="AJR117" s="277"/>
      <c r="AJS117" s="277"/>
      <c r="AJT117" s="277"/>
      <c r="AJU117" s="277"/>
      <c r="AJV117" s="277"/>
      <c r="AJW117" s="277"/>
      <c r="AJX117" s="277"/>
      <c r="AJY117" s="277"/>
      <c r="AJZ117" s="277"/>
      <c r="AKA117" s="277"/>
      <c r="AKB117" s="277"/>
      <c r="AKC117" s="277"/>
      <c r="AKD117" s="277"/>
      <c r="AKE117" s="277"/>
      <c r="AKF117" s="277"/>
      <c r="AKG117" s="277"/>
      <c r="AKH117" s="277"/>
      <c r="AKI117" s="277"/>
      <c r="AKJ117" s="657"/>
      <c r="AKK117" s="657"/>
      <c r="AKL117" s="273"/>
      <c r="AKM117" s="277"/>
      <c r="AKN117" s="273"/>
      <c r="AKO117" s="273"/>
      <c r="AKP117" s="273"/>
      <c r="AKQ117" s="273"/>
      <c r="AKR117" s="273"/>
      <c r="AKS117" s="273"/>
      <c r="AKT117" s="273"/>
      <c r="AKU117" s="273"/>
      <c r="AKV117" s="273"/>
      <c r="AKW117" s="273"/>
      <c r="AKX117" s="273"/>
      <c r="AKY117" s="273"/>
      <c r="AKZ117" s="273"/>
      <c r="ALA117" s="273"/>
      <c r="ALB117" s="273"/>
      <c r="ALC117" s="273"/>
      <c r="ALD117" s="273"/>
      <c r="ALE117" s="273"/>
      <c r="ALF117" s="273"/>
      <c r="ALG117" s="273"/>
      <c r="ALH117" s="273"/>
      <c r="ALI117" s="273"/>
      <c r="ALJ117" s="273"/>
      <c r="ALK117" s="273"/>
      <c r="ALL117" s="273"/>
      <c r="ALM117" s="273"/>
      <c r="ALN117" s="273"/>
      <c r="ALO117" s="273"/>
      <c r="ALP117" s="273"/>
      <c r="ALQ117" s="273"/>
      <c r="ALR117" s="273"/>
      <c r="ALS117" s="273"/>
      <c r="ALT117" s="273"/>
      <c r="ALU117" s="277"/>
      <c r="ALV117" s="277"/>
      <c r="ALW117" s="277"/>
      <c r="ALX117" s="277"/>
      <c r="ALY117" s="277"/>
      <c r="ALZ117" s="277"/>
      <c r="AMA117" s="277"/>
      <c r="AMB117" s="277"/>
      <c r="AMC117" s="277"/>
      <c r="AMD117" s="277"/>
      <c r="AME117" s="277"/>
      <c r="AMF117" s="277"/>
      <c r="AMG117" s="277"/>
      <c r="AMH117" s="277"/>
      <c r="AMI117" s="277"/>
      <c r="AMJ117" s="277"/>
      <c r="AMK117" s="277"/>
      <c r="AML117" s="277"/>
      <c r="AMM117" s="277"/>
      <c r="AMN117" s="277"/>
      <c r="AMO117" s="277"/>
      <c r="AMP117" s="657"/>
      <c r="AMQ117" s="657"/>
      <c r="AMR117" s="657"/>
      <c r="AMS117" s="659"/>
      <c r="AMT117" s="4"/>
      <c r="AMU117" s="4"/>
      <c r="AMV117" s="4"/>
      <c r="AMW117" s="4"/>
      <c r="AMX117" s="4"/>
      <c r="AMY117" s="4"/>
      <c r="AMZ117" s="4"/>
      <c r="ANA117" s="4"/>
      <c r="ANB117" s="4"/>
      <c r="ANC117" s="4"/>
      <c r="AND117" s="4"/>
      <c r="ANE117" s="4"/>
      <c r="ANF117" s="4"/>
      <c r="ANG117" s="4"/>
      <c r="ANH117" s="4"/>
      <c r="ANI117" s="4"/>
      <c r="ANJ117" s="4"/>
      <c r="ANK117" s="4"/>
      <c r="ANL117" s="4"/>
      <c r="ANM117" s="4"/>
      <c r="ANN117" s="4"/>
      <c r="ANO117" s="4"/>
      <c r="ANP117" s="4"/>
      <c r="ANQ117" s="4"/>
      <c r="ANR117" s="4"/>
      <c r="ANS117" s="4"/>
      <c r="ANT117" s="4"/>
      <c r="ANU117" s="4"/>
      <c r="ANV117" s="4"/>
      <c r="ANW117" s="4"/>
      <c r="ANX117" s="4"/>
      <c r="ANY117" s="4"/>
      <c r="ANZ117" s="4"/>
      <c r="AOA117" s="4"/>
      <c r="AOB117" s="4"/>
      <c r="AOC117" s="4"/>
      <c r="AOD117" s="4"/>
      <c r="AOE117" s="4"/>
      <c r="AOF117" s="4"/>
      <c r="AOG117" s="4"/>
      <c r="AOH117" s="4"/>
      <c r="AOI117" s="4"/>
      <c r="AOJ117" s="4"/>
      <c r="AOK117" s="4"/>
      <c r="AOL117" s="4"/>
      <c r="AOM117" s="4"/>
      <c r="AON117" s="4"/>
      <c r="AOO117" s="4"/>
      <c r="AOP117" s="4"/>
      <c r="AOQ117" s="4"/>
      <c r="AOR117" s="4"/>
      <c r="AOS117" s="4"/>
      <c r="AOT117" s="4"/>
      <c r="AOU117" s="4"/>
      <c r="AOV117" s="4"/>
      <c r="AOW117" s="4"/>
      <c r="AOX117" s="4"/>
      <c r="AOY117" s="4"/>
      <c r="AOZ117" s="4"/>
      <c r="APA117" s="4"/>
      <c r="APB117" s="4"/>
      <c r="APC117" s="4"/>
      <c r="APD117" s="4"/>
      <c r="APE117" s="4"/>
      <c r="APF117" s="4"/>
      <c r="APG117" s="4"/>
      <c r="APH117" s="4"/>
      <c r="API117" s="4"/>
      <c r="APJ117" s="4"/>
      <c r="APK117" s="4"/>
      <c r="APL117" s="4"/>
      <c r="APM117" s="4"/>
      <c r="APN117" s="4"/>
      <c r="APO117" s="4"/>
      <c r="APP117" s="4"/>
      <c r="APQ117" s="4"/>
      <c r="APR117" s="4"/>
      <c r="APS117" s="4"/>
      <c r="APT117" s="4"/>
      <c r="APU117" s="4"/>
      <c r="APV117" s="4"/>
      <c r="APW117" s="4"/>
      <c r="APX117" s="4"/>
      <c r="APY117" s="4"/>
      <c r="APZ117" s="4"/>
      <c r="AQA117" s="4"/>
      <c r="AQB117" s="4"/>
      <c r="AQC117" s="4"/>
      <c r="AQD117" s="4"/>
      <c r="AQE117" s="4"/>
      <c r="AQF117" s="4"/>
      <c r="AQG117" s="4"/>
      <c r="AQH117" s="4"/>
      <c r="AQI117" s="4"/>
      <c r="AQJ117" s="4"/>
      <c r="AQK117" s="4"/>
      <c r="AQL117" s="4"/>
      <c r="AQM117" s="4"/>
      <c r="AQN117" s="4"/>
      <c r="AQO117" s="4"/>
      <c r="AQP117" s="4"/>
      <c r="AQQ117" s="4"/>
      <c r="AQR117" s="4"/>
      <c r="AQS117" s="4"/>
      <c r="AQT117" s="4"/>
      <c r="AQU117" s="4"/>
      <c r="AQV117" s="4"/>
      <c r="AQW117" s="4"/>
      <c r="AQX117" s="4"/>
      <c r="AQY117" s="4"/>
      <c r="AQZ117" s="4"/>
      <c r="ARA117" s="4"/>
      <c r="ARB117" s="4"/>
      <c r="ARC117" s="4"/>
      <c r="ARD117" s="4"/>
      <c r="ARE117" s="4"/>
      <c r="ARF117" s="4"/>
      <c r="ARG117" s="4"/>
      <c r="ARH117" s="4"/>
      <c r="ARI117" s="4"/>
      <c r="ARJ117" s="4"/>
      <c r="ARK117" s="4"/>
      <c r="ARL117" s="4"/>
      <c r="ARM117" s="4"/>
      <c r="ARN117" s="4"/>
      <c r="ARO117" s="4"/>
      <c r="ARP117" s="4"/>
      <c r="ARQ117" s="4"/>
      <c r="ARR117" s="4"/>
      <c r="ARS117" s="4"/>
      <c r="ART117" s="4"/>
      <c r="ARU117" s="4"/>
      <c r="ARV117" s="4"/>
      <c r="ARW117" s="4"/>
      <c r="ARX117" s="4"/>
      <c r="ARY117" s="4"/>
      <c r="ARZ117" s="4"/>
      <c r="ASA117" s="4"/>
      <c r="ASB117" s="4"/>
      <c r="ASC117" s="4"/>
      <c r="ASD117" s="4"/>
      <c r="ASE117" s="4"/>
      <c r="ASF117" s="4"/>
      <c r="ASG117" s="4"/>
      <c r="ASH117" s="4"/>
      <c r="ASI117" s="4"/>
      <c r="ASJ117" s="4"/>
      <c r="ASK117" s="4"/>
      <c r="ASL117" s="4"/>
      <c r="ASM117" s="4"/>
      <c r="ASN117" s="4"/>
      <c r="ASO117" s="4"/>
      <c r="ASP117" s="4"/>
      <c r="ASQ117" s="4"/>
      <c r="ASR117" s="4"/>
      <c r="ASS117" s="4"/>
      <c r="AST117" s="4"/>
      <c r="ASU117" s="4"/>
    </row>
    <row r="118" spans="1:1191" x14ac:dyDescent="0.25">
      <c r="A118" s="9"/>
      <c r="B118" s="657"/>
      <c r="C118" s="657"/>
      <c r="D118" s="273"/>
      <c r="E118" s="273"/>
      <c r="F118" s="657"/>
      <c r="G118" s="657"/>
      <c r="H118" s="657"/>
      <c r="I118" s="657"/>
      <c r="J118" s="657"/>
      <c r="K118" s="657"/>
      <c r="L118" s="657"/>
      <c r="M118" s="657"/>
      <c r="N118" s="657"/>
      <c r="O118" s="657"/>
      <c r="P118" s="657"/>
      <c r="Q118" s="657"/>
      <c r="R118" s="657"/>
      <c r="S118" s="657"/>
      <c r="T118" s="657"/>
      <c r="U118" s="657"/>
      <c r="V118" s="657"/>
      <c r="W118" s="657"/>
      <c r="X118" s="657"/>
      <c r="Y118" s="657"/>
      <c r="Z118" s="657"/>
      <c r="AA118" s="657"/>
      <c r="AB118" s="657"/>
      <c r="AC118" s="657"/>
      <c r="AD118" s="657"/>
      <c r="AE118" s="657"/>
      <c r="AF118" s="657"/>
      <c r="AG118" s="657"/>
      <c r="AH118" s="273"/>
      <c r="AI118" s="657"/>
      <c r="AJ118" s="657"/>
      <c r="AK118" s="657"/>
      <c r="AL118" s="657"/>
      <c r="AM118" s="657"/>
      <c r="AN118" s="657"/>
      <c r="AO118" s="657"/>
      <c r="AP118" s="657"/>
      <c r="AQ118" s="657"/>
      <c r="AR118" s="657"/>
      <c r="AS118" s="657"/>
      <c r="AT118" s="657"/>
      <c r="AU118" s="657"/>
      <c r="AV118" s="657"/>
      <c r="AW118" s="657"/>
      <c r="AX118" s="657"/>
      <c r="AY118" s="657"/>
      <c r="AZ118" s="657"/>
      <c r="BA118" s="657"/>
      <c r="BB118" s="657"/>
      <c r="BC118" s="657"/>
      <c r="BD118" s="657"/>
      <c r="BE118" s="657"/>
      <c r="BF118" s="657"/>
      <c r="BG118" s="657"/>
      <c r="BH118" s="657"/>
      <c r="BI118" s="657"/>
      <c r="BJ118" s="657"/>
      <c r="BK118" s="273"/>
      <c r="BL118" s="657"/>
      <c r="BM118" s="657"/>
      <c r="BN118" s="657"/>
      <c r="BO118" s="657"/>
      <c r="BP118" s="657"/>
      <c r="BQ118" s="657"/>
      <c r="BR118" s="657"/>
      <c r="BS118" s="657"/>
      <c r="BT118" s="657"/>
      <c r="BU118" s="657"/>
      <c r="BV118" s="657"/>
      <c r="BW118" s="657"/>
      <c r="BX118" s="657"/>
      <c r="BY118" s="657"/>
      <c r="BZ118" s="657"/>
      <c r="CA118" s="657"/>
      <c r="CB118" s="657"/>
      <c r="CC118" s="657"/>
      <c r="CD118" s="657"/>
      <c r="CE118" s="657"/>
      <c r="CF118" s="657"/>
      <c r="CG118" s="657"/>
      <c r="CH118" s="657"/>
      <c r="CI118" s="657"/>
      <c r="CJ118" s="657"/>
      <c r="CK118" s="657"/>
      <c r="CL118" s="657"/>
      <c r="CM118" s="657"/>
      <c r="CN118" s="273"/>
      <c r="CO118" s="657"/>
      <c r="CP118" s="657"/>
      <c r="CQ118" s="657"/>
      <c r="CR118" s="657"/>
      <c r="CS118" s="657"/>
      <c r="CT118" s="657"/>
      <c r="CU118" s="657"/>
      <c r="CV118" s="657"/>
      <c r="CW118" s="657"/>
      <c r="CX118" s="657"/>
      <c r="CY118" s="657"/>
      <c r="CZ118" s="657"/>
      <c r="DA118" s="657"/>
      <c r="DB118" s="657"/>
      <c r="DC118" s="657"/>
      <c r="DD118" s="657"/>
      <c r="DE118" s="657"/>
      <c r="DF118" s="657"/>
      <c r="DG118" s="657"/>
      <c r="DH118" s="657"/>
      <c r="DI118" s="657"/>
      <c r="DJ118" s="657"/>
      <c r="DK118" s="657"/>
      <c r="DL118" s="657"/>
      <c r="DM118" s="657"/>
      <c r="DN118" s="657"/>
      <c r="DO118" s="657"/>
      <c r="DP118" s="657"/>
      <c r="DQ118" s="273"/>
      <c r="DR118" s="657"/>
      <c r="DS118" s="657"/>
      <c r="DT118" s="657"/>
      <c r="DU118" s="657"/>
      <c r="DV118" s="657"/>
      <c r="DW118" s="657"/>
      <c r="DX118" s="657"/>
      <c r="DY118" s="657"/>
      <c r="DZ118" s="657"/>
      <c r="EA118" s="657"/>
      <c r="EB118" s="657"/>
      <c r="EC118" s="657"/>
      <c r="ED118" s="657"/>
      <c r="EE118" s="657"/>
      <c r="EF118" s="657"/>
      <c r="EG118" s="657"/>
      <c r="EH118" s="657"/>
      <c r="EI118" s="657"/>
      <c r="EJ118" s="657"/>
      <c r="EK118" s="657"/>
      <c r="EL118" s="657"/>
      <c r="EM118" s="657"/>
      <c r="EN118" s="657"/>
      <c r="EO118" s="657"/>
      <c r="EP118" s="657"/>
      <c r="EQ118" s="657"/>
      <c r="ER118" s="657"/>
      <c r="ES118" s="657"/>
      <c r="ET118" s="273"/>
      <c r="EU118" s="657"/>
      <c r="EV118" s="657"/>
      <c r="EW118" s="657"/>
      <c r="EX118" s="657"/>
      <c r="EY118" s="657"/>
      <c r="EZ118" s="657"/>
      <c r="FA118" s="657"/>
      <c r="FB118" s="657"/>
      <c r="FC118" s="657"/>
      <c r="FD118" s="657"/>
      <c r="FE118" s="657"/>
      <c r="FF118" s="657"/>
      <c r="FG118" s="657"/>
      <c r="FH118" s="657"/>
      <c r="FI118" s="657"/>
      <c r="FJ118" s="657"/>
      <c r="FK118" s="657"/>
      <c r="FL118" s="657"/>
      <c r="FM118" s="657"/>
      <c r="FN118" s="657"/>
      <c r="FO118" s="657"/>
      <c r="FP118" s="657"/>
      <c r="FQ118" s="657"/>
      <c r="FR118" s="657"/>
      <c r="FS118" s="657"/>
      <c r="FT118" s="657"/>
      <c r="FU118" s="657"/>
      <c r="FV118" s="657"/>
      <c r="FW118" s="273"/>
      <c r="FX118" s="657"/>
      <c r="FY118" s="657"/>
      <c r="FZ118" s="657"/>
      <c r="GA118" s="657"/>
      <c r="GB118" s="657"/>
      <c r="GC118" s="657"/>
      <c r="GD118" s="657"/>
      <c r="GE118" s="657"/>
      <c r="GF118" s="657"/>
      <c r="GG118" s="657"/>
      <c r="GH118" s="657"/>
      <c r="GI118" s="657"/>
      <c r="GJ118" s="657"/>
      <c r="GK118" s="657"/>
      <c r="GL118" s="657"/>
      <c r="GM118" s="657"/>
      <c r="GN118" s="657"/>
      <c r="GO118" s="657"/>
      <c r="GP118" s="657"/>
      <c r="GQ118" s="657"/>
      <c r="GR118" s="657"/>
      <c r="GS118" s="657"/>
      <c r="GT118" s="657"/>
      <c r="GU118" s="657"/>
      <c r="GV118" s="657"/>
      <c r="GW118" s="657"/>
      <c r="GX118" s="657"/>
      <c r="GY118" s="657"/>
      <c r="GZ118" s="657"/>
      <c r="HA118" s="659"/>
      <c r="HB118" s="657"/>
      <c r="HC118" s="273"/>
      <c r="HD118" s="657"/>
      <c r="HE118" s="657"/>
      <c r="HF118" s="657"/>
      <c r="HG118" s="657"/>
      <c r="HH118" s="657"/>
      <c r="HI118" s="657"/>
      <c r="HJ118" s="657"/>
      <c r="HK118" s="657"/>
      <c r="HL118" s="657"/>
      <c r="HM118" s="657"/>
      <c r="HN118" s="657"/>
      <c r="HO118" s="657"/>
      <c r="HP118" s="657"/>
      <c r="HQ118" s="657"/>
      <c r="HR118" s="657"/>
      <c r="HS118" s="657"/>
      <c r="HT118" s="657"/>
      <c r="HU118" s="657"/>
      <c r="HV118" s="657"/>
      <c r="HW118" s="657"/>
      <c r="HX118" s="657"/>
      <c r="HY118" s="657"/>
      <c r="HZ118" s="657"/>
      <c r="IA118" s="657"/>
      <c r="IB118" s="657"/>
      <c r="IC118" s="657"/>
      <c r="ID118" s="657"/>
      <c r="IE118" s="657"/>
      <c r="IF118" s="273"/>
      <c r="IG118" s="657"/>
      <c r="IH118" s="657"/>
      <c r="II118" s="657"/>
      <c r="IJ118" s="657"/>
      <c r="IK118" s="657"/>
      <c r="IL118" s="657"/>
      <c r="IM118" s="657"/>
      <c r="IN118" s="657"/>
      <c r="IO118" s="657"/>
      <c r="IP118" s="657"/>
      <c r="IQ118" s="657"/>
      <c r="IR118" s="657"/>
      <c r="IS118" s="657"/>
      <c r="IT118" s="657"/>
      <c r="IU118" s="657"/>
      <c r="IV118" s="657"/>
      <c r="IW118" s="657"/>
      <c r="IX118" s="657"/>
      <c r="IY118" s="657"/>
      <c r="IZ118" s="657"/>
      <c r="JA118" s="657"/>
      <c r="JB118" s="657"/>
      <c r="JC118" s="657"/>
      <c r="JD118" s="657"/>
      <c r="JE118" s="657"/>
      <c r="JF118" s="657"/>
      <c r="JG118" s="657"/>
      <c r="JH118" s="657"/>
      <c r="JI118" s="273"/>
      <c r="JJ118" s="657"/>
      <c r="JK118" s="657"/>
      <c r="JL118" s="657"/>
      <c r="JM118" s="657"/>
      <c r="JN118" s="657"/>
      <c r="JO118" s="657"/>
      <c r="JP118" s="657"/>
      <c r="JQ118" s="657"/>
      <c r="JR118" s="657"/>
      <c r="JS118" s="657"/>
      <c r="JT118" s="657"/>
      <c r="JU118" s="657"/>
      <c r="JV118" s="657"/>
      <c r="JW118" s="657"/>
      <c r="JX118" s="657"/>
      <c r="JY118" s="657"/>
      <c r="JZ118" s="657"/>
      <c r="KA118" s="657"/>
      <c r="KB118" s="657"/>
      <c r="KC118" s="657"/>
      <c r="KD118" s="657"/>
      <c r="KE118" s="657"/>
      <c r="KF118" s="657"/>
      <c r="KG118" s="657"/>
      <c r="KH118" s="657"/>
      <c r="KI118" s="657"/>
      <c r="KJ118" s="657"/>
      <c r="KK118" s="657"/>
      <c r="KL118" s="273"/>
      <c r="KM118" s="657"/>
      <c r="KN118" s="657"/>
      <c r="KO118" s="657"/>
      <c r="KP118" s="657"/>
      <c r="KQ118" s="657"/>
      <c r="KR118" s="657"/>
      <c r="KS118" s="657"/>
      <c r="KT118" s="657"/>
      <c r="KU118" s="657"/>
      <c r="KV118" s="657"/>
      <c r="KW118" s="657"/>
      <c r="KX118" s="657"/>
      <c r="KY118" s="657"/>
      <c r="KZ118" s="657"/>
      <c r="LA118" s="657"/>
      <c r="LB118" s="657"/>
      <c r="LC118" s="657"/>
      <c r="LD118" s="657"/>
      <c r="LE118" s="657"/>
      <c r="LF118" s="657"/>
      <c r="LG118" s="657"/>
      <c r="LH118" s="657"/>
      <c r="LI118" s="657"/>
      <c r="LJ118" s="657"/>
      <c r="LK118" s="657"/>
      <c r="LL118" s="657"/>
      <c r="LM118" s="657"/>
      <c r="LN118" s="657"/>
      <c r="LO118" s="273"/>
      <c r="LP118" s="657"/>
      <c r="LQ118" s="657"/>
      <c r="LR118" s="657"/>
      <c r="LS118" s="657"/>
      <c r="LT118" s="657"/>
      <c r="LU118" s="657"/>
      <c r="LV118" s="657"/>
      <c r="LW118" s="657"/>
      <c r="LX118" s="657"/>
      <c r="LY118" s="657"/>
      <c r="LZ118" s="657"/>
      <c r="MA118" s="657"/>
      <c r="MB118" s="657"/>
      <c r="MC118" s="657"/>
      <c r="MD118" s="657"/>
      <c r="ME118" s="657"/>
      <c r="MF118" s="657"/>
      <c r="MG118" s="657"/>
      <c r="MH118" s="657"/>
      <c r="MI118" s="657"/>
      <c r="MJ118" s="657"/>
      <c r="MK118" s="657"/>
      <c r="ML118" s="657"/>
      <c r="MM118" s="657"/>
      <c r="MN118" s="657"/>
      <c r="MO118" s="657"/>
      <c r="MP118" s="657"/>
      <c r="MQ118" s="657"/>
      <c r="MR118" s="273"/>
      <c r="MS118" s="657"/>
      <c r="MT118" s="657"/>
      <c r="MU118" s="657"/>
      <c r="MV118" s="657"/>
      <c r="MW118" s="657"/>
      <c r="MX118" s="657"/>
      <c r="MY118" s="657"/>
      <c r="MZ118" s="657"/>
      <c r="NA118" s="657"/>
      <c r="NB118" s="657"/>
      <c r="NC118" s="657"/>
      <c r="ND118" s="657"/>
      <c r="NE118" s="657"/>
      <c r="NF118" s="657"/>
      <c r="NG118" s="657"/>
      <c r="NH118" s="657"/>
      <c r="NI118" s="657"/>
      <c r="NJ118" s="657"/>
      <c r="NK118" s="657"/>
      <c r="NL118" s="657"/>
      <c r="NM118" s="657"/>
      <c r="NN118" s="657"/>
      <c r="NO118" s="657"/>
      <c r="NP118" s="657"/>
      <c r="NQ118" s="657"/>
      <c r="NR118" s="657"/>
      <c r="NS118" s="657"/>
      <c r="NT118" s="657"/>
      <c r="NU118" s="273"/>
      <c r="NV118" s="657"/>
      <c r="NW118" s="657"/>
      <c r="NX118" s="657"/>
      <c r="NY118" s="657"/>
      <c r="NZ118" s="657"/>
      <c r="OA118" s="657"/>
      <c r="OB118" s="657"/>
      <c r="OC118" s="657"/>
      <c r="OD118" s="657"/>
      <c r="OE118" s="657"/>
      <c r="OF118" s="657"/>
      <c r="OG118" s="657"/>
      <c r="OH118" s="657"/>
      <c r="OI118" s="657"/>
      <c r="OJ118" s="657"/>
      <c r="OK118" s="657"/>
      <c r="OL118" s="657"/>
      <c r="OM118" s="657"/>
      <c r="ON118" s="657"/>
      <c r="OO118" s="657"/>
      <c r="OP118" s="657"/>
      <c r="OQ118" s="657"/>
      <c r="OR118" s="657"/>
      <c r="OS118" s="657"/>
      <c r="OT118" s="657"/>
      <c r="OU118" s="657"/>
      <c r="OV118" s="657"/>
      <c r="OW118" s="657"/>
      <c r="OX118" s="657"/>
      <c r="OY118" s="659"/>
      <c r="OZ118" s="657"/>
      <c r="PA118" s="273"/>
      <c r="PB118" s="657"/>
      <c r="PC118" s="657"/>
      <c r="PD118" s="657"/>
      <c r="PE118" s="657"/>
      <c r="PF118" s="657"/>
      <c r="PG118" s="657"/>
      <c r="PH118" s="657"/>
      <c r="PI118" s="657"/>
      <c r="PJ118" s="657"/>
      <c r="PK118" s="657"/>
      <c r="PL118" s="657"/>
      <c r="PM118" s="657"/>
      <c r="PN118" s="657"/>
      <c r="PO118" s="657"/>
      <c r="PP118" s="657"/>
      <c r="PQ118" s="657"/>
      <c r="PR118" s="657"/>
      <c r="PS118" s="657"/>
      <c r="PT118" s="657"/>
      <c r="PU118" s="657"/>
      <c r="PV118" s="657"/>
      <c r="PW118" s="657"/>
      <c r="PX118" s="657"/>
      <c r="PY118" s="657"/>
      <c r="PZ118" s="657"/>
      <c r="QA118" s="657"/>
      <c r="QB118" s="657"/>
      <c r="QC118" s="657"/>
      <c r="QD118" s="273"/>
      <c r="QE118" s="657"/>
      <c r="QF118" s="657"/>
      <c r="QG118" s="657"/>
      <c r="QH118" s="657"/>
      <c r="QI118" s="657"/>
      <c r="QJ118" s="657"/>
      <c r="QK118" s="657"/>
      <c r="QL118" s="657"/>
      <c r="QM118" s="657"/>
      <c r="QN118" s="657"/>
      <c r="QO118" s="657"/>
      <c r="QP118" s="657"/>
      <c r="QQ118" s="657"/>
      <c r="QR118" s="657"/>
      <c r="QS118" s="657"/>
      <c r="QT118" s="657"/>
      <c r="QU118" s="657"/>
      <c r="QV118" s="657"/>
      <c r="QW118" s="657"/>
      <c r="QX118" s="657"/>
      <c r="QY118" s="657"/>
      <c r="QZ118" s="657"/>
      <c r="RA118" s="657"/>
      <c r="RB118" s="657"/>
      <c r="RC118" s="657"/>
      <c r="RD118" s="657"/>
      <c r="RE118" s="657"/>
      <c r="RF118" s="657"/>
      <c r="RG118" s="273"/>
      <c r="RH118" s="657"/>
      <c r="RI118" s="657"/>
      <c r="RJ118" s="657"/>
      <c r="RK118" s="657"/>
      <c r="RL118" s="657"/>
      <c r="RM118" s="657"/>
      <c r="RN118" s="657"/>
      <c r="RO118" s="657"/>
      <c r="RP118" s="657"/>
      <c r="RQ118" s="657"/>
      <c r="RR118" s="657"/>
      <c r="RS118" s="657"/>
      <c r="RT118" s="657"/>
      <c r="RU118" s="657"/>
      <c r="RV118" s="657"/>
      <c r="RW118" s="657"/>
      <c r="RX118" s="657"/>
      <c r="RY118" s="657"/>
      <c r="RZ118" s="657"/>
      <c r="SA118" s="657"/>
      <c r="SB118" s="657"/>
      <c r="SC118" s="657"/>
      <c r="SD118" s="657"/>
      <c r="SE118" s="657"/>
      <c r="SF118" s="657"/>
      <c r="SG118" s="657"/>
      <c r="SH118" s="657"/>
      <c r="SI118" s="657"/>
      <c r="SJ118" s="273"/>
      <c r="SK118" s="657"/>
      <c r="SL118" s="657"/>
      <c r="SM118" s="657"/>
      <c r="SN118" s="657"/>
      <c r="SO118" s="657"/>
      <c r="SP118" s="657"/>
      <c r="SQ118" s="657"/>
      <c r="SR118" s="657"/>
      <c r="SS118" s="657"/>
      <c r="ST118" s="657"/>
      <c r="SU118" s="657"/>
      <c r="SV118" s="657"/>
      <c r="SW118" s="657"/>
      <c r="SX118" s="657"/>
      <c r="SY118" s="657"/>
      <c r="SZ118" s="657"/>
      <c r="TA118" s="657"/>
      <c r="TB118" s="657"/>
      <c r="TC118" s="657"/>
      <c r="TD118" s="657"/>
      <c r="TE118" s="657"/>
      <c r="TF118" s="657"/>
      <c r="TG118" s="657"/>
      <c r="TH118" s="657"/>
      <c r="TI118" s="657"/>
      <c r="TJ118" s="657"/>
      <c r="TK118" s="657"/>
      <c r="TL118" s="657"/>
      <c r="TM118" s="273"/>
      <c r="TN118" s="657"/>
      <c r="TO118" s="657"/>
      <c r="TP118" s="657"/>
      <c r="TQ118" s="657"/>
      <c r="TR118" s="657"/>
      <c r="TS118" s="657"/>
      <c r="TT118" s="657"/>
      <c r="TU118" s="657"/>
      <c r="TV118" s="657"/>
      <c r="TW118" s="657"/>
      <c r="TX118" s="657"/>
      <c r="TY118" s="657"/>
      <c r="TZ118" s="657"/>
      <c r="UA118" s="657"/>
      <c r="UB118" s="657"/>
      <c r="UC118" s="657"/>
      <c r="UD118" s="657"/>
      <c r="UE118" s="657"/>
      <c r="UF118" s="657"/>
      <c r="UG118" s="657"/>
      <c r="UH118" s="657"/>
      <c r="UI118" s="657"/>
      <c r="UJ118" s="657"/>
      <c r="UK118" s="657"/>
      <c r="UL118" s="657"/>
      <c r="UM118" s="657"/>
      <c r="UN118" s="657"/>
      <c r="UO118" s="657"/>
      <c r="UP118" s="273"/>
      <c r="UQ118" s="657"/>
      <c r="UR118" s="657"/>
      <c r="US118" s="657"/>
      <c r="UT118" s="657"/>
      <c r="UU118" s="657"/>
      <c r="UV118" s="657"/>
      <c r="UW118" s="657"/>
      <c r="UX118" s="657"/>
      <c r="UY118" s="657"/>
      <c r="UZ118" s="657"/>
      <c r="VA118" s="657"/>
      <c r="VB118" s="657"/>
      <c r="VC118" s="657"/>
      <c r="VD118" s="657"/>
      <c r="VE118" s="657"/>
      <c r="VF118" s="657"/>
      <c r="VG118" s="657"/>
      <c r="VH118" s="657"/>
      <c r="VI118" s="657"/>
      <c r="VJ118" s="657"/>
      <c r="VK118" s="657"/>
      <c r="VL118" s="657"/>
      <c r="VM118" s="657"/>
      <c r="VN118" s="657"/>
      <c r="VO118" s="657"/>
      <c r="VP118" s="657"/>
      <c r="VQ118" s="657"/>
      <c r="VR118" s="657"/>
      <c r="VS118" s="273"/>
      <c r="VT118" s="657"/>
      <c r="VU118" s="657"/>
      <c r="VV118" s="657"/>
      <c r="VW118" s="657"/>
      <c r="VX118" s="657"/>
      <c r="VY118" s="657"/>
      <c r="VZ118" s="657"/>
      <c r="WA118" s="657"/>
      <c r="WB118" s="657"/>
      <c r="WC118" s="657"/>
      <c r="WD118" s="657"/>
      <c r="WE118" s="657"/>
      <c r="WF118" s="657"/>
      <c r="WG118" s="657"/>
      <c r="WH118" s="657"/>
      <c r="WI118" s="657"/>
      <c r="WJ118" s="657"/>
      <c r="WK118" s="657"/>
      <c r="WL118" s="657"/>
      <c r="WM118" s="657"/>
      <c r="WN118" s="657"/>
      <c r="WO118" s="657"/>
      <c r="WP118" s="657"/>
      <c r="WQ118" s="657"/>
      <c r="WR118" s="657"/>
      <c r="WS118" s="657"/>
      <c r="WT118" s="657"/>
      <c r="WU118" s="657"/>
      <c r="WV118" s="657"/>
      <c r="WW118" s="659"/>
      <c r="WX118" s="359"/>
      <c r="WY118" s="273"/>
      <c r="WZ118" s="657"/>
      <c r="XA118" s="657"/>
      <c r="XB118" s="657"/>
      <c r="XC118" s="657"/>
      <c r="XD118" s="657"/>
      <c r="XE118" s="657"/>
      <c r="XF118" s="657"/>
      <c r="XG118" s="657"/>
      <c r="XH118" s="657"/>
      <c r="XI118" s="657"/>
      <c r="XJ118" s="657"/>
      <c r="XK118" s="657"/>
      <c r="XL118" s="657"/>
      <c r="XM118" s="657"/>
      <c r="XN118" s="657"/>
      <c r="XO118" s="657"/>
      <c r="XP118" s="657"/>
      <c r="XQ118" s="657"/>
      <c r="XR118" s="657"/>
      <c r="XS118" s="657"/>
      <c r="XT118" s="657"/>
      <c r="XU118" s="657"/>
      <c r="XV118" s="657"/>
      <c r="XW118" s="657"/>
      <c r="XX118" s="657"/>
      <c r="XY118" s="657"/>
      <c r="XZ118" s="657"/>
      <c r="YA118" s="657"/>
      <c r="YB118" s="273"/>
      <c r="YC118" s="657"/>
      <c r="YD118" s="657"/>
      <c r="YE118" s="657"/>
      <c r="YF118" s="657"/>
      <c r="YG118" s="657"/>
      <c r="YH118" s="657"/>
      <c r="YI118" s="657"/>
      <c r="YJ118" s="657"/>
      <c r="YK118" s="657"/>
      <c r="YL118" s="657"/>
      <c r="YM118" s="657"/>
      <c r="YN118" s="657"/>
      <c r="YO118" s="657"/>
      <c r="YP118" s="657"/>
      <c r="YQ118" s="657"/>
      <c r="YR118" s="657"/>
      <c r="YS118" s="657"/>
      <c r="YT118" s="657"/>
      <c r="YU118" s="657"/>
      <c r="YV118" s="657"/>
      <c r="YW118" s="657"/>
      <c r="YX118" s="657"/>
      <c r="YY118" s="657"/>
      <c r="YZ118" s="657"/>
      <c r="ZA118" s="657"/>
      <c r="ZB118" s="657"/>
      <c r="ZC118" s="657"/>
      <c r="ZD118" s="657"/>
      <c r="ZE118" s="273"/>
      <c r="ZF118" s="657"/>
      <c r="ZG118" s="657"/>
      <c r="ZH118" s="657"/>
      <c r="ZI118" s="657"/>
      <c r="ZJ118" s="657"/>
      <c r="ZK118" s="657"/>
      <c r="ZL118" s="657"/>
      <c r="ZM118" s="657"/>
      <c r="ZN118" s="657"/>
      <c r="ZO118" s="657"/>
      <c r="ZP118" s="657"/>
      <c r="ZQ118" s="657"/>
      <c r="ZR118" s="657"/>
      <c r="ZS118" s="657"/>
      <c r="ZT118" s="657"/>
      <c r="ZU118" s="657"/>
      <c r="ZV118" s="657"/>
      <c r="ZW118" s="657"/>
      <c r="ZX118" s="657"/>
      <c r="ZY118" s="657"/>
      <c r="ZZ118" s="657"/>
      <c r="AAA118" s="657"/>
      <c r="AAB118" s="657"/>
      <c r="AAC118" s="657"/>
      <c r="AAD118" s="657"/>
      <c r="AAE118" s="657"/>
      <c r="AAF118" s="657"/>
      <c r="AAG118" s="657"/>
      <c r="AAH118" s="273"/>
      <c r="AAI118" s="657"/>
      <c r="AAJ118" s="657"/>
      <c r="AAK118" s="657"/>
      <c r="AAL118" s="657"/>
      <c r="AAM118" s="657"/>
      <c r="AAN118" s="657"/>
      <c r="AAO118" s="657"/>
      <c r="AAP118" s="657"/>
      <c r="AAQ118" s="657"/>
      <c r="AAR118" s="657"/>
      <c r="AAS118" s="657"/>
      <c r="AAT118" s="657"/>
      <c r="AAU118" s="657"/>
      <c r="AAV118" s="657"/>
      <c r="AAW118" s="657"/>
      <c r="AAX118" s="657"/>
      <c r="AAY118" s="657"/>
      <c r="AAZ118" s="657"/>
      <c r="ABA118" s="657"/>
      <c r="ABB118" s="657"/>
      <c r="ABC118" s="657"/>
      <c r="ABD118" s="657"/>
      <c r="ABE118" s="657"/>
      <c r="ABF118" s="657"/>
      <c r="ABG118" s="657"/>
      <c r="ABH118" s="657"/>
      <c r="ABI118" s="657"/>
      <c r="ABJ118" s="657"/>
      <c r="ABK118" s="273"/>
      <c r="ABL118" s="657"/>
      <c r="ABM118" s="657"/>
      <c r="ABN118" s="657"/>
      <c r="ABO118" s="657"/>
      <c r="ABP118" s="657"/>
      <c r="ABQ118" s="657"/>
      <c r="ABR118" s="657"/>
      <c r="ABS118" s="657"/>
      <c r="ABT118" s="657"/>
      <c r="ABU118" s="657"/>
      <c r="ABV118" s="657"/>
      <c r="ABW118" s="657"/>
      <c r="ABX118" s="657"/>
      <c r="ABY118" s="657"/>
      <c r="ABZ118" s="657"/>
      <c r="ACA118" s="657"/>
      <c r="ACB118" s="657"/>
      <c r="ACC118" s="657"/>
      <c r="ACD118" s="657"/>
      <c r="ACE118" s="657"/>
      <c r="ACF118" s="657"/>
      <c r="ACG118" s="657"/>
      <c r="ACH118" s="657"/>
      <c r="ACI118" s="657"/>
      <c r="ACJ118" s="657"/>
      <c r="ACK118" s="657"/>
      <c r="ACL118" s="657"/>
      <c r="ACM118" s="657"/>
      <c r="ACN118" s="273"/>
      <c r="ACO118" s="657"/>
      <c r="ACP118" s="657"/>
      <c r="ACQ118" s="657"/>
      <c r="ACR118" s="657"/>
      <c r="ACS118" s="657"/>
      <c r="ACT118" s="657"/>
      <c r="ACU118" s="657"/>
      <c r="ACV118" s="657"/>
      <c r="ACW118" s="657"/>
      <c r="ACX118" s="657"/>
      <c r="ACY118" s="657"/>
      <c r="ACZ118" s="657"/>
      <c r="ADA118" s="657"/>
      <c r="ADB118" s="657"/>
      <c r="ADC118" s="657"/>
      <c r="ADD118" s="657"/>
      <c r="ADE118" s="657"/>
      <c r="ADF118" s="657"/>
      <c r="ADG118" s="657"/>
      <c r="ADH118" s="657"/>
      <c r="ADI118" s="657"/>
      <c r="ADJ118" s="657"/>
      <c r="ADK118" s="657"/>
      <c r="ADL118" s="657"/>
      <c r="ADM118" s="657"/>
      <c r="ADN118" s="657"/>
      <c r="ADO118" s="657"/>
      <c r="ADP118" s="657"/>
      <c r="ADQ118" s="273"/>
      <c r="ADR118" s="657"/>
      <c r="ADS118" s="657"/>
      <c r="ADT118" s="657"/>
      <c r="ADU118" s="657"/>
      <c r="ADV118" s="657"/>
      <c r="ADW118" s="657"/>
      <c r="ADX118" s="657"/>
      <c r="ADY118" s="657"/>
      <c r="ADZ118" s="657"/>
      <c r="AEA118" s="657"/>
      <c r="AEB118" s="657"/>
      <c r="AEC118" s="657"/>
      <c r="AED118" s="657"/>
      <c r="AEE118" s="657"/>
      <c r="AEF118" s="657"/>
      <c r="AEG118" s="657"/>
      <c r="AEH118" s="657"/>
      <c r="AEI118" s="657"/>
      <c r="AEJ118" s="657"/>
      <c r="AEK118" s="657"/>
      <c r="AEL118" s="657"/>
      <c r="AEM118" s="657"/>
      <c r="AEN118" s="657"/>
      <c r="AEO118" s="657"/>
      <c r="AEP118" s="657"/>
      <c r="AEQ118" s="657"/>
      <c r="AER118" s="657"/>
      <c r="AES118" s="657"/>
      <c r="AET118" s="657"/>
      <c r="AEU118" s="659"/>
      <c r="AEV118" s="359"/>
      <c r="AEW118" s="273"/>
      <c r="AEX118" s="657"/>
      <c r="AEY118" s="657"/>
      <c r="AEZ118" s="657"/>
      <c r="AFA118" s="657"/>
      <c r="AFB118" s="657"/>
      <c r="AFC118" s="657"/>
      <c r="AFD118" s="657"/>
      <c r="AFE118" s="657"/>
      <c r="AFF118" s="657"/>
      <c r="AFG118" s="657"/>
      <c r="AFH118" s="657"/>
      <c r="AFI118" s="657"/>
      <c r="AFJ118" s="657"/>
      <c r="AFK118" s="657"/>
      <c r="AFL118" s="657"/>
      <c r="AFM118" s="657"/>
      <c r="AFN118" s="657"/>
      <c r="AFO118" s="657"/>
      <c r="AFP118" s="657"/>
      <c r="AFQ118" s="657"/>
      <c r="AFR118" s="657"/>
      <c r="AFS118" s="657"/>
      <c r="AFT118" s="657"/>
      <c r="AFU118" s="657"/>
      <c r="AFV118" s="657"/>
      <c r="AFW118" s="657"/>
      <c r="AFX118" s="657"/>
      <c r="AFY118" s="657"/>
      <c r="AFZ118" s="273"/>
      <c r="AGA118" s="657"/>
      <c r="AGB118" s="657"/>
      <c r="AGC118" s="657"/>
      <c r="AGD118" s="657"/>
      <c r="AGE118" s="657"/>
      <c r="AGF118" s="657"/>
      <c r="AGG118" s="657"/>
      <c r="AGH118" s="657"/>
      <c r="AGI118" s="657"/>
      <c r="AGJ118" s="657"/>
      <c r="AGK118" s="657"/>
      <c r="AGL118" s="657"/>
      <c r="AGM118" s="657"/>
      <c r="AGN118" s="657"/>
      <c r="AGO118" s="657"/>
      <c r="AGP118" s="657"/>
      <c r="AGQ118" s="657"/>
      <c r="AGR118" s="657"/>
      <c r="AGS118" s="657"/>
      <c r="AGT118" s="657"/>
      <c r="AGU118" s="657"/>
      <c r="AGV118" s="657"/>
      <c r="AGW118" s="657"/>
      <c r="AGX118" s="657"/>
      <c r="AGY118" s="657"/>
      <c r="AGZ118" s="657"/>
      <c r="AHA118" s="657"/>
      <c r="AHB118" s="657"/>
      <c r="AHC118" s="273"/>
      <c r="AHD118" s="657"/>
      <c r="AHE118" s="657"/>
      <c r="AHF118" s="657"/>
      <c r="AHG118" s="657"/>
      <c r="AHH118" s="657"/>
      <c r="AHI118" s="657"/>
      <c r="AHJ118" s="657"/>
      <c r="AHK118" s="657"/>
      <c r="AHL118" s="657"/>
      <c r="AHM118" s="657"/>
      <c r="AHN118" s="657"/>
      <c r="AHO118" s="657"/>
      <c r="AHP118" s="657"/>
      <c r="AHQ118" s="657"/>
      <c r="AHR118" s="657"/>
      <c r="AHS118" s="657"/>
      <c r="AHT118" s="657"/>
      <c r="AHU118" s="657"/>
      <c r="AHV118" s="657"/>
      <c r="AHW118" s="657"/>
      <c r="AHX118" s="657"/>
      <c r="AHY118" s="657"/>
      <c r="AHZ118" s="657"/>
      <c r="AIA118" s="657"/>
      <c r="AIB118" s="657"/>
      <c r="AIC118" s="657"/>
      <c r="AID118" s="657"/>
      <c r="AIE118" s="657"/>
      <c r="AIF118" s="273"/>
      <c r="AIG118" s="657"/>
      <c r="AIH118" s="657"/>
      <c r="AII118" s="657"/>
      <c r="AIJ118" s="657"/>
      <c r="AIK118" s="657"/>
      <c r="AIL118" s="657"/>
      <c r="AIM118" s="657"/>
      <c r="AIN118" s="657"/>
      <c r="AIO118" s="657"/>
      <c r="AIP118" s="657"/>
      <c r="AIQ118" s="657"/>
      <c r="AIR118" s="657"/>
      <c r="AIS118" s="657"/>
      <c r="AIT118" s="657"/>
      <c r="AIU118" s="657"/>
      <c r="AIV118" s="657"/>
      <c r="AIW118" s="657"/>
      <c r="AIX118" s="657"/>
      <c r="AIY118" s="657"/>
      <c r="AIZ118" s="657"/>
      <c r="AJA118" s="657"/>
      <c r="AJB118" s="657"/>
      <c r="AJC118" s="657"/>
      <c r="AJD118" s="657"/>
      <c r="AJE118" s="657"/>
      <c r="AJF118" s="657"/>
      <c r="AJG118" s="657"/>
      <c r="AJH118" s="657"/>
      <c r="AJI118" s="273"/>
      <c r="AJJ118" s="657"/>
      <c r="AJK118" s="657"/>
      <c r="AJL118" s="657"/>
      <c r="AJM118" s="657"/>
      <c r="AJN118" s="657"/>
      <c r="AJO118" s="657"/>
      <c r="AJP118" s="657"/>
      <c r="AJQ118" s="657"/>
      <c r="AJR118" s="657"/>
      <c r="AJS118" s="657"/>
      <c r="AJT118" s="657"/>
      <c r="AJU118" s="657"/>
      <c r="AJV118" s="657"/>
      <c r="AJW118" s="657"/>
      <c r="AJX118" s="657"/>
      <c r="AJY118" s="657"/>
      <c r="AJZ118" s="657"/>
      <c r="AKA118" s="657"/>
      <c r="AKB118" s="657"/>
      <c r="AKC118" s="657"/>
      <c r="AKD118" s="657"/>
      <c r="AKE118" s="657"/>
      <c r="AKF118" s="657"/>
      <c r="AKG118" s="657"/>
      <c r="AKH118" s="657"/>
      <c r="AKI118" s="657"/>
      <c r="AKJ118" s="657"/>
      <c r="AKK118" s="657"/>
      <c r="AKL118" s="273"/>
      <c r="AKM118" s="657"/>
      <c r="AKN118" s="657"/>
      <c r="AKO118" s="657"/>
      <c r="AKP118" s="657"/>
      <c r="AKQ118" s="657"/>
      <c r="AKR118" s="657"/>
      <c r="AKS118" s="657"/>
      <c r="AKT118" s="657"/>
      <c r="AKU118" s="657"/>
      <c r="AKV118" s="657"/>
      <c r="AKW118" s="657"/>
      <c r="AKX118" s="657"/>
      <c r="AKY118" s="657"/>
      <c r="AKZ118" s="657"/>
      <c r="ALA118" s="657"/>
      <c r="ALB118" s="657"/>
      <c r="ALC118" s="657"/>
      <c r="ALD118" s="657"/>
      <c r="ALE118" s="657"/>
      <c r="ALF118" s="657"/>
      <c r="ALG118" s="657"/>
      <c r="ALH118" s="657"/>
      <c r="ALI118" s="657"/>
      <c r="ALJ118" s="657"/>
      <c r="ALK118" s="657"/>
      <c r="ALL118" s="657"/>
      <c r="ALM118" s="657"/>
      <c r="ALN118" s="657"/>
      <c r="ALO118" s="273"/>
      <c r="ALP118" s="657"/>
      <c r="ALQ118" s="657"/>
      <c r="ALR118" s="657"/>
      <c r="ALS118" s="657"/>
      <c r="ALT118" s="657"/>
      <c r="ALU118" s="657"/>
      <c r="ALV118" s="657"/>
      <c r="ALW118" s="657"/>
      <c r="ALX118" s="657"/>
      <c r="ALY118" s="657"/>
      <c r="ALZ118" s="657"/>
      <c r="AMA118" s="657"/>
      <c r="AMB118" s="657"/>
      <c r="AMC118" s="657"/>
      <c r="AMD118" s="657"/>
      <c r="AME118" s="657"/>
      <c r="AMF118" s="657"/>
      <c r="AMG118" s="657"/>
      <c r="AMH118" s="657"/>
      <c r="AMI118" s="657"/>
      <c r="AMJ118" s="657"/>
      <c r="AMK118" s="657"/>
      <c r="AML118" s="657"/>
      <c r="AMM118" s="657"/>
      <c r="AMN118" s="657"/>
      <c r="AMO118" s="657"/>
      <c r="AMP118" s="657"/>
      <c r="AMQ118" s="657"/>
      <c r="AMR118" s="657"/>
      <c r="AMS118" s="659"/>
      <c r="AMT118" s="4"/>
      <c r="AMU118" s="4"/>
      <c r="AMV118" s="4"/>
      <c r="AMW118" s="4"/>
      <c r="AMX118" s="4"/>
      <c r="AMY118" s="4"/>
      <c r="AMZ118" s="4"/>
      <c r="ANA118" s="4"/>
      <c r="ANB118" s="4"/>
      <c r="ANC118" s="4"/>
      <c r="AND118" s="4"/>
      <c r="ANE118" s="4"/>
      <c r="ANF118" s="4"/>
      <c r="ANG118" s="4"/>
      <c r="ANH118" s="4"/>
      <c r="ANI118" s="4"/>
      <c r="ANJ118" s="4"/>
      <c r="ANK118" s="4"/>
      <c r="ANL118" s="4"/>
      <c r="ANM118" s="4"/>
      <c r="ANN118" s="4"/>
      <c r="ANO118" s="4"/>
      <c r="ANP118" s="4"/>
      <c r="ANQ118" s="4"/>
      <c r="ANR118" s="4"/>
      <c r="ANS118" s="4"/>
      <c r="ANT118" s="4"/>
      <c r="ANU118" s="4"/>
      <c r="ANV118" s="4"/>
      <c r="ANW118" s="4"/>
      <c r="ANX118" s="4"/>
      <c r="ANY118" s="4"/>
      <c r="ANZ118" s="4"/>
      <c r="AOA118" s="4"/>
      <c r="AOB118" s="4"/>
      <c r="AOC118" s="4"/>
      <c r="AOD118" s="4"/>
      <c r="AOE118" s="4"/>
      <c r="AOF118" s="4"/>
      <c r="AOG118" s="4"/>
      <c r="AOH118" s="4"/>
      <c r="AOI118" s="4"/>
      <c r="AOJ118" s="4"/>
      <c r="AOK118" s="4"/>
      <c r="AOL118" s="4"/>
      <c r="AOM118" s="4"/>
      <c r="AON118" s="4"/>
      <c r="AOO118" s="4"/>
      <c r="AOP118" s="4"/>
      <c r="AOQ118" s="4"/>
      <c r="AOR118" s="4"/>
      <c r="AOS118" s="4"/>
      <c r="AOT118" s="4"/>
      <c r="AOU118" s="4"/>
      <c r="AOV118" s="4"/>
      <c r="AOW118" s="4"/>
      <c r="AOX118" s="4"/>
      <c r="AOY118" s="4"/>
      <c r="AOZ118" s="4"/>
      <c r="APA118" s="4"/>
      <c r="APB118" s="4"/>
      <c r="APC118" s="4"/>
      <c r="APD118" s="4"/>
      <c r="APE118" s="4"/>
      <c r="APF118" s="4"/>
      <c r="APG118" s="4"/>
      <c r="APH118" s="4"/>
      <c r="API118" s="4"/>
      <c r="APJ118" s="4"/>
      <c r="APK118" s="4"/>
      <c r="APL118" s="4"/>
      <c r="APM118" s="4"/>
      <c r="APN118" s="4"/>
      <c r="APO118" s="4"/>
      <c r="APP118" s="4"/>
      <c r="APQ118" s="4"/>
      <c r="APR118" s="4"/>
      <c r="APS118" s="4"/>
      <c r="APT118" s="4"/>
      <c r="APU118" s="4"/>
      <c r="APV118" s="4"/>
      <c r="APW118" s="4"/>
      <c r="APX118" s="4"/>
      <c r="APY118" s="4"/>
      <c r="APZ118" s="4"/>
      <c r="AQA118" s="4"/>
      <c r="AQB118" s="4"/>
      <c r="AQC118" s="4"/>
      <c r="AQD118" s="4"/>
      <c r="AQE118" s="4"/>
      <c r="AQF118" s="4"/>
      <c r="AQG118" s="4"/>
      <c r="AQH118" s="4"/>
      <c r="AQI118" s="4"/>
      <c r="AQJ118" s="4"/>
      <c r="AQK118" s="4"/>
      <c r="AQL118" s="4"/>
      <c r="AQM118" s="4"/>
      <c r="AQN118" s="4"/>
      <c r="AQO118" s="4"/>
      <c r="AQP118" s="4"/>
      <c r="AQQ118" s="4"/>
      <c r="AQR118" s="4"/>
      <c r="AQS118" s="4"/>
      <c r="AQT118" s="4"/>
      <c r="AQU118" s="4"/>
      <c r="AQV118" s="4"/>
      <c r="AQW118" s="4"/>
      <c r="AQX118" s="4"/>
      <c r="AQY118" s="4"/>
      <c r="AQZ118" s="4"/>
      <c r="ARA118" s="4"/>
      <c r="ARB118" s="4"/>
      <c r="ARC118" s="4"/>
      <c r="ARD118" s="4"/>
      <c r="ARE118" s="4"/>
      <c r="ARF118" s="4"/>
      <c r="ARG118" s="4"/>
      <c r="ARH118" s="4"/>
      <c r="ARI118" s="4"/>
      <c r="ARJ118" s="4"/>
      <c r="ARK118" s="4"/>
      <c r="ARL118" s="4"/>
      <c r="ARM118" s="4"/>
      <c r="ARN118" s="4"/>
      <c r="ARO118" s="4"/>
      <c r="ARP118" s="4"/>
      <c r="ARQ118" s="4"/>
      <c r="ARR118" s="4"/>
      <c r="ARS118" s="4"/>
      <c r="ART118" s="4"/>
      <c r="ARU118" s="4"/>
      <c r="ARV118" s="4"/>
      <c r="ARW118" s="4"/>
      <c r="ARX118" s="4"/>
      <c r="ARY118" s="4"/>
      <c r="ARZ118" s="4"/>
      <c r="ASA118" s="4"/>
      <c r="ASB118" s="4"/>
      <c r="ASC118" s="4"/>
      <c r="ASD118" s="4"/>
      <c r="ASE118" s="4"/>
      <c r="ASF118" s="4"/>
      <c r="ASG118" s="4"/>
      <c r="ASH118" s="4"/>
      <c r="ASI118" s="4"/>
      <c r="ASJ118" s="4"/>
      <c r="ASK118" s="4"/>
      <c r="ASL118" s="4"/>
      <c r="ASM118" s="4"/>
      <c r="ASN118" s="4"/>
      <c r="ASO118" s="4"/>
      <c r="ASP118" s="4"/>
      <c r="ASQ118" s="4"/>
      <c r="ASR118" s="4"/>
      <c r="ASS118" s="4"/>
      <c r="AST118" s="4"/>
      <c r="ASU118" s="4"/>
    </row>
    <row r="119" ht="18" customHeight="1" spans="1:1191" s="660" customFormat="1" x14ac:dyDescent="0.25">
      <c r="A119" s="661" t="s">
        <v>153</v>
      </c>
      <c r="B119" s="4"/>
      <c r="C119" s="4"/>
      <c r="D119" s="4"/>
      <c r="E119" s="4"/>
      <c r="F119" s="662"/>
      <c r="G119" s="662"/>
      <c r="H119" s="662"/>
      <c r="I119" s="662"/>
      <c r="J119" s="662"/>
      <c r="K119" s="662"/>
      <c r="L119" s="662"/>
      <c r="M119" s="662"/>
      <c r="N119" s="662"/>
      <c r="O119" s="662"/>
      <c r="P119" s="662"/>
      <c r="Q119" s="662"/>
      <c r="R119" s="662"/>
      <c r="S119" s="662"/>
      <c r="T119" s="662"/>
      <c r="U119" s="662"/>
      <c r="V119" s="662"/>
      <c r="W119" s="662"/>
      <c r="X119" s="662"/>
      <c r="Y119" s="662"/>
      <c r="Z119" s="662"/>
      <c r="AA119" s="662"/>
      <c r="AB119" s="662"/>
      <c r="AC119" s="662"/>
      <c r="AD119" s="662"/>
      <c r="AE119" s="662"/>
      <c r="AF119" s="4"/>
      <c r="AG119" s="4"/>
      <c r="AH119" s="4"/>
      <c r="AI119" s="662"/>
      <c r="AJ119" s="662"/>
      <c r="AK119" s="662"/>
      <c r="AL119" s="662"/>
      <c r="AM119" s="662"/>
      <c r="AN119" s="662"/>
      <c r="AO119" s="662"/>
      <c r="AP119" s="662"/>
      <c r="AQ119" s="662"/>
      <c r="AR119" s="662"/>
      <c r="AS119" s="662"/>
      <c r="AT119" s="662"/>
      <c r="AU119" s="662"/>
      <c r="AV119" s="662"/>
      <c r="AW119" s="662"/>
      <c r="AX119" s="662"/>
      <c r="AY119" s="662"/>
      <c r="AZ119" s="662"/>
      <c r="BA119" s="662"/>
      <c r="BB119" s="662"/>
      <c r="BC119" s="662"/>
      <c r="BD119" s="662"/>
      <c r="BE119" s="662"/>
      <c r="BF119" s="662"/>
      <c r="BG119" s="662"/>
      <c r="BH119" s="662"/>
      <c r="BI119" s="4"/>
      <c r="BJ119" s="4"/>
      <c r="BK119" s="4"/>
      <c r="BL119" s="662"/>
      <c r="BM119" s="662"/>
      <c r="BN119" s="662"/>
      <c r="BO119" s="662"/>
      <c r="BP119" s="662"/>
      <c r="BQ119" s="662"/>
      <c r="BR119" s="662"/>
      <c r="BS119" s="662"/>
      <c r="BT119" s="662"/>
      <c r="BU119" s="662"/>
      <c r="BV119" s="662"/>
      <c r="BW119" s="662"/>
      <c r="BX119" s="662"/>
      <c r="BY119" s="662"/>
      <c r="BZ119" s="662"/>
      <c r="CA119" s="662"/>
      <c r="CB119" s="662"/>
      <c r="CC119" s="662"/>
      <c r="CD119" s="662"/>
      <c r="CE119" s="662"/>
      <c r="CF119" s="662"/>
      <c r="CG119" s="662"/>
      <c r="CH119" s="662"/>
      <c r="CI119" s="662"/>
      <c r="CJ119" s="662"/>
      <c r="CK119" s="662"/>
      <c r="CL119" s="4"/>
      <c r="CM119" s="4"/>
      <c r="CN119" s="4"/>
      <c r="CO119" s="662"/>
      <c r="CP119" s="662"/>
      <c r="CQ119" s="662"/>
      <c r="CR119" s="662"/>
      <c r="CS119" s="662"/>
      <c r="CT119" s="662"/>
      <c r="CU119" s="662"/>
      <c r="CV119" s="662"/>
      <c r="CW119" s="662"/>
      <c r="CX119" s="662"/>
      <c r="CY119" s="662"/>
      <c r="CZ119" s="662"/>
      <c r="DA119" s="662"/>
      <c r="DB119" s="662"/>
      <c r="DC119" s="662"/>
      <c r="DD119" s="662"/>
      <c r="DE119" s="662"/>
      <c r="DF119" s="662"/>
      <c r="DG119" s="662"/>
      <c r="DH119" s="662"/>
      <c r="DI119" s="662"/>
      <c r="DJ119" s="662"/>
      <c r="DK119" s="662"/>
      <c r="DL119" s="662"/>
      <c r="DM119" s="662"/>
      <c r="DN119" s="662"/>
      <c r="DO119" s="4"/>
      <c r="DP119" s="4"/>
      <c r="DQ119" s="4"/>
      <c r="DR119" s="662"/>
      <c r="DS119" s="662"/>
      <c r="DT119" s="662"/>
      <c r="DU119" s="662"/>
      <c r="DV119" s="662"/>
      <c r="DW119" s="662"/>
      <c r="DX119" s="662"/>
      <c r="DY119" s="662"/>
      <c r="DZ119" s="662"/>
      <c r="EA119" s="662"/>
      <c r="EB119" s="662"/>
      <c r="EC119" s="662"/>
      <c r="ED119" s="662"/>
      <c r="EE119" s="662"/>
      <c r="EF119" s="662"/>
      <c r="EG119" s="662"/>
      <c r="EH119" s="662"/>
      <c r="EI119" s="662"/>
      <c r="EJ119" s="662"/>
      <c r="EK119" s="662"/>
      <c r="EL119" s="662"/>
      <c r="EM119" s="662"/>
      <c r="EN119" s="662"/>
      <c r="EO119" s="662"/>
      <c r="EP119" s="662"/>
      <c r="EQ119" s="662"/>
      <c r="ER119" s="4"/>
      <c r="ES119" s="4"/>
      <c r="ET119" s="4"/>
      <c r="EU119" s="662"/>
      <c r="EV119" s="662"/>
      <c r="EW119" s="662"/>
      <c r="EX119" s="662"/>
      <c r="EY119" s="662"/>
      <c r="EZ119" s="662"/>
      <c r="FA119" s="662"/>
      <c r="FB119" s="662"/>
      <c r="FC119" s="662"/>
      <c r="FD119" s="662"/>
      <c r="FE119" s="662"/>
      <c r="FF119" s="662"/>
      <c r="FG119" s="662"/>
      <c r="FH119" s="662"/>
      <c r="FI119" s="662"/>
      <c r="FJ119" s="662"/>
      <c r="FK119" s="662"/>
      <c r="FL119" s="662"/>
      <c r="FM119" s="662"/>
      <c r="FN119" s="662"/>
      <c r="FO119" s="662"/>
      <c r="FP119" s="662"/>
      <c r="FQ119" s="662"/>
      <c r="FR119" s="662"/>
      <c r="FS119" s="662"/>
      <c r="FT119" s="662"/>
      <c r="FU119" s="4"/>
      <c r="FV119" s="4"/>
      <c r="FW119" s="4"/>
      <c r="FX119" s="662"/>
      <c r="FY119" s="662"/>
      <c r="FZ119" s="662"/>
      <c r="GA119" s="662"/>
      <c r="GB119" s="662"/>
      <c r="GC119" s="662"/>
      <c r="GD119" s="662"/>
      <c r="GE119" s="662"/>
      <c r="GF119" s="662"/>
      <c r="GG119" s="662"/>
      <c r="GH119" s="662"/>
      <c r="GI119" s="662"/>
      <c r="GJ119" s="662"/>
      <c r="GK119" s="662"/>
      <c r="GL119" s="662"/>
      <c r="GM119" s="662"/>
      <c r="GN119" s="662"/>
      <c r="GO119" s="662"/>
      <c r="GP119" s="662"/>
      <c r="GQ119" s="662"/>
      <c r="GR119" s="662"/>
      <c r="GS119" s="662"/>
      <c r="GT119" s="662"/>
      <c r="GU119" s="662"/>
      <c r="GV119" s="662"/>
      <c r="GW119" s="662"/>
      <c r="GX119" s="4"/>
      <c r="GY119" s="4"/>
      <c r="GZ119" s="4"/>
      <c r="HA119" s="663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662"/>
      <c r="MT119" s="662"/>
      <c r="MU119" s="662"/>
      <c r="MV119" s="662"/>
      <c r="MW119" s="662"/>
      <c r="MX119" s="662"/>
      <c r="MY119" s="662"/>
      <c r="MZ119" s="662"/>
      <c r="NA119" s="662"/>
      <c r="NB119" s="662"/>
      <c r="NC119" s="662"/>
      <c r="ND119" s="662"/>
      <c r="NE119" s="662"/>
      <c r="NF119" s="662"/>
      <c r="NG119" s="662"/>
      <c r="NH119" s="662"/>
      <c r="NI119" s="662"/>
      <c r="NJ119" s="662"/>
      <c r="NK119" s="662"/>
      <c r="NL119" s="662"/>
      <c r="NM119" s="662"/>
      <c r="NN119" s="662"/>
      <c r="NO119" s="662"/>
      <c r="NP119" s="662"/>
      <c r="NQ119" s="662"/>
      <c r="NR119" s="662"/>
      <c r="NS119" s="4"/>
      <c r="NT119" s="4"/>
      <c r="NU119" s="4"/>
      <c r="NV119" s="662"/>
      <c r="NW119" s="662"/>
      <c r="NX119" s="662"/>
      <c r="NY119" s="662"/>
      <c r="NZ119" s="662"/>
      <c r="OA119" s="662"/>
      <c r="OB119" s="662"/>
      <c r="OC119" s="662"/>
      <c r="OD119" s="662"/>
      <c r="OE119" s="662"/>
      <c r="OF119" s="662"/>
      <c r="OG119" s="662"/>
      <c r="OH119" s="662"/>
      <c r="OI119" s="662"/>
      <c r="OJ119" s="662"/>
      <c r="OK119" s="662"/>
      <c r="OL119" s="662"/>
      <c r="OM119" s="662"/>
      <c r="ON119" s="662"/>
      <c r="OO119" s="662"/>
      <c r="OP119" s="662"/>
      <c r="OQ119" s="662"/>
      <c r="OR119" s="662"/>
      <c r="OS119" s="662"/>
      <c r="OT119" s="662"/>
      <c r="OU119" s="662"/>
      <c r="OV119" s="4"/>
      <c r="OW119" s="4"/>
      <c r="OX119" s="4"/>
      <c r="OY119" s="663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662"/>
      <c r="UR119" s="662"/>
      <c r="US119" s="662"/>
      <c r="UT119" s="662"/>
      <c r="UU119" s="662"/>
      <c r="UV119" s="662"/>
      <c r="UW119" s="662"/>
      <c r="UX119" s="662"/>
      <c r="UY119" s="662"/>
      <c r="UZ119" s="662"/>
      <c r="VA119" s="662"/>
      <c r="VB119" s="662"/>
      <c r="VC119" s="662"/>
      <c r="VD119" s="662"/>
      <c r="VE119" s="662"/>
      <c r="VF119" s="662"/>
      <c r="VG119" s="662"/>
      <c r="VH119" s="662"/>
      <c r="VI119" s="662"/>
      <c r="VJ119" s="662"/>
      <c r="VK119" s="662"/>
      <c r="VL119" s="662"/>
      <c r="VM119" s="662"/>
      <c r="VN119" s="662"/>
      <c r="VO119" s="662"/>
      <c r="VP119" s="662"/>
      <c r="VQ119" s="4"/>
      <c r="VR119" s="4"/>
      <c r="VS119" s="4"/>
      <c r="VT119" s="662"/>
      <c r="VU119" s="662"/>
      <c r="VV119" s="662"/>
      <c r="VW119" s="662"/>
      <c r="VX119" s="662"/>
      <c r="VY119" s="662"/>
      <c r="VZ119" s="662"/>
      <c r="WA119" s="662"/>
      <c r="WB119" s="662"/>
      <c r="WC119" s="662"/>
      <c r="WD119" s="662"/>
      <c r="WE119" s="662"/>
      <c r="WF119" s="662"/>
      <c r="WG119" s="662"/>
      <c r="WH119" s="662"/>
      <c r="WI119" s="662"/>
      <c r="WJ119" s="662"/>
      <c r="WK119" s="662"/>
      <c r="WL119" s="662"/>
      <c r="WM119" s="662"/>
      <c r="WN119" s="662"/>
      <c r="WO119" s="662"/>
      <c r="WP119" s="662"/>
      <c r="WQ119" s="662"/>
      <c r="WR119" s="662"/>
      <c r="WS119" s="662"/>
      <c r="WT119" s="4"/>
      <c r="WU119" s="4"/>
      <c r="WV119" s="4"/>
      <c r="WW119" s="663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  <c r="ABT119" s="4"/>
      <c r="ABU119" s="4"/>
      <c r="ABV119" s="4"/>
      <c r="ABW119" s="4"/>
      <c r="ABX119" s="4"/>
      <c r="ABY119" s="4"/>
      <c r="ABZ119" s="4"/>
      <c r="ACA119" s="4"/>
      <c r="ACB119" s="4"/>
      <c r="ACC119" s="4"/>
      <c r="ACD119" s="4"/>
      <c r="ACE119" s="4"/>
      <c r="ACF119" s="4"/>
      <c r="ACG119" s="4"/>
      <c r="ACH119" s="4"/>
      <c r="ACI119" s="4"/>
      <c r="ACJ119" s="4"/>
      <c r="ACK119" s="4"/>
      <c r="ACL119" s="4"/>
      <c r="ACM119" s="4"/>
      <c r="ACN119" s="4"/>
      <c r="ACO119" s="662"/>
      <c r="ACP119" s="662"/>
      <c r="ACQ119" s="662"/>
      <c r="ACR119" s="662"/>
      <c r="ACS119" s="662"/>
      <c r="ACT119" s="662"/>
      <c r="ACU119" s="662"/>
      <c r="ACV119" s="662"/>
      <c r="ACW119" s="662"/>
      <c r="ACX119" s="662"/>
      <c r="ACY119" s="662"/>
      <c r="ACZ119" s="662"/>
      <c r="ADA119" s="662"/>
      <c r="ADB119" s="662"/>
      <c r="ADC119" s="662"/>
      <c r="ADD119" s="662"/>
      <c r="ADE119" s="662"/>
      <c r="ADF119" s="662"/>
      <c r="ADG119" s="662"/>
      <c r="ADH119" s="662"/>
      <c r="ADI119" s="662"/>
      <c r="ADJ119" s="662"/>
      <c r="ADK119" s="662"/>
      <c r="ADL119" s="662"/>
      <c r="ADM119" s="662"/>
      <c r="ADN119" s="662"/>
      <c r="ADO119" s="4"/>
      <c r="ADP119" s="4"/>
      <c r="ADQ119" s="4"/>
      <c r="ADR119" s="662"/>
      <c r="ADS119" s="662"/>
      <c r="ADT119" s="662"/>
      <c r="ADU119" s="662"/>
      <c r="ADV119" s="662"/>
      <c r="ADW119" s="662"/>
      <c r="ADX119" s="662"/>
      <c r="ADY119" s="662"/>
      <c r="ADZ119" s="662"/>
      <c r="AEA119" s="662"/>
      <c r="AEB119" s="662"/>
      <c r="AEC119" s="662"/>
      <c r="AED119" s="662"/>
      <c r="AEE119" s="662"/>
      <c r="AEF119" s="662"/>
      <c r="AEG119" s="662"/>
      <c r="AEH119" s="662"/>
      <c r="AEI119" s="662"/>
      <c r="AEJ119" s="662"/>
      <c r="AEK119" s="662"/>
      <c r="AEL119" s="662"/>
      <c r="AEM119" s="662"/>
      <c r="AEN119" s="662"/>
      <c r="AEO119" s="662"/>
      <c r="AEP119" s="662"/>
      <c r="AEQ119" s="662"/>
      <c r="AER119" s="4"/>
      <c r="AES119" s="4"/>
      <c r="AET119" s="4"/>
      <c r="AEU119" s="663"/>
      <c r="AEV119" s="4"/>
      <c r="AEW119" s="4"/>
      <c r="AEX119" s="4"/>
      <c r="AEY119" s="4"/>
      <c r="AEZ119" s="4"/>
      <c r="AFA119" s="4"/>
      <c r="AFB119" s="4"/>
      <c r="AFC119" s="4"/>
      <c r="AFD119" s="4"/>
      <c r="AFE119" s="4"/>
      <c r="AFF119" s="4"/>
      <c r="AFG119" s="4"/>
      <c r="AFH119" s="4"/>
      <c r="AFI119" s="4"/>
      <c r="AFJ119" s="4"/>
      <c r="AFK119" s="4"/>
      <c r="AFL119" s="4"/>
      <c r="AFM119" s="4"/>
      <c r="AFN119" s="4"/>
      <c r="AFO119" s="4"/>
      <c r="AFP119" s="4"/>
      <c r="AFQ119" s="4"/>
      <c r="AFR119" s="4"/>
      <c r="AFS119" s="4"/>
      <c r="AFT119" s="4"/>
      <c r="AFU119" s="4"/>
      <c r="AFV119" s="4"/>
      <c r="AFW119" s="4"/>
      <c r="AFX119" s="4"/>
      <c r="AFY119" s="4"/>
      <c r="AFZ119" s="4"/>
      <c r="AGA119" s="4"/>
      <c r="AGB119" s="4"/>
      <c r="AGC119" s="4"/>
      <c r="AGD119" s="4"/>
      <c r="AGE119" s="4"/>
      <c r="AGF119" s="4"/>
      <c r="AGG119" s="4"/>
      <c r="AGH119" s="4"/>
      <c r="AGI119" s="4"/>
      <c r="AGJ119" s="4"/>
      <c r="AGK119" s="4"/>
      <c r="AGL119" s="4"/>
      <c r="AGM119" s="4"/>
      <c r="AGN119" s="4"/>
      <c r="AGO119" s="4"/>
      <c r="AGP119" s="4"/>
      <c r="AGQ119" s="4"/>
      <c r="AGR119" s="4"/>
      <c r="AGS119" s="4"/>
      <c r="AGT119" s="4"/>
      <c r="AGU119" s="4"/>
      <c r="AGV119" s="4"/>
      <c r="AGW119" s="4"/>
      <c r="AGX119" s="4"/>
      <c r="AGY119" s="4"/>
      <c r="AGZ119" s="4"/>
      <c r="AHA119" s="4"/>
      <c r="AHB119" s="4"/>
      <c r="AHC119" s="4"/>
      <c r="AHD119" s="4"/>
      <c r="AHE119" s="4"/>
      <c r="AHF119" s="4"/>
      <c r="AHG119" s="4"/>
      <c r="AHH119" s="4"/>
      <c r="AHI119" s="4"/>
      <c r="AHJ119" s="4"/>
      <c r="AHK119" s="4"/>
      <c r="AHL119" s="4"/>
      <c r="AHM119" s="4"/>
      <c r="AHN119" s="4"/>
      <c r="AHO119" s="4"/>
      <c r="AHP119" s="4"/>
      <c r="AHQ119" s="4"/>
      <c r="AHR119" s="4"/>
      <c r="AHS119" s="4"/>
      <c r="AHT119" s="4"/>
      <c r="AHU119" s="4"/>
      <c r="AHV119" s="4"/>
      <c r="AHW119" s="4"/>
      <c r="AHX119" s="4"/>
      <c r="AHY119" s="4"/>
      <c r="AHZ119" s="4"/>
      <c r="AIA119" s="4"/>
      <c r="AIB119" s="4"/>
      <c r="AIC119" s="4"/>
      <c r="AID119" s="4"/>
      <c r="AIE119" s="4"/>
      <c r="AIF119" s="4"/>
      <c r="AIG119" s="4"/>
      <c r="AIH119" s="4"/>
      <c r="AII119" s="4"/>
      <c r="AIJ119" s="4"/>
      <c r="AIK119" s="4"/>
      <c r="AIL119" s="4"/>
      <c r="AIM119" s="4"/>
      <c r="AIN119" s="4"/>
      <c r="AIO119" s="4"/>
      <c r="AIP119" s="4"/>
      <c r="AIQ119" s="4"/>
      <c r="AIR119" s="4"/>
      <c r="AIS119" s="4"/>
      <c r="AIT119" s="4"/>
      <c r="AIU119" s="4"/>
      <c r="AIV119" s="4"/>
      <c r="AIW119" s="4"/>
      <c r="AIX119" s="4"/>
      <c r="AIY119" s="4"/>
      <c r="AIZ119" s="4"/>
      <c r="AJA119" s="4"/>
      <c r="AJB119" s="4"/>
      <c r="AJC119" s="4"/>
      <c r="AJD119" s="4"/>
      <c r="AJE119" s="4"/>
      <c r="AJF119" s="4"/>
      <c r="AJG119" s="4"/>
      <c r="AJH119" s="4"/>
      <c r="AJI119" s="4"/>
      <c r="AJJ119" s="4"/>
      <c r="AJK119" s="4"/>
      <c r="AJL119" s="4"/>
      <c r="AJM119" s="4"/>
      <c r="AJN119" s="4"/>
      <c r="AJO119" s="4"/>
      <c r="AJP119" s="4"/>
      <c r="AJQ119" s="4"/>
      <c r="AJR119" s="4"/>
      <c r="AJS119" s="4"/>
      <c r="AJT119" s="4"/>
      <c r="AJU119" s="4"/>
      <c r="AJV119" s="4"/>
      <c r="AJW119" s="4"/>
      <c r="AJX119" s="4"/>
      <c r="AJY119" s="4"/>
      <c r="AJZ119" s="4"/>
      <c r="AKA119" s="4"/>
      <c r="AKB119" s="4"/>
      <c r="AKC119" s="4"/>
      <c r="AKD119" s="4"/>
      <c r="AKE119" s="4"/>
      <c r="AKF119" s="4"/>
      <c r="AKG119" s="4"/>
      <c r="AKH119" s="4"/>
      <c r="AKI119" s="4"/>
      <c r="AKJ119" s="4"/>
      <c r="AKK119" s="4"/>
      <c r="AKL119" s="4"/>
      <c r="AKM119" s="662"/>
      <c r="AKN119" s="662"/>
      <c r="AKO119" s="662"/>
      <c r="AKP119" s="662"/>
      <c r="AKQ119" s="662"/>
      <c r="AKR119" s="662"/>
      <c r="AKS119" s="662"/>
      <c r="AKT119" s="662"/>
      <c r="AKU119" s="662"/>
      <c r="AKV119" s="662"/>
      <c r="AKW119" s="662"/>
      <c r="AKX119" s="662"/>
      <c r="AKY119" s="662"/>
      <c r="AKZ119" s="662"/>
      <c r="ALA119" s="662"/>
      <c r="ALB119" s="662"/>
      <c r="ALC119" s="662"/>
      <c r="ALD119" s="662"/>
      <c r="ALE119" s="662"/>
      <c r="ALF119" s="662"/>
      <c r="ALG119" s="662"/>
      <c r="ALH119" s="662"/>
      <c r="ALI119" s="662"/>
      <c r="ALJ119" s="662"/>
      <c r="ALK119" s="662"/>
      <c r="ALL119" s="662"/>
      <c r="ALM119" s="4"/>
      <c r="ALN119" s="4"/>
      <c r="ALO119" s="4"/>
      <c r="ALP119" s="662"/>
      <c r="ALQ119" s="662"/>
      <c r="ALR119" s="662"/>
      <c r="ALS119" s="662"/>
      <c r="ALT119" s="662"/>
      <c r="ALU119" s="662"/>
      <c r="ALV119" s="662"/>
      <c r="ALW119" s="662"/>
      <c r="ALX119" s="662"/>
      <c r="ALY119" s="662"/>
      <c r="ALZ119" s="662"/>
      <c r="AMA119" s="662"/>
      <c r="AMB119" s="662"/>
      <c r="AMC119" s="662"/>
      <c r="AMD119" s="662"/>
      <c r="AME119" s="662"/>
      <c r="AMF119" s="662"/>
      <c r="AMG119" s="662"/>
      <c r="AMH119" s="662"/>
      <c r="AMI119" s="662"/>
      <c r="AMJ119" s="662"/>
      <c r="AMK119" s="662"/>
      <c r="AML119" s="662"/>
      <c r="AMM119" s="662"/>
      <c r="AMN119" s="662"/>
      <c r="AMO119" s="662"/>
      <c r="AMP119" s="4"/>
      <c r="AMQ119" s="4"/>
      <c r="AMR119" s="4"/>
      <c r="AMS119" s="663"/>
      <c r="AMT119" s="4"/>
      <c r="AMU119" s="4"/>
      <c r="AMV119" s="4"/>
      <c r="AMW119" s="4"/>
      <c r="AMX119" s="4"/>
      <c r="AMY119" s="4"/>
      <c r="AMZ119" s="4"/>
      <c r="ANA119" s="4"/>
      <c r="ANB119" s="4"/>
      <c r="ANC119" s="4"/>
      <c r="AND119" s="4"/>
      <c r="ANE119" s="4"/>
      <c r="ANF119" s="4"/>
      <c r="ANG119" s="4"/>
      <c r="ANH119" s="4"/>
      <c r="ANI119" s="4"/>
      <c r="ANJ119" s="4"/>
      <c r="ANK119" s="4"/>
      <c r="ANL119" s="4"/>
      <c r="ANM119" s="4"/>
      <c r="ANN119" s="4"/>
      <c r="ANO119" s="4"/>
      <c r="ANP119" s="4"/>
      <c r="ANQ119" s="4"/>
      <c r="ANR119" s="4"/>
      <c r="ANS119" s="4"/>
      <c r="ANT119" s="4"/>
      <c r="ANU119" s="4"/>
      <c r="ANV119" s="4"/>
      <c r="ANW119" s="4"/>
      <c r="ANX119" s="4"/>
      <c r="ANY119" s="4"/>
      <c r="ANZ119" s="4"/>
      <c r="AOA119" s="4"/>
      <c r="AOB119" s="4"/>
      <c r="AOC119" s="4"/>
      <c r="AOD119" s="4"/>
      <c r="AOE119" s="4"/>
      <c r="AOF119" s="4"/>
      <c r="AOG119" s="4"/>
      <c r="AOH119" s="4"/>
      <c r="AOI119" s="4"/>
      <c r="AOJ119" s="4"/>
      <c r="AOK119" s="4"/>
      <c r="AOL119" s="4"/>
      <c r="AOM119" s="4"/>
      <c r="AON119" s="4"/>
      <c r="AOO119" s="4"/>
      <c r="AOP119" s="4"/>
      <c r="AOQ119" s="4"/>
      <c r="AOR119" s="4"/>
      <c r="AOS119" s="4"/>
      <c r="AOT119" s="4"/>
      <c r="AOU119" s="4"/>
      <c r="AOV119" s="4"/>
      <c r="AOW119" s="4"/>
      <c r="AOX119" s="4"/>
      <c r="AOY119" s="4"/>
      <c r="AOZ119" s="4"/>
      <c r="APA119" s="4"/>
      <c r="APB119" s="4"/>
      <c r="APC119" s="4"/>
      <c r="APD119" s="4"/>
      <c r="APE119" s="4"/>
      <c r="APF119" s="4"/>
      <c r="APG119" s="4"/>
      <c r="APH119" s="4"/>
      <c r="API119" s="4"/>
      <c r="APJ119" s="4"/>
      <c r="APK119" s="4"/>
      <c r="APL119" s="4"/>
      <c r="APM119" s="4"/>
      <c r="APN119" s="4"/>
      <c r="APO119" s="4"/>
      <c r="APP119" s="4"/>
      <c r="APQ119" s="4"/>
      <c r="APR119" s="4"/>
      <c r="APS119" s="4"/>
      <c r="APT119" s="4"/>
      <c r="APU119" s="4"/>
      <c r="APV119" s="4"/>
      <c r="APW119" s="4"/>
      <c r="APX119" s="4"/>
      <c r="APY119" s="4"/>
      <c r="APZ119" s="4"/>
      <c r="AQA119" s="4"/>
      <c r="AQB119" s="4"/>
      <c r="AQC119" s="4"/>
      <c r="AQD119" s="4"/>
      <c r="AQE119" s="4"/>
      <c r="AQF119" s="4"/>
      <c r="AQG119" s="4"/>
      <c r="AQH119" s="4"/>
      <c r="AQI119" s="4"/>
      <c r="AQJ119" s="4"/>
      <c r="AQK119" s="4"/>
      <c r="AQL119" s="4"/>
      <c r="AQM119" s="4"/>
      <c r="AQN119" s="4"/>
      <c r="AQO119" s="4"/>
      <c r="AQP119" s="4"/>
      <c r="AQQ119" s="4"/>
      <c r="AQR119" s="4"/>
      <c r="AQS119" s="4"/>
      <c r="AQT119" s="4"/>
      <c r="AQU119" s="4"/>
      <c r="AQV119" s="4"/>
      <c r="AQW119" s="4"/>
      <c r="AQX119" s="4"/>
      <c r="AQY119" s="4"/>
      <c r="AQZ119" s="4"/>
      <c r="ARA119" s="4"/>
      <c r="ARB119" s="4"/>
      <c r="ARC119" s="4"/>
      <c r="ARD119" s="4"/>
      <c r="ARE119" s="4"/>
      <c r="ARF119" s="4"/>
      <c r="ARG119" s="4"/>
      <c r="ARH119" s="4"/>
      <c r="ARI119" s="4"/>
      <c r="ARJ119" s="4"/>
      <c r="ARK119" s="4"/>
      <c r="ARL119" s="4"/>
      <c r="ARM119" s="4"/>
      <c r="ARN119" s="4"/>
      <c r="ARO119" s="4"/>
      <c r="ARP119" s="4"/>
      <c r="ARQ119" s="4"/>
      <c r="ARR119" s="4"/>
      <c r="ARS119" s="4"/>
      <c r="ART119" s="4"/>
      <c r="ARU119" s="4"/>
      <c r="ARV119" s="4"/>
      <c r="ARW119" s="4"/>
      <c r="ARX119" s="4"/>
      <c r="ARY119" s="4"/>
      <c r="ARZ119" s="4"/>
      <c r="ASA119" s="4"/>
      <c r="ASB119" s="4"/>
      <c r="ASC119" s="4"/>
      <c r="ASD119" s="4"/>
      <c r="ASE119" s="4"/>
      <c r="ASF119" s="4"/>
      <c r="ASG119" s="4"/>
      <c r="ASH119" s="4"/>
      <c r="ASI119" s="4"/>
      <c r="ASJ119" s="4"/>
      <c r="ASK119" s="4"/>
      <c r="ASL119" s="4"/>
      <c r="ASM119" s="4"/>
      <c r="ASN119" s="4"/>
      <c r="ASO119" s="4"/>
      <c r="ASP119" s="4"/>
      <c r="ASQ119" s="4"/>
      <c r="ASR119" s="4"/>
      <c r="ASS119" s="4"/>
      <c r="AST119" s="4"/>
      <c r="ASU119" s="4"/>
    </row>
    <row r="120" ht="80.25" customHeight="1" spans="1:1191" s="74" customFormat="1" x14ac:dyDescent="0.25">
      <c r="A120" s="75" t="s">
        <v>25</v>
      </c>
      <c r="B120" s="76" t="s">
        <v>26</v>
      </c>
      <c r="C120" s="77" t="s">
        <v>27</v>
      </c>
      <c r="D120" s="78" t="s">
        <v>28</v>
      </c>
      <c r="E120" s="79" t="s">
        <v>29</v>
      </c>
      <c r="F120" s="79" t="s">
        <v>30</v>
      </c>
      <c r="G120" s="80"/>
      <c r="H120" s="81" t="s">
        <v>31</v>
      </c>
      <c r="I120" s="80"/>
      <c r="J120" s="81" t="s">
        <v>32</v>
      </c>
      <c r="K120" s="80"/>
      <c r="L120" s="81" t="s">
        <v>33</v>
      </c>
      <c r="M120" s="80"/>
      <c r="N120" s="82" t="s">
        <v>34</v>
      </c>
      <c r="O120" s="80"/>
      <c r="P120" s="82" t="s">
        <v>35</v>
      </c>
      <c r="Q120" s="80"/>
      <c r="R120" s="81" t="s">
        <v>36</v>
      </c>
      <c r="S120" s="80"/>
      <c r="T120" s="81" t="s">
        <v>37</v>
      </c>
      <c r="U120" s="80"/>
      <c r="V120" s="81" t="s">
        <v>38</v>
      </c>
      <c r="W120" s="80"/>
      <c r="X120" s="81" t="s">
        <v>39</v>
      </c>
      <c r="Y120" s="80"/>
      <c r="Z120" s="81" t="s">
        <v>40</v>
      </c>
      <c r="AA120" s="80"/>
      <c r="AB120" s="81" t="s">
        <v>41</v>
      </c>
      <c r="AC120" s="80"/>
      <c r="AD120" s="83" t="s">
        <v>42</v>
      </c>
      <c r="AE120" s="84" t="s">
        <v>43</v>
      </c>
      <c r="AF120" s="85" t="s">
        <v>44</v>
      </c>
      <c r="AG120" s="78" t="s">
        <v>28</v>
      </c>
      <c r="AH120" s="79" t="s">
        <v>29</v>
      </c>
      <c r="AI120" s="79" t="s">
        <v>30</v>
      </c>
      <c r="AJ120" s="80"/>
      <c r="AK120" s="81" t="s">
        <v>31</v>
      </c>
      <c r="AL120" s="80"/>
      <c r="AM120" s="81" t="s">
        <v>32</v>
      </c>
      <c r="AN120" s="80"/>
      <c r="AO120" s="81" t="s">
        <v>33</v>
      </c>
      <c r="AP120" s="80"/>
      <c r="AQ120" s="82" t="s">
        <v>34</v>
      </c>
      <c r="AR120" s="80"/>
      <c r="AS120" s="82" t="s">
        <v>35</v>
      </c>
      <c r="AT120" s="80"/>
      <c r="AU120" s="81" t="s">
        <v>36</v>
      </c>
      <c r="AV120" s="80"/>
      <c r="AW120" s="81" t="s">
        <v>37</v>
      </c>
      <c r="AX120" s="80"/>
      <c r="AY120" s="81" t="s">
        <v>38</v>
      </c>
      <c r="AZ120" s="80"/>
      <c r="BA120" s="81" t="s">
        <v>39</v>
      </c>
      <c r="BB120" s="80"/>
      <c r="BC120" s="81" t="s">
        <v>40</v>
      </c>
      <c r="BD120" s="80"/>
      <c r="BE120" s="81" t="s">
        <v>41</v>
      </c>
      <c r="BF120" s="80"/>
      <c r="BG120" s="83" t="s">
        <v>42</v>
      </c>
      <c r="BH120" s="84" t="s">
        <v>43</v>
      </c>
      <c r="BI120" s="85" t="s">
        <v>44</v>
      </c>
      <c r="BJ120" s="78" t="s">
        <v>28</v>
      </c>
      <c r="BK120" s="79" t="s">
        <v>29</v>
      </c>
      <c r="BL120" s="79" t="s">
        <v>30</v>
      </c>
      <c r="BM120" s="80"/>
      <c r="BN120" s="81" t="s">
        <v>31</v>
      </c>
      <c r="BO120" s="80"/>
      <c r="BP120" s="81" t="s">
        <v>32</v>
      </c>
      <c r="BQ120" s="80"/>
      <c r="BR120" s="81" t="s">
        <v>33</v>
      </c>
      <c r="BS120" s="80"/>
      <c r="BT120" s="82" t="s">
        <v>34</v>
      </c>
      <c r="BU120" s="80"/>
      <c r="BV120" s="82" t="s">
        <v>35</v>
      </c>
      <c r="BW120" s="80"/>
      <c r="BX120" s="81" t="s">
        <v>36</v>
      </c>
      <c r="BY120" s="80"/>
      <c r="BZ120" s="81" t="s">
        <v>37</v>
      </c>
      <c r="CA120" s="80"/>
      <c r="CB120" s="81" t="s">
        <v>38</v>
      </c>
      <c r="CC120" s="80"/>
      <c r="CD120" s="81" t="s">
        <v>39</v>
      </c>
      <c r="CE120" s="80"/>
      <c r="CF120" s="81" t="s">
        <v>40</v>
      </c>
      <c r="CG120" s="80"/>
      <c r="CH120" s="81" t="s">
        <v>41</v>
      </c>
      <c r="CI120" s="80"/>
      <c r="CJ120" s="83" t="s">
        <v>42</v>
      </c>
      <c r="CK120" s="84" t="s">
        <v>43</v>
      </c>
      <c r="CL120" s="85" t="s">
        <v>44</v>
      </c>
      <c r="CM120" s="78" t="s">
        <v>28</v>
      </c>
      <c r="CN120" s="79" t="s">
        <v>29</v>
      </c>
      <c r="CO120" s="79" t="s">
        <v>30</v>
      </c>
      <c r="CP120" s="80"/>
      <c r="CQ120" s="81" t="s">
        <v>31</v>
      </c>
      <c r="CR120" s="80"/>
      <c r="CS120" s="81" t="s">
        <v>32</v>
      </c>
      <c r="CT120" s="80"/>
      <c r="CU120" s="81" t="s">
        <v>33</v>
      </c>
      <c r="CV120" s="80"/>
      <c r="CW120" s="82" t="s">
        <v>34</v>
      </c>
      <c r="CX120" s="80"/>
      <c r="CY120" s="82" t="s">
        <v>35</v>
      </c>
      <c r="CZ120" s="80"/>
      <c r="DA120" s="81" t="s">
        <v>36</v>
      </c>
      <c r="DB120" s="80"/>
      <c r="DC120" s="81" t="s">
        <v>37</v>
      </c>
      <c r="DD120" s="80"/>
      <c r="DE120" s="81" t="s">
        <v>38</v>
      </c>
      <c r="DF120" s="80"/>
      <c r="DG120" s="81" t="s">
        <v>39</v>
      </c>
      <c r="DH120" s="80"/>
      <c r="DI120" s="81" t="s">
        <v>40</v>
      </c>
      <c r="DJ120" s="80"/>
      <c r="DK120" s="81" t="s">
        <v>41</v>
      </c>
      <c r="DL120" s="80"/>
      <c r="DM120" s="83" t="s">
        <v>42</v>
      </c>
      <c r="DN120" s="84" t="s">
        <v>43</v>
      </c>
      <c r="DO120" s="85" t="s">
        <v>44</v>
      </c>
      <c r="DP120" s="78" t="s">
        <v>28</v>
      </c>
      <c r="DQ120" s="79" t="s">
        <v>29</v>
      </c>
      <c r="DR120" s="79" t="s">
        <v>30</v>
      </c>
      <c r="DS120" s="80"/>
      <c r="DT120" s="81" t="s">
        <v>31</v>
      </c>
      <c r="DU120" s="80"/>
      <c r="DV120" s="81" t="s">
        <v>32</v>
      </c>
      <c r="DW120" s="80"/>
      <c r="DX120" s="81" t="s">
        <v>33</v>
      </c>
      <c r="DY120" s="80"/>
      <c r="DZ120" s="82" t="s">
        <v>34</v>
      </c>
      <c r="EA120" s="80"/>
      <c r="EB120" s="82" t="s">
        <v>35</v>
      </c>
      <c r="EC120" s="80"/>
      <c r="ED120" s="81" t="s">
        <v>36</v>
      </c>
      <c r="EE120" s="80"/>
      <c r="EF120" s="81" t="s">
        <v>37</v>
      </c>
      <c r="EG120" s="80"/>
      <c r="EH120" s="81" t="s">
        <v>38</v>
      </c>
      <c r="EI120" s="80"/>
      <c r="EJ120" s="81" t="s">
        <v>39</v>
      </c>
      <c r="EK120" s="80"/>
      <c r="EL120" s="81" t="s">
        <v>40</v>
      </c>
      <c r="EM120" s="80"/>
      <c r="EN120" s="81" t="s">
        <v>41</v>
      </c>
      <c r="EO120" s="80"/>
      <c r="EP120" s="83" t="s">
        <v>42</v>
      </c>
      <c r="EQ120" s="84" t="s">
        <v>43</v>
      </c>
      <c r="ER120" s="85" t="s">
        <v>44</v>
      </c>
      <c r="ES120" s="78" t="s">
        <v>28</v>
      </c>
      <c r="ET120" s="79" t="s">
        <v>29</v>
      </c>
      <c r="EU120" s="81" t="s">
        <v>30</v>
      </c>
      <c r="EV120" s="80"/>
      <c r="EW120" s="81" t="s">
        <v>31</v>
      </c>
      <c r="EX120" s="80"/>
      <c r="EY120" s="81" t="s">
        <v>32</v>
      </c>
      <c r="EZ120" s="80"/>
      <c r="FA120" s="81" t="s">
        <v>33</v>
      </c>
      <c r="FB120" s="80"/>
      <c r="FC120" s="82" t="s">
        <v>34</v>
      </c>
      <c r="FD120" s="80"/>
      <c r="FE120" s="82" t="s">
        <v>35</v>
      </c>
      <c r="FF120" s="80"/>
      <c r="FG120" s="81" t="s">
        <v>36</v>
      </c>
      <c r="FH120" s="80"/>
      <c r="FI120" s="81" t="s">
        <v>37</v>
      </c>
      <c r="FJ120" s="80"/>
      <c r="FK120" s="81" t="s">
        <v>38</v>
      </c>
      <c r="FL120" s="80"/>
      <c r="FM120" s="81" t="s">
        <v>39</v>
      </c>
      <c r="FN120" s="80"/>
      <c r="FO120" s="81" t="s">
        <v>40</v>
      </c>
      <c r="FP120" s="80"/>
      <c r="FQ120" s="81" t="s">
        <v>41</v>
      </c>
      <c r="FR120" s="80"/>
      <c r="FS120" s="83" t="s">
        <v>42</v>
      </c>
      <c r="FT120" s="84" t="s">
        <v>43</v>
      </c>
      <c r="FU120" s="85" t="s">
        <v>44</v>
      </c>
      <c r="FV120" s="78" t="s">
        <v>28</v>
      </c>
      <c r="FW120" s="79" t="s">
        <v>29</v>
      </c>
      <c r="FX120" s="79" t="s">
        <v>30</v>
      </c>
      <c r="FY120" s="80"/>
      <c r="FZ120" s="81" t="s">
        <v>31</v>
      </c>
      <c r="GA120" s="80"/>
      <c r="GB120" s="81" t="s">
        <v>32</v>
      </c>
      <c r="GC120" s="80"/>
      <c r="GD120" s="81" t="s">
        <v>33</v>
      </c>
      <c r="GE120" s="80"/>
      <c r="GF120" s="82" t="s">
        <v>34</v>
      </c>
      <c r="GG120" s="80"/>
      <c r="GH120" s="82" t="s">
        <v>35</v>
      </c>
      <c r="GI120" s="80"/>
      <c r="GJ120" s="81" t="s">
        <v>36</v>
      </c>
      <c r="GK120" s="80"/>
      <c r="GL120" s="81" t="s">
        <v>37</v>
      </c>
      <c r="GM120" s="80"/>
      <c r="GN120" s="81" t="s">
        <v>38</v>
      </c>
      <c r="GO120" s="80"/>
      <c r="GP120" s="81" t="s">
        <v>39</v>
      </c>
      <c r="GQ120" s="80"/>
      <c r="GR120" s="81" t="s">
        <v>40</v>
      </c>
      <c r="GS120" s="80"/>
      <c r="GT120" s="81" t="s">
        <v>41</v>
      </c>
      <c r="GU120" s="80"/>
      <c r="GV120" s="83" t="s">
        <v>42</v>
      </c>
      <c r="GW120" s="84" t="s">
        <v>43</v>
      </c>
      <c r="GX120" s="85" t="s">
        <v>44</v>
      </c>
      <c r="GY120" s="87" t="s">
        <v>45</v>
      </c>
      <c r="GZ120" s="88" t="s">
        <v>46</v>
      </c>
      <c r="HA120" s="89" t="s">
        <v>47</v>
      </c>
      <c r="HB120" s="78" t="s">
        <v>28</v>
      </c>
      <c r="HC120" s="79" t="s">
        <v>29</v>
      </c>
      <c r="HD120" s="79" t="s">
        <v>30</v>
      </c>
      <c r="HE120" s="80"/>
      <c r="HF120" s="81" t="s">
        <v>31</v>
      </c>
      <c r="HG120" s="80"/>
      <c r="HH120" s="81" t="s">
        <v>32</v>
      </c>
      <c r="HI120" s="80"/>
      <c r="HJ120" s="81" t="s">
        <v>33</v>
      </c>
      <c r="HK120" s="80"/>
      <c r="HL120" s="82" t="s">
        <v>34</v>
      </c>
      <c r="HM120" s="80"/>
      <c r="HN120" s="82" t="s">
        <v>35</v>
      </c>
      <c r="HO120" s="80"/>
      <c r="HP120" s="81" t="s">
        <v>36</v>
      </c>
      <c r="HQ120" s="80"/>
      <c r="HR120" s="81" t="s">
        <v>37</v>
      </c>
      <c r="HS120" s="80"/>
      <c r="HT120" s="81" t="s">
        <v>38</v>
      </c>
      <c r="HU120" s="80"/>
      <c r="HV120" s="81" t="s">
        <v>39</v>
      </c>
      <c r="HW120" s="80"/>
      <c r="HX120" s="81" t="s">
        <v>40</v>
      </c>
      <c r="HY120" s="80"/>
      <c r="HZ120" s="81" t="s">
        <v>41</v>
      </c>
      <c r="IA120" s="80"/>
      <c r="IB120" s="83" t="s">
        <v>42</v>
      </c>
      <c r="IC120" s="84" t="s">
        <v>43</v>
      </c>
      <c r="ID120" s="85" t="s">
        <v>44</v>
      </c>
      <c r="IE120" s="78" t="s">
        <v>28</v>
      </c>
      <c r="IF120" s="79" t="s">
        <v>29</v>
      </c>
      <c r="IG120" s="79" t="s">
        <v>30</v>
      </c>
      <c r="IH120" s="80"/>
      <c r="II120" s="81" t="s">
        <v>31</v>
      </c>
      <c r="IJ120" s="80"/>
      <c r="IK120" s="81" t="s">
        <v>32</v>
      </c>
      <c r="IL120" s="80"/>
      <c r="IM120" s="81" t="s">
        <v>33</v>
      </c>
      <c r="IN120" s="80"/>
      <c r="IO120" s="82" t="s">
        <v>34</v>
      </c>
      <c r="IP120" s="80"/>
      <c r="IQ120" s="82" t="s">
        <v>35</v>
      </c>
      <c r="IR120" s="80"/>
      <c r="IS120" s="81" t="s">
        <v>36</v>
      </c>
      <c r="IT120" s="80"/>
      <c r="IU120" s="81" t="s">
        <v>37</v>
      </c>
      <c r="IV120" s="80"/>
      <c r="IW120" s="81" t="s">
        <v>38</v>
      </c>
      <c r="IX120" s="80"/>
      <c r="IY120" s="81" t="s">
        <v>39</v>
      </c>
      <c r="IZ120" s="80"/>
      <c r="JA120" s="81" t="s">
        <v>40</v>
      </c>
      <c r="JB120" s="80"/>
      <c r="JC120" s="81" t="s">
        <v>41</v>
      </c>
      <c r="JD120" s="80"/>
      <c r="JE120" s="83" t="s">
        <v>42</v>
      </c>
      <c r="JF120" s="84" t="s">
        <v>43</v>
      </c>
      <c r="JG120" s="85" t="s">
        <v>44</v>
      </c>
      <c r="JH120" s="78" t="s">
        <v>28</v>
      </c>
      <c r="JI120" s="79" t="s">
        <v>29</v>
      </c>
      <c r="JJ120" s="79" t="s">
        <v>30</v>
      </c>
      <c r="JK120" s="80"/>
      <c r="JL120" s="81" t="s">
        <v>31</v>
      </c>
      <c r="JM120" s="80"/>
      <c r="JN120" s="81" t="s">
        <v>32</v>
      </c>
      <c r="JO120" s="80"/>
      <c r="JP120" s="81" t="s">
        <v>33</v>
      </c>
      <c r="JQ120" s="80"/>
      <c r="JR120" s="82" t="s">
        <v>34</v>
      </c>
      <c r="JS120" s="80"/>
      <c r="JT120" s="82" t="s">
        <v>35</v>
      </c>
      <c r="JU120" s="80"/>
      <c r="JV120" s="81" t="s">
        <v>36</v>
      </c>
      <c r="JW120" s="80"/>
      <c r="JX120" s="81" t="s">
        <v>37</v>
      </c>
      <c r="JY120" s="80"/>
      <c r="JZ120" s="81" t="s">
        <v>38</v>
      </c>
      <c r="KA120" s="80"/>
      <c r="KB120" s="81" t="s">
        <v>39</v>
      </c>
      <c r="KC120" s="80"/>
      <c r="KD120" s="81" t="s">
        <v>40</v>
      </c>
      <c r="KE120" s="80"/>
      <c r="KF120" s="81" t="s">
        <v>41</v>
      </c>
      <c r="KG120" s="80"/>
      <c r="KH120" s="83" t="s">
        <v>42</v>
      </c>
      <c r="KI120" s="84" t="s">
        <v>43</v>
      </c>
      <c r="KJ120" s="85" t="s">
        <v>44</v>
      </c>
      <c r="KK120" s="78" t="s">
        <v>28</v>
      </c>
      <c r="KL120" s="79" t="s">
        <v>29</v>
      </c>
      <c r="KM120" s="79" t="s">
        <v>30</v>
      </c>
      <c r="KN120" s="80"/>
      <c r="KO120" s="81" t="s">
        <v>31</v>
      </c>
      <c r="KP120" s="80"/>
      <c r="KQ120" s="81" t="s">
        <v>32</v>
      </c>
      <c r="KR120" s="80"/>
      <c r="KS120" s="81" t="s">
        <v>33</v>
      </c>
      <c r="KT120" s="80"/>
      <c r="KU120" s="82" t="s">
        <v>34</v>
      </c>
      <c r="KV120" s="80"/>
      <c r="KW120" s="82" t="s">
        <v>35</v>
      </c>
      <c r="KX120" s="80"/>
      <c r="KY120" s="81" t="s">
        <v>36</v>
      </c>
      <c r="KZ120" s="80"/>
      <c r="LA120" s="81" t="s">
        <v>37</v>
      </c>
      <c r="LB120" s="80"/>
      <c r="LC120" s="81" t="s">
        <v>38</v>
      </c>
      <c r="LD120" s="80"/>
      <c r="LE120" s="81" t="s">
        <v>39</v>
      </c>
      <c r="LF120" s="80"/>
      <c r="LG120" s="81" t="s">
        <v>40</v>
      </c>
      <c r="LH120" s="80"/>
      <c r="LI120" s="81" t="s">
        <v>41</v>
      </c>
      <c r="LJ120" s="80"/>
      <c r="LK120" s="83" t="s">
        <v>42</v>
      </c>
      <c r="LL120" s="84" t="s">
        <v>43</v>
      </c>
      <c r="LM120" s="85" t="s">
        <v>44</v>
      </c>
      <c r="LN120" s="78" t="s">
        <v>28</v>
      </c>
      <c r="LO120" s="81" t="s">
        <v>29</v>
      </c>
      <c r="LP120" s="79" t="s">
        <v>30</v>
      </c>
      <c r="LQ120" s="80"/>
      <c r="LR120" s="81" t="s">
        <v>31</v>
      </c>
      <c r="LS120" s="80"/>
      <c r="LT120" s="81" t="s">
        <v>32</v>
      </c>
      <c r="LU120" s="80"/>
      <c r="LV120" s="81" t="s">
        <v>33</v>
      </c>
      <c r="LW120" s="80"/>
      <c r="LX120" s="82" t="s">
        <v>34</v>
      </c>
      <c r="LY120" s="80"/>
      <c r="LZ120" s="82" t="s">
        <v>35</v>
      </c>
      <c r="MA120" s="80"/>
      <c r="MB120" s="81" t="s">
        <v>36</v>
      </c>
      <c r="MC120" s="80"/>
      <c r="MD120" s="81" t="s">
        <v>37</v>
      </c>
      <c r="ME120" s="80"/>
      <c r="MF120" s="81" t="s">
        <v>38</v>
      </c>
      <c r="MG120" s="80"/>
      <c r="MH120" s="81" t="s">
        <v>39</v>
      </c>
      <c r="MI120" s="80"/>
      <c r="MJ120" s="81" t="s">
        <v>40</v>
      </c>
      <c r="MK120" s="80"/>
      <c r="ML120" s="81" t="s">
        <v>41</v>
      </c>
      <c r="MM120" s="80"/>
      <c r="MN120" s="83" t="s">
        <v>42</v>
      </c>
      <c r="MO120" s="84" t="s">
        <v>43</v>
      </c>
      <c r="MP120" s="85" t="s">
        <v>44</v>
      </c>
      <c r="MQ120" s="78" t="s">
        <v>28</v>
      </c>
      <c r="MR120" s="79" t="s">
        <v>29</v>
      </c>
      <c r="MS120" s="81" t="s">
        <v>30</v>
      </c>
      <c r="MT120" s="80"/>
      <c r="MU120" s="81" t="s">
        <v>31</v>
      </c>
      <c r="MV120" s="80"/>
      <c r="MW120" s="81" t="s">
        <v>32</v>
      </c>
      <c r="MX120" s="80"/>
      <c r="MY120" s="81" t="s">
        <v>33</v>
      </c>
      <c r="MZ120" s="80"/>
      <c r="NA120" s="82" t="s">
        <v>34</v>
      </c>
      <c r="NB120" s="80"/>
      <c r="NC120" s="82" t="s">
        <v>35</v>
      </c>
      <c r="ND120" s="80"/>
      <c r="NE120" s="81" t="s">
        <v>36</v>
      </c>
      <c r="NF120" s="80"/>
      <c r="NG120" s="81" t="s">
        <v>37</v>
      </c>
      <c r="NH120" s="80"/>
      <c r="NI120" s="81" t="s">
        <v>38</v>
      </c>
      <c r="NJ120" s="80"/>
      <c r="NK120" s="81" t="s">
        <v>39</v>
      </c>
      <c r="NL120" s="80"/>
      <c r="NM120" s="81" t="s">
        <v>40</v>
      </c>
      <c r="NN120" s="80"/>
      <c r="NO120" s="81" t="s">
        <v>41</v>
      </c>
      <c r="NP120" s="80"/>
      <c r="NQ120" s="83" t="s">
        <v>42</v>
      </c>
      <c r="NR120" s="84" t="s">
        <v>43</v>
      </c>
      <c r="NS120" s="85" t="s">
        <v>44</v>
      </c>
      <c r="NT120" s="78" t="s">
        <v>28</v>
      </c>
      <c r="NU120" s="79" t="s">
        <v>29</v>
      </c>
      <c r="NV120" s="79" t="s">
        <v>30</v>
      </c>
      <c r="NW120" s="80"/>
      <c r="NX120" s="81" t="s">
        <v>31</v>
      </c>
      <c r="NY120" s="80"/>
      <c r="NZ120" s="81" t="s">
        <v>32</v>
      </c>
      <c r="OA120" s="80"/>
      <c r="OB120" s="81" t="s">
        <v>33</v>
      </c>
      <c r="OC120" s="80"/>
      <c r="OD120" s="82" t="s">
        <v>34</v>
      </c>
      <c r="OE120" s="80"/>
      <c r="OF120" s="82" t="s">
        <v>35</v>
      </c>
      <c r="OG120" s="80"/>
      <c r="OH120" s="81" t="s">
        <v>36</v>
      </c>
      <c r="OI120" s="80"/>
      <c r="OJ120" s="81" t="s">
        <v>37</v>
      </c>
      <c r="OK120" s="80"/>
      <c r="OL120" s="81" t="s">
        <v>38</v>
      </c>
      <c r="OM120" s="80"/>
      <c r="ON120" s="81" t="s">
        <v>39</v>
      </c>
      <c r="OO120" s="80"/>
      <c r="OP120" s="81" t="s">
        <v>40</v>
      </c>
      <c r="OQ120" s="80"/>
      <c r="OR120" s="81" t="s">
        <v>41</v>
      </c>
      <c r="OS120" s="80"/>
      <c r="OT120" s="83" t="s">
        <v>42</v>
      </c>
      <c r="OU120" s="84" t="s">
        <v>43</v>
      </c>
      <c r="OV120" s="85" t="s">
        <v>44</v>
      </c>
      <c r="OW120" s="87" t="s">
        <v>45</v>
      </c>
      <c r="OX120" s="88" t="s">
        <v>46</v>
      </c>
      <c r="OY120" s="89" t="s">
        <v>47</v>
      </c>
      <c r="OZ120" s="78" t="s">
        <v>28</v>
      </c>
      <c r="PA120" s="79" t="s">
        <v>29</v>
      </c>
      <c r="PB120" s="79" t="s">
        <v>30</v>
      </c>
      <c r="PC120" s="80"/>
      <c r="PD120" s="81" t="s">
        <v>31</v>
      </c>
      <c r="PE120" s="80"/>
      <c r="PF120" s="81" t="s">
        <v>32</v>
      </c>
      <c r="PG120" s="80"/>
      <c r="PH120" s="81" t="s">
        <v>33</v>
      </c>
      <c r="PI120" s="80"/>
      <c r="PJ120" s="82" t="s">
        <v>34</v>
      </c>
      <c r="PK120" s="80"/>
      <c r="PL120" s="82" t="s">
        <v>35</v>
      </c>
      <c r="PM120" s="80"/>
      <c r="PN120" s="81" t="s">
        <v>36</v>
      </c>
      <c r="PO120" s="80"/>
      <c r="PP120" s="81" t="s">
        <v>37</v>
      </c>
      <c r="PQ120" s="80"/>
      <c r="PR120" s="81" t="s">
        <v>38</v>
      </c>
      <c r="PS120" s="80"/>
      <c r="PT120" s="81" t="s">
        <v>39</v>
      </c>
      <c r="PU120" s="80"/>
      <c r="PV120" s="81" t="s">
        <v>40</v>
      </c>
      <c r="PW120" s="80"/>
      <c r="PX120" s="81" t="s">
        <v>41</v>
      </c>
      <c r="PY120" s="80"/>
      <c r="PZ120" s="83" t="s">
        <v>42</v>
      </c>
      <c r="QA120" s="84" t="s">
        <v>43</v>
      </c>
      <c r="QB120" s="85" t="s">
        <v>44</v>
      </c>
      <c r="QC120" s="78" t="s">
        <v>28</v>
      </c>
      <c r="QD120" s="79" t="s">
        <v>29</v>
      </c>
      <c r="QE120" s="79" t="s">
        <v>30</v>
      </c>
      <c r="QF120" s="80"/>
      <c r="QG120" s="81" t="s">
        <v>31</v>
      </c>
      <c r="QH120" s="80"/>
      <c r="QI120" s="81" t="s">
        <v>32</v>
      </c>
      <c r="QJ120" s="80"/>
      <c r="QK120" s="81" t="s">
        <v>33</v>
      </c>
      <c r="QL120" s="80"/>
      <c r="QM120" s="82" t="s">
        <v>34</v>
      </c>
      <c r="QN120" s="80"/>
      <c r="QO120" s="82" t="s">
        <v>35</v>
      </c>
      <c r="QP120" s="80"/>
      <c r="QQ120" s="81" t="s">
        <v>36</v>
      </c>
      <c r="QR120" s="80"/>
      <c r="QS120" s="81" t="s">
        <v>37</v>
      </c>
      <c r="QT120" s="80"/>
      <c r="QU120" s="81" t="s">
        <v>38</v>
      </c>
      <c r="QV120" s="80"/>
      <c r="QW120" s="81" t="s">
        <v>39</v>
      </c>
      <c r="QX120" s="80"/>
      <c r="QY120" s="81" t="s">
        <v>40</v>
      </c>
      <c r="QZ120" s="80"/>
      <c r="RA120" s="81" t="s">
        <v>41</v>
      </c>
      <c r="RB120" s="80"/>
      <c r="RC120" s="83" t="s">
        <v>42</v>
      </c>
      <c r="RD120" s="84" t="s">
        <v>43</v>
      </c>
      <c r="RE120" s="85" t="s">
        <v>44</v>
      </c>
      <c r="RF120" s="78" t="s">
        <v>28</v>
      </c>
      <c r="RG120" s="81" t="s">
        <v>29</v>
      </c>
      <c r="RH120" s="79" t="s">
        <v>30</v>
      </c>
      <c r="RI120" s="80"/>
      <c r="RJ120" s="81" t="s">
        <v>31</v>
      </c>
      <c r="RK120" s="80"/>
      <c r="RL120" s="81" t="s">
        <v>32</v>
      </c>
      <c r="RM120" s="80"/>
      <c r="RN120" s="81" t="s">
        <v>33</v>
      </c>
      <c r="RO120" s="80"/>
      <c r="RP120" s="82" t="s">
        <v>34</v>
      </c>
      <c r="RQ120" s="80"/>
      <c r="RR120" s="82" t="s">
        <v>35</v>
      </c>
      <c r="RS120" s="80"/>
      <c r="RT120" s="81" t="s">
        <v>36</v>
      </c>
      <c r="RU120" s="80"/>
      <c r="RV120" s="81" t="s">
        <v>37</v>
      </c>
      <c r="RW120" s="80"/>
      <c r="RX120" s="81" t="s">
        <v>38</v>
      </c>
      <c r="RY120" s="80"/>
      <c r="RZ120" s="81" t="s">
        <v>39</v>
      </c>
      <c r="SA120" s="80"/>
      <c r="SB120" s="81" t="s">
        <v>40</v>
      </c>
      <c r="SC120" s="80"/>
      <c r="SD120" s="81" t="s">
        <v>41</v>
      </c>
      <c r="SE120" s="80"/>
      <c r="SF120" s="83" t="s">
        <v>42</v>
      </c>
      <c r="SG120" s="84" t="s">
        <v>43</v>
      </c>
      <c r="SH120" s="85" t="s">
        <v>44</v>
      </c>
      <c r="SI120" s="78" t="s">
        <v>28</v>
      </c>
      <c r="SJ120" s="79" t="s">
        <v>29</v>
      </c>
      <c r="SK120" s="81" t="s">
        <v>30</v>
      </c>
      <c r="SL120" s="80"/>
      <c r="SM120" s="81" t="s">
        <v>31</v>
      </c>
      <c r="SN120" s="80"/>
      <c r="SO120" s="81" t="s">
        <v>32</v>
      </c>
      <c r="SP120" s="80"/>
      <c r="SQ120" s="81" t="s">
        <v>33</v>
      </c>
      <c r="SR120" s="80"/>
      <c r="SS120" s="82" t="s">
        <v>34</v>
      </c>
      <c r="ST120" s="80"/>
      <c r="SU120" s="82" t="s">
        <v>35</v>
      </c>
      <c r="SV120" s="80"/>
      <c r="SW120" s="81" t="s">
        <v>36</v>
      </c>
      <c r="SX120" s="80"/>
      <c r="SY120" s="81" t="s">
        <v>37</v>
      </c>
      <c r="SZ120" s="80"/>
      <c r="TA120" s="81" t="s">
        <v>38</v>
      </c>
      <c r="TB120" s="80"/>
      <c r="TC120" s="81" t="s">
        <v>39</v>
      </c>
      <c r="TD120" s="80"/>
      <c r="TE120" s="81" t="s">
        <v>40</v>
      </c>
      <c r="TF120" s="80"/>
      <c r="TG120" s="81" t="s">
        <v>41</v>
      </c>
      <c r="TH120" s="80"/>
      <c r="TI120" s="83" t="s">
        <v>42</v>
      </c>
      <c r="TJ120" s="84" t="s">
        <v>43</v>
      </c>
      <c r="TK120" s="85" t="s">
        <v>44</v>
      </c>
      <c r="TL120" s="78" t="s">
        <v>28</v>
      </c>
      <c r="TM120" s="79" t="s">
        <v>29</v>
      </c>
      <c r="TN120" s="79" t="s">
        <v>30</v>
      </c>
      <c r="TO120" s="80"/>
      <c r="TP120" s="81" t="s">
        <v>31</v>
      </c>
      <c r="TQ120" s="80"/>
      <c r="TR120" s="81" t="s">
        <v>32</v>
      </c>
      <c r="TS120" s="80"/>
      <c r="TT120" s="81" t="s">
        <v>33</v>
      </c>
      <c r="TU120" s="80"/>
      <c r="TV120" s="82" t="s">
        <v>34</v>
      </c>
      <c r="TW120" s="80"/>
      <c r="TX120" s="82" t="s">
        <v>35</v>
      </c>
      <c r="TY120" s="80"/>
      <c r="TZ120" s="81" t="s">
        <v>36</v>
      </c>
      <c r="UA120" s="80"/>
      <c r="UB120" s="81" t="s">
        <v>37</v>
      </c>
      <c r="UC120" s="80"/>
      <c r="UD120" s="81" t="s">
        <v>38</v>
      </c>
      <c r="UE120" s="80"/>
      <c r="UF120" s="81" t="s">
        <v>39</v>
      </c>
      <c r="UG120" s="80"/>
      <c r="UH120" s="81" t="s">
        <v>40</v>
      </c>
      <c r="UI120" s="80"/>
      <c r="UJ120" s="81" t="s">
        <v>41</v>
      </c>
      <c r="UK120" s="80"/>
      <c r="UL120" s="83" t="s">
        <v>42</v>
      </c>
      <c r="UM120" s="84" t="s">
        <v>43</v>
      </c>
      <c r="UN120" s="85" t="s">
        <v>44</v>
      </c>
      <c r="UO120" s="78" t="s">
        <v>28</v>
      </c>
      <c r="UP120" s="79" t="s">
        <v>29</v>
      </c>
      <c r="UQ120" s="81" t="s">
        <v>30</v>
      </c>
      <c r="UR120" s="80"/>
      <c r="US120" s="81" t="s">
        <v>31</v>
      </c>
      <c r="UT120" s="80"/>
      <c r="UU120" s="81" t="s">
        <v>32</v>
      </c>
      <c r="UV120" s="80"/>
      <c r="UW120" s="81" t="s">
        <v>33</v>
      </c>
      <c r="UX120" s="80"/>
      <c r="UY120" s="82" t="s">
        <v>34</v>
      </c>
      <c r="UZ120" s="80"/>
      <c r="VA120" s="82" t="s">
        <v>35</v>
      </c>
      <c r="VB120" s="80"/>
      <c r="VC120" s="81" t="s">
        <v>36</v>
      </c>
      <c r="VD120" s="80"/>
      <c r="VE120" s="81" t="s">
        <v>37</v>
      </c>
      <c r="VF120" s="80"/>
      <c r="VG120" s="81" t="s">
        <v>38</v>
      </c>
      <c r="VH120" s="80"/>
      <c r="VI120" s="81" t="s">
        <v>39</v>
      </c>
      <c r="VJ120" s="80"/>
      <c r="VK120" s="81" t="s">
        <v>40</v>
      </c>
      <c r="VL120" s="80"/>
      <c r="VM120" s="81" t="s">
        <v>41</v>
      </c>
      <c r="VN120" s="80"/>
      <c r="VO120" s="83" t="s">
        <v>42</v>
      </c>
      <c r="VP120" s="84" t="s">
        <v>43</v>
      </c>
      <c r="VQ120" s="85" t="s">
        <v>44</v>
      </c>
      <c r="VR120" s="78" t="s">
        <v>28</v>
      </c>
      <c r="VS120" s="79" t="s">
        <v>29</v>
      </c>
      <c r="VT120" s="79" t="s">
        <v>30</v>
      </c>
      <c r="VU120" s="80"/>
      <c r="VV120" s="81" t="s">
        <v>31</v>
      </c>
      <c r="VW120" s="80"/>
      <c r="VX120" s="81" t="s">
        <v>32</v>
      </c>
      <c r="VY120" s="80"/>
      <c r="VZ120" s="81" t="s">
        <v>33</v>
      </c>
      <c r="WA120" s="80"/>
      <c r="WB120" s="82" t="s">
        <v>34</v>
      </c>
      <c r="WC120" s="80"/>
      <c r="WD120" s="82" t="s">
        <v>35</v>
      </c>
      <c r="WE120" s="80"/>
      <c r="WF120" s="81" t="s">
        <v>36</v>
      </c>
      <c r="WG120" s="80"/>
      <c r="WH120" s="81" t="s">
        <v>37</v>
      </c>
      <c r="WI120" s="80"/>
      <c r="WJ120" s="81" t="s">
        <v>38</v>
      </c>
      <c r="WK120" s="80"/>
      <c r="WL120" s="81" t="s">
        <v>39</v>
      </c>
      <c r="WM120" s="80"/>
      <c r="WN120" s="81" t="s">
        <v>40</v>
      </c>
      <c r="WO120" s="80"/>
      <c r="WP120" s="81" t="s">
        <v>41</v>
      </c>
      <c r="WQ120" s="80"/>
      <c r="WR120" s="83" t="s">
        <v>42</v>
      </c>
      <c r="WS120" s="84" t="s">
        <v>43</v>
      </c>
      <c r="WT120" s="85" t="s">
        <v>44</v>
      </c>
      <c r="WU120" s="87" t="s">
        <v>45</v>
      </c>
      <c r="WV120" s="88" t="s">
        <v>46</v>
      </c>
      <c r="WW120" s="89" t="s">
        <v>47</v>
      </c>
      <c r="WX120" s="78" t="s">
        <v>28</v>
      </c>
      <c r="WY120" s="79" t="s">
        <v>29</v>
      </c>
      <c r="WZ120" s="79" t="s">
        <v>30</v>
      </c>
      <c r="XA120" s="80"/>
      <c r="XB120" s="81" t="s">
        <v>31</v>
      </c>
      <c r="XC120" s="80"/>
      <c r="XD120" s="81" t="s">
        <v>32</v>
      </c>
      <c r="XE120" s="80"/>
      <c r="XF120" s="81" t="s">
        <v>33</v>
      </c>
      <c r="XG120" s="80"/>
      <c r="XH120" s="82" t="s">
        <v>34</v>
      </c>
      <c r="XI120" s="80"/>
      <c r="XJ120" s="82" t="s">
        <v>35</v>
      </c>
      <c r="XK120" s="80"/>
      <c r="XL120" s="81" t="s">
        <v>36</v>
      </c>
      <c r="XM120" s="80"/>
      <c r="XN120" s="81" t="s">
        <v>37</v>
      </c>
      <c r="XO120" s="80"/>
      <c r="XP120" s="81" t="s">
        <v>38</v>
      </c>
      <c r="XQ120" s="80"/>
      <c r="XR120" s="81" t="s">
        <v>39</v>
      </c>
      <c r="XS120" s="80"/>
      <c r="XT120" s="81" t="s">
        <v>40</v>
      </c>
      <c r="XU120" s="80"/>
      <c r="XV120" s="81" t="s">
        <v>41</v>
      </c>
      <c r="XW120" s="80"/>
      <c r="XX120" s="83" t="s">
        <v>42</v>
      </c>
      <c r="XY120" s="84" t="s">
        <v>43</v>
      </c>
      <c r="XZ120" s="85" t="s">
        <v>44</v>
      </c>
      <c r="YA120" s="78" t="s">
        <v>28</v>
      </c>
      <c r="YB120" s="79" t="s">
        <v>29</v>
      </c>
      <c r="YC120" s="79" t="s">
        <v>30</v>
      </c>
      <c r="YD120" s="80"/>
      <c r="YE120" s="81" t="s">
        <v>31</v>
      </c>
      <c r="YF120" s="80"/>
      <c r="YG120" s="81" t="s">
        <v>32</v>
      </c>
      <c r="YH120" s="80"/>
      <c r="YI120" s="81" t="s">
        <v>33</v>
      </c>
      <c r="YJ120" s="80"/>
      <c r="YK120" s="82" t="s">
        <v>34</v>
      </c>
      <c r="YL120" s="80"/>
      <c r="YM120" s="82" t="s">
        <v>35</v>
      </c>
      <c r="YN120" s="80"/>
      <c r="YO120" s="81" t="s">
        <v>36</v>
      </c>
      <c r="YP120" s="80"/>
      <c r="YQ120" s="81" t="s">
        <v>37</v>
      </c>
      <c r="YR120" s="80"/>
      <c r="YS120" s="81" t="s">
        <v>38</v>
      </c>
      <c r="YT120" s="80"/>
      <c r="YU120" s="81" t="s">
        <v>39</v>
      </c>
      <c r="YV120" s="80"/>
      <c r="YW120" s="81" t="s">
        <v>40</v>
      </c>
      <c r="YX120" s="80"/>
      <c r="YY120" s="81" t="s">
        <v>41</v>
      </c>
      <c r="YZ120" s="80"/>
      <c r="ZA120" s="83" t="s">
        <v>42</v>
      </c>
      <c r="ZB120" s="84" t="s">
        <v>43</v>
      </c>
      <c r="ZC120" s="85" t="s">
        <v>44</v>
      </c>
      <c r="ZD120" s="78" t="s">
        <v>28</v>
      </c>
      <c r="ZE120" s="79" t="s">
        <v>29</v>
      </c>
      <c r="ZF120" s="79" t="s">
        <v>30</v>
      </c>
      <c r="ZG120" s="80"/>
      <c r="ZH120" s="81" t="s">
        <v>31</v>
      </c>
      <c r="ZI120" s="80"/>
      <c r="ZJ120" s="81" t="s">
        <v>32</v>
      </c>
      <c r="ZK120" s="80"/>
      <c r="ZL120" s="81" t="s">
        <v>33</v>
      </c>
      <c r="ZM120" s="80"/>
      <c r="ZN120" s="82" t="s">
        <v>34</v>
      </c>
      <c r="ZO120" s="80"/>
      <c r="ZP120" s="82" t="s">
        <v>35</v>
      </c>
      <c r="ZQ120" s="80"/>
      <c r="ZR120" s="81" t="s">
        <v>36</v>
      </c>
      <c r="ZS120" s="80"/>
      <c r="ZT120" s="81" t="s">
        <v>37</v>
      </c>
      <c r="ZU120" s="80"/>
      <c r="ZV120" s="81" t="s">
        <v>38</v>
      </c>
      <c r="ZW120" s="80"/>
      <c r="ZX120" s="81" t="s">
        <v>39</v>
      </c>
      <c r="ZY120" s="80"/>
      <c r="ZZ120" s="81" t="s">
        <v>40</v>
      </c>
      <c r="AAA120" s="80"/>
      <c r="AAB120" s="81" t="s">
        <v>41</v>
      </c>
      <c r="AAC120" s="80"/>
      <c r="AAD120" s="83" t="s">
        <v>42</v>
      </c>
      <c r="AAE120" s="84" t="s">
        <v>43</v>
      </c>
      <c r="AAF120" s="85" t="s">
        <v>44</v>
      </c>
      <c r="AAG120" s="78" t="s">
        <v>28</v>
      </c>
      <c r="AAH120" s="79" t="s">
        <v>29</v>
      </c>
      <c r="AAI120" s="79" t="s">
        <v>30</v>
      </c>
      <c r="AAJ120" s="80"/>
      <c r="AAK120" s="81" t="s">
        <v>31</v>
      </c>
      <c r="AAL120" s="80"/>
      <c r="AAM120" s="81" t="s">
        <v>32</v>
      </c>
      <c r="AAN120" s="80"/>
      <c r="AAO120" s="81" t="s">
        <v>33</v>
      </c>
      <c r="AAP120" s="80"/>
      <c r="AAQ120" s="82" t="s">
        <v>34</v>
      </c>
      <c r="AAR120" s="80"/>
      <c r="AAS120" s="82" t="s">
        <v>35</v>
      </c>
      <c r="AAT120" s="80"/>
      <c r="AAU120" s="81" t="s">
        <v>36</v>
      </c>
      <c r="AAV120" s="80"/>
      <c r="AAW120" s="81" t="s">
        <v>37</v>
      </c>
      <c r="AAX120" s="80"/>
      <c r="AAY120" s="81" t="s">
        <v>38</v>
      </c>
      <c r="AAZ120" s="80"/>
      <c r="ABA120" s="81" t="s">
        <v>39</v>
      </c>
      <c r="ABB120" s="80"/>
      <c r="ABC120" s="81" t="s">
        <v>40</v>
      </c>
      <c r="ABD120" s="80"/>
      <c r="ABE120" s="81" t="s">
        <v>41</v>
      </c>
      <c r="ABF120" s="80"/>
      <c r="ABG120" s="83" t="s">
        <v>42</v>
      </c>
      <c r="ABH120" s="84" t="s">
        <v>43</v>
      </c>
      <c r="ABI120" s="85" t="s">
        <v>44</v>
      </c>
      <c r="ABJ120" s="78" t="s">
        <v>28</v>
      </c>
      <c r="ABK120" s="79" t="s">
        <v>29</v>
      </c>
      <c r="ABL120" s="79" t="s">
        <v>30</v>
      </c>
      <c r="ABM120" s="80"/>
      <c r="ABN120" s="81" t="s">
        <v>31</v>
      </c>
      <c r="ABO120" s="80"/>
      <c r="ABP120" s="81" t="s">
        <v>32</v>
      </c>
      <c r="ABQ120" s="80"/>
      <c r="ABR120" s="81" t="s">
        <v>33</v>
      </c>
      <c r="ABS120" s="80"/>
      <c r="ABT120" s="82" t="s">
        <v>34</v>
      </c>
      <c r="ABU120" s="80"/>
      <c r="ABV120" s="82" t="s">
        <v>35</v>
      </c>
      <c r="ABW120" s="80"/>
      <c r="ABX120" s="81" t="s">
        <v>36</v>
      </c>
      <c r="ABY120" s="80"/>
      <c r="ABZ120" s="81" t="s">
        <v>37</v>
      </c>
      <c r="ACA120" s="80"/>
      <c r="ACB120" s="81" t="s">
        <v>38</v>
      </c>
      <c r="ACC120" s="80"/>
      <c r="ACD120" s="81" t="s">
        <v>39</v>
      </c>
      <c r="ACE120" s="80"/>
      <c r="ACF120" s="81" t="s">
        <v>40</v>
      </c>
      <c r="ACG120" s="80"/>
      <c r="ACH120" s="81" t="s">
        <v>41</v>
      </c>
      <c r="ACI120" s="80"/>
      <c r="ACJ120" s="83" t="s">
        <v>42</v>
      </c>
      <c r="ACK120" s="84" t="s">
        <v>43</v>
      </c>
      <c r="ACL120" s="85" t="s">
        <v>44</v>
      </c>
      <c r="ACM120" s="78" t="s">
        <v>28</v>
      </c>
      <c r="ACN120" s="79" t="s">
        <v>29</v>
      </c>
      <c r="ACO120" s="81" t="s">
        <v>30</v>
      </c>
      <c r="ACP120" s="80"/>
      <c r="ACQ120" s="81" t="s">
        <v>31</v>
      </c>
      <c r="ACR120" s="80"/>
      <c r="ACS120" s="81" t="s">
        <v>32</v>
      </c>
      <c r="ACT120" s="80"/>
      <c r="ACU120" s="81" t="s">
        <v>33</v>
      </c>
      <c r="ACV120" s="80"/>
      <c r="ACW120" s="82" t="s">
        <v>34</v>
      </c>
      <c r="ACX120" s="80"/>
      <c r="ACY120" s="82" t="s">
        <v>35</v>
      </c>
      <c r="ACZ120" s="80"/>
      <c r="ADA120" s="81" t="s">
        <v>36</v>
      </c>
      <c r="ADB120" s="80"/>
      <c r="ADC120" s="81" t="s">
        <v>37</v>
      </c>
      <c r="ADD120" s="80"/>
      <c r="ADE120" s="81" t="s">
        <v>38</v>
      </c>
      <c r="ADF120" s="80"/>
      <c r="ADG120" s="81" t="s">
        <v>39</v>
      </c>
      <c r="ADH120" s="80"/>
      <c r="ADI120" s="81" t="s">
        <v>40</v>
      </c>
      <c r="ADJ120" s="80"/>
      <c r="ADK120" s="81" t="s">
        <v>41</v>
      </c>
      <c r="ADL120" s="80"/>
      <c r="ADM120" s="83" t="s">
        <v>42</v>
      </c>
      <c r="ADN120" s="84" t="s">
        <v>43</v>
      </c>
      <c r="ADO120" s="85" t="s">
        <v>44</v>
      </c>
      <c r="ADP120" s="78" t="s">
        <v>28</v>
      </c>
      <c r="ADQ120" s="79" t="s">
        <v>29</v>
      </c>
      <c r="ADR120" s="79" t="s">
        <v>30</v>
      </c>
      <c r="ADS120" s="80"/>
      <c r="ADT120" s="81" t="s">
        <v>31</v>
      </c>
      <c r="ADU120" s="80"/>
      <c r="ADV120" s="81" t="s">
        <v>32</v>
      </c>
      <c r="ADW120" s="80"/>
      <c r="ADX120" s="81" t="s">
        <v>33</v>
      </c>
      <c r="ADY120" s="80"/>
      <c r="ADZ120" s="82" t="s">
        <v>34</v>
      </c>
      <c r="AEA120" s="80"/>
      <c r="AEB120" s="82" t="s">
        <v>35</v>
      </c>
      <c r="AEC120" s="80"/>
      <c r="AED120" s="81" t="s">
        <v>36</v>
      </c>
      <c r="AEE120" s="80"/>
      <c r="AEF120" s="81" t="s">
        <v>37</v>
      </c>
      <c r="AEG120" s="80"/>
      <c r="AEH120" s="81" t="s">
        <v>38</v>
      </c>
      <c r="AEI120" s="80"/>
      <c r="AEJ120" s="81" t="s">
        <v>39</v>
      </c>
      <c r="AEK120" s="80"/>
      <c r="AEL120" s="81" t="s">
        <v>40</v>
      </c>
      <c r="AEM120" s="80"/>
      <c r="AEN120" s="81" t="s">
        <v>41</v>
      </c>
      <c r="AEO120" s="80"/>
      <c r="AEP120" s="83" t="s">
        <v>42</v>
      </c>
      <c r="AEQ120" s="84" t="s">
        <v>43</v>
      </c>
      <c r="AER120" s="85" t="s">
        <v>44</v>
      </c>
      <c r="AES120" s="87" t="s">
        <v>45</v>
      </c>
      <c r="AET120" s="88" t="s">
        <v>46</v>
      </c>
      <c r="AEU120" s="89" t="s">
        <v>47</v>
      </c>
      <c r="AEV120" s="78" t="s">
        <v>28</v>
      </c>
      <c r="AEW120" s="79" t="s">
        <v>29</v>
      </c>
      <c r="AEX120" s="79" t="s">
        <v>30</v>
      </c>
      <c r="AEY120" s="80"/>
      <c r="AEZ120" s="81" t="s">
        <v>31</v>
      </c>
      <c r="AFA120" s="80"/>
      <c r="AFB120" s="81" t="s">
        <v>32</v>
      </c>
      <c r="AFC120" s="80"/>
      <c r="AFD120" s="81" t="s">
        <v>33</v>
      </c>
      <c r="AFE120" s="80"/>
      <c r="AFF120" s="82" t="s">
        <v>34</v>
      </c>
      <c r="AFG120" s="80"/>
      <c r="AFH120" s="82" t="s">
        <v>35</v>
      </c>
      <c r="AFI120" s="80"/>
      <c r="AFJ120" s="81" t="s">
        <v>36</v>
      </c>
      <c r="AFK120" s="80"/>
      <c r="AFL120" s="81" t="s">
        <v>37</v>
      </c>
      <c r="AFM120" s="80"/>
      <c r="AFN120" s="81" t="s">
        <v>38</v>
      </c>
      <c r="AFO120" s="80"/>
      <c r="AFP120" s="81" t="s">
        <v>39</v>
      </c>
      <c r="AFQ120" s="80"/>
      <c r="AFR120" s="81" t="s">
        <v>40</v>
      </c>
      <c r="AFS120" s="80"/>
      <c r="AFT120" s="81" t="s">
        <v>41</v>
      </c>
      <c r="AFU120" s="80"/>
      <c r="AFV120" s="83" t="s">
        <v>42</v>
      </c>
      <c r="AFW120" s="84" t="s">
        <v>43</v>
      </c>
      <c r="AFX120" s="85" t="s">
        <v>44</v>
      </c>
      <c r="AFY120" s="78" t="s">
        <v>28</v>
      </c>
      <c r="AFZ120" s="81" t="s">
        <v>29</v>
      </c>
      <c r="AGA120" s="79" t="s">
        <v>30</v>
      </c>
      <c r="AGB120" s="80"/>
      <c r="AGC120" s="81" t="s">
        <v>31</v>
      </c>
      <c r="AGD120" s="80"/>
      <c r="AGE120" s="81" t="s">
        <v>32</v>
      </c>
      <c r="AGF120" s="80"/>
      <c r="AGG120" s="81" t="s">
        <v>33</v>
      </c>
      <c r="AGH120" s="80"/>
      <c r="AGI120" s="82" t="s">
        <v>34</v>
      </c>
      <c r="AGJ120" s="80"/>
      <c r="AGK120" s="82" t="s">
        <v>35</v>
      </c>
      <c r="AGL120" s="80"/>
      <c r="AGM120" s="81" t="s">
        <v>36</v>
      </c>
      <c r="AGN120" s="80"/>
      <c r="AGO120" s="81" t="s">
        <v>37</v>
      </c>
      <c r="AGP120" s="80"/>
      <c r="AGQ120" s="81" t="s">
        <v>38</v>
      </c>
      <c r="AGR120" s="80"/>
      <c r="AGS120" s="81" t="s">
        <v>39</v>
      </c>
      <c r="AGT120" s="80"/>
      <c r="AGU120" s="81" t="s">
        <v>40</v>
      </c>
      <c r="AGV120" s="80"/>
      <c r="AGW120" s="81" t="s">
        <v>41</v>
      </c>
      <c r="AGX120" s="80"/>
      <c r="AGY120" s="83" t="s">
        <v>42</v>
      </c>
      <c r="AGZ120" s="84" t="s">
        <v>43</v>
      </c>
      <c r="AHA120" s="85" t="s">
        <v>44</v>
      </c>
      <c r="AHB120" s="78" t="s">
        <v>28</v>
      </c>
      <c r="AHC120" s="79" t="s">
        <v>29</v>
      </c>
      <c r="AHD120" s="79" t="s">
        <v>30</v>
      </c>
      <c r="AHE120" s="80"/>
      <c r="AHF120" s="81" t="s">
        <v>31</v>
      </c>
      <c r="AHG120" s="80"/>
      <c r="AHH120" s="81" t="s">
        <v>32</v>
      </c>
      <c r="AHI120" s="80"/>
      <c r="AHJ120" s="81" t="s">
        <v>33</v>
      </c>
      <c r="AHK120" s="80"/>
      <c r="AHL120" s="82" t="s">
        <v>34</v>
      </c>
      <c r="AHM120" s="80"/>
      <c r="AHN120" s="82" t="s">
        <v>35</v>
      </c>
      <c r="AHO120" s="80"/>
      <c r="AHP120" s="81" t="s">
        <v>36</v>
      </c>
      <c r="AHQ120" s="80"/>
      <c r="AHR120" s="81" t="s">
        <v>37</v>
      </c>
      <c r="AHS120" s="80"/>
      <c r="AHT120" s="81" t="s">
        <v>38</v>
      </c>
      <c r="AHU120" s="80"/>
      <c r="AHV120" s="81" t="s">
        <v>39</v>
      </c>
      <c r="AHW120" s="80"/>
      <c r="AHX120" s="81" t="s">
        <v>40</v>
      </c>
      <c r="AHY120" s="80"/>
      <c r="AHZ120" s="81" t="s">
        <v>41</v>
      </c>
      <c r="AIA120" s="80"/>
      <c r="AIB120" s="83" t="s">
        <v>42</v>
      </c>
      <c r="AIC120" s="84" t="s">
        <v>43</v>
      </c>
      <c r="AID120" s="85" t="s">
        <v>44</v>
      </c>
      <c r="AIE120" s="78" t="s">
        <v>28</v>
      </c>
      <c r="AIF120" s="79" t="s">
        <v>29</v>
      </c>
      <c r="AIG120" s="79" t="s">
        <v>30</v>
      </c>
      <c r="AIH120" s="80"/>
      <c r="AII120" s="81" t="s">
        <v>31</v>
      </c>
      <c r="AIJ120" s="80"/>
      <c r="AIK120" s="81" t="s">
        <v>32</v>
      </c>
      <c r="AIL120" s="80"/>
      <c r="AIM120" s="81" t="s">
        <v>33</v>
      </c>
      <c r="AIN120" s="80"/>
      <c r="AIO120" s="82" t="s">
        <v>34</v>
      </c>
      <c r="AIP120" s="80"/>
      <c r="AIQ120" s="82" t="s">
        <v>35</v>
      </c>
      <c r="AIR120" s="80"/>
      <c r="AIS120" s="81" t="s">
        <v>36</v>
      </c>
      <c r="AIT120" s="80"/>
      <c r="AIU120" s="81" t="s">
        <v>37</v>
      </c>
      <c r="AIV120" s="80"/>
      <c r="AIW120" s="81" t="s">
        <v>38</v>
      </c>
      <c r="AIX120" s="80"/>
      <c r="AIY120" s="81" t="s">
        <v>39</v>
      </c>
      <c r="AIZ120" s="80"/>
      <c r="AJA120" s="81" t="s">
        <v>40</v>
      </c>
      <c r="AJB120" s="80"/>
      <c r="AJC120" s="81" t="s">
        <v>41</v>
      </c>
      <c r="AJD120" s="80"/>
      <c r="AJE120" s="83" t="s">
        <v>42</v>
      </c>
      <c r="AJF120" s="84" t="s">
        <v>43</v>
      </c>
      <c r="AJG120" s="85" t="s">
        <v>44</v>
      </c>
      <c r="AJH120" s="78" t="s">
        <v>28</v>
      </c>
      <c r="AJI120" s="79" t="s">
        <v>29</v>
      </c>
      <c r="AJJ120" s="79" t="s">
        <v>30</v>
      </c>
      <c r="AJK120" s="80"/>
      <c r="AJL120" s="81" t="s">
        <v>31</v>
      </c>
      <c r="AJM120" s="80"/>
      <c r="AJN120" s="81" t="s">
        <v>32</v>
      </c>
      <c r="AJO120" s="80"/>
      <c r="AJP120" s="81" t="s">
        <v>33</v>
      </c>
      <c r="AJQ120" s="80"/>
      <c r="AJR120" s="82" t="s">
        <v>34</v>
      </c>
      <c r="AJS120" s="80"/>
      <c r="AJT120" s="82" t="s">
        <v>35</v>
      </c>
      <c r="AJU120" s="80"/>
      <c r="AJV120" s="81" t="s">
        <v>36</v>
      </c>
      <c r="AJW120" s="80"/>
      <c r="AJX120" s="81" t="s">
        <v>37</v>
      </c>
      <c r="AJY120" s="80"/>
      <c r="AJZ120" s="81" t="s">
        <v>38</v>
      </c>
      <c r="AKA120" s="80"/>
      <c r="AKB120" s="81" t="s">
        <v>39</v>
      </c>
      <c r="AKC120" s="80"/>
      <c r="AKD120" s="81" t="s">
        <v>40</v>
      </c>
      <c r="AKE120" s="80"/>
      <c r="AKF120" s="81" t="s">
        <v>41</v>
      </c>
      <c r="AKG120" s="80"/>
      <c r="AKH120" s="83" t="s">
        <v>42</v>
      </c>
      <c r="AKI120" s="84" t="s">
        <v>43</v>
      </c>
      <c r="AKJ120" s="85" t="s">
        <v>44</v>
      </c>
      <c r="AKK120" s="78" t="s">
        <v>28</v>
      </c>
      <c r="AKL120" s="79" t="s">
        <v>29</v>
      </c>
      <c r="AKM120" s="81" t="s">
        <v>30</v>
      </c>
      <c r="AKN120" s="80"/>
      <c r="AKO120" s="81" t="s">
        <v>31</v>
      </c>
      <c r="AKP120" s="80"/>
      <c r="AKQ120" s="81" t="s">
        <v>32</v>
      </c>
      <c r="AKR120" s="80"/>
      <c r="AKS120" s="81" t="s">
        <v>33</v>
      </c>
      <c r="AKT120" s="80"/>
      <c r="AKU120" s="82" t="s">
        <v>34</v>
      </c>
      <c r="AKV120" s="80"/>
      <c r="AKW120" s="82" t="s">
        <v>35</v>
      </c>
      <c r="AKX120" s="80"/>
      <c r="AKY120" s="81" t="s">
        <v>36</v>
      </c>
      <c r="AKZ120" s="80"/>
      <c r="ALA120" s="81" t="s">
        <v>37</v>
      </c>
      <c r="ALB120" s="80"/>
      <c r="ALC120" s="81" t="s">
        <v>38</v>
      </c>
      <c r="ALD120" s="80"/>
      <c r="ALE120" s="81" t="s">
        <v>39</v>
      </c>
      <c r="ALF120" s="80"/>
      <c r="ALG120" s="81" t="s">
        <v>40</v>
      </c>
      <c r="ALH120" s="80"/>
      <c r="ALI120" s="81" t="s">
        <v>41</v>
      </c>
      <c r="ALJ120" s="80"/>
      <c r="ALK120" s="83" t="s">
        <v>42</v>
      </c>
      <c r="ALL120" s="84" t="s">
        <v>43</v>
      </c>
      <c r="ALM120" s="85" t="s">
        <v>44</v>
      </c>
      <c r="ALN120" s="78" t="s">
        <v>28</v>
      </c>
      <c r="ALO120" s="79" t="s">
        <v>29</v>
      </c>
      <c r="ALP120" s="79" t="s">
        <v>30</v>
      </c>
      <c r="ALQ120" s="80"/>
      <c r="ALR120" s="81" t="s">
        <v>31</v>
      </c>
      <c r="ALS120" s="80"/>
      <c r="ALT120" s="81" t="s">
        <v>32</v>
      </c>
      <c r="ALU120" s="80"/>
      <c r="ALV120" s="81" t="s">
        <v>33</v>
      </c>
      <c r="ALW120" s="80"/>
      <c r="ALX120" s="82" t="s">
        <v>34</v>
      </c>
      <c r="ALY120" s="80"/>
      <c r="ALZ120" s="82" t="s">
        <v>35</v>
      </c>
      <c r="AMA120" s="80"/>
      <c r="AMB120" s="81" t="s">
        <v>36</v>
      </c>
      <c r="AMC120" s="80"/>
      <c r="AMD120" s="81" t="s">
        <v>37</v>
      </c>
      <c r="AME120" s="80"/>
      <c r="AMF120" s="81" t="s">
        <v>38</v>
      </c>
      <c r="AMG120" s="80"/>
      <c r="AMH120" s="81" t="s">
        <v>39</v>
      </c>
      <c r="AMI120" s="80"/>
      <c r="AMJ120" s="81" t="s">
        <v>40</v>
      </c>
      <c r="AMK120" s="80"/>
      <c r="AML120" s="81" t="s">
        <v>41</v>
      </c>
      <c r="AMM120" s="80"/>
      <c r="AMN120" s="83" t="s">
        <v>42</v>
      </c>
      <c r="AMO120" s="84" t="s">
        <v>43</v>
      </c>
      <c r="AMP120" s="85" t="s">
        <v>44</v>
      </c>
      <c r="AMQ120" s="87" t="s">
        <v>45</v>
      </c>
      <c r="AMR120" s="88" t="s">
        <v>46</v>
      </c>
      <c r="AMS120" s="89" t="s">
        <v>47</v>
      </c>
      <c r="AMT120" s="4"/>
      <c r="AMU120" s="4"/>
      <c r="AMV120" s="4"/>
      <c r="AMW120" s="4"/>
      <c r="AMX120" s="4"/>
      <c r="AMY120" s="4"/>
      <c r="AMZ120" s="4"/>
      <c r="ANA120" s="4"/>
      <c r="ANB120" s="4"/>
      <c r="ANC120" s="4"/>
      <c r="AND120" s="4"/>
      <c r="ANE120" s="4"/>
      <c r="ANF120" s="4"/>
      <c r="ANG120" s="4"/>
      <c r="ANH120" s="4"/>
      <c r="ANI120" s="4"/>
      <c r="ANJ120" s="4"/>
      <c r="ANK120" s="4"/>
      <c r="ANL120" s="4"/>
      <c r="ANM120" s="4"/>
      <c r="ANN120" s="4"/>
      <c r="ANO120" s="4"/>
      <c r="ANP120" s="4"/>
      <c r="ANQ120" s="4"/>
      <c r="ANR120" s="4"/>
      <c r="ANS120" s="4"/>
      <c r="ANT120" s="4"/>
      <c r="ANU120" s="4"/>
      <c r="ANV120" s="4"/>
      <c r="ANW120" s="4"/>
      <c r="ANX120" s="4"/>
      <c r="ANY120" s="4"/>
      <c r="ANZ120" s="4"/>
      <c r="AOA120" s="4"/>
      <c r="AOB120" s="4"/>
      <c r="AOC120" s="4"/>
      <c r="AOD120" s="4"/>
      <c r="AOE120" s="4"/>
      <c r="AOF120" s="4"/>
      <c r="AOG120" s="4"/>
      <c r="AOH120" s="4"/>
      <c r="AOI120" s="4"/>
      <c r="AOJ120" s="4"/>
      <c r="AOK120" s="4"/>
      <c r="AOL120" s="4"/>
      <c r="AOM120" s="4"/>
      <c r="AON120" s="4"/>
      <c r="AOO120" s="4"/>
      <c r="AOP120" s="4"/>
      <c r="AOQ120" s="4"/>
      <c r="AOR120" s="4"/>
      <c r="AOS120" s="4"/>
      <c r="AOT120" s="4"/>
      <c r="AOU120" s="4"/>
      <c r="AOV120" s="4"/>
      <c r="AOW120" s="4"/>
      <c r="AOX120" s="4"/>
      <c r="AOY120" s="4"/>
      <c r="AOZ120" s="4"/>
      <c r="APA120" s="4"/>
      <c r="APB120" s="4"/>
      <c r="APC120" s="4"/>
      <c r="APD120" s="4"/>
      <c r="APE120" s="4"/>
      <c r="APF120" s="4"/>
      <c r="APG120" s="4"/>
      <c r="APH120" s="4"/>
      <c r="API120" s="4"/>
      <c r="APJ120" s="4"/>
      <c r="APK120" s="4"/>
      <c r="APL120" s="4"/>
      <c r="APM120" s="4"/>
      <c r="APN120" s="4"/>
      <c r="APO120" s="4"/>
      <c r="APP120" s="4"/>
      <c r="APQ120" s="4"/>
      <c r="APR120" s="4"/>
      <c r="APS120" s="4"/>
      <c r="APT120" s="4"/>
      <c r="APU120" s="4"/>
      <c r="APV120" s="4"/>
      <c r="APW120" s="4"/>
      <c r="APX120" s="4"/>
      <c r="APY120" s="4"/>
      <c r="APZ120" s="4"/>
      <c r="AQA120" s="4"/>
      <c r="AQB120" s="4"/>
      <c r="AQC120" s="4"/>
      <c r="AQD120" s="4"/>
      <c r="AQE120" s="4"/>
      <c r="AQF120" s="4"/>
      <c r="AQG120" s="4"/>
      <c r="AQH120" s="4"/>
      <c r="AQI120" s="4"/>
      <c r="AQJ120" s="4"/>
      <c r="AQK120" s="4"/>
      <c r="AQL120" s="4"/>
      <c r="AQM120" s="4"/>
      <c r="AQN120" s="4"/>
      <c r="AQO120" s="4"/>
      <c r="AQP120" s="4"/>
      <c r="AQQ120" s="4"/>
      <c r="AQR120" s="4"/>
      <c r="AQS120" s="4"/>
      <c r="AQT120" s="4"/>
      <c r="AQU120" s="4"/>
      <c r="AQV120" s="4"/>
      <c r="AQW120" s="4"/>
      <c r="AQX120" s="4"/>
      <c r="AQY120" s="4"/>
      <c r="AQZ120" s="4"/>
      <c r="ARA120" s="4"/>
      <c r="ARB120" s="4"/>
      <c r="ARC120" s="4"/>
      <c r="ARD120" s="4"/>
      <c r="ARE120" s="4"/>
      <c r="ARF120" s="4"/>
      <c r="ARG120" s="4"/>
      <c r="ARH120" s="4"/>
      <c r="ARI120" s="4"/>
      <c r="ARJ120" s="4"/>
      <c r="ARK120" s="4"/>
      <c r="ARL120" s="4"/>
      <c r="ARM120" s="4"/>
      <c r="ARN120" s="4"/>
      <c r="ARO120" s="4"/>
      <c r="ARP120" s="4"/>
      <c r="ARQ120" s="4"/>
      <c r="ARR120" s="4"/>
      <c r="ARS120" s="4"/>
      <c r="ART120" s="4"/>
      <c r="ARU120" s="4"/>
      <c r="ARV120" s="4"/>
      <c r="ARW120" s="4"/>
      <c r="ARX120" s="4"/>
      <c r="ARY120" s="4"/>
      <c r="ARZ120" s="4"/>
      <c r="ASA120" s="4"/>
      <c r="ASB120" s="4"/>
      <c r="ASC120" s="4"/>
      <c r="ASD120" s="4"/>
      <c r="ASE120" s="4"/>
      <c r="ASF120" s="4"/>
      <c r="ASG120" s="4"/>
      <c r="ASH120" s="4"/>
      <c r="ASI120" s="4"/>
      <c r="ASJ120" s="4"/>
      <c r="ASK120" s="4"/>
      <c r="ASL120" s="4"/>
      <c r="ASM120" s="4"/>
      <c r="ASN120" s="4"/>
      <c r="ASO120" s="4"/>
      <c r="ASP120" s="4"/>
      <c r="ASQ120" s="4"/>
      <c r="ASR120" s="4"/>
      <c r="ASS120" s="4"/>
      <c r="AST120" s="4"/>
      <c r="ASU120" s="4"/>
    </row>
    <row r="121" ht="15" customHeight="1" spans="1:1191" x14ac:dyDescent="0.25">
      <c r="A121" s="664" t="s">
        <v>93</v>
      </c>
      <c r="B121" s="367" t="s">
        <v>154</v>
      </c>
      <c r="C121" s="289" t="s">
        <v>55</v>
      </c>
      <c r="D121" s="121"/>
      <c r="E121" s="122"/>
      <c r="F121" s="123"/>
      <c r="G121" s="124"/>
      <c r="H121" s="124"/>
      <c r="I121" s="124"/>
      <c r="J121" s="124"/>
      <c r="K121" s="124"/>
      <c r="L121" s="124"/>
      <c r="M121" s="125"/>
      <c r="N121" s="126"/>
      <c r="O121" s="124"/>
      <c r="P121" s="124"/>
      <c r="Q121" s="127"/>
      <c r="R121" s="123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5"/>
      <c r="AD121" s="301"/>
      <c r="AE121" s="151"/>
      <c r="AF121" s="131">
        <f>SUM(D121:AE121)</f>
      </c>
      <c r="AG121" s="121"/>
      <c r="AH121" s="122"/>
      <c r="AI121" s="123"/>
      <c r="AJ121" s="124"/>
      <c r="AK121" s="124"/>
      <c r="AL121" s="124"/>
      <c r="AM121" s="124"/>
      <c r="AN121" s="124"/>
      <c r="AO121" s="124"/>
      <c r="AP121" s="125"/>
      <c r="AQ121" s="126"/>
      <c r="AR121" s="124"/>
      <c r="AS121" s="124"/>
      <c r="AT121" s="127"/>
      <c r="AU121" s="123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5"/>
      <c r="BG121" s="301"/>
      <c r="BH121" s="151"/>
      <c r="BI121" s="131">
        <f>SUM(AG121:BH121)</f>
      </c>
      <c r="BJ121" s="121"/>
      <c r="BK121" s="122"/>
      <c r="BL121" s="123"/>
      <c r="BM121" s="124"/>
      <c r="BN121" s="124"/>
      <c r="BO121" s="124"/>
      <c r="BP121" s="124"/>
      <c r="BQ121" s="124"/>
      <c r="BR121" s="124"/>
      <c r="BS121" s="125"/>
      <c r="BT121" s="126"/>
      <c r="BU121" s="124"/>
      <c r="BV121" s="124"/>
      <c r="BW121" s="127"/>
      <c r="BX121" s="123"/>
      <c r="BY121" s="124"/>
      <c r="BZ121" s="124"/>
      <c r="CA121" s="124"/>
      <c r="CB121" s="124"/>
      <c r="CC121" s="124"/>
      <c r="CD121" s="124"/>
      <c r="CE121" s="124"/>
      <c r="CF121" s="124"/>
      <c r="CG121" s="124"/>
      <c r="CH121" s="124"/>
      <c r="CI121" s="125"/>
      <c r="CJ121" s="301"/>
      <c r="CK121" s="151"/>
      <c r="CL121" s="131">
        <f>SUM(BJ121:CK121)</f>
      </c>
      <c r="CM121" s="121"/>
      <c r="CN121" s="122"/>
      <c r="CO121" s="123"/>
      <c r="CP121" s="124"/>
      <c r="CQ121" s="124"/>
      <c r="CR121" s="124"/>
      <c r="CS121" s="124"/>
      <c r="CT121" s="124"/>
      <c r="CU121" s="124"/>
      <c r="CV121" s="125"/>
      <c r="CW121" s="126"/>
      <c r="CX121" s="124"/>
      <c r="CY121" s="124"/>
      <c r="CZ121" s="127"/>
      <c r="DA121" s="123"/>
      <c r="DB121" s="124"/>
      <c r="DC121" s="124"/>
      <c r="DD121" s="124"/>
      <c r="DE121" s="124"/>
      <c r="DF121" s="124"/>
      <c r="DG121" s="124"/>
      <c r="DH121" s="124"/>
      <c r="DI121" s="124"/>
      <c r="DJ121" s="124"/>
      <c r="DK121" s="124"/>
      <c r="DL121" s="125"/>
      <c r="DM121" s="301"/>
      <c r="DN121" s="151"/>
      <c r="DO121" s="131">
        <f>SUM(CM121:DN121)</f>
      </c>
      <c r="DP121" s="121"/>
      <c r="DQ121" s="122"/>
      <c r="DR121" s="123"/>
      <c r="DS121" s="124"/>
      <c r="DT121" s="124"/>
      <c r="DU121" s="124"/>
      <c r="DV121" s="124"/>
      <c r="DW121" s="124"/>
      <c r="DX121" s="124"/>
      <c r="DY121" s="125"/>
      <c r="DZ121" s="126"/>
      <c r="EA121" s="124"/>
      <c r="EB121" s="124"/>
      <c r="EC121" s="127"/>
      <c r="ED121" s="123"/>
      <c r="EE121" s="124"/>
      <c r="EF121" s="124"/>
      <c r="EG121" s="124"/>
      <c r="EH121" s="124"/>
      <c r="EI121" s="124"/>
      <c r="EJ121" s="124"/>
      <c r="EK121" s="124"/>
      <c r="EL121" s="124"/>
      <c r="EM121" s="124"/>
      <c r="EN121" s="124"/>
      <c r="EO121" s="125"/>
      <c r="EP121" s="301"/>
      <c r="EQ121" s="151"/>
      <c r="ER121" s="131">
        <f>SUM(DP121:EQ121)</f>
      </c>
      <c r="ES121" s="290"/>
      <c r="ET121" s="291"/>
      <c r="EU121" s="292"/>
      <c r="EV121" s="196"/>
      <c r="EW121" s="196"/>
      <c r="EX121" s="196"/>
      <c r="EY121" s="196"/>
      <c r="EZ121" s="196"/>
      <c r="FA121" s="196"/>
      <c r="FB121" s="195"/>
      <c r="FC121" s="197"/>
      <c r="FD121" s="196"/>
      <c r="FE121" s="196"/>
      <c r="FF121" s="198"/>
      <c r="FG121" s="292"/>
      <c r="FH121" s="196"/>
      <c r="FI121" s="196"/>
      <c r="FJ121" s="196"/>
      <c r="FK121" s="196"/>
      <c r="FL121" s="196"/>
      <c r="FM121" s="196"/>
      <c r="FN121" s="196"/>
      <c r="FO121" s="196"/>
      <c r="FP121" s="196"/>
      <c r="FQ121" s="196"/>
      <c r="FR121" s="195"/>
      <c r="FS121" s="291"/>
      <c r="FT121" s="151"/>
      <c r="FU121" s="130">
        <f>SUM(ES121:FT121)</f>
      </c>
      <c r="FV121" s="290"/>
      <c r="FW121" s="291"/>
      <c r="FX121" s="292"/>
      <c r="FY121" s="196"/>
      <c r="FZ121" s="196"/>
      <c r="GA121" s="196"/>
      <c r="GB121" s="196"/>
      <c r="GC121" s="196"/>
      <c r="GD121" s="196"/>
      <c r="GE121" s="195"/>
      <c r="GF121" s="197"/>
      <c r="GG121" s="196"/>
      <c r="GH121" s="196"/>
      <c r="GI121" s="198"/>
      <c r="GJ121" s="292"/>
      <c r="GK121" s="196"/>
      <c r="GL121" s="196"/>
      <c r="GM121" s="196"/>
      <c r="GN121" s="196"/>
      <c r="GO121" s="196"/>
      <c r="GP121" s="196"/>
      <c r="GQ121" s="196"/>
      <c r="GR121" s="196"/>
      <c r="GS121" s="196"/>
      <c r="GT121" s="196"/>
      <c r="GU121" s="195"/>
      <c r="GV121" s="291"/>
      <c r="GW121" s="151"/>
      <c r="GX121" s="130">
        <f>SUM(FV121:GW121)</f>
      </c>
      <c r="GY121" s="132">
        <f>AF121+BI121+CL121+DO121+ER121+FU121+GX121</f>
      </c>
      <c r="GZ121" s="133">
        <f>(COUNTIF(D121:GX121,"H")+COUNTIF(D121:GX121,"S")+COUNTIF(D121:GX121,"L")+COUNTIF(D121:GX121,"E")+COUNTIF(D121:GX121,"C"))/2</f>
      </c>
      <c r="HA121" s="130">
        <f>GY121+GZ121</f>
      </c>
      <c r="HB121" s="134"/>
      <c r="HC121" s="135"/>
      <c r="HD121" s="136"/>
      <c r="HE121" s="138">
        <v>0.5</v>
      </c>
      <c r="HF121" s="138">
        <v>0.5</v>
      </c>
      <c r="HG121" s="138">
        <v>0.5</v>
      </c>
      <c r="HH121" s="138">
        <v>0.5</v>
      </c>
      <c r="HI121" s="138">
        <v>0.5</v>
      </c>
      <c r="HJ121" s="138">
        <v>0.5</v>
      </c>
      <c r="HK121" s="139">
        <v>0.5</v>
      </c>
      <c r="HL121" s="155"/>
      <c r="HM121" s="137"/>
      <c r="HN121" s="138">
        <v>0.5</v>
      </c>
      <c r="HO121" s="149">
        <v>0.5</v>
      </c>
      <c r="HP121" s="142">
        <v>0.5</v>
      </c>
      <c r="HQ121" s="138">
        <v>0.5</v>
      </c>
      <c r="HR121" s="138">
        <v>0.5</v>
      </c>
      <c r="HS121" s="138">
        <v>0.5</v>
      </c>
      <c r="HT121" s="138">
        <v>0.5</v>
      </c>
      <c r="HU121" s="138">
        <v>0.5</v>
      </c>
      <c r="HV121" s="138">
        <v>0.5</v>
      </c>
      <c r="HW121" s="137"/>
      <c r="HX121" s="137"/>
      <c r="HY121" s="137"/>
      <c r="HZ121" s="137"/>
      <c r="IA121" s="153"/>
      <c r="IB121" s="304"/>
      <c r="IC121" s="152"/>
      <c r="ID121" s="131">
        <f>SUM(HB121:IC121)</f>
      </c>
      <c r="IE121" s="134"/>
      <c r="IF121" s="135"/>
      <c r="IG121" s="136"/>
      <c r="IH121" s="138">
        <v>0.5</v>
      </c>
      <c r="II121" s="138">
        <v>0.5</v>
      </c>
      <c r="IJ121" s="138">
        <v>0.5</v>
      </c>
      <c r="IK121" s="138">
        <v>0.5</v>
      </c>
      <c r="IL121" s="138">
        <v>0.5</v>
      </c>
      <c r="IM121" s="138">
        <v>0.5</v>
      </c>
      <c r="IN121" s="139">
        <v>0.5</v>
      </c>
      <c r="IO121" s="155"/>
      <c r="IP121" s="137"/>
      <c r="IQ121" s="138">
        <v>0.5</v>
      </c>
      <c r="IR121" s="149">
        <v>0.5</v>
      </c>
      <c r="IS121" s="142">
        <v>0.5</v>
      </c>
      <c r="IT121" s="138">
        <v>0.5</v>
      </c>
      <c r="IU121" s="138">
        <v>0.5</v>
      </c>
      <c r="IV121" s="138">
        <v>0.5</v>
      </c>
      <c r="IW121" s="138">
        <v>0.5</v>
      </c>
      <c r="IX121" s="138">
        <v>0.5</v>
      </c>
      <c r="IY121" s="138">
        <v>0.5</v>
      </c>
      <c r="IZ121" s="137"/>
      <c r="JA121" s="137"/>
      <c r="JB121" s="137"/>
      <c r="JC121" s="137"/>
      <c r="JD121" s="153"/>
      <c r="JE121" s="304"/>
      <c r="JF121" s="152"/>
      <c r="JG121" s="131">
        <f>SUM(IE121:JF121)</f>
      </c>
      <c r="JH121" s="134"/>
      <c r="JI121" s="135"/>
      <c r="JJ121" s="136"/>
      <c r="JK121" s="138">
        <v>0.5</v>
      </c>
      <c r="JL121" s="138">
        <v>0.5</v>
      </c>
      <c r="JM121" s="138">
        <v>0.5</v>
      </c>
      <c r="JN121" s="138">
        <v>0.5</v>
      </c>
      <c r="JO121" s="138">
        <v>0.5</v>
      </c>
      <c r="JP121" s="138">
        <v>0.5</v>
      </c>
      <c r="JQ121" s="139">
        <v>0.5</v>
      </c>
      <c r="JR121" s="155"/>
      <c r="JS121" s="137"/>
      <c r="JT121" s="138">
        <v>0.5</v>
      </c>
      <c r="JU121" s="149">
        <v>0.5</v>
      </c>
      <c r="JV121" s="142">
        <v>0.5</v>
      </c>
      <c r="JW121" s="138">
        <v>0.5</v>
      </c>
      <c r="JX121" s="138">
        <v>0.5</v>
      </c>
      <c r="JY121" s="138">
        <v>0.5</v>
      </c>
      <c r="JZ121" s="138">
        <v>0.5</v>
      </c>
      <c r="KA121" s="138">
        <v>0.5</v>
      </c>
      <c r="KB121" s="138">
        <v>0.5</v>
      </c>
      <c r="KC121" s="137"/>
      <c r="KD121" s="137"/>
      <c r="KE121" s="137"/>
      <c r="KF121" s="137"/>
      <c r="KG121" s="153"/>
      <c r="KH121" s="304"/>
      <c r="KI121" s="152"/>
      <c r="KJ121" s="131">
        <f>SUM(JH121:KI121)</f>
      </c>
      <c r="KK121" s="134"/>
      <c r="KL121" s="135"/>
      <c r="KM121" s="136"/>
      <c r="KN121" s="138">
        <v>0.5</v>
      </c>
      <c r="KO121" s="138">
        <v>0.5</v>
      </c>
      <c r="KP121" s="138">
        <v>0.5</v>
      </c>
      <c r="KQ121" s="138">
        <v>0.5</v>
      </c>
      <c r="KR121" s="138">
        <v>0.5</v>
      </c>
      <c r="KS121" s="138">
        <v>0.5</v>
      </c>
      <c r="KT121" s="139">
        <v>0.5</v>
      </c>
      <c r="KU121" s="155"/>
      <c r="KV121" s="137"/>
      <c r="KW121" s="138">
        <v>0.5</v>
      </c>
      <c r="KX121" s="149">
        <v>0.5</v>
      </c>
      <c r="KY121" s="142">
        <v>0.5</v>
      </c>
      <c r="KZ121" s="138">
        <v>0.5</v>
      </c>
      <c r="LA121" s="138">
        <v>0.5</v>
      </c>
      <c r="LB121" s="138">
        <v>0.5</v>
      </c>
      <c r="LC121" s="138">
        <v>0.5</v>
      </c>
      <c r="LD121" s="138">
        <v>0.5</v>
      </c>
      <c r="LE121" s="138">
        <v>0.5</v>
      </c>
      <c r="LF121" s="137"/>
      <c r="LG121" s="137"/>
      <c r="LH121" s="137"/>
      <c r="LI121" s="137"/>
      <c r="LJ121" s="153"/>
      <c r="LK121" s="304"/>
      <c r="LL121" s="152"/>
      <c r="LM121" s="131">
        <f>SUM(KK121:LL121)</f>
      </c>
      <c r="LN121" s="134"/>
      <c r="LO121" s="135"/>
      <c r="LP121" s="136"/>
      <c r="LQ121" s="138">
        <v>0.5</v>
      </c>
      <c r="LR121" s="138">
        <v>0.5</v>
      </c>
      <c r="LS121" s="138">
        <v>0.5</v>
      </c>
      <c r="LT121" s="138">
        <v>0.5</v>
      </c>
      <c r="LU121" s="138">
        <v>0.5</v>
      </c>
      <c r="LV121" s="138">
        <v>0.5</v>
      </c>
      <c r="LW121" s="139">
        <v>0.5</v>
      </c>
      <c r="LX121" s="155"/>
      <c r="LY121" s="137"/>
      <c r="LZ121" s="138">
        <v>0.5</v>
      </c>
      <c r="MA121" s="149">
        <v>0.5</v>
      </c>
      <c r="MB121" s="142">
        <v>0.5</v>
      </c>
      <c r="MC121" s="138">
        <v>0.5</v>
      </c>
      <c r="MD121" s="138">
        <v>0.5</v>
      </c>
      <c r="ME121" s="138">
        <v>0.5</v>
      </c>
      <c r="MF121" s="138">
        <v>0.5</v>
      </c>
      <c r="MG121" s="138">
        <v>0.5</v>
      </c>
      <c r="MH121" s="138">
        <v>0.5</v>
      </c>
      <c r="MI121" s="137"/>
      <c r="MJ121" s="137"/>
      <c r="MK121" s="137"/>
      <c r="ML121" s="137"/>
      <c r="MM121" s="153"/>
      <c r="MN121" s="304"/>
      <c r="MO121" s="152"/>
      <c r="MP121" s="130">
        <f>SUM(LN121:MO121)</f>
      </c>
      <c r="MQ121" s="290"/>
      <c r="MR121" s="291"/>
      <c r="MS121" s="292"/>
      <c r="MT121" s="196"/>
      <c r="MU121" s="196"/>
      <c r="MV121" s="196"/>
      <c r="MW121" s="196"/>
      <c r="MX121" s="196"/>
      <c r="MY121" s="196"/>
      <c r="MZ121" s="195"/>
      <c r="NA121" s="197"/>
      <c r="NB121" s="196"/>
      <c r="NC121" s="196"/>
      <c r="ND121" s="198"/>
      <c r="NE121" s="292"/>
      <c r="NF121" s="196"/>
      <c r="NG121" s="196"/>
      <c r="NH121" s="196"/>
      <c r="NI121" s="196"/>
      <c r="NJ121" s="196"/>
      <c r="NK121" s="196"/>
      <c r="NL121" s="196"/>
      <c r="NM121" s="196"/>
      <c r="NN121" s="196"/>
      <c r="NO121" s="196"/>
      <c r="NP121" s="195"/>
      <c r="NQ121" s="291"/>
      <c r="NR121" s="151"/>
      <c r="NS121" s="130">
        <f>SUM(MQ121:NR121)</f>
      </c>
      <c r="NT121" s="290"/>
      <c r="NU121" s="291"/>
      <c r="NV121" s="292"/>
      <c r="NW121" s="196"/>
      <c r="NX121" s="196"/>
      <c r="NY121" s="196"/>
      <c r="NZ121" s="196"/>
      <c r="OA121" s="196"/>
      <c r="OB121" s="196"/>
      <c r="OC121" s="195"/>
      <c r="OD121" s="197"/>
      <c r="OE121" s="196"/>
      <c r="OF121" s="196"/>
      <c r="OG121" s="198"/>
      <c r="OH121" s="292"/>
      <c r="OI121" s="196"/>
      <c r="OJ121" s="196"/>
      <c r="OK121" s="196"/>
      <c r="OL121" s="196"/>
      <c r="OM121" s="196"/>
      <c r="ON121" s="196"/>
      <c r="OO121" s="196"/>
      <c r="OP121" s="196"/>
      <c r="OQ121" s="196"/>
      <c r="OR121" s="196"/>
      <c r="OS121" s="195"/>
      <c r="OT121" s="291"/>
      <c r="OU121" s="151"/>
      <c r="OV121" s="130">
        <f>SUM(NT121:OU121)</f>
      </c>
      <c r="OW121" s="132">
        <f>ID121+JG121+KJ121+LM121+MP121+NS121+OV121</f>
      </c>
      <c r="OX121" s="133">
        <f>(COUNTIF(HB121:OV121,"H")+COUNTIF(HB121:OV121,"S")+COUNTIF(HB121:OV121,"L")+COUNTIF(HB121:OV121,"E")+COUNTIF(HB121:OV121,"C"))/2</f>
      </c>
      <c r="OY121" s="130">
        <f>OW121+OX121</f>
      </c>
      <c r="OZ121" s="134"/>
      <c r="PA121" s="135"/>
      <c r="PB121" s="136"/>
      <c r="PC121" s="138">
        <v>0.5</v>
      </c>
      <c r="PD121" s="138">
        <v>0.5</v>
      </c>
      <c r="PE121" s="138">
        <v>0.5</v>
      </c>
      <c r="PF121" s="138">
        <v>0.5</v>
      </c>
      <c r="PG121" s="138">
        <v>0.5</v>
      </c>
      <c r="PH121" s="138">
        <v>0.5</v>
      </c>
      <c r="PI121" s="139">
        <v>0.5</v>
      </c>
      <c r="PJ121" s="155"/>
      <c r="PK121" s="137"/>
      <c r="PL121" s="138">
        <v>0.5</v>
      </c>
      <c r="PM121" s="149">
        <v>0.5</v>
      </c>
      <c r="PN121" s="142">
        <v>0.5</v>
      </c>
      <c r="PO121" s="138">
        <v>0.5</v>
      </c>
      <c r="PP121" s="138">
        <v>0.5</v>
      </c>
      <c r="PQ121" s="138">
        <v>0.5</v>
      </c>
      <c r="PR121" s="138">
        <v>0.5</v>
      </c>
      <c r="PS121" s="138">
        <v>0.5</v>
      </c>
      <c r="PT121" s="138">
        <v>0.5</v>
      </c>
      <c r="PU121" s="137"/>
      <c r="PV121" s="137"/>
      <c r="PW121" s="137"/>
      <c r="PX121" s="137"/>
      <c r="PY121" s="153"/>
      <c r="PZ121" s="304"/>
      <c r="QA121" s="152"/>
      <c r="QB121" s="131">
        <f>SUM(OZ121:QA121)</f>
      </c>
      <c r="QC121" s="134"/>
      <c r="QD121" s="135"/>
      <c r="QE121" s="136"/>
      <c r="QF121" s="138">
        <v>0.5</v>
      </c>
      <c r="QG121" s="138">
        <v>0.5</v>
      </c>
      <c r="QH121" s="138">
        <v>0.5</v>
      </c>
      <c r="QI121" s="138">
        <v>0.5</v>
      </c>
      <c r="QJ121" s="138">
        <v>0.5</v>
      </c>
      <c r="QK121" s="138">
        <v>0.5</v>
      </c>
      <c r="QL121" s="139">
        <v>0.5</v>
      </c>
      <c r="QM121" s="155"/>
      <c r="QN121" s="137"/>
      <c r="QO121" s="138">
        <v>0.5</v>
      </c>
      <c r="QP121" s="149">
        <v>0.5</v>
      </c>
      <c r="QQ121" s="142">
        <v>0.5</v>
      </c>
      <c r="QR121" s="138">
        <v>0.5</v>
      </c>
      <c r="QS121" s="138">
        <v>0.5</v>
      </c>
      <c r="QT121" s="138">
        <v>0.5</v>
      </c>
      <c r="QU121" s="138">
        <v>0.5</v>
      </c>
      <c r="QV121" s="138">
        <v>0.5</v>
      </c>
      <c r="QW121" s="138">
        <v>0.5</v>
      </c>
      <c r="QX121" s="137"/>
      <c r="QY121" s="137"/>
      <c r="QZ121" s="137"/>
      <c r="RA121" s="137"/>
      <c r="RB121" s="153"/>
      <c r="RC121" s="304"/>
      <c r="RD121" s="152"/>
      <c r="RE121" s="131">
        <f>SUM(QC121:RD121)</f>
      </c>
      <c r="RF121" s="134"/>
      <c r="RG121" s="135"/>
      <c r="RH121" s="136"/>
      <c r="RI121" s="138">
        <v>0.5</v>
      </c>
      <c r="RJ121" s="138">
        <v>0.5</v>
      </c>
      <c r="RK121" s="138">
        <v>0.5</v>
      </c>
      <c r="RL121" s="138">
        <v>0.5</v>
      </c>
      <c r="RM121" s="138">
        <v>0.5</v>
      </c>
      <c r="RN121" s="138">
        <v>0.5</v>
      </c>
      <c r="RO121" s="139">
        <v>0.5</v>
      </c>
      <c r="RP121" s="155"/>
      <c r="RQ121" s="137"/>
      <c r="RR121" s="138">
        <v>0.5</v>
      </c>
      <c r="RS121" s="149">
        <v>0.5</v>
      </c>
      <c r="RT121" s="142">
        <v>0.5</v>
      </c>
      <c r="RU121" s="138">
        <v>0.5</v>
      </c>
      <c r="RV121" s="138">
        <v>0.5</v>
      </c>
      <c r="RW121" s="138">
        <v>0.5</v>
      </c>
      <c r="RX121" s="138">
        <v>0.5</v>
      </c>
      <c r="RY121" s="138">
        <v>0.5</v>
      </c>
      <c r="RZ121" s="138">
        <v>0.5</v>
      </c>
      <c r="SA121" s="137"/>
      <c r="SB121" s="137"/>
      <c r="SC121" s="137"/>
      <c r="SD121" s="137"/>
      <c r="SE121" s="153"/>
      <c r="SF121" s="304"/>
      <c r="SG121" s="152"/>
      <c r="SH121" s="131">
        <f>SUM(RF121:SG121)</f>
      </c>
      <c r="SI121" s="134"/>
      <c r="SJ121" s="135"/>
      <c r="SK121" s="136"/>
      <c r="SL121" s="138">
        <v>0.5</v>
      </c>
      <c r="SM121" s="138">
        <v>0.5</v>
      </c>
      <c r="SN121" s="138">
        <v>0.5</v>
      </c>
      <c r="SO121" s="138">
        <v>0.5</v>
      </c>
      <c r="SP121" s="138">
        <v>0.5</v>
      </c>
      <c r="SQ121" s="138">
        <v>0.5</v>
      </c>
      <c r="SR121" s="139">
        <v>0.5</v>
      </c>
      <c r="SS121" s="155"/>
      <c r="ST121" s="137"/>
      <c r="SU121" s="138">
        <v>0.5</v>
      </c>
      <c r="SV121" s="149">
        <v>0.5</v>
      </c>
      <c r="SW121" s="142">
        <v>0.5</v>
      </c>
      <c r="SX121" s="138">
        <v>0.5</v>
      </c>
      <c r="SY121" s="138">
        <v>0.5</v>
      </c>
      <c r="SZ121" s="138">
        <v>0.5</v>
      </c>
      <c r="TA121" s="138">
        <v>0.5</v>
      </c>
      <c r="TB121" s="138">
        <v>0.5</v>
      </c>
      <c r="TC121" s="138">
        <v>0.5</v>
      </c>
      <c r="TD121" s="137"/>
      <c r="TE121" s="137"/>
      <c r="TF121" s="137"/>
      <c r="TG121" s="137"/>
      <c r="TH121" s="153"/>
      <c r="TI121" s="304"/>
      <c r="TJ121" s="152"/>
      <c r="TK121" s="131">
        <f>SUM(SI121:TJ121)</f>
      </c>
      <c r="TL121" s="134"/>
      <c r="TM121" s="135"/>
      <c r="TN121" s="136"/>
      <c r="TO121" s="138">
        <v>0.5</v>
      </c>
      <c r="TP121" s="138">
        <v>0.5</v>
      </c>
      <c r="TQ121" s="138">
        <v>0.5</v>
      </c>
      <c r="TR121" s="138">
        <v>0.5</v>
      </c>
      <c r="TS121" s="138">
        <v>0.5</v>
      </c>
      <c r="TT121" s="138">
        <v>0.5</v>
      </c>
      <c r="TU121" s="139">
        <v>0.5</v>
      </c>
      <c r="TV121" s="155"/>
      <c r="TW121" s="137"/>
      <c r="TX121" s="138">
        <v>0.5</v>
      </c>
      <c r="TY121" s="149">
        <v>0.5</v>
      </c>
      <c r="TZ121" s="142">
        <v>0.5</v>
      </c>
      <c r="UA121" s="138">
        <v>0.5</v>
      </c>
      <c r="UB121" s="138">
        <v>0.5</v>
      </c>
      <c r="UC121" s="138">
        <v>0.5</v>
      </c>
      <c r="UD121" s="138">
        <v>0.5</v>
      </c>
      <c r="UE121" s="138">
        <v>0.5</v>
      </c>
      <c r="UF121" s="138">
        <v>0.5</v>
      </c>
      <c r="UG121" s="137"/>
      <c r="UH121" s="137"/>
      <c r="UI121" s="137"/>
      <c r="UJ121" s="137"/>
      <c r="UK121" s="153"/>
      <c r="UL121" s="304"/>
      <c r="UM121" s="152"/>
      <c r="UN121" s="131">
        <f>SUM(TL121:UM121)</f>
      </c>
      <c r="UO121" s="290"/>
      <c r="UP121" s="291"/>
      <c r="UQ121" s="292"/>
      <c r="UR121" s="196"/>
      <c r="US121" s="196"/>
      <c r="UT121" s="196"/>
      <c r="UU121" s="196"/>
      <c r="UV121" s="196"/>
      <c r="UW121" s="196"/>
      <c r="UX121" s="195"/>
      <c r="UY121" s="197"/>
      <c r="UZ121" s="196"/>
      <c r="VA121" s="196"/>
      <c r="VB121" s="198"/>
      <c r="VC121" s="292"/>
      <c r="VD121" s="196"/>
      <c r="VE121" s="196"/>
      <c r="VF121" s="196"/>
      <c r="VG121" s="196"/>
      <c r="VH121" s="196"/>
      <c r="VI121" s="196"/>
      <c r="VJ121" s="196"/>
      <c r="VK121" s="196"/>
      <c r="VL121" s="196"/>
      <c r="VM121" s="196"/>
      <c r="VN121" s="195"/>
      <c r="VO121" s="291"/>
      <c r="VP121" s="151"/>
      <c r="VQ121" s="130">
        <f>SUM(UO121:VP121)</f>
      </c>
      <c r="VR121" s="290"/>
      <c r="VS121" s="291"/>
      <c r="VT121" s="292"/>
      <c r="VU121" s="196"/>
      <c r="VV121" s="196"/>
      <c r="VW121" s="196"/>
      <c r="VX121" s="196"/>
      <c r="VY121" s="196"/>
      <c r="VZ121" s="196"/>
      <c r="WA121" s="195"/>
      <c r="WB121" s="197"/>
      <c r="WC121" s="196"/>
      <c r="WD121" s="196"/>
      <c r="WE121" s="198"/>
      <c r="WF121" s="292"/>
      <c r="WG121" s="196"/>
      <c r="WH121" s="196"/>
      <c r="WI121" s="196"/>
      <c r="WJ121" s="196"/>
      <c r="WK121" s="196"/>
      <c r="WL121" s="196"/>
      <c r="WM121" s="196"/>
      <c r="WN121" s="196"/>
      <c r="WO121" s="196"/>
      <c r="WP121" s="196"/>
      <c r="WQ121" s="195"/>
      <c r="WR121" s="291"/>
      <c r="WS121" s="151"/>
      <c r="WT121" s="130">
        <f>SUM(VR121:WS121)</f>
      </c>
      <c r="WU121" s="132">
        <f>QB121+RE121+SH121+TK121+UN121+VQ121+WT121</f>
      </c>
      <c r="WV121" s="133">
        <f>(COUNTIF(OZ121:WT121,"H")+COUNTIF(OZ121:WT121,"S")+COUNTIF(OZ121:WT121,"L")+COUNTIF(OZ121:WT121,"E")+COUNTIF(OZ121:WT121,"C"))/2</f>
      </c>
      <c r="WW121" s="130">
        <f>WU121+WV121</f>
      </c>
      <c r="WX121" s="134"/>
      <c r="WY121" s="135"/>
      <c r="WZ121" s="136"/>
      <c r="XA121" s="138">
        <v>0.5</v>
      </c>
      <c r="XB121" s="138">
        <v>0.5</v>
      </c>
      <c r="XC121" s="138">
        <v>0.5</v>
      </c>
      <c r="XD121" s="138">
        <v>0.5</v>
      </c>
      <c r="XE121" s="138">
        <v>0.5</v>
      </c>
      <c r="XF121" s="138">
        <v>0.5</v>
      </c>
      <c r="XG121" s="139">
        <v>0.5</v>
      </c>
      <c r="XH121" s="155"/>
      <c r="XI121" s="137"/>
      <c r="XJ121" s="138">
        <v>0.5</v>
      </c>
      <c r="XK121" s="149">
        <v>0.5</v>
      </c>
      <c r="XL121" s="142">
        <v>0.5</v>
      </c>
      <c r="XM121" s="138">
        <v>0.5</v>
      </c>
      <c r="XN121" s="138">
        <v>0.5</v>
      </c>
      <c r="XO121" s="138">
        <v>0.5</v>
      </c>
      <c r="XP121" s="138">
        <v>0.5</v>
      </c>
      <c r="XQ121" s="138">
        <v>0.5</v>
      </c>
      <c r="XR121" s="138">
        <v>0.5</v>
      </c>
      <c r="XS121" s="137"/>
      <c r="XT121" s="137"/>
      <c r="XU121" s="137"/>
      <c r="XV121" s="137"/>
      <c r="XW121" s="153"/>
      <c r="XX121" s="304"/>
      <c r="XY121" s="152"/>
      <c r="XZ121" s="131">
        <f>SUM(WX121:XY121)</f>
      </c>
      <c r="YA121" s="134"/>
      <c r="YB121" s="135"/>
      <c r="YC121" s="136"/>
      <c r="YD121" s="138">
        <v>0.5</v>
      </c>
      <c r="YE121" s="138">
        <v>0.5</v>
      </c>
      <c r="YF121" s="138">
        <v>0.5</v>
      </c>
      <c r="YG121" s="138">
        <v>0.5</v>
      </c>
      <c r="YH121" s="138">
        <v>0.5</v>
      </c>
      <c r="YI121" s="138">
        <v>0.5</v>
      </c>
      <c r="YJ121" s="139">
        <v>0.5</v>
      </c>
      <c r="YK121" s="155"/>
      <c r="YL121" s="137"/>
      <c r="YM121" s="138">
        <v>0.5</v>
      </c>
      <c r="YN121" s="149">
        <v>0.5</v>
      </c>
      <c r="YO121" s="142">
        <v>0.5</v>
      </c>
      <c r="YP121" s="138">
        <v>0.5</v>
      </c>
      <c r="YQ121" s="138">
        <v>0.5</v>
      </c>
      <c r="YR121" s="138">
        <v>0.5</v>
      </c>
      <c r="YS121" s="138">
        <v>0.5</v>
      </c>
      <c r="YT121" s="138">
        <v>0.5</v>
      </c>
      <c r="YU121" s="138">
        <v>0.5</v>
      </c>
      <c r="YV121" s="137"/>
      <c r="YW121" s="137"/>
      <c r="YX121" s="137"/>
      <c r="YY121" s="137"/>
      <c r="YZ121" s="153"/>
      <c r="ZA121" s="304"/>
      <c r="ZB121" s="152"/>
      <c r="ZC121" s="131">
        <f>SUM(YA121:ZB121)</f>
      </c>
      <c r="ZD121" s="134"/>
      <c r="ZE121" s="135"/>
      <c r="ZF121" s="136"/>
      <c r="ZG121" s="138">
        <v>0.5</v>
      </c>
      <c r="ZH121" s="138">
        <v>0.5</v>
      </c>
      <c r="ZI121" s="138">
        <v>0.5</v>
      </c>
      <c r="ZJ121" s="138">
        <v>0.5</v>
      </c>
      <c r="ZK121" s="138">
        <v>0.5</v>
      </c>
      <c r="ZL121" s="138">
        <v>0.5</v>
      </c>
      <c r="ZM121" s="139">
        <v>0.5</v>
      </c>
      <c r="ZN121" s="155"/>
      <c r="ZO121" s="137"/>
      <c r="ZP121" s="138">
        <v>0.5</v>
      </c>
      <c r="ZQ121" s="149">
        <v>0.5</v>
      </c>
      <c r="ZR121" s="142">
        <v>0.5</v>
      </c>
      <c r="ZS121" s="138">
        <v>0.5</v>
      </c>
      <c r="ZT121" s="138">
        <v>0.5</v>
      </c>
      <c r="ZU121" s="138">
        <v>0.5</v>
      </c>
      <c r="ZV121" s="138">
        <v>0.5</v>
      </c>
      <c r="ZW121" s="138">
        <v>0.5</v>
      </c>
      <c r="ZX121" s="138">
        <v>0.5</v>
      </c>
      <c r="ZY121" s="137"/>
      <c r="ZZ121" s="137"/>
      <c r="AAA121" s="137"/>
      <c r="AAB121" s="137"/>
      <c r="AAC121" s="153"/>
      <c r="AAD121" s="304"/>
      <c r="AAE121" s="152"/>
      <c r="AAF121" s="131">
        <f>SUM(ZD121:AAE121)</f>
      </c>
      <c r="AAG121" s="293"/>
      <c r="AAH121" s="294"/>
      <c r="AAI121" s="295"/>
      <c r="AAJ121" s="212">
        <v>0.5</v>
      </c>
      <c r="AAK121" s="212">
        <v>0.5</v>
      </c>
      <c r="AAL121" s="212">
        <v>0.5</v>
      </c>
      <c r="AAM121" s="212">
        <v>0.5</v>
      </c>
      <c r="AAN121" s="212">
        <v>0.5</v>
      </c>
      <c r="AAO121" s="212">
        <v>0.5</v>
      </c>
      <c r="AAP121" s="213">
        <v>0.5</v>
      </c>
      <c r="AAQ121" s="296"/>
      <c r="AAR121" s="207"/>
      <c r="AAS121" s="212">
        <v>0.5</v>
      </c>
      <c r="AAT121" s="297">
        <v>0.5</v>
      </c>
      <c r="AAU121" s="298">
        <v>0.5</v>
      </c>
      <c r="AAV121" s="212">
        <v>0.5</v>
      </c>
      <c r="AAW121" s="212">
        <v>0.5</v>
      </c>
      <c r="AAX121" s="212">
        <v>0.5</v>
      </c>
      <c r="AAY121" s="212">
        <v>0.5</v>
      </c>
      <c r="AAZ121" s="212">
        <v>0.5</v>
      </c>
      <c r="ABA121" s="212">
        <v>0.5</v>
      </c>
      <c r="ABB121" s="207"/>
      <c r="ABC121" s="207"/>
      <c r="ABD121" s="207"/>
      <c r="ABE121" s="207"/>
      <c r="ABF121" s="202"/>
      <c r="ABG121" s="294"/>
      <c r="ABH121" s="152"/>
      <c r="ABI121" s="131">
        <f>SUM(AAG121:ABH121)</f>
      </c>
      <c r="ABJ121" s="134"/>
      <c r="ABK121" s="135"/>
      <c r="ABL121" s="136"/>
      <c r="ABM121" s="138">
        <v>0.5</v>
      </c>
      <c r="ABN121" s="138">
        <v>0.5</v>
      </c>
      <c r="ABO121" s="138">
        <v>0.5</v>
      </c>
      <c r="ABP121" s="138">
        <v>0.5</v>
      </c>
      <c r="ABQ121" s="138">
        <v>0.5</v>
      </c>
      <c r="ABR121" s="138">
        <v>0.5</v>
      </c>
      <c r="ABS121" s="139">
        <v>0.5</v>
      </c>
      <c r="ABT121" s="155"/>
      <c r="ABU121" s="137"/>
      <c r="ABV121" s="138">
        <v>0.5</v>
      </c>
      <c r="ABW121" s="149">
        <v>0.5</v>
      </c>
      <c r="ABX121" s="142">
        <v>0.5</v>
      </c>
      <c r="ABY121" s="138">
        <v>0.5</v>
      </c>
      <c r="ABZ121" s="138">
        <v>0.5</v>
      </c>
      <c r="ACA121" s="138">
        <v>0.5</v>
      </c>
      <c r="ACB121" s="138">
        <v>0.5</v>
      </c>
      <c r="ACC121" s="138">
        <v>0.5</v>
      </c>
      <c r="ACD121" s="138">
        <v>0.5</v>
      </c>
      <c r="ACE121" s="137"/>
      <c r="ACF121" s="137"/>
      <c r="ACG121" s="137"/>
      <c r="ACH121" s="137"/>
      <c r="ACI121" s="153"/>
      <c r="ACJ121" s="304"/>
      <c r="ACK121" s="152"/>
      <c r="ACL121" s="131">
        <f>SUM(ABJ121:ACK121)</f>
      </c>
      <c r="ACM121" s="290"/>
      <c r="ACN121" s="291"/>
      <c r="ACO121" s="292"/>
      <c r="ACP121" s="196"/>
      <c r="ACQ121" s="196"/>
      <c r="ACR121" s="196"/>
      <c r="ACS121" s="196"/>
      <c r="ACT121" s="196"/>
      <c r="ACU121" s="196"/>
      <c r="ACV121" s="195"/>
      <c r="ACW121" s="197"/>
      <c r="ACX121" s="196"/>
      <c r="ACY121" s="196"/>
      <c r="ACZ121" s="198"/>
      <c r="ADA121" s="292"/>
      <c r="ADB121" s="196"/>
      <c r="ADC121" s="196"/>
      <c r="ADD121" s="196"/>
      <c r="ADE121" s="196"/>
      <c r="ADF121" s="196"/>
      <c r="ADG121" s="196"/>
      <c r="ADH121" s="196"/>
      <c r="ADI121" s="196"/>
      <c r="ADJ121" s="196"/>
      <c r="ADK121" s="196"/>
      <c r="ADL121" s="195"/>
      <c r="ADM121" s="291"/>
      <c r="ADN121" s="151"/>
      <c r="ADO121" s="131">
        <f>SUM(ACM121:ADN121)</f>
      </c>
      <c r="ADP121" s="290"/>
      <c r="ADQ121" s="291"/>
      <c r="ADR121" s="292"/>
      <c r="ADS121" s="196"/>
      <c r="ADT121" s="196"/>
      <c r="ADU121" s="196"/>
      <c r="ADV121" s="196"/>
      <c r="ADW121" s="196"/>
      <c r="ADX121" s="196"/>
      <c r="ADY121" s="195"/>
      <c r="ADZ121" s="197"/>
      <c r="AEA121" s="196"/>
      <c r="AEB121" s="196"/>
      <c r="AEC121" s="198"/>
      <c r="AED121" s="292"/>
      <c r="AEE121" s="196"/>
      <c r="AEF121" s="196"/>
      <c r="AEG121" s="196"/>
      <c r="AEH121" s="196"/>
      <c r="AEI121" s="196"/>
      <c r="AEJ121" s="196"/>
      <c r="AEK121" s="196"/>
      <c r="AEL121" s="196"/>
      <c r="AEM121" s="196"/>
      <c r="AEN121" s="196"/>
      <c r="AEO121" s="195"/>
      <c r="AEP121" s="291"/>
      <c r="AEQ121" s="151"/>
      <c r="AER121" s="130">
        <f>SUM(ADP121:AEQ121)</f>
      </c>
      <c r="AES121" s="132">
        <f>XZ121+ZC121+AAF121+ABI121+ACL121+ADO121+AER121</f>
      </c>
      <c r="AET121" s="133">
        <f>(COUNTIF(WX121:AER121,"H")+COUNTIF(WX121:AER121,"S")+COUNTIF(WX121:AER121,"L")+COUNTIF(WX121:AER121,"E")+COUNTIF(WX121:AER121,"C"))/2</f>
      </c>
      <c r="AEU121" s="130">
        <f>AES121+AET121</f>
      </c>
      <c r="AEV121" s="134"/>
      <c r="AEW121" s="135"/>
      <c r="AEX121" s="136"/>
      <c r="AEY121" s="138">
        <v>0.5</v>
      </c>
      <c r="AEZ121" s="138">
        <v>0.5</v>
      </c>
      <c r="AFA121" s="138">
        <v>0.5</v>
      </c>
      <c r="AFB121" s="138">
        <v>0.5</v>
      </c>
      <c r="AFC121" s="138">
        <v>0.5</v>
      </c>
      <c r="AFD121" s="138">
        <v>0.5</v>
      </c>
      <c r="AFE121" s="139">
        <v>0.5</v>
      </c>
      <c r="AFF121" s="155"/>
      <c r="AFG121" s="137"/>
      <c r="AFH121" s="138">
        <v>0.5</v>
      </c>
      <c r="AFI121" s="149">
        <v>0.5</v>
      </c>
      <c r="AFJ121" s="142">
        <v>0.5</v>
      </c>
      <c r="AFK121" s="138">
        <v>0.5</v>
      </c>
      <c r="AFL121" s="138">
        <v>0.5</v>
      </c>
      <c r="AFM121" s="138">
        <v>0.5</v>
      </c>
      <c r="AFN121" s="138">
        <v>0.5</v>
      </c>
      <c r="AFO121" s="138">
        <v>0.5</v>
      </c>
      <c r="AFP121" s="138">
        <v>0.5</v>
      </c>
      <c r="AFQ121" s="137"/>
      <c r="AFR121" s="137"/>
      <c r="AFS121" s="137"/>
      <c r="AFT121" s="137"/>
      <c r="AFU121" s="153"/>
      <c r="AFV121" s="304"/>
      <c r="AFW121" s="152"/>
      <c r="AFX121" s="131">
        <f>SUM(AEV121:AFW121)</f>
      </c>
      <c r="AFY121" s="134"/>
      <c r="AFZ121" s="135"/>
      <c r="AGA121" s="136"/>
      <c r="AGB121" s="138">
        <v>0.5</v>
      </c>
      <c r="AGC121" s="138">
        <v>0.5</v>
      </c>
      <c r="AGD121" s="138">
        <v>0.5</v>
      </c>
      <c r="AGE121" s="138">
        <v>0.5</v>
      </c>
      <c r="AGF121" s="138">
        <v>0.5</v>
      </c>
      <c r="AGG121" s="138">
        <v>0.5</v>
      </c>
      <c r="AGH121" s="139">
        <v>0.5</v>
      </c>
      <c r="AGI121" s="155"/>
      <c r="AGJ121" s="137"/>
      <c r="AGK121" s="138">
        <v>0.5</v>
      </c>
      <c r="AGL121" s="149">
        <v>0.5</v>
      </c>
      <c r="AGM121" s="142">
        <v>0.5</v>
      </c>
      <c r="AGN121" s="138">
        <v>0.5</v>
      </c>
      <c r="AGO121" s="138">
        <v>0.5</v>
      </c>
      <c r="AGP121" s="138">
        <v>0.5</v>
      </c>
      <c r="AGQ121" s="138">
        <v>0.5</v>
      </c>
      <c r="AGR121" s="138">
        <v>0.5</v>
      </c>
      <c r="AGS121" s="138">
        <v>0.5</v>
      </c>
      <c r="AGT121" s="137"/>
      <c r="AGU121" s="137"/>
      <c r="AGV121" s="137"/>
      <c r="AGW121" s="137"/>
      <c r="AGX121" s="153"/>
      <c r="AGY121" s="304"/>
      <c r="AGZ121" s="152"/>
      <c r="AHA121" s="131">
        <f>SUM(AFY121:AGZ121)</f>
      </c>
      <c r="AHB121" s="134"/>
      <c r="AHC121" s="135"/>
      <c r="AHD121" s="136"/>
      <c r="AHE121" s="138">
        <v>0.5</v>
      </c>
      <c r="AHF121" s="138">
        <v>0.5</v>
      </c>
      <c r="AHG121" s="138">
        <v>0.5</v>
      </c>
      <c r="AHH121" s="138">
        <v>0.5</v>
      </c>
      <c r="AHI121" s="138">
        <v>0.5</v>
      </c>
      <c r="AHJ121" s="138">
        <v>0.5</v>
      </c>
      <c r="AHK121" s="139">
        <v>0.5</v>
      </c>
      <c r="AHL121" s="155"/>
      <c r="AHM121" s="137"/>
      <c r="AHN121" s="138">
        <v>0.5</v>
      </c>
      <c r="AHO121" s="149">
        <v>0.5</v>
      </c>
      <c r="AHP121" s="142">
        <v>0.5</v>
      </c>
      <c r="AHQ121" s="138">
        <v>0.5</v>
      </c>
      <c r="AHR121" s="138">
        <v>0.5</v>
      </c>
      <c r="AHS121" s="138">
        <v>0.5</v>
      </c>
      <c r="AHT121" s="138">
        <v>0.5</v>
      </c>
      <c r="AHU121" s="138">
        <v>0.5</v>
      </c>
      <c r="AHV121" s="138">
        <v>0.5</v>
      </c>
      <c r="AHW121" s="137"/>
      <c r="AHX121" s="137"/>
      <c r="AHY121" s="137"/>
      <c r="AHZ121" s="137"/>
      <c r="AIA121" s="153"/>
      <c r="AIB121" s="304"/>
      <c r="AIC121" s="152"/>
      <c r="AID121" s="131">
        <f>SUM(AHB121:AIC121)</f>
      </c>
      <c r="AIE121" s="134"/>
      <c r="AIF121" s="135"/>
      <c r="AIG121" s="136"/>
      <c r="AIH121" s="138">
        <v>0.5</v>
      </c>
      <c r="AII121" s="138">
        <v>0.5</v>
      </c>
      <c r="AIJ121" s="138">
        <v>0.5</v>
      </c>
      <c r="AIK121" s="138">
        <v>0.5</v>
      </c>
      <c r="AIL121" s="138">
        <v>0.5</v>
      </c>
      <c r="AIM121" s="138">
        <v>0.5</v>
      </c>
      <c r="AIN121" s="139">
        <v>0.5</v>
      </c>
      <c r="AIO121" s="155"/>
      <c r="AIP121" s="137"/>
      <c r="AIQ121" s="138">
        <v>0.5</v>
      </c>
      <c r="AIR121" s="149">
        <v>0.5</v>
      </c>
      <c r="AIS121" s="142">
        <v>0.5</v>
      </c>
      <c r="AIT121" s="138">
        <v>0.5</v>
      </c>
      <c r="AIU121" s="138">
        <v>0.5</v>
      </c>
      <c r="AIV121" s="138">
        <v>0.5</v>
      </c>
      <c r="AIW121" s="138">
        <v>0.5</v>
      </c>
      <c r="AIX121" s="138">
        <v>0.5</v>
      </c>
      <c r="AIY121" s="138">
        <v>0.5</v>
      </c>
      <c r="AIZ121" s="137"/>
      <c r="AJA121" s="137"/>
      <c r="AJB121" s="137"/>
      <c r="AJC121" s="137"/>
      <c r="AJD121" s="153"/>
      <c r="AJE121" s="304"/>
      <c r="AJF121" s="152"/>
      <c r="AJG121" s="131">
        <f>SUM(AIE121:AJF121)</f>
      </c>
      <c r="AJH121" s="134"/>
      <c r="AJI121" s="135"/>
      <c r="AJJ121" s="136"/>
      <c r="AJK121" s="138">
        <v>0.5</v>
      </c>
      <c r="AJL121" s="138">
        <v>0.5</v>
      </c>
      <c r="AJM121" s="138">
        <v>0.5</v>
      </c>
      <c r="AJN121" s="138">
        <v>0.5</v>
      </c>
      <c r="AJO121" s="138">
        <v>0.5</v>
      </c>
      <c r="AJP121" s="138">
        <v>0.5</v>
      </c>
      <c r="AJQ121" s="139">
        <v>0.5</v>
      </c>
      <c r="AJR121" s="155"/>
      <c r="AJS121" s="137"/>
      <c r="AJT121" s="138">
        <v>0.5</v>
      </c>
      <c r="AJU121" s="149">
        <v>0.5</v>
      </c>
      <c r="AJV121" s="142">
        <v>0.5</v>
      </c>
      <c r="AJW121" s="138">
        <v>0.5</v>
      </c>
      <c r="AJX121" s="138">
        <v>0.5</v>
      </c>
      <c r="AJY121" s="138">
        <v>0.5</v>
      </c>
      <c r="AJZ121" s="138">
        <v>0.5</v>
      </c>
      <c r="AKA121" s="138">
        <v>0.5</v>
      </c>
      <c r="AKB121" s="138">
        <v>0.5</v>
      </c>
      <c r="AKC121" s="137"/>
      <c r="AKD121" s="137"/>
      <c r="AKE121" s="137"/>
      <c r="AKF121" s="137"/>
      <c r="AKG121" s="153"/>
      <c r="AKH121" s="304"/>
      <c r="AKI121" s="152"/>
      <c r="AKJ121" s="131">
        <f>SUM(AJH121:AKI121)</f>
      </c>
      <c r="AKK121" s="290"/>
      <c r="AKL121" s="291"/>
      <c r="AKM121" s="292"/>
      <c r="AKN121" s="196"/>
      <c r="AKO121" s="196"/>
      <c r="AKP121" s="196"/>
      <c r="AKQ121" s="196"/>
      <c r="AKR121" s="196"/>
      <c r="AKS121" s="196"/>
      <c r="AKT121" s="195"/>
      <c r="AKU121" s="197"/>
      <c r="AKV121" s="196"/>
      <c r="AKW121" s="196"/>
      <c r="AKX121" s="198"/>
      <c r="AKY121" s="292"/>
      <c r="AKZ121" s="196"/>
      <c r="ALA121" s="196"/>
      <c r="ALB121" s="196"/>
      <c r="ALC121" s="196"/>
      <c r="ALD121" s="196"/>
      <c r="ALE121" s="196"/>
      <c r="ALF121" s="196"/>
      <c r="ALG121" s="196"/>
      <c r="ALH121" s="196"/>
      <c r="ALI121" s="196"/>
      <c r="ALJ121" s="195"/>
      <c r="ALK121" s="291"/>
      <c r="ALL121" s="151"/>
      <c r="ALM121" s="130">
        <f>SUM(AKK121:ALL121)</f>
      </c>
      <c r="ALN121" s="290"/>
      <c r="ALO121" s="291"/>
      <c r="ALP121" s="292"/>
      <c r="ALQ121" s="196"/>
      <c r="ALR121" s="196"/>
      <c r="ALS121" s="196"/>
      <c r="ALT121" s="196"/>
      <c r="ALU121" s="196"/>
      <c r="ALV121" s="196"/>
      <c r="ALW121" s="195"/>
      <c r="ALX121" s="197"/>
      <c r="ALY121" s="196"/>
      <c r="ALZ121" s="196"/>
      <c r="AMA121" s="198"/>
      <c r="AMB121" s="292"/>
      <c r="AMC121" s="196"/>
      <c r="AMD121" s="196"/>
      <c r="AME121" s="196"/>
      <c r="AMF121" s="196"/>
      <c r="AMG121" s="196"/>
      <c r="AMH121" s="196"/>
      <c r="AMI121" s="196"/>
      <c r="AMJ121" s="196"/>
      <c r="AMK121" s="196"/>
      <c r="AML121" s="196"/>
      <c r="AMM121" s="195"/>
      <c r="AMN121" s="291"/>
      <c r="AMO121" s="151"/>
      <c r="AMP121" s="130">
        <f>SUM(ALN121:AMO121)</f>
      </c>
      <c r="AMQ121" s="132">
        <f>AFX121+AHA121+AID121+AJG121+AKJ121+ALM121+AMP121</f>
      </c>
      <c r="AMR121" s="133">
        <f>(COUNTIF(AEV121:AMP121,"H")+COUNTIF(AEV121:AMP121,"S")+COUNTIF(AEV121:AMP121,"L")+COUNTIF(AEV121:AMP121,"E")+COUNTIF(AEV121:AMP121,"C"))/2</f>
      </c>
      <c r="AMS121" s="130">
        <f>AMQ121+AMR121</f>
      </c>
      <c r="AMT121" s="4"/>
      <c r="AMU121" s="4"/>
      <c r="AMV121" s="4"/>
      <c r="AMW121" s="4"/>
      <c r="AMX121" s="4"/>
      <c r="AMY121" s="4"/>
      <c r="AMZ121" s="4"/>
      <c r="ANA121" s="4"/>
      <c r="ANB121" s="4"/>
      <c r="ANC121" s="4"/>
      <c r="AND121" s="4"/>
      <c r="ANE121" s="4"/>
      <c r="ANF121" s="4"/>
      <c r="ANG121" s="4"/>
      <c r="ANH121" s="4"/>
      <c r="ANI121" s="4"/>
      <c r="ANJ121" s="4"/>
      <c r="ANK121" s="4"/>
      <c r="ANL121" s="4"/>
      <c r="ANM121" s="4"/>
      <c r="ANN121" s="4"/>
      <c r="ANO121" s="4"/>
      <c r="ANP121" s="4"/>
      <c r="ANQ121" s="4"/>
      <c r="ANR121" s="4"/>
      <c r="ANS121" s="4"/>
      <c r="ANT121" s="4"/>
      <c r="ANU121" s="4"/>
      <c r="ANV121" s="4"/>
      <c r="ANW121" s="4"/>
      <c r="ANX121" s="4"/>
      <c r="ANY121" s="4"/>
      <c r="ANZ121" s="4"/>
      <c r="AOA121" s="4"/>
      <c r="AOB121" s="4"/>
      <c r="AOC121" s="4"/>
      <c r="AOD121" s="4"/>
      <c r="AOE121" s="4"/>
      <c r="AOF121" s="4"/>
      <c r="AOG121" s="4"/>
      <c r="AOH121" s="4"/>
      <c r="AOI121" s="4"/>
      <c r="AOJ121" s="4"/>
      <c r="AOK121" s="4"/>
      <c r="AOL121" s="4"/>
      <c r="AOM121" s="4"/>
      <c r="AON121" s="4"/>
      <c r="AOO121" s="4"/>
      <c r="AOP121" s="4"/>
      <c r="AOQ121" s="4"/>
      <c r="AOR121" s="4"/>
      <c r="AOS121" s="4"/>
      <c r="AOT121" s="4"/>
      <c r="AOU121" s="4"/>
      <c r="AOV121" s="4"/>
      <c r="AOW121" s="4"/>
      <c r="AOX121" s="4"/>
      <c r="AOY121" s="4"/>
      <c r="AOZ121" s="4"/>
      <c r="APA121" s="4"/>
      <c r="APB121" s="4"/>
      <c r="APC121" s="4"/>
      <c r="APD121" s="4"/>
      <c r="APE121" s="4"/>
      <c r="APF121" s="4"/>
      <c r="APG121" s="4"/>
      <c r="APH121" s="4"/>
      <c r="API121" s="4"/>
      <c r="APJ121" s="4"/>
      <c r="APK121" s="4"/>
      <c r="APL121" s="4"/>
      <c r="APM121" s="4"/>
      <c r="APN121" s="4"/>
      <c r="APO121" s="4"/>
      <c r="APP121" s="4"/>
      <c r="APQ121" s="4"/>
      <c r="APR121" s="4"/>
      <c r="APS121" s="4"/>
      <c r="APT121" s="4"/>
      <c r="APU121" s="4"/>
      <c r="APV121" s="4"/>
      <c r="APW121" s="4"/>
      <c r="APX121" s="4"/>
      <c r="APY121" s="4"/>
      <c r="APZ121" s="4"/>
      <c r="AQA121" s="4"/>
      <c r="AQB121" s="4"/>
      <c r="AQC121" s="4"/>
      <c r="AQD121" s="4"/>
      <c r="AQE121" s="4"/>
      <c r="AQF121" s="4"/>
      <c r="AQG121" s="4"/>
      <c r="AQH121" s="4"/>
      <c r="AQI121" s="4"/>
      <c r="AQJ121" s="4"/>
      <c r="AQK121" s="4"/>
      <c r="AQL121" s="4"/>
      <c r="AQM121" s="4"/>
      <c r="AQN121" s="4"/>
      <c r="AQO121" s="4"/>
      <c r="AQP121" s="4"/>
      <c r="AQQ121" s="4"/>
      <c r="AQR121" s="4"/>
      <c r="AQS121" s="4"/>
      <c r="AQT121" s="4"/>
      <c r="AQU121" s="4"/>
      <c r="AQV121" s="4"/>
      <c r="AQW121" s="4"/>
      <c r="AQX121" s="4"/>
      <c r="AQY121" s="4"/>
      <c r="AQZ121" s="4"/>
      <c r="ARA121" s="4"/>
      <c r="ARB121" s="4"/>
      <c r="ARC121" s="4"/>
      <c r="ARD121" s="4"/>
      <c r="ARE121" s="4"/>
      <c r="ARF121" s="4"/>
      <c r="ARG121" s="4"/>
      <c r="ARH121" s="4"/>
      <c r="ARI121" s="4"/>
      <c r="ARJ121" s="4"/>
      <c r="ARK121" s="4"/>
      <c r="ARL121" s="4"/>
      <c r="ARM121" s="4"/>
      <c r="ARN121" s="4"/>
      <c r="ARO121" s="4"/>
      <c r="ARP121" s="4"/>
      <c r="ARQ121" s="4"/>
      <c r="ARR121" s="4"/>
      <c r="ARS121" s="4"/>
      <c r="ART121" s="4"/>
      <c r="ARU121" s="4"/>
      <c r="ARV121" s="4"/>
      <c r="ARW121" s="4"/>
      <c r="ARX121" s="4"/>
      <c r="ARY121" s="4"/>
      <c r="ARZ121" s="4"/>
      <c r="ASA121" s="4"/>
      <c r="ASB121" s="4"/>
      <c r="ASC121" s="4"/>
      <c r="ASD121" s="4"/>
      <c r="ASE121" s="4"/>
      <c r="ASF121" s="4"/>
      <c r="ASG121" s="4"/>
      <c r="ASH121" s="4"/>
      <c r="ASI121" s="4"/>
      <c r="ASJ121" s="4"/>
      <c r="ASK121" s="4"/>
      <c r="ASL121" s="4"/>
      <c r="ASM121" s="4"/>
      <c r="ASN121" s="4"/>
      <c r="ASO121" s="4"/>
      <c r="ASP121" s="4"/>
      <c r="ASQ121" s="4"/>
      <c r="ASR121" s="4"/>
      <c r="ASS121" s="4"/>
      <c r="AST121" s="4"/>
      <c r="ASU121" s="4"/>
    </row>
    <row r="122" spans="1:1191" x14ac:dyDescent="0.25">
      <c r="A122" s="118"/>
      <c r="B122" s="367" t="s">
        <v>155</v>
      </c>
      <c r="C122" s="289" t="s">
        <v>55</v>
      </c>
      <c r="D122" s="121"/>
      <c r="E122" s="122"/>
      <c r="F122" s="123"/>
      <c r="G122" s="124"/>
      <c r="H122" s="124"/>
      <c r="I122" s="124"/>
      <c r="J122" s="124"/>
      <c r="K122" s="124"/>
      <c r="L122" s="124"/>
      <c r="M122" s="125"/>
      <c r="N122" s="126"/>
      <c r="O122" s="124"/>
      <c r="P122" s="124"/>
      <c r="Q122" s="127"/>
      <c r="R122" s="123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5"/>
      <c r="AD122" s="301"/>
      <c r="AE122" s="151"/>
      <c r="AF122" s="131">
        <f>SUM(D122:AE122)</f>
      </c>
      <c r="AG122" s="121"/>
      <c r="AH122" s="122"/>
      <c r="AI122" s="123"/>
      <c r="AJ122" s="124"/>
      <c r="AK122" s="124"/>
      <c r="AL122" s="124"/>
      <c r="AM122" s="124"/>
      <c r="AN122" s="124"/>
      <c r="AO122" s="124"/>
      <c r="AP122" s="125"/>
      <c r="AQ122" s="126"/>
      <c r="AR122" s="124"/>
      <c r="AS122" s="124"/>
      <c r="AT122" s="127"/>
      <c r="AU122" s="123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5"/>
      <c r="BG122" s="301"/>
      <c r="BH122" s="151"/>
      <c r="BI122" s="131">
        <f>SUM(AG122:BH122)</f>
      </c>
      <c r="BJ122" s="121"/>
      <c r="BK122" s="122"/>
      <c r="BL122" s="123"/>
      <c r="BM122" s="124"/>
      <c r="BN122" s="124"/>
      <c r="BO122" s="124"/>
      <c r="BP122" s="124"/>
      <c r="BQ122" s="124"/>
      <c r="BR122" s="124"/>
      <c r="BS122" s="125"/>
      <c r="BT122" s="126"/>
      <c r="BU122" s="124"/>
      <c r="BV122" s="124"/>
      <c r="BW122" s="127"/>
      <c r="BX122" s="123"/>
      <c r="BY122" s="124"/>
      <c r="BZ122" s="124"/>
      <c r="CA122" s="124"/>
      <c r="CB122" s="124"/>
      <c r="CC122" s="124"/>
      <c r="CD122" s="124"/>
      <c r="CE122" s="124"/>
      <c r="CF122" s="124"/>
      <c r="CG122" s="124"/>
      <c r="CH122" s="124"/>
      <c r="CI122" s="125"/>
      <c r="CJ122" s="301"/>
      <c r="CK122" s="151"/>
      <c r="CL122" s="131">
        <f>SUM(BJ122:CK122)</f>
      </c>
      <c r="CM122" s="121"/>
      <c r="CN122" s="122"/>
      <c r="CO122" s="123"/>
      <c r="CP122" s="124"/>
      <c r="CQ122" s="124"/>
      <c r="CR122" s="124"/>
      <c r="CS122" s="124"/>
      <c r="CT122" s="124"/>
      <c r="CU122" s="124"/>
      <c r="CV122" s="125"/>
      <c r="CW122" s="126"/>
      <c r="CX122" s="124"/>
      <c r="CY122" s="124"/>
      <c r="CZ122" s="127"/>
      <c r="DA122" s="123"/>
      <c r="DB122" s="124"/>
      <c r="DC122" s="124"/>
      <c r="DD122" s="124"/>
      <c r="DE122" s="124"/>
      <c r="DF122" s="124"/>
      <c r="DG122" s="124"/>
      <c r="DH122" s="124"/>
      <c r="DI122" s="124"/>
      <c r="DJ122" s="124"/>
      <c r="DK122" s="124"/>
      <c r="DL122" s="125"/>
      <c r="DM122" s="301"/>
      <c r="DN122" s="151"/>
      <c r="DO122" s="131">
        <f>SUM(CM122:DN122)</f>
      </c>
      <c r="DP122" s="121"/>
      <c r="DQ122" s="122"/>
      <c r="DR122" s="123"/>
      <c r="DS122" s="124"/>
      <c r="DT122" s="124"/>
      <c r="DU122" s="124"/>
      <c r="DV122" s="124"/>
      <c r="DW122" s="124"/>
      <c r="DX122" s="124"/>
      <c r="DY122" s="125"/>
      <c r="DZ122" s="126"/>
      <c r="EA122" s="124"/>
      <c r="EB122" s="124"/>
      <c r="EC122" s="127"/>
      <c r="ED122" s="123"/>
      <c r="EE122" s="124"/>
      <c r="EF122" s="124"/>
      <c r="EG122" s="124"/>
      <c r="EH122" s="124"/>
      <c r="EI122" s="124"/>
      <c r="EJ122" s="124"/>
      <c r="EK122" s="124"/>
      <c r="EL122" s="124"/>
      <c r="EM122" s="124"/>
      <c r="EN122" s="124"/>
      <c r="EO122" s="125"/>
      <c r="EP122" s="301"/>
      <c r="EQ122" s="151"/>
      <c r="ER122" s="131">
        <f>SUM(DP122:EQ122)</f>
      </c>
      <c r="ES122" s="121"/>
      <c r="ET122" s="122"/>
      <c r="EU122" s="123"/>
      <c r="EV122" s="124"/>
      <c r="EW122" s="124"/>
      <c r="EX122" s="124"/>
      <c r="EY122" s="124"/>
      <c r="EZ122" s="124"/>
      <c r="FA122" s="124"/>
      <c r="FB122" s="125"/>
      <c r="FC122" s="126"/>
      <c r="FD122" s="124"/>
      <c r="FE122" s="124"/>
      <c r="FF122" s="127"/>
      <c r="FG122" s="123"/>
      <c r="FH122" s="124"/>
      <c r="FI122" s="124"/>
      <c r="FJ122" s="124"/>
      <c r="FK122" s="124"/>
      <c r="FL122" s="124"/>
      <c r="FM122" s="124"/>
      <c r="FN122" s="124"/>
      <c r="FO122" s="124"/>
      <c r="FP122" s="124"/>
      <c r="FQ122" s="124"/>
      <c r="FR122" s="125"/>
      <c r="FS122" s="301"/>
      <c r="FT122" s="151"/>
      <c r="FU122" s="131">
        <f>SUM(ES122:FT122)</f>
      </c>
      <c r="FV122" s="121"/>
      <c r="FW122" s="122"/>
      <c r="FX122" s="123"/>
      <c r="FY122" s="124"/>
      <c r="FZ122" s="124"/>
      <c r="GA122" s="124"/>
      <c r="GB122" s="124"/>
      <c r="GC122" s="124"/>
      <c r="GD122" s="124"/>
      <c r="GE122" s="125"/>
      <c r="GF122" s="126"/>
      <c r="GG122" s="124"/>
      <c r="GH122" s="124"/>
      <c r="GI122" s="127"/>
      <c r="GJ122" s="123"/>
      <c r="GK122" s="124"/>
      <c r="GL122" s="124"/>
      <c r="GM122" s="124"/>
      <c r="GN122" s="124"/>
      <c r="GO122" s="124"/>
      <c r="GP122" s="124"/>
      <c r="GQ122" s="124"/>
      <c r="GR122" s="124"/>
      <c r="GS122" s="124"/>
      <c r="GT122" s="124"/>
      <c r="GU122" s="125"/>
      <c r="GV122" s="301"/>
      <c r="GW122" s="151"/>
      <c r="GX122" s="131">
        <f>SUM(FV122:GW122)</f>
      </c>
      <c r="GY122" s="150">
        <f>AF122+BI122+CL122+DO122+ER122+FU122+GX122</f>
      </c>
      <c r="GZ122" s="302">
        <f>(COUNTIF(D122:GX122,"H")+COUNTIF(D122:GX122,"S")+COUNTIF(D122:GX122,"L")+COUNTIF(D122:GX122,"E")+COUNTIF(D122:GX122,"C"))/2</f>
      </c>
      <c r="HA122" s="131">
        <f>GY122+GZ122</f>
      </c>
      <c r="HB122" s="134"/>
      <c r="HC122" s="135"/>
      <c r="HD122" s="136"/>
      <c r="HE122" s="138">
        <v>0.5</v>
      </c>
      <c r="HF122" s="138">
        <v>0.5</v>
      </c>
      <c r="HG122" s="138">
        <v>0.5</v>
      </c>
      <c r="HH122" s="138">
        <v>0.5</v>
      </c>
      <c r="HI122" s="138">
        <v>0.5</v>
      </c>
      <c r="HJ122" s="138">
        <v>0.5</v>
      </c>
      <c r="HK122" s="139">
        <v>0.5</v>
      </c>
      <c r="HL122" s="155"/>
      <c r="HM122" s="137"/>
      <c r="HN122" s="138">
        <v>0.5</v>
      </c>
      <c r="HO122" s="149">
        <v>0.5</v>
      </c>
      <c r="HP122" s="142">
        <v>0.5</v>
      </c>
      <c r="HQ122" s="138">
        <v>0.5</v>
      </c>
      <c r="HR122" s="138">
        <v>0.5</v>
      </c>
      <c r="HS122" s="138">
        <v>0.5</v>
      </c>
      <c r="HT122" s="138">
        <v>0.5</v>
      </c>
      <c r="HU122" s="138">
        <v>0.5</v>
      </c>
      <c r="HV122" s="138">
        <v>0.5</v>
      </c>
      <c r="HW122" s="137"/>
      <c r="HX122" s="137"/>
      <c r="HY122" s="137"/>
      <c r="HZ122" s="137"/>
      <c r="IA122" s="153"/>
      <c r="IB122" s="304"/>
      <c r="IC122" s="152"/>
      <c r="ID122" s="131">
        <f>SUM(HB122:IC122)</f>
      </c>
      <c r="IE122" s="134"/>
      <c r="IF122" s="135"/>
      <c r="IG122" s="136"/>
      <c r="IH122" s="138">
        <v>0.5</v>
      </c>
      <c r="II122" s="138">
        <v>0.5</v>
      </c>
      <c r="IJ122" s="138">
        <v>0.5</v>
      </c>
      <c r="IK122" s="138">
        <v>0.5</v>
      </c>
      <c r="IL122" s="138">
        <v>0.5</v>
      </c>
      <c r="IM122" s="138">
        <v>0.5</v>
      </c>
      <c r="IN122" s="139">
        <v>0.5</v>
      </c>
      <c r="IO122" s="155"/>
      <c r="IP122" s="137"/>
      <c r="IQ122" s="138">
        <v>0.5</v>
      </c>
      <c r="IR122" s="149">
        <v>0.5</v>
      </c>
      <c r="IS122" s="142">
        <v>0.5</v>
      </c>
      <c r="IT122" s="138">
        <v>0.5</v>
      </c>
      <c r="IU122" s="138">
        <v>0.5</v>
      </c>
      <c r="IV122" s="138">
        <v>0.5</v>
      </c>
      <c r="IW122" s="138">
        <v>0.5</v>
      </c>
      <c r="IX122" s="138">
        <v>0.5</v>
      </c>
      <c r="IY122" s="138">
        <v>0.5</v>
      </c>
      <c r="IZ122" s="137"/>
      <c r="JA122" s="137"/>
      <c r="JB122" s="137"/>
      <c r="JC122" s="137"/>
      <c r="JD122" s="153"/>
      <c r="JE122" s="304"/>
      <c r="JF122" s="152"/>
      <c r="JG122" s="131">
        <f>SUM(IE122:JF122)</f>
      </c>
      <c r="JH122" s="134"/>
      <c r="JI122" s="135"/>
      <c r="JJ122" s="136"/>
      <c r="JK122" s="138">
        <v>0.5</v>
      </c>
      <c r="JL122" s="138">
        <v>0.5</v>
      </c>
      <c r="JM122" s="138">
        <v>0.5</v>
      </c>
      <c r="JN122" s="138">
        <v>0.5</v>
      </c>
      <c r="JO122" s="138">
        <v>0.5</v>
      </c>
      <c r="JP122" s="138">
        <v>0.5</v>
      </c>
      <c r="JQ122" s="139">
        <v>0.5</v>
      </c>
      <c r="JR122" s="155"/>
      <c r="JS122" s="137"/>
      <c r="JT122" s="138">
        <v>0.5</v>
      </c>
      <c r="JU122" s="149">
        <v>0.5</v>
      </c>
      <c r="JV122" s="142">
        <v>0.5</v>
      </c>
      <c r="JW122" s="138">
        <v>0.5</v>
      </c>
      <c r="JX122" s="138">
        <v>0.5</v>
      </c>
      <c r="JY122" s="138">
        <v>0.5</v>
      </c>
      <c r="JZ122" s="138">
        <v>0.5</v>
      </c>
      <c r="KA122" s="138">
        <v>0.5</v>
      </c>
      <c r="KB122" s="138">
        <v>0.5</v>
      </c>
      <c r="KC122" s="137"/>
      <c r="KD122" s="137"/>
      <c r="KE122" s="137"/>
      <c r="KF122" s="137"/>
      <c r="KG122" s="153"/>
      <c r="KH122" s="304"/>
      <c r="KI122" s="152"/>
      <c r="KJ122" s="131">
        <f>SUM(JH122:KI122)</f>
      </c>
      <c r="KK122" s="134"/>
      <c r="KL122" s="135"/>
      <c r="KM122" s="136"/>
      <c r="KN122" s="138">
        <v>0.5</v>
      </c>
      <c r="KO122" s="138">
        <v>0.5</v>
      </c>
      <c r="KP122" s="138">
        <v>0.5</v>
      </c>
      <c r="KQ122" s="138">
        <v>0.5</v>
      </c>
      <c r="KR122" s="138">
        <v>0.5</v>
      </c>
      <c r="KS122" s="138">
        <v>0.5</v>
      </c>
      <c r="KT122" s="139">
        <v>0.5</v>
      </c>
      <c r="KU122" s="155"/>
      <c r="KV122" s="137"/>
      <c r="KW122" s="138">
        <v>0.5</v>
      </c>
      <c r="KX122" s="149">
        <v>0.5</v>
      </c>
      <c r="KY122" s="142">
        <v>0.5</v>
      </c>
      <c r="KZ122" s="138">
        <v>0.5</v>
      </c>
      <c r="LA122" s="138">
        <v>0.5</v>
      </c>
      <c r="LB122" s="138">
        <v>0.5</v>
      </c>
      <c r="LC122" s="138">
        <v>0.5</v>
      </c>
      <c r="LD122" s="138">
        <v>0.5</v>
      </c>
      <c r="LE122" s="138">
        <v>0.5</v>
      </c>
      <c r="LF122" s="137"/>
      <c r="LG122" s="137"/>
      <c r="LH122" s="137"/>
      <c r="LI122" s="137"/>
      <c r="LJ122" s="153"/>
      <c r="LK122" s="304"/>
      <c r="LL122" s="152"/>
      <c r="LM122" s="131">
        <f>SUM(KK122:LL122)</f>
      </c>
      <c r="LN122" s="134"/>
      <c r="LO122" s="135"/>
      <c r="LP122" s="136"/>
      <c r="LQ122" s="138">
        <v>0.5</v>
      </c>
      <c r="LR122" s="138">
        <v>0.5</v>
      </c>
      <c r="LS122" s="138">
        <v>0.5</v>
      </c>
      <c r="LT122" s="138">
        <v>0.5</v>
      </c>
      <c r="LU122" s="138">
        <v>0.5</v>
      </c>
      <c r="LV122" s="138">
        <v>0.5</v>
      </c>
      <c r="LW122" s="139">
        <v>0.5</v>
      </c>
      <c r="LX122" s="155"/>
      <c r="LY122" s="137"/>
      <c r="LZ122" s="138">
        <v>0.5</v>
      </c>
      <c r="MA122" s="149">
        <v>0.5</v>
      </c>
      <c r="MB122" s="142">
        <v>0.5</v>
      </c>
      <c r="MC122" s="138">
        <v>0.5</v>
      </c>
      <c r="MD122" s="138">
        <v>0.5</v>
      </c>
      <c r="ME122" s="138">
        <v>0.5</v>
      </c>
      <c r="MF122" s="138">
        <v>0.5</v>
      </c>
      <c r="MG122" s="138">
        <v>0.5</v>
      </c>
      <c r="MH122" s="138">
        <v>0.5</v>
      </c>
      <c r="MI122" s="137"/>
      <c r="MJ122" s="137"/>
      <c r="MK122" s="137"/>
      <c r="ML122" s="137"/>
      <c r="MM122" s="153"/>
      <c r="MN122" s="304"/>
      <c r="MO122" s="152"/>
      <c r="MP122" s="131">
        <f>SUM(LN122:MO122)</f>
      </c>
      <c r="MQ122" s="121"/>
      <c r="MR122" s="122"/>
      <c r="MS122" s="123"/>
      <c r="MT122" s="124"/>
      <c r="MU122" s="124"/>
      <c r="MV122" s="124"/>
      <c r="MW122" s="124"/>
      <c r="MX122" s="124"/>
      <c r="MY122" s="124"/>
      <c r="MZ122" s="125"/>
      <c r="NA122" s="126"/>
      <c r="NB122" s="124"/>
      <c r="NC122" s="124"/>
      <c r="ND122" s="127"/>
      <c r="NE122" s="123"/>
      <c r="NF122" s="124"/>
      <c r="NG122" s="124"/>
      <c r="NH122" s="124"/>
      <c r="NI122" s="124"/>
      <c r="NJ122" s="124"/>
      <c r="NK122" s="124"/>
      <c r="NL122" s="124"/>
      <c r="NM122" s="124"/>
      <c r="NN122" s="124"/>
      <c r="NO122" s="124"/>
      <c r="NP122" s="125"/>
      <c r="NQ122" s="301"/>
      <c r="NR122" s="151"/>
      <c r="NS122" s="131">
        <f>SUM(MQ122:NR122)</f>
      </c>
      <c r="NT122" s="121"/>
      <c r="NU122" s="122"/>
      <c r="NV122" s="123"/>
      <c r="NW122" s="124"/>
      <c r="NX122" s="124"/>
      <c r="NY122" s="124"/>
      <c r="NZ122" s="124"/>
      <c r="OA122" s="124"/>
      <c r="OB122" s="124"/>
      <c r="OC122" s="125"/>
      <c r="OD122" s="126"/>
      <c r="OE122" s="124"/>
      <c r="OF122" s="124"/>
      <c r="OG122" s="127"/>
      <c r="OH122" s="123"/>
      <c r="OI122" s="124"/>
      <c r="OJ122" s="124"/>
      <c r="OK122" s="124"/>
      <c r="OL122" s="124"/>
      <c r="OM122" s="124"/>
      <c r="ON122" s="124"/>
      <c r="OO122" s="124"/>
      <c r="OP122" s="124"/>
      <c r="OQ122" s="124"/>
      <c r="OR122" s="124"/>
      <c r="OS122" s="125"/>
      <c r="OT122" s="301"/>
      <c r="OU122" s="151"/>
      <c r="OV122" s="131">
        <f>SUM(NT122:OU122)</f>
      </c>
      <c r="OW122" s="150">
        <f>ID122+JG122+KJ122+LM122+MP122+NS122+OV122</f>
      </c>
      <c r="OX122" s="302">
        <f>(COUNTIF(HB122:OV122,"H")+COUNTIF(HB122:OV122,"S")+COUNTIF(HB122:OV122,"L")+COUNTIF(HB122:OV122,"E")+COUNTIF(HB122:OV122,"C"))/2</f>
      </c>
      <c r="OY122" s="131">
        <f>OW122+OX122</f>
      </c>
      <c r="OZ122" s="134"/>
      <c r="PA122" s="135"/>
      <c r="PB122" s="136"/>
      <c r="PC122" s="138">
        <v>0.5</v>
      </c>
      <c r="PD122" s="138">
        <v>0.5</v>
      </c>
      <c r="PE122" s="138">
        <v>0.5</v>
      </c>
      <c r="PF122" s="138">
        <v>0.5</v>
      </c>
      <c r="PG122" s="138">
        <v>0.5</v>
      </c>
      <c r="PH122" s="138">
        <v>0.5</v>
      </c>
      <c r="PI122" s="139">
        <v>0.5</v>
      </c>
      <c r="PJ122" s="155"/>
      <c r="PK122" s="137"/>
      <c r="PL122" s="138">
        <v>0.5</v>
      </c>
      <c r="PM122" s="149">
        <v>0.5</v>
      </c>
      <c r="PN122" s="142">
        <v>0.5</v>
      </c>
      <c r="PO122" s="138">
        <v>0.5</v>
      </c>
      <c r="PP122" s="138">
        <v>0.5</v>
      </c>
      <c r="PQ122" s="138">
        <v>0.5</v>
      </c>
      <c r="PR122" s="138">
        <v>0.5</v>
      </c>
      <c r="PS122" s="138">
        <v>0.5</v>
      </c>
      <c r="PT122" s="138">
        <v>0.5</v>
      </c>
      <c r="PU122" s="137"/>
      <c r="PV122" s="137"/>
      <c r="PW122" s="137"/>
      <c r="PX122" s="137"/>
      <c r="PY122" s="153"/>
      <c r="PZ122" s="304"/>
      <c r="QA122" s="152"/>
      <c r="QB122" s="131">
        <f>SUM(OZ122:QA122)</f>
      </c>
      <c r="QC122" s="134"/>
      <c r="QD122" s="135"/>
      <c r="QE122" s="136"/>
      <c r="QF122" s="138">
        <v>0.5</v>
      </c>
      <c r="QG122" s="138">
        <v>0.5</v>
      </c>
      <c r="QH122" s="138">
        <v>0.5</v>
      </c>
      <c r="QI122" s="138">
        <v>0.5</v>
      </c>
      <c r="QJ122" s="138">
        <v>0.5</v>
      </c>
      <c r="QK122" s="138">
        <v>0.5</v>
      </c>
      <c r="QL122" s="139">
        <v>0.5</v>
      </c>
      <c r="QM122" s="155"/>
      <c r="QN122" s="137"/>
      <c r="QO122" s="138">
        <v>0.5</v>
      </c>
      <c r="QP122" s="149">
        <v>0.5</v>
      </c>
      <c r="QQ122" s="142">
        <v>0.5</v>
      </c>
      <c r="QR122" s="138">
        <v>0.5</v>
      </c>
      <c r="QS122" s="138">
        <v>0.5</v>
      </c>
      <c r="QT122" s="138">
        <v>0.5</v>
      </c>
      <c r="QU122" s="138">
        <v>0.5</v>
      </c>
      <c r="QV122" s="138">
        <v>0.5</v>
      </c>
      <c r="QW122" s="138">
        <v>0.5</v>
      </c>
      <c r="QX122" s="137"/>
      <c r="QY122" s="137"/>
      <c r="QZ122" s="137"/>
      <c r="RA122" s="137"/>
      <c r="RB122" s="153"/>
      <c r="RC122" s="304"/>
      <c r="RD122" s="152"/>
      <c r="RE122" s="131">
        <f>SUM(QC122:RD122)</f>
      </c>
      <c r="RF122" s="134"/>
      <c r="RG122" s="135"/>
      <c r="RH122" s="136"/>
      <c r="RI122" s="138">
        <v>0.5</v>
      </c>
      <c r="RJ122" s="138">
        <v>0.5</v>
      </c>
      <c r="RK122" s="138">
        <v>0.5</v>
      </c>
      <c r="RL122" s="138">
        <v>0.5</v>
      </c>
      <c r="RM122" s="138">
        <v>0.5</v>
      </c>
      <c r="RN122" s="138">
        <v>0.5</v>
      </c>
      <c r="RO122" s="139">
        <v>0.5</v>
      </c>
      <c r="RP122" s="155"/>
      <c r="RQ122" s="137"/>
      <c r="RR122" s="138">
        <v>0.5</v>
      </c>
      <c r="RS122" s="149">
        <v>0.5</v>
      </c>
      <c r="RT122" s="142">
        <v>0.5</v>
      </c>
      <c r="RU122" s="138">
        <v>0.5</v>
      </c>
      <c r="RV122" s="138">
        <v>0.5</v>
      </c>
      <c r="RW122" s="138">
        <v>0.5</v>
      </c>
      <c r="RX122" s="138">
        <v>0.5</v>
      </c>
      <c r="RY122" s="138">
        <v>0.5</v>
      </c>
      <c r="RZ122" s="138">
        <v>0.5</v>
      </c>
      <c r="SA122" s="137"/>
      <c r="SB122" s="137"/>
      <c r="SC122" s="137"/>
      <c r="SD122" s="137"/>
      <c r="SE122" s="153"/>
      <c r="SF122" s="304"/>
      <c r="SG122" s="152"/>
      <c r="SH122" s="131">
        <f>SUM(RF122:SG122)</f>
      </c>
      <c r="SI122" s="134"/>
      <c r="SJ122" s="135"/>
      <c r="SK122" s="136"/>
      <c r="SL122" s="138">
        <v>0.5</v>
      </c>
      <c r="SM122" s="138">
        <v>0.5</v>
      </c>
      <c r="SN122" s="138">
        <v>0.5</v>
      </c>
      <c r="SO122" s="138">
        <v>0.5</v>
      </c>
      <c r="SP122" s="138">
        <v>0.5</v>
      </c>
      <c r="SQ122" s="138">
        <v>0.5</v>
      </c>
      <c r="SR122" s="139">
        <v>0.5</v>
      </c>
      <c r="SS122" s="155"/>
      <c r="ST122" s="137"/>
      <c r="SU122" s="138">
        <v>0.5</v>
      </c>
      <c r="SV122" s="149">
        <v>0.5</v>
      </c>
      <c r="SW122" s="142">
        <v>0.5</v>
      </c>
      <c r="SX122" s="138">
        <v>0.5</v>
      </c>
      <c r="SY122" s="138">
        <v>0.5</v>
      </c>
      <c r="SZ122" s="138">
        <v>0.5</v>
      </c>
      <c r="TA122" s="138">
        <v>0.5</v>
      </c>
      <c r="TB122" s="138">
        <v>0.5</v>
      </c>
      <c r="TC122" s="138">
        <v>0.5</v>
      </c>
      <c r="TD122" s="137"/>
      <c r="TE122" s="137"/>
      <c r="TF122" s="137"/>
      <c r="TG122" s="137"/>
      <c r="TH122" s="153"/>
      <c r="TI122" s="304"/>
      <c r="TJ122" s="152"/>
      <c r="TK122" s="131">
        <f>SUM(SI122:TJ122)</f>
      </c>
      <c r="TL122" s="134"/>
      <c r="TM122" s="135"/>
      <c r="TN122" s="136"/>
      <c r="TO122" s="138">
        <v>0.5</v>
      </c>
      <c r="TP122" s="138">
        <v>0.5</v>
      </c>
      <c r="TQ122" s="138">
        <v>0.5</v>
      </c>
      <c r="TR122" s="138">
        <v>0.5</v>
      </c>
      <c r="TS122" s="138">
        <v>0.5</v>
      </c>
      <c r="TT122" s="138">
        <v>0.5</v>
      </c>
      <c r="TU122" s="139">
        <v>0.5</v>
      </c>
      <c r="TV122" s="155"/>
      <c r="TW122" s="137"/>
      <c r="TX122" s="138">
        <v>0.5</v>
      </c>
      <c r="TY122" s="149">
        <v>0.5</v>
      </c>
      <c r="TZ122" s="142">
        <v>0.5</v>
      </c>
      <c r="UA122" s="138">
        <v>0.5</v>
      </c>
      <c r="UB122" s="138">
        <v>0.5</v>
      </c>
      <c r="UC122" s="138">
        <v>0.5</v>
      </c>
      <c r="UD122" s="138">
        <v>0.5</v>
      </c>
      <c r="UE122" s="138">
        <v>0.5</v>
      </c>
      <c r="UF122" s="138">
        <v>0.5</v>
      </c>
      <c r="UG122" s="137"/>
      <c r="UH122" s="137"/>
      <c r="UI122" s="137"/>
      <c r="UJ122" s="137"/>
      <c r="UK122" s="153"/>
      <c r="UL122" s="304"/>
      <c r="UM122" s="152"/>
      <c r="UN122" s="131">
        <f>SUM(TL122:UM122)</f>
      </c>
      <c r="UO122" s="121"/>
      <c r="UP122" s="122"/>
      <c r="UQ122" s="123"/>
      <c r="UR122" s="124"/>
      <c r="US122" s="124"/>
      <c r="UT122" s="124"/>
      <c r="UU122" s="124"/>
      <c r="UV122" s="124"/>
      <c r="UW122" s="124"/>
      <c r="UX122" s="125"/>
      <c r="UY122" s="126"/>
      <c r="UZ122" s="124"/>
      <c r="VA122" s="124"/>
      <c r="VB122" s="127"/>
      <c r="VC122" s="123"/>
      <c r="VD122" s="124"/>
      <c r="VE122" s="124"/>
      <c r="VF122" s="124"/>
      <c r="VG122" s="124"/>
      <c r="VH122" s="124"/>
      <c r="VI122" s="124"/>
      <c r="VJ122" s="124"/>
      <c r="VK122" s="124"/>
      <c r="VL122" s="124"/>
      <c r="VM122" s="124"/>
      <c r="VN122" s="125"/>
      <c r="VO122" s="301"/>
      <c r="VP122" s="151"/>
      <c r="VQ122" s="131">
        <f>SUM(UO122:VP122)</f>
      </c>
      <c r="VR122" s="121"/>
      <c r="VS122" s="122"/>
      <c r="VT122" s="123"/>
      <c r="VU122" s="124"/>
      <c r="VV122" s="124"/>
      <c r="VW122" s="124"/>
      <c r="VX122" s="124"/>
      <c r="VY122" s="124"/>
      <c r="VZ122" s="124"/>
      <c r="WA122" s="125"/>
      <c r="WB122" s="126"/>
      <c r="WC122" s="124"/>
      <c r="WD122" s="124"/>
      <c r="WE122" s="127"/>
      <c r="WF122" s="123"/>
      <c r="WG122" s="124"/>
      <c r="WH122" s="124"/>
      <c r="WI122" s="124"/>
      <c r="WJ122" s="124"/>
      <c r="WK122" s="124"/>
      <c r="WL122" s="124"/>
      <c r="WM122" s="124"/>
      <c r="WN122" s="124"/>
      <c r="WO122" s="124"/>
      <c r="WP122" s="124"/>
      <c r="WQ122" s="125"/>
      <c r="WR122" s="301"/>
      <c r="WS122" s="151"/>
      <c r="WT122" s="131">
        <f>SUM(VR122:WS122)</f>
      </c>
      <c r="WU122" s="150">
        <f>QB122+RE122+SH122+TK122+UN122+VQ122+WT122</f>
      </c>
      <c r="WV122" s="302">
        <f>(COUNTIF(OZ122:WT122,"H")+COUNTIF(OZ122:WT122,"S")+COUNTIF(OZ122:WT122,"L")+COUNTIF(OZ122:WT122,"E")+COUNTIF(OZ122:WT122,"C"))/2</f>
      </c>
      <c r="WW122" s="131">
        <f>WU122+WV122</f>
      </c>
      <c r="WX122" s="134"/>
      <c r="WY122" s="135"/>
      <c r="WZ122" s="136"/>
      <c r="XA122" s="138">
        <v>0.5</v>
      </c>
      <c r="XB122" s="138">
        <v>0.5</v>
      </c>
      <c r="XC122" s="138">
        <v>0.5</v>
      </c>
      <c r="XD122" s="138">
        <v>0.5</v>
      </c>
      <c r="XE122" s="138">
        <v>0.5</v>
      </c>
      <c r="XF122" s="138">
        <v>0.5</v>
      </c>
      <c r="XG122" s="139">
        <v>0.5</v>
      </c>
      <c r="XH122" s="155"/>
      <c r="XI122" s="137"/>
      <c r="XJ122" s="138">
        <v>0.5</v>
      </c>
      <c r="XK122" s="149">
        <v>0.5</v>
      </c>
      <c r="XL122" s="142">
        <v>0.5</v>
      </c>
      <c r="XM122" s="138">
        <v>0.5</v>
      </c>
      <c r="XN122" s="138">
        <v>0.5</v>
      </c>
      <c r="XO122" s="138">
        <v>0.5</v>
      </c>
      <c r="XP122" s="138">
        <v>0.5</v>
      </c>
      <c r="XQ122" s="138">
        <v>0.5</v>
      </c>
      <c r="XR122" s="138">
        <v>0.5</v>
      </c>
      <c r="XS122" s="137"/>
      <c r="XT122" s="137"/>
      <c r="XU122" s="137"/>
      <c r="XV122" s="137"/>
      <c r="XW122" s="153"/>
      <c r="XX122" s="304"/>
      <c r="XY122" s="152"/>
      <c r="XZ122" s="131">
        <f>SUM(WX122:XY122)</f>
      </c>
      <c r="YA122" s="134"/>
      <c r="YB122" s="135"/>
      <c r="YC122" s="136"/>
      <c r="YD122" s="138">
        <v>0.5</v>
      </c>
      <c r="YE122" s="138">
        <v>0.5</v>
      </c>
      <c r="YF122" s="138">
        <v>0.5</v>
      </c>
      <c r="YG122" s="138">
        <v>0.5</v>
      </c>
      <c r="YH122" s="138">
        <v>0.5</v>
      </c>
      <c r="YI122" s="138">
        <v>0.5</v>
      </c>
      <c r="YJ122" s="139">
        <v>0.5</v>
      </c>
      <c r="YK122" s="155"/>
      <c r="YL122" s="137"/>
      <c r="YM122" s="138">
        <v>0.5</v>
      </c>
      <c r="YN122" s="149">
        <v>0.5</v>
      </c>
      <c r="YO122" s="142">
        <v>0.5</v>
      </c>
      <c r="YP122" s="138">
        <v>0.5</v>
      </c>
      <c r="YQ122" s="138">
        <v>0.5</v>
      </c>
      <c r="YR122" s="138">
        <v>0.5</v>
      </c>
      <c r="YS122" s="138">
        <v>0.5</v>
      </c>
      <c r="YT122" s="138">
        <v>0.5</v>
      </c>
      <c r="YU122" s="138">
        <v>0.5</v>
      </c>
      <c r="YV122" s="137"/>
      <c r="YW122" s="137"/>
      <c r="YX122" s="137"/>
      <c r="YY122" s="137"/>
      <c r="YZ122" s="153"/>
      <c r="ZA122" s="304"/>
      <c r="ZB122" s="152"/>
      <c r="ZC122" s="131">
        <f>SUM(YA122:ZB122)</f>
      </c>
      <c r="ZD122" s="134"/>
      <c r="ZE122" s="135"/>
      <c r="ZF122" s="136"/>
      <c r="ZG122" s="138">
        <v>0.5</v>
      </c>
      <c r="ZH122" s="138">
        <v>0.5</v>
      </c>
      <c r="ZI122" s="138">
        <v>0.5</v>
      </c>
      <c r="ZJ122" s="138">
        <v>0.5</v>
      </c>
      <c r="ZK122" s="138">
        <v>0.5</v>
      </c>
      <c r="ZL122" s="138">
        <v>0.5</v>
      </c>
      <c r="ZM122" s="139">
        <v>0.5</v>
      </c>
      <c r="ZN122" s="155"/>
      <c r="ZO122" s="137"/>
      <c r="ZP122" s="138">
        <v>0.5</v>
      </c>
      <c r="ZQ122" s="149">
        <v>0.5</v>
      </c>
      <c r="ZR122" s="142">
        <v>0.5</v>
      </c>
      <c r="ZS122" s="138">
        <v>0.5</v>
      </c>
      <c r="ZT122" s="138">
        <v>0.5</v>
      </c>
      <c r="ZU122" s="138">
        <v>0.5</v>
      </c>
      <c r="ZV122" s="138">
        <v>0.5</v>
      </c>
      <c r="ZW122" s="138">
        <v>0.5</v>
      </c>
      <c r="ZX122" s="138">
        <v>0.5</v>
      </c>
      <c r="ZY122" s="137"/>
      <c r="ZZ122" s="137"/>
      <c r="AAA122" s="137"/>
      <c r="AAB122" s="137"/>
      <c r="AAC122" s="153"/>
      <c r="AAD122" s="304"/>
      <c r="AAE122" s="152"/>
      <c r="AAF122" s="131">
        <f>SUM(ZD122:AAE122)</f>
      </c>
      <c r="AAG122" s="134"/>
      <c r="AAH122" s="135"/>
      <c r="AAI122" s="136"/>
      <c r="AAJ122" s="138">
        <v>0.5</v>
      </c>
      <c r="AAK122" s="138">
        <v>0.5</v>
      </c>
      <c r="AAL122" s="138">
        <v>0.5</v>
      </c>
      <c r="AAM122" s="138">
        <v>0.5</v>
      </c>
      <c r="AAN122" s="138">
        <v>0.5</v>
      </c>
      <c r="AAO122" s="138">
        <v>0.5</v>
      </c>
      <c r="AAP122" s="139">
        <v>0.5</v>
      </c>
      <c r="AAQ122" s="155"/>
      <c r="AAR122" s="137"/>
      <c r="AAS122" s="138">
        <v>0.5</v>
      </c>
      <c r="AAT122" s="149">
        <v>0.5</v>
      </c>
      <c r="AAU122" s="142">
        <v>0.5</v>
      </c>
      <c r="AAV122" s="138">
        <v>0.5</v>
      </c>
      <c r="AAW122" s="138">
        <v>0.5</v>
      </c>
      <c r="AAX122" s="138">
        <v>0.5</v>
      </c>
      <c r="AAY122" s="138">
        <v>0.5</v>
      </c>
      <c r="AAZ122" s="138">
        <v>0.5</v>
      </c>
      <c r="ABA122" s="138">
        <v>0.5</v>
      </c>
      <c r="ABB122" s="137"/>
      <c r="ABC122" s="137"/>
      <c r="ABD122" s="137"/>
      <c r="ABE122" s="137"/>
      <c r="ABF122" s="153"/>
      <c r="ABG122" s="304"/>
      <c r="ABH122" s="152"/>
      <c r="ABI122" s="131">
        <f>SUM(AAG122:ABH122)</f>
      </c>
      <c r="ABJ122" s="134"/>
      <c r="ABK122" s="135"/>
      <c r="ABL122" s="136"/>
      <c r="ABM122" s="138">
        <v>0.5</v>
      </c>
      <c r="ABN122" s="138">
        <v>0.5</v>
      </c>
      <c r="ABO122" s="138">
        <v>0.5</v>
      </c>
      <c r="ABP122" s="138">
        <v>0.5</v>
      </c>
      <c r="ABQ122" s="138">
        <v>0.5</v>
      </c>
      <c r="ABR122" s="138">
        <v>0.5</v>
      </c>
      <c r="ABS122" s="139">
        <v>0.5</v>
      </c>
      <c r="ABT122" s="155"/>
      <c r="ABU122" s="137"/>
      <c r="ABV122" s="138">
        <v>0.5</v>
      </c>
      <c r="ABW122" s="149">
        <v>0.5</v>
      </c>
      <c r="ABX122" s="142">
        <v>0.5</v>
      </c>
      <c r="ABY122" s="138">
        <v>0.5</v>
      </c>
      <c r="ABZ122" s="138">
        <v>0.5</v>
      </c>
      <c r="ACA122" s="138">
        <v>0.5</v>
      </c>
      <c r="ACB122" s="138">
        <v>0.5</v>
      </c>
      <c r="ACC122" s="138">
        <v>0.5</v>
      </c>
      <c r="ACD122" s="138">
        <v>0.5</v>
      </c>
      <c r="ACE122" s="137"/>
      <c r="ACF122" s="137"/>
      <c r="ACG122" s="137"/>
      <c r="ACH122" s="137"/>
      <c r="ACI122" s="153"/>
      <c r="ACJ122" s="304"/>
      <c r="ACK122" s="152"/>
      <c r="ACL122" s="131">
        <f>SUM(ABJ122:ACK122)</f>
      </c>
      <c r="ACM122" s="121"/>
      <c r="ACN122" s="122"/>
      <c r="ACO122" s="123"/>
      <c r="ACP122" s="124"/>
      <c r="ACQ122" s="124"/>
      <c r="ACR122" s="124"/>
      <c r="ACS122" s="124"/>
      <c r="ACT122" s="124"/>
      <c r="ACU122" s="124"/>
      <c r="ACV122" s="125"/>
      <c r="ACW122" s="126"/>
      <c r="ACX122" s="124"/>
      <c r="ACY122" s="124"/>
      <c r="ACZ122" s="127"/>
      <c r="ADA122" s="123"/>
      <c r="ADB122" s="124"/>
      <c r="ADC122" s="124"/>
      <c r="ADD122" s="124"/>
      <c r="ADE122" s="124"/>
      <c r="ADF122" s="124"/>
      <c r="ADG122" s="124"/>
      <c r="ADH122" s="124"/>
      <c r="ADI122" s="124"/>
      <c r="ADJ122" s="124"/>
      <c r="ADK122" s="124"/>
      <c r="ADL122" s="125"/>
      <c r="ADM122" s="301"/>
      <c r="ADN122" s="151"/>
      <c r="ADO122" s="131">
        <f>SUM(ACM122:ADN122)</f>
      </c>
      <c r="ADP122" s="121"/>
      <c r="ADQ122" s="122"/>
      <c r="ADR122" s="123"/>
      <c r="ADS122" s="124"/>
      <c r="ADT122" s="124"/>
      <c r="ADU122" s="124"/>
      <c r="ADV122" s="124"/>
      <c r="ADW122" s="124"/>
      <c r="ADX122" s="124"/>
      <c r="ADY122" s="125"/>
      <c r="ADZ122" s="126"/>
      <c r="AEA122" s="124"/>
      <c r="AEB122" s="124"/>
      <c r="AEC122" s="127"/>
      <c r="AED122" s="123"/>
      <c r="AEE122" s="124"/>
      <c r="AEF122" s="124"/>
      <c r="AEG122" s="124"/>
      <c r="AEH122" s="124"/>
      <c r="AEI122" s="124"/>
      <c r="AEJ122" s="124"/>
      <c r="AEK122" s="124"/>
      <c r="AEL122" s="124"/>
      <c r="AEM122" s="124"/>
      <c r="AEN122" s="124"/>
      <c r="AEO122" s="125"/>
      <c r="AEP122" s="301"/>
      <c r="AEQ122" s="151"/>
      <c r="AER122" s="131">
        <f>SUM(ADP122:AEQ122)</f>
      </c>
      <c r="AES122" s="150">
        <f>XZ122+ZC122+AAF122+ABI122+ACL122+ADO122+AER122</f>
      </c>
      <c r="AET122" s="302">
        <f>(COUNTIF(WX122:AER122,"H")+COUNTIF(WX122:AER122,"S")+COUNTIF(WX122:AER122,"L")+COUNTIF(WX122:AER122,"E")+COUNTIF(WX122:AER122,"C"))/2</f>
      </c>
      <c r="AEU122" s="131">
        <f>AES122+AET122</f>
      </c>
      <c r="AEV122" s="134"/>
      <c r="AEW122" s="135"/>
      <c r="AEX122" s="136"/>
      <c r="AEY122" s="138">
        <v>0.5</v>
      </c>
      <c r="AEZ122" s="138">
        <v>0.5</v>
      </c>
      <c r="AFA122" s="138">
        <v>0.5</v>
      </c>
      <c r="AFB122" s="138">
        <v>0.5</v>
      </c>
      <c r="AFC122" s="138">
        <v>0.5</v>
      </c>
      <c r="AFD122" s="138">
        <v>0.5</v>
      </c>
      <c r="AFE122" s="139">
        <v>0.5</v>
      </c>
      <c r="AFF122" s="155"/>
      <c r="AFG122" s="137"/>
      <c r="AFH122" s="138">
        <v>0.5</v>
      </c>
      <c r="AFI122" s="149">
        <v>0.5</v>
      </c>
      <c r="AFJ122" s="142">
        <v>0.5</v>
      </c>
      <c r="AFK122" s="138">
        <v>0.5</v>
      </c>
      <c r="AFL122" s="138">
        <v>0.5</v>
      </c>
      <c r="AFM122" s="138">
        <v>0.5</v>
      </c>
      <c r="AFN122" s="138">
        <v>0.5</v>
      </c>
      <c r="AFO122" s="138">
        <v>0.5</v>
      </c>
      <c r="AFP122" s="138">
        <v>0.5</v>
      </c>
      <c r="AFQ122" s="137"/>
      <c r="AFR122" s="137"/>
      <c r="AFS122" s="137"/>
      <c r="AFT122" s="137"/>
      <c r="AFU122" s="153"/>
      <c r="AFV122" s="304"/>
      <c r="AFW122" s="152"/>
      <c r="AFX122" s="131">
        <f>SUM(AEV122:AFW122)</f>
      </c>
      <c r="AFY122" s="134"/>
      <c r="AFZ122" s="135"/>
      <c r="AGA122" s="136"/>
      <c r="AGB122" s="138">
        <v>0.5</v>
      </c>
      <c r="AGC122" s="138">
        <v>0.5</v>
      </c>
      <c r="AGD122" s="138">
        <v>0.5</v>
      </c>
      <c r="AGE122" s="138">
        <v>0.5</v>
      </c>
      <c r="AGF122" s="138">
        <v>0.5</v>
      </c>
      <c r="AGG122" s="138">
        <v>0.5</v>
      </c>
      <c r="AGH122" s="139">
        <v>0.5</v>
      </c>
      <c r="AGI122" s="155"/>
      <c r="AGJ122" s="137"/>
      <c r="AGK122" s="138">
        <v>0.5</v>
      </c>
      <c r="AGL122" s="149">
        <v>0.5</v>
      </c>
      <c r="AGM122" s="142">
        <v>0.5</v>
      </c>
      <c r="AGN122" s="138">
        <v>0.5</v>
      </c>
      <c r="AGO122" s="138">
        <v>0.5</v>
      </c>
      <c r="AGP122" s="138">
        <v>0.5</v>
      </c>
      <c r="AGQ122" s="138">
        <v>0.5</v>
      </c>
      <c r="AGR122" s="138">
        <v>0.5</v>
      </c>
      <c r="AGS122" s="138">
        <v>0.5</v>
      </c>
      <c r="AGT122" s="137"/>
      <c r="AGU122" s="137"/>
      <c r="AGV122" s="137"/>
      <c r="AGW122" s="137"/>
      <c r="AGX122" s="153"/>
      <c r="AGY122" s="304"/>
      <c r="AGZ122" s="152"/>
      <c r="AHA122" s="131">
        <f>SUM(AFY122:AGZ122)</f>
      </c>
      <c r="AHB122" s="134"/>
      <c r="AHC122" s="135"/>
      <c r="AHD122" s="136"/>
      <c r="AHE122" s="138">
        <v>0.5</v>
      </c>
      <c r="AHF122" s="138">
        <v>0.5</v>
      </c>
      <c r="AHG122" s="138">
        <v>0.5</v>
      </c>
      <c r="AHH122" s="138">
        <v>0.5</v>
      </c>
      <c r="AHI122" s="138">
        <v>0.5</v>
      </c>
      <c r="AHJ122" s="138">
        <v>0.5</v>
      </c>
      <c r="AHK122" s="139">
        <v>0.5</v>
      </c>
      <c r="AHL122" s="155"/>
      <c r="AHM122" s="137"/>
      <c r="AHN122" s="138">
        <v>0.5</v>
      </c>
      <c r="AHO122" s="149">
        <v>0.5</v>
      </c>
      <c r="AHP122" s="142">
        <v>0.5</v>
      </c>
      <c r="AHQ122" s="138">
        <v>0.5</v>
      </c>
      <c r="AHR122" s="138">
        <v>0.5</v>
      </c>
      <c r="AHS122" s="138">
        <v>0.5</v>
      </c>
      <c r="AHT122" s="138">
        <v>0.5</v>
      </c>
      <c r="AHU122" s="138">
        <v>0.5</v>
      </c>
      <c r="AHV122" s="138">
        <v>0.5</v>
      </c>
      <c r="AHW122" s="137"/>
      <c r="AHX122" s="137"/>
      <c r="AHY122" s="137"/>
      <c r="AHZ122" s="137"/>
      <c r="AIA122" s="153"/>
      <c r="AIB122" s="304"/>
      <c r="AIC122" s="152"/>
      <c r="AID122" s="131">
        <f>SUM(AHB122:AIC122)</f>
      </c>
      <c r="AIE122" s="134"/>
      <c r="AIF122" s="135"/>
      <c r="AIG122" s="136"/>
      <c r="AIH122" s="138">
        <v>0.5</v>
      </c>
      <c r="AII122" s="138">
        <v>0.5</v>
      </c>
      <c r="AIJ122" s="138">
        <v>0.5</v>
      </c>
      <c r="AIK122" s="138">
        <v>0.5</v>
      </c>
      <c r="AIL122" s="138">
        <v>0.5</v>
      </c>
      <c r="AIM122" s="138">
        <v>0.5</v>
      </c>
      <c r="AIN122" s="139">
        <v>0.5</v>
      </c>
      <c r="AIO122" s="155"/>
      <c r="AIP122" s="137"/>
      <c r="AIQ122" s="138">
        <v>0.5</v>
      </c>
      <c r="AIR122" s="149">
        <v>0.5</v>
      </c>
      <c r="AIS122" s="142">
        <v>0.5</v>
      </c>
      <c r="AIT122" s="138">
        <v>0.5</v>
      </c>
      <c r="AIU122" s="138">
        <v>0.5</v>
      </c>
      <c r="AIV122" s="138">
        <v>0.5</v>
      </c>
      <c r="AIW122" s="138">
        <v>0.5</v>
      </c>
      <c r="AIX122" s="138">
        <v>0.5</v>
      </c>
      <c r="AIY122" s="138">
        <v>0.5</v>
      </c>
      <c r="AIZ122" s="137"/>
      <c r="AJA122" s="137"/>
      <c r="AJB122" s="137"/>
      <c r="AJC122" s="137"/>
      <c r="AJD122" s="153"/>
      <c r="AJE122" s="304"/>
      <c r="AJF122" s="152"/>
      <c r="AJG122" s="131">
        <f>SUM(AIE122:AJF122)</f>
      </c>
      <c r="AJH122" s="134"/>
      <c r="AJI122" s="135"/>
      <c r="AJJ122" s="136"/>
      <c r="AJK122" s="138">
        <v>0.5</v>
      </c>
      <c r="AJL122" s="138">
        <v>0.5</v>
      </c>
      <c r="AJM122" s="138">
        <v>0.5</v>
      </c>
      <c r="AJN122" s="138">
        <v>0.5</v>
      </c>
      <c r="AJO122" s="138">
        <v>0.5</v>
      </c>
      <c r="AJP122" s="138">
        <v>0.5</v>
      </c>
      <c r="AJQ122" s="139">
        <v>0.5</v>
      </c>
      <c r="AJR122" s="155"/>
      <c r="AJS122" s="137"/>
      <c r="AJT122" s="138">
        <v>0.5</v>
      </c>
      <c r="AJU122" s="149">
        <v>0.5</v>
      </c>
      <c r="AJV122" s="142">
        <v>0.5</v>
      </c>
      <c r="AJW122" s="138">
        <v>0.5</v>
      </c>
      <c r="AJX122" s="138">
        <v>0.5</v>
      </c>
      <c r="AJY122" s="138">
        <v>0.5</v>
      </c>
      <c r="AJZ122" s="138">
        <v>0.5</v>
      </c>
      <c r="AKA122" s="138">
        <v>0.5</v>
      </c>
      <c r="AKB122" s="138">
        <v>0.5</v>
      </c>
      <c r="AKC122" s="137"/>
      <c r="AKD122" s="137"/>
      <c r="AKE122" s="137"/>
      <c r="AKF122" s="137"/>
      <c r="AKG122" s="153"/>
      <c r="AKH122" s="304"/>
      <c r="AKI122" s="152"/>
      <c r="AKJ122" s="131">
        <f>SUM(AJH122:AKI122)</f>
      </c>
      <c r="AKK122" s="121"/>
      <c r="AKL122" s="122"/>
      <c r="AKM122" s="123"/>
      <c r="AKN122" s="124"/>
      <c r="AKO122" s="124"/>
      <c r="AKP122" s="124"/>
      <c r="AKQ122" s="124"/>
      <c r="AKR122" s="124"/>
      <c r="AKS122" s="124"/>
      <c r="AKT122" s="125"/>
      <c r="AKU122" s="126"/>
      <c r="AKV122" s="124"/>
      <c r="AKW122" s="124"/>
      <c r="AKX122" s="127"/>
      <c r="AKY122" s="123"/>
      <c r="AKZ122" s="124"/>
      <c r="ALA122" s="124"/>
      <c r="ALB122" s="124"/>
      <c r="ALC122" s="124"/>
      <c r="ALD122" s="124"/>
      <c r="ALE122" s="124"/>
      <c r="ALF122" s="124"/>
      <c r="ALG122" s="124"/>
      <c r="ALH122" s="124"/>
      <c r="ALI122" s="124"/>
      <c r="ALJ122" s="125"/>
      <c r="ALK122" s="301"/>
      <c r="ALL122" s="151"/>
      <c r="ALM122" s="131">
        <f>SUM(AKK122:ALL122)</f>
      </c>
      <c r="ALN122" s="121"/>
      <c r="ALO122" s="122"/>
      <c r="ALP122" s="123"/>
      <c r="ALQ122" s="124"/>
      <c r="ALR122" s="124"/>
      <c r="ALS122" s="124"/>
      <c r="ALT122" s="124"/>
      <c r="ALU122" s="124"/>
      <c r="ALV122" s="124"/>
      <c r="ALW122" s="125"/>
      <c r="ALX122" s="126"/>
      <c r="ALY122" s="124"/>
      <c r="ALZ122" s="124"/>
      <c r="AMA122" s="127"/>
      <c r="AMB122" s="123"/>
      <c r="AMC122" s="124"/>
      <c r="AMD122" s="124"/>
      <c r="AME122" s="124"/>
      <c r="AMF122" s="124"/>
      <c r="AMG122" s="124"/>
      <c r="AMH122" s="124"/>
      <c r="AMI122" s="124"/>
      <c r="AMJ122" s="124"/>
      <c r="AMK122" s="124"/>
      <c r="AML122" s="124"/>
      <c r="AMM122" s="125"/>
      <c r="AMN122" s="301"/>
      <c r="AMO122" s="151"/>
      <c r="AMP122" s="131">
        <f>SUM(ALN122:AMO122)</f>
      </c>
      <c r="AMQ122" s="150">
        <f>AFX122+AHA122+AID122+AJG122+AKJ122+ALM122+AMP122</f>
      </c>
      <c r="AMR122" s="302">
        <f>(COUNTIF(AEV122:AMP122,"H")+COUNTIF(AEV122:AMP122,"S")+COUNTIF(AEV122:AMP122,"L")+COUNTIF(AEV122:AMP122,"E")+COUNTIF(AEV122:AMP122,"C"))/2</f>
      </c>
      <c r="AMS122" s="131">
        <f>AMQ122+AMR122</f>
      </c>
      <c r="AMT122" s="4"/>
      <c r="AMU122" s="4"/>
      <c r="AMV122" s="4"/>
      <c r="AMW122" s="4"/>
      <c r="AMX122" s="4"/>
      <c r="AMY122" s="4"/>
      <c r="AMZ122" s="4"/>
      <c r="ANA122" s="4"/>
      <c r="ANB122" s="4"/>
      <c r="ANC122" s="4"/>
      <c r="AND122" s="4"/>
      <c r="ANE122" s="4"/>
      <c r="ANF122" s="4"/>
      <c r="ANG122" s="4"/>
      <c r="ANH122" s="4"/>
      <c r="ANI122" s="4"/>
      <c r="ANJ122" s="4"/>
      <c r="ANK122" s="4"/>
      <c r="ANL122" s="4"/>
      <c r="ANM122" s="4"/>
      <c r="ANN122" s="4"/>
      <c r="ANO122" s="4"/>
      <c r="ANP122" s="4"/>
      <c r="ANQ122" s="4"/>
      <c r="ANR122" s="4"/>
      <c r="ANS122" s="4"/>
      <c r="ANT122" s="4"/>
      <c r="ANU122" s="4"/>
      <c r="ANV122" s="4"/>
      <c r="ANW122" s="4"/>
      <c r="ANX122" s="4"/>
      <c r="ANY122" s="4"/>
      <c r="ANZ122" s="4"/>
      <c r="AOA122" s="4"/>
      <c r="AOB122" s="4"/>
      <c r="AOC122" s="4"/>
      <c r="AOD122" s="4"/>
      <c r="AOE122" s="4"/>
      <c r="AOF122" s="4"/>
      <c r="AOG122" s="4"/>
      <c r="AOH122" s="4"/>
      <c r="AOI122" s="4"/>
      <c r="AOJ122" s="4"/>
      <c r="AOK122" s="4"/>
      <c r="AOL122" s="4"/>
      <c r="AOM122" s="4"/>
      <c r="AON122" s="4"/>
      <c r="AOO122" s="4"/>
      <c r="AOP122" s="4"/>
      <c r="AOQ122" s="4"/>
      <c r="AOR122" s="4"/>
      <c r="AOS122" s="4"/>
      <c r="AOT122" s="4"/>
      <c r="AOU122" s="4"/>
      <c r="AOV122" s="4"/>
      <c r="AOW122" s="4"/>
      <c r="AOX122" s="4"/>
      <c r="AOY122" s="4"/>
      <c r="AOZ122" s="4"/>
      <c r="APA122" s="4"/>
      <c r="APB122" s="4"/>
      <c r="APC122" s="4"/>
      <c r="APD122" s="4"/>
      <c r="APE122" s="4"/>
      <c r="APF122" s="4"/>
      <c r="APG122" s="4"/>
      <c r="APH122" s="4"/>
      <c r="API122" s="4"/>
      <c r="APJ122" s="4"/>
      <c r="APK122" s="4"/>
      <c r="APL122" s="4"/>
      <c r="APM122" s="4"/>
      <c r="APN122" s="4"/>
      <c r="APO122" s="4"/>
      <c r="APP122" s="4"/>
      <c r="APQ122" s="4"/>
      <c r="APR122" s="4"/>
      <c r="APS122" s="4"/>
      <c r="APT122" s="4"/>
      <c r="APU122" s="4"/>
      <c r="APV122" s="4"/>
      <c r="APW122" s="4"/>
      <c r="APX122" s="4"/>
      <c r="APY122" s="4"/>
      <c r="APZ122" s="4"/>
      <c r="AQA122" s="4"/>
      <c r="AQB122" s="4"/>
      <c r="AQC122" s="4"/>
      <c r="AQD122" s="4"/>
      <c r="AQE122" s="4"/>
      <c r="AQF122" s="4"/>
      <c r="AQG122" s="4"/>
      <c r="AQH122" s="4"/>
      <c r="AQI122" s="4"/>
      <c r="AQJ122" s="4"/>
      <c r="AQK122" s="4"/>
      <c r="AQL122" s="4"/>
      <c r="AQM122" s="4"/>
      <c r="AQN122" s="4"/>
      <c r="AQO122" s="4"/>
      <c r="AQP122" s="4"/>
      <c r="AQQ122" s="4"/>
      <c r="AQR122" s="4"/>
      <c r="AQS122" s="4"/>
      <c r="AQT122" s="4"/>
      <c r="AQU122" s="4"/>
      <c r="AQV122" s="4"/>
      <c r="AQW122" s="4"/>
      <c r="AQX122" s="4"/>
      <c r="AQY122" s="4"/>
      <c r="AQZ122" s="4"/>
      <c r="ARA122" s="4"/>
      <c r="ARB122" s="4"/>
      <c r="ARC122" s="4"/>
      <c r="ARD122" s="4"/>
      <c r="ARE122" s="4"/>
      <c r="ARF122" s="4"/>
      <c r="ARG122" s="4"/>
      <c r="ARH122" s="4"/>
      <c r="ARI122" s="4"/>
      <c r="ARJ122" s="4"/>
      <c r="ARK122" s="4"/>
      <c r="ARL122" s="4"/>
      <c r="ARM122" s="4"/>
      <c r="ARN122" s="4"/>
      <c r="ARO122" s="4"/>
      <c r="ARP122" s="4"/>
      <c r="ARQ122" s="4"/>
      <c r="ARR122" s="4"/>
      <c r="ARS122" s="4"/>
      <c r="ART122" s="4"/>
      <c r="ARU122" s="4"/>
      <c r="ARV122" s="4"/>
      <c r="ARW122" s="4"/>
      <c r="ARX122" s="4"/>
      <c r="ARY122" s="4"/>
      <c r="ARZ122" s="4"/>
      <c r="ASA122" s="4"/>
      <c r="ASB122" s="4"/>
      <c r="ASC122" s="4"/>
      <c r="ASD122" s="4"/>
      <c r="ASE122" s="4"/>
      <c r="ASF122" s="4"/>
      <c r="ASG122" s="4"/>
      <c r="ASH122" s="4"/>
      <c r="ASI122" s="4"/>
      <c r="ASJ122" s="4"/>
      <c r="ASK122" s="4"/>
      <c r="ASL122" s="4"/>
      <c r="ASM122" s="4"/>
      <c r="ASN122" s="4"/>
      <c r="ASO122" s="4"/>
      <c r="ASP122" s="4"/>
      <c r="ASQ122" s="4"/>
      <c r="ASR122" s="4"/>
      <c r="ASS122" s="4"/>
      <c r="AST122" s="4"/>
      <c r="ASU122" s="4"/>
    </row>
    <row r="123" spans="1:1191" x14ac:dyDescent="0.25">
      <c r="A123" s="118"/>
      <c r="B123" s="564" t="s">
        <v>156</v>
      </c>
      <c r="C123" s="321" t="s">
        <v>153</v>
      </c>
      <c r="D123" s="121"/>
      <c r="E123" s="122"/>
      <c r="F123" s="123"/>
      <c r="G123" s="124"/>
      <c r="H123" s="124"/>
      <c r="I123" s="124"/>
      <c r="J123" s="124"/>
      <c r="K123" s="124"/>
      <c r="L123" s="124"/>
      <c r="M123" s="125"/>
      <c r="N123" s="126"/>
      <c r="O123" s="124"/>
      <c r="P123" s="124"/>
      <c r="Q123" s="127"/>
      <c r="R123" s="123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5"/>
      <c r="AD123" s="301"/>
      <c r="AE123" s="151"/>
      <c r="AF123" s="131">
        <f>SUM(D123:AE123)</f>
      </c>
      <c r="AG123" s="121"/>
      <c r="AH123" s="122"/>
      <c r="AI123" s="123"/>
      <c r="AJ123" s="124"/>
      <c r="AK123" s="124"/>
      <c r="AL123" s="124"/>
      <c r="AM123" s="124"/>
      <c r="AN123" s="124"/>
      <c r="AO123" s="124"/>
      <c r="AP123" s="125"/>
      <c r="AQ123" s="126"/>
      <c r="AR123" s="124"/>
      <c r="AS123" s="124"/>
      <c r="AT123" s="127"/>
      <c r="AU123" s="123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5"/>
      <c r="BG123" s="301"/>
      <c r="BH123" s="151"/>
      <c r="BI123" s="131">
        <f>SUM(AG123:BH123)</f>
      </c>
      <c r="BJ123" s="121"/>
      <c r="BK123" s="122"/>
      <c r="BL123" s="123"/>
      <c r="BM123" s="124"/>
      <c r="BN123" s="124"/>
      <c r="BO123" s="124"/>
      <c r="BP123" s="124"/>
      <c r="BQ123" s="124"/>
      <c r="BR123" s="124"/>
      <c r="BS123" s="125"/>
      <c r="BT123" s="126"/>
      <c r="BU123" s="124"/>
      <c r="BV123" s="124"/>
      <c r="BW123" s="127"/>
      <c r="BX123" s="123"/>
      <c r="BY123" s="124"/>
      <c r="BZ123" s="124"/>
      <c r="CA123" s="124"/>
      <c r="CB123" s="124"/>
      <c r="CC123" s="124"/>
      <c r="CD123" s="124"/>
      <c r="CE123" s="124"/>
      <c r="CF123" s="124"/>
      <c r="CG123" s="124"/>
      <c r="CH123" s="124"/>
      <c r="CI123" s="125"/>
      <c r="CJ123" s="301"/>
      <c r="CK123" s="151"/>
      <c r="CL123" s="131">
        <f>SUM(BJ123:CK123)</f>
      </c>
      <c r="CM123" s="121"/>
      <c r="CN123" s="122"/>
      <c r="CO123" s="123"/>
      <c r="CP123" s="124"/>
      <c r="CQ123" s="124"/>
      <c r="CR123" s="124"/>
      <c r="CS123" s="124"/>
      <c r="CT123" s="124"/>
      <c r="CU123" s="124"/>
      <c r="CV123" s="125"/>
      <c r="CW123" s="126"/>
      <c r="CX123" s="124"/>
      <c r="CY123" s="124"/>
      <c r="CZ123" s="127"/>
      <c r="DA123" s="123"/>
      <c r="DB123" s="124"/>
      <c r="DC123" s="124"/>
      <c r="DD123" s="124"/>
      <c r="DE123" s="124"/>
      <c r="DF123" s="124"/>
      <c r="DG123" s="124"/>
      <c r="DH123" s="124"/>
      <c r="DI123" s="124"/>
      <c r="DJ123" s="124"/>
      <c r="DK123" s="124"/>
      <c r="DL123" s="125"/>
      <c r="DM123" s="301"/>
      <c r="DN123" s="151"/>
      <c r="DO123" s="131">
        <f>SUM(CM123:DN123)</f>
      </c>
      <c r="DP123" s="121"/>
      <c r="DQ123" s="122"/>
      <c r="DR123" s="123"/>
      <c r="DS123" s="124"/>
      <c r="DT123" s="124"/>
      <c r="DU123" s="124"/>
      <c r="DV123" s="124"/>
      <c r="DW123" s="124"/>
      <c r="DX123" s="124"/>
      <c r="DY123" s="125"/>
      <c r="DZ123" s="126"/>
      <c r="EA123" s="124"/>
      <c r="EB123" s="124"/>
      <c r="EC123" s="127"/>
      <c r="ED123" s="123"/>
      <c r="EE123" s="124"/>
      <c r="EF123" s="124"/>
      <c r="EG123" s="124"/>
      <c r="EH123" s="124"/>
      <c r="EI123" s="124"/>
      <c r="EJ123" s="124"/>
      <c r="EK123" s="124"/>
      <c r="EL123" s="124"/>
      <c r="EM123" s="124"/>
      <c r="EN123" s="124"/>
      <c r="EO123" s="125"/>
      <c r="EP123" s="301"/>
      <c r="EQ123" s="151"/>
      <c r="ER123" s="131">
        <f>SUM(DP123:EQ123)</f>
      </c>
      <c r="ES123" s="121"/>
      <c r="ET123" s="122"/>
      <c r="EU123" s="123"/>
      <c r="EV123" s="124"/>
      <c r="EW123" s="124"/>
      <c r="EX123" s="124"/>
      <c r="EY123" s="124"/>
      <c r="EZ123" s="124"/>
      <c r="FA123" s="124"/>
      <c r="FB123" s="125"/>
      <c r="FC123" s="126"/>
      <c r="FD123" s="124"/>
      <c r="FE123" s="124"/>
      <c r="FF123" s="127"/>
      <c r="FG123" s="123"/>
      <c r="FH123" s="124"/>
      <c r="FI123" s="124"/>
      <c r="FJ123" s="124"/>
      <c r="FK123" s="124"/>
      <c r="FL123" s="124"/>
      <c r="FM123" s="124"/>
      <c r="FN123" s="124"/>
      <c r="FO123" s="124"/>
      <c r="FP123" s="124"/>
      <c r="FQ123" s="124"/>
      <c r="FR123" s="125"/>
      <c r="FS123" s="301"/>
      <c r="FT123" s="151"/>
      <c r="FU123" s="131">
        <f>SUM(ES123:FT123)</f>
      </c>
      <c r="FV123" s="121"/>
      <c r="FW123" s="122"/>
      <c r="FX123" s="123"/>
      <c r="FY123" s="124"/>
      <c r="FZ123" s="124"/>
      <c r="GA123" s="124"/>
      <c r="GB123" s="124"/>
      <c r="GC123" s="124"/>
      <c r="GD123" s="124"/>
      <c r="GE123" s="125"/>
      <c r="GF123" s="126"/>
      <c r="GG123" s="124"/>
      <c r="GH123" s="124"/>
      <c r="GI123" s="127"/>
      <c r="GJ123" s="123"/>
      <c r="GK123" s="124"/>
      <c r="GL123" s="124"/>
      <c r="GM123" s="124"/>
      <c r="GN123" s="124"/>
      <c r="GO123" s="124"/>
      <c r="GP123" s="124"/>
      <c r="GQ123" s="124"/>
      <c r="GR123" s="124"/>
      <c r="GS123" s="124"/>
      <c r="GT123" s="124"/>
      <c r="GU123" s="125"/>
      <c r="GV123" s="301"/>
      <c r="GW123" s="151"/>
      <c r="GX123" s="131">
        <f>SUM(FV123:GW123)</f>
      </c>
      <c r="GY123" s="150">
        <f>AF123+BI123+CL123+DO123+ER123+FU123+GX123</f>
      </c>
      <c r="GZ123" s="302">
        <f>(COUNTIF(D123:GX123,"H")+COUNTIF(D123:GX123,"S")+COUNTIF(D123:GX123,"L")+COUNTIF(D123:GX123,"E")+COUNTIF(D123:GX123,"C"))/2</f>
      </c>
      <c r="HA123" s="131">
        <f>GY123+GZ123</f>
      </c>
      <c r="HB123" s="134"/>
      <c r="HC123" s="135"/>
      <c r="HD123" s="142">
        <v>0.5</v>
      </c>
      <c r="HE123" s="138">
        <v>0.5</v>
      </c>
      <c r="HF123" s="138">
        <v>0.5</v>
      </c>
      <c r="HG123" s="138">
        <v>0.5</v>
      </c>
      <c r="HH123" s="138">
        <v>0.5</v>
      </c>
      <c r="HI123" s="138">
        <v>0.5</v>
      </c>
      <c r="HJ123" s="138">
        <v>0.5</v>
      </c>
      <c r="HK123" s="139">
        <v>0.5</v>
      </c>
      <c r="HL123" s="147"/>
      <c r="HM123" s="148"/>
      <c r="HN123" s="138">
        <v>0.5</v>
      </c>
      <c r="HO123" s="149">
        <v>0.5</v>
      </c>
      <c r="HP123" s="142">
        <v>0.5</v>
      </c>
      <c r="HQ123" s="138">
        <v>0.5</v>
      </c>
      <c r="HR123" s="138">
        <v>0.5</v>
      </c>
      <c r="HS123" s="138">
        <v>0.5</v>
      </c>
      <c r="HT123" s="138">
        <v>0.5</v>
      </c>
      <c r="HU123" s="138">
        <v>0.5</v>
      </c>
      <c r="HV123" s="137"/>
      <c r="HW123" s="137"/>
      <c r="HX123" s="137"/>
      <c r="HY123" s="137"/>
      <c r="HZ123" s="137"/>
      <c r="IA123" s="153"/>
      <c r="IB123" s="304"/>
      <c r="IC123" s="152"/>
      <c r="ID123" s="131">
        <f>SUM(HB123:IC123)</f>
      </c>
      <c r="IE123" s="134"/>
      <c r="IF123" s="135"/>
      <c r="IG123" s="142">
        <v>0.5</v>
      </c>
      <c r="IH123" s="138">
        <v>0.5</v>
      </c>
      <c r="II123" s="138">
        <v>0.5</v>
      </c>
      <c r="IJ123" s="138">
        <v>0.5</v>
      </c>
      <c r="IK123" s="138">
        <v>0.5</v>
      </c>
      <c r="IL123" s="138">
        <v>0.5</v>
      </c>
      <c r="IM123" s="138">
        <v>0.5</v>
      </c>
      <c r="IN123" s="139">
        <v>0.5</v>
      </c>
      <c r="IO123" s="147"/>
      <c r="IP123" s="148"/>
      <c r="IQ123" s="138">
        <v>0.5</v>
      </c>
      <c r="IR123" s="149">
        <v>0.5</v>
      </c>
      <c r="IS123" s="142">
        <v>0.5</v>
      </c>
      <c r="IT123" s="138">
        <v>0.5</v>
      </c>
      <c r="IU123" s="138">
        <v>0.5</v>
      </c>
      <c r="IV123" s="138">
        <v>0.5</v>
      </c>
      <c r="IW123" s="138">
        <v>0.5</v>
      </c>
      <c r="IX123" s="138">
        <v>0.5</v>
      </c>
      <c r="IY123" s="137"/>
      <c r="IZ123" s="137"/>
      <c r="JA123" s="137"/>
      <c r="JB123" s="137"/>
      <c r="JC123" s="137"/>
      <c r="JD123" s="153"/>
      <c r="JE123" s="304"/>
      <c r="JF123" s="152"/>
      <c r="JG123" s="131">
        <f>SUM(IE123:JF123)</f>
      </c>
      <c r="JH123" s="134"/>
      <c r="JI123" s="135"/>
      <c r="JJ123" s="219">
        <v>0.5</v>
      </c>
      <c r="JK123" s="216">
        <v>0.5</v>
      </c>
      <c r="JL123" s="216">
        <v>0.5</v>
      </c>
      <c r="JM123" s="216">
        <v>0.5</v>
      </c>
      <c r="JN123" s="216">
        <v>0.5</v>
      </c>
      <c r="JO123" s="216">
        <v>0.5</v>
      </c>
      <c r="JP123" s="216">
        <v>0.5</v>
      </c>
      <c r="JQ123" s="217">
        <v>0.5</v>
      </c>
      <c r="JR123" s="147"/>
      <c r="JS123" s="148"/>
      <c r="JT123" s="216">
        <v>0.5</v>
      </c>
      <c r="JU123" s="226">
        <v>0.5</v>
      </c>
      <c r="JV123" s="219">
        <v>0.5</v>
      </c>
      <c r="JW123" s="216">
        <v>0.5</v>
      </c>
      <c r="JX123" s="216">
        <v>0.5</v>
      </c>
      <c r="JY123" s="216">
        <v>0.5</v>
      </c>
      <c r="JZ123" s="216">
        <v>0.5</v>
      </c>
      <c r="KA123" s="216">
        <v>0.5</v>
      </c>
      <c r="KB123" s="137"/>
      <c r="KC123" s="137"/>
      <c r="KD123" s="137"/>
      <c r="KE123" s="137"/>
      <c r="KF123" s="137"/>
      <c r="KG123" s="153"/>
      <c r="KH123" s="304"/>
      <c r="KI123" s="152"/>
      <c r="KJ123" s="131">
        <f>SUM(JH123:KI123)</f>
      </c>
      <c r="KK123" s="134"/>
      <c r="KL123" s="135"/>
      <c r="KM123" s="142">
        <v>0.5</v>
      </c>
      <c r="KN123" s="138">
        <v>0.5</v>
      </c>
      <c r="KO123" s="138">
        <v>0.5</v>
      </c>
      <c r="KP123" s="138">
        <v>0.5</v>
      </c>
      <c r="KQ123" s="138">
        <v>0.5</v>
      </c>
      <c r="KR123" s="138">
        <v>0.5</v>
      </c>
      <c r="KS123" s="138">
        <v>0.5</v>
      </c>
      <c r="KT123" s="139">
        <v>0.5</v>
      </c>
      <c r="KU123" s="155"/>
      <c r="KV123" s="137"/>
      <c r="KW123" s="138">
        <v>0.5</v>
      </c>
      <c r="KX123" s="149">
        <v>0.5</v>
      </c>
      <c r="KY123" s="142">
        <v>0.5</v>
      </c>
      <c r="KZ123" s="138">
        <v>0.5</v>
      </c>
      <c r="LA123" s="138">
        <v>0.5</v>
      </c>
      <c r="LB123" s="138">
        <v>0.5</v>
      </c>
      <c r="LC123" s="138">
        <v>0.5</v>
      </c>
      <c r="LD123" s="138">
        <v>0.5</v>
      </c>
      <c r="LE123" s="137"/>
      <c r="LF123" s="137"/>
      <c r="LG123" s="137"/>
      <c r="LH123" s="137"/>
      <c r="LI123" s="137"/>
      <c r="LJ123" s="153"/>
      <c r="LK123" s="304"/>
      <c r="LL123" s="152"/>
      <c r="LM123" s="131">
        <f>SUM(KK123:LL123)</f>
      </c>
      <c r="LN123" s="134"/>
      <c r="LO123" s="135"/>
      <c r="LP123" s="219">
        <v>0.5</v>
      </c>
      <c r="LQ123" s="216">
        <v>0.5</v>
      </c>
      <c r="LR123" s="216">
        <v>0.5</v>
      </c>
      <c r="LS123" s="216">
        <v>0.5</v>
      </c>
      <c r="LT123" s="216">
        <v>0.5</v>
      </c>
      <c r="LU123" s="216">
        <v>0.5</v>
      </c>
      <c r="LV123" s="216">
        <v>0.5</v>
      </c>
      <c r="LW123" s="217">
        <v>0.5</v>
      </c>
      <c r="LX123" s="147"/>
      <c r="LY123" s="148"/>
      <c r="LZ123" s="216">
        <v>0.5</v>
      </c>
      <c r="MA123" s="226">
        <v>0.5</v>
      </c>
      <c r="MB123" s="219">
        <v>0.5</v>
      </c>
      <c r="MC123" s="216">
        <v>0.5</v>
      </c>
      <c r="MD123" s="216">
        <v>0.5</v>
      </c>
      <c r="ME123" s="216">
        <v>0.5</v>
      </c>
      <c r="MF123" s="216">
        <v>0.5</v>
      </c>
      <c r="MG123" s="216">
        <v>0.5</v>
      </c>
      <c r="MH123" s="137"/>
      <c r="MI123" s="137"/>
      <c r="MJ123" s="137"/>
      <c r="MK123" s="137"/>
      <c r="ML123" s="137"/>
      <c r="MM123" s="153"/>
      <c r="MN123" s="304"/>
      <c r="MO123" s="152"/>
      <c r="MP123" s="131">
        <f>SUM(LN123:MO123)</f>
      </c>
      <c r="MQ123" s="121"/>
      <c r="MR123" s="122"/>
      <c r="MS123" s="123"/>
      <c r="MT123" s="124"/>
      <c r="MU123" s="124"/>
      <c r="MV123" s="124"/>
      <c r="MW123" s="124"/>
      <c r="MX123" s="124"/>
      <c r="MY123" s="124"/>
      <c r="MZ123" s="125"/>
      <c r="NA123" s="126"/>
      <c r="NB123" s="124"/>
      <c r="NC123" s="124"/>
      <c r="ND123" s="127"/>
      <c r="NE123" s="123"/>
      <c r="NF123" s="124"/>
      <c r="NG123" s="124"/>
      <c r="NH123" s="124"/>
      <c r="NI123" s="124"/>
      <c r="NJ123" s="124"/>
      <c r="NK123" s="124"/>
      <c r="NL123" s="124"/>
      <c r="NM123" s="124"/>
      <c r="NN123" s="124"/>
      <c r="NO123" s="124"/>
      <c r="NP123" s="125"/>
      <c r="NQ123" s="301"/>
      <c r="NR123" s="151"/>
      <c r="NS123" s="131">
        <f>SUM(MQ123:NR123)</f>
      </c>
      <c r="NT123" s="121"/>
      <c r="NU123" s="122"/>
      <c r="NV123" s="123"/>
      <c r="NW123" s="124"/>
      <c r="NX123" s="124"/>
      <c r="NY123" s="124"/>
      <c r="NZ123" s="124"/>
      <c r="OA123" s="124"/>
      <c r="OB123" s="124"/>
      <c r="OC123" s="125"/>
      <c r="OD123" s="126"/>
      <c r="OE123" s="124"/>
      <c r="OF123" s="124"/>
      <c r="OG123" s="127"/>
      <c r="OH123" s="123"/>
      <c r="OI123" s="124"/>
      <c r="OJ123" s="124"/>
      <c r="OK123" s="124"/>
      <c r="OL123" s="124"/>
      <c r="OM123" s="124"/>
      <c r="ON123" s="124"/>
      <c r="OO123" s="124"/>
      <c r="OP123" s="124"/>
      <c r="OQ123" s="124"/>
      <c r="OR123" s="124"/>
      <c r="OS123" s="125"/>
      <c r="OT123" s="301"/>
      <c r="OU123" s="151"/>
      <c r="OV123" s="131">
        <f>SUM(NT123:OU123)</f>
      </c>
      <c r="OW123" s="150">
        <f>ID123+JG123+KJ123+LM123+MP123+NS123+OV123</f>
      </c>
      <c r="OX123" s="302">
        <f>(COUNTIF(HB123:OV123,"H")+COUNTIF(HB123:OV123,"S")+COUNTIF(HB123:OV123,"L")+COUNTIF(HB123:OV123,"E")+COUNTIF(HB123:OV123,"C"))/2</f>
      </c>
      <c r="OY123" s="131">
        <f>OW123+OX123</f>
      </c>
      <c r="OZ123" s="134"/>
      <c r="PA123" s="135"/>
      <c r="PB123" s="142">
        <v>0.5</v>
      </c>
      <c r="PC123" s="138">
        <v>0.5</v>
      </c>
      <c r="PD123" s="138">
        <v>0.5</v>
      </c>
      <c r="PE123" s="138">
        <v>0.5</v>
      </c>
      <c r="PF123" s="138">
        <v>0.5</v>
      </c>
      <c r="PG123" s="138">
        <v>0.5</v>
      </c>
      <c r="PH123" s="138">
        <v>0.5</v>
      </c>
      <c r="PI123" s="139">
        <v>0.5</v>
      </c>
      <c r="PJ123" s="147"/>
      <c r="PK123" s="148"/>
      <c r="PL123" s="138">
        <v>0.5</v>
      </c>
      <c r="PM123" s="149">
        <v>0.5</v>
      </c>
      <c r="PN123" s="142">
        <v>0.5</v>
      </c>
      <c r="PO123" s="138">
        <v>0.5</v>
      </c>
      <c r="PP123" s="138">
        <v>0.5</v>
      </c>
      <c r="PQ123" s="138">
        <v>0.5</v>
      </c>
      <c r="PR123" s="138">
        <v>0.5</v>
      </c>
      <c r="PS123" s="138">
        <v>0.5</v>
      </c>
      <c r="PT123" s="137"/>
      <c r="PU123" s="137"/>
      <c r="PV123" s="137"/>
      <c r="PW123" s="137"/>
      <c r="PX123" s="137"/>
      <c r="PY123" s="153"/>
      <c r="PZ123" s="304"/>
      <c r="QA123" s="152"/>
      <c r="QB123" s="131">
        <f>SUM(OZ123:QA123)</f>
      </c>
      <c r="QC123" s="134"/>
      <c r="QD123" s="135"/>
      <c r="QE123" s="142">
        <v>0.5</v>
      </c>
      <c r="QF123" s="138">
        <v>0.5</v>
      </c>
      <c r="QG123" s="138">
        <v>0.5</v>
      </c>
      <c r="QH123" s="138">
        <v>0.5</v>
      </c>
      <c r="QI123" s="138">
        <v>0.5</v>
      </c>
      <c r="QJ123" s="138">
        <v>0.5</v>
      </c>
      <c r="QK123" s="138">
        <v>0.5</v>
      </c>
      <c r="QL123" s="139">
        <v>0.5</v>
      </c>
      <c r="QM123" s="147"/>
      <c r="QN123" s="148"/>
      <c r="QO123" s="138">
        <v>0.5</v>
      </c>
      <c r="QP123" s="149">
        <v>0.5</v>
      </c>
      <c r="QQ123" s="142">
        <v>0.5</v>
      </c>
      <c r="QR123" s="138">
        <v>0.5</v>
      </c>
      <c r="QS123" s="138">
        <v>0.5</v>
      </c>
      <c r="QT123" s="138">
        <v>0.5</v>
      </c>
      <c r="QU123" s="138">
        <v>0.5</v>
      </c>
      <c r="QV123" s="138">
        <v>0.5</v>
      </c>
      <c r="QW123" s="137"/>
      <c r="QX123" s="137"/>
      <c r="QY123" s="137"/>
      <c r="QZ123" s="137"/>
      <c r="RA123" s="137"/>
      <c r="RB123" s="153"/>
      <c r="RC123" s="304"/>
      <c r="RD123" s="152"/>
      <c r="RE123" s="131">
        <f>SUM(QC123:RD123)</f>
      </c>
      <c r="RF123" s="134"/>
      <c r="RG123" s="135"/>
      <c r="RH123" s="219">
        <v>0.5</v>
      </c>
      <c r="RI123" s="216">
        <v>0.5</v>
      </c>
      <c r="RJ123" s="216">
        <v>0.5</v>
      </c>
      <c r="RK123" s="216">
        <v>0.5</v>
      </c>
      <c r="RL123" s="216">
        <v>0.5</v>
      </c>
      <c r="RM123" s="216">
        <v>0.5</v>
      </c>
      <c r="RN123" s="216">
        <v>0.5</v>
      </c>
      <c r="RO123" s="217">
        <v>0.5</v>
      </c>
      <c r="RP123" s="147"/>
      <c r="RQ123" s="148"/>
      <c r="RR123" s="216">
        <v>0.5</v>
      </c>
      <c r="RS123" s="226">
        <v>0.5</v>
      </c>
      <c r="RT123" s="219">
        <v>0.5</v>
      </c>
      <c r="RU123" s="216">
        <v>0.5</v>
      </c>
      <c r="RV123" s="216">
        <v>0.5</v>
      </c>
      <c r="RW123" s="216">
        <v>0.5</v>
      </c>
      <c r="RX123" s="216">
        <v>0.5</v>
      </c>
      <c r="RY123" s="216">
        <v>0.5</v>
      </c>
      <c r="RZ123" s="137"/>
      <c r="SA123" s="137"/>
      <c r="SB123" s="137"/>
      <c r="SC123" s="137"/>
      <c r="SD123" s="137"/>
      <c r="SE123" s="153"/>
      <c r="SF123" s="304"/>
      <c r="SG123" s="152"/>
      <c r="SH123" s="131">
        <f>SUM(RF123:SG123)</f>
      </c>
      <c r="SI123" s="134"/>
      <c r="SJ123" s="135"/>
      <c r="SK123" s="142">
        <v>0.5</v>
      </c>
      <c r="SL123" s="138">
        <v>0.5</v>
      </c>
      <c r="SM123" s="138">
        <v>0.5</v>
      </c>
      <c r="SN123" s="138">
        <v>0.5</v>
      </c>
      <c r="SO123" s="138">
        <v>0.5</v>
      </c>
      <c r="SP123" s="138">
        <v>0.5</v>
      </c>
      <c r="SQ123" s="138">
        <v>0.5</v>
      </c>
      <c r="SR123" s="139">
        <v>0.5</v>
      </c>
      <c r="SS123" s="155"/>
      <c r="ST123" s="137"/>
      <c r="SU123" s="138">
        <v>0.5</v>
      </c>
      <c r="SV123" s="149">
        <v>0.5</v>
      </c>
      <c r="SW123" s="142">
        <v>0.5</v>
      </c>
      <c r="SX123" s="138">
        <v>0.5</v>
      </c>
      <c r="SY123" s="138">
        <v>0.5</v>
      </c>
      <c r="SZ123" s="138">
        <v>0.5</v>
      </c>
      <c r="TA123" s="138">
        <v>0.5</v>
      </c>
      <c r="TB123" s="138">
        <v>0.5</v>
      </c>
      <c r="TC123" s="137"/>
      <c r="TD123" s="137"/>
      <c r="TE123" s="137"/>
      <c r="TF123" s="137"/>
      <c r="TG123" s="137"/>
      <c r="TH123" s="153"/>
      <c r="TI123" s="304"/>
      <c r="TJ123" s="152"/>
      <c r="TK123" s="131">
        <f>SUM(SI123:TJ123)</f>
      </c>
      <c r="TL123" s="134"/>
      <c r="TM123" s="135"/>
      <c r="TN123" s="219">
        <v>0.5</v>
      </c>
      <c r="TO123" s="216">
        <v>0.5</v>
      </c>
      <c r="TP123" s="216">
        <v>0.5</v>
      </c>
      <c r="TQ123" s="216">
        <v>0.5</v>
      </c>
      <c r="TR123" s="216">
        <v>0.5</v>
      </c>
      <c r="TS123" s="216">
        <v>0.5</v>
      </c>
      <c r="TT123" s="216">
        <v>0.5</v>
      </c>
      <c r="TU123" s="217">
        <v>0.5</v>
      </c>
      <c r="TV123" s="147"/>
      <c r="TW123" s="148"/>
      <c r="TX123" s="216">
        <v>0.5</v>
      </c>
      <c r="TY123" s="226">
        <v>0.5</v>
      </c>
      <c r="TZ123" s="219">
        <v>0.5</v>
      </c>
      <c r="UA123" s="216">
        <v>0.5</v>
      </c>
      <c r="UB123" s="216">
        <v>0.5</v>
      </c>
      <c r="UC123" s="216">
        <v>0.5</v>
      </c>
      <c r="UD123" s="216">
        <v>0.5</v>
      </c>
      <c r="UE123" s="216">
        <v>0.5</v>
      </c>
      <c r="UF123" s="137"/>
      <c r="UG123" s="137"/>
      <c r="UH123" s="137"/>
      <c r="UI123" s="137"/>
      <c r="UJ123" s="137"/>
      <c r="UK123" s="153"/>
      <c r="UL123" s="304"/>
      <c r="UM123" s="152"/>
      <c r="UN123" s="131">
        <f>SUM(TL123:UM123)</f>
      </c>
      <c r="UO123" s="121"/>
      <c r="UP123" s="122"/>
      <c r="UQ123" s="123"/>
      <c r="UR123" s="124"/>
      <c r="US123" s="124"/>
      <c r="UT123" s="124"/>
      <c r="UU123" s="124"/>
      <c r="UV123" s="124"/>
      <c r="UW123" s="124"/>
      <c r="UX123" s="125"/>
      <c r="UY123" s="126"/>
      <c r="UZ123" s="124"/>
      <c r="VA123" s="124"/>
      <c r="VB123" s="127"/>
      <c r="VC123" s="123"/>
      <c r="VD123" s="124"/>
      <c r="VE123" s="124"/>
      <c r="VF123" s="124"/>
      <c r="VG123" s="124"/>
      <c r="VH123" s="124"/>
      <c r="VI123" s="124"/>
      <c r="VJ123" s="124"/>
      <c r="VK123" s="124"/>
      <c r="VL123" s="124"/>
      <c r="VM123" s="124"/>
      <c r="VN123" s="125"/>
      <c r="VO123" s="301"/>
      <c r="VP123" s="151"/>
      <c r="VQ123" s="131">
        <f>SUM(UO123:VP123)</f>
      </c>
      <c r="VR123" s="121"/>
      <c r="VS123" s="122"/>
      <c r="VT123" s="123"/>
      <c r="VU123" s="124"/>
      <c r="VV123" s="124"/>
      <c r="VW123" s="124"/>
      <c r="VX123" s="124"/>
      <c r="VY123" s="124"/>
      <c r="VZ123" s="124"/>
      <c r="WA123" s="125"/>
      <c r="WB123" s="126"/>
      <c r="WC123" s="124"/>
      <c r="WD123" s="124"/>
      <c r="WE123" s="127"/>
      <c r="WF123" s="123"/>
      <c r="WG123" s="124"/>
      <c r="WH123" s="124"/>
      <c r="WI123" s="124"/>
      <c r="WJ123" s="124"/>
      <c r="WK123" s="124"/>
      <c r="WL123" s="124"/>
      <c r="WM123" s="124"/>
      <c r="WN123" s="124"/>
      <c r="WO123" s="124"/>
      <c r="WP123" s="124"/>
      <c r="WQ123" s="125"/>
      <c r="WR123" s="301"/>
      <c r="WS123" s="151"/>
      <c r="WT123" s="131">
        <f>SUM(VR123:WS123)</f>
      </c>
      <c r="WU123" s="150">
        <f>QB123+RE123+SH123+TK123+UN123+VQ123+WT123</f>
      </c>
      <c r="WV123" s="302">
        <f>(COUNTIF(OZ123:WT123,"H")+COUNTIF(OZ123:WT123,"S")+COUNTIF(OZ123:WT123,"L")+COUNTIF(OZ123:WT123,"E")+COUNTIF(OZ123:WT123,"C"))/2</f>
      </c>
      <c r="WW123" s="131">
        <f>WU123+WV123</f>
      </c>
      <c r="WX123" s="134"/>
      <c r="WY123" s="135"/>
      <c r="WZ123" s="142">
        <v>0.5</v>
      </c>
      <c r="XA123" s="138">
        <v>0.5</v>
      </c>
      <c r="XB123" s="138">
        <v>0.5</v>
      </c>
      <c r="XC123" s="138">
        <v>0.5</v>
      </c>
      <c r="XD123" s="138">
        <v>0.5</v>
      </c>
      <c r="XE123" s="138">
        <v>0.5</v>
      </c>
      <c r="XF123" s="138">
        <v>0.5</v>
      </c>
      <c r="XG123" s="139">
        <v>0.5</v>
      </c>
      <c r="XH123" s="147"/>
      <c r="XI123" s="148"/>
      <c r="XJ123" s="138">
        <v>0.5</v>
      </c>
      <c r="XK123" s="149">
        <v>0.5</v>
      </c>
      <c r="XL123" s="142">
        <v>0.5</v>
      </c>
      <c r="XM123" s="138">
        <v>0.5</v>
      </c>
      <c r="XN123" s="138">
        <v>0.5</v>
      </c>
      <c r="XO123" s="138">
        <v>0.5</v>
      </c>
      <c r="XP123" s="138">
        <v>0.5</v>
      </c>
      <c r="XQ123" s="138">
        <v>0.5</v>
      </c>
      <c r="XR123" s="137"/>
      <c r="XS123" s="137"/>
      <c r="XT123" s="137"/>
      <c r="XU123" s="137"/>
      <c r="XV123" s="137"/>
      <c r="XW123" s="153"/>
      <c r="XX123" s="304"/>
      <c r="XY123" s="152"/>
      <c r="XZ123" s="131">
        <f>SUM(WX123:XY123)</f>
      </c>
      <c r="YA123" s="134"/>
      <c r="YB123" s="135"/>
      <c r="YC123" s="142">
        <v>0.5</v>
      </c>
      <c r="YD123" s="138">
        <v>0.5</v>
      </c>
      <c r="YE123" s="138">
        <v>0.5</v>
      </c>
      <c r="YF123" s="138">
        <v>0.5</v>
      </c>
      <c r="YG123" s="138">
        <v>0.5</v>
      </c>
      <c r="YH123" s="138">
        <v>0.5</v>
      </c>
      <c r="YI123" s="138">
        <v>0.5</v>
      </c>
      <c r="YJ123" s="139">
        <v>0.5</v>
      </c>
      <c r="YK123" s="147"/>
      <c r="YL123" s="148"/>
      <c r="YM123" s="138">
        <v>0.5</v>
      </c>
      <c r="YN123" s="149">
        <v>0.5</v>
      </c>
      <c r="YO123" s="142">
        <v>0.5</v>
      </c>
      <c r="YP123" s="138">
        <v>0.5</v>
      </c>
      <c r="YQ123" s="138">
        <v>0.5</v>
      </c>
      <c r="YR123" s="138">
        <v>0.5</v>
      </c>
      <c r="YS123" s="138">
        <v>0.5</v>
      </c>
      <c r="YT123" s="138">
        <v>0.5</v>
      </c>
      <c r="YU123" s="137"/>
      <c r="YV123" s="137"/>
      <c r="YW123" s="137"/>
      <c r="YX123" s="137"/>
      <c r="YY123" s="137"/>
      <c r="YZ123" s="153"/>
      <c r="ZA123" s="304"/>
      <c r="ZB123" s="152"/>
      <c r="ZC123" s="131">
        <f>SUM(YA123:ZB123)</f>
      </c>
      <c r="ZD123" s="134"/>
      <c r="ZE123" s="135"/>
      <c r="ZF123" s="219">
        <v>0.5</v>
      </c>
      <c r="ZG123" s="216">
        <v>0.5</v>
      </c>
      <c r="ZH123" s="216">
        <v>0.5</v>
      </c>
      <c r="ZI123" s="216">
        <v>0.5</v>
      </c>
      <c r="ZJ123" s="216">
        <v>0.5</v>
      </c>
      <c r="ZK123" s="216">
        <v>0.5</v>
      </c>
      <c r="ZL123" s="216">
        <v>0.5</v>
      </c>
      <c r="ZM123" s="217">
        <v>0.5</v>
      </c>
      <c r="ZN123" s="147"/>
      <c r="ZO123" s="148"/>
      <c r="ZP123" s="216">
        <v>0.5</v>
      </c>
      <c r="ZQ123" s="226">
        <v>0.5</v>
      </c>
      <c r="ZR123" s="219">
        <v>0.5</v>
      </c>
      <c r="ZS123" s="216">
        <v>0.5</v>
      </c>
      <c r="ZT123" s="216">
        <v>0.5</v>
      </c>
      <c r="ZU123" s="216">
        <v>0.5</v>
      </c>
      <c r="ZV123" s="216">
        <v>0.5</v>
      </c>
      <c r="ZW123" s="216">
        <v>0.5</v>
      </c>
      <c r="ZX123" s="137"/>
      <c r="ZY123" s="137"/>
      <c r="ZZ123" s="137"/>
      <c r="AAA123" s="137"/>
      <c r="AAB123" s="137"/>
      <c r="AAC123" s="153"/>
      <c r="AAD123" s="304"/>
      <c r="AAE123" s="152"/>
      <c r="AAF123" s="131">
        <f>SUM(ZD123:AAE123)</f>
      </c>
      <c r="AAG123" s="134"/>
      <c r="AAH123" s="135"/>
      <c r="AAI123" s="142">
        <v>0.5</v>
      </c>
      <c r="AAJ123" s="138">
        <v>0.5</v>
      </c>
      <c r="AAK123" s="138">
        <v>0.5</v>
      </c>
      <c r="AAL123" s="138">
        <v>0.5</v>
      </c>
      <c r="AAM123" s="138">
        <v>0.5</v>
      </c>
      <c r="AAN123" s="138">
        <v>0.5</v>
      </c>
      <c r="AAO123" s="138">
        <v>0.5</v>
      </c>
      <c r="AAP123" s="139">
        <v>0.5</v>
      </c>
      <c r="AAQ123" s="155"/>
      <c r="AAR123" s="137"/>
      <c r="AAS123" s="138">
        <v>0.5</v>
      </c>
      <c r="AAT123" s="149">
        <v>0.5</v>
      </c>
      <c r="AAU123" s="142">
        <v>0.5</v>
      </c>
      <c r="AAV123" s="138">
        <v>0.5</v>
      </c>
      <c r="AAW123" s="138">
        <v>0.5</v>
      </c>
      <c r="AAX123" s="138">
        <v>0.5</v>
      </c>
      <c r="AAY123" s="138">
        <v>0.5</v>
      </c>
      <c r="AAZ123" s="138">
        <v>0.5</v>
      </c>
      <c r="ABA123" s="137"/>
      <c r="ABB123" s="137"/>
      <c r="ABC123" s="137"/>
      <c r="ABD123" s="137"/>
      <c r="ABE123" s="137"/>
      <c r="ABF123" s="153"/>
      <c r="ABG123" s="304"/>
      <c r="ABH123" s="152"/>
      <c r="ABI123" s="131">
        <f>SUM(AAG123:ABH123)</f>
      </c>
      <c r="ABJ123" s="134"/>
      <c r="ABK123" s="135"/>
      <c r="ABL123" s="219">
        <v>0.5</v>
      </c>
      <c r="ABM123" s="216">
        <v>0.5</v>
      </c>
      <c r="ABN123" s="216">
        <v>0.5</v>
      </c>
      <c r="ABO123" s="216">
        <v>0.5</v>
      </c>
      <c r="ABP123" s="216">
        <v>0.5</v>
      </c>
      <c r="ABQ123" s="216">
        <v>0.5</v>
      </c>
      <c r="ABR123" s="216">
        <v>0.5</v>
      </c>
      <c r="ABS123" s="217">
        <v>0.5</v>
      </c>
      <c r="ABT123" s="147"/>
      <c r="ABU123" s="148"/>
      <c r="ABV123" s="216">
        <v>0.5</v>
      </c>
      <c r="ABW123" s="226">
        <v>0.5</v>
      </c>
      <c r="ABX123" s="219">
        <v>0.5</v>
      </c>
      <c r="ABY123" s="216">
        <v>0.5</v>
      </c>
      <c r="ABZ123" s="216">
        <v>0.5</v>
      </c>
      <c r="ACA123" s="216">
        <v>0.5</v>
      </c>
      <c r="ACB123" s="216">
        <v>0.5</v>
      </c>
      <c r="ACC123" s="216">
        <v>0.5</v>
      </c>
      <c r="ACD123" s="137"/>
      <c r="ACE123" s="137"/>
      <c r="ACF123" s="137"/>
      <c r="ACG123" s="137"/>
      <c r="ACH123" s="137"/>
      <c r="ACI123" s="153"/>
      <c r="ACJ123" s="304"/>
      <c r="ACK123" s="152"/>
      <c r="ACL123" s="131">
        <f>SUM(ABJ123:ACK123)</f>
      </c>
      <c r="ACM123" s="121"/>
      <c r="ACN123" s="122"/>
      <c r="ACO123" s="123"/>
      <c r="ACP123" s="124"/>
      <c r="ACQ123" s="124"/>
      <c r="ACR123" s="124"/>
      <c r="ACS123" s="124"/>
      <c r="ACT123" s="124"/>
      <c r="ACU123" s="124"/>
      <c r="ACV123" s="125"/>
      <c r="ACW123" s="126"/>
      <c r="ACX123" s="124"/>
      <c r="ACY123" s="124"/>
      <c r="ACZ123" s="127"/>
      <c r="ADA123" s="123"/>
      <c r="ADB123" s="124"/>
      <c r="ADC123" s="124"/>
      <c r="ADD123" s="124"/>
      <c r="ADE123" s="124"/>
      <c r="ADF123" s="124"/>
      <c r="ADG123" s="124"/>
      <c r="ADH123" s="124"/>
      <c r="ADI123" s="124"/>
      <c r="ADJ123" s="124"/>
      <c r="ADK123" s="124"/>
      <c r="ADL123" s="125"/>
      <c r="ADM123" s="301"/>
      <c r="ADN123" s="151"/>
      <c r="ADO123" s="131">
        <f>SUM(ACM123:ADN123)</f>
      </c>
      <c r="ADP123" s="121"/>
      <c r="ADQ123" s="122"/>
      <c r="ADR123" s="123"/>
      <c r="ADS123" s="124"/>
      <c r="ADT123" s="124"/>
      <c r="ADU123" s="124"/>
      <c r="ADV123" s="124"/>
      <c r="ADW123" s="124"/>
      <c r="ADX123" s="124"/>
      <c r="ADY123" s="125"/>
      <c r="ADZ123" s="126"/>
      <c r="AEA123" s="124"/>
      <c r="AEB123" s="124"/>
      <c r="AEC123" s="127"/>
      <c r="AED123" s="123"/>
      <c r="AEE123" s="124"/>
      <c r="AEF123" s="124"/>
      <c r="AEG123" s="124"/>
      <c r="AEH123" s="124"/>
      <c r="AEI123" s="124"/>
      <c r="AEJ123" s="124"/>
      <c r="AEK123" s="124"/>
      <c r="AEL123" s="124"/>
      <c r="AEM123" s="124"/>
      <c r="AEN123" s="124"/>
      <c r="AEO123" s="125"/>
      <c r="AEP123" s="301"/>
      <c r="AEQ123" s="151"/>
      <c r="AER123" s="131">
        <f>SUM(ADP123:AEQ123)</f>
      </c>
      <c r="AES123" s="150">
        <f>XZ123+ZC123+AAF123+ABI123+ACL123+ADO123+AER123</f>
      </c>
      <c r="AET123" s="302">
        <f>(COUNTIF(WX123:AER123,"H")+COUNTIF(WX123:AER123,"S")+COUNTIF(WX123:AER123,"L")+COUNTIF(WX123:AER123,"E")+COUNTIF(WX123:AER123,"C"))/2</f>
      </c>
      <c r="AEU123" s="131">
        <f>AES123+AET123</f>
      </c>
      <c r="AEV123" s="134"/>
      <c r="AEW123" s="135"/>
      <c r="AEX123" s="142">
        <v>0.5</v>
      </c>
      <c r="AEY123" s="138">
        <v>0.5</v>
      </c>
      <c r="AEZ123" s="138">
        <v>0.5</v>
      </c>
      <c r="AFA123" s="138">
        <v>0.5</v>
      </c>
      <c r="AFB123" s="138">
        <v>0.5</v>
      </c>
      <c r="AFC123" s="138">
        <v>0.5</v>
      </c>
      <c r="AFD123" s="138">
        <v>0.5</v>
      </c>
      <c r="AFE123" s="139">
        <v>0.5</v>
      </c>
      <c r="AFF123" s="147"/>
      <c r="AFG123" s="148"/>
      <c r="AFH123" s="138">
        <v>0.5</v>
      </c>
      <c r="AFI123" s="149">
        <v>0.5</v>
      </c>
      <c r="AFJ123" s="142">
        <v>0.5</v>
      </c>
      <c r="AFK123" s="138">
        <v>0.5</v>
      </c>
      <c r="AFL123" s="138">
        <v>0.5</v>
      </c>
      <c r="AFM123" s="138">
        <v>0.5</v>
      </c>
      <c r="AFN123" s="138">
        <v>0.5</v>
      </c>
      <c r="AFO123" s="138">
        <v>0.5</v>
      </c>
      <c r="AFP123" s="137"/>
      <c r="AFQ123" s="137"/>
      <c r="AFR123" s="137"/>
      <c r="AFS123" s="137"/>
      <c r="AFT123" s="137"/>
      <c r="AFU123" s="153"/>
      <c r="AFV123" s="304"/>
      <c r="AFW123" s="152"/>
      <c r="AFX123" s="131">
        <f>SUM(AEV123:AFW123)</f>
      </c>
      <c r="AFY123" s="134"/>
      <c r="AFZ123" s="135"/>
      <c r="AGA123" s="142">
        <v>0.5</v>
      </c>
      <c r="AGB123" s="138">
        <v>0.5</v>
      </c>
      <c r="AGC123" s="138">
        <v>0.5</v>
      </c>
      <c r="AGD123" s="138">
        <v>0.5</v>
      </c>
      <c r="AGE123" s="138">
        <v>0.5</v>
      </c>
      <c r="AGF123" s="138">
        <v>0.5</v>
      </c>
      <c r="AGG123" s="138">
        <v>0.5</v>
      </c>
      <c r="AGH123" s="139">
        <v>0.5</v>
      </c>
      <c r="AGI123" s="147"/>
      <c r="AGJ123" s="148"/>
      <c r="AGK123" s="138">
        <v>0.5</v>
      </c>
      <c r="AGL123" s="149">
        <v>0.5</v>
      </c>
      <c r="AGM123" s="142">
        <v>0.5</v>
      </c>
      <c r="AGN123" s="138">
        <v>0.5</v>
      </c>
      <c r="AGO123" s="138">
        <v>0.5</v>
      </c>
      <c r="AGP123" s="138">
        <v>0.5</v>
      </c>
      <c r="AGQ123" s="138">
        <v>0.5</v>
      </c>
      <c r="AGR123" s="138">
        <v>0.5</v>
      </c>
      <c r="AGS123" s="137"/>
      <c r="AGT123" s="137"/>
      <c r="AGU123" s="137"/>
      <c r="AGV123" s="137"/>
      <c r="AGW123" s="137"/>
      <c r="AGX123" s="153"/>
      <c r="AGY123" s="304"/>
      <c r="AGZ123" s="152"/>
      <c r="AHA123" s="131">
        <f>SUM(AFY123:AGZ123)</f>
      </c>
      <c r="AHB123" s="134"/>
      <c r="AHC123" s="135"/>
      <c r="AHD123" s="219">
        <v>0.5</v>
      </c>
      <c r="AHE123" s="216">
        <v>0.5</v>
      </c>
      <c r="AHF123" s="216">
        <v>0.5</v>
      </c>
      <c r="AHG123" s="216">
        <v>0.5</v>
      </c>
      <c r="AHH123" s="216">
        <v>0.5</v>
      </c>
      <c r="AHI123" s="216">
        <v>0.5</v>
      </c>
      <c r="AHJ123" s="216">
        <v>0.5</v>
      </c>
      <c r="AHK123" s="217">
        <v>0.5</v>
      </c>
      <c r="AHL123" s="147"/>
      <c r="AHM123" s="148"/>
      <c r="AHN123" s="216">
        <v>0.5</v>
      </c>
      <c r="AHO123" s="226">
        <v>0.5</v>
      </c>
      <c r="AHP123" s="219">
        <v>0.5</v>
      </c>
      <c r="AHQ123" s="216">
        <v>0.5</v>
      </c>
      <c r="AHR123" s="216">
        <v>0.5</v>
      </c>
      <c r="AHS123" s="216">
        <v>0.5</v>
      </c>
      <c r="AHT123" s="216">
        <v>0.5</v>
      </c>
      <c r="AHU123" s="216">
        <v>0.5</v>
      </c>
      <c r="AHV123" s="137"/>
      <c r="AHW123" s="137"/>
      <c r="AHX123" s="137"/>
      <c r="AHY123" s="137"/>
      <c r="AHZ123" s="137"/>
      <c r="AIA123" s="153"/>
      <c r="AIB123" s="304"/>
      <c r="AIC123" s="152"/>
      <c r="AID123" s="131">
        <f>SUM(AHB123:AIC123)</f>
      </c>
      <c r="AIE123" s="134"/>
      <c r="AIF123" s="135"/>
      <c r="AIG123" s="142">
        <v>0.5</v>
      </c>
      <c r="AIH123" s="138">
        <v>0.5</v>
      </c>
      <c r="AII123" s="138">
        <v>0.5</v>
      </c>
      <c r="AIJ123" s="138">
        <v>0.5</v>
      </c>
      <c r="AIK123" s="138">
        <v>0.5</v>
      </c>
      <c r="AIL123" s="138">
        <v>0.5</v>
      </c>
      <c r="AIM123" s="138">
        <v>0.5</v>
      </c>
      <c r="AIN123" s="139">
        <v>0.5</v>
      </c>
      <c r="AIO123" s="155"/>
      <c r="AIP123" s="137"/>
      <c r="AIQ123" s="138">
        <v>0.5</v>
      </c>
      <c r="AIR123" s="149">
        <v>0.5</v>
      </c>
      <c r="AIS123" s="142">
        <v>0.5</v>
      </c>
      <c r="AIT123" s="138">
        <v>0.5</v>
      </c>
      <c r="AIU123" s="138">
        <v>0.5</v>
      </c>
      <c r="AIV123" s="138">
        <v>0.5</v>
      </c>
      <c r="AIW123" s="138">
        <v>0.5</v>
      </c>
      <c r="AIX123" s="138">
        <v>0.5</v>
      </c>
      <c r="AIY123" s="137"/>
      <c r="AIZ123" s="137"/>
      <c r="AJA123" s="137"/>
      <c r="AJB123" s="137"/>
      <c r="AJC123" s="137"/>
      <c r="AJD123" s="153"/>
      <c r="AJE123" s="304"/>
      <c r="AJF123" s="152"/>
      <c r="AJG123" s="131">
        <f>SUM(AIE123:AJF123)</f>
      </c>
      <c r="AJH123" s="134"/>
      <c r="AJI123" s="135"/>
      <c r="AJJ123" s="219">
        <v>0.5</v>
      </c>
      <c r="AJK123" s="216">
        <v>0.5</v>
      </c>
      <c r="AJL123" s="216">
        <v>0.5</v>
      </c>
      <c r="AJM123" s="216">
        <v>0.5</v>
      </c>
      <c r="AJN123" s="216">
        <v>0.5</v>
      </c>
      <c r="AJO123" s="216">
        <v>0.5</v>
      </c>
      <c r="AJP123" s="216">
        <v>0.5</v>
      </c>
      <c r="AJQ123" s="217">
        <v>0.5</v>
      </c>
      <c r="AJR123" s="147"/>
      <c r="AJS123" s="148"/>
      <c r="AJT123" s="216">
        <v>0.5</v>
      </c>
      <c r="AJU123" s="226">
        <v>0.5</v>
      </c>
      <c r="AJV123" s="219">
        <v>0.5</v>
      </c>
      <c r="AJW123" s="216">
        <v>0.5</v>
      </c>
      <c r="AJX123" s="216">
        <v>0.5</v>
      </c>
      <c r="AJY123" s="216">
        <v>0.5</v>
      </c>
      <c r="AJZ123" s="216">
        <v>0.5</v>
      </c>
      <c r="AKA123" s="216">
        <v>0.5</v>
      </c>
      <c r="AKB123" s="137"/>
      <c r="AKC123" s="137"/>
      <c r="AKD123" s="137"/>
      <c r="AKE123" s="137"/>
      <c r="AKF123" s="137"/>
      <c r="AKG123" s="153"/>
      <c r="AKH123" s="304"/>
      <c r="AKI123" s="152"/>
      <c r="AKJ123" s="131">
        <f>SUM(AJH123:AKI123)</f>
      </c>
      <c r="AKK123" s="121"/>
      <c r="AKL123" s="122"/>
      <c r="AKM123" s="123"/>
      <c r="AKN123" s="124"/>
      <c r="AKO123" s="124"/>
      <c r="AKP123" s="124"/>
      <c r="AKQ123" s="124"/>
      <c r="AKR123" s="124"/>
      <c r="AKS123" s="124"/>
      <c r="AKT123" s="125"/>
      <c r="AKU123" s="126"/>
      <c r="AKV123" s="124"/>
      <c r="AKW123" s="124"/>
      <c r="AKX123" s="127"/>
      <c r="AKY123" s="123"/>
      <c r="AKZ123" s="124"/>
      <c r="ALA123" s="124"/>
      <c r="ALB123" s="124"/>
      <c r="ALC123" s="124"/>
      <c r="ALD123" s="124"/>
      <c r="ALE123" s="124"/>
      <c r="ALF123" s="124"/>
      <c r="ALG123" s="124"/>
      <c r="ALH123" s="124"/>
      <c r="ALI123" s="124"/>
      <c r="ALJ123" s="125"/>
      <c r="ALK123" s="301"/>
      <c r="ALL123" s="151"/>
      <c r="ALM123" s="131">
        <f>SUM(AKK123:ALL123)</f>
      </c>
      <c r="ALN123" s="121"/>
      <c r="ALO123" s="122"/>
      <c r="ALP123" s="123"/>
      <c r="ALQ123" s="124"/>
      <c r="ALR123" s="124"/>
      <c r="ALS123" s="124"/>
      <c r="ALT123" s="124"/>
      <c r="ALU123" s="124"/>
      <c r="ALV123" s="124"/>
      <c r="ALW123" s="125"/>
      <c r="ALX123" s="126"/>
      <c r="ALY123" s="124"/>
      <c r="ALZ123" s="124"/>
      <c r="AMA123" s="127"/>
      <c r="AMB123" s="123"/>
      <c r="AMC123" s="124"/>
      <c r="AMD123" s="124"/>
      <c r="AME123" s="124"/>
      <c r="AMF123" s="124"/>
      <c r="AMG123" s="124"/>
      <c r="AMH123" s="124"/>
      <c r="AMI123" s="124"/>
      <c r="AMJ123" s="124"/>
      <c r="AMK123" s="124"/>
      <c r="AML123" s="124"/>
      <c r="AMM123" s="125"/>
      <c r="AMN123" s="301"/>
      <c r="AMO123" s="151"/>
      <c r="AMP123" s="131">
        <f>SUM(ALN123:AMO123)</f>
      </c>
      <c r="AMQ123" s="150">
        <f>AFX123+AHA123+AID123+AJG123+AKJ123+ALM123+AMP123</f>
      </c>
      <c r="AMR123" s="302">
        <f>(COUNTIF(AEV123:AMP123,"H")+COUNTIF(AEV123:AMP123,"S")+COUNTIF(AEV123:AMP123,"L")+COUNTIF(AEV123:AMP123,"E")+COUNTIF(AEV123:AMP123,"C"))/2</f>
      </c>
      <c r="AMS123" s="131">
        <f>AMQ123+AMR123</f>
      </c>
      <c r="AMT123" s="4"/>
      <c r="AMU123" s="4"/>
      <c r="AMV123" s="4"/>
      <c r="AMW123" s="4"/>
      <c r="AMX123" s="4"/>
      <c r="AMY123" s="4"/>
      <c r="AMZ123" s="4"/>
      <c r="ANA123" s="4"/>
      <c r="ANB123" s="4"/>
      <c r="ANC123" s="4"/>
      <c r="AND123" s="4"/>
      <c r="ANE123" s="4"/>
      <c r="ANF123" s="4"/>
      <c r="ANG123" s="4"/>
      <c r="ANH123" s="4"/>
      <c r="ANI123" s="4"/>
      <c r="ANJ123" s="4"/>
      <c r="ANK123" s="4"/>
      <c r="ANL123" s="4"/>
      <c r="ANM123" s="4"/>
      <c r="ANN123" s="4"/>
      <c r="ANO123" s="4"/>
      <c r="ANP123" s="4"/>
      <c r="ANQ123" s="4"/>
      <c r="ANR123" s="4"/>
      <c r="ANS123" s="4"/>
      <c r="ANT123" s="4"/>
      <c r="ANU123" s="4"/>
      <c r="ANV123" s="4"/>
      <c r="ANW123" s="4"/>
      <c r="ANX123" s="4"/>
      <c r="ANY123" s="4"/>
      <c r="ANZ123" s="4"/>
      <c r="AOA123" s="4"/>
      <c r="AOB123" s="4"/>
      <c r="AOC123" s="4"/>
      <c r="AOD123" s="4"/>
      <c r="AOE123" s="4"/>
      <c r="AOF123" s="4"/>
      <c r="AOG123" s="4"/>
      <c r="AOH123" s="4"/>
      <c r="AOI123" s="4"/>
      <c r="AOJ123" s="4"/>
      <c r="AOK123" s="4"/>
      <c r="AOL123" s="4"/>
      <c r="AOM123" s="4"/>
      <c r="AON123" s="4"/>
      <c r="AOO123" s="4"/>
      <c r="AOP123" s="4"/>
      <c r="AOQ123" s="4"/>
      <c r="AOR123" s="4"/>
      <c r="AOS123" s="4"/>
      <c r="AOT123" s="4"/>
      <c r="AOU123" s="4"/>
      <c r="AOV123" s="4"/>
      <c r="AOW123" s="4"/>
      <c r="AOX123" s="4"/>
      <c r="AOY123" s="4"/>
      <c r="AOZ123" s="4"/>
      <c r="APA123" s="4"/>
      <c r="APB123" s="4"/>
      <c r="APC123" s="4"/>
      <c r="APD123" s="4"/>
      <c r="APE123" s="4"/>
      <c r="APF123" s="4"/>
      <c r="APG123" s="4"/>
      <c r="APH123" s="4"/>
      <c r="API123" s="4"/>
      <c r="APJ123" s="4"/>
      <c r="APK123" s="4"/>
      <c r="APL123" s="4"/>
      <c r="APM123" s="4"/>
      <c r="APN123" s="4"/>
      <c r="APO123" s="4"/>
      <c r="APP123" s="4"/>
      <c r="APQ123" s="4"/>
      <c r="APR123" s="4"/>
      <c r="APS123" s="4"/>
      <c r="APT123" s="4"/>
      <c r="APU123" s="4"/>
      <c r="APV123" s="4"/>
      <c r="APW123" s="4"/>
      <c r="APX123" s="4"/>
      <c r="APY123" s="4"/>
      <c r="APZ123" s="4"/>
      <c r="AQA123" s="4"/>
      <c r="AQB123" s="4"/>
      <c r="AQC123" s="4"/>
      <c r="AQD123" s="4"/>
      <c r="AQE123" s="4"/>
      <c r="AQF123" s="4"/>
      <c r="AQG123" s="4"/>
      <c r="AQH123" s="4"/>
      <c r="AQI123" s="4"/>
      <c r="AQJ123" s="4"/>
      <c r="AQK123" s="4"/>
      <c r="AQL123" s="4"/>
      <c r="AQM123" s="4"/>
      <c r="AQN123" s="4"/>
      <c r="AQO123" s="4"/>
      <c r="AQP123" s="4"/>
      <c r="AQQ123" s="4"/>
      <c r="AQR123" s="4"/>
      <c r="AQS123" s="4"/>
      <c r="AQT123" s="4"/>
      <c r="AQU123" s="4"/>
      <c r="AQV123" s="4"/>
      <c r="AQW123" s="4"/>
      <c r="AQX123" s="4"/>
      <c r="AQY123" s="4"/>
      <c r="AQZ123" s="4"/>
      <c r="ARA123" s="4"/>
      <c r="ARB123" s="4"/>
      <c r="ARC123" s="4"/>
      <c r="ARD123" s="4"/>
      <c r="ARE123" s="4"/>
      <c r="ARF123" s="4"/>
      <c r="ARG123" s="4"/>
      <c r="ARH123" s="4"/>
      <c r="ARI123" s="4"/>
      <c r="ARJ123" s="4"/>
      <c r="ARK123" s="4"/>
      <c r="ARL123" s="4"/>
      <c r="ARM123" s="4"/>
      <c r="ARN123" s="4"/>
      <c r="ARO123" s="4"/>
      <c r="ARP123" s="4"/>
      <c r="ARQ123" s="4"/>
      <c r="ARR123" s="4"/>
      <c r="ARS123" s="4"/>
      <c r="ART123" s="4"/>
      <c r="ARU123" s="4"/>
      <c r="ARV123" s="4"/>
      <c r="ARW123" s="4"/>
      <c r="ARX123" s="4"/>
      <c r="ARY123" s="4"/>
      <c r="ARZ123" s="4"/>
      <c r="ASA123" s="4"/>
      <c r="ASB123" s="4"/>
      <c r="ASC123" s="4"/>
      <c r="ASD123" s="4"/>
      <c r="ASE123" s="4"/>
      <c r="ASF123" s="4"/>
      <c r="ASG123" s="4"/>
      <c r="ASH123" s="4"/>
      <c r="ASI123" s="4"/>
      <c r="ASJ123" s="4"/>
      <c r="ASK123" s="4"/>
      <c r="ASL123" s="4"/>
      <c r="ASM123" s="4"/>
      <c r="ASN123" s="4"/>
      <c r="ASO123" s="4"/>
      <c r="ASP123" s="4"/>
      <c r="ASQ123" s="4"/>
      <c r="ASR123" s="4"/>
      <c r="ASS123" s="4"/>
      <c r="AST123" s="4"/>
      <c r="ASU123" s="4"/>
    </row>
    <row r="124" spans="1:1191" x14ac:dyDescent="0.25">
      <c r="A124" s="118"/>
      <c r="B124" s="564" t="s">
        <v>157</v>
      </c>
      <c r="C124" s="321" t="s">
        <v>153</v>
      </c>
      <c r="D124" s="121"/>
      <c r="E124" s="122"/>
      <c r="F124" s="123"/>
      <c r="G124" s="124"/>
      <c r="H124" s="124"/>
      <c r="I124" s="124"/>
      <c r="J124" s="124"/>
      <c r="K124" s="124"/>
      <c r="L124" s="124"/>
      <c r="M124" s="125"/>
      <c r="N124" s="126"/>
      <c r="O124" s="124"/>
      <c r="P124" s="124"/>
      <c r="Q124" s="127"/>
      <c r="R124" s="123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5"/>
      <c r="AD124" s="301"/>
      <c r="AE124" s="151"/>
      <c r="AF124" s="131">
        <f>SUM(D124:AE124)</f>
      </c>
      <c r="AG124" s="121"/>
      <c r="AH124" s="122"/>
      <c r="AI124" s="123"/>
      <c r="AJ124" s="124"/>
      <c r="AK124" s="124"/>
      <c r="AL124" s="124"/>
      <c r="AM124" s="124"/>
      <c r="AN124" s="124"/>
      <c r="AO124" s="124"/>
      <c r="AP124" s="125"/>
      <c r="AQ124" s="126"/>
      <c r="AR124" s="124"/>
      <c r="AS124" s="124"/>
      <c r="AT124" s="127"/>
      <c r="AU124" s="123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8"/>
      <c r="BG124" s="301"/>
      <c r="BH124" s="151"/>
      <c r="BI124" s="131">
        <f>SUM(AG124:BH124)</f>
      </c>
      <c r="BJ124" s="121"/>
      <c r="BK124" s="122"/>
      <c r="BL124" s="123"/>
      <c r="BM124" s="124"/>
      <c r="BN124" s="124"/>
      <c r="BO124" s="124"/>
      <c r="BP124" s="124"/>
      <c r="BQ124" s="124"/>
      <c r="BR124" s="124"/>
      <c r="BS124" s="125"/>
      <c r="BT124" s="126"/>
      <c r="BU124" s="124"/>
      <c r="BV124" s="124"/>
      <c r="BW124" s="127"/>
      <c r="BX124" s="123"/>
      <c r="BY124" s="124"/>
      <c r="BZ124" s="124"/>
      <c r="CA124" s="124"/>
      <c r="CB124" s="124"/>
      <c r="CC124" s="124"/>
      <c r="CD124" s="124"/>
      <c r="CE124" s="124"/>
      <c r="CF124" s="124"/>
      <c r="CG124" s="124"/>
      <c r="CH124" s="124"/>
      <c r="CI124" s="128"/>
      <c r="CJ124" s="301"/>
      <c r="CK124" s="151"/>
      <c r="CL124" s="131">
        <f>SUM(BJ124:CK124)</f>
      </c>
      <c r="CM124" s="121"/>
      <c r="CN124" s="122"/>
      <c r="CO124" s="123"/>
      <c r="CP124" s="124"/>
      <c r="CQ124" s="124"/>
      <c r="CR124" s="124"/>
      <c r="CS124" s="124"/>
      <c r="CT124" s="124"/>
      <c r="CU124" s="124"/>
      <c r="CV124" s="125"/>
      <c r="CW124" s="126"/>
      <c r="CX124" s="124"/>
      <c r="CY124" s="124"/>
      <c r="CZ124" s="127"/>
      <c r="DA124" s="123"/>
      <c r="DB124" s="124"/>
      <c r="DC124" s="124"/>
      <c r="DD124" s="124"/>
      <c r="DE124" s="124"/>
      <c r="DF124" s="124"/>
      <c r="DG124" s="124"/>
      <c r="DH124" s="124"/>
      <c r="DI124" s="124"/>
      <c r="DJ124" s="124"/>
      <c r="DK124" s="124"/>
      <c r="DL124" s="128"/>
      <c r="DM124" s="301"/>
      <c r="DN124" s="151"/>
      <c r="DO124" s="131">
        <f>SUM(CM124:DN124)</f>
      </c>
      <c r="DP124" s="121"/>
      <c r="DQ124" s="122"/>
      <c r="DR124" s="123"/>
      <c r="DS124" s="124"/>
      <c r="DT124" s="124"/>
      <c r="DU124" s="124"/>
      <c r="DV124" s="124"/>
      <c r="DW124" s="124"/>
      <c r="DX124" s="124"/>
      <c r="DY124" s="125"/>
      <c r="DZ124" s="126"/>
      <c r="EA124" s="124"/>
      <c r="EB124" s="124"/>
      <c r="EC124" s="127"/>
      <c r="ED124" s="123"/>
      <c r="EE124" s="124"/>
      <c r="EF124" s="124"/>
      <c r="EG124" s="124"/>
      <c r="EH124" s="124"/>
      <c r="EI124" s="124"/>
      <c r="EJ124" s="124"/>
      <c r="EK124" s="124"/>
      <c r="EL124" s="124"/>
      <c r="EM124" s="124"/>
      <c r="EN124" s="124"/>
      <c r="EO124" s="128"/>
      <c r="EP124" s="301"/>
      <c r="EQ124" s="151"/>
      <c r="ER124" s="131">
        <f>SUM(DP124:EQ124)</f>
      </c>
      <c r="ES124" s="121"/>
      <c r="ET124" s="122"/>
      <c r="EU124" s="123"/>
      <c r="EV124" s="124"/>
      <c r="EW124" s="124"/>
      <c r="EX124" s="124"/>
      <c r="EY124" s="124"/>
      <c r="EZ124" s="124"/>
      <c r="FA124" s="124"/>
      <c r="FB124" s="125"/>
      <c r="FC124" s="126"/>
      <c r="FD124" s="124"/>
      <c r="FE124" s="124"/>
      <c r="FF124" s="127"/>
      <c r="FG124" s="123"/>
      <c r="FH124" s="124"/>
      <c r="FI124" s="124"/>
      <c r="FJ124" s="124"/>
      <c r="FK124" s="124"/>
      <c r="FL124" s="124"/>
      <c r="FM124" s="124"/>
      <c r="FN124" s="124"/>
      <c r="FO124" s="124"/>
      <c r="FP124" s="124"/>
      <c r="FQ124" s="124"/>
      <c r="FR124" s="125"/>
      <c r="FS124" s="301"/>
      <c r="FT124" s="151"/>
      <c r="FU124" s="131">
        <f>SUM(ES124:FT124)</f>
      </c>
      <c r="FV124" s="121"/>
      <c r="FW124" s="122"/>
      <c r="FX124" s="123"/>
      <c r="FY124" s="124"/>
      <c r="FZ124" s="124"/>
      <c r="GA124" s="124"/>
      <c r="GB124" s="124"/>
      <c r="GC124" s="124"/>
      <c r="GD124" s="124"/>
      <c r="GE124" s="125"/>
      <c r="GF124" s="126"/>
      <c r="GG124" s="124"/>
      <c r="GH124" s="124"/>
      <c r="GI124" s="127"/>
      <c r="GJ124" s="123"/>
      <c r="GK124" s="124"/>
      <c r="GL124" s="124"/>
      <c r="GM124" s="124"/>
      <c r="GN124" s="124"/>
      <c r="GO124" s="124"/>
      <c r="GP124" s="124"/>
      <c r="GQ124" s="124"/>
      <c r="GR124" s="124"/>
      <c r="GS124" s="124"/>
      <c r="GT124" s="124"/>
      <c r="GU124" s="125"/>
      <c r="GV124" s="301"/>
      <c r="GW124" s="151"/>
      <c r="GX124" s="131">
        <f>SUM(FV124:GW124)</f>
      </c>
      <c r="GY124" s="150">
        <f>AF124+BI124+CL124+DO124+ER124+FU124+GX124</f>
      </c>
      <c r="GZ124" s="302">
        <f>(COUNTIF(D124:GX124,"H")+COUNTIF(D124:GX124,"S")+COUNTIF(D124:GX124,"L")+COUNTIF(D124:GX124,"E")+COUNTIF(D124:GX124,"C"))/2</f>
      </c>
      <c r="HA124" s="131">
        <f>GY124+GZ124</f>
      </c>
      <c r="HB124" s="134"/>
      <c r="HC124" s="135"/>
      <c r="HD124" s="136"/>
      <c r="HE124" s="137"/>
      <c r="HF124" s="137"/>
      <c r="HG124" s="220">
        <v>0.5</v>
      </c>
      <c r="HH124" s="220">
        <v>0.5</v>
      </c>
      <c r="HI124" s="220">
        <v>0.5</v>
      </c>
      <c r="HJ124" s="216">
        <v>0.5</v>
      </c>
      <c r="HK124" s="217">
        <v>0.5</v>
      </c>
      <c r="HL124" s="218">
        <v>0.5</v>
      </c>
      <c r="HM124" s="216">
        <v>0.5</v>
      </c>
      <c r="HN124" s="137"/>
      <c r="HO124" s="141"/>
      <c r="HP124" s="219">
        <v>0.5</v>
      </c>
      <c r="HQ124" s="216">
        <v>0.5</v>
      </c>
      <c r="HR124" s="220">
        <v>0.5</v>
      </c>
      <c r="HS124" s="220">
        <v>0.5</v>
      </c>
      <c r="HT124" s="220">
        <v>0.5</v>
      </c>
      <c r="HU124" s="220">
        <v>0.5</v>
      </c>
      <c r="HV124" s="220">
        <v>0.5</v>
      </c>
      <c r="HW124" s="220">
        <v>0.5</v>
      </c>
      <c r="HX124" s="220">
        <v>0.5</v>
      </c>
      <c r="HY124" s="137"/>
      <c r="HZ124" s="137"/>
      <c r="IA124" s="153"/>
      <c r="IB124" s="304"/>
      <c r="IC124" s="152"/>
      <c r="ID124" s="131">
        <f>SUM(HB124:IC124)</f>
      </c>
      <c r="IE124" s="134"/>
      <c r="IF124" s="135"/>
      <c r="IG124" s="136"/>
      <c r="IH124" s="137"/>
      <c r="II124" s="137"/>
      <c r="IJ124" s="220">
        <v>0.5</v>
      </c>
      <c r="IK124" s="220">
        <v>0.5</v>
      </c>
      <c r="IL124" s="220">
        <v>0.5</v>
      </c>
      <c r="IM124" s="216">
        <v>0.5</v>
      </c>
      <c r="IN124" s="217">
        <v>0.5</v>
      </c>
      <c r="IO124" s="218">
        <v>0.5</v>
      </c>
      <c r="IP124" s="216">
        <v>0.5</v>
      </c>
      <c r="IQ124" s="137"/>
      <c r="IR124" s="141"/>
      <c r="IS124" s="219">
        <v>0.5</v>
      </c>
      <c r="IT124" s="216">
        <v>0.5</v>
      </c>
      <c r="IU124" s="220">
        <v>0.5</v>
      </c>
      <c r="IV124" s="220">
        <v>0.5</v>
      </c>
      <c r="IW124" s="220">
        <v>0.5</v>
      </c>
      <c r="IX124" s="220">
        <v>0.5</v>
      </c>
      <c r="IY124" s="220">
        <v>0.5</v>
      </c>
      <c r="IZ124" s="220">
        <v>0.5</v>
      </c>
      <c r="JA124" s="220">
        <v>0.5</v>
      </c>
      <c r="JB124" s="137"/>
      <c r="JC124" s="137"/>
      <c r="JD124" s="146"/>
      <c r="JE124" s="304"/>
      <c r="JF124" s="152"/>
      <c r="JG124" s="131">
        <f>SUM(IE124:JF124)</f>
      </c>
      <c r="JH124" s="134"/>
      <c r="JI124" s="135"/>
      <c r="JJ124" s="136"/>
      <c r="JK124" s="137"/>
      <c r="JL124" s="137"/>
      <c r="JM124" s="143">
        <v>0.5</v>
      </c>
      <c r="JN124" s="143">
        <v>0.5</v>
      </c>
      <c r="JO124" s="143">
        <v>0.5</v>
      </c>
      <c r="JP124" s="138">
        <v>0.5</v>
      </c>
      <c r="JQ124" s="139">
        <v>0.5</v>
      </c>
      <c r="JR124" s="140">
        <v>0.5</v>
      </c>
      <c r="JS124" s="138">
        <v>0.5</v>
      </c>
      <c r="JT124" s="137"/>
      <c r="JU124" s="141"/>
      <c r="JV124" s="142">
        <v>0.5</v>
      </c>
      <c r="JW124" s="138">
        <v>0.5</v>
      </c>
      <c r="JX124" s="143">
        <v>0.5</v>
      </c>
      <c r="JY124" s="143">
        <v>0.5</v>
      </c>
      <c r="JZ124" s="143">
        <v>0.5</v>
      </c>
      <c r="KA124" s="143">
        <v>0.5</v>
      </c>
      <c r="KB124" s="143">
        <v>0.5</v>
      </c>
      <c r="KC124" s="143">
        <v>0.5</v>
      </c>
      <c r="KD124" s="143">
        <v>0.5</v>
      </c>
      <c r="KE124" s="137"/>
      <c r="KF124" s="137"/>
      <c r="KG124" s="146"/>
      <c r="KH124" s="304"/>
      <c r="KI124" s="152"/>
      <c r="KJ124" s="131">
        <f>SUM(JH124:KI124)</f>
      </c>
      <c r="KK124" s="134"/>
      <c r="KL124" s="135"/>
      <c r="KM124" s="136"/>
      <c r="KN124" s="137"/>
      <c r="KO124" s="137"/>
      <c r="KP124" s="143">
        <v>0.5</v>
      </c>
      <c r="KQ124" s="143">
        <v>0.5</v>
      </c>
      <c r="KR124" s="143">
        <v>0.5</v>
      </c>
      <c r="KS124" s="138">
        <v>0.5</v>
      </c>
      <c r="KT124" s="139">
        <v>0.5</v>
      </c>
      <c r="KU124" s="140">
        <v>0.5</v>
      </c>
      <c r="KV124" s="138">
        <v>0.5</v>
      </c>
      <c r="KW124" s="137"/>
      <c r="KX124" s="141"/>
      <c r="KY124" s="142">
        <v>0.5</v>
      </c>
      <c r="KZ124" s="138">
        <v>0.5</v>
      </c>
      <c r="LA124" s="143">
        <v>0.5</v>
      </c>
      <c r="LB124" s="143">
        <v>0.5</v>
      </c>
      <c r="LC124" s="143">
        <v>0.5</v>
      </c>
      <c r="LD124" s="143">
        <v>0.5</v>
      </c>
      <c r="LE124" s="143">
        <v>0.5</v>
      </c>
      <c r="LF124" s="143">
        <v>0.5</v>
      </c>
      <c r="LG124" s="143">
        <v>0.5</v>
      </c>
      <c r="LH124" s="137"/>
      <c r="LI124" s="137"/>
      <c r="LJ124" s="146"/>
      <c r="LK124" s="304"/>
      <c r="LL124" s="152"/>
      <c r="LM124" s="131">
        <f>SUM(KK124:LL124)</f>
      </c>
      <c r="LN124" s="134"/>
      <c r="LO124" s="135"/>
      <c r="LP124" s="136"/>
      <c r="LQ124" s="137"/>
      <c r="LR124" s="137"/>
      <c r="LS124" s="143">
        <v>0.5</v>
      </c>
      <c r="LT124" s="143">
        <v>0.5</v>
      </c>
      <c r="LU124" s="143">
        <v>0.5</v>
      </c>
      <c r="LV124" s="138">
        <v>0.5</v>
      </c>
      <c r="LW124" s="139">
        <v>0.5</v>
      </c>
      <c r="LX124" s="140">
        <v>0.5</v>
      </c>
      <c r="LY124" s="138">
        <v>0.5</v>
      </c>
      <c r="LZ124" s="137"/>
      <c r="MA124" s="141"/>
      <c r="MB124" s="142">
        <v>0.5</v>
      </c>
      <c r="MC124" s="138">
        <v>0.5</v>
      </c>
      <c r="MD124" s="143">
        <v>0.5</v>
      </c>
      <c r="ME124" s="143">
        <v>0.5</v>
      </c>
      <c r="MF124" s="143">
        <v>0.5</v>
      </c>
      <c r="MG124" s="143">
        <v>0.5</v>
      </c>
      <c r="MH124" s="143">
        <v>0.5</v>
      </c>
      <c r="MI124" s="143">
        <v>0.5</v>
      </c>
      <c r="MJ124" s="143">
        <v>0.5</v>
      </c>
      <c r="MK124" s="137"/>
      <c r="ML124" s="137"/>
      <c r="MM124" s="146"/>
      <c r="MN124" s="304"/>
      <c r="MO124" s="152"/>
      <c r="MP124" s="131">
        <f>SUM(LN124:MO124)</f>
      </c>
      <c r="MQ124" s="121"/>
      <c r="MR124" s="122"/>
      <c r="MS124" s="123"/>
      <c r="MT124" s="124"/>
      <c r="MU124" s="124"/>
      <c r="MV124" s="124"/>
      <c r="MW124" s="124"/>
      <c r="MX124" s="124"/>
      <c r="MY124" s="124"/>
      <c r="MZ124" s="125"/>
      <c r="NA124" s="126"/>
      <c r="NB124" s="124"/>
      <c r="NC124" s="124"/>
      <c r="ND124" s="127"/>
      <c r="NE124" s="123"/>
      <c r="NF124" s="124"/>
      <c r="NG124" s="124"/>
      <c r="NH124" s="124"/>
      <c r="NI124" s="124"/>
      <c r="NJ124" s="124"/>
      <c r="NK124" s="124"/>
      <c r="NL124" s="124"/>
      <c r="NM124" s="124"/>
      <c r="NN124" s="124"/>
      <c r="NO124" s="124"/>
      <c r="NP124" s="125"/>
      <c r="NQ124" s="301"/>
      <c r="NR124" s="151"/>
      <c r="NS124" s="131">
        <f>SUM(MQ124:NR124)</f>
      </c>
      <c r="NT124" s="121"/>
      <c r="NU124" s="122"/>
      <c r="NV124" s="123"/>
      <c r="NW124" s="124"/>
      <c r="NX124" s="124"/>
      <c r="NY124" s="124"/>
      <c r="NZ124" s="124"/>
      <c r="OA124" s="124"/>
      <c r="OB124" s="124"/>
      <c r="OC124" s="125"/>
      <c r="OD124" s="126"/>
      <c r="OE124" s="124"/>
      <c r="OF124" s="124"/>
      <c r="OG124" s="127"/>
      <c r="OH124" s="123"/>
      <c r="OI124" s="124"/>
      <c r="OJ124" s="124"/>
      <c r="OK124" s="124"/>
      <c r="OL124" s="124"/>
      <c r="OM124" s="124"/>
      <c r="ON124" s="124"/>
      <c r="OO124" s="124"/>
      <c r="OP124" s="124"/>
      <c r="OQ124" s="124"/>
      <c r="OR124" s="124"/>
      <c r="OS124" s="125"/>
      <c r="OT124" s="301"/>
      <c r="OU124" s="151"/>
      <c r="OV124" s="131">
        <f>SUM(NT124:OU124)</f>
      </c>
      <c r="OW124" s="150">
        <f>ID124+JG124+KJ124+LM124+MP124+NS124+OV124</f>
      </c>
      <c r="OX124" s="302">
        <f>(COUNTIF(HB124:OV124,"H")+COUNTIF(HB124:OV124,"S")+COUNTIF(HB124:OV124,"L")+COUNTIF(HB124:OV124,"E")+COUNTIF(HB124:OV124,"C"))/2</f>
      </c>
      <c r="OY124" s="131">
        <f>OW124+OX124</f>
      </c>
      <c r="OZ124" s="134"/>
      <c r="PA124" s="135"/>
      <c r="PB124" s="136"/>
      <c r="PC124" s="137"/>
      <c r="PD124" s="137"/>
      <c r="PE124" s="220">
        <v>0.5</v>
      </c>
      <c r="PF124" s="220">
        <v>0.5</v>
      </c>
      <c r="PG124" s="220">
        <v>0.5</v>
      </c>
      <c r="PH124" s="216">
        <v>0.5</v>
      </c>
      <c r="PI124" s="217">
        <v>0.5</v>
      </c>
      <c r="PJ124" s="218">
        <v>0.5</v>
      </c>
      <c r="PK124" s="216">
        <v>0.5</v>
      </c>
      <c r="PL124" s="137"/>
      <c r="PM124" s="141"/>
      <c r="PN124" s="219">
        <v>0.5</v>
      </c>
      <c r="PO124" s="216">
        <v>0.5</v>
      </c>
      <c r="PP124" s="220">
        <v>0.5</v>
      </c>
      <c r="PQ124" s="220">
        <v>0.5</v>
      </c>
      <c r="PR124" s="220">
        <v>0.5</v>
      </c>
      <c r="PS124" s="220">
        <v>0.5</v>
      </c>
      <c r="PT124" s="220">
        <v>0.5</v>
      </c>
      <c r="PU124" s="220">
        <v>0.5</v>
      </c>
      <c r="PV124" s="220">
        <v>0.5</v>
      </c>
      <c r="PW124" s="137"/>
      <c r="PX124" s="137"/>
      <c r="PY124" s="153"/>
      <c r="PZ124" s="304"/>
      <c r="QA124" s="152"/>
      <c r="QB124" s="131">
        <f>SUM(OZ124:QA124)</f>
      </c>
      <c r="QC124" s="134"/>
      <c r="QD124" s="135"/>
      <c r="QE124" s="136"/>
      <c r="QF124" s="137"/>
      <c r="QG124" s="137"/>
      <c r="QH124" s="220">
        <v>0.5</v>
      </c>
      <c r="QI124" s="220">
        <v>0.5</v>
      </c>
      <c r="QJ124" s="220">
        <v>0.5</v>
      </c>
      <c r="QK124" s="216">
        <v>0.5</v>
      </c>
      <c r="QL124" s="217">
        <v>0.5</v>
      </c>
      <c r="QM124" s="218">
        <v>0.5</v>
      </c>
      <c r="QN124" s="216">
        <v>0.5</v>
      </c>
      <c r="QO124" s="137"/>
      <c r="QP124" s="141"/>
      <c r="QQ124" s="219">
        <v>0.5</v>
      </c>
      <c r="QR124" s="216">
        <v>0.5</v>
      </c>
      <c r="QS124" s="220">
        <v>0.5</v>
      </c>
      <c r="QT124" s="220">
        <v>0.5</v>
      </c>
      <c r="QU124" s="220">
        <v>0.5</v>
      </c>
      <c r="QV124" s="220">
        <v>0.5</v>
      </c>
      <c r="QW124" s="220">
        <v>0.5</v>
      </c>
      <c r="QX124" s="220">
        <v>0.5</v>
      </c>
      <c r="QY124" s="220">
        <v>0.5</v>
      </c>
      <c r="QZ124" s="137"/>
      <c r="RA124" s="137"/>
      <c r="RB124" s="146"/>
      <c r="RC124" s="304"/>
      <c r="RD124" s="152"/>
      <c r="RE124" s="131">
        <f>SUM(QC124:RD124)</f>
      </c>
      <c r="RF124" s="134"/>
      <c r="RG124" s="135"/>
      <c r="RH124" s="136"/>
      <c r="RI124" s="137"/>
      <c r="RJ124" s="137"/>
      <c r="RK124" s="143">
        <v>0.5</v>
      </c>
      <c r="RL124" s="143">
        <v>0.5</v>
      </c>
      <c r="RM124" s="143">
        <v>0.5</v>
      </c>
      <c r="RN124" s="138">
        <v>0.5</v>
      </c>
      <c r="RO124" s="139">
        <v>0.5</v>
      </c>
      <c r="RP124" s="140">
        <v>0.5</v>
      </c>
      <c r="RQ124" s="138">
        <v>0.5</v>
      </c>
      <c r="RR124" s="137"/>
      <c r="RS124" s="141"/>
      <c r="RT124" s="142">
        <v>0.5</v>
      </c>
      <c r="RU124" s="138">
        <v>0.5</v>
      </c>
      <c r="RV124" s="143">
        <v>0.5</v>
      </c>
      <c r="RW124" s="143">
        <v>0.5</v>
      </c>
      <c r="RX124" s="143">
        <v>0.5</v>
      </c>
      <c r="RY124" s="143">
        <v>0.5</v>
      </c>
      <c r="RZ124" s="143">
        <v>0.5</v>
      </c>
      <c r="SA124" s="143">
        <v>0.5</v>
      </c>
      <c r="SB124" s="143">
        <v>0.5</v>
      </c>
      <c r="SC124" s="137"/>
      <c r="SD124" s="137"/>
      <c r="SE124" s="146"/>
      <c r="SF124" s="304"/>
      <c r="SG124" s="152"/>
      <c r="SH124" s="131">
        <f>SUM(RF124:SG124)</f>
      </c>
      <c r="SI124" s="134"/>
      <c r="SJ124" s="135"/>
      <c r="SK124" s="136"/>
      <c r="SL124" s="137"/>
      <c r="SM124" s="137"/>
      <c r="SN124" s="143">
        <v>0.5</v>
      </c>
      <c r="SO124" s="143">
        <v>0.5</v>
      </c>
      <c r="SP124" s="143">
        <v>0.5</v>
      </c>
      <c r="SQ124" s="138">
        <v>0.5</v>
      </c>
      <c r="SR124" s="139">
        <v>0.5</v>
      </c>
      <c r="SS124" s="140">
        <v>0.5</v>
      </c>
      <c r="ST124" s="138">
        <v>0.5</v>
      </c>
      <c r="SU124" s="137"/>
      <c r="SV124" s="141"/>
      <c r="SW124" s="142">
        <v>0.5</v>
      </c>
      <c r="SX124" s="138">
        <v>0.5</v>
      </c>
      <c r="SY124" s="143">
        <v>0.5</v>
      </c>
      <c r="SZ124" s="143">
        <v>0.5</v>
      </c>
      <c r="TA124" s="143">
        <v>0.5</v>
      </c>
      <c r="TB124" s="143">
        <v>0.5</v>
      </c>
      <c r="TC124" s="143">
        <v>0.5</v>
      </c>
      <c r="TD124" s="143">
        <v>0.5</v>
      </c>
      <c r="TE124" s="143">
        <v>0.5</v>
      </c>
      <c r="TF124" s="137"/>
      <c r="TG124" s="137"/>
      <c r="TH124" s="146"/>
      <c r="TI124" s="304"/>
      <c r="TJ124" s="152"/>
      <c r="TK124" s="131">
        <f>SUM(SI124:TJ124)</f>
      </c>
      <c r="TL124" s="134"/>
      <c r="TM124" s="135"/>
      <c r="TN124" s="136"/>
      <c r="TO124" s="137"/>
      <c r="TP124" s="137"/>
      <c r="TQ124" s="143">
        <v>0.5</v>
      </c>
      <c r="TR124" s="143">
        <v>0.5</v>
      </c>
      <c r="TS124" s="143">
        <v>0.5</v>
      </c>
      <c r="TT124" s="138">
        <v>0.5</v>
      </c>
      <c r="TU124" s="139">
        <v>0.5</v>
      </c>
      <c r="TV124" s="140">
        <v>0.5</v>
      </c>
      <c r="TW124" s="138">
        <v>0.5</v>
      </c>
      <c r="TX124" s="137"/>
      <c r="TY124" s="141"/>
      <c r="TZ124" s="142">
        <v>0.5</v>
      </c>
      <c r="UA124" s="138">
        <v>0.5</v>
      </c>
      <c r="UB124" s="143">
        <v>0.5</v>
      </c>
      <c r="UC124" s="143">
        <v>0.5</v>
      </c>
      <c r="UD124" s="143">
        <v>0.5</v>
      </c>
      <c r="UE124" s="143">
        <v>0.5</v>
      </c>
      <c r="UF124" s="143">
        <v>0.5</v>
      </c>
      <c r="UG124" s="143">
        <v>0.5</v>
      </c>
      <c r="UH124" s="143">
        <v>0.5</v>
      </c>
      <c r="UI124" s="137"/>
      <c r="UJ124" s="137"/>
      <c r="UK124" s="146"/>
      <c r="UL124" s="304"/>
      <c r="UM124" s="152"/>
      <c r="UN124" s="131">
        <f>SUM(TL124:UM124)</f>
      </c>
      <c r="UO124" s="121"/>
      <c r="UP124" s="122"/>
      <c r="UQ124" s="123"/>
      <c r="UR124" s="124"/>
      <c r="US124" s="124"/>
      <c r="UT124" s="124"/>
      <c r="UU124" s="124"/>
      <c r="UV124" s="124"/>
      <c r="UW124" s="124"/>
      <c r="UX124" s="125"/>
      <c r="UY124" s="126"/>
      <c r="UZ124" s="124"/>
      <c r="VA124" s="124"/>
      <c r="VB124" s="127"/>
      <c r="VC124" s="123"/>
      <c r="VD124" s="124"/>
      <c r="VE124" s="124"/>
      <c r="VF124" s="124"/>
      <c r="VG124" s="124"/>
      <c r="VH124" s="124"/>
      <c r="VI124" s="124"/>
      <c r="VJ124" s="124"/>
      <c r="VK124" s="124"/>
      <c r="VL124" s="124"/>
      <c r="VM124" s="124"/>
      <c r="VN124" s="125"/>
      <c r="VO124" s="301"/>
      <c r="VP124" s="151"/>
      <c r="VQ124" s="131">
        <f>SUM(UO124:VP124)</f>
      </c>
      <c r="VR124" s="121"/>
      <c r="VS124" s="122"/>
      <c r="VT124" s="123"/>
      <c r="VU124" s="124"/>
      <c r="VV124" s="124"/>
      <c r="VW124" s="124"/>
      <c r="VX124" s="124"/>
      <c r="VY124" s="124"/>
      <c r="VZ124" s="124"/>
      <c r="WA124" s="125"/>
      <c r="WB124" s="126"/>
      <c r="WC124" s="124"/>
      <c r="WD124" s="124"/>
      <c r="WE124" s="127"/>
      <c r="WF124" s="123"/>
      <c r="WG124" s="124"/>
      <c r="WH124" s="124"/>
      <c r="WI124" s="124"/>
      <c r="WJ124" s="124"/>
      <c r="WK124" s="124"/>
      <c r="WL124" s="124"/>
      <c r="WM124" s="124"/>
      <c r="WN124" s="124"/>
      <c r="WO124" s="124"/>
      <c r="WP124" s="124"/>
      <c r="WQ124" s="125"/>
      <c r="WR124" s="301"/>
      <c r="WS124" s="151"/>
      <c r="WT124" s="131">
        <f>SUM(VR124:WS124)</f>
      </c>
      <c r="WU124" s="150">
        <f>QB124+RE124+SH124+TK124+UN124+VQ124+WT124</f>
      </c>
      <c r="WV124" s="302">
        <f>(COUNTIF(OZ124:WT124,"H")+COUNTIF(OZ124:WT124,"S")+COUNTIF(OZ124:WT124,"L")+COUNTIF(OZ124:WT124,"E")+COUNTIF(OZ124:WT124,"C"))/2</f>
      </c>
      <c r="WW124" s="131">
        <f>WU124+WV124</f>
      </c>
      <c r="WX124" s="134"/>
      <c r="WY124" s="135"/>
      <c r="WZ124" s="136"/>
      <c r="XA124" s="137"/>
      <c r="XB124" s="137"/>
      <c r="XC124" s="220">
        <v>0.5</v>
      </c>
      <c r="XD124" s="220">
        <v>0.5</v>
      </c>
      <c r="XE124" s="220">
        <v>0.5</v>
      </c>
      <c r="XF124" s="216">
        <v>0.5</v>
      </c>
      <c r="XG124" s="217">
        <v>0.5</v>
      </c>
      <c r="XH124" s="218">
        <v>0.5</v>
      </c>
      <c r="XI124" s="216">
        <v>0.5</v>
      </c>
      <c r="XJ124" s="137"/>
      <c r="XK124" s="141"/>
      <c r="XL124" s="219">
        <v>0.5</v>
      </c>
      <c r="XM124" s="216">
        <v>0.5</v>
      </c>
      <c r="XN124" s="220">
        <v>0.5</v>
      </c>
      <c r="XO124" s="220">
        <v>0.5</v>
      </c>
      <c r="XP124" s="220">
        <v>0.5</v>
      </c>
      <c r="XQ124" s="220">
        <v>0.5</v>
      </c>
      <c r="XR124" s="220">
        <v>0.5</v>
      </c>
      <c r="XS124" s="220">
        <v>0.5</v>
      </c>
      <c r="XT124" s="220">
        <v>0.5</v>
      </c>
      <c r="XU124" s="137"/>
      <c r="XV124" s="137"/>
      <c r="XW124" s="153"/>
      <c r="XX124" s="304"/>
      <c r="XY124" s="152"/>
      <c r="XZ124" s="131">
        <f>SUM(WX124:XY124)</f>
      </c>
      <c r="YA124" s="134"/>
      <c r="YB124" s="135"/>
      <c r="YC124" s="136"/>
      <c r="YD124" s="137"/>
      <c r="YE124" s="137"/>
      <c r="YF124" s="220">
        <v>0.5</v>
      </c>
      <c r="YG124" s="220">
        <v>0.5</v>
      </c>
      <c r="YH124" s="220">
        <v>0.5</v>
      </c>
      <c r="YI124" s="216">
        <v>0.5</v>
      </c>
      <c r="YJ124" s="217">
        <v>0.5</v>
      </c>
      <c r="YK124" s="218">
        <v>0.5</v>
      </c>
      <c r="YL124" s="216">
        <v>0.5</v>
      </c>
      <c r="YM124" s="137"/>
      <c r="YN124" s="141"/>
      <c r="YO124" s="219">
        <v>0.5</v>
      </c>
      <c r="YP124" s="216">
        <v>0.5</v>
      </c>
      <c r="YQ124" s="220">
        <v>0.5</v>
      </c>
      <c r="YR124" s="220">
        <v>0.5</v>
      </c>
      <c r="YS124" s="220">
        <v>0.5</v>
      </c>
      <c r="YT124" s="220">
        <v>0.5</v>
      </c>
      <c r="YU124" s="220">
        <v>0.5</v>
      </c>
      <c r="YV124" s="220">
        <v>0.5</v>
      </c>
      <c r="YW124" s="220">
        <v>0.5</v>
      </c>
      <c r="YX124" s="137"/>
      <c r="YY124" s="137"/>
      <c r="YZ124" s="146"/>
      <c r="ZA124" s="304"/>
      <c r="ZB124" s="152"/>
      <c r="ZC124" s="131">
        <f>SUM(YA124:ZB124)</f>
      </c>
      <c r="ZD124" s="134"/>
      <c r="ZE124" s="135"/>
      <c r="ZF124" s="136"/>
      <c r="ZG124" s="137"/>
      <c r="ZH124" s="137"/>
      <c r="ZI124" s="143">
        <v>0.5</v>
      </c>
      <c r="ZJ124" s="143">
        <v>0.5</v>
      </c>
      <c r="ZK124" s="143">
        <v>0.5</v>
      </c>
      <c r="ZL124" s="138">
        <v>0.5</v>
      </c>
      <c r="ZM124" s="139">
        <v>0.5</v>
      </c>
      <c r="ZN124" s="140">
        <v>0.5</v>
      </c>
      <c r="ZO124" s="138">
        <v>0.5</v>
      </c>
      <c r="ZP124" s="137"/>
      <c r="ZQ124" s="141"/>
      <c r="ZR124" s="142">
        <v>0.5</v>
      </c>
      <c r="ZS124" s="138">
        <v>0.5</v>
      </c>
      <c r="ZT124" s="143">
        <v>0.5</v>
      </c>
      <c r="ZU124" s="143">
        <v>0.5</v>
      </c>
      <c r="ZV124" s="143">
        <v>0.5</v>
      </c>
      <c r="ZW124" s="143">
        <v>0.5</v>
      </c>
      <c r="ZX124" s="143">
        <v>0.5</v>
      </c>
      <c r="ZY124" s="143">
        <v>0.5</v>
      </c>
      <c r="ZZ124" s="143">
        <v>0.5</v>
      </c>
      <c r="AAA124" s="137"/>
      <c r="AAB124" s="137"/>
      <c r="AAC124" s="153"/>
      <c r="AAD124" s="304"/>
      <c r="AAE124" s="152"/>
      <c r="AAF124" s="131">
        <f>SUM(ZD124:AAE124)</f>
      </c>
      <c r="AAG124" s="134"/>
      <c r="AAH124" s="135"/>
      <c r="AAI124" s="136"/>
      <c r="AAJ124" s="137"/>
      <c r="AAK124" s="137"/>
      <c r="AAL124" s="143">
        <v>0.5</v>
      </c>
      <c r="AAM124" s="143">
        <v>0.5</v>
      </c>
      <c r="AAN124" s="143">
        <v>0.5</v>
      </c>
      <c r="AAO124" s="138">
        <v>0.5</v>
      </c>
      <c r="AAP124" s="139">
        <v>0.5</v>
      </c>
      <c r="AAQ124" s="140">
        <v>0.5</v>
      </c>
      <c r="AAR124" s="138">
        <v>0.5</v>
      </c>
      <c r="AAS124" s="137"/>
      <c r="AAT124" s="141"/>
      <c r="AAU124" s="142">
        <v>0.5</v>
      </c>
      <c r="AAV124" s="138">
        <v>0.5</v>
      </c>
      <c r="AAW124" s="143">
        <v>0.5</v>
      </c>
      <c r="AAX124" s="143">
        <v>0.5</v>
      </c>
      <c r="AAY124" s="143">
        <v>0.5</v>
      </c>
      <c r="AAZ124" s="143">
        <v>0.5</v>
      </c>
      <c r="ABA124" s="143">
        <v>0.5</v>
      </c>
      <c r="ABB124" s="143">
        <v>0.5</v>
      </c>
      <c r="ABC124" s="143">
        <v>0.5</v>
      </c>
      <c r="ABD124" s="137"/>
      <c r="ABE124" s="137"/>
      <c r="ABF124" s="153"/>
      <c r="ABG124" s="304"/>
      <c r="ABH124" s="152"/>
      <c r="ABI124" s="131">
        <f>SUM(AAG124:ABH124)</f>
      </c>
      <c r="ABJ124" s="134"/>
      <c r="ABK124" s="135"/>
      <c r="ABL124" s="136"/>
      <c r="ABM124" s="137"/>
      <c r="ABN124" s="137"/>
      <c r="ABO124" s="143">
        <v>0.5</v>
      </c>
      <c r="ABP124" s="143">
        <v>0.5</v>
      </c>
      <c r="ABQ124" s="143">
        <v>0.5</v>
      </c>
      <c r="ABR124" s="138">
        <v>0.5</v>
      </c>
      <c r="ABS124" s="139">
        <v>0.5</v>
      </c>
      <c r="ABT124" s="140">
        <v>0.5</v>
      </c>
      <c r="ABU124" s="138">
        <v>0.5</v>
      </c>
      <c r="ABV124" s="137"/>
      <c r="ABW124" s="141"/>
      <c r="ABX124" s="142">
        <v>0.5</v>
      </c>
      <c r="ABY124" s="138">
        <v>0.5</v>
      </c>
      <c r="ABZ124" s="143">
        <v>0.5</v>
      </c>
      <c r="ACA124" s="143">
        <v>0.5</v>
      </c>
      <c r="ACB124" s="143">
        <v>0.5</v>
      </c>
      <c r="ACC124" s="143">
        <v>0.5</v>
      </c>
      <c r="ACD124" s="143">
        <v>0.5</v>
      </c>
      <c r="ACE124" s="143">
        <v>0.5</v>
      </c>
      <c r="ACF124" s="143">
        <v>0.5</v>
      </c>
      <c r="ACG124" s="137"/>
      <c r="ACH124" s="137"/>
      <c r="ACI124" s="153"/>
      <c r="ACJ124" s="304"/>
      <c r="ACK124" s="152"/>
      <c r="ACL124" s="131">
        <f>SUM(ABJ124:ACK124)</f>
      </c>
      <c r="ACM124" s="121"/>
      <c r="ACN124" s="122"/>
      <c r="ACO124" s="123"/>
      <c r="ACP124" s="124"/>
      <c r="ACQ124" s="124"/>
      <c r="ACR124" s="124"/>
      <c r="ACS124" s="124"/>
      <c r="ACT124" s="124"/>
      <c r="ACU124" s="124"/>
      <c r="ACV124" s="125"/>
      <c r="ACW124" s="126"/>
      <c r="ACX124" s="124"/>
      <c r="ACY124" s="124"/>
      <c r="ACZ124" s="127"/>
      <c r="ADA124" s="123"/>
      <c r="ADB124" s="124"/>
      <c r="ADC124" s="124"/>
      <c r="ADD124" s="124"/>
      <c r="ADE124" s="124"/>
      <c r="ADF124" s="124"/>
      <c r="ADG124" s="124"/>
      <c r="ADH124" s="124"/>
      <c r="ADI124" s="124"/>
      <c r="ADJ124" s="124"/>
      <c r="ADK124" s="124"/>
      <c r="ADL124" s="125"/>
      <c r="ADM124" s="301"/>
      <c r="ADN124" s="151"/>
      <c r="ADO124" s="131">
        <f>SUM(ACM124:ADN124)</f>
      </c>
      <c r="ADP124" s="121"/>
      <c r="ADQ124" s="122"/>
      <c r="ADR124" s="123"/>
      <c r="ADS124" s="124"/>
      <c r="ADT124" s="124"/>
      <c r="ADU124" s="124"/>
      <c r="ADV124" s="124"/>
      <c r="ADW124" s="124"/>
      <c r="ADX124" s="124"/>
      <c r="ADY124" s="125"/>
      <c r="ADZ124" s="126"/>
      <c r="AEA124" s="124"/>
      <c r="AEB124" s="124"/>
      <c r="AEC124" s="127"/>
      <c r="AED124" s="123"/>
      <c r="AEE124" s="124"/>
      <c r="AEF124" s="124"/>
      <c r="AEG124" s="124"/>
      <c r="AEH124" s="124"/>
      <c r="AEI124" s="124"/>
      <c r="AEJ124" s="124"/>
      <c r="AEK124" s="124"/>
      <c r="AEL124" s="124"/>
      <c r="AEM124" s="124"/>
      <c r="AEN124" s="124"/>
      <c r="AEO124" s="125"/>
      <c r="AEP124" s="301"/>
      <c r="AEQ124" s="151"/>
      <c r="AER124" s="131">
        <f>SUM(ADP124:AEQ124)</f>
      </c>
      <c r="AES124" s="150">
        <f>XZ124+ZC124+AAF124+ABI124+ACL124+ADO124+AER124</f>
      </c>
      <c r="AET124" s="302">
        <f>(COUNTIF(WX124:AER124,"H")+COUNTIF(WX124:AER124,"S")+COUNTIF(WX124:AER124,"L")+COUNTIF(WX124:AER124,"E")+COUNTIF(WX124:AER124,"C"))/2</f>
      </c>
      <c r="AEU124" s="131">
        <f>AES124+AET124</f>
      </c>
      <c r="AEV124" s="134"/>
      <c r="AEW124" s="135"/>
      <c r="AEX124" s="136"/>
      <c r="AEY124" s="137"/>
      <c r="AEZ124" s="137"/>
      <c r="AFA124" s="220">
        <v>0.5</v>
      </c>
      <c r="AFB124" s="220">
        <v>0.5</v>
      </c>
      <c r="AFC124" s="220">
        <v>0.5</v>
      </c>
      <c r="AFD124" s="216">
        <v>0.5</v>
      </c>
      <c r="AFE124" s="217">
        <v>0.5</v>
      </c>
      <c r="AFF124" s="218">
        <v>0.5</v>
      </c>
      <c r="AFG124" s="216">
        <v>0.5</v>
      </c>
      <c r="AFH124" s="137"/>
      <c r="AFI124" s="141"/>
      <c r="AFJ124" s="219">
        <v>0.5</v>
      </c>
      <c r="AFK124" s="216">
        <v>0.5</v>
      </c>
      <c r="AFL124" s="220">
        <v>0.5</v>
      </c>
      <c r="AFM124" s="220">
        <v>0.5</v>
      </c>
      <c r="AFN124" s="220">
        <v>0.5</v>
      </c>
      <c r="AFO124" s="220">
        <v>0.5</v>
      </c>
      <c r="AFP124" s="220">
        <v>0.5</v>
      </c>
      <c r="AFQ124" s="220">
        <v>0.5</v>
      </c>
      <c r="AFR124" s="220">
        <v>0.5</v>
      </c>
      <c r="AFS124" s="137"/>
      <c r="AFT124" s="137"/>
      <c r="AFU124" s="153"/>
      <c r="AFV124" s="304"/>
      <c r="AFW124" s="152"/>
      <c r="AFX124" s="131">
        <f>SUM(AEV124:AFW124)</f>
      </c>
      <c r="AFY124" s="134"/>
      <c r="AFZ124" s="135"/>
      <c r="AGA124" s="136"/>
      <c r="AGB124" s="137"/>
      <c r="AGC124" s="137"/>
      <c r="AGD124" s="220">
        <v>0.5</v>
      </c>
      <c r="AGE124" s="220">
        <v>0.5</v>
      </c>
      <c r="AGF124" s="220">
        <v>0.5</v>
      </c>
      <c r="AGG124" s="216">
        <v>0.5</v>
      </c>
      <c r="AGH124" s="217">
        <v>0.5</v>
      </c>
      <c r="AGI124" s="218">
        <v>0.5</v>
      </c>
      <c r="AGJ124" s="216">
        <v>0.5</v>
      </c>
      <c r="AGK124" s="137"/>
      <c r="AGL124" s="141"/>
      <c r="AGM124" s="219">
        <v>0.5</v>
      </c>
      <c r="AGN124" s="216">
        <v>0.5</v>
      </c>
      <c r="AGO124" s="220">
        <v>0.5</v>
      </c>
      <c r="AGP124" s="220">
        <v>0.5</v>
      </c>
      <c r="AGQ124" s="220">
        <v>0.5</v>
      </c>
      <c r="AGR124" s="220">
        <v>0.5</v>
      </c>
      <c r="AGS124" s="220">
        <v>0.5</v>
      </c>
      <c r="AGT124" s="220">
        <v>0.5</v>
      </c>
      <c r="AGU124" s="220">
        <v>0.5</v>
      </c>
      <c r="AGV124" s="137"/>
      <c r="AGW124" s="137"/>
      <c r="AGX124" s="146"/>
      <c r="AGY124" s="304"/>
      <c r="AGZ124" s="152"/>
      <c r="AHA124" s="131">
        <f>SUM(AFY124:AGZ124)</f>
      </c>
      <c r="AHB124" s="134"/>
      <c r="AHC124" s="135"/>
      <c r="AHD124" s="136"/>
      <c r="AHE124" s="137"/>
      <c r="AHF124" s="137"/>
      <c r="AHG124" s="143">
        <v>0.5</v>
      </c>
      <c r="AHH124" s="143">
        <v>0.5</v>
      </c>
      <c r="AHI124" s="143">
        <v>0.5</v>
      </c>
      <c r="AHJ124" s="138">
        <v>0.5</v>
      </c>
      <c r="AHK124" s="139">
        <v>0.5</v>
      </c>
      <c r="AHL124" s="140">
        <v>0.5</v>
      </c>
      <c r="AHM124" s="138">
        <v>0.5</v>
      </c>
      <c r="AHN124" s="137"/>
      <c r="AHO124" s="141"/>
      <c r="AHP124" s="142">
        <v>0.5</v>
      </c>
      <c r="AHQ124" s="138">
        <v>0.5</v>
      </c>
      <c r="AHR124" s="143">
        <v>0.5</v>
      </c>
      <c r="AHS124" s="143">
        <v>0.5</v>
      </c>
      <c r="AHT124" s="143">
        <v>0.5</v>
      </c>
      <c r="AHU124" s="143">
        <v>0.5</v>
      </c>
      <c r="AHV124" s="143">
        <v>0.5</v>
      </c>
      <c r="AHW124" s="143">
        <v>0.5</v>
      </c>
      <c r="AHX124" s="143">
        <v>0.5</v>
      </c>
      <c r="AHY124" s="137"/>
      <c r="AHZ124" s="137"/>
      <c r="AIA124" s="146"/>
      <c r="AIB124" s="304"/>
      <c r="AIC124" s="152"/>
      <c r="AID124" s="131">
        <f>SUM(AHB124:AIC124)</f>
      </c>
      <c r="AIE124" s="134"/>
      <c r="AIF124" s="135"/>
      <c r="AIG124" s="136"/>
      <c r="AIH124" s="137"/>
      <c r="AII124" s="137"/>
      <c r="AIJ124" s="143">
        <v>0.5</v>
      </c>
      <c r="AIK124" s="143">
        <v>0.5</v>
      </c>
      <c r="AIL124" s="143">
        <v>0.5</v>
      </c>
      <c r="AIM124" s="138">
        <v>0.5</v>
      </c>
      <c r="AIN124" s="139">
        <v>0.5</v>
      </c>
      <c r="AIO124" s="140">
        <v>0.5</v>
      </c>
      <c r="AIP124" s="138">
        <v>0.5</v>
      </c>
      <c r="AIQ124" s="137"/>
      <c r="AIR124" s="141"/>
      <c r="AIS124" s="142">
        <v>0.5</v>
      </c>
      <c r="AIT124" s="138">
        <v>0.5</v>
      </c>
      <c r="AIU124" s="143">
        <v>0.5</v>
      </c>
      <c r="AIV124" s="143">
        <v>0.5</v>
      </c>
      <c r="AIW124" s="143">
        <v>0.5</v>
      </c>
      <c r="AIX124" s="143">
        <v>0.5</v>
      </c>
      <c r="AIY124" s="143">
        <v>0.5</v>
      </c>
      <c r="AIZ124" s="143">
        <v>0.5</v>
      </c>
      <c r="AJA124" s="143">
        <v>0.5</v>
      </c>
      <c r="AJB124" s="137"/>
      <c r="AJC124" s="137"/>
      <c r="AJD124" s="146"/>
      <c r="AJE124" s="304"/>
      <c r="AJF124" s="152"/>
      <c r="AJG124" s="131">
        <f>SUM(AIE124:AJF124)</f>
      </c>
      <c r="AJH124" s="134"/>
      <c r="AJI124" s="135"/>
      <c r="AJJ124" s="136"/>
      <c r="AJK124" s="137"/>
      <c r="AJL124" s="137"/>
      <c r="AJM124" s="143">
        <v>0.5</v>
      </c>
      <c r="AJN124" s="143">
        <v>0.5</v>
      </c>
      <c r="AJO124" s="143">
        <v>0.5</v>
      </c>
      <c r="AJP124" s="138">
        <v>0.5</v>
      </c>
      <c r="AJQ124" s="139">
        <v>0.5</v>
      </c>
      <c r="AJR124" s="140">
        <v>0.5</v>
      </c>
      <c r="AJS124" s="138">
        <v>0.5</v>
      </c>
      <c r="AJT124" s="137"/>
      <c r="AJU124" s="141"/>
      <c r="AJV124" s="142">
        <v>0.5</v>
      </c>
      <c r="AJW124" s="138">
        <v>0.5</v>
      </c>
      <c r="AJX124" s="143">
        <v>0.5</v>
      </c>
      <c r="AJY124" s="143">
        <v>0.5</v>
      </c>
      <c r="AJZ124" s="143">
        <v>0.5</v>
      </c>
      <c r="AKA124" s="143">
        <v>0.5</v>
      </c>
      <c r="AKB124" s="143">
        <v>0.5</v>
      </c>
      <c r="AKC124" s="143">
        <v>0.5</v>
      </c>
      <c r="AKD124" s="143">
        <v>0.5</v>
      </c>
      <c r="AKE124" s="137"/>
      <c r="AKF124" s="137"/>
      <c r="AKG124" s="146"/>
      <c r="AKH124" s="304"/>
      <c r="AKI124" s="152"/>
      <c r="AKJ124" s="131">
        <f>SUM(AJH124:AKI124)</f>
      </c>
      <c r="AKK124" s="121"/>
      <c r="AKL124" s="122"/>
      <c r="AKM124" s="123"/>
      <c r="AKN124" s="124"/>
      <c r="AKO124" s="124"/>
      <c r="AKP124" s="124"/>
      <c r="AKQ124" s="124"/>
      <c r="AKR124" s="124"/>
      <c r="AKS124" s="124"/>
      <c r="AKT124" s="125"/>
      <c r="AKU124" s="126"/>
      <c r="AKV124" s="124"/>
      <c r="AKW124" s="124"/>
      <c r="AKX124" s="127"/>
      <c r="AKY124" s="123"/>
      <c r="AKZ124" s="124"/>
      <c r="ALA124" s="124"/>
      <c r="ALB124" s="124"/>
      <c r="ALC124" s="124"/>
      <c r="ALD124" s="124"/>
      <c r="ALE124" s="124"/>
      <c r="ALF124" s="124"/>
      <c r="ALG124" s="124"/>
      <c r="ALH124" s="124"/>
      <c r="ALI124" s="124"/>
      <c r="ALJ124" s="125"/>
      <c r="ALK124" s="301"/>
      <c r="ALL124" s="151"/>
      <c r="ALM124" s="131">
        <f>SUM(AKK124:ALL124)</f>
      </c>
      <c r="ALN124" s="121"/>
      <c r="ALO124" s="122"/>
      <c r="ALP124" s="123"/>
      <c r="ALQ124" s="124"/>
      <c r="ALR124" s="124"/>
      <c r="ALS124" s="124"/>
      <c r="ALT124" s="124"/>
      <c r="ALU124" s="124"/>
      <c r="ALV124" s="124"/>
      <c r="ALW124" s="125"/>
      <c r="ALX124" s="126"/>
      <c r="ALY124" s="124"/>
      <c r="ALZ124" s="124"/>
      <c r="AMA124" s="127"/>
      <c r="AMB124" s="123"/>
      <c r="AMC124" s="124"/>
      <c r="AMD124" s="124"/>
      <c r="AME124" s="124"/>
      <c r="AMF124" s="124"/>
      <c r="AMG124" s="124"/>
      <c r="AMH124" s="124"/>
      <c r="AMI124" s="124"/>
      <c r="AMJ124" s="124"/>
      <c r="AMK124" s="124"/>
      <c r="AML124" s="124"/>
      <c r="AMM124" s="125"/>
      <c r="AMN124" s="301"/>
      <c r="AMO124" s="151"/>
      <c r="AMP124" s="131">
        <f>SUM(ALN124:AMO124)</f>
      </c>
      <c r="AMQ124" s="150">
        <f>AFX124+AHA124+AID124+AJG124+AKJ124+ALM124+AMP124</f>
      </c>
      <c r="AMR124" s="302">
        <f>(COUNTIF(AEV124:AMP124,"H")+COUNTIF(AEV124:AMP124,"S")+COUNTIF(AEV124:AMP124,"L")+COUNTIF(AEV124:AMP124,"E")+COUNTIF(AEV124:AMP124,"C"))/2</f>
      </c>
      <c r="AMS124" s="131">
        <f>AMQ124+AMR124</f>
      </c>
      <c r="AMT124" s="4"/>
      <c r="AMU124" s="4"/>
      <c r="AMV124" s="4"/>
      <c r="AMW124" s="4"/>
      <c r="AMX124" s="4"/>
      <c r="AMY124" s="4"/>
      <c r="AMZ124" s="4"/>
      <c r="ANA124" s="4"/>
      <c r="ANB124" s="4"/>
      <c r="ANC124" s="4"/>
      <c r="AND124" s="4"/>
      <c r="ANE124" s="4"/>
      <c r="ANF124" s="4"/>
      <c r="ANG124" s="4"/>
      <c r="ANH124" s="4"/>
      <c r="ANI124" s="4"/>
      <c r="ANJ124" s="4"/>
      <c r="ANK124" s="4"/>
      <c r="ANL124" s="4"/>
      <c r="ANM124" s="4"/>
      <c r="ANN124" s="4"/>
      <c r="ANO124" s="4"/>
      <c r="ANP124" s="4"/>
      <c r="ANQ124" s="4"/>
      <c r="ANR124" s="4"/>
      <c r="ANS124" s="4"/>
      <c r="ANT124" s="4"/>
      <c r="ANU124" s="4"/>
      <c r="ANV124" s="4"/>
      <c r="ANW124" s="4"/>
      <c r="ANX124" s="4"/>
      <c r="ANY124" s="4"/>
      <c r="ANZ124" s="4"/>
      <c r="AOA124" s="4"/>
      <c r="AOB124" s="4"/>
      <c r="AOC124" s="4"/>
      <c r="AOD124" s="4"/>
      <c r="AOE124" s="4"/>
      <c r="AOF124" s="4"/>
      <c r="AOG124" s="4"/>
      <c r="AOH124" s="4"/>
      <c r="AOI124" s="4"/>
      <c r="AOJ124" s="4"/>
      <c r="AOK124" s="4"/>
      <c r="AOL124" s="4"/>
      <c r="AOM124" s="4"/>
      <c r="AON124" s="4"/>
      <c r="AOO124" s="4"/>
      <c r="AOP124" s="4"/>
      <c r="AOQ124" s="4"/>
      <c r="AOR124" s="4"/>
      <c r="AOS124" s="4"/>
      <c r="AOT124" s="4"/>
      <c r="AOU124" s="4"/>
      <c r="AOV124" s="4"/>
      <c r="AOW124" s="4"/>
      <c r="AOX124" s="4"/>
      <c r="AOY124" s="4"/>
      <c r="AOZ124" s="4"/>
      <c r="APA124" s="4"/>
      <c r="APB124" s="4"/>
      <c r="APC124" s="4"/>
      <c r="APD124" s="4"/>
      <c r="APE124" s="4"/>
      <c r="APF124" s="4"/>
      <c r="APG124" s="4"/>
      <c r="APH124" s="4"/>
      <c r="API124" s="4"/>
      <c r="APJ124" s="4"/>
      <c r="APK124" s="4"/>
      <c r="APL124" s="4"/>
      <c r="APM124" s="4"/>
      <c r="APN124" s="4"/>
      <c r="APO124" s="4"/>
      <c r="APP124" s="4"/>
      <c r="APQ124" s="4"/>
      <c r="APR124" s="4"/>
      <c r="APS124" s="4"/>
      <c r="APT124" s="4"/>
      <c r="APU124" s="4"/>
      <c r="APV124" s="4"/>
      <c r="APW124" s="4"/>
      <c r="APX124" s="4"/>
      <c r="APY124" s="4"/>
      <c r="APZ124" s="4"/>
      <c r="AQA124" s="4"/>
      <c r="AQB124" s="4"/>
      <c r="AQC124" s="4"/>
      <c r="AQD124" s="4"/>
      <c r="AQE124" s="4"/>
      <c r="AQF124" s="4"/>
      <c r="AQG124" s="4"/>
      <c r="AQH124" s="4"/>
      <c r="AQI124" s="4"/>
      <c r="AQJ124" s="4"/>
      <c r="AQK124" s="4"/>
      <c r="AQL124" s="4"/>
      <c r="AQM124" s="4"/>
      <c r="AQN124" s="4"/>
      <c r="AQO124" s="4"/>
      <c r="AQP124" s="4"/>
      <c r="AQQ124" s="4"/>
      <c r="AQR124" s="4"/>
      <c r="AQS124" s="4"/>
      <c r="AQT124" s="4"/>
      <c r="AQU124" s="4"/>
      <c r="AQV124" s="4"/>
      <c r="AQW124" s="4"/>
      <c r="AQX124" s="4"/>
      <c r="AQY124" s="4"/>
      <c r="AQZ124" s="4"/>
      <c r="ARA124" s="4"/>
      <c r="ARB124" s="4"/>
      <c r="ARC124" s="4"/>
      <c r="ARD124" s="4"/>
      <c r="ARE124" s="4"/>
      <c r="ARF124" s="4"/>
      <c r="ARG124" s="4"/>
      <c r="ARH124" s="4"/>
      <c r="ARI124" s="4"/>
      <c r="ARJ124" s="4"/>
      <c r="ARK124" s="4"/>
      <c r="ARL124" s="4"/>
      <c r="ARM124" s="4"/>
      <c r="ARN124" s="4"/>
      <c r="ARO124" s="4"/>
      <c r="ARP124" s="4"/>
      <c r="ARQ124" s="4"/>
      <c r="ARR124" s="4"/>
      <c r="ARS124" s="4"/>
      <c r="ART124" s="4"/>
      <c r="ARU124" s="4"/>
      <c r="ARV124" s="4"/>
      <c r="ARW124" s="4"/>
      <c r="ARX124" s="4"/>
      <c r="ARY124" s="4"/>
      <c r="ARZ124" s="4"/>
      <c r="ASA124" s="4"/>
      <c r="ASB124" s="4"/>
      <c r="ASC124" s="4"/>
      <c r="ASD124" s="4"/>
      <c r="ASE124" s="4"/>
      <c r="ASF124" s="4"/>
      <c r="ASG124" s="4"/>
      <c r="ASH124" s="4"/>
      <c r="ASI124" s="4"/>
      <c r="ASJ124" s="4"/>
      <c r="ASK124" s="4"/>
      <c r="ASL124" s="4"/>
      <c r="ASM124" s="4"/>
      <c r="ASN124" s="4"/>
      <c r="ASO124" s="4"/>
      <c r="ASP124" s="4"/>
      <c r="ASQ124" s="4"/>
      <c r="ASR124" s="4"/>
      <c r="ASS124" s="4"/>
      <c r="AST124" s="4"/>
      <c r="ASU124" s="4"/>
    </row>
    <row r="125" spans="1:1191" x14ac:dyDescent="0.25">
      <c r="A125" s="118"/>
      <c r="B125" s="417" t="s">
        <v>158</v>
      </c>
      <c r="C125" s="321" t="s">
        <v>153</v>
      </c>
      <c r="D125" s="121"/>
      <c r="E125" s="122"/>
      <c r="F125" s="123"/>
      <c r="G125" s="124"/>
      <c r="H125" s="124"/>
      <c r="I125" s="124"/>
      <c r="J125" s="124"/>
      <c r="K125" s="124"/>
      <c r="L125" s="124"/>
      <c r="M125" s="125"/>
      <c r="N125" s="126"/>
      <c r="O125" s="124"/>
      <c r="P125" s="124"/>
      <c r="Q125" s="127"/>
      <c r="R125" s="123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5"/>
      <c r="AD125" s="301"/>
      <c r="AE125" s="151"/>
      <c r="AF125" s="131">
        <f>SUM(D125:AE125)</f>
      </c>
      <c r="AG125" s="121"/>
      <c r="AH125" s="122"/>
      <c r="AI125" s="123"/>
      <c r="AJ125" s="124"/>
      <c r="AK125" s="124"/>
      <c r="AL125" s="124"/>
      <c r="AM125" s="124"/>
      <c r="AN125" s="124"/>
      <c r="AO125" s="124"/>
      <c r="AP125" s="125"/>
      <c r="AQ125" s="126"/>
      <c r="AR125" s="124"/>
      <c r="AS125" s="124"/>
      <c r="AT125" s="127"/>
      <c r="AU125" s="123"/>
      <c r="AV125" s="124"/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5"/>
      <c r="BG125" s="301"/>
      <c r="BH125" s="151"/>
      <c r="BI125" s="131">
        <f>SUM(AG125:BH125)</f>
      </c>
      <c r="BJ125" s="121"/>
      <c r="BK125" s="122"/>
      <c r="BL125" s="123"/>
      <c r="BM125" s="124"/>
      <c r="BN125" s="124"/>
      <c r="BO125" s="124"/>
      <c r="BP125" s="124"/>
      <c r="BQ125" s="124"/>
      <c r="BR125" s="124"/>
      <c r="BS125" s="125"/>
      <c r="BT125" s="126"/>
      <c r="BU125" s="124"/>
      <c r="BV125" s="124"/>
      <c r="BW125" s="127"/>
      <c r="BX125" s="123"/>
      <c r="BY125" s="124"/>
      <c r="BZ125" s="124"/>
      <c r="CA125" s="124"/>
      <c r="CB125" s="124"/>
      <c r="CC125" s="124"/>
      <c r="CD125" s="124"/>
      <c r="CE125" s="124"/>
      <c r="CF125" s="124"/>
      <c r="CG125" s="124"/>
      <c r="CH125" s="124"/>
      <c r="CI125" s="125"/>
      <c r="CJ125" s="301"/>
      <c r="CK125" s="151"/>
      <c r="CL125" s="131">
        <f>SUM(BJ125:CK125)</f>
      </c>
      <c r="CM125" s="121"/>
      <c r="CN125" s="122"/>
      <c r="CO125" s="123"/>
      <c r="CP125" s="124"/>
      <c r="CQ125" s="124"/>
      <c r="CR125" s="124"/>
      <c r="CS125" s="124"/>
      <c r="CT125" s="124"/>
      <c r="CU125" s="124"/>
      <c r="CV125" s="125"/>
      <c r="CW125" s="126"/>
      <c r="CX125" s="124"/>
      <c r="CY125" s="124"/>
      <c r="CZ125" s="127"/>
      <c r="DA125" s="123"/>
      <c r="DB125" s="124"/>
      <c r="DC125" s="124"/>
      <c r="DD125" s="124"/>
      <c r="DE125" s="124"/>
      <c r="DF125" s="124"/>
      <c r="DG125" s="124"/>
      <c r="DH125" s="124"/>
      <c r="DI125" s="124"/>
      <c r="DJ125" s="124"/>
      <c r="DK125" s="124"/>
      <c r="DL125" s="125"/>
      <c r="DM125" s="301"/>
      <c r="DN125" s="151"/>
      <c r="DO125" s="131">
        <f>SUM(CM125:DN125)</f>
      </c>
      <c r="DP125" s="121"/>
      <c r="DQ125" s="122"/>
      <c r="DR125" s="123"/>
      <c r="DS125" s="124"/>
      <c r="DT125" s="124"/>
      <c r="DU125" s="124"/>
      <c r="DV125" s="124"/>
      <c r="DW125" s="124"/>
      <c r="DX125" s="124"/>
      <c r="DY125" s="125"/>
      <c r="DZ125" s="126"/>
      <c r="EA125" s="124"/>
      <c r="EB125" s="124"/>
      <c r="EC125" s="127"/>
      <c r="ED125" s="123"/>
      <c r="EE125" s="124"/>
      <c r="EF125" s="124"/>
      <c r="EG125" s="124"/>
      <c r="EH125" s="124"/>
      <c r="EI125" s="124"/>
      <c r="EJ125" s="124"/>
      <c r="EK125" s="124"/>
      <c r="EL125" s="124"/>
      <c r="EM125" s="124"/>
      <c r="EN125" s="124"/>
      <c r="EO125" s="125"/>
      <c r="EP125" s="301"/>
      <c r="EQ125" s="151"/>
      <c r="ER125" s="131">
        <f>SUM(DP125:EQ125)</f>
      </c>
      <c r="ES125" s="121"/>
      <c r="ET125" s="122"/>
      <c r="EU125" s="123"/>
      <c r="EV125" s="124"/>
      <c r="EW125" s="124"/>
      <c r="EX125" s="124"/>
      <c r="EY125" s="124"/>
      <c r="EZ125" s="124"/>
      <c r="FA125" s="124"/>
      <c r="FB125" s="125"/>
      <c r="FC125" s="126"/>
      <c r="FD125" s="124"/>
      <c r="FE125" s="124"/>
      <c r="FF125" s="127"/>
      <c r="FG125" s="123"/>
      <c r="FH125" s="124"/>
      <c r="FI125" s="124"/>
      <c r="FJ125" s="124"/>
      <c r="FK125" s="124"/>
      <c r="FL125" s="124"/>
      <c r="FM125" s="124"/>
      <c r="FN125" s="124"/>
      <c r="FO125" s="124"/>
      <c r="FP125" s="124"/>
      <c r="FQ125" s="124"/>
      <c r="FR125" s="125"/>
      <c r="FS125" s="301"/>
      <c r="FT125" s="151"/>
      <c r="FU125" s="131">
        <f>SUM(ES125:FT125)</f>
      </c>
      <c r="FV125" s="121"/>
      <c r="FW125" s="122"/>
      <c r="FX125" s="123"/>
      <c r="FY125" s="124"/>
      <c r="FZ125" s="124"/>
      <c r="GA125" s="124"/>
      <c r="GB125" s="124"/>
      <c r="GC125" s="124"/>
      <c r="GD125" s="124"/>
      <c r="GE125" s="125"/>
      <c r="GF125" s="126"/>
      <c r="GG125" s="124"/>
      <c r="GH125" s="124"/>
      <c r="GI125" s="127"/>
      <c r="GJ125" s="123"/>
      <c r="GK125" s="124"/>
      <c r="GL125" s="124"/>
      <c r="GM125" s="124"/>
      <c r="GN125" s="124"/>
      <c r="GO125" s="124"/>
      <c r="GP125" s="124"/>
      <c r="GQ125" s="124"/>
      <c r="GR125" s="124"/>
      <c r="GS125" s="124"/>
      <c r="GT125" s="124"/>
      <c r="GU125" s="125"/>
      <c r="GV125" s="301"/>
      <c r="GW125" s="151"/>
      <c r="GX125" s="131">
        <f>SUM(FV125:GW125)</f>
      </c>
      <c r="GY125" s="150">
        <f>AF125+BI125+CL125+DO125+ER125+FU125+GX125</f>
      </c>
      <c r="GZ125" s="302">
        <f>(COUNTIF(D125:GX125,"H")+COUNTIF(D125:GX125,"S")+COUNTIF(D125:GX125,"L")+COUNTIF(D125:GX125,"E")+COUNTIF(D125:GX125,"C"))/2</f>
      </c>
      <c r="HA125" s="131">
        <f>GY125+GZ125</f>
      </c>
      <c r="HB125" s="134"/>
      <c r="HC125" s="135"/>
      <c r="HD125" s="219">
        <v>0.5</v>
      </c>
      <c r="HE125" s="216">
        <v>0.5</v>
      </c>
      <c r="HF125" s="216">
        <v>0.5</v>
      </c>
      <c r="HG125" s="216">
        <v>0.5</v>
      </c>
      <c r="HH125" s="216">
        <v>0.5</v>
      </c>
      <c r="HI125" s="216">
        <v>0.5</v>
      </c>
      <c r="HJ125" s="216">
        <v>0.5</v>
      </c>
      <c r="HK125" s="217">
        <v>0.5</v>
      </c>
      <c r="HL125" s="147"/>
      <c r="HM125" s="148"/>
      <c r="HN125" s="216">
        <v>0.5</v>
      </c>
      <c r="HO125" s="226">
        <v>0.5</v>
      </c>
      <c r="HP125" s="219">
        <v>0.5</v>
      </c>
      <c r="HQ125" s="216">
        <v>0.5</v>
      </c>
      <c r="HR125" s="216">
        <v>0.5</v>
      </c>
      <c r="HS125" s="216">
        <v>0.5</v>
      </c>
      <c r="HT125" s="216">
        <v>0.5</v>
      </c>
      <c r="HU125" s="216">
        <v>0.5</v>
      </c>
      <c r="HV125" s="137"/>
      <c r="HW125" s="137"/>
      <c r="HX125" s="137"/>
      <c r="HY125" s="137"/>
      <c r="HZ125" s="137"/>
      <c r="IA125" s="153"/>
      <c r="IB125" s="304"/>
      <c r="IC125" s="152"/>
      <c r="ID125" s="131">
        <f>SUM(HB125:IC125)</f>
      </c>
      <c r="IE125" s="134"/>
      <c r="IF125" s="135"/>
      <c r="IG125" s="219">
        <v>0.5</v>
      </c>
      <c r="IH125" s="216">
        <v>0.5</v>
      </c>
      <c r="II125" s="216">
        <v>0.5</v>
      </c>
      <c r="IJ125" s="216">
        <v>0.5</v>
      </c>
      <c r="IK125" s="216">
        <v>0.5</v>
      </c>
      <c r="IL125" s="216">
        <v>0.5</v>
      </c>
      <c r="IM125" s="216">
        <v>0.5</v>
      </c>
      <c r="IN125" s="217">
        <v>0.5</v>
      </c>
      <c r="IO125" s="147"/>
      <c r="IP125" s="148"/>
      <c r="IQ125" s="216">
        <v>0.5</v>
      </c>
      <c r="IR125" s="226">
        <v>0.5</v>
      </c>
      <c r="IS125" s="219">
        <v>0.5</v>
      </c>
      <c r="IT125" s="216">
        <v>0.5</v>
      </c>
      <c r="IU125" s="216">
        <v>0.5</v>
      </c>
      <c r="IV125" s="216">
        <v>0.5</v>
      </c>
      <c r="IW125" s="216">
        <v>0.5</v>
      </c>
      <c r="IX125" s="216">
        <v>0.5</v>
      </c>
      <c r="IY125" s="137"/>
      <c r="IZ125" s="137"/>
      <c r="JA125" s="137"/>
      <c r="JB125" s="137"/>
      <c r="JC125" s="137"/>
      <c r="JD125" s="153"/>
      <c r="JE125" s="304"/>
      <c r="JF125" s="152"/>
      <c r="JG125" s="131">
        <f>SUM(IE125:JF125)</f>
      </c>
      <c r="JH125" s="134"/>
      <c r="JI125" s="135"/>
      <c r="JJ125" s="142">
        <v>0.5</v>
      </c>
      <c r="JK125" s="138">
        <v>0.5</v>
      </c>
      <c r="JL125" s="138">
        <v>0.5</v>
      </c>
      <c r="JM125" s="138">
        <v>0.5</v>
      </c>
      <c r="JN125" s="138">
        <v>0.5</v>
      </c>
      <c r="JO125" s="138">
        <v>0.5</v>
      </c>
      <c r="JP125" s="138">
        <v>0.5</v>
      </c>
      <c r="JQ125" s="139">
        <v>0.5</v>
      </c>
      <c r="JR125" s="147"/>
      <c r="JS125" s="148"/>
      <c r="JT125" s="138">
        <v>0.5</v>
      </c>
      <c r="JU125" s="149">
        <v>0.5</v>
      </c>
      <c r="JV125" s="142">
        <v>0.5</v>
      </c>
      <c r="JW125" s="138">
        <v>0.5</v>
      </c>
      <c r="JX125" s="138">
        <v>0.5</v>
      </c>
      <c r="JY125" s="138">
        <v>0.5</v>
      </c>
      <c r="JZ125" s="138">
        <v>0.5</v>
      </c>
      <c r="KA125" s="138">
        <v>0.5</v>
      </c>
      <c r="KB125" s="137"/>
      <c r="KC125" s="137"/>
      <c r="KD125" s="137"/>
      <c r="KE125" s="137"/>
      <c r="KF125" s="137"/>
      <c r="KG125" s="153"/>
      <c r="KH125" s="304"/>
      <c r="KI125" s="152"/>
      <c r="KJ125" s="131">
        <f>SUM(JH125:KI125)</f>
      </c>
      <c r="KK125" s="134"/>
      <c r="KL125" s="135"/>
      <c r="KM125" s="142">
        <v>0.5</v>
      </c>
      <c r="KN125" s="138">
        <v>0.5</v>
      </c>
      <c r="KO125" s="138">
        <v>0.5</v>
      </c>
      <c r="KP125" s="138">
        <v>0.5</v>
      </c>
      <c r="KQ125" s="138">
        <v>0.5</v>
      </c>
      <c r="KR125" s="138">
        <v>0.5</v>
      </c>
      <c r="KS125" s="138">
        <v>0.5</v>
      </c>
      <c r="KT125" s="139">
        <v>0.5</v>
      </c>
      <c r="KU125" s="147"/>
      <c r="KV125" s="137"/>
      <c r="KW125" s="138">
        <v>0.5</v>
      </c>
      <c r="KX125" s="149">
        <v>0.5</v>
      </c>
      <c r="KY125" s="142">
        <v>0.5</v>
      </c>
      <c r="KZ125" s="138">
        <v>0.5</v>
      </c>
      <c r="LA125" s="138">
        <v>0.5</v>
      </c>
      <c r="LB125" s="138">
        <v>0.5</v>
      </c>
      <c r="LC125" s="138">
        <v>0.5</v>
      </c>
      <c r="LD125" s="138">
        <v>0.5</v>
      </c>
      <c r="LE125" s="137"/>
      <c r="LF125" s="137"/>
      <c r="LG125" s="137"/>
      <c r="LH125" s="137"/>
      <c r="LI125" s="137"/>
      <c r="LJ125" s="153"/>
      <c r="LK125" s="304"/>
      <c r="LL125" s="152"/>
      <c r="LM125" s="131">
        <f>SUM(KK125:LL125)</f>
      </c>
      <c r="LN125" s="134"/>
      <c r="LO125" s="135"/>
      <c r="LP125" s="142">
        <v>0.5</v>
      </c>
      <c r="LQ125" s="138">
        <v>0.5</v>
      </c>
      <c r="LR125" s="138">
        <v>0.5</v>
      </c>
      <c r="LS125" s="138">
        <v>0.5</v>
      </c>
      <c r="LT125" s="138">
        <v>0.5</v>
      </c>
      <c r="LU125" s="138">
        <v>0.5</v>
      </c>
      <c r="LV125" s="138">
        <v>0.5</v>
      </c>
      <c r="LW125" s="139">
        <v>0.5</v>
      </c>
      <c r="LX125" s="147"/>
      <c r="LY125" s="148"/>
      <c r="LZ125" s="138">
        <v>0.5</v>
      </c>
      <c r="MA125" s="149">
        <v>0.5</v>
      </c>
      <c r="MB125" s="142">
        <v>0.5</v>
      </c>
      <c r="MC125" s="138">
        <v>0.5</v>
      </c>
      <c r="MD125" s="138">
        <v>0.5</v>
      </c>
      <c r="ME125" s="138">
        <v>0.5</v>
      </c>
      <c r="MF125" s="138">
        <v>0.5</v>
      </c>
      <c r="MG125" s="138">
        <v>0.5</v>
      </c>
      <c r="MH125" s="137"/>
      <c r="MI125" s="137"/>
      <c r="MJ125" s="137"/>
      <c r="MK125" s="137"/>
      <c r="ML125" s="137"/>
      <c r="MM125" s="153"/>
      <c r="MN125" s="304"/>
      <c r="MO125" s="152"/>
      <c r="MP125" s="131">
        <f>SUM(LN125:MO125)</f>
      </c>
      <c r="MQ125" s="121"/>
      <c r="MR125" s="122"/>
      <c r="MS125" s="123"/>
      <c r="MT125" s="124"/>
      <c r="MU125" s="124"/>
      <c r="MV125" s="124"/>
      <c r="MW125" s="124"/>
      <c r="MX125" s="124"/>
      <c r="MY125" s="124"/>
      <c r="MZ125" s="125"/>
      <c r="NA125" s="126"/>
      <c r="NB125" s="124"/>
      <c r="NC125" s="124"/>
      <c r="ND125" s="127"/>
      <c r="NE125" s="123"/>
      <c r="NF125" s="124"/>
      <c r="NG125" s="124"/>
      <c r="NH125" s="124"/>
      <c r="NI125" s="124"/>
      <c r="NJ125" s="124"/>
      <c r="NK125" s="124"/>
      <c r="NL125" s="124"/>
      <c r="NM125" s="124"/>
      <c r="NN125" s="124"/>
      <c r="NO125" s="124"/>
      <c r="NP125" s="125"/>
      <c r="NQ125" s="301"/>
      <c r="NR125" s="151"/>
      <c r="NS125" s="131">
        <f>SUM(MQ125:NR125)</f>
      </c>
      <c r="NT125" s="121"/>
      <c r="NU125" s="122"/>
      <c r="NV125" s="123"/>
      <c r="NW125" s="124"/>
      <c r="NX125" s="124"/>
      <c r="NY125" s="124"/>
      <c r="NZ125" s="124"/>
      <c r="OA125" s="124"/>
      <c r="OB125" s="124"/>
      <c r="OC125" s="125"/>
      <c r="OD125" s="126"/>
      <c r="OE125" s="124"/>
      <c r="OF125" s="124"/>
      <c r="OG125" s="127"/>
      <c r="OH125" s="123"/>
      <c r="OI125" s="124"/>
      <c r="OJ125" s="124"/>
      <c r="OK125" s="124"/>
      <c r="OL125" s="124"/>
      <c r="OM125" s="124"/>
      <c r="ON125" s="124"/>
      <c r="OO125" s="124"/>
      <c r="OP125" s="124"/>
      <c r="OQ125" s="124"/>
      <c r="OR125" s="124"/>
      <c r="OS125" s="125"/>
      <c r="OT125" s="301"/>
      <c r="OU125" s="151"/>
      <c r="OV125" s="131">
        <f>SUM(NT125:OU125)</f>
      </c>
      <c r="OW125" s="150">
        <f>ID125+JG125+KJ125+LM125+MP125+NS125+OV125</f>
      </c>
      <c r="OX125" s="302">
        <f>(COUNTIF(HB125:OV125,"H")+COUNTIF(HB125:OV125,"S")+COUNTIF(HB125:OV125,"L")+COUNTIF(HB125:OV125,"E")+COUNTIF(HB125:OV125,"C"))/2</f>
      </c>
      <c r="OY125" s="131">
        <f>OW125+OX125</f>
      </c>
      <c r="OZ125" s="134"/>
      <c r="PA125" s="135"/>
      <c r="PB125" s="219">
        <v>0.5</v>
      </c>
      <c r="PC125" s="216">
        <v>0.5</v>
      </c>
      <c r="PD125" s="216">
        <v>0.5</v>
      </c>
      <c r="PE125" s="216">
        <v>0.5</v>
      </c>
      <c r="PF125" s="216">
        <v>0.5</v>
      </c>
      <c r="PG125" s="216">
        <v>0.5</v>
      </c>
      <c r="PH125" s="216">
        <v>0.5</v>
      </c>
      <c r="PI125" s="217">
        <v>0.5</v>
      </c>
      <c r="PJ125" s="147"/>
      <c r="PK125" s="148"/>
      <c r="PL125" s="216">
        <v>0.5</v>
      </c>
      <c r="PM125" s="226">
        <v>0.5</v>
      </c>
      <c r="PN125" s="219">
        <v>0.5</v>
      </c>
      <c r="PO125" s="216">
        <v>0.5</v>
      </c>
      <c r="PP125" s="216">
        <v>0.5</v>
      </c>
      <c r="PQ125" s="216">
        <v>0.5</v>
      </c>
      <c r="PR125" s="216">
        <v>0.5</v>
      </c>
      <c r="PS125" s="216">
        <v>0.5</v>
      </c>
      <c r="PT125" s="137"/>
      <c r="PU125" s="137"/>
      <c r="PV125" s="137"/>
      <c r="PW125" s="137"/>
      <c r="PX125" s="137"/>
      <c r="PY125" s="153"/>
      <c r="PZ125" s="304"/>
      <c r="QA125" s="152"/>
      <c r="QB125" s="131">
        <f>SUM(OZ125:QA125)</f>
      </c>
      <c r="QC125" s="134"/>
      <c r="QD125" s="135"/>
      <c r="QE125" s="219">
        <v>0.5</v>
      </c>
      <c r="QF125" s="216">
        <v>0.5</v>
      </c>
      <c r="QG125" s="216">
        <v>0.5</v>
      </c>
      <c r="QH125" s="216">
        <v>0.5</v>
      </c>
      <c r="QI125" s="216">
        <v>0.5</v>
      </c>
      <c r="QJ125" s="216">
        <v>0.5</v>
      </c>
      <c r="QK125" s="216">
        <v>0.5</v>
      </c>
      <c r="QL125" s="217">
        <v>0.5</v>
      </c>
      <c r="QM125" s="147"/>
      <c r="QN125" s="148"/>
      <c r="QO125" s="216">
        <v>0.5</v>
      </c>
      <c r="QP125" s="226">
        <v>0.5</v>
      </c>
      <c r="QQ125" s="219">
        <v>0.5</v>
      </c>
      <c r="QR125" s="216">
        <v>0.5</v>
      </c>
      <c r="QS125" s="216">
        <v>0.5</v>
      </c>
      <c r="QT125" s="216">
        <v>0.5</v>
      </c>
      <c r="QU125" s="216">
        <v>0.5</v>
      </c>
      <c r="QV125" s="216">
        <v>0.5</v>
      </c>
      <c r="QW125" s="137"/>
      <c r="QX125" s="137"/>
      <c r="QY125" s="137"/>
      <c r="QZ125" s="137"/>
      <c r="RA125" s="137"/>
      <c r="RB125" s="153"/>
      <c r="RC125" s="304"/>
      <c r="RD125" s="152"/>
      <c r="RE125" s="131">
        <f>SUM(QC125:RD125)</f>
      </c>
      <c r="RF125" s="134"/>
      <c r="RG125" s="135"/>
      <c r="RH125" s="142">
        <v>0.5</v>
      </c>
      <c r="RI125" s="138">
        <v>0.5</v>
      </c>
      <c r="RJ125" s="138">
        <v>0.5</v>
      </c>
      <c r="RK125" s="138">
        <v>0.5</v>
      </c>
      <c r="RL125" s="138">
        <v>0.5</v>
      </c>
      <c r="RM125" s="138">
        <v>0.5</v>
      </c>
      <c r="RN125" s="138">
        <v>0.5</v>
      </c>
      <c r="RO125" s="139">
        <v>0.5</v>
      </c>
      <c r="RP125" s="147"/>
      <c r="RQ125" s="148"/>
      <c r="RR125" s="138">
        <v>0.5</v>
      </c>
      <c r="RS125" s="149">
        <v>0.5</v>
      </c>
      <c r="RT125" s="142">
        <v>0.5</v>
      </c>
      <c r="RU125" s="138">
        <v>0.5</v>
      </c>
      <c r="RV125" s="138">
        <v>0.5</v>
      </c>
      <c r="RW125" s="138">
        <v>0.5</v>
      </c>
      <c r="RX125" s="138">
        <v>0.5</v>
      </c>
      <c r="RY125" s="138">
        <v>0.5</v>
      </c>
      <c r="RZ125" s="137"/>
      <c r="SA125" s="137"/>
      <c r="SB125" s="137"/>
      <c r="SC125" s="137"/>
      <c r="SD125" s="137"/>
      <c r="SE125" s="153"/>
      <c r="SF125" s="304"/>
      <c r="SG125" s="152"/>
      <c r="SH125" s="131">
        <f>SUM(RF125:SG125)</f>
      </c>
      <c r="SI125" s="134"/>
      <c r="SJ125" s="135"/>
      <c r="SK125" s="142">
        <v>0.5</v>
      </c>
      <c r="SL125" s="138">
        <v>0.5</v>
      </c>
      <c r="SM125" s="138">
        <v>0.5</v>
      </c>
      <c r="SN125" s="138">
        <v>0.5</v>
      </c>
      <c r="SO125" s="138">
        <v>0.5</v>
      </c>
      <c r="SP125" s="138">
        <v>0.5</v>
      </c>
      <c r="SQ125" s="138">
        <v>0.5</v>
      </c>
      <c r="SR125" s="139">
        <v>0.5</v>
      </c>
      <c r="SS125" s="147"/>
      <c r="ST125" s="137"/>
      <c r="SU125" s="138">
        <v>0.5</v>
      </c>
      <c r="SV125" s="149">
        <v>0.5</v>
      </c>
      <c r="SW125" s="142">
        <v>0.5</v>
      </c>
      <c r="SX125" s="138">
        <v>0.5</v>
      </c>
      <c r="SY125" s="138">
        <v>0.5</v>
      </c>
      <c r="SZ125" s="138">
        <v>0.5</v>
      </c>
      <c r="TA125" s="138">
        <v>0.5</v>
      </c>
      <c r="TB125" s="138">
        <v>0.5</v>
      </c>
      <c r="TC125" s="137"/>
      <c r="TD125" s="137"/>
      <c r="TE125" s="137"/>
      <c r="TF125" s="137"/>
      <c r="TG125" s="137"/>
      <c r="TH125" s="153"/>
      <c r="TI125" s="304"/>
      <c r="TJ125" s="152"/>
      <c r="TK125" s="131">
        <f>SUM(SI125:TJ125)</f>
      </c>
      <c r="TL125" s="134"/>
      <c r="TM125" s="135"/>
      <c r="TN125" s="142">
        <v>0.5</v>
      </c>
      <c r="TO125" s="138">
        <v>0.5</v>
      </c>
      <c r="TP125" s="138">
        <v>0.5</v>
      </c>
      <c r="TQ125" s="138">
        <v>0.5</v>
      </c>
      <c r="TR125" s="138">
        <v>0.5</v>
      </c>
      <c r="TS125" s="138">
        <v>0.5</v>
      </c>
      <c r="TT125" s="138">
        <v>0.5</v>
      </c>
      <c r="TU125" s="139">
        <v>0.5</v>
      </c>
      <c r="TV125" s="147"/>
      <c r="TW125" s="148"/>
      <c r="TX125" s="138">
        <v>0.5</v>
      </c>
      <c r="TY125" s="149">
        <v>0.5</v>
      </c>
      <c r="TZ125" s="142">
        <v>0.5</v>
      </c>
      <c r="UA125" s="138">
        <v>0.5</v>
      </c>
      <c r="UB125" s="138">
        <v>0.5</v>
      </c>
      <c r="UC125" s="138">
        <v>0.5</v>
      </c>
      <c r="UD125" s="138">
        <v>0.5</v>
      </c>
      <c r="UE125" s="138">
        <v>0.5</v>
      </c>
      <c r="UF125" s="137"/>
      <c r="UG125" s="137"/>
      <c r="UH125" s="137"/>
      <c r="UI125" s="137"/>
      <c r="UJ125" s="137"/>
      <c r="UK125" s="153"/>
      <c r="UL125" s="304"/>
      <c r="UM125" s="152"/>
      <c r="UN125" s="131">
        <f>SUM(TL125:UM125)</f>
      </c>
      <c r="UO125" s="121"/>
      <c r="UP125" s="122"/>
      <c r="UQ125" s="123"/>
      <c r="UR125" s="124"/>
      <c r="US125" s="124"/>
      <c r="UT125" s="124"/>
      <c r="UU125" s="124"/>
      <c r="UV125" s="124"/>
      <c r="UW125" s="124"/>
      <c r="UX125" s="125"/>
      <c r="UY125" s="126"/>
      <c r="UZ125" s="124"/>
      <c r="VA125" s="124"/>
      <c r="VB125" s="127"/>
      <c r="VC125" s="123"/>
      <c r="VD125" s="124"/>
      <c r="VE125" s="124"/>
      <c r="VF125" s="124"/>
      <c r="VG125" s="124"/>
      <c r="VH125" s="124"/>
      <c r="VI125" s="124"/>
      <c r="VJ125" s="124"/>
      <c r="VK125" s="124"/>
      <c r="VL125" s="124"/>
      <c r="VM125" s="124"/>
      <c r="VN125" s="125"/>
      <c r="VO125" s="301"/>
      <c r="VP125" s="151"/>
      <c r="VQ125" s="131">
        <f>SUM(UO125:VP125)</f>
      </c>
      <c r="VR125" s="121"/>
      <c r="VS125" s="122"/>
      <c r="VT125" s="123"/>
      <c r="VU125" s="124"/>
      <c r="VV125" s="124"/>
      <c r="VW125" s="124"/>
      <c r="VX125" s="124"/>
      <c r="VY125" s="124"/>
      <c r="VZ125" s="124"/>
      <c r="WA125" s="125"/>
      <c r="WB125" s="126"/>
      <c r="WC125" s="124"/>
      <c r="WD125" s="124"/>
      <c r="WE125" s="127"/>
      <c r="WF125" s="123"/>
      <c r="WG125" s="124"/>
      <c r="WH125" s="124"/>
      <c r="WI125" s="124"/>
      <c r="WJ125" s="124"/>
      <c r="WK125" s="124"/>
      <c r="WL125" s="124"/>
      <c r="WM125" s="124"/>
      <c r="WN125" s="124"/>
      <c r="WO125" s="124"/>
      <c r="WP125" s="124"/>
      <c r="WQ125" s="125"/>
      <c r="WR125" s="301"/>
      <c r="WS125" s="151"/>
      <c r="WT125" s="131">
        <f>SUM(VR125:WS125)</f>
      </c>
      <c r="WU125" s="150">
        <f>QB125+RE125+SH125+TK125+UN125+VQ125+WT125</f>
      </c>
      <c r="WV125" s="302">
        <f>(COUNTIF(OZ125:WT125,"H")+COUNTIF(OZ125:WT125,"S")+COUNTIF(OZ125:WT125,"L")+COUNTIF(OZ125:WT125,"E")+COUNTIF(OZ125:WT125,"C"))/2</f>
      </c>
      <c r="WW125" s="131">
        <f>WU125+WV125</f>
      </c>
      <c r="WX125" s="134"/>
      <c r="WY125" s="135"/>
      <c r="WZ125" s="219">
        <v>0.5</v>
      </c>
      <c r="XA125" s="216">
        <v>0.5</v>
      </c>
      <c r="XB125" s="216">
        <v>0.5</v>
      </c>
      <c r="XC125" s="216">
        <v>0.5</v>
      </c>
      <c r="XD125" s="216">
        <v>0.5</v>
      </c>
      <c r="XE125" s="216">
        <v>0.5</v>
      </c>
      <c r="XF125" s="216">
        <v>0.5</v>
      </c>
      <c r="XG125" s="217">
        <v>0.5</v>
      </c>
      <c r="XH125" s="147"/>
      <c r="XI125" s="148"/>
      <c r="XJ125" s="216">
        <v>0.5</v>
      </c>
      <c r="XK125" s="226">
        <v>0.5</v>
      </c>
      <c r="XL125" s="219">
        <v>0.5</v>
      </c>
      <c r="XM125" s="216">
        <v>0.5</v>
      </c>
      <c r="XN125" s="216">
        <v>0.5</v>
      </c>
      <c r="XO125" s="216">
        <v>0.5</v>
      </c>
      <c r="XP125" s="216">
        <v>0.5</v>
      </c>
      <c r="XQ125" s="216">
        <v>0.5</v>
      </c>
      <c r="XR125" s="137"/>
      <c r="XS125" s="137"/>
      <c r="XT125" s="137"/>
      <c r="XU125" s="137"/>
      <c r="XV125" s="137"/>
      <c r="XW125" s="153"/>
      <c r="XX125" s="304"/>
      <c r="XY125" s="152"/>
      <c r="XZ125" s="131">
        <f>SUM(WX125:XY125)</f>
      </c>
      <c r="YA125" s="134"/>
      <c r="YB125" s="135"/>
      <c r="YC125" s="219">
        <v>0.5</v>
      </c>
      <c r="YD125" s="216">
        <v>0.5</v>
      </c>
      <c r="YE125" s="216">
        <v>0.5</v>
      </c>
      <c r="YF125" s="216">
        <v>0.5</v>
      </c>
      <c r="YG125" s="216">
        <v>0.5</v>
      </c>
      <c r="YH125" s="216">
        <v>0.5</v>
      </c>
      <c r="YI125" s="216">
        <v>0.5</v>
      </c>
      <c r="YJ125" s="217">
        <v>0.5</v>
      </c>
      <c r="YK125" s="147"/>
      <c r="YL125" s="148"/>
      <c r="YM125" s="216">
        <v>0.5</v>
      </c>
      <c r="YN125" s="226">
        <v>0.5</v>
      </c>
      <c r="YO125" s="219">
        <v>0.5</v>
      </c>
      <c r="YP125" s="216">
        <v>0.5</v>
      </c>
      <c r="YQ125" s="216">
        <v>0.5</v>
      </c>
      <c r="YR125" s="216">
        <v>0.5</v>
      </c>
      <c r="YS125" s="216">
        <v>0.5</v>
      </c>
      <c r="YT125" s="216">
        <v>0.5</v>
      </c>
      <c r="YU125" s="137"/>
      <c r="YV125" s="137"/>
      <c r="YW125" s="137"/>
      <c r="YX125" s="137"/>
      <c r="YY125" s="137"/>
      <c r="YZ125" s="153"/>
      <c r="ZA125" s="304"/>
      <c r="ZB125" s="152"/>
      <c r="ZC125" s="131">
        <f>SUM(YA125:ZB125)</f>
      </c>
      <c r="ZD125" s="134"/>
      <c r="ZE125" s="135"/>
      <c r="ZF125" s="142">
        <v>0.5</v>
      </c>
      <c r="ZG125" s="138">
        <v>0.5</v>
      </c>
      <c r="ZH125" s="138">
        <v>0.5</v>
      </c>
      <c r="ZI125" s="138">
        <v>0.5</v>
      </c>
      <c r="ZJ125" s="138">
        <v>0.5</v>
      </c>
      <c r="ZK125" s="138">
        <v>0.5</v>
      </c>
      <c r="ZL125" s="138">
        <v>0.5</v>
      </c>
      <c r="ZM125" s="139">
        <v>0.5</v>
      </c>
      <c r="ZN125" s="147"/>
      <c r="ZO125" s="148"/>
      <c r="ZP125" s="138">
        <v>0.5</v>
      </c>
      <c r="ZQ125" s="149">
        <v>0.5</v>
      </c>
      <c r="ZR125" s="142">
        <v>0.5</v>
      </c>
      <c r="ZS125" s="138">
        <v>0.5</v>
      </c>
      <c r="ZT125" s="138">
        <v>0.5</v>
      </c>
      <c r="ZU125" s="138">
        <v>0.5</v>
      </c>
      <c r="ZV125" s="138">
        <v>0.5</v>
      </c>
      <c r="ZW125" s="138">
        <v>0.5</v>
      </c>
      <c r="ZX125" s="137"/>
      <c r="ZY125" s="137"/>
      <c r="ZZ125" s="137"/>
      <c r="AAA125" s="137"/>
      <c r="AAB125" s="137"/>
      <c r="AAC125" s="153"/>
      <c r="AAD125" s="304"/>
      <c r="AAE125" s="152"/>
      <c r="AAF125" s="131">
        <f>SUM(ZD125:AAE125)</f>
      </c>
      <c r="AAG125" s="134"/>
      <c r="AAH125" s="135"/>
      <c r="AAI125" s="142">
        <v>0.5</v>
      </c>
      <c r="AAJ125" s="138">
        <v>0.5</v>
      </c>
      <c r="AAK125" s="138">
        <v>0.5</v>
      </c>
      <c r="AAL125" s="138">
        <v>0.5</v>
      </c>
      <c r="AAM125" s="138">
        <v>0.5</v>
      </c>
      <c r="AAN125" s="138">
        <v>0.5</v>
      </c>
      <c r="AAO125" s="138">
        <v>0.5</v>
      </c>
      <c r="AAP125" s="139">
        <v>0.5</v>
      </c>
      <c r="AAQ125" s="147"/>
      <c r="AAR125" s="137"/>
      <c r="AAS125" s="138">
        <v>0.5</v>
      </c>
      <c r="AAT125" s="149">
        <v>0.5</v>
      </c>
      <c r="AAU125" s="142">
        <v>0.5</v>
      </c>
      <c r="AAV125" s="138">
        <v>0.5</v>
      </c>
      <c r="AAW125" s="138">
        <v>0.5</v>
      </c>
      <c r="AAX125" s="138">
        <v>0.5</v>
      </c>
      <c r="AAY125" s="138">
        <v>0.5</v>
      </c>
      <c r="AAZ125" s="138">
        <v>0.5</v>
      </c>
      <c r="ABA125" s="137"/>
      <c r="ABB125" s="137"/>
      <c r="ABC125" s="137"/>
      <c r="ABD125" s="137"/>
      <c r="ABE125" s="137"/>
      <c r="ABF125" s="153"/>
      <c r="ABG125" s="304"/>
      <c r="ABH125" s="152"/>
      <c r="ABI125" s="131">
        <f>SUM(AAG125:ABH125)</f>
      </c>
      <c r="ABJ125" s="134"/>
      <c r="ABK125" s="135"/>
      <c r="ABL125" s="142">
        <v>0.5</v>
      </c>
      <c r="ABM125" s="138">
        <v>0.5</v>
      </c>
      <c r="ABN125" s="138">
        <v>0.5</v>
      </c>
      <c r="ABO125" s="138">
        <v>0.5</v>
      </c>
      <c r="ABP125" s="138">
        <v>0.5</v>
      </c>
      <c r="ABQ125" s="138">
        <v>0.5</v>
      </c>
      <c r="ABR125" s="138">
        <v>0.5</v>
      </c>
      <c r="ABS125" s="139">
        <v>0.5</v>
      </c>
      <c r="ABT125" s="147"/>
      <c r="ABU125" s="148"/>
      <c r="ABV125" s="138">
        <v>0.5</v>
      </c>
      <c r="ABW125" s="149">
        <v>0.5</v>
      </c>
      <c r="ABX125" s="142">
        <v>0.5</v>
      </c>
      <c r="ABY125" s="138">
        <v>0.5</v>
      </c>
      <c r="ABZ125" s="138">
        <v>0.5</v>
      </c>
      <c r="ACA125" s="138">
        <v>0.5</v>
      </c>
      <c r="ACB125" s="138">
        <v>0.5</v>
      </c>
      <c r="ACC125" s="138">
        <v>0.5</v>
      </c>
      <c r="ACD125" s="137"/>
      <c r="ACE125" s="137"/>
      <c r="ACF125" s="137"/>
      <c r="ACG125" s="137"/>
      <c r="ACH125" s="137"/>
      <c r="ACI125" s="153"/>
      <c r="ACJ125" s="304"/>
      <c r="ACK125" s="152"/>
      <c r="ACL125" s="131">
        <f>SUM(ABJ125:ACK125)</f>
      </c>
      <c r="ACM125" s="121"/>
      <c r="ACN125" s="122"/>
      <c r="ACO125" s="123"/>
      <c r="ACP125" s="124"/>
      <c r="ACQ125" s="124"/>
      <c r="ACR125" s="124"/>
      <c r="ACS125" s="124"/>
      <c r="ACT125" s="124"/>
      <c r="ACU125" s="124"/>
      <c r="ACV125" s="125"/>
      <c r="ACW125" s="126"/>
      <c r="ACX125" s="124"/>
      <c r="ACY125" s="124"/>
      <c r="ACZ125" s="127"/>
      <c r="ADA125" s="123"/>
      <c r="ADB125" s="124"/>
      <c r="ADC125" s="124"/>
      <c r="ADD125" s="124"/>
      <c r="ADE125" s="124"/>
      <c r="ADF125" s="124"/>
      <c r="ADG125" s="124"/>
      <c r="ADH125" s="124"/>
      <c r="ADI125" s="124"/>
      <c r="ADJ125" s="124"/>
      <c r="ADK125" s="124"/>
      <c r="ADL125" s="125"/>
      <c r="ADM125" s="301"/>
      <c r="ADN125" s="151"/>
      <c r="ADO125" s="131">
        <f>SUM(ACM125:ADN125)</f>
      </c>
      <c r="ADP125" s="121"/>
      <c r="ADQ125" s="122"/>
      <c r="ADR125" s="123"/>
      <c r="ADS125" s="124"/>
      <c r="ADT125" s="124"/>
      <c r="ADU125" s="124"/>
      <c r="ADV125" s="124"/>
      <c r="ADW125" s="124"/>
      <c r="ADX125" s="124"/>
      <c r="ADY125" s="125"/>
      <c r="ADZ125" s="126"/>
      <c r="AEA125" s="124"/>
      <c r="AEB125" s="124"/>
      <c r="AEC125" s="127"/>
      <c r="AED125" s="123"/>
      <c r="AEE125" s="124"/>
      <c r="AEF125" s="124"/>
      <c r="AEG125" s="124"/>
      <c r="AEH125" s="124"/>
      <c r="AEI125" s="124"/>
      <c r="AEJ125" s="124"/>
      <c r="AEK125" s="124"/>
      <c r="AEL125" s="124"/>
      <c r="AEM125" s="124"/>
      <c r="AEN125" s="124"/>
      <c r="AEO125" s="125"/>
      <c r="AEP125" s="301"/>
      <c r="AEQ125" s="151"/>
      <c r="AER125" s="131">
        <f>SUM(ADP125:AEQ125)</f>
      </c>
      <c r="AES125" s="150">
        <f>XZ125+ZC125+AAF125+ABI125+ACL125+ADO125+AER125</f>
      </c>
      <c r="AET125" s="302">
        <f>(COUNTIF(WX125:AER125,"H")+COUNTIF(WX125:AER125,"S")+COUNTIF(WX125:AER125,"L")+COUNTIF(WX125:AER125,"E")+COUNTIF(WX125:AER125,"C"))/2</f>
      </c>
      <c r="AEU125" s="131">
        <f>AES125+AET125</f>
      </c>
      <c r="AEV125" s="134"/>
      <c r="AEW125" s="135"/>
      <c r="AEX125" s="219">
        <v>0.5</v>
      </c>
      <c r="AEY125" s="216">
        <v>0.5</v>
      </c>
      <c r="AEZ125" s="216">
        <v>0.5</v>
      </c>
      <c r="AFA125" s="216">
        <v>0.5</v>
      </c>
      <c r="AFB125" s="216">
        <v>0.5</v>
      </c>
      <c r="AFC125" s="216">
        <v>0.5</v>
      </c>
      <c r="AFD125" s="216">
        <v>0.5</v>
      </c>
      <c r="AFE125" s="217">
        <v>0.5</v>
      </c>
      <c r="AFF125" s="147"/>
      <c r="AFG125" s="148"/>
      <c r="AFH125" s="216">
        <v>0.5</v>
      </c>
      <c r="AFI125" s="226">
        <v>0.5</v>
      </c>
      <c r="AFJ125" s="219">
        <v>0.5</v>
      </c>
      <c r="AFK125" s="216">
        <v>0.5</v>
      </c>
      <c r="AFL125" s="216">
        <v>0.5</v>
      </c>
      <c r="AFM125" s="216">
        <v>0.5</v>
      </c>
      <c r="AFN125" s="216">
        <v>0.5</v>
      </c>
      <c r="AFO125" s="216">
        <v>0.5</v>
      </c>
      <c r="AFP125" s="137"/>
      <c r="AFQ125" s="137"/>
      <c r="AFR125" s="137"/>
      <c r="AFS125" s="137"/>
      <c r="AFT125" s="137"/>
      <c r="AFU125" s="153"/>
      <c r="AFV125" s="304"/>
      <c r="AFW125" s="152"/>
      <c r="AFX125" s="131">
        <f>SUM(AEV125:AFW125)</f>
      </c>
      <c r="AFY125" s="134"/>
      <c r="AFZ125" s="135"/>
      <c r="AGA125" s="219">
        <v>0.5</v>
      </c>
      <c r="AGB125" s="216">
        <v>0.5</v>
      </c>
      <c r="AGC125" s="216">
        <v>0.5</v>
      </c>
      <c r="AGD125" s="216">
        <v>0.5</v>
      </c>
      <c r="AGE125" s="216">
        <v>0.5</v>
      </c>
      <c r="AGF125" s="216">
        <v>0.5</v>
      </c>
      <c r="AGG125" s="216">
        <v>0.5</v>
      </c>
      <c r="AGH125" s="217">
        <v>0.5</v>
      </c>
      <c r="AGI125" s="147"/>
      <c r="AGJ125" s="148"/>
      <c r="AGK125" s="216">
        <v>0.5</v>
      </c>
      <c r="AGL125" s="226">
        <v>0.5</v>
      </c>
      <c r="AGM125" s="219">
        <v>0.5</v>
      </c>
      <c r="AGN125" s="216">
        <v>0.5</v>
      </c>
      <c r="AGO125" s="216">
        <v>0.5</v>
      </c>
      <c r="AGP125" s="216">
        <v>0.5</v>
      </c>
      <c r="AGQ125" s="216">
        <v>0.5</v>
      </c>
      <c r="AGR125" s="216">
        <v>0.5</v>
      </c>
      <c r="AGS125" s="137"/>
      <c r="AGT125" s="137"/>
      <c r="AGU125" s="137"/>
      <c r="AGV125" s="137"/>
      <c r="AGW125" s="137"/>
      <c r="AGX125" s="153"/>
      <c r="AGY125" s="304"/>
      <c r="AGZ125" s="152"/>
      <c r="AHA125" s="131">
        <f>SUM(AFY125:AGZ125)</f>
      </c>
      <c r="AHB125" s="134"/>
      <c r="AHC125" s="135"/>
      <c r="AHD125" s="142">
        <v>0.5</v>
      </c>
      <c r="AHE125" s="138">
        <v>0.5</v>
      </c>
      <c r="AHF125" s="138">
        <v>0.5</v>
      </c>
      <c r="AHG125" s="138">
        <v>0.5</v>
      </c>
      <c r="AHH125" s="138">
        <v>0.5</v>
      </c>
      <c r="AHI125" s="138">
        <v>0.5</v>
      </c>
      <c r="AHJ125" s="138">
        <v>0.5</v>
      </c>
      <c r="AHK125" s="139">
        <v>0.5</v>
      </c>
      <c r="AHL125" s="147"/>
      <c r="AHM125" s="148"/>
      <c r="AHN125" s="138">
        <v>0.5</v>
      </c>
      <c r="AHO125" s="149">
        <v>0.5</v>
      </c>
      <c r="AHP125" s="142">
        <v>0.5</v>
      </c>
      <c r="AHQ125" s="138">
        <v>0.5</v>
      </c>
      <c r="AHR125" s="138">
        <v>0.5</v>
      </c>
      <c r="AHS125" s="138">
        <v>0.5</v>
      </c>
      <c r="AHT125" s="138">
        <v>0.5</v>
      </c>
      <c r="AHU125" s="138">
        <v>0.5</v>
      </c>
      <c r="AHV125" s="137"/>
      <c r="AHW125" s="137"/>
      <c r="AHX125" s="137"/>
      <c r="AHY125" s="137"/>
      <c r="AHZ125" s="137"/>
      <c r="AIA125" s="153"/>
      <c r="AIB125" s="304"/>
      <c r="AIC125" s="152"/>
      <c r="AID125" s="131">
        <f>SUM(AHB125:AIC125)</f>
      </c>
      <c r="AIE125" s="134"/>
      <c r="AIF125" s="135"/>
      <c r="AIG125" s="142">
        <v>0.5</v>
      </c>
      <c r="AIH125" s="138">
        <v>0.5</v>
      </c>
      <c r="AII125" s="138">
        <v>0.5</v>
      </c>
      <c r="AIJ125" s="138">
        <v>0.5</v>
      </c>
      <c r="AIK125" s="138">
        <v>0.5</v>
      </c>
      <c r="AIL125" s="138">
        <v>0.5</v>
      </c>
      <c r="AIM125" s="138">
        <v>0.5</v>
      </c>
      <c r="AIN125" s="139">
        <v>0.5</v>
      </c>
      <c r="AIO125" s="147"/>
      <c r="AIP125" s="137"/>
      <c r="AIQ125" s="138">
        <v>0.5</v>
      </c>
      <c r="AIR125" s="149">
        <v>0.5</v>
      </c>
      <c r="AIS125" s="142">
        <v>0.5</v>
      </c>
      <c r="AIT125" s="138">
        <v>0.5</v>
      </c>
      <c r="AIU125" s="138">
        <v>0.5</v>
      </c>
      <c r="AIV125" s="138">
        <v>0.5</v>
      </c>
      <c r="AIW125" s="138">
        <v>0.5</v>
      </c>
      <c r="AIX125" s="138">
        <v>0.5</v>
      </c>
      <c r="AIY125" s="137"/>
      <c r="AIZ125" s="137"/>
      <c r="AJA125" s="137"/>
      <c r="AJB125" s="137"/>
      <c r="AJC125" s="137"/>
      <c r="AJD125" s="153"/>
      <c r="AJE125" s="304"/>
      <c r="AJF125" s="152"/>
      <c r="AJG125" s="131">
        <f>SUM(AIE125:AJF125)</f>
      </c>
      <c r="AJH125" s="134"/>
      <c r="AJI125" s="135"/>
      <c r="AJJ125" s="142">
        <v>0.5</v>
      </c>
      <c r="AJK125" s="138">
        <v>0.5</v>
      </c>
      <c r="AJL125" s="138">
        <v>0.5</v>
      </c>
      <c r="AJM125" s="138">
        <v>0.5</v>
      </c>
      <c r="AJN125" s="138">
        <v>0.5</v>
      </c>
      <c r="AJO125" s="138">
        <v>0.5</v>
      </c>
      <c r="AJP125" s="138">
        <v>0.5</v>
      </c>
      <c r="AJQ125" s="139">
        <v>0.5</v>
      </c>
      <c r="AJR125" s="147"/>
      <c r="AJS125" s="148"/>
      <c r="AJT125" s="138">
        <v>0.5</v>
      </c>
      <c r="AJU125" s="149">
        <v>0.5</v>
      </c>
      <c r="AJV125" s="142">
        <v>0.5</v>
      </c>
      <c r="AJW125" s="138">
        <v>0.5</v>
      </c>
      <c r="AJX125" s="138">
        <v>0.5</v>
      </c>
      <c r="AJY125" s="138">
        <v>0.5</v>
      </c>
      <c r="AJZ125" s="138">
        <v>0.5</v>
      </c>
      <c r="AKA125" s="138">
        <v>0.5</v>
      </c>
      <c r="AKB125" s="137"/>
      <c r="AKC125" s="137"/>
      <c r="AKD125" s="137"/>
      <c r="AKE125" s="137"/>
      <c r="AKF125" s="137"/>
      <c r="AKG125" s="153"/>
      <c r="AKH125" s="304"/>
      <c r="AKI125" s="152"/>
      <c r="AKJ125" s="131">
        <f>SUM(AJH125:AKI125)</f>
      </c>
      <c r="AKK125" s="121"/>
      <c r="AKL125" s="122"/>
      <c r="AKM125" s="123"/>
      <c r="AKN125" s="124"/>
      <c r="AKO125" s="124"/>
      <c r="AKP125" s="124"/>
      <c r="AKQ125" s="124"/>
      <c r="AKR125" s="124"/>
      <c r="AKS125" s="124"/>
      <c r="AKT125" s="125"/>
      <c r="AKU125" s="126"/>
      <c r="AKV125" s="124"/>
      <c r="AKW125" s="124"/>
      <c r="AKX125" s="127"/>
      <c r="AKY125" s="123"/>
      <c r="AKZ125" s="124"/>
      <c r="ALA125" s="124"/>
      <c r="ALB125" s="124"/>
      <c r="ALC125" s="124"/>
      <c r="ALD125" s="124"/>
      <c r="ALE125" s="124"/>
      <c r="ALF125" s="124"/>
      <c r="ALG125" s="124"/>
      <c r="ALH125" s="124"/>
      <c r="ALI125" s="124"/>
      <c r="ALJ125" s="125"/>
      <c r="ALK125" s="301"/>
      <c r="ALL125" s="151"/>
      <c r="ALM125" s="131">
        <f>SUM(AKK125:ALL125)</f>
      </c>
      <c r="ALN125" s="121"/>
      <c r="ALO125" s="122"/>
      <c r="ALP125" s="123"/>
      <c r="ALQ125" s="124"/>
      <c r="ALR125" s="124"/>
      <c r="ALS125" s="124"/>
      <c r="ALT125" s="124"/>
      <c r="ALU125" s="124"/>
      <c r="ALV125" s="124"/>
      <c r="ALW125" s="125"/>
      <c r="ALX125" s="126"/>
      <c r="ALY125" s="124"/>
      <c r="ALZ125" s="124"/>
      <c r="AMA125" s="127"/>
      <c r="AMB125" s="123"/>
      <c r="AMC125" s="124"/>
      <c r="AMD125" s="124"/>
      <c r="AME125" s="124"/>
      <c r="AMF125" s="124"/>
      <c r="AMG125" s="124"/>
      <c r="AMH125" s="124"/>
      <c r="AMI125" s="124"/>
      <c r="AMJ125" s="124"/>
      <c r="AMK125" s="124"/>
      <c r="AML125" s="124"/>
      <c r="AMM125" s="125"/>
      <c r="AMN125" s="301"/>
      <c r="AMO125" s="151"/>
      <c r="AMP125" s="131">
        <f>SUM(ALN125:AMO125)</f>
      </c>
      <c r="AMQ125" s="150">
        <f>AFX125+AHA125+AID125+AJG125+AKJ125+ALM125+AMP125</f>
      </c>
      <c r="AMR125" s="302">
        <f>(COUNTIF(AEV125:AMP125,"H")+COUNTIF(AEV125:AMP125,"S")+COUNTIF(AEV125:AMP125,"L")+COUNTIF(AEV125:AMP125,"E")+COUNTIF(AEV125:AMP125,"C"))/2</f>
      </c>
      <c r="AMS125" s="131">
        <f>AMQ125+AMR125</f>
      </c>
      <c r="AMT125" s="4"/>
      <c r="AMU125" s="4"/>
      <c r="AMV125" s="4"/>
      <c r="AMW125" s="4"/>
      <c r="AMX125" s="4"/>
      <c r="AMY125" s="4"/>
      <c r="AMZ125" s="4"/>
      <c r="ANA125" s="4"/>
      <c r="ANB125" s="4"/>
      <c r="ANC125" s="4"/>
      <c r="AND125" s="4"/>
      <c r="ANE125" s="4"/>
      <c r="ANF125" s="4"/>
      <c r="ANG125" s="4"/>
      <c r="ANH125" s="4"/>
      <c r="ANI125" s="4"/>
      <c r="ANJ125" s="4"/>
      <c r="ANK125" s="4"/>
      <c r="ANL125" s="4"/>
      <c r="ANM125" s="4"/>
      <c r="ANN125" s="4"/>
      <c r="ANO125" s="4"/>
      <c r="ANP125" s="4"/>
      <c r="ANQ125" s="4"/>
      <c r="ANR125" s="4"/>
      <c r="ANS125" s="4"/>
      <c r="ANT125" s="4"/>
      <c r="ANU125" s="4"/>
      <c r="ANV125" s="4"/>
      <c r="ANW125" s="4"/>
      <c r="ANX125" s="4"/>
      <c r="ANY125" s="4"/>
      <c r="ANZ125" s="4"/>
      <c r="AOA125" s="4"/>
      <c r="AOB125" s="4"/>
      <c r="AOC125" s="4"/>
      <c r="AOD125" s="4"/>
      <c r="AOE125" s="4"/>
      <c r="AOF125" s="4"/>
      <c r="AOG125" s="4"/>
      <c r="AOH125" s="4"/>
      <c r="AOI125" s="4"/>
      <c r="AOJ125" s="4"/>
      <c r="AOK125" s="4"/>
      <c r="AOL125" s="4"/>
      <c r="AOM125" s="4"/>
      <c r="AON125" s="4"/>
      <c r="AOO125" s="4"/>
      <c r="AOP125" s="4"/>
      <c r="AOQ125" s="4"/>
      <c r="AOR125" s="4"/>
      <c r="AOS125" s="4"/>
      <c r="AOT125" s="4"/>
      <c r="AOU125" s="4"/>
      <c r="AOV125" s="4"/>
      <c r="AOW125" s="4"/>
      <c r="AOX125" s="4"/>
      <c r="AOY125" s="4"/>
      <c r="AOZ125" s="4"/>
      <c r="APA125" s="4"/>
      <c r="APB125" s="4"/>
      <c r="APC125" s="4"/>
      <c r="APD125" s="4"/>
      <c r="APE125" s="4"/>
      <c r="APF125" s="4"/>
      <c r="APG125" s="4"/>
      <c r="APH125" s="4"/>
      <c r="API125" s="4"/>
      <c r="APJ125" s="4"/>
      <c r="APK125" s="4"/>
      <c r="APL125" s="4"/>
      <c r="APM125" s="4"/>
      <c r="APN125" s="4"/>
      <c r="APO125" s="4"/>
      <c r="APP125" s="4"/>
      <c r="APQ125" s="4"/>
      <c r="APR125" s="4"/>
      <c r="APS125" s="4"/>
      <c r="APT125" s="4"/>
      <c r="APU125" s="4"/>
      <c r="APV125" s="4"/>
      <c r="APW125" s="4"/>
      <c r="APX125" s="4"/>
      <c r="APY125" s="4"/>
      <c r="APZ125" s="4"/>
      <c r="AQA125" s="4"/>
      <c r="AQB125" s="4"/>
      <c r="AQC125" s="4"/>
      <c r="AQD125" s="4"/>
      <c r="AQE125" s="4"/>
      <c r="AQF125" s="4"/>
      <c r="AQG125" s="4"/>
      <c r="AQH125" s="4"/>
      <c r="AQI125" s="4"/>
      <c r="AQJ125" s="4"/>
      <c r="AQK125" s="4"/>
      <c r="AQL125" s="4"/>
      <c r="AQM125" s="4"/>
      <c r="AQN125" s="4"/>
      <c r="AQO125" s="4"/>
      <c r="AQP125" s="4"/>
      <c r="AQQ125" s="4"/>
      <c r="AQR125" s="4"/>
      <c r="AQS125" s="4"/>
      <c r="AQT125" s="4"/>
      <c r="AQU125" s="4"/>
      <c r="AQV125" s="4"/>
      <c r="AQW125" s="4"/>
      <c r="AQX125" s="4"/>
      <c r="AQY125" s="4"/>
      <c r="AQZ125" s="4"/>
      <c r="ARA125" s="4"/>
      <c r="ARB125" s="4"/>
      <c r="ARC125" s="4"/>
      <c r="ARD125" s="4"/>
      <c r="ARE125" s="4"/>
      <c r="ARF125" s="4"/>
      <c r="ARG125" s="4"/>
      <c r="ARH125" s="4"/>
      <c r="ARI125" s="4"/>
      <c r="ARJ125" s="4"/>
      <c r="ARK125" s="4"/>
      <c r="ARL125" s="4"/>
      <c r="ARM125" s="4"/>
      <c r="ARN125" s="4"/>
      <c r="ARO125" s="4"/>
      <c r="ARP125" s="4"/>
      <c r="ARQ125" s="4"/>
      <c r="ARR125" s="4"/>
      <c r="ARS125" s="4"/>
      <c r="ART125" s="4"/>
      <c r="ARU125" s="4"/>
      <c r="ARV125" s="4"/>
      <c r="ARW125" s="4"/>
      <c r="ARX125" s="4"/>
      <c r="ARY125" s="4"/>
      <c r="ARZ125" s="4"/>
      <c r="ASA125" s="4"/>
      <c r="ASB125" s="4"/>
      <c r="ASC125" s="4"/>
      <c r="ASD125" s="4"/>
      <c r="ASE125" s="4"/>
      <c r="ASF125" s="4"/>
      <c r="ASG125" s="4"/>
      <c r="ASH125" s="4"/>
      <c r="ASI125" s="4"/>
      <c r="ASJ125" s="4"/>
      <c r="ASK125" s="4"/>
      <c r="ASL125" s="4"/>
      <c r="ASM125" s="4"/>
      <c r="ASN125" s="4"/>
      <c r="ASO125" s="4"/>
      <c r="ASP125" s="4"/>
      <c r="ASQ125" s="4"/>
      <c r="ASR125" s="4"/>
      <c r="ASS125" s="4"/>
      <c r="AST125" s="4"/>
      <c r="ASU125" s="4"/>
    </row>
    <row r="126" spans="1:1191" x14ac:dyDescent="0.25">
      <c r="A126" s="118"/>
      <c r="B126" s="417" t="s">
        <v>159</v>
      </c>
      <c r="C126" s="321" t="s">
        <v>153</v>
      </c>
      <c r="D126" s="121"/>
      <c r="E126" s="122"/>
      <c r="F126" s="123"/>
      <c r="G126" s="124"/>
      <c r="H126" s="124"/>
      <c r="I126" s="124"/>
      <c r="J126" s="124"/>
      <c r="K126" s="124"/>
      <c r="L126" s="124"/>
      <c r="M126" s="125"/>
      <c r="N126" s="126"/>
      <c r="O126" s="124"/>
      <c r="P126" s="124"/>
      <c r="Q126" s="127"/>
      <c r="R126" s="123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5"/>
      <c r="AD126" s="301"/>
      <c r="AE126" s="151"/>
      <c r="AF126" s="131">
        <f>SUM(D126:AE126)</f>
      </c>
      <c r="AG126" s="121"/>
      <c r="AH126" s="122"/>
      <c r="AI126" s="123"/>
      <c r="AJ126" s="124"/>
      <c r="AK126" s="124"/>
      <c r="AL126" s="124"/>
      <c r="AM126" s="124"/>
      <c r="AN126" s="124"/>
      <c r="AO126" s="124"/>
      <c r="AP126" s="125"/>
      <c r="AQ126" s="126"/>
      <c r="AR126" s="124"/>
      <c r="AS126" s="124"/>
      <c r="AT126" s="127"/>
      <c r="AU126" s="123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5"/>
      <c r="BG126" s="301"/>
      <c r="BH126" s="151"/>
      <c r="BI126" s="131">
        <f>SUM(AG126:BH126)</f>
      </c>
      <c r="BJ126" s="121"/>
      <c r="BK126" s="122"/>
      <c r="BL126" s="123"/>
      <c r="BM126" s="124"/>
      <c r="BN126" s="124"/>
      <c r="BO126" s="124"/>
      <c r="BP126" s="124"/>
      <c r="BQ126" s="124"/>
      <c r="BR126" s="124"/>
      <c r="BS126" s="125"/>
      <c r="BT126" s="126"/>
      <c r="BU126" s="124"/>
      <c r="BV126" s="124"/>
      <c r="BW126" s="127"/>
      <c r="BX126" s="123"/>
      <c r="BY126" s="124"/>
      <c r="BZ126" s="124"/>
      <c r="CA126" s="124"/>
      <c r="CB126" s="124"/>
      <c r="CC126" s="124"/>
      <c r="CD126" s="124"/>
      <c r="CE126" s="124"/>
      <c r="CF126" s="124"/>
      <c r="CG126" s="124"/>
      <c r="CH126" s="124"/>
      <c r="CI126" s="125"/>
      <c r="CJ126" s="301"/>
      <c r="CK126" s="151"/>
      <c r="CL126" s="131">
        <f>SUM(BJ126:CK126)</f>
      </c>
      <c r="CM126" s="121"/>
      <c r="CN126" s="122"/>
      <c r="CO126" s="123"/>
      <c r="CP126" s="124"/>
      <c r="CQ126" s="124"/>
      <c r="CR126" s="124"/>
      <c r="CS126" s="124"/>
      <c r="CT126" s="124"/>
      <c r="CU126" s="124"/>
      <c r="CV126" s="125"/>
      <c r="CW126" s="126"/>
      <c r="CX126" s="124"/>
      <c r="CY126" s="124"/>
      <c r="CZ126" s="127"/>
      <c r="DA126" s="123"/>
      <c r="DB126" s="124"/>
      <c r="DC126" s="124"/>
      <c r="DD126" s="124"/>
      <c r="DE126" s="124"/>
      <c r="DF126" s="124"/>
      <c r="DG126" s="123"/>
      <c r="DH126" s="124"/>
      <c r="DI126" s="124"/>
      <c r="DJ126" s="124"/>
      <c r="DK126" s="124"/>
      <c r="DL126" s="125"/>
      <c r="DM126" s="301"/>
      <c r="DN126" s="151"/>
      <c r="DO126" s="131">
        <f>SUM(CM126:DN126)</f>
      </c>
      <c r="DP126" s="121"/>
      <c r="DQ126" s="122"/>
      <c r="DR126" s="123"/>
      <c r="DS126" s="124"/>
      <c r="DT126" s="124"/>
      <c r="DU126" s="124"/>
      <c r="DV126" s="124"/>
      <c r="DW126" s="124"/>
      <c r="DX126" s="124"/>
      <c r="DY126" s="125"/>
      <c r="DZ126" s="126"/>
      <c r="EA126" s="124"/>
      <c r="EB126" s="124"/>
      <c r="EC126" s="127"/>
      <c r="ED126" s="123"/>
      <c r="EE126" s="124"/>
      <c r="EF126" s="124"/>
      <c r="EG126" s="124"/>
      <c r="EH126" s="124"/>
      <c r="EI126" s="124"/>
      <c r="EJ126" s="124"/>
      <c r="EK126" s="124"/>
      <c r="EL126" s="124"/>
      <c r="EM126" s="124"/>
      <c r="EN126" s="124"/>
      <c r="EO126" s="125"/>
      <c r="EP126" s="301"/>
      <c r="EQ126" s="151"/>
      <c r="ER126" s="131">
        <f>SUM(DP126:EQ126)</f>
      </c>
      <c r="ES126" s="121"/>
      <c r="ET126" s="122"/>
      <c r="EU126" s="123"/>
      <c r="EV126" s="124"/>
      <c r="EW126" s="124"/>
      <c r="EX126" s="124"/>
      <c r="EY126" s="124"/>
      <c r="EZ126" s="124"/>
      <c r="FA126" s="124"/>
      <c r="FB126" s="125"/>
      <c r="FC126" s="126"/>
      <c r="FD126" s="124"/>
      <c r="FE126" s="124"/>
      <c r="FF126" s="127"/>
      <c r="FG126" s="123"/>
      <c r="FH126" s="124"/>
      <c r="FI126" s="124"/>
      <c r="FJ126" s="124"/>
      <c r="FK126" s="124"/>
      <c r="FL126" s="124"/>
      <c r="FM126" s="124"/>
      <c r="FN126" s="124"/>
      <c r="FO126" s="124"/>
      <c r="FP126" s="124"/>
      <c r="FQ126" s="124"/>
      <c r="FR126" s="125"/>
      <c r="FS126" s="301"/>
      <c r="FT126" s="151"/>
      <c r="FU126" s="131">
        <f>SUM(ES126:FT126)</f>
      </c>
      <c r="FV126" s="121"/>
      <c r="FW126" s="122"/>
      <c r="FX126" s="123"/>
      <c r="FY126" s="124"/>
      <c r="FZ126" s="124"/>
      <c r="GA126" s="124"/>
      <c r="GB126" s="124"/>
      <c r="GC126" s="124"/>
      <c r="GD126" s="124"/>
      <c r="GE126" s="125"/>
      <c r="GF126" s="126"/>
      <c r="GG126" s="124"/>
      <c r="GH126" s="124"/>
      <c r="GI126" s="127"/>
      <c r="GJ126" s="123"/>
      <c r="GK126" s="124"/>
      <c r="GL126" s="124"/>
      <c r="GM126" s="124"/>
      <c r="GN126" s="124"/>
      <c r="GO126" s="124"/>
      <c r="GP126" s="124"/>
      <c r="GQ126" s="124"/>
      <c r="GR126" s="124"/>
      <c r="GS126" s="124"/>
      <c r="GT126" s="124"/>
      <c r="GU126" s="125"/>
      <c r="GV126" s="301"/>
      <c r="GW126" s="151"/>
      <c r="GX126" s="131">
        <f>SUM(FV126:GW126)</f>
      </c>
      <c r="GY126" s="150">
        <f>AF126+BI126+CL126+DO126+ER126+FU126+GX126</f>
      </c>
      <c r="GZ126" s="302">
        <f>(COUNTIF(D126:GX126,"H")+COUNTIF(D126:GX126,"S")+COUNTIF(D126:GX126,"L")+COUNTIF(D126:GX126,"E")+COUNTIF(D126:GX126,"C"))/2</f>
      </c>
      <c r="HA126" s="131">
        <f>GY126+GZ126</f>
      </c>
      <c r="HB126" s="134"/>
      <c r="HC126" s="135"/>
      <c r="HD126" s="428">
        <v>0.5</v>
      </c>
      <c r="HE126" s="220">
        <v>0.5</v>
      </c>
      <c r="HF126" s="220">
        <v>0.5</v>
      </c>
      <c r="HG126" s="220">
        <v>0.5</v>
      </c>
      <c r="HH126" s="220">
        <v>0.5</v>
      </c>
      <c r="HI126" s="220">
        <v>0.5</v>
      </c>
      <c r="HJ126" s="220">
        <v>0.5</v>
      </c>
      <c r="HK126" s="227">
        <v>0.5</v>
      </c>
      <c r="HL126" s="147"/>
      <c r="HM126" s="148"/>
      <c r="HN126" s="216">
        <v>0.5</v>
      </c>
      <c r="HO126" s="226">
        <v>0.5</v>
      </c>
      <c r="HP126" s="428">
        <v>0.5</v>
      </c>
      <c r="HQ126" s="220">
        <v>0.5</v>
      </c>
      <c r="HR126" s="220">
        <v>0.5</v>
      </c>
      <c r="HS126" s="220">
        <v>0.5</v>
      </c>
      <c r="HT126" s="220">
        <v>0.5</v>
      </c>
      <c r="HU126" s="220">
        <v>0.5</v>
      </c>
      <c r="HV126" s="220">
        <v>0.5</v>
      </c>
      <c r="HW126" s="220">
        <v>0.5</v>
      </c>
      <c r="HX126" s="137"/>
      <c r="HY126" s="137"/>
      <c r="HZ126" s="137"/>
      <c r="IA126" s="153"/>
      <c r="IB126" s="304"/>
      <c r="IC126" s="152"/>
      <c r="ID126" s="131">
        <f>SUM(HB126:IC126)</f>
      </c>
      <c r="IE126" s="134"/>
      <c r="IF126" s="135"/>
      <c r="IG126" s="339">
        <v>0.5</v>
      </c>
      <c r="IH126" s="143">
        <v>0.5</v>
      </c>
      <c r="II126" s="143">
        <v>0.5</v>
      </c>
      <c r="IJ126" s="143">
        <v>0.5</v>
      </c>
      <c r="IK126" s="143">
        <v>0.5</v>
      </c>
      <c r="IL126" s="143">
        <v>0.5</v>
      </c>
      <c r="IM126" s="143">
        <v>0.5</v>
      </c>
      <c r="IN126" s="154">
        <v>0.5</v>
      </c>
      <c r="IO126" s="147"/>
      <c r="IP126" s="148"/>
      <c r="IQ126" s="138">
        <v>0.5</v>
      </c>
      <c r="IR126" s="149">
        <v>0.5</v>
      </c>
      <c r="IS126" s="339">
        <v>0.5</v>
      </c>
      <c r="IT126" s="143">
        <v>0.5</v>
      </c>
      <c r="IU126" s="143">
        <v>0.5</v>
      </c>
      <c r="IV126" s="143">
        <v>0.5</v>
      </c>
      <c r="IW126" s="143">
        <v>0.5</v>
      </c>
      <c r="IX126" s="143">
        <v>0.5</v>
      </c>
      <c r="IY126" s="143">
        <v>0.5</v>
      </c>
      <c r="IZ126" s="143">
        <v>0.5</v>
      </c>
      <c r="JA126" s="137"/>
      <c r="JB126" s="137"/>
      <c r="JC126" s="137"/>
      <c r="JD126" s="153"/>
      <c r="JE126" s="304"/>
      <c r="JF126" s="152"/>
      <c r="JG126" s="131">
        <f>SUM(IE126:JF126)</f>
      </c>
      <c r="JH126" s="134"/>
      <c r="JI126" s="135"/>
      <c r="JJ126" s="339">
        <v>0.5</v>
      </c>
      <c r="JK126" s="143">
        <v>0.5</v>
      </c>
      <c r="JL126" s="143">
        <v>0.5</v>
      </c>
      <c r="JM126" s="143">
        <v>0.5</v>
      </c>
      <c r="JN126" s="143">
        <v>0.5</v>
      </c>
      <c r="JO126" s="143">
        <v>0.5</v>
      </c>
      <c r="JP126" s="143">
        <v>0.5</v>
      </c>
      <c r="JQ126" s="154">
        <v>0.5</v>
      </c>
      <c r="JR126" s="147"/>
      <c r="JS126" s="148"/>
      <c r="JT126" s="138">
        <v>0.5</v>
      </c>
      <c r="JU126" s="149">
        <v>0.5</v>
      </c>
      <c r="JV126" s="339">
        <v>0.5</v>
      </c>
      <c r="JW126" s="143">
        <v>0.5</v>
      </c>
      <c r="JX126" s="143">
        <v>0.5</v>
      </c>
      <c r="JY126" s="143">
        <v>0.5</v>
      </c>
      <c r="JZ126" s="143">
        <v>0.5</v>
      </c>
      <c r="KA126" s="143">
        <v>0.5</v>
      </c>
      <c r="KB126" s="143">
        <v>0.5</v>
      </c>
      <c r="KC126" s="143">
        <v>0.5</v>
      </c>
      <c r="KD126" s="137"/>
      <c r="KE126" s="137"/>
      <c r="KF126" s="137"/>
      <c r="KG126" s="153"/>
      <c r="KH126" s="304"/>
      <c r="KI126" s="152"/>
      <c r="KJ126" s="131">
        <f>SUM(JH126:KI126)</f>
      </c>
      <c r="KK126" s="134"/>
      <c r="KL126" s="135"/>
      <c r="KM126" s="339">
        <v>0.5</v>
      </c>
      <c r="KN126" s="143">
        <v>0.5</v>
      </c>
      <c r="KO126" s="143">
        <v>0.5</v>
      </c>
      <c r="KP126" s="143">
        <v>0.5</v>
      </c>
      <c r="KQ126" s="143">
        <v>0.5</v>
      </c>
      <c r="KR126" s="143">
        <v>0.5</v>
      </c>
      <c r="KS126" s="143">
        <v>0.5</v>
      </c>
      <c r="KT126" s="154">
        <v>0.5</v>
      </c>
      <c r="KU126" s="147"/>
      <c r="KV126" s="148"/>
      <c r="KW126" s="138">
        <v>0.5</v>
      </c>
      <c r="KX126" s="149">
        <v>0.5</v>
      </c>
      <c r="KY126" s="339">
        <v>0.5</v>
      </c>
      <c r="KZ126" s="143">
        <v>0.5</v>
      </c>
      <c r="LA126" s="143">
        <v>0.5</v>
      </c>
      <c r="LB126" s="143">
        <v>0.5</v>
      </c>
      <c r="LC126" s="143">
        <v>0.5</v>
      </c>
      <c r="LD126" s="143">
        <v>0.5</v>
      </c>
      <c r="LE126" s="339">
        <v>0.5</v>
      </c>
      <c r="LF126" s="143">
        <v>0.5</v>
      </c>
      <c r="LG126" s="137"/>
      <c r="LH126" s="137"/>
      <c r="LI126" s="137"/>
      <c r="LJ126" s="153"/>
      <c r="LK126" s="304"/>
      <c r="LL126" s="152"/>
      <c r="LM126" s="131">
        <f>SUM(KK126:LL126)</f>
      </c>
      <c r="LN126" s="134"/>
      <c r="LO126" s="135"/>
      <c r="LP126" s="219">
        <v>0.5</v>
      </c>
      <c r="LQ126" s="216">
        <v>0.5</v>
      </c>
      <c r="LR126" s="216">
        <v>0.5</v>
      </c>
      <c r="LS126" s="216">
        <v>0.5</v>
      </c>
      <c r="LT126" s="216">
        <v>0.5</v>
      </c>
      <c r="LU126" s="216">
        <v>0.5</v>
      </c>
      <c r="LV126" s="216">
        <v>0.5</v>
      </c>
      <c r="LW126" s="217">
        <v>0.5</v>
      </c>
      <c r="LX126" s="155"/>
      <c r="LY126" s="137"/>
      <c r="LZ126" s="137"/>
      <c r="MA126" s="141"/>
      <c r="MB126" s="136"/>
      <c r="MC126" s="137"/>
      <c r="MD126" s="137"/>
      <c r="ME126" s="137"/>
      <c r="MF126" s="137"/>
      <c r="MG126" s="137"/>
      <c r="MH126" s="137"/>
      <c r="MI126" s="137"/>
      <c r="MJ126" s="137"/>
      <c r="MK126" s="137"/>
      <c r="ML126" s="137"/>
      <c r="MM126" s="153"/>
      <c r="MN126" s="304"/>
      <c r="MO126" s="152"/>
      <c r="MP126" s="131">
        <f>SUM(LN126:MO126)</f>
      </c>
      <c r="MQ126" s="121"/>
      <c r="MR126" s="122"/>
      <c r="MS126" s="123"/>
      <c r="MT126" s="124"/>
      <c r="MU126" s="124"/>
      <c r="MV126" s="124"/>
      <c r="MW126" s="124"/>
      <c r="MX126" s="124"/>
      <c r="MY126" s="124"/>
      <c r="MZ126" s="125"/>
      <c r="NA126" s="126"/>
      <c r="NB126" s="124"/>
      <c r="NC126" s="124"/>
      <c r="ND126" s="127"/>
      <c r="NE126" s="123"/>
      <c r="NF126" s="124"/>
      <c r="NG126" s="124"/>
      <c r="NH126" s="124"/>
      <c r="NI126" s="124"/>
      <c r="NJ126" s="124"/>
      <c r="NK126" s="124"/>
      <c r="NL126" s="124"/>
      <c r="NM126" s="124"/>
      <c r="NN126" s="124"/>
      <c r="NO126" s="124"/>
      <c r="NP126" s="125"/>
      <c r="NQ126" s="301"/>
      <c r="NR126" s="151"/>
      <c r="NS126" s="131">
        <f>SUM(MQ126:NR126)</f>
      </c>
      <c r="NT126" s="121"/>
      <c r="NU126" s="122"/>
      <c r="NV126" s="123"/>
      <c r="NW126" s="124"/>
      <c r="NX126" s="124"/>
      <c r="NY126" s="124"/>
      <c r="NZ126" s="124"/>
      <c r="OA126" s="124"/>
      <c r="OB126" s="124"/>
      <c r="OC126" s="125"/>
      <c r="OD126" s="126"/>
      <c r="OE126" s="124"/>
      <c r="OF126" s="124"/>
      <c r="OG126" s="127"/>
      <c r="OH126" s="123"/>
      <c r="OI126" s="124"/>
      <c r="OJ126" s="124"/>
      <c r="OK126" s="124"/>
      <c r="OL126" s="124"/>
      <c r="OM126" s="124"/>
      <c r="ON126" s="124"/>
      <c r="OO126" s="124"/>
      <c r="OP126" s="124"/>
      <c r="OQ126" s="124"/>
      <c r="OR126" s="124"/>
      <c r="OS126" s="125"/>
      <c r="OT126" s="301"/>
      <c r="OU126" s="151"/>
      <c r="OV126" s="131">
        <f>SUM(NT126:OU126)</f>
      </c>
      <c r="OW126" s="150">
        <f>ID126+JG126+KJ126+LM126+MP126+NS126+OV126</f>
      </c>
      <c r="OX126" s="302">
        <f>(COUNTIF(HB126:OV126,"H")+COUNTIF(HB126:OV126,"S")+COUNTIF(HB126:OV126,"L")+COUNTIF(HB126:OV126,"E")+COUNTIF(HB126:OV126,"C"))/2</f>
      </c>
      <c r="OY126" s="131">
        <f>OW126+OX126</f>
      </c>
      <c r="OZ126" s="134"/>
      <c r="PA126" s="135"/>
      <c r="PB126" s="219">
        <v>0.5</v>
      </c>
      <c r="PC126" s="216">
        <v>0.5</v>
      </c>
      <c r="PD126" s="216">
        <v>0.5</v>
      </c>
      <c r="PE126" s="216">
        <v>0.5</v>
      </c>
      <c r="PF126" s="216">
        <v>0.5</v>
      </c>
      <c r="PG126" s="216">
        <v>0.5</v>
      </c>
      <c r="PH126" s="216">
        <v>0.5</v>
      </c>
      <c r="PI126" s="217">
        <v>0.5</v>
      </c>
      <c r="PJ126" s="147"/>
      <c r="PK126" s="148"/>
      <c r="PL126" s="216">
        <v>0.5</v>
      </c>
      <c r="PM126" s="226">
        <v>0.5</v>
      </c>
      <c r="PN126" s="219">
        <v>0.5</v>
      </c>
      <c r="PO126" s="216">
        <v>0.5</v>
      </c>
      <c r="PP126" s="216">
        <v>0.5</v>
      </c>
      <c r="PQ126" s="216">
        <v>0.5</v>
      </c>
      <c r="PR126" s="216">
        <v>0.5</v>
      </c>
      <c r="PS126" s="216">
        <v>0.5</v>
      </c>
      <c r="PT126" s="137"/>
      <c r="PU126" s="137"/>
      <c r="PV126" s="137"/>
      <c r="PW126" s="137"/>
      <c r="PX126" s="137"/>
      <c r="PY126" s="153"/>
      <c r="PZ126" s="304"/>
      <c r="QA126" s="152"/>
      <c r="QB126" s="131">
        <f>SUM(OZ126:QA126)</f>
      </c>
      <c r="QC126" s="134"/>
      <c r="QD126" s="135"/>
      <c r="QE126" s="142">
        <v>0.5</v>
      </c>
      <c r="QF126" s="138">
        <v>0.5</v>
      </c>
      <c r="QG126" s="138">
        <v>0.5</v>
      </c>
      <c r="QH126" s="138">
        <v>0.5</v>
      </c>
      <c r="QI126" s="138">
        <v>0.5</v>
      </c>
      <c r="QJ126" s="138">
        <v>0.5</v>
      </c>
      <c r="QK126" s="138">
        <v>0.5</v>
      </c>
      <c r="QL126" s="139">
        <v>0.5</v>
      </c>
      <c r="QM126" s="147"/>
      <c r="QN126" s="148"/>
      <c r="QO126" s="138">
        <v>0.5</v>
      </c>
      <c r="QP126" s="149">
        <v>0.5</v>
      </c>
      <c r="QQ126" s="142">
        <v>0.5</v>
      </c>
      <c r="QR126" s="138">
        <v>0.5</v>
      </c>
      <c r="QS126" s="138">
        <v>0.5</v>
      </c>
      <c r="QT126" s="138">
        <v>0.5</v>
      </c>
      <c r="QU126" s="138">
        <v>0.5</v>
      </c>
      <c r="QV126" s="138">
        <v>0.5</v>
      </c>
      <c r="QW126" s="137"/>
      <c r="QX126" s="137"/>
      <c r="QY126" s="137"/>
      <c r="QZ126" s="137"/>
      <c r="RA126" s="137"/>
      <c r="RB126" s="153"/>
      <c r="RC126" s="304"/>
      <c r="RD126" s="152"/>
      <c r="RE126" s="131">
        <f>SUM(QC126:RD126)</f>
      </c>
      <c r="RF126" s="134"/>
      <c r="RG126" s="135"/>
      <c r="RH126" s="142">
        <v>0.5</v>
      </c>
      <c r="RI126" s="138">
        <v>0.5</v>
      </c>
      <c r="RJ126" s="138">
        <v>0.5</v>
      </c>
      <c r="RK126" s="138">
        <v>0.5</v>
      </c>
      <c r="RL126" s="138">
        <v>0.5</v>
      </c>
      <c r="RM126" s="138">
        <v>0.5</v>
      </c>
      <c r="RN126" s="138">
        <v>0.5</v>
      </c>
      <c r="RO126" s="139">
        <v>0.5</v>
      </c>
      <c r="RP126" s="147"/>
      <c r="RQ126" s="148"/>
      <c r="RR126" s="138">
        <v>0.5</v>
      </c>
      <c r="RS126" s="149">
        <v>0.5</v>
      </c>
      <c r="RT126" s="142">
        <v>0.5</v>
      </c>
      <c r="RU126" s="138">
        <v>0.5</v>
      </c>
      <c r="RV126" s="138">
        <v>0.5</v>
      </c>
      <c r="RW126" s="138">
        <v>0.5</v>
      </c>
      <c r="RX126" s="138">
        <v>0.5</v>
      </c>
      <c r="RY126" s="138">
        <v>0.5</v>
      </c>
      <c r="RZ126" s="137"/>
      <c r="SA126" s="137"/>
      <c r="SB126" s="137"/>
      <c r="SC126" s="137"/>
      <c r="SD126" s="137"/>
      <c r="SE126" s="153"/>
      <c r="SF126" s="304"/>
      <c r="SG126" s="152"/>
      <c r="SH126" s="131">
        <f>SUM(RF126:SG126)</f>
      </c>
      <c r="SI126" s="134"/>
      <c r="SJ126" s="135"/>
      <c r="SK126" s="339">
        <v>0.5</v>
      </c>
      <c r="SL126" s="143">
        <v>0.5</v>
      </c>
      <c r="SM126" s="143">
        <v>0.5</v>
      </c>
      <c r="SN126" s="143">
        <v>0.5</v>
      </c>
      <c r="SO126" s="143">
        <v>0.5</v>
      </c>
      <c r="SP126" s="143">
        <v>0.5</v>
      </c>
      <c r="SQ126" s="143">
        <v>0.5</v>
      </c>
      <c r="SR126" s="154">
        <v>0.5</v>
      </c>
      <c r="SS126" s="147"/>
      <c r="ST126" s="148"/>
      <c r="SU126" s="138">
        <v>0.5</v>
      </c>
      <c r="SV126" s="149">
        <v>0.5</v>
      </c>
      <c r="SW126" s="339">
        <v>0.5</v>
      </c>
      <c r="SX126" s="143">
        <v>0.5</v>
      </c>
      <c r="SY126" s="143">
        <v>0.5</v>
      </c>
      <c r="SZ126" s="143">
        <v>0.5</v>
      </c>
      <c r="TA126" s="143">
        <v>0.5</v>
      </c>
      <c r="TB126" s="143">
        <v>0.5</v>
      </c>
      <c r="TC126" s="339">
        <v>0.5</v>
      </c>
      <c r="TD126" s="143">
        <v>0.5</v>
      </c>
      <c r="TE126" s="137"/>
      <c r="TF126" s="137"/>
      <c r="TG126" s="137"/>
      <c r="TH126" s="153"/>
      <c r="TI126" s="304"/>
      <c r="TJ126" s="152"/>
      <c r="TK126" s="131">
        <f>SUM(SI126:TJ126)</f>
      </c>
      <c r="TL126" s="134"/>
      <c r="TM126" s="135"/>
      <c r="TN126" s="219">
        <v>0.5</v>
      </c>
      <c r="TO126" s="216">
        <v>0.5</v>
      </c>
      <c r="TP126" s="216">
        <v>0.5</v>
      </c>
      <c r="TQ126" s="216">
        <v>0.5</v>
      </c>
      <c r="TR126" s="216">
        <v>0.5</v>
      </c>
      <c r="TS126" s="216">
        <v>0.5</v>
      </c>
      <c r="TT126" s="216">
        <v>0.5</v>
      </c>
      <c r="TU126" s="217">
        <v>0.5</v>
      </c>
      <c r="TV126" s="155"/>
      <c r="TW126" s="137"/>
      <c r="TX126" s="137"/>
      <c r="TY126" s="141"/>
      <c r="TZ126" s="136"/>
      <c r="UA126" s="137"/>
      <c r="UB126" s="137"/>
      <c r="UC126" s="137"/>
      <c r="UD126" s="137"/>
      <c r="UE126" s="137"/>
      <c r="UF126" s="137"/>
      <c r="UG126" s="137"/>
      <c r="UH126" s="137"/>
      <c r="UI126" s="137"/>
      <c r="UJ126" s="137"/>
      <c r="UK126" s="153"/>
      <c r="UL126" s="304"/>
      <c r="UM126" s="152"/>
      <c r="UN126" s="131">
        <f>SUM(TL126:UM126)</f>
      </c>
      <c r="UO126" s="121"/>
      <c r="UP126" s="122"/>
      <c r="UQ126" s="123"/>
      <c r="UR126" s="124"/>
      <c r="US126" s="124"/>
      <c r="UT126" s="124"/>
      <c r="UU126" s="124"/>
      <c r="UV126" s="124"/>
      <c r="UW126" s="124"/>
      <c r="UX126" s="125"/>
      <c r="UY126" s="126"/>
      <c r="UZ126" s="124"/>
      <c r="VA126" s="124"/>
      <c r="VB126" s="127"/>
      <c r="VC126" s="123"/>
      <c r="VD126" s="124"/>
      <c r="VE126" s="124"/>
      <c r="VF126" s="124"/>
      <c r="VG126" s="124"/>
      <c r="VH126" s="124"/>
      <c r="VI126" s="124"/>
      <c r="VJ126" s="124"/>
      <c r="VK126" s="124"/>
      <c r="VL126" s="124"/>
      <c r="VM126" s="124"/>
      <c r="VN126" s="125"/>
      <c r="VO126" s="301"/>
      <c r="VP126" s="151"/>
      <c r="VQ126" s="131">
        <f>SUM(UO126:VP126)</f>
      </c>
      <c r="VR126" s="121"/>
      <c r="VS126" s="122"/>
      <c r="VT126" s="123"/>
      <c r="VU126" s="124"/>
      <c r="VV126" s="124"/>
      <c r="VW126" s="124"/>
      <c r="VX126" s="124"/>
      <c r="VY126" s="124"/>
      <c r="VZ126" s="124"/>
      <c r="WA126" s="125"/>
      <c r="WB126" s="126"/>
      <c r="WC126" s="124"/>
      <c r="WD126" s="124"/>
      <c r="WE126" s="127"/>
      <c r="WF126" s="123"/>
      <c r="WG126" s="124"/>
      <c r="WH126" s="124"/>
      <c r="WI126" s="124"/>
      <c r="WJ126" s="124"/>
      <c r="WK126" s="124"/>
      <c r="WL126" s="124"/>
      <c r="WM126" s="124"/>
      <c r="WN126" s="124"/>
      <c r="WO126" s="124"/>
      <c r="WP126" s="124"/>
      <c r="WQ126" s="125"/>
      <c r="WR126" s="301"/>
      <c r="WS126" s="151"/>
      <c r="WT126" s="131">
        <f>SUM(VR126:WS126)</f>
      </c>
      <c r="WU126" s="150">
        <f>QB126+RE126+SH126+TK126+UN126+VQ126+WT126</f>
      </c>
      <c r="WV126" s="302">
        <f>(COUNTIF(OZ126:WT126,"H")+COUNTIF(OZ126:WT126,"S")+COUNTIF(OZ126:WT126,"L")+COUNTIF(OZ126:WT126,"E")+COUNTIF(OZ126:WT126,"C"))/2</f>
      </c>
      <c r="WW126" s="131">
        <f>WU126+WV126</f>
      </c>
      <c r="WX126" s="134"/>
      <c r="WY126" s="135"/>
      <c r="WZ126" s="428">
        <v>0.5</v>
      </c>
      <c r="XA126" s="220">
        <v>0.5</v>
      </c>
      <c r="XB126" s="220">
        <v>0.5</v>
      </c>
      <c r="XC126" s="220">
        <v>0.5</v>
      </c>
      <c r="XD126" s="220">
        <v>0.5</v>
      </c>
      <c r="XE126" s="220">
        <v>0.5</v>
      </c>
      <c r="XF126" s="220">
        <v>0.5</v>
      </c>
      <c r="XG126" s="227">
        <v>0.5</v>
      </c>
      <c r="XH126" s="147"/>
      <c r="XI126" s="148"/>
      <c r="XJ126" s="216">
        <v>0.5</v>
      </c>
      <c r="XK126" s="226">
        <v>0.5</v>
      </c>
      <c r="XL126" s="428">
        <v>0.5</v>
      </c>
      <c r="XM126" s="220">
        <v>0.5</v>
      </c>
      <c r="XN126" s="220">
        <v>0.5</v>
      </c>
      <c r="XO126" s="220">
        <v>0.5</v>
      </c>
      <c r="XP126" s="220">
        <v>0.5</v>
      </c>
      <c r="XQ126" s="220">
        <v>0.5</v>
      </c>
      <c r="XR126" s="220">
        <v>0.5</v>
      </c>
      <c r="XS126" s="220">
        <v>0.5</v>
      </c>
      <c r="XT126" s="137"/>
      <c r="XU126" s="137"/>
      <c r="XV126" s="137"/>
      <c r="XW126" s="153"/>
      <c r="XX126" s="304"/>
      <c r="XY126" s="152"/>
      <c r="XZ126" s="131">
        <f>SUM(WX126:XY126)</f>
      </c>
      <c r="YA126" s="134"/>
      <c r="YB126" s="135"/>
      <c r="YC126" s="339">
        <v>0.5</v>
      </c>
      <c r="YD126" s="143">
        <v>0.5</v>
      </c>
      <c r="YE126" s="143">
        <v>0.5</v>
      </c>
      <c r="YF126" s="143">
        <v>0.5</v>
      </c>
      <c r="YG126" s="143">
        <v>0.5</v>
      </c>
      <c r="YH126" s="143">
        <v>0.5</v>
      </c>
      <c r="YI126" s="143">
        <v>0.5</v>
      </c>
      <c r="YJ126" s="154">
        <v>0.5</v>
      </c>
      <c r="YK126" s="147"/>
      <c r="YL126" s="148"/>
      <c r="YM126" s="138">
        <v>0.5</v>
      </c>
      <c r="YN126" s="149">
        <v>0.5</v>
      </c>
      <c r="YO126" s="339">
        <v>0.5</v>
      </c>
      <c r="YP126" s="143">
        <v>0.5</v>
      </c>
      <c r="YQ126" s="143">
        <v>0.5</v>
      </c>
      <c r="YR126" s="143">
        <v>0.5</v>
      </c>
      <c r="YS126" s="143">
        <v>0.5</v>
      </c>
      <c r="YT126" s="143">
        <v>0.5</v>
      </c>
      <c r="YU126" s="143">
        <v>0.5</v>
      </c>
      <c r="YV126" s="143">
        <v>0.5</v>
      </c>
      <c r="YW126" s="137"/>
      <c r="YX126" s="137"/>
      <c r="YY126" s="137"/>
      <c r="YZ126" s="153"/>
      <c r="ZA126" s="304"/>
      <c r="ZB126" s="152"/>
      <c r="ZC126" s="131">
        <f>SUM(YA126:ZB126)</f>
      </c>
      <c r="ZD126" s="134"/>
      <c r="ZE126" s="135"/>
      <c r="ZF126" s="339">
        <v>0.5</v>
      </c>
      <c r="ZG126" s="143">
        <v>0.5</v>
      </c>
      <c r="ZH126" s="143">
        <v>0.5</v>
      </c>
      <c r="ZI126" s="143">
        <v>0.5</v>
      </c>
      <c r="ZJ126" s="143">
        <v>0.5</v>
      </c>
      <c r="ZK126" s="143">
        <v>0.5</v>
      </c>
      <c r="ZL126" s="143">
        <v>0.5</v>
      </c>
      <c r="ZM126" s="154">
        <v>0.5</v>
      </c>
      <c r="ZN126" s="147"/>
      <c r="ZO126" s="148"/>
      <c r="ZP126" s="138">
        <v>0.5</v>
      </c>
      <c r="ZQ126" s="149">
        <v>0.5</v>
      </c>
      <c r="ZR126" s="339">
        <v>0.5</v>
      </c>
      <c r="ZS126" s="143">
        <v>0.5</v>
      </c>
      <c r="ZT126" s="143">
        <v>0.5</v>
      </c>
      <c r="ZU126" s="143">
        <v>0.5</v>
      </c>
      <c r="ZV126" s="143">
        <v>0.5</v>
      </c>
      <c r="ZW126" s="143">
        <v>0.5</v>
      </c>
      <c r="ZX126" s="143">
        <v>0.5</v>
      </c>
      <c r="ZY126" s="143">
        <v>0.5</v>
      </c>
      <c r="ZZ126" s="137"/>
      <c r="AAA126" s="137"/>
      <c r="AAB126" s="137"/>
      <c r="AAC126" s="153"/>
      <c r="AAD126" s="304"/>
      <c r="AAE126" s="152"/>
      <c r="AAF126" s="131">
        <f>SUM(ZD126:AAE126)</f>
      </c>
      <c r="AAG126" s="134"/>
      <c r="AAH126" s="135"/>
      <c r="AAI126" s="339">
        <v>0.5</v>
      </c>
      <c r="AAJ126" s="143">
        <v>0.5</v>
      </c>
      <c r="AAK126" s="143">
        <v>0.5</v>
      </c>
      <c r="AAL126" s="143">
        <v>0.5</v>
      </c>
      <c r="AAM126" s="143">
        <v>0.5</v>
      </c>
      <c r="AAN126" s="143">
        <v>0.5</v>
      </c>
      <c r="AAO126" s="143">
        <v>0.5</v>
      </c>
      <c r="AAP126" s="154">
        <v>0.5</v>
      </c>
      <c r="AAQ126" s="147"/>
      <c r="AAR126" s="148"/>
      <c r="AAS126" s="138">
        <v>0.5</v>
      </c>
      <c r="AAT126" s="149">
        <v>0.5</v>
      </c>
      <c r="AAU126" s="339">
        <v>0.5</v>
      </c>
      <c r="AAV126" s="143">
        <v>0.5</v>
      </c>
      <c r="AAW126" s="143">
        <v>0.5</v>
      </c>
      <c r="AAX126" s="143">
        <v>0.5</v>
      </c>
      <c r="AAY126" s="143">
        <v>0.5</v>
      </c>
      <c r="AAZ126" s="143">
        <v>0.5</v>
      </c>
      <c r="ABA126" s="143">
        <v>0.5</v>
      </c>
      <c r="ABB126" s="143">
        <v>0.5</v>
      </c>
      <c r="ABC126" s="137"/>
      <c r="ABD126" s="137"/>
      <c r="ABE126" s="137"/>
      <c r="ABF126" s="153"/>
      <c r="ABG126" s="304"/>
      <c r="ABH126" s="152"/>
      <c r="ABI126" s="131">
        <f>SUM(AAG126:ABH126)</f>
      </c>
      <c r="ABJ126" s="134"/>
      <c r="ABK126" s="135"/>
      <c r="ABL126" s="219">
        <v>0.5</v>
      </c>
      <c r="ABM126" s="216">
        <v>0.5</v>
      </c>
      <c r="ABN126" s="216">
        <v>0.5</v>
      </c>
      <c r="ABO126" s="216">
        <v>0.5</v>
      </c>
      <c r="ABP126" s="216">
        <v>0.5</v>
      </c>
      <c r="ABQ126" s="216">
        <v>0.5</v>
      </c>
      <c r="ABR126" s="216">
        <v>0.5</v>
      </c>
      <c r="ABS126" s="217">
        <v>0.5</v>
      </c>
      <c r="ABT126" s="155"/>
      <c r="ABU126" s="137"/>
      <c r="ABV126" s="137"/>
      <c r="ABW126" s="141"/>
      <c r="ABX126" s="136"/>
      <c r="ABY126" s="137"/>
      <c r="ABZ126" s="137"/>
      <c r="ACA126" s="137"/>
      <c r="ACB126" s="137"/>
      <c r="ACC126" s="137"/>
      <c r="ACD126" s="137"/>
      <c r="ACE126" s="137"/>
      <c r="ACF126" s="137"/>
      <c r="ACG126" s="137"/>
      <c r="ACH126" s="137"/>
      <c r="ACI126" s="153"/>
      <c r="ACJ126" s="304"/>
      <c r="ACK126" s="152"/>
      <c r="ACL126" s="131">
        <f>SUM(ABJ126:ACK126)</f>
      </c>
      <c r="ACM126" s="121"/>
      <c r="ACN126" s="122"/>
      <c r="ACO126" s="123"/>
      <c r="ACP126" s="124"/>
      <c r="ACQ126" s="124"/>
      <c r="ACR126" s="124"/>
      <c r="ACS126" s="124"/>
      <c r="ACT126" s="124"/>
      <c r="ACU126" s="124"/>
      <c r="ACV126" s="125"/>
      <c r="ACW126" s="126"/>
      <c r="ACX126" s="124"/>
      <c r="ACY126" s="124"/>
      <c r="ACZ126" s="127"/>
      <c r="ADA126" s="123"/>
      <c r="ADB126" s="124"/>
      <c r="ADC126" s="124"/>
      <c r="ADD126" s="124"/>
      <c r="ADE126" s="124"/>
      <c r="ADF126" s="124"/>
      <c r="ADG126" s="124"/>
      <c r="ADH126" s="124"/>
      <c r="ADI126" s="124"/>
      <c r="ADJ126" s="124"/>
      <c r="ADK126" s="124"/>
      <c r="ADL126" s="125"/>
      <c r="ADM126" s="301"/>
      <c r="ADN126" s="151"/>
      <c r="ADO126" s="131">
        <f>SUM(ACM126:ADN126)</f>
      </c>
      <c r="ADP126" s="121"/>
      <c r="ADQ126" s="122"/>
      <c r="ADR126" s="123"/>
      <c r="ADS126" s="124"/>
      <c r="ADT126" s="124"/>
      <c r="ADU126" s="124"/>
      <c r="ADV126" s="124"/>
      <c r="ADW126" s="124"/>
      <c r="ADX126" s="124"/>
      <c r="ADY126" s="125"/>
      <c r="ADZ126" s="126"/>
      <c r="AEA126" s="124"/>
      <c r="AEB126" s="124"/>
      <c r="AEC126" s="127"/>
      <c r="AED126" s="123"/>
      <c r="AEE126" s="124"/>
      <c r="AEF126" s="124"/>
      <c r="AEG126" s="124"/>
      <c r="AEH126" s="124"/>
      <c r="AEI126" s="124"/>
      <c r="AEJ126" s="124"/>
      <c r="AEK126" s="124"/>
      <c r="AEL126" s="124"/>
      <c r="AEM126" s="124"/>
      <c r="AEN126" s="124"/>
      <c r="AEO126" s="125"/>
      <c r="AEP126" s="301"/>
      <c r="AEQ126" s="151"/>
      <c r="AER126" s="131">
        <f>SUM(ADP126:AEQ126)</f>
      </c>
      <c r="AES126" s="150">
        <f>XZ126+ZC126+AAF126+ABI126+ACL126+ADO126+AER126</f>
      </c>
      <c r="AET126" s="302">
        <f>(COUNTIF(WX126:AER126,"H")+COUNTIF(WX126:AER126,"S")+COUNTIF(WX126:AER126,"L")+COUNTIF(WX126:AER126,"E")+COUNTIF(WX126:AER126,"C"))/2</f>
      </c>
      <c r="AEU126" s="131">
        <f>AES126+AET126</f>
      </c>
      <c r="AEV126" s="134"/>
      <c r="AEW126" s="135"/>
      <c r="AEX126" s="428">
        <v>0.5</v>
      </c>
      <c r="AEY126" s="220">
        <v>0.5</v>
      </c>
      <c r="AEZ126" s="220">
        <v>0.5</v>
      </c>
      <c r="AFA126" s="220">
        <v>0.5</v>
      </c>
      <c r="AFB126" s="220">
        <v>0.5</v>
      </c>
      <c r="AFC126" s="220">
        <v>0.5</v>
      </c>
      <c r="AFD126" s="220">
        <v>0.5</v>
      </c>
      <c r="AFE126" s="227">
        <v>0.5</v>
      </c>
      <c r="AFF126" s="147"/>
      <c r="AFG126" s="148"/>
      <c r="AFH126" s="216">
        <v>0.5</v>
      </c>
      <c r="AFI126" s="226">
        <v>0.5</v>
      </c>
      <c r="AFJ126" s="428">
        <v>0.5</v>
      </c>
      <c r="AFK126" s="220">
        <v>0.5</v>
      </c>
      <c r="AFL126" s="220">
        <v>0.5</v>
      </c>
      <c r="AFM126" s="220">
        <v>0.5</v>
      </c>
      <c r="AFN126" s="220">
        <v>0.5</v>
      </c>
      <c r="AFO126" s="220">
        <v>0.5</v>
      </c>
      <c r="AFP126" s="220">
        <v>0.5</v>
      </c>
      <c r="AFQ126" s="220">
        <v>0.5</v>
      </c>
      <c r="AFR126" s="137"/>
      <c r="AFS126" s="137"/>
      <c r="AFT126" s="137"/>
      <c r="AFU126" s="153"/>
      <c r="AFV126" s="304"/>
      <c r="AFW126" s="152"/>
      <c r="AFX126" s="131">
        <f>SUM(AEV126:AFW126)</f>
      </c>
      <c r="AFY126" s="134"/>
      <c r="AFZ126" s="135"/>
      <c r="AGA126" s="339">
        <v>0.5</v>
      </c>
      <c r="AGB126" s="143">
        <v>0.5</v>
      </c>
      <c r="AGC126" s="143">
        <v>0.5</v>
      </c>
      <c r="AGD126" s="143">
        <v>0.5</v>
      </c>
      <c r="AGE126" s="143">
        <v>0.5</v>
      </c>
      <c r="AGF126" s="143">
        <v>0.5</v>
      </c>
      <c r="AGG126" s="143">
        <v>0.5</v>
      </c>
      <c r="AGH126" s="154">
        <v>0.5</v>
      </c>
      <c r="AGI126" s="147"/>
      <c r="AGJ126" s="148"/>
      <c r="AGK126" s="138">
        <v>0.5</v>
      </c>
      <c r="AGL126" s="149">
        <v>0.5</v>
      </c>
      <c r="AGM126" s="339">
        <v>0.5</v>
      </c>
      <c r="AGN126" s="143">
        <v>0.5</v>
      </c>
      <c r="AGO126" s="143">
        <v>0.5</v>
      </c>
      <c r="AGP126" s="143">
        <v>0.5</v>
      </c>
      <c r="AGQ126" s="143">
        <v>0.5</v>
      </c>
      <c r="AGR126" s="143">
        <v>0.5</v>
      </c>
      <c r="AGS126" s="143">
        <v>0.5</v>
      </c>
      <c r="AGT126" s="143">
        <v>0.5</v>
      </c>
      <c r="AGU126" s="137"/>
      <c r="AGV126" s="137"/>
      <c r="AGW126" s="137"/>
      <c r="AGX126" s="153"/>
      <c r="AGY126" s="304"/>
      <c r="AGZ126" s="152"/>
      <c r="AHA126" s="131">
        <f>SUM(AFY126:AGZ126)</f>
      </c>
      <c r="AHB126" s="134"/>
      <c r="AHC126" s="135"/>
      <c r="AHD126" s="339">
        <v>0.5</v>
      </c>
      <c r="AHE126" s="143">
        <v>0.5</v>
      </c>
      <c r="AHF126" s="143">
        <v>0.5</v>
      </c>
      <c r="AHG126" s="143">
        <v>0.5</v>
      </c>
      <c r="AHH126" s="143">
        <v>0.5</v>
      </c>
      <c r="AHI126" s="143">
        <v>0.5</v>
      </c>
      <c r="AHJ126" s="143">
        <v>0.5</v>
      </c>
      <c r="AHK126" s="154">
        <v>0.5</v>
      </c>
      <c r="AHL126" s="147"/>
      <c r="AHM126" s="148"/>
      <c r="AHN126" s="138">
        <v>0.5</v>
      </c>
      <c r="AHO126" s="149">
        <v>0.5</v>
      </c>
      <c r="AHP126" s="339">
        <v>0.5</v>
      </c>
      <c r="AHQ126" s="143">
        <v>0.5</v>
      </c>
      <c r="AHR126" s="143">
        <v>0.5</v>
      </c>
      <c r="AHS126" s="143">
        <v>0.5</v>
      </c>
      <c r="AHT126" s="143">
        <v>0.5</v>
      </c>
      <c r="AHU126" s="143">
        <v>0.5</v>
      </c>
      <c r="AHV126" s="143">
        <v>0.5</v>
      </c>
      <c r="AHW126" s="143">
        <v>0.5</v>
      </c>
      <c r="AHX126" s="137"/>
      <c r="AHY126" s="137"/>
      <c r="AHZ126" s="137"/>
      <c r="AIA126" s="153"/>
      <c r="AIB126" s="304"/>
      <c r="AIC126" s="152"/>
      <c r="AID126" s="131">
        <f>SUM(AHB126:AIC126)</f>
      </c>
      <c r="AIE126" s="134"/>
      <c r="AIF126" s="135"/>
      <c r="AIG126" s="339">
        <v>0.5</v>
      </c>
      <c r="AIH126" s="143">
        <v>0.5</v>
      </c>
      <c r="AII126" s="143">
        <v>0.5</v>
      </c>
      <c r="AIJ126" s="143">
        <v>0.5</v>
      </c>
      <c r="AIK126" s="143">
        <v>0.5</v>
      </c>
      <c r="AIL126" s="143">
        <v>0.5</v>
      </c>
      <c r="AIM126" s="143">
        <v>0.5</v>
      </c>
      <c r="AIN126" s="154">
        <v>0.5</v>
      </c>
      <c r="AIO126" s="147"/>
      <c r="AIP126" s="148"/>
      <c r="AIQ126" s="138">
        <v>0.5</v>
      </c>
      <c r="AIR126" s="149">
        <v>0.5</v>
      </c>
      <c r="AIS126" s="339">
        <v>0.5</v>
      </c>
      <c r="AIT126" s="143">
        <v>0.5</v>
      </c>
      <c r="AIU126" s="143">
        <v>0.5</v>
      </c>
      <c r="AIV126" s="143">
        <v>0.5</v>
      </c>
      <c r="AIW126" s="143">
        <v>0.5</v>
      </c>
      <c r="AIX126" s="143">
        <v>0.5</v>
      </c>
      <c r="AIY126" s="339">
        <v>0.5</v>
      </c>
      <c r="AIZ126" s="143">
        <v>0.5</v>
      </c>
      <c r="AJA126" s="137"/>
      <c r="AJB126" s="137"/>
      <c r="AJC126" s="137"/>
      <c r="AJD126" s="153"/>
      <c r="AJE126" s="304"/>
      <c r="AJF126" s="152"/>
      <c r="AJG126" s="131">
        <f>SUM(AIE126:AJF126)</f>
      </c>
      <c r="AJH126" s="134"/>
      <c r="AJI126" s="135"/>
      <c r="AJJ126" s="219">
        <v>0.5</v>
      </c>
      <c r="AJK126" s="216">
        <v>0.5</v>
      </c>
      <c r="AJL126" s="216">
        <v>0.5</v>
      </c>
      <c r="AJM126" s="216">
        <v>0.5</v>
      </c>
      <c r="AJN126" s="216">
        <v>0.5</v>
      </c>
      <c r="AJO126" s="216">
        <v>0.5</v>
      </c>
      <c r="AJP126" s="216">
        <v>0.5</v>
      </c>
      <c r="AJQ126" s="217">
        <v>0.5</v>
      </c>
      <c r="AJR126" s="155"/>
      <c r="AJS126" s="137"/>
      <c r="AJT126" s="137"/>
      <c r="AJU126" s="141"/>
      <c r="AJV126" s="136"/>
      <c r="AJW126" s="137"/>
      <c r="AJX126" s="137"/>
      <c r="AJY126" s="137"/>
      <c r="AJZ126" s="137"/>
      <c r="AKA126" s="137"/>
      <c r="AKB126" s="137"/>
      <c r="AKC126" s="137"/>
      <c r="AKD126" s="137"/>
      <c r="AKE126" s="137"/>
      <c r="AKF126" s="137"/>
      <c r="AKG126" s="153"/>
      <c r="AKH126" s="304"/>
      <c r="AKI126" s="152"/>
      <c r="AKJ126" s="131">
        <f>SUM(AJH126:AKI126)</f>
      </c>
      <c r="AKK126" s="121"/>
      <c r="AKL126" s="122"/>
      <c r="AKM126" s="123"/>
      <c r="AKN126" s="124"/>
      <c r="AKO126" s="124"/>
      <c r="AKP126" s="124"/>
      <c r="AKQ126" s="124"/>
      <c r="AKR126" s="124"/>
      <c r="AKS126" s="124"/>
      <c r="AKT126" s="125"/>
      <c r="AKU126" s="126"/>
      <c r="AKV126" s="124"/>
      <c r="AKW126" s="124"/>
      <c r="AKX126" s="127"/>
      <c r="AKY126" s="123"/>
      <c r="AKZ126" s="124"/>
      <c r="ALA126" s="124"/>
      <c r="ALB126" s="124"/>
      <c r="ALC126" s="124"/>
      <c r="ALD126" s="124"/>
      <c r="ALE126" s="124"/>
      <c r="ALF126" s="124"/>
      <c r="ALG126" s="124"/>
      <c r="ALH126" s="124"/>
      <c r="ALI126" s="124"/>
      <c r="ALJ126" s="125"/>
      <c r="ALK126" s="301"/>
      <c r="ALL126" s="151"/>
      <c r="ALM126" s="131">
        <f>SUM(AKK126:ALL126)</f>
      </c>
      <c r="ALN126" s="121"/>
      <c r="ALO126" s="122"/>
      <c r="ALP126" s="123"/>
      <c r="ALQ126" s="124"/>
      <c r="ALR126" s="124"/>
      <c r="ALS126" s="124"/>
      <c r="ALT126" s="124"/>
      <c r="ALU126" s="124"/>
      <c r="ALV126" s="124"/>
      <c r="ALW126" s="125"/>
      <c r="ALX126" s="126"/>
      <c r="ALY126" s="124"/>
      <c r="ALZ126" s="124"/>
      <c r="AMA126" s="127"/>
      <c r="AMB126" s="123"/>
      <c r="AMC126" s="124"/>
      <c r="AMD126" s="124"/>
      <c r="AME126" s="124"/>
      <c r="AMF126" s="124"/>
      <c r="AMG126" s="124"/>
      <c r="AMH126" s="124"/>
      <c r="AMI126" s="124"/>
      <c r="AMJ126" s="124"/>
      <c r="AMK126" s="124"/>
      <c r="AML126" s="124"/>
      <c r="AMM126" s="125"/>
      <c r="AMN126" s="301"/>
      <c r="AMO126" s="151"/>
      <c r="AMP126" s="131">
        <f>SUM(ALN126:AMO126)</f>
      </c>
      <c r="AMQ126" s="150">
        <f>AFX126+AHA126+AID126+AJG126+AKJ126+ALM126+AMP126</f>
      </c>
      <c r="AMR126" s="302">
        <f>(COUNTIF(AEV126:AMP126,"H")+COUNTIF(AEV126:AMP126,"S")+COUNTIF(AEV126:AMP126,"L")+COUNTIF(AEV126:AMP126,"E")+COUNTIF(AEV126:AMP126,"C"))/2</f>
      </c>
      <c r="AMS126" s="131">
        <f>AMQ126+AMR126</f>
      </c>
      <c r="AMT126" s="4"/>
      <c r="AMU126" s="4"/>
      <c r="AMV126" s="4"/>
      <c r="AMW126" s="4"/>
      <c r="AMX126" s="4"/>
      <c r="AMY126" s="4"/>
      <c r="AMZ126" s="4"/>
      <c r="ANA126" s="4"/>
      <c r="ANB126" s="4"/>
      <c r="ANC126" s="4"/>
      <c r="AND126" s="4"/>
      <c r="ANE126" s="4"/>
      <c r="ANF126" s="4"/>
      <c r="ANG126" s="4"/>
      <c r="ANH126" s="4"/>
      <c r="ANI126" s="4"/>
      <c r="ANJ126" s="4"/>
      <c r="ANK126" s="4"/>
      <c r="ANL126" s="4"/>
      <c r="ANM126" s="4"/>
      <c r="ANN126" s="4"/>
      <c r="ANO126" s="4"/>
      <c r="ANP126" s="4"/>
      <c r="ANQ126" s="4"/>
      <c r="ANR126" s="4"/>
      <c r="ANS126" s="4"/>
      <c r="ANT126" s="4"/>
      <c r="ANU126" s="4"/>
      <c r="ANV126" s="4"/>
      <c r="ANW126" s="4"/>
      <c r="ANX126" s="4"/>
      <c r="ANY126" s="4"/>
      <c r="ANZ126" s="4"/>
      <c r="AOA126" s="4"/>
      <c r="AOB126" s="4"/>
      <c r="AOC126" s="4"/>
      <c r="AOD126" s="4"/>
      <c r="AOE126" s="4"/>
      <c r="AOF126" s="4"/>
      <c r="AOG126" s="4"/>
      <c r="AOH126" s="4"/>
      <c r="AOI126" s="4"/>
      <c r="AOJ126" s="4"/>
      <c r="AOK126" s="4"/>
      <c r="AOL126" s="4"/>
      <c r="AOM126" s="4"/>
      <c r="AON126" s="4"/>
      <c r="AOO126" s="4"/>
      <c r="AOP126" s="4"/>
      <c r="AOQ126" s="4"/>
      <c r="AOR126" s="4"/>
      <c r="AOS126" s="4"/>
      <c r="AOT126" s="4"/>
      <c r="AOU126" s="4"/>
      <c r="AOV126" s="4"/>
      <c r="AOW126" s="4"/>
      <c r="AOX126" s="4"/>
      <c r="AOY126" s="4"/>
      <c r="AOZ126" s="4"/>
      <c r="APA126" s="4"/>
      <c r="APB126" s="4"/>
      <c r="APC126" s="4"/>
      <c r="APD126" s="4"/>
      <c r="APE126" s="4"/>
      <c r="APF126" s="4"/>
      <c r="APG126" s="4"/>
      <c r="APH126" s="4"/>
      <c r="API126" s="4"/>
      <c r="APJ126" s="4"/>
      <c r="APK126" s="4"/>
      <c r="APL126" s="4"/>
      <c r="APM126" s="4"/>
      <c r="APN126" s="4"/>
      <c r="APO126" s="4"/>
      <c r="APP126" s="4"/>
      <c r="APQ126" s="4"/>
      <c r="APR126" s="4"/>
      <c r="APS126" s="4"/>
      <c r="APT126" s="4"/>
      <c r="APU126" s="4"/>
      <c r="APV126" s="4"/>
      <c r="APW126" s="4"/>
      <c r="APX126" s="4"/>
      <c r="APY126" s="4"/>
      <c r="APZ126" s="4"/>
      <c r="AQA126" s="4"/>
      <c r="AQB126" s="4"/>
      <c r="AQC126" s="4"/>
      <c r="AQD126" s="4"/>
      <c r="AQE126" s="4"/>
      <c r="AQF126" s="4"/>
      <c r="AQG126" s="4"/>
      <c r="AQH126" s="4"/>
      <c r="AQI126" s="4"/>
      <c r="AQJ126" s="4"/>
      <c r="AQK126" s="4"/>
      <c r="AQL126" s="4"/>
      <c r="AQM126" s="4"/>
      <c r="AQN126" s="4"/>
      <c r="AQO126" s="4"/>
      <c r="AQP126" s="4"/>
      <c r="AQQ126" s="4"/>
      <c r="AQR126" s="4"/>
      <c r="AQS126" s="4"/>
      <c r="AQT126" s="4"/>
      <c r="AQU126" s="4"/>
      <c r="AQV126" s="4"/>
      <c r="AQW126" s="4"/>
      <c r="AQX126" s="4"/>
      <c r="AQY126" s="4"/>
      <c r="AQZ126" s="4"/>
      <c r="ARA126" s="4"/>
      <c r="ARB126" s="4"/>
      <c r="ARC126" s="4"/>
      <c r="ARD126" s="4"/>
      <c r="ARE126" s="4"/>
      <c r="ARF126" s="4"/>
      <c r="ARG126" s="4"/>
      <c r="ARH126" s="4"/>
      <c r="ARI126" s="4"/>
      <c r="ARJ126" s="4"/>
      <c r="ARK126" s="4"/>
      <c r="ARL126" s="4"/>
      <c r="ARM126" s="4"/>
      <c r="ARN126" s="4"/>
      <c r="ARO126" s="4"/>
      <c r="ARP126" s="4"/>
      <c r="ARQ126" s="4"/>
      <c r="ARR126" s="4"/>
      <c r="ARS126" s="4"/>
      <c r="ART126" s="4"/>
      <c r="ARU126" s="4"/>
      <c r="ARV126" s="4"/>
      <c r="ARW126" s="4"/>
      <c r="ARX126" s="4"/>
      <c r="ARY126" s="4"/>
      <c r="ARZ126" s="4"/>
      <c r="ASA126" s="4"/>
      <c r="ASB126" s="4"/>
      <c r="ASC126" s="4"/>
      <c r="ASD126" s="4"/>
      <c r="ASE126" s="4"/>
      <c r="ASF126" s="4"/>
      <c r="ASG126" s="4"/>
      <c r="ASH126" s="4"/>
      <c r="ASI126" s="4"/>
      <c r="ASJ126" s="4"/>
      <c r="ASK126" s="4"/>
      <c r="ASL126" s="4"/>
      <c r="ASM126" s="4"/>
      <c r="ASN126" s="4"/>
      <c r="ASO126" s="4"/>
      <c r="ASP126" s="4"/>
      <c r="ASQ126" s="4"/>
      <c r="ASR126" s="4"/>
      <c r="ASS126" s="4"/>
      <c r="AST126" s="4"/>
      <c r="ASU126" s="4"/>
    </row>
    <row r="127" spans="1:1191" x14ac:dyDescent="0.25">
      <c r="A127" s="118"/>
      <c r="B127" s="417" t="s">
        <v>160</v>
      </c>
      <c r="C127" s="321" t="s">
        <v>153</v>
      </c>
      <c r="D127" s="121"/>
      <c r="E127" s="122"/>
      <c r="F127" s="123"/>
      <c r="G127" s="124"/>
      <c r="H127" s="124"/>
      <c r="I127" s="124"/>
      <c r="J127" s="124"/>
      <c r="K127" s="124"/>
      <c r="L127" s="124"/>
      <c r="M127" s="125"/>
      <c r="N127" s="126"/>
      <c r="O127" s="124"/>
      <c r="P127" s="124"/>
      <c r="Q127" s="127"/>
      <c r="R127" s="123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5"/>
      <c r="AD127" s="301"/>
      <c r="AE127" s="151"/>
      <c r="AF127" s="131">
        <f>SUM(D127:AE127)</f>
      </c>
      <c r="AG127" s="121"/>
      <c r="AH127" s="122"/>
      <c r="AI127" s="123"/>
      <c r="AJ127" s="124"/>
      <c r="AK127" s="124"/>
      <c r="AL127" s="124"/>
      <c r="AM127" s="124"/>
      <c r="AN127" s="124"/>
      <c r="AO127" s="124"/>
      <c r="AP127" s="125"/>
      <c r="AQ127" s="126"/>
      <c r="AR127" s="124"/>
      <c r="AS127" s="124"/>
      <c r="AT127" s="127"/>
      <c r="AU127" s="123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5"/>
      <c r="BG127" s="301"/>
      <c r="BH127" s="151"/>
      <c r="BI127" s="131">
        <f>SUM(AG127:BH127)</f>
      </c>
      <c r="BJ127" s="121"/>
      <c r="BK127" s="122"/>
      <c r="BL127" s="123"/>
      <c r="BM127" s="124"/>
      <c r="BN127" s="124"/>
      <c r="BO127" s="124"/>
      <c r="BP127" s="124"/>
      <c r="BQ127" s="124"/>
      <c r="BR127" s="124"/>
      <c r="BS127" s="125"/>
      <c r="BT127" s="126"/>
      <c r="BU127" s="124"/>
      <c r="BV127" s="124"/>
      <c r="BW127" s="127"/>
      <c r="BX127" s="123"/>
      <c r="BY127" s="124"/>
      <c r="BZ127" s="124"/>
      <c r="CA127" s="124"/>
      <c r="CB127" s="124"/>
      <c r="CC127" s="124"/>
      <c r="CD127" s="124"/>
      <c r="CE127" s="124"/>
      <c r="CF127" s="124"/>
      <c r="CG127" s="124"/>
      <c r="CH127" s="124"/>
      <c r="CI127" s="125"/>
      <c r="CJ127" s="301"/>
      <c r="CK127" s="151"/>
      <c r="CL127" s="131">
        <f>SUM(BJ127:CK127)</f>
      </c>
      <c r="CM127" s="121"/>
      <c r="CN127" s="122"/>
      <c r="CO127" s="123"/>
      <c r="CP127" s="124"/>
      <c r="CQ127" s="124"/>
      <c r="CR127" s="124"/>
      <c r="CS127" s="124"/>
      <c r="CT127" s="124"/>
      <c r="CU127" s="124"/>
      <c r="CV127" s="125"/>
      <c r="CW127" s="126"/>
      <c r="CX127" s="124"/>
      <c r="CY127" s="124"/>
      <c r="CZ127" s="127"/>
      <c r="DA127" s="123"/>
      <c r="DB127" s="124"/>
      <c r="DC127" s="124"/>
      <c r="DD127" s="124"/>
      <c r="DE127" s="124"/>
      <c r="DF127" s="124"/>
      <c r="DG127" s="124"/>
      <c r="DH127" s="124"/>
      <c r="DI127" s="124"/>
      <c r="DJ127" s="124"/>
      <c r="DK127" s="124"/>
      <c r="DL127" s="125"/>
      <c r="DM127" s="301"/>
      <c r="DN127" s="151"/>
      <c r="DO127" s="131">
        <f>SUM(CM127:DN127)</f>
      </c>
      <c r="DP127" s="121"/>
      <c r="DQ127" s="122"/>
      <c r="DR127" s="123"/>
      <c r="DS127" s="124"/>
      <c r="DT127" s="124"/>
      <c r="DU127" s="124"/>
      <c r="DV127" s="124"/>
      <c r="DW127" s="124"/>
      <c r="DX127" s="124"/>
      <c r="DY127" s="125"/>
      <c r="DZ127" s="126"/>
      <c r="EA127" s="124"/>
      <c r="EB127" s="124"/>
      <c r="EC127" s="127"/>
      <c r="ED127" s="123"/>
      <c r="EE127" s="124"/>
      <c r="EF127" s="124"/>
      <c r="EG127" s="124"/>
      <c r="EH127" s="124"/>
      <c r="EI127" s="124"/>
      <c r="EJ127" s="124"/>
      <c r="EK127" s="124"/>
      <c r="EL127" s="124"/>
      <c r="EM127" s="124"/>
      <c r="EN127" s="124"/>
      <c r="EO127" s="125"/>
      <c r="EP127" s="301"/>
      <c r="EQ127" s="151"/>
      <c r="ER127" s="131">
        <f>SUM(DP127:EQ127)</f>
      </c>
      <c r="ES127" s="121"/>
      <c r="ET127" s="122"/>
      <c r="EU127" s="123"/>
      <c r="EV127" s="124"/>
      <c r="EW127" s="124"/>
      <c r="EX127" s="124"/>
      <c r="EY127" s="124"/>
      <c r="EZ127" s="124"/>
      <c r="FA127" s="124"/>
      <c r="FB127" s="125"/>
      <c r="FC127" s="126"/>
      <c r="FD127" s="124"/>
      <c r="FE127" s="124"/>
      <c r="FF127" s="127"/>
      <c r="FG127" s="123"/>
      <c r="FH127" s="124"/>
      <c r="FI127" s="124"/>
      <c r="FJ127" s="124"/>
      <c r="FK127" s="124"/>
      <c r="FL127" s="124"/>
      <c r="FM127" s="124"/>
      <c r="FN127" s="124"/>
      <c r="FO127" s="124"/>
      <c r="FP127" s="124"/>
      <c r="FQ127" s="124"/>
      <c r="FR127" s="125"/>
      <c r="FS127" s="301"/>
      <c r="FT127" s="151"/>
      <c r="FU127" s="131">
        <f>SUM(ES127:FT127)</f>
      </c>
      <c r="FV127" s="121"/>
      <c r="FW127" s="122"/>
      <c r="FX127" s="123"/>
      <c r="FY127" s="124"/>
      <c r="FZ127" s="124"/>
      <c r="GA127" s="124"/>
      <c r="GB127" s="124"/>
      <c r="GC127" s="124"/>
      <c r="GD127" s="124"/>
      <c r="GE127" s="125"/>
      <c r="GF127" s="126"/>
      <c r="GG127" s="124"/>
      <c r="GH127" s="124"/>
      <c r="GI127" s="127"/>
      <c r="GJ127" s="123"/>
      <c r="GK127" s="124"/>
      <c r="GL127" s="124"/>
      <c r="GM127" s="124"/>
      <c r="GN127" s="124"/>
      <c r="GO127" s="124"/>
      <c r="GP127" s="124"/>
      <c r="GQ127" s="124"/>
      <c r="GR127" s="124"/>
      <c r="GS127" s="124"/>
      <c r="GT127" s="124"/>
      <c r="GU127" s="125"/>
      <c r="GV127" s="301"/>
      <c r="GW127" s="151"/>
      <c r="GX127" s="131">
        <f>SUM(FV127:GW127)</f>
      </c>
      <c r="GY127" s="150">
        <f>AF127+BI127+CL127+DO127+ER127+FU127+GX127</f>
      </c>
      <c r="GZ127" s="302">
        <f>(COUNTIF(D127:GX127,"H")+COUNTIF(D127:GX127,"S")+COUNTIF(D127:GX127,"L")+COUNTIF(D127:GX127,"E")+COUNTIF(D127:GX127,"C"))/2</f>
      </c>
      <c r="HA127" s="131">
        <f>GY127+GZ127</f>
      </c>
      <c r="HB127" s="134"/>
      <c r="HC127" s="135"/>
      <c r="HD127" s="136"/>
      <c r="HE127" s="18" t="s">
        <v>4</v>
      </c>
      <c r="HF127" s="18" t="s">
        <v>4</v>
      </c>
      <c r="HG127" s="18" t="s">
        <v>4</v>
      </c>
      <c r="HH127" s="18" t="s">
        <v>4</v>
      </c>
      <c r="HI127" s="18" t="s">
        <v>4</v>
      </c>
      <c r="HJ127" s="18" t="s">
        <v>4</v>
      </c>
      <c r="HK127" s="222" t="s">
        <v>4</v>
      </c>
      <c r="HL127" s="223" t="s">
        <v>4</v>
      </c>
      <c r="HM127" s="137"/>
      <c r="HN127" s="137"/>
      <c r="HO127" s="224" t="s">
        <v>4</v>
      </c>
      <c r="HP127" s="225" t="s">
        <v>4</v>
      </c>
      <c r="HQ127" s="18" t="s">
        <v>4</v>
      </c>
      <c r="HR127" s="18" t="s">
        <v>4</v>
      </c>
      <c r="HS127" s="18" t="s">
        <v>4</v>
      </c>
      <c r="HT127" s="18" t="s">
        <v>4</v>
      </c>
      <c r="HU127" s="18" t="s">
        <v>4</v>
      </c>
      <c r="HV127" s="18" t="s">
        <v>4</v>
      </c>
      <c r="HW127" s="137"/>
      <c r="HX127" s="137"/>
      <c r="HY127" s="137"/>
      <c r="HZ127" s="137"/>
      <c r="IA127" s="153"/>
      <c r="IB127" s="304"/>
      <c r="IC127" s="152"/>
      <c r="ID127" s="131">
        <f>SUM(HB127:IC127)</f>
      </c>
      <c r="IE127" s="134"/>
      <c r="IF127" s="135"/>
      <c r="IG127" s="136"/>
      <c r="IH127" s="18" t="s">
        <v>4</v>
      </c>
      <c r="II127" s="18" t="s">
        <v>4</v>
      </c>
      <c r="IJ127" s="18" t="s">
        <v>4</v>
      </c>
      <c r="IK127" s="18" t="s">
        <v>4</v>
      </c>
      <c r="IL127" s="18" t="s">
        <v>4</v>
      </c>
      <c r="IM127" s="18" t="s">
        <v>4</v>
      </c>
      <c r="IN127" s="222" t="s">
        <v>4</v>
      </c>
      <c r="IO127" s="223" t="s">
        <v>4</v>
      </c>
      <c r="IP127" s="137"/>
      <c r="IQ127" s="137"/>
      <c r="IR127" s="224" t="s">
        <v>4</v>
      </c>
      <c r="IS127" s="225" t="s">
        <v>4</v>
      </c>
      <c r="IT127" s="18" t="s">
        <v>4</v>
      </c>
      <c r="IU127" s="18" t="s">
        <v>4</v>
      </c>
      <c r="IV127" s="18" t="s">
        <v>4</v>
      </c>
      <c r="IW127" s="18" t="s">
        <v>4</v>
      </c>
      <c r="IX127" s="18" t="s">
        <v>4</v>
      </c>
      <c r="IY127" s="18" t="s">
        <v>4</v>
      </c>
      <c r="IZ127" s="137"/>
      <c r="JA127" s="137"/>
      <c r="JB127" s="137"/>
      <c r="JC127" s="137"/>
      <c r="JD127" s="153"/>
      <c r="JE127" s="304"/>
      <c r="JF127" s="152"/>
      <c r="JG127" s="131">
        <f>SUM(IE127:JF127)</f>
      </c>
      <c r="JH127" s="134"/>
      <c r="JI127" s="135"/>
      <c r="JJ127" s="136"/>
      <c r="JK127" s="18" t="s">
        <v>4</v>
      </c>
      <c r="JL127" s="18" t="s">
        <v>4</v>
      </c>
      <c r="JM127" s="18" t="s">
        <v>4</v>
      </c>
      <c r="JN127" s="18" t="s">
        <v>4</v>
      </c>
      <c r="JO127" s="18" t="s">
        <v>4</v>
      </c>
      <c r="JP127" s="18" t="s">
        <v>4</v>
      </c>
      <c r="JQ127" s="222" t="s">
        <v>4</v>
      </c>
      <c r="JR127" s="223" t="s">
        <v>4</v>
      </c>
      <c r="JS127" s="137"/>
      <c r="JT127" s="137"/>
      <c r="JU127" s="224" t="s">
        <v>4</v>
      </c>
      <c r="JV127" s="225" t="s">
        <v>4</v>
      </c>
      <c r="JW127" s="18" t="s">
        <v>4</v>
      </c>
      <c r="JX127" s="18" t="s">
        <v>4</v>
      </c>
      <c r="JY127" s="18" t="s">
        <v>4</v>
      </c>
      <c r="JZ127" s="18" t="s">
        <v>4</v>
      </c>
      <c r="KA127" s="18" t="s">
        <v>4</v>
      </c>
      <c r="KB127" s="18" t="s">
        <v>4</v>
      </c>
      <c r="KC127" s="137"/>
      <c r="KD127" s="137"/>
      <c r="KE127" s="137"/>
      <c r="KF127" s="137"/>
      <c r="KG127" s="153"/>
      <c r="KH127" s="304"/>
      <c r="KI127" s="152"/>
      <c r="KJ127" s="131">
        <f>SUM(JH127:KI127)</f>
      </c>
      <c r="KK127" s="134"/>
      <c r="KL127" s="135"/>
      <c r="KM127" s="136"/>
      <c r="KN127" s="18" t="s">
        <v>4</v>
      </c>
      <c r="KO127" s="18" t="s">
        <v>4</v>
      </c>
      <c r="KP127" s="18" t="s">
        <v>4</v>
      </c>
      <c r="KQ127" s="18" t="s">
        <v>4</v>
      </c>
      <c r="KR127" s="18" t="s">
        <v>4</v>
      </c>
      <c r="KS127" s="18" t="s">
        <v>4</v>
      </c>
      <c r="KT127" s="222" t="s">
        <v>4</v>
      </c>
      <c r="KU127" s="223" t="s">
        <v>4</v>
      </c>
      <c r="KV127" s="137"/>
      <c r="KW127" s="137"/>
      <c r="KX127" s="224" t="s">
        <v>4</v>
      </c>
      <c r="KY127" s="225" t="s">
        <v>4</v>
      </c>
      <c r="KZ127" s="18" t="s">
        <v>4</v>
      </c>
      <c r="LA127" s="18" t="s">
        <v>4</v>
      </c>
      <c r="LB127" s="18" t="s">
        <v>4</v>
      </c>
      <c r="LC127" s="18" t="s">
        <v>4</v>
      </c>
      <c r="LD127" s="18" t="s">
        <v>4</v>
      </c>
      <c r="LE127" s="18" t="s">
        <v>4</v>
      </c>
      <c r="LF127" s="137"/>
      <c r="LG127" s="137"/>
      <c r="LH127" s="137"/>
      <c r="LI127" s="137"/>
      <c r="LJ127" s="153"/>
      <c r="LK127" s="304"/>
      <c r="LL127" s="152"/>
      <c r="LM127" s="131">
        <f>SUM(KK127:LL127)</f>
      </c>
      <c r="LN127" s="134"/>
      <c r="LO127" s="135"/>
      <c r="LP127" s="136"/>
      <c r="LQ127" s="18" t="s">
        <v>4</v>
      </c>
      <c r="LR127" s="18" t="s">
        <v>4</v>
      </c>
      <c r="LS127" s="18" t="s">
        <v>4</v>
      </c>
      <c r="LT127" s="18" t="s">
        <v>4</v>
      </c>
      <c r="LU127" s="18" t="s">
        <v>4</v>
      </c>
      <c r="LV127" s="18" t="s">
        <v>4</v>
      </c>
      <c r="LW127" s="222" t="s">
        <v>4</v>
      </c>
      <c r="LX127" s="223" t="s">
        <v>4</v>
      </c>
      <c r="LY127" s="137"/>
      <c r="LZ127" s="137"/>
      <c r="MA127" s="224" t="s">
        <v>4</v>
      </c>
      <c r="MB127" s="225" t="s">
        <v>4</v>
      </c>
      <c r="MC127" s="18" t="s">
        <v>4</v>
      </c>
      <c r="MD127" s="18" t="s">
        <v>4</v>
      </c>
      <c r="ME127" s="18" t="s">
        <v>4</v>
      </c>
      <c r="MF127" s="18" t="s">
        <v>4</v>
      </c>
      <c r="MG127" s="18" t="s">
        <v>4</v>
      </c>
      <c r="MH127" s="18" t="s">
        <v>4</v>
      </c>
      <c r="MI127" s="137"/>
      <c r="MJ127" s="137"/>
      <c r="MK127" s="137"/>
      <c r="ML127" s="137"/>
      <c r="MM127" s="153"/>
      <c r="MN127" s="304"/>
      <c r="MO127" s="152"/>
      <c r="MP127" s="131">
        <f>SUM(LN127:MO127)</f>
      </c>
      <c r="MQ127" s="121"/>
      <c r="MR127" s="122"/>
      <c r="MS127" s="123"/>
      <c r="MT127" s="124"/>
      <c r="MU127" s="124"/>
      <c r="MV127" s="124"/>
      <c r="MW127" s="124"/>
      <c r="MX127" s="124"/>
      <c r="MY127" s="124"/>
      <c r="MZ127" s="125"/>
      <c r="NA127" s="126"/>
      <c r="NB127" s="124"/>
      <c r="NC127" s="124"/>
      <c r="ND127" s="127"/>
      <c r="NE127" s="123"/>
      <c r="NF127" s="124"/>
      <c r="NG127" s="124"/>
      <c r="NH127" s="124"/>
      <c r="NI127" s="124"/>
      <c r="NJ127" s="124"/>
      <c r="NK127" s="124"/>
      <c r="NL127" s="124"/>
      <c r="NM127" s="124"/>
      <c r="NN127" s="124"/>
      <c r="NO127" s="124"/>
      <c r="NP127" s="125"/>
      <c r="NQ127" s="301"/>
      <c r="NR127" s="151"/>
      <c r="NS127" s="131">
        <f>SUM(MQ127:NR127)</f>
      </c>
      <c r="NT127" s="121"/>
      <c r="NU127" s="122"/>
      <c r="NV127" s="123"/>
      <c r="NW127" s="124"/>
      <c r="NX127" s="124"/>
      <c r="NY127" s="124"/>
      <c r="NZ127" s="124"/>
      <c r="OA127" s="124"/>
      <c r="OB127" s="124"/>
      <c r="OC127" s="125"/>
      <c r="OD127" s="126"/>
      <c r="OE127" s="124"/>
      <c r="OF127" s="124"/>
      <c r="OG127" s="127"/>
      <c r="OH127" s="123"/>
      <c r="OI127" s="124"/>
      <c r="OJ127" s="124"/>
      <c r="OK127" s="124"/>
      <c r="OL127" s="124"/>
      <c r="OM127" s="124"/>
      <c r="ON127" s="124"/>
      <c r="OO127" s="124"/>
      <c r="OP127" s="124"/>
      <c r="OQ127" s="124"/>
      <c r="OR127" s="124"/>
      <c r="OS127" s="125"/>
      <c r="OT127" s="301"/>
      <c r="OU127" s="151"/>
      <c r="OV127" s="131">
        <f>SUM(NT127:OU127)</f>
      </c>
      <c r="OW127" s="150">
        <f>ID127+JG127+KJ127+LM127+MP127+NS127+OV127</f>
      </c>
      <c r="OX127" s="302">
        <f>(COUNTIF(HB127:OV127,"H")+COUNTIF(HB127:OV127,"S")+COUNTIF(HB127:OV127,"L")+COUNTIF(HB127:OV127,"E")+COUNTIF(HB127:OV127,"C"))/2</f>
      </c>
      <c r="OY127" s="131">
        <f>OW127+OX127</f>
      </c>
      <c r="OZ127" s="134"/>
      <c r="PA127" s="135"/>
      <c r="PB127" s="136"/>
      <c r="PC127" s="137"/>
      <c r="PD127" s="137"/>
      <c r="PE127" s="220">
        <v>0.5</v>
      </c>
      <c r="PF127" s="220">
        <v>0.5</v>
      </c>
      <c r="PG127" s="220">
        <v>0.5</v>
      </c>
      <c r="PH127" s="216">
        <v>0.5</v>
      </c>
      <c r="PI127" s="217">
        <v>0.5</v>
      </c>
      <c r="PJ127" s="218">
        <v>0.5</v>
      </c>
      <c r="PK127" s="216">
        <v>0.5</v>
      </c>
      <c r="PL127" s="137"/>
      <c r="PM127" s="141"/>
      <c r="PN127" s="219">
        <v>0.5</v>
      </c>
      <c r="PO127" s="216">
        <v>0.5</v>
      </c>
      <c r="PP127" s="220">
        <v>0.5</v>
      </c>
      <c r="PQ127" s="220">
        <v>0.5</v>
      </c>
      <c r="PR127" s="220">
        <v>0.5</v>
      </c>
      <c r="PS127" s="220">
        <v>0.5</v>
      </c>
      <c r="PT127" s="220">
        <v>0.5</v>
      </c>
      <c r="PU127" s="220">
        <v>0.5</v>
      </c>
      <c r="PV127" s="220">
        <v>0.5</v>
      </c>
      <c r="PW127" s="137"/>
      <c r="PX127" s="137"/>
      <c r="PY127" s="153"/>
      <c r="PZ127" s="304"/>
      <c r="QA127" s="152"/>
      <c r="QB127" s="131">
        <f>SUM(OZ127:QA127)</f>
      </c>
      <c r="QC127" s="134"/>
      <c r="QD127" s="135"/>
      <c r="QE127" s="136"/>
      <c r="QF127" s="137"/>
      <c r="QG127" s="137"/>
      <c r="QH127" s="143">
        <v>0.5</v>
      </c>
      <c r="QI127" s="143">
        <v>0.5</v>
      </c>
      <c r="QJ127" s="143">
        <v>0.5</v>
      </c>
      <c r="QK127" s="138">
        <v>0.5</v>
      </c>
      <c r="QL127" s="139">
        <v>0.5</v>
      </c>
      <c r="QM127" s="140">
        <v>0.5</v>
      </c>
      <c r="QN127" s="138">
        <v>0.5</v>
      </c>
      <c r="QO127" s="137"/>
      <c r="QP127" s="141"/>
      <c r="QQ127" s="142">
        <v>0.5</v>
      </c>
      <c r="QR127" s="138">
        <v>0.5</v>
      </c>
      <c r="QS127" s="143">
        <v>0.5</v>
      </c>
      <c r="QT127" s="143">
        <v>0.5</v>
      </c>
      <c r="QU127" s="143">
        <v>0.5</v>
      </c>
      <c r="QV127" s="143">
        <v>0.5</v>
      </c>
      <c r="QW127" s="143">
        <v>0.5</v>
      </c>
      <c r="QX127" s="143">
        <v>0.5</v>
      </c>
      <c r="QY127" s="143">
        <v>0.5</v>
      </c>
      <c r="QZ127" s="137"/>
      <c r="RA127" s="137"/>
      <c r="RB127" s="153"/>
      <c r="RC127" s="304"/>
      <c r="RD127" s="152"/>
      <c r="RE127" s="131">
        <f>SUM(QC127:RD127)</f>
      </c>
      <c r="RF127" s="134"/>
      <c r="RG127" s="135"/>
      <c r="RH127" s="136"/>
      <c r="RI127" s="137"/>
      <c r="RJ127" s="137"/>
      <c r="RK127" s="143">
        <v>0.5</v>
      </c>
      <c r="RL127" s="143">
        <v>0.5</v>
      </c>
      <c r="RM127" s="143">
        <v>0.5</v>
      </c>
      <c r="RN127" s="138">
        <v>0.5</v>
      </c>
      <c r="RO127" s="139">
        <v>0.5</v>
      </c>
      <c r="RP127" s="140">
        <v>0.5</v>
      </c>
      <c r="RQ127" s="138">
        <v>0.5</v>
      </c>
      <c r="RR127" s="137"/>
      <c r="RS127" s="141"/>
      <c r="RT127" s="142">
        <v>0.5</v>
      </c>
      <c r="RU127" s="138">
        <v>0.5</v>
      </c>
      <c r="RV127" s="143">
        <v>0.5</v>
      </c>
      <c r="RW127" s="143">
        <v>0.5</v>
      </c>
      <c r="RX127" s="143">
        <v>0.5</v>
      </c>
      <c r="RY127" s="143">
        <v>0.5</v>
      </c>
      <c r="RZ127" s="143">
        <v>0.5</v>
      </c>
      <c r="SA127" s="143">
        <v>0.5</v>
      </c>
      <c r="SB127" s="143">
        <v>0.5</v>
      </c>
      <c r="SC127" s="137"/>
      <c r="SD127" s="137"/>
      <c r="SE127" s="153"/>
      <c r="SF127" s="304"/>
      <c r="SG127" s="152"/>
      <c r="SH127" s="131">
        <f>SUM(RF127:SG127)</f>
      </c>
      <c r="SI127" s="134"/>
      <c r="SJ127" s="135"/>
      <c r="SK127" s="136"/>
      <c r="SL127" s="137"/>
      <c r="SM127" s="137"/>
      <c r="SN127" s="220">
        <v>0.5</v>
      </c>
      <c r="SO127" s="220">
        <v>0.5</v>
      </c>
      <c r="SP127" s="220">
        <v>0.5</v>
      </c>
      <c r="SQ127" s="216">
        <v>0.5</v>
      </c>
      <c r="SR127" s="217">
        <v>0.5</v>
      </c>
      <c r="SS127" s="218">
        <v>0.5</v>
      </c>
      <c r="ST127" s="216">
        <v>0.5</v>
      </c>
      <c r="SU127" s="137"/>
      <c r="SV127" s="141"/>
      <c r="SW127" s="219">
        <v>0.5</v>
      </c>
      <c r="SX127" s="216">
        <v>0.5</v>
      </c>
      <c r="SY127" s="220">
        <v>0.5</v>
      </c>
      <c r="SZ127" s="220">
        <v>0.5</v>
      </c>
      <c r="TA127" s="220">
        <v>0.5</v>
      </c>
      <c r="TB127" s="220">
        <v>0.5</v>
      </c>
      <c r="TC127" s="220">
        <v>0.5</v>
      </c>
      <c r="TD127" s="220">
        <v>0.5</v>
      </c>
      <c r="TE127" s="220">
        <v>0.5</v>
      </c>
      <c r="TF127" s="137"/>
      <c r="TG127" s="137"/>
      <c r="TH127" s="153"/>
      <c r="TI127" s="304"/>
      <c r="TJ127" s="152"/>
      <c r="TK127" s="131">
        <f>SUM(SI127:TJ127)</f>
      </c>
      <c r="TL127" s="134"/>
      <c r="TM127" s="135"/>
      <c r="TN127" s="136"/>
      <c r="TO127" s="137"/>
      <c r="TP127" s="137"/>
      <c r="TQ127" s="220">
        <v>0.5</v>
      </c>
      <c r="TR127" s="220">
        <v>0.5</v>
      </c>
      <c r="TS127" s="220">
        <v>0.5</v>
      </c>
      <c r="TT127" s="216">
        <v>0.5</v>
      </c>
      <c r="TU127" s="217">
        <v>0.5</v>
      </c>
      <c r="TV127" s="218">
        <v>0.5</v>
      </c>
      <c r="TW127" s="216">
        <v>0.5</v>
      </c>
      <c r="TX127" s="137"/>
      <c r="TY127" s="141"/>
      <c r="TZ127" s="219">
        <v>0.5</v>
      </c>
      <c r="UA127" s="216">
        <v>0.5</v>
      </c>
      <c r="UB127" s="220">
        <v>0.5</v>
      </c>
      <c r="UC127" s="220">
        <v>0.5</v>
      </c>
      <c r="UD127" s="220">
        <v>0.5</v>
      </c>
      <c r="UE127" s="220">
        <v>0.5</v>
      </c>
      <c r="UF127" s="220">
        <v>0.5</v>
      </c>
      <c r="UG127" s="220">
        <v>0.5</v>
      </c>
      <c r="UH127" s="220">
        <v>0.5</v>
      </c>
      <c r="UI127" s="137"/>
      <c r="UJ127" s="137"/>
      <c r="UK127" s="153"/>
      <c r="UL127" s="304"/>
      <c r="UM127" s="152"/>
      <c r="UN127" s="131">
        <f>SUM(TL127:UM127)</f>
      </c>
      <c r="UO127" s="121"/>
      <c r="UP127" s="122"/>
      <c r="UQ127" s="123"/>
      <c r="UR127" s="124"/>
      <c r="US127" s="124"/>
      <c r="UT127" s="124"/>
      <c r="UU127" s="124"/>
      <c r="UV127" s="124"/>
      <c r="UW127" s="124"/>
      <c r="UX127" s="125"/>
      <c r="UY127" s="126"/>
      <c r="UZ127" s="124"/>
      <c r="VA127" s="124"/>
      <c r="VB127" s="127"/>
      <c r="VC127" s="123"/>
      <c r="VD127" s="124"/>
      <c r="VE127" s="124"/>
      <c r="VF127" s="124"/>
      <c r="VG127" s="124"/>
      <c r="VH127" s="124"/>
      <c r="VI127" s="124"/>
      <c r="VJ127" s="124"/>
      <c r="VK127" s="124"/>
      <c r="VL127" s="124"/>
      <c r="VM127" s="124"/>
      <c r="VN127" s="125"/>
      <c r="VO127" s="301"/>
      <c r="VP127" s="151"/>
      <c r="VQ127" s="131">
        <f>SUM(UO127:VP127)</f>
      </c>
      <c r="VR127" s="121"/>
      <c r="VS127" s="122"/>
      <c r="VT127" s="123"/>
      <c r="VU127" s="124"/>
      <c r="VV127" s="124"/>
      <c r="VW127" s="124"/>
      <c r="VX127" s="124"/>
      <c r="VY127" s="124"/>
      <c r="VZ127" s="124"/>
      <c r="WA127" s="125"/>
      <c r="WB127" s="126"/>
      <c r="WC127" s="124"/>
      <c r="WD127" s="124"/>
      <c r="WE127" s="127"/>
      <c r="WF127" s="123"/>
      <c r="WG127" s="124"/>
      <c r="WH127" s="124"/>
      <c r="WI127" s="124"/>
      <c r="WJ127" s="124"/>
      <c r="WK127" s="124"/>
      <c r="WL127" s="124"/>
      <c r="WM127" s="124"/>
      <c r="WN127" s="124"/>
      <c r="WO127" s="124"/>
      <c r="WP127" s="124"/>
      <c r="WQ127" s="125"/>
      <c r="WR127" s="301"/>
      <c r="WS127" s="151"/>
      <c r="WT127" s="131">
        <f>SUM(VR127:WS127)</f>
      </c>
      <c r="WU127" s="150">
        <f>QB127+RE127+SH127+TK127+UN127+VQ127+WT127</f>
      </c>
      <c r="WV127" s="302">
        <f>(COUNTIF(OZ127:WT127,"H")+COUNTIF(OZ127:WT127,"S")+COUNTIF(OZ127:WT127,"L")+COUNTIF(OZ127:WT127,"E")+COUNTIF(OZ127:WT127,"C"))/2</f>
      </c>
      <c r="WW127" s="131">
        <f>WU127+WV127</f>
      </c>
      <c r="WX127" s="134"/>
      <c r="WY127" s="135"/>
      <c r="WZ127" s="136"/>
      <c r="XA127" s="137"/>
      <c r="XB127" s="137"/>
      <c r="XC127" s="220">
        <v>0.5</v>
      </c>
      <c r="XD127" s="220">
        <v>0.5</v>
      </c>
      <c r="XE127" s="220">
        <v>0.5</v>
      </c>
      <c r="XF127" s="216">
        <v>0.5</v>
      </c>
      <c r="XG127" s="217">
        <v>0.5</v>
      </c>
      <c r="XH127" s="218">
        <v>0.5</v>
      </c>
      <c r="XI127" s="216">
        <v>0.5</v>
      </c>
      <c r="XJ127" s="137"/>
      <c r="XK127" s="141"/>
      <c r="XL127" s="219">
        <v>0.5</v>
      </c>
      <c r="XM127" s="216">
        <v>0.5</v>
      </c>
      <c r="XN127" s="220">
        <v>0.5</v>
      </c>
      <c r="XO127" s="220">
        <v>0.5</v>
      </c>
      <c r="XP127" s="220">
        <v>0.5</v>
      </c>
      <c r="XQ127" s="220">
        <v>0.5</v>
      </c>
      <c r="XR127" s="220">
        <v>0.5</v>
      </c>
      <c r="XS127" s="220">
        <v>0.5</v>
      </c>
      <c r="XT127" s="220">
        <v>0.5</v>
      </c>
      <c r="XU127" s="137"/>
      <c r="XV127" s="137"/>
      <c r="XW127" s="153"/>
      <c r="XX127" s="304"/>
      <c r="XY127" s="152"/>
      <c r="XZ127" s="131">
        <f>SUM(WX127:XY127)</f>
      </c>
      <c r="YA127" s="134"/>
      <c r="YB127" s="135"/>
      <c r="YC127" s="136"/>
      <c r="YD127" s="137"/>
      <c r="YE127" s="137"/>
      <c r="YF127" s="143">
        <v>0.5</v>
      </c>
      <c r="YG127" s="143">
        <v>0.5</v>
      </c>
      <c r="YH127" s="143">
        <v>0.5</v>
      </c>
      <c r="YI127" s="138">
        <v>0.5</v>
      </c>
      <c r="YJ127" s="139">
        <v>0.5</v>
      </c>
      <c r="YK127" s="140">
        <v>0.5</v>
      </c>
      <c r="YL127" s="138">
        <v>0.5</v>
      </c>
      <c r="YM127" s="137"/>
      <c r="YN127" s="141"/>
      <c r="YO127" s="142">
        <v>0.5</v>
      </c>
      <c r="YP127" s="138">
        <v>0.5</v>
      </c>
      <c r="YQ127" s="143">
        <v>0.5</v>
      </c>
      <c r="YR127" s="143">
        <v>0.5</v>
      </c>
      <c r="YS127" s="143">
        <v>0.5</v>
      </c>
      <c r="YT127" s="143">
        <v>0.5</v>
      </c>
      <c r="YU127" s="143">
        <v>0.5</v>
      </c>
      <c r="YV127" s="143">
        <v>0.5</v>
      </c>
      <c r="YW127" s="143">
        <v>0.5</v>
      </c>
      <c r="YX127" s="137"/>
      <c r="YY127" s="137"/>
      <c r="YZ127" s="153"/>
      <c r="ZA127" s="304"/>
      <c r="ZB127" s="152"/>
      <c r="ZC127" s="131">
        <f>SUM(YA127:ZB127)</f>
      </c>
      <c r="ZD127" s="134"/>
      <c r="ZE127" s="135"/>
      <c r="ZF127" s="136"/>
      <c r="ZG127" s="137"/>
      <c r="ZH127" s="137"/>
      <c r="ZI127" s="143">
        <v>0.5</v>
      </c>
      <c r="ZJ127" s="143">
        <v>0.5</v>
      </c>
      <c r="ZK127" s="143">
        <v>0.5</v>
      </c>
      <c r="ZL127" s="138">
        <v>0.5</v>
      </c>
      <c r="ZM127" s="139">
        <v>0.5</v>
      </c>
      <c r="ZN127" s="140">
        <v>0.5</v>
      </c>
      <c r="ZO127" s="138">
        <v>0.5</v>
      </c>
      <c r="ZP127" s="137"/>
      <c r="ZQ127" s="141"/>
      <c r="ZR127" s="142">
        <v>0.5</v>
      </c>
      <c r="ZS127" s="138">
        <v>0.5</v>
      </c>
      <c r="ZT127" s="143">
        <v>0.5</v>
      </c>
      <c r="ZU127" s="143">
        <v>0.5</v>
      </c>
      <c r="ZV127" s="143">
        <v>0.5</v>
      </c>
      <c r="ZW127" s="143">
        <v>0.5</v>
      </c>
      <c r="ZX127" s="143">
        <v>0.5</v>
      </c>
      <c r="ZY127" s="143">
        <v>0.5</v>
      </c>
      <c r="ZZ127" s="143">
        <v>0.5</v>
      </c>
      <c r="AAA127" s="137"/>
      <c r="AAB127" s="137"/>
      <c r="AAC127" s="153"/>
      <c r="AAD127" s="304"/>
      <c r="AAE127" s="152"/>
      <c r="AAF127" s="131">
        <f>SUM(ZD127:AAE127)</f>
      </c>
      <c r="AAG127" s="134"/>
      <c r="AAH127" s="135"/>
      <c r="AAI127" s="136"/>
      <c r="AAJ127" s="137"/>
      <c r="AAK127" s="137"/>
      <c r="AAL127" s="220">
        <v>0.5</v>
      </c>
      <c r="AAM127" s="220">
        <v>0.5</v>
      </c>
      <c r="AAN127" s="220">
        <v>0.5</v>
      </c>
      <c r="AAO127" s="216">
        <v>0.5</v>
      </c>
      <c r="AAP127" s="217">
        <v>0.5</v>
      </c>
      <c r="AAQ127" s="218">
        <v>0.5</v>
      </c>
      <c r="AAR127" s="216">
        <v>0.5</v>
      </c>
      <c r="AAS127" s="137"/>
      <c r="AAT127" s="141"/>
      <c r="AAU127" s="219">
        <v>0.5</v>
      </c>
      <c r="AAV127" s="216">
        <v>0.5</v>
      </c>
      <c r="AAW127" s="220">
        <v>0.5</v>
      </c>
      <c r="AAX127" s="220">
        <v>0.5</v>
      </c>
      <c r="AAY127" s="220">
        <v>0.5</v>
      </c>
      <c r="AAZ127" s="220">
        <v>0.5</v>
      </c>
      <c r="ABA127" s="220">
        <v>0.5</v>
      </c>
      <c r="ABB127" s="220">
        <v>0.5</v>
      </c>
      <c r="ABC127" s="220">
        <v>0.5</v>
      </c>
      <c r="ABD127" s="137"/>
      <c r="ABE127" s="137"/>
      <c r="ABF127" s="153"/>
      <c r="ABG127" s="304"/>
      <c r="ABH127" s="152"/>
      <c r="ABI127" s="131">
        <f>SUM(AAG127:ABH127)</f>
      </c>
      <c r="ABJ127" s="134"/>
      <c r="ABK127" s="135"/>
      <c r="ABL127" s="136"/>
      <c r="ABM127" s="137"/>
      <c r="ABN127" s="137"/>
      <c r="ABO127" s="220">
        <v>0.5</v>
      </c>
      <c r="ABP127" s="220">
        <v>0.5</v>
      </c>
      <c r="ABQ127" s="220">
        <v>0.5</v>
      </c>
      <c r="ABR127" s="216">
        <v>0.5</v>
      </c>
      <c r="ABS127" s="217">
        <v>0.5</v>
      </c>
      <c r="ABT127" s="218">
        <v>0.5</v>
      </c>
      <c r="ABU127" s="216">
        <v>0.5</v>
      </c>
      <c r="ABV127" s="137"/>
      <c r="ABW127" s="141"/>
      <c r="ABX127" s="219">
        <v>0.5</v>
      </c>
      <c r="ABY127" s="216">
        <v>0.5</v>
      </c>
      <c r="ABZ127" s="220">
        <v>0.5</v>
      </c>
      <c r="ACA127" s="220">
        <v>0.5</v>
      </c>
      <c r="ACB127" s="220">
        <v>0.5</v>
      </c>
      <c r="ACC127" s="220">
        <v>0.5</v>
      </c>
      <c r="ACD127" s="220">
        <v>0.5</v>
      </c>
      <c r="ACE127" s="220">
        <v>0.5</v>
      </c>
      <c r="ACF127" s="220">
        <v>0.5</v>
      </c>
      <c r="ACG127" s="137"/>
      <c r="ACH127" s="137"/>
      <c r="ACI127" s="153"/>
      <c r="ACJ127" s="304"/>
      <c r="ACK127" s="152"/>
      <c r="ACL127" s="131">
        <f>SUM(ABJ127:ACK127)</f>
      </c>
      <c r="ACM127" s="121"/>
      <c r="ACN127" s="122"/>
      <c r="ACO127" s="123"/>
      <c r="ACP127" s="124"/>
      <c r="ACQ127" s="124"/>
      <c r="ACR127" s="124"/>
      <c r="ACS127" s="124"/>
      <c r="ACT127" s="124"/>
      <c r="ACU127" s="124"/>
      <c r="ACV127" s="125"/>
      <c r="ACW127" s="126"/>
      <c r="ACX127" s="124"/>
      <c r="ACY127" s="124"/>
      <c r="ACZ127" s="127"/>
      <c r="ADA127" s="123"/>
      <c r="ADB127" s="124"/>
      <c r="ADC127" s="124"/>
      <c r="ADD127" s="124"/>
      <c r="ADE127" s="124"/>
      <c r="ADF127" s="124"/>
      <c r="ADG127" s="124"/>
      <c r="ADH127" s="124"/>
      <c r="ADI127" s="124"/>
      <c r="ADJ127" s="124"/>
      <c r="ADK127" s="124"/>
      <c r="ADL127" s="125"/>
      <c r="ADM127" s="301"/>
      <c r="ADN127" s="151"/>
      <c r="ADO127" s="131">
        <f>SUM(ACM127:ADN127)</f>
      </c>
      <c r="ADP127" s="121"/>
      <c r="ADQ127" s="122"/>
      <c r="ADR127" s="123"/>
      <c r="ADS127" s="124"/>
      <c r="ADT127" s="124"/>
      <c r="ADU127" s="124"/>
      <c r="ADV127" s="124"/>
      <c r="ADW127" s="124"/>
      <c r="ADX127" s="124"/>
      <c r="ADY127" s="125"/>
      <c r="ADZ127" s="126"/>
      <c r="AEA127" s="124"/>
      <c r="AEB127" s="124"/>
      <c r="AEC127" s="127"/>
      <c r="AED127" s="123"/>
      <c r="AEE127" s="124"/>
      <c r="AEF127" s="124"/>
      <c r="AEG127" s="124"/>
      <c r="AEH127" s="124"/>
      <c r="AEI127" s="124"/>
      <c r="AEJ127" s="124"/>
      <c r="AEK127" s="124"/>
      <c r="AEL127" s="124"/>
      <c r="AEM127" s="124"/>
      <c r="AEN127" s="124"/>
      <c r="AEO127" s="125"/>
      <c r="AEP127" s="301"/>
      <c r="AEQ127" s="151"/>
      <c r="AER127" s="131">
        <f>SUM(ADP127:AEQ127)</f>
      </c>
      <c r="AES127" s="150">
        <f>XZ127+ZC127+AAF127+ABI127+ACL127+ADO127+AER127</f>
      </c>
      <c r="AET127" s="302">
        <f>(COUNTIF(WX127:AER127,"H")+COUNTIF(WX127:AER127,"S")+COUNTIF(WX127:AER127,"L")+COUNTIF(WX127:AER127,"E")+COUNTIF(WX127:AER127,"C"))/2</f>
      </c>
      <c r="AEU127" s="131">
        <f>AES127+AET127</f>
      </c>
      <c r="AEV127" s="134"/>
      <c r="AEW127" s="135"/>
      <c r="AEX127" s="136"/>
      <c r="AEY127" s="137"/>
      <c r="AEZ127" s="137"/>
      <c r="AFA127" s="220">
        <v>0.5</v>
      </c>
      <c r="AFB127" s="220">
        <v>0.5</v>
      </c>
      <c r="AFC127" s="220">
        <v>0.5</v>
      </c>
      <c r="AFD127" s="216">
        <v>0.5</v>
      </c>
      <c r="AFE127" s="217">
        <v>0.5</v>
      </c>
      <c r="AFF127" s="218">
        <v>0.5</v>
      </c>
      <c r="AFG127" s="216">
        <v>0.5</v>
      </c>
      <c r="AFH127" s="137"/>
      <c r="AFI127" s="141"/>
      <c r="AFJ127" s="219">
        <v>0.5</v>
      </c>
      <c r="AFK127" s="216">
        <v>0.5</v>
      </c>
      <c r="AFL127" s="220">
        <v>0.5</v>
      </c>
      <c r="AFM127" s="220">
        <v>0.5</v>
      </c>
      <c r="AFN127" s="220">
        <v>0.5</v>
      </c>
      <c r="AFO127" s="220">
        <v>0.5</v>
      </c>
      <c r="AFP127" s="220">
        <v>0.5</v>
      </c>
      <c r="AFQ127" s="220">
        <v>0.5</v>
      </c>
      <c r="AFR127" s="220">
        <v>0.5</v>
      </c>
      <c r="AFS127" s="137"/>
      <c r="AFT127" s="137"/>
      <c r="AFU127" s="153"/>
      <c r="AFV127" s="304"/>
      <c r="AFW127" s="152"/>
      <c r="AFX127" s="131">
        <f>SUM(AEV127:AFW127)</f>
      </c>
      <c r="AFY127" s="134"/>
      <c r="AFZ127" s="135"/>
      <c r="AGA127" s="136"/>
      <c r="AGB127" s="137"/>
      <c r="AGC127" s="137"/>
      <c r="AGD127" s="143">
        <v>0.5</v>
      </c>
      <c r="AGE127" s="143">
        <v>0.5</v>
      </c>
      <c r="AGF127" s="143">
        <v>0.5</v>
      </c>
      <c r="AGG127" s="138">
        <v>0.5</v>
      </c>
      <c r="AGH127" s="139">
        <v>0.5</v>
      </c>
      <c r="AGI127" s="140">
        <v>0.5</v>
      </c>
      <c r="AGJ127" s="138">
        <v>0.5</v>
      </c>
      <c r="AGK127" s="137"/>
      <c r="AGL127" s="141"/>
      <c r="AGM127" s="142">
        <v>0.5</v>
      </c>
      <c r="AGN127" s="138">
        <v>0.5</v>
      </c>
      <c r="AGO127" s="143">
        <v>0.5</v>
      </c>
      <c r="AGP127" s="143">
        <v>0.5</v>
      </c>
      <c r="AGQ127" s="143">
        <v>0.5</v>
      </c>
      <c r="AGR127" s="143">
        <v>0.5</v>
      </c>
      <c r="AGS127" s="143">
        <v>0.5</v>
      </c>
      <c r="AGT127" s="143">
        <v>0.5</v>
      </c>
      <c r="AGU127" s="143">
        <v>0.5</v>
      </c>
      <c r="AGV127" s="137"/>
      <c r="AGW127" s="137"/>
      <c r="AGX127" s="153"/>
      <c r="AGY127" s="304"/>
      <c r="AGZ127" s="152"/>
      <c r="AHA127" s="131">
        <f>SUM(AFY127:AGZ127)</f>
      </c>
      <c r="AHB127" s="134"/>
      <c r="AHC127" s="135"/>
      <c r="AHD127" s="136"/>
      <c r="AHE127" s="137"/>
      <c r="AHF127" s="137"/>
      <c r="AHG127" s="143">
        <v>0.5</v>
      </c>
      <c r="AHH127" s="143">
        <v>0.5</v>
      </c>
      <c r="AHI127" s="143">
        <v>0.5</v>
      </c>
      <c r="AHJ127" s="138">
        <v>0.5</v>
      </c>
      <c r="AHK127" s="139">
        <v>0.5</v>
      </c>
      <c r="AHL127" s="140">
        <v>0.5</v>
      </c>
      <c r="AHM127" s="138">
        <v>0.5</v>
      </c>
      <c r="AHN127" s="137"/>
      <c r="AHO127" s="141"/>
      <c r="AHP127" s="142">
        <v>0.5</v>
      </c>
      <c r="AHQ127" s="138">
        <v>0.5</v>
      </c>
      <c r="AHR127" s="143">
        <v>0.5</v>
      </c>
      <c r="AHS127" s="143">
        <v>0.5</v>
      </c>
      <c r="AHT127" s="143">
        <v>0.5</v>
      </c>
      <c r="AHU127" s="143">
        <v>0.5</v>
      </c>
      <c r="AHV127" s="143">
        <v>0.5</v>
      </c>
      <c r="AHW127" s="143">
        <v>0.5</v>
      </c>
      <c r="AHX127" s="143">
        <v>0.5</v>
      </c>
      <c r="AHY127" s="137"/>
      <c r="AHZ127" s="137"/>
      <c r="AIA127" s="153"/>
      <c r="AIB127" s="304"/>
      <c r="AIC127" s="152"/>
      <c r="AID127" s="131">
        <f>SUM(AHB127:AIC127)</f>
      </c>
      <c r="AIE127" s="134"/>
      <c r="AIF127" s="135"/>
      <c r="AIG127" s="136"/>
      <c r="AIH127" s="137"/>
      <c r="AII127" s="137"/>
      <c r="AIJ127" s="220">
        <v>0.5</v>
      </c>
      <c r="AIK127" s="220">
        <v>0.5</v>
      </c>
      <c r="AIL127" s="220">
        <v>0.5</v>
      </c>
      <c r="AIM127" s="216">
        <v>0.5</v>
      </c>
      <c r="AIN127" s="217">
        <v>0.5</v>
      </c>
      <c r="AIO127" s="218">
        <v>0.5</v>
      </c>
      <c r="AIP127" s="216">
        <v>0.5</v>
      </c>
      <c r="AIQ127" s="137"/>
      <c r="AIR127" s="141"/>
      <c r="AIS127" s="219">
        <v>0.5</v>
      </c>
      <c r="AIT127" s="216">
        <v>0.5</v>
      </c>
      <c r="AIU127" s="220">
        <v>0.5</v>
      </c>
      <c r="AIV127" s="220">
        <v>0.5</v>
      </c>
      <c r="AIW127" s="220">
        <v>0.5</v>
      </c>
      <c r="AIX127" s="220">
        <v>0.5</v>
      </c>
      <c r="AIY127" s="220">
        <v>0.5</v>
      </c>
      <c r="AIZ127" s="220">
        <v>0.5</v>
      </c>
      <c r="AJA127" s="220">
        <v>0.5</v>
      </c>
      <c r="AJB127" s="137"/>
      <c r="AJC127" s="137"/>
      <c r="AJD127" s="153"/>
      <c r="AJE127" s="304"/>
      <c r="AJF127" s="152"/>
      <c r="AJG127" s="131">
        <f>SUM(AIE127:AJF127)</f>
      </c>
      <c r="AJH127" s="134"/>
      <c r="AJI127" s="135"/>
      <c r="AJJ127" s="136"/>
      <c r="AJK127" s="137"/>
      <c r="AJL127" s="137"/>
      <c r="AJM127" s="220">
        <v>0.5</v>
      </c>
      <c r="AJN127" s="220">
        <v>0.5</v>
      </c>
      <c r="AJO127" s="220">
        <v>0.5</v>
      </c>
      <c r="AJP127" s="216">
        <v>0.5</v>
      </c>
      <c r="AJQ127" s="217">
        <v>0.5</v>
      </c>
      <c r="AJR127" s="218">
        <v>0.5</v>
      </c>
      <c r="AJS127" s="216">
        <v>0.5</v>
      </c>
      <c r="AJT127" s="137"/>
      <c r="AJU127" s="141"/>
      <c r="AJV127" s="219">
        <v>0.5</v>
      </c>
      <c r="AJW127" s="216">
        <v>0.5</v>
      </c>
      <c r="AJX127" s="220">
        <v>0.5</v>
      </c>
      <c r="AJY127" s="220">
        <v>0.5</v>
      </c>
      <c r="AJZ127" s="220">
        <v>0.5</v>
      </c>
      <c r="AKA127" s="220">
        <v>0.5</v>
      </c>
      <c r="AKB127" s="220">
        <v>0.5</v>
      </c>
      <c r="AKC127" s="220">
        <v>0.5</v>
      </c>
      <c r="AKD127" s="220">
        <v>0.5</v>
      </c>
      <c r="AKE127" s="137"/>
      <c r="AKF127" s="137"/>
      <c r="AKG127" s="153"/>
      <c r="AKH127" s="304"/>
      <c r="AKI127" s="152"/>
      <c r="AKJ127" s="131">
        <f>SUM(AJH127:AKI127)</f>
      </c>
      <c r="AKK127" s="121"/>
      <c r="AKL127" s="122"/>
      <c r="AKM127" s="123"/>
      <c r="AKN127" s="124"/>
      <c r="AKO127" s="124"/>
      <c r="AKP127" s="124"/>
      <c r="AKQ127" s="124"/>
      <c r="AKR127" s="124"/>
      <c r="AKS127" s="124"/>
      <c r="AKT127" s="125"/>
      <c r="AKU127" s="126"/>
      <c r="AKV127" s="124"/>
      <c r="AKW127" s="124"/>
      <c r="AKX127" s="127"/>
      <c r="AKY127" s="123"/>
      <c r="AKZ127" s="124"/>
      <c r="ALA127" s="124"/>
      <c r="ALB127" s="124"/>
      <c r="ALC127" s="124"/>
      <c r="ALD127" s="124"/>
      <c r="ALE127" s="124"/>
      <c r="ALF127" s="124"/>
      <c r="ALG127" s="124"/>
      <c r="ALH127" s="124"/>
      <c r="ALI127" s="124"/>
      <c r="ALJ127" s="125"/>
      <c r="ALK127" s="301"/>
      <c r="ALL127" s="151"/>
      <c r="ALM127" s="131">
        <f>SUM(AKK127:ALL127)</f>
      </c>
      <c r="ALN127" s="121"/>
      <c r="ALO127" s="122"/>
      <c r="ALP127" s="123"/>
      <c r="ALQ127" s="124"/>
      <c r="ALR127" s="124"/>
      <c r="ALS127" s="124"/>
      <c r="ALT127" s="124"/>
      <c r="ALU127" s="124"/>
      <c r="ALV127" s="124"/>
      <c r="ALW127" s="125"/>
      <c r="ALX127" s="126"/>
      <c r="ALY127" s="124"/>
      <c r="ALZ127" s="124"/>
      <c r="AMA127" s="127"/>
      <c r="AMB127" s="123"/>
      <c r="AMC127" s="124"/>
      <c r="AMD127" s="124"/>
      <c r="AME127" s="124"/>
      <c r="AMF127" s="124"/>
      <c r="AMG127" s="124"/>
      <c r="AMH127" s="124"/>
      <c r="AMI127" s="124"/>
      <c r="AMJ127" s="124"/>
      <c r="AMK127" s="124"/>
      <c r="AML127" s="124"/>
      <c r="AMM127" s="125"/>
      <c r="AMN127" s="301"/>
      <c r="AMO127" s="151"/>
      <c r="AMP127" s="131">
        <f>SUM(ALN127:AMO127)</f>
      </c>
      <c r="AMQ127" s="150">
        <f>AFX127+AHA127+AID127+AJG127+AKJ127+ALM127+AMP127</f>
      </c>
      <c r="AMR127" s="302">
        <f>(COUNTIF(AEV127:AMP127,"H")+COUNTIF(AEV127:AMP127,"S")+COUNTIF(AEV127:AMP127,"L")+COUNTIF(AEV127:AMP127,"E")+COUNTIF(AEV127:AMP127,"C"))/2</f>
      </c>
      <c r="AMS127" s="131">
        <f>AMQ127+AMR127</f>
      </c>
      <c r="AMT127" s="4"/>
      <c r="AMU127" s="4"/>
      <c r="AMV127" s="4"/>
      <c r="AMW127" s="4"/>
      <c r="AMX127" s="4"/>
      <c r="AMY127" s="4"/>
      <c r="AMZ127" s="4"/>
      <c r="ANA127" s="4"/>
      <c r="ANB127" s="4"/>
      <c r="ANC127" s="4"/>
      <c r="AND127" s="4"/>
      <c r="ANE127" s="4"/>
      <c r="ANF127" s="4"/>
      <c r="ANG127" s="4"/>
      <c r="ANH127" s="4"/>
      <c r="ANI127" s="4"/>
      <c r="ANJ127" s="4"/>
      <c r="ANK127" s="4"/>
      <c r="ANL127" s="4"/>
      <c r="ANM127" s="4"/>
      <c r="ANN127" s="4"/>
      <c r="ANO127" s="4"/>
      <c r="ANP127" s="4"/>
      <c r="ANQ127" s="4"/>
      <c r="ANR127" s="4"/>
      <c r="ANS127" s="4"/>
      <c r="ANT127" s="4"/>
      <c r="ANU127" s="4"/>
      <c r="ANV127" s="4"/>
      <c r="ANW127" s="4"/>
      <c r="ANX127" s="4"/>
      <c r="ANY127" s="4"/>
      <c r="ANZ127" s="4"/>
      <c r="AOA127" s="4"/>
      <c r="AOB127" s="4"/>
      <c r="AOC127" s="4"/>
      <c r="AOD127" s="4"/>
      <c r="AOE127" s="4"/>
      <c r="AOF127" s="4"/>
      <c r="AOG127" s="4"/>
      <c r="AOH127" s="4"/>
      <c r="AOI127" s="4"/>
      <c r="AOJ127" s="4"/>
      <c r="AOK127" s="4"/>
      <c r="AOL127" s="4"/>
      <c r="AOM127" s="4"/>
      <c r="AON127" s="4"/>
      <c r="AOO127" s="4"/>
      <c r="AOP127" s="4"/>
      <c r="AOQ127" s="4"/>
      <c r="AOR127" s="4"/>
      <c r="AOS127" s="4"/>
      <c r="AOT127" s="4"/>
      <c r="AOU127" s="4"/>
      <c r="AOV127" s="4"/>
      <c r="AOW127" s="4"/>
      <c r="AOX127" s="4"/>
      <c r="AOY127" s="4"/>
      <c r="AOZ127" s="4"/>
      <c r="APA127" s="4"/>
      <c r="APB127" s="4"/>
      <c r="APC127" s="4"/>
      <c r="APD127" s="4"/>
      <c r="APE127" s="4"/>
      <c r="APF127" s="4"/>
      <c r="APG127" s="4"/>
      <c r="APH127" s="4"/>
      <c r="API127" s="4"/>
      <c r="APJ127" s="4"/>
      <c r="APK127" s="4"/>
      <c r="APL127" s="4"/>
      <c r="APM127" s="4"/>
      <c r="APN127" s="4"/>
      <c r="APO127" s="4"/>
      <c r="APP127" s="4"/>
      <c r="APQ127" s="4"/>
      <c r="APR127" s="4"/>
      <c r="APS127" s="4"/>
      <c r="APT127" s="4"/>
      <c r="APU127" s="4"/>
      <c r="APV127" s="4"/>
      <c r="APW127" s="4"/>
      <c r="APX127" s="4"/>
      <c r="APY127" s="4"/>
      <c r="APZ127" s="4"/>
      <c r="AQA127" s="4"/>
      <c r="AQB127" s="4"/>
      <c r="AQC127" s="4"/>
      <c r="AQD127" s="4"/>
      <c r="AQE127" s="4"/>
      <c r="AQF127" s="4"/>
      <c r="AQG127" s="4"/>
      <c r="AQH127" s="4"/>
      <c r="AQI127" s="4"/>
      <c r="AQJ127" s="4"/>
      <c r="AQK127" s="4"/>
      <c r="AQL127" s="4"/>
      <c r="AQM127" s="4"/>
      <c r="AQN127" s="4"/>
      <c r="AQO127" s="4"/>
      <c r="AQP127" s="4"/>
      <c r="AQQ127" s="4"/>
      <c r="AQR127" s="4"/>
      <c r="AQS127" s="4"/>
      <c r="AQT127" s="4"/>
      <c r="AQU127" s="4"/>
      <c r="AQV127" s="4"/>
      <c r="AQW127" s="4"/>
      <c r="AQX127" s="4"/>
      <c r="AQY127" s="4"/>
      <c r="AQZ127" s="4"/>
      <c r="ARA127" s="4"/>
      <c r="ARB127" s="4"/>
      <c r="ARC127" s="4"/>
      <c r="ARD127" s="4"/>
      <c r="ARE127" s="4"/>
      <c r="ARF127" s="4"/>
      <c r="ARG127" s="4"/>
      <c r="ARH127" s="4"/>
      <c r="ARI127" s="4"/>
      <c r="ARJ127" s="4"/>
      <c r="ARK127" s="4"/>
      <c r="ARL127" s="4"/>
      <c r="ARM127" s="4"/>
      <c r="ARN127" s="4"/>
      <c r="ARO127" s="4"/>
      <c r="ARP127" s="4"/>
      <c r="ARQ127" s="4"/>
      <c r="ARR127" s="4"/>
      <c r="ARS127" s="4"/>
      <c r="ART127" s="4"/>
      <c r="ARU127" s="4"/>
      <c r="ARV127" s="4"/>
      <c r="ARW127" s="4"/>
      <c r="ARX127" s="4"/>
      <c r="ARY127" s="4"/>
      <c r="ARZ127" s="4"/>
      <c r="ASA127" s="4"/>
      <c r="ASB127" s="4"/>
      <c r="ASC127" s="4"/>
      <c r="ASD127" s="4"/>
      <c r="ASE127" s="4"/>
      <c r="ASF127" s="4"/>
      <c r="ASG127" s="4"/>
      <c r="ASH127" s="4"/>
      <c r="ASI127" s="4"/>
      <c r="ASJ127" s="4"/>
      <c r="ASK127" s="4"/>
      <c r="ASL127" s="4"/>
      <c r="ASM127" s="4"/>
      <c r="ASN127" s="4"/>
      <c r="ASO127" s="4"/>
      <c r="ASP127" s="4"/>
      <c r="ASQ127" s="4"/>
      <c r="ASR127" s="4"/>
      <c r="ASS127" s="4"/>
      <c r="AST127" s="4"/>
      <c r="ASU127" s="4"/>
    </row>
    <row r="128" spans="1:1191" x14ac:dyDescent="0.25">
      <c r="A128" s="118"/>
      <c r="B128" s="417" t="s">
        <v>161</v>
      </c>
      <c r="C128" s="321" t="s">
        <v>153</v>
      </c>
      <c r="D128" s="121"/>
      <c r="E128" s="122"/>
      <c r="F128" s="123"/>
      <c r="G128" s="124"/>
      <c r="H128" s="124"/>
      <c r="I128" s="124"/>
      <c r="J128" s="124"/>
      <c r="K128" s="124"/>
      <c r="L128" s="124"/>
      <c r="M128" s="125"/>
      <c r="N128" s="126"/>
      <c r="O128" s="124"/>
      <c r="P128" s="124"/>
      <c r="Q128" s="127"/>
      <c r="R128" s="123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5"/>
      <c r="AD128" s="301"/>
      <c r="AE128" s="151"/>
      <c r="AF128" s="131">
        <f>SUM(D128:AE128)</f>
      </c>
      <c r="AG128" s="121"/>
      <c r="AH128" s="122"/>
      <c r="AI128" s="123"/>
      <c r="AJ128" s="124"/>
      <c r="AK128" s="124"/>
      <c r="AL128" s="124"/>
      <c r="AM128" s="124"/>
      <c r="AN128" s="124"/>
      <c r="AO128" s="124"/>
      <c r="AP128" s="125"/>
      <c r="AQ128" s="126"/>
      <c r="AR128" s="124"/>
      <c r="AS128" s="124"/>
      <c r="AT128" s="127"/>
      <c r="AU128" s="123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5"/>
      <c r="BG128" s="301"/>
      <c r="BH128" s="151"/>
      <c r="BI128" s="131">
        <f>SUM(AG128:BH128)</f>
      </c>
      <c r="BJ128" s="121"/>
      <c r="BK128" s="122"/>
      <c r="BL128" s="123"/>
      <c r="BM128" s="124"/>
      <c r="BN128" s="124"/>
      <c r="BO128" s="124"/>
      <c r="BP128" s="124"/>
      <c r="BQ128" s="124"/>
      <c r="BR128" s="124"/>
      <c r="BS128" s="125"/>
      <c r="BT128" s="126"/>
      <c r="BU128" s="124"/>
      <c r="BV128" s="124"/>
      <c r="BW128" s="127"/>
      <c r="BX128" s="123"/>
      <c r="BY128" s="124"/>
      <c r="BZ128" s="124"/>
      <c r="CA128" s="124"/>
      <c r="CB128" s="124"/>
      <c r="CC128" s="124"/>
      <c r="CD128" s="124"/>
      <c r="CE128" s="124"/>
      <c r="CF128" s="124"/>
      <c r="CG128" s="124"/>
      <c r="CH128" s="124"/>
      <c r="CI128" s="125"/>
      <c r="CJ128" s="301"/>
      <c r="CK128" s="151"/>
      <c r="CL128" s="131">
        <f>SUM(BJ128:CK128)</f>
      </c>
      <c r="CM128" s="121"/>
      <c r="CN128" s="122"/>
      <c r="CO128" s="123"/>
      <c r="CP128" s="124"/>
      <c r="CQ128" s="124"/>
      <c r="CR128" s="124"/>
      <c r="CS128" s="124"/>
      <c r="CT128" s="124"/>
      <c r="CU128" s="124"/>
      <c r="CV128" s="125"/>
      <c r="CW128" s="126"/>
      <c r="CX128" s="124"/>
      <c r="CY128" s="124"/>
      <c r="CZ128" s="127"/>
      <c r="DA128" s="123"/>
      <c r="DB128" s="124"/>
      <c r="DC128" s="124"/>
      <c r="DD128" s="124"/>
      <c r="DE128" s="124"/>
      <c r="DF128" s="124"/>
      <c r="DG128" s="124"/>
      <c r="DH128" s="124"/>
      <c r="DI128" s="124"/>
      <c r="DJ128" s="124"/>
      <c r="DK128" s="124"/>
      <c r="DL128" s="125"/>
      <c r="DM128" s="301"/>
      <c r="DN128" s="151"/>
      <c r="DO128" s="131">
        <f>SUM(CM128:DN128)</f>
      </c>
      <c r="DP128" s="121"/>
      <c r="DQ128" s="122"/>
      <c r="DR128" s="123"/>
      <c r="DS128" s="124"/>
      <c r="DT128" s="124"/>
      <c r="DU128" s="124"/>
      <c r="DV128" s="124"/>
      <c r="DW128" s="124"/>
      <c r="DX128" s="124"/>
      <c r="DY128" s="125"/>
      <c r="DZ128" s="126"/>
      <c r="EA128" s="124"/>
      <c r="EB128" s="124"/>
      <c r="EC128" s="127"/>
      <c r="ED128" s="123"/>
      <c r="EE128" s="124"/>
      <c r="EF128" s="124"/>
      <c r="EG128" s="124"/>
      <c r="EH128" s="124"/>
      <c r="EI128" s="124"/>
      <c r="EJ128" s="124"/>
      <c r="EK128" s="124"/>
      <c r="EL128" s="124"/>
      <c r="EM128" s="124"/>
      <c r="EN128" s="124"/>
      <c r="EO128" s="125"/>
      <c r="EP128" s="301"/>
      <c r="EQ128" s="151"/>
      <c r="ER128" s="131">
        <f>SUM(DP128:EQ128)</f>
      </c>
      <c r="ES128" s="121"/>
      <c r="ET128" s="122"/>
      <c r="EU128" s="123"/>
      <c r="EV128" s="124"/>
      <c r="EW128" s="124"/>
      <c r="EX128" s="124"/>
      <c r="EY128" s="124"/>
      <c r="EZ128" s="124"/>
      <c r="FA128" s="124"/>
      <c r="FB128" s="125"/>
      <c r="FC128" s="126"/>
      <c r="FD128" s="124"/>
      <c r="FE128" s="124"/>
      <c r="FF128" s="127"/>
      <c r="FG128" s="123"/>
      <c r="FH128" s="124"/>
      <c r="FI128" s="124"/>
      <c r="FJ128" s="124"/>
      <c r="FK128" s="124"/>
      <c r="FL128" s="124"/>
      <c r="FM128" s="124"/>
      <c r="FN128" s="124"/>
      <c r="FO128" s="124"/>
      <c r="FP128" s="124"/>
      <c r="FQ128" s="124"/>
      <c r="FR128" s="125"/>
      <c r="FS128" s="301"/>
      <c r="FT128" s="151"/>
      <c r="FU128" s="131">
        <f>SUM(ES128:FT128)</f>
      </c>
      <c r="FV128" s="121"/>
      <c r="FW128" s="122"/>
      <c r="FX128" s="123"/>
      <c r="FY128" s="124"/>
      <c r="FZ128" s="124"/>
      <c r="GA128" s="124"/>
      <c r="GB128" s="124"/>
      <c r="GC128" s="124"/>
      <c r="GD128" s="124"/>
      <c r="GE128" s="125"/>
      <c r="GF128" s="126"/>
      <c r="GG128" s="124"/>
      <c r="GH128" s="124"/>
      <c r="GI128" s="127"/>
      <c r="GJ128" s="123"/>
      <c r="GK128" s="124"/>
      <c r="GL128" s="124"/>
      <c r="GM128" s="124"/>
      <c r="GN128" s="124"/>
      <c r="GO128" s="124"/>
      <c r="GP128" s="124"/>
      <c r="GQ128" s="124"/>
      <c r="GR128" s="124"/>
      <c r="GS128" s="124"/>
      <c r="GT128" s="124"/>
      <c r="GU128" s="125"/>
      <c r="GV128" s="301"/>
      <c r="GW128" s="151"/>
      <c r="GX128" s="131">
        <f>SUM(FV128:GW128)</f>
      </c>
      <c r="GY128" s="150">
        <f>AF128+BI128+CL128+DO128+ER128+FU128+GX128</f>
      </c>
      <c r="GZ128" s="302">
        <f>(COUNTIF(D128:GX128,"H")+COUNTIF(D128:GX128,"S")+COUNTIF(D128:GX128,"L")+COUNTIF(D128:GX128,"E")+COUNTIF(D128:GX128,"C"))/2</f>
      </c>
      <c r="HA128" s="131">
        <f>GY128+GZ128</f>
      </c>
      <c r="HB128" s="134"/>
      <c r="HC128" s="135"/>
      <c r="HD128" s="219">
        <v>0.5</v>
      </c>
      <c r="HE128" s="216">
        <v>0.5</v>
      </c>
      <c r="HF128" s="216">
        <v>0.5</v>
      </c>
      <c r="HG128" s="216">
        <v>0.5</v>
      </c>
      <c r="HH128" s="216">
        <v>0.5</v>
      </c>
      <c r="HI128" s="216">
        <v>0.5</v>
      </c>
      <c r="HJ128" s="216">
        <v>0.5</v>
      </c>
      <c r="HK128" s="217">
        <v>0.5</v>
      </c>
      <c r="HL128" s="147"/>
      <c r="HM128" s="148"/>
      <c r="HN128" s="216">
        <v>0.5</v>
      </c>
      <c r="HO128" s="226">
        <v>0.5</v>
      </c>
      <c r="HP128" s="219">
        <v>0.5</v>
      </c>
      <c r="HQ128" s="216">
        <v>0.5</v>
      </c>
      <c r="HR128" s="216">
        <v>0.5</v>
      </c>
      <c r="HS128" s="216">
        <v>0.5</v>
      </c>
      <c r="HT128" s="216">
        <v>0.5</v>
      </c>
      <c r="HU128" s="216">
        <v>0.5</v>
      </c>
      <c r="HV128" s="137"/>
      <c r="HW128" s="137"/>
      <c r="HX128" s="137"/>
      <c r="HY128" s="137"/>
      <c r="HZ128" s="137"/>
      <c r="IA128" s="153"/>
      <c r="IB128" s="304"/>
      <c r="IC128" s="152"/>
      <c r="ID128" s="131">
        <f>SUM(HB128:IC128)</f>
      </c>
      <c r="IE128" s="134"/>
      <c r="IF128" s="135"/>
      <c r="IG128" s="142">
        <v>0.5</v>
      </c>
      <c r="IH128" s="138">
        <v>0.5</v>
      </c>
      <c r="II128" s="138">
        <v>0.5</v>
      </c>
      <c r="IJ128" s="138">
        <v>0.5</v>
      </c>
      <c r="IK128" s="138">
        <v>0.5</v>
      </c>
      <c r="IL128" s="138">
        <v>0.5</v>
      </c>
      <c r="IM128" s="138">
        <v>0.5</v>
      </c>
      <c r="IN128" s="139">
        <v>0.5</v>
      </c>
      <c r="IO128" s="147"/>
      <c r="IP128" s="148"/>
      <c r="IQ128" s="138">
        <v>0.5</v>
      </c>
      <c r="IR128" s="149">
        <v>0.5</v>
      </c>
      <c r="IS128" s="142">
        <v>0.5</v>
      </c>
      <c r="IT128" s="138">
        <v>0.5</v>
      </c>
      <c r="IU128" s="138">
        <v>0.5</v>
      </c>
      <c r="IV128" s="138">
        <v>0.5</v>
      </c>
      <c r="IW128" s="138">
        <v>0.5</v>
      </c>
      <c r="IX128" s="138">
        <v>0.5</v>
      </c>
      <c r="IY128" s="137"/>
      <c r="IZ128" s="137"/>
      <c r="JA128" s="137"/>
      <c r="JB128" s="137"/>
      <c r="JC128" s="137"/>
      <c r="JD128" s="153"/>
      <c r="JE128" s="304"/>
      <c r="JF128" s="152"/>
      <c r="JG128" s="131">
        <f>SUM(IE128:JF128)</f>
      </c>
      <c r="JH128" s="134"/>
      <c r="JI128" s="135"/>
      <c r="JJ128" s="142">
        <v>0.5</v>
      </c>
      <c r="JK128" s="138">
        <v>0.5</v>
      </c>
      <c r="JL128" s="138">
        <v>0.5</v>
      </c>
      <c r="JM128" s="138">
        <v>0.5</v>
      </c>
      <c r="JN128" s="138">
        <v>0.5</v>
      </c>
      <c r="JO128" s="138">
        <v>0.5</v>
      </c>
      <c r="JP128" s="138">
        <v>0.5</v>
      </c>
      <c r="JQ128" s="139">
        <v>0.5</v>
      </c>
      <c r="JR128" s="147"/>
      <c r="JS128" s="148"/>
      <c r="JT128" s="138">
        <v>0.5</v>
      </c>
      <c r="JU128" s="149">
        <v>0.5</v>
      </c>
      <c r="JV128" s="142">
        <v>0.5</v>
      </c>
      <c r="JW128" s="138">
        <v>0.5</v>
      </c>
      <c r="JX128" s="138">
        <v>0.5</v>
      </c>
      <c r="JY128" s="138">
        <v>0.5</v>
      </c>
      <c r="JZ128" s="138">
        <v>0.5</v>
      </c>
      <c r="KA128" s="138">
        <v>0.5</v>
      </c>
      <c r="KB128" s="137"/>
      <c r="KC128" s="137"/>
      <c r="KD128" s="137"/>
      <c r="KE128" s="137"/>
      <c r="KF128" s="137"/>
      <c r="KG128" s="153"/>
      <c r="KH128" s="304"/>
      <c r="KI128" s="152"/>
      <c r="KJ128" s="131">
        <f>SUM(JH128:KI128)</f>
      </c>
      <c r="KK128" s="134"/>
      <c r="KL128" s="135"/>
      <c r="KM128" s="142">
        <v>0.5</v>
      </c>
      <c r="KN128" s="138">
        <v>0.5</v>
      </c>
      <c r="KO128" s="138">
        <v>0.5</v>
      </c>
      <c r="KP128" s="138">
        <v>0.5</v>
      </c>
      <c r="KQ128" s="138">
        <v>0.5</v>
      </c>
      <c r="KR128" s="138">
        <v>0.5</v>
      </c>
      <c r="KS128" s="138">
        <v>0.5</v>
      </c>
      <c r="KT128" s="139">
        <v>0.5</v>
      </c>
      <c r="KU128" s="147"/>
      <c r="KV128" s="148"/>
      <c r="KW128" s="138">
        <v>0.5</v>
      </c>
      <c r="KX128" s="149">
        <v>0.5</v>
      </c>
      <c r="KY128" s="142">
        <v>0.5</v>
      </c>
      <c r="KZ128" s="138">
        <v>0.5</v>
      </c>
      <c r="LA128" s="138">
        <v>0.5</v>
      </c>
      <c r="LB128" s="138">
        <v>0.5</v>
      </c>
      <c r="LC128" s="138">
        <v>0.5</v>
      </c>
      <c r="LD128" s="138">
        <v>0.5</v>
      </c>
      <c r="LE128" s="137"/>
      <c r="LF128" s="137"/>
      <c r="LG128" s="137"/>
      <c r="LH128" s="137"/>
      <c r="LI128" s="137"/>
      <c r="LJ128" s="153"/>
      <c r="LK128" s="304"/>
      <c r="LL128" s="152"/>
      <c r="LM128" s="131">
        <f>SUM(KK128:LL128)</f>
      </c>
      <c r="LN128" s="134"/>
      <c r="LO128" s="135"/>
      <c r="LP128" s="219">
        <v>0.5</v>
      </c>
      <c r="LQ128" s="216">
        <v>0.5</v>
      </c>
      <c r="LR128" s="216">
        <v>0.5</v>
      </c>
      <c r="LS128" s="216">
        <v>0.5</v>
      </c>
      <c r="LT128" s="216">
        <v>0.5</v>
      </c>
      <c r="LU128" s="216">
        <v>0.5</v>
      </c>
      <c r="LV128" s="216">
        <v>0.5</v>
      </c>
      <c r="LW128" s="217">
        <v>0.5</v>
      </c>
      <c r="LX128" s="147"/>
      <c r="LY128" s="148"/>
      <c r="LZ128" s="216">
        <v>0.5</v>
      </c>
      <c r="MA128" s="226">
        <v>0.5</v>
      </c>
      <c r="MB128" s="219">
        <v>0.5</v>
      </c>
      <c r="MC128" s="216">
        <v>0.5</v>
      </c>
      <c r="MD128" s="216">
        <v>0.5</v>
      </c>
      <c r="ME128" s="216">
        <v>0.5</v>
      </c>
      <c r="MF128" s="216">
        <v>0.5</v>
      </c>
      <c r="MG128" s="216">
        <v>0.5</v>
      </c>
      <c r="MH128" s="137"/>
      <c r="MI128" s="137"/>
      <c r="MJ128" s="137"/>
      <c r="MK128" s="137"/>
      <c r="ML128" s="137"/>
      <c r="MM128" s="153"/>
      <c r="MN128" s="304"/>
      <c r="MO128" s="152"/>
      <c r="MP128" s="131">
        <f>SUM(LN128:MO128)</f>
      </c>
      <c r="MQ128" s="121"/>
      <c r="MR128" s="122"/>
      <c r="MS128" s="123"/>
      <c r="MT128" s="124"/>
      <c r="MU128" s="124"/>
      <c r="MV128" s="124"/>
      <c r="MW128" s="124"/>
      <c r="MX128" s="124"/>
      <c r="MY128" s="124"/>
      <c r="MZ128" s="125"/>
      <c r="NA128" s="126"/>
      <c r="NB128" s="124"/>
      <c r="NC128" s="124"/>
      <c r="ND128" s="127"/>
      <c r="NE128" s="123"/>
      <c r="NF128" s="124"/>
      <c r="NG128" s="124"/>
      <c r="NH128" s="124"/>
      <c r="NI128" s="124"/>
      <c r="NJ128" s="124"/>
      <c r="NK128" s="124"/>
      <c r="NL128" s="124"/>
      <c r="NM128" s="124"/>
      <c r="NN128" s="124"/>
      <c r="NO128" s="124"/>
      <c r="NP128" s="125"/>
      <c r="NQ128" s="301"/>
      <c r="NR128" s="151"/>
      <c r="NS128" s="131">
        <f>SUM(MQ128:NR128)</f>
      </c>
      <c r="NT128" s="121"/>
      <c r="NU128" s="122"/>
      <c r="NV128" s="123"/>
      <c r="NW128" s="124"/>
      <c r="NX128" s="124"/>
      <c r="NY128" s="124"/>
      <c r="NZ128" s="124"/>
      <c r="OA128" s="124"/>
      <c r="OB128" s="124"/>
      <c r="OC128" s="125"/>
      <c r="OD128" s="126"/>
      <c r="OE128" s="124"/>
      <c r="OF128" s="124"/>
      <c r="OG128" s="127"/>
      <c r="OH128" s="123"/>
      <c r="OI128" s="124"/>
      <c r="OJ128" s="124"/>
      <c r="OK128" s="124"/>
      <c r="OL128" s="124"/>
      <c r="OM128" s="124"/>
      <c r="ON128" s="124"/>
      <c r="OO128" s="124"/>
      <c r="OP128" s="124"/>
      <c r="OQ128" s="124"/>
      <c r="OR128" s="124"/>
      <c r="OS128" s="125"/>
      <c r="OT128" s="301"/>
      <c r="OU128" s="151"/>
      <c r="OV128" s="131">
        <f>SUM(NT128:OU128)</f>
      </c>
      <c r="OW128" s="150">
        <f>ID128+JG128+KJ128+LM128+MP128+NS128+OV128</f>
      </c>
      <c r="OX128" s="302">
        <f>(COUNTIF(HB128:OV128,"H")+COUNTIF(HB128:OV128,"S")+COUNTIF(HB128:OV128,"L")+COUNTIF(HB128:OV128,"E")+COUNTIF(HB128:OV128,"C"))/2</f>
      </c>
      <c r="OY128" s="131">
        <f>OW128+OX128</f>
      </c>
      <c r="OZ128" s="134"/>
      <c r="PA128" s="135"/>
      <c r="PB128" s="219">
        <v>0.5</v>
      </c>
      <c r="PC128" s="216">
        <v>0.5</v>
      </c>
      <c r="PD128" s="216">
        <v>0.5</v>
      </c>
      <c r="PE128" s="216">
        <v>0.5</v>
      </c>
      <c r="PF128" s="216">
        <v>0.5</v>
      </c>
      <c r="PG128" s="216">
        <v>0.5</v>
      </c>
      <c r="PH128" s="216">
        <v>0.5</v>
      </c>
      <c r="PI128" s="217">
        <v>0.5</v>
      </c>
      <c r="PJ128" s="147"/>
      <c r="PK128" s="148"/>
      <c r="PL128" s="216">
        <v>0.5</v>
      </c>
      <c r="PM128" s="226">
        <v>0.5</v>
      </c>
      <c r="PN128" s="219">
        <v>0.5</v>
      </c>
      <c r="PO128" s="216">
        <v>0.5</v>
      </c>
      <c r="PP128" s="216">
        <v>0.5</v>
      </c>
      <c r="PQ128" s="216">
        <v>0.5</v>
      </c>
      <c r="PR128" s="216">
        <v>0.5</v>
      </c>
      <c r="PS128" s="216">
        <v>0.5</v>
      </c>
      <c r="PT128" s="137"/>
      <c r="PU128" s="137"/>
      <c r="PV128" s="137"/>
      <c r="PW128" s="137"/>
      <c r="PX128" s="137"/>
      <c r="PY128" s="153"/>
      <c r="PZ128" s="304"/>
      <c r="QA128" s="152"/>
      <c r="QB128" s="131">
        <f>SUM(OZ128:QA128)</f>
      </c>
      <c r="QC128" s="134"/>
      <c r="QD128" s="135"/>
      <c r="QE128" s="142">
        <v>0.5</v>
      </c>
      <c r="QF128" s="138">
        <v>0.5</v>
      </c>
      <c r="QG128" s="138">
        <v>0.5</v>
      </c>
      <c r="QH128" s="138">
        <v>0.5</v>
      </c>
      <c r="QI128" s="138">
        <v>0.5</v>
      </c>
      <c r="QJ128" s="138">
        <v>0.5</v>
      </c>
      <c r="QK128" s="138">
        <v>0.5</v>
      </c>
      <c r="QL128" s="139">
        <v>0.5</v>
      </c>
      <c r="QM128" s="147"/>
      <c r="QN128" s="148"/>
      <c r="QO128" s="138">
        <v>0.5</v>
      </c>
      <c r="QP128" s="149">
        <v>0.5</v>
      </c>
      <c r="QQ128" s="142">
        <v>0.5</v>
      </c>
      <c r="QR128" s="138">
        <v>0.5</v>
      </c>
      <c r="QS128" s="138">
        <v>0.5</v>
      </c>
      <c r="QT128" s="138">
        <v>0.5</v>
      </c>
      <c r="QU128" s="138">
        <v>0.5</v>
      </c>
      <c r="QV128" s="138">
        <v>0.5</v>
      </c>
      <c r="QW128" s="137"/>
      <c r="QX128" s="137"/>
      <c r="QY128" s="137"/>
      <c r="QZ128" s="137"/>
      <c r="RA128" s="137"/>
      <c r="RB128" s="153"/>
      <c r="RC128" s="304"/>
      <c r="RD128" s="152"/>
      <c r="RE128" s="131">
        <f>SUM(QC128:RD128)</f>
      </c>
      <c r="RF128" s="134"/>
      <c r="RG128" s="135"/>
      <c r="RH128" s="142">
        <v>0.5</v>
      </c>
      <c r="RI128" s="138">
        <v>0.5</v>
      </c>
      <c r="RJ128" s="138">
        <v>0.5</v>
      </c>
      <c r="RK128" s="138">
        <v>0.5</v>
      </c>
      <c r="RL128" s="138">
        <v>0.5</v>
      </c>
      <c r="RM128" s="138">
        <v>0.5</v>
      </c>
      <c r="RN128" s="138">
        <v>0.5</v>
      </c>
      <c r="RO128" s="139">
        <v>0.5</v>
      </c>
      <c r="RP128" s="147"/>
      <c r="RQ128" s="148"/>
      <c r="RR128" s="138">
        <v>0.5</v>
      </c>
      <c r="RS128" s="149">
        <v>0.5</v>
      </c>
      <c r="RT128" s="142">
        <v>0.5</v>
      </c>
      <c r="RU128" s="138">
        <v>0.5</v>
      </c>
      <c r="RV128" s="138">
        <v>0.5</v>
      </c>
      <c r="RW128" s="138">
        <v>0.5</v>
      </c>
      <c r="RX128" s="138">
        <v>0.5</v>
      </c>
      <c r="RY128" s="138">
        <v>0.5</v>
      </c>
      <c r="RZ128" s="137"/>
      <c r="SA128" s="137"/>
      <c r="SB128" s="137"/>
      <c r="SC128" s="137"/>
      <c r="SD128" s="137"/>
      <c r="SE128" s="153"/>
      <c r="SF128" s="304"/>
      <c r="SG128" s="152"/>
      <c r="SH128" s="131">
        <f>SUM(RF128:SG128)</f>
      </c>
      <c r="SI128" s="134"/>
      <c r="SJ128" s="135"/>
      <c r="SK128" s="142">
        <v>0.5</v>
      </c>
      <c r="SL128" s="138">
        <v>0.5</v>
      </c>
      <c r="SM128" s="138">
        <v>0.5</v>
      </c>
      <c r="SN128" s="138">
        <v>0.5</v>
      </c>
      <c r="SO128" s="138">
        <v>0.5</v>
      </c>
      <c r="SP128" s="138">
        <v>0.5</v>
      </c>
      <c r="SQ128" s="138">
        <v>0.5</v>
      </c>
      <c r="SR128" s="139">
        <v>0.5</v>
      </c>
      <c r="SS128" s="147"/>
      <c r="ST128" s="148"/>
      <c r="SU128" s="138">
        <v>0.5</v>
      </c>
      <c r="SV128" s="149">
        <v>0.5</v>
      </c>
      <c r="SW128" s="142">
        <v>0.5</v>
      </c>
      <c r="SX128" s="138">
        <v>0.5</v>
      </c>
      <c r="SY128" s="138">
        <v>0.5</v>
      </c>
      <c r="SZ128" s="138">
        <v>0.5</v>
      </c>
      <c r="TA128" s="138">
        <v>0.5</v>
      </c>
      <c r="TB128" s="138">
        <v>0.5</v>
      </c>
      <c r="TC128" s="137"/>
      <c r="TD128" s="137"/>
      <c r="TE128" s="137"/>
      <c r="TF128" s="137"/>
      <c r="TG128" s="137"/>
      <c r="TH128" s="153"/>
      <c r="TI128" s="304"/>
      <c r="TJ128" s="152"/>
      <c r="TK128" s="131">
        <f>SUM(SI128:TJ128)</f>
      </c>
      <c r="TL128" s="134"/>
      <c r="TM128" s="135"/>
      <c r="TN128" s="219">
        <v>0.5</v>
      </c>
      <c r="TO128" s="216">
        <v>0.5</v>
      </c>
      <c r="TP128" s="216">
        <v>0.5</v>
      </c>
      <c r="TQ128" s="216">
        <v>0.5</v>
      </c>
      <c r="TR128" s="216">
        <v>0.5</v>
      </c>
      <c r="TS128" s="216">
        <v>0.5</v>
      </c>
      <c r="TT128" s="216">
        <v>0.5</v>
      </c>
      <c r="TU128" s="217">
        <v>0.5</v>
      </c>
      <c r="TV128" s="147"/>
      <c r="TW128" s="148"/>
      <c r="TX128" s="216">
        <v>0.5</v>
      </c>
      <c r="TY128" s="226">
        <v>0.5</v>
      </c>
      <c r="TZ128" s="219">
        <v>0.5</v>
      </c>
      <c r="UA128" s="216">
        <v>0.5</v>
      </c>
      <c r="UB128" s="216">
        <v>0.5</v>
      </c>
      <c r="UC128" s="216">
        <v>0.5</v>
      </c>
      <c r="UD128" s="216">
        <v>0.5</v>
      </c>
      <c r="UE128" s="216">
        <v>0.5</v>
      </c>
      <c r="UF128" s="137"/>
      <c r="UG128" s="137"/>
      <c r="UH128" s="137"/>
      <c r="UI128" s="137"/>
      <c r="UJ128" s="137"/>
      <c r="UK128" s="153"/>
      <c r="UL128" s="304"/>
      <c r="UM128" s="152"/>
      <c r="UN128" s="131">
        <f>SUM(TL128:UM128)</f>
      </c>
      <c r="UO128" s="121"/>
      <c r="UP128" s="122"/>
      <c r="UQ128" s="123"/>
      <c r="UR128" s="124"/>
      <c r="US128" s="124"/>
      <c r="UT128" s="124"/>
      <c r="UU128" s="124"/>
      <c r="UV128" s="124"/>
      <c r="UW128" s="124"/>
      <c r="UX128" s="125"/>
      <c r="UY128" s="126"/>
      <c r="UZ128" s="124"/>
      <c r="VA128" s="124"/>
      <c r="VB128" s="127"/>
      <c r="VC128" s="123"/>
      <c r="VD128" s="124"/>
      <c r="VE128" s="124"/>
      <c r="VF128" s="124"/>
      <c r="VG128" s="124"/>
      <c r="VH128" s="124"/>
      <c r="VI128" s="124"/>
      <c r="VJ128" s="124"/>
      <c r="VK128" s="124"/>
      <c r="VL128" s="124"/>
      <c r="VM128" s="124"/>
      <c r="VN128" s="125"/>
      <c r="VO128" s="301"/>
      <c r="VP128" s="151"/>
      <c r="VQ128" s="131">
        <f>SUM(UO128:VP128)</f>
      </c>
      <c r="VR128" s="121"/>
      <c r="VS128" s="122"/>
      <c r="VT128" s="123"/>
      <c r="VU128" s="124"/>
      <c r="VV128" s="124"/>
      <c r="VW128" s="124"/>
      <c r="VX128" s="124"/>
      <c r="VY128" s="124"/>
      <c r="VZ128" s="124"/>
      <c r="WA128" s="125"/>
      <c r="WB128" s="126"/>
      <c r="WC128" s="124"/>
      <c r="WD128" s="124"/>
      <c r="WE128" s="127"/>
      <c r="WF128" s="123"/>
      <c r="WG128" s="124"/>
      <c r="WH128" s="124"/>
      <c r="WI128" s="124"/>
      <c r="WJ128" s="124"/>
      <c r="WK128" s="124"/>
      <c r="WL128" s="124"/>
      <c r="WM128" s="124"/>
      <c r="WN128" s="124"/>
      <c r="WO128" s="124"/>
      <c r="WP128" s="124"/>
      <c r="WQ128" s="125"/>
      <c r="WR128" s="301"/>
      <c r="WS128" s="151"/>
      <c r="WT128" s="131">
        <f>SUM(VR128:WS128)</f>
      </c>
      <c r="WU128" s="150">
        <f>QB128+RE128+SH128+TK128+UN128+VQ128+WT128</f>
      </c>
      <c r="WV128" s="302">
        <f>(COUNTIF(OZ128:WT128,"H")+COUNTIF(OZ128:WT128,"S")+COUNTIF(OZ128:WT128,"L")+COUNTIF(OZ128:WT128,"E")+COUNTIF(OZ128:WT128,"C"))/2</f>
      </c>
      <c r="WW128" s="131">
        <f>WU128+WV128</f>
      </c>
      <c r="WX128" s="134"/>
      <c r="WY128" s="135"/>
      <c r="WZ128" s="219">
        <v>0.5</v>
      </c>
      <c r="XA128" s="216">
        <v>0.5</v>
      </c>
      <c r="XB128" s="216">
        <v>0.5</v>
      </c>
      <c r="XC128" s="216">
        <v>0.5</v>
      </c>
      <c r="XD128" s="216">
        <v>0.5</v>
      </c>
      <c r="XE128" s="216">
        <v>0.5</v>
      </c>
      <c r="XF128" s="216">
        <v>0.5</v>
      </c>
      <c r="XG128" s="217">
        <v>0.5</v>
      </c>
      <c r="XH128" s="147"/>
      <c r="XI128" s="148"/>
      <c r="XJ128" s="216">
        <v>0.5</v>
      </c>
      <c r="XK128" s="226">
        <v>0.5</v>
      </c>
      <c r="XL128" s="219">
        <v>0.5</v>
      </c>
      <c r="XM128" s="216">
        <v>0.5</v>
      </c>
      <c r="XN128" s="216">
        <v>0.5</v>
      </c>
      <c r="XO128" s="216">
        <v>0.5</v>
      </c>
      <c r="XP128" s="216">
        <v>0.5</v>
      </c>
      <c r="XQ128" s="216">
        <v>0.5</v>
      </c>
      <c r="XR128" s="137"/>
      <c r="XS128" s="137"/>
      <c r="XT128" s="137"/>
      <c r="XU128" s="137"/>
      <c r="XV128" s="137"/>
      <c r="XW128" s="153"/>
      <c r="XX128" s="304"/>
      <c r="XY128" s="152"/>
      <c r="XZ128" s="131">
        <f>SUM(WX128:XY128)</f>
      </c>
      <c r="YA128" s="134"/>
      <c r="YB128" s="135"/>
      <c r="YC128" s="142">
        <v>0.5</v>
      </c>
      <c r="YD128" s="138">
        <v>0.5</v>
      </c>
      <c r="YE128" s="138">
        <v>0.5</v>
      </c>
      <c r="YF128" s="138">
        <v>0.5</v>
      </c>
      <c r="YG128" s="138">
        <v>0.5</v>
      </c>
      <c r="YH128" s="138">
        <v>0.5</v>
      </c>
      <c r="YI128" s="138">
        <v>0.5</v>
      </c>
      <c r="YJ128" s="139">
        <v>0.5</v>
      </c>
      <c r="YK128" s="147"/>
      <c r="YL128" s="148"/>
      <c r="YM128" s="138">
        <v>0.5</v>
      </c>
      <c r="YN128" s="149">
        <v>0.5</v>
      </c>
      <c r="YO128" s="142">
        <v>0.5</v>
      </c>
      <c r="YP128" s="138">
        <v>0.5</v>
      </c>
      <c r="YQ128" s="138">
        <v>0.5</v>
      </c>
      <c r="YR128" s="138">
        <v>0.5</v>
      </c>
      <c r="YS128" s="138">
        <v>0.5</v>
      </c>
      <c r="YT128" s="138">
        <v>0.5</v>
      </c>
      <c r="YU128" s="137"/>
      <c r="YV128" s="137"/>
      <c r="YW128" s="137"/>
      <c r="YX128" s="137"/>
      <c r="YY128" s="137"/>
      <c r="YZ128" s="153"/>
      <c r="ZA128" s="304"/>
      <c r="ZB128" s="152"/>
      <c r="ZC128" s="131">
        <f>SUM(YA128:ZB128)</f>
      </c>
      <c r="ZD128" s="134"/>
      <c r="ZE128" s="135"/>
      <c r="ZF128" s="142">
        <v>0.5</v>
      </c>
      <c r="ZG128" s="138">
        <v>0.5</v>
      </c>
      <c r="ZH128" s="138">
        <v>0.5</v>
      </c>
      <c r="ZI128" s="138">
        <v>0.5</v>
      </c>
      <c r="ZJ128" s="138">
        <v>0.5</v>
      </c>
      <c r="ZK128" s="138">
        <v>0.5</v>
      </c>
      <c r="ZL128" s="138">
        <v>0.5</v>
      </c>
      <c r="ZM128" s="139">
        <v>0.5</v>
      </c>
      <c r="ZN128" s="147"/>
      <c r="ZO128" s="148"/>
      <c r="ZP128" s="138">
        <v>0.5</v>
      </c>
      <c r="ZQ128" s="149">
        <v>0.5</v>
      </c>
      <c r="ZR128" s="142">
        <v>0.5</v>
      </c>
      <c r="ZS128" s="138">
        <v>0.5</v>
      </c>
      <c r="ZT128" s="138">
        <v>0.5</v>
      </c>
      <c r="ZU128" s="138">
        <v>0.5</v>
      </c>
      <c r="ZV128" s="138">
        <v>0.5</v>
      </c>
      <c r="ZW128" s="138">
        <v>0.5</v>
      </c>
      <c r="ZX128" s="137"/>
      <c r="ZY128" s="137"/>
      <c r="ZZ128" s="137"/>
      <c r="AAA128" s="137"/>
      <c r="AAB128" s="137"/>
      <c r="AAC128" s="153"/>
      <c r="AAD128" s="304"/>
      <c r="AAE128" s="152"/>
      <c r="AAF128" s="131">
        <f>SUM(ZD128:AAE128)</f>
      </c>
      <c r="AAG128" s="134"/>
      <c r="AAH128" s="135"/>
      <c r="AAI128" s="142">
        <v>0.5</v>
      </c>
      <c r="AAJ128" s="138">
        <v>0.5</v>
      </c>
      <c r="AAK128" s="138">
        <v>0.5</v>
      </c>
      <c r="AAL128" s="138">
        <v>0.5</v>
      </c>
      <c r="AAM128" s="138">
        <v>0.5</v>
      </c>
      <c r="AAN128" s="138">
        <v>0.5</v>
      </c>
      <c r="AAO128" s="138">
        <v>0.5</v>
      </c>
      <c r="AAP128" s="139">
        <v>0.5</v>
      </c>
      <c r="AAQ128" s="147"/>
      <c r="AAR128" s="148"/>
      <c r="AAS128" s="138">
        <v>0.5</v>
      </c>
      <c r="AAT128" s="149">
        <v>0.5</v>
      </c>
      <c r="AAU128" s="142">
        <v>0.5</v>
      </c>
      <c r="AAV128" s="138">
        <v>0.5</v>
      </c>
      <c r="AAW128" s="138">
        <v>0.5</v>
      </c>
      <c r="AAX128" s="138">
        <v>0.5</v>
      </c>
      <c r="AAY128" s="138">
        <v>0.5</v>
      </c>
      <c r="AAZ128" s="138">
        <v>0.5</v>
      </c>
      <c r="ABA128" s="137"/>
      <c r="ABB128" s="137"/>
      <c r="ABC128" s="137"/>
      <c r="ABD128" s="137"/>
      <c r="ABE128" s="137"/>
      <c r="ABF128" s="153"/>
      <c r="ABG128" s="304"/>
      <c r="ABH128" s="152"/>
      <c r="ABI128" s="131">
        <f>SUM(AAG128:ABH128)</f>
      </c>
      <c r="ABJ128" s="134"/>
      <c r="ABK128" s="135"/>
      <c r="ABL128" s="219">
        <v>0.5</v>
      </c>
      <c r="ABM128" s="216">
        <v>0.5</v>
      </c>
      <c r="ABN128" s="216">
        <v>0.5</v>
      </c>
      <c r="ABO128" s="216">
        <v>0.5</v>
      </c>
      <c r="ABP128" s="216">
        <v>0.5</v>
      </c>
      <c r="ABQ128" s="216">
        <v>0.5</v>
      </c>
      <c r="ABR128" s="216">
        <v>0.5</v>
      </c>
      <c r="ABS128" s="217">
        <v>0.5</v>
      </c>
      <c r="ABT128" s="147"/>
      <c r="ABU128" s="148"/>
      <c r="ABV128" s="216">
        <v>0.5</v>
      </c>
      <c r="ABW128" s="226">
        <v>0.5</v>
      </c>
      <c r="ABX128" s="219">
        <v>0.5</v>
      </c>
      <c r="ABY128" s="216">
        <v>0.5</v>
      </c>
      <c r="ABZ128" s="216">
        <v>0.5</v>
      </c>
      <c r="ACA128" s="216">
        <v>0.5</v>
      </c>
      <c r="ACB128" s="216">
        <v>0.5</v>
      </c>
      <c r="ACC128" s="216">
        <v>0.5</v>
      </c>
      <c r="ACD128" s="137"/>
      <c r="ACE128" s="137"/>
      <c r="ACF128" s="137"/>
      <c r="ACG128" s="137"/>
      <c r="ACH128" s="137"/>
      <c r="ACI128" s="153"/>
      <c r="ACJ128" s="304"/>
      <c r="ACK128" s="152"/>
      <c r="ACL128" s="131">
        <f>SUM(ABJ128:ACK128)</f>
      </c>
      <c r="ACM128" s="121"/>
      <c r="ACN128" s="122"/>
      <c r="ACO128" s="123"/>
      <c r="ACP128" s="124"/>
      <c r="ACQ128" s="124"/>
      <c r="ACR128" s="124"/>
      <c r="ACS128" s="124"/>
      <c r="ACT128" s="124"/>
      <c r="ACU128" s="124"/>
      <c r="ACV128" s="125"/>
      <c r="ACW128" s="126"/>
      <c r="ACX128" s="124"/>
      <c r="ACY128" s="124"/>
      <c r="ACZ128" s="127"/>
      <c r="ADA128" s="123"/>
      <c r="ADB128" s="124"/>
      <c r="ADC128" s="124"/>
      <c r="ADD128" s="124"/>
      <c r="ADE128" s="124"/>
      <c r="ADF128" s="124"/>
      <c r="ADG128" s="124"/>
      <c r="ADH128" s="124"/>
      <c r="ADI128" s="124"/>
      <c r="ADJ128" s="124"/>
      <c r="ADK128" s="124"/>
      <c r="ADL128" s="125"/>
      <c r="ADM128" s="301"/>
      <c r="ADN128" s="151"/>
      <c r="ADO128" s="131">
        <f>SUM(ACM128:ADN128)</f>
      </c>
      <c r="ADP128" s="121"/>
      <c r="ADQ128" s="122"/>
      <c r="ADR128" s="123"/>
      <c r="ADS128" s="124"/>
      <c r="ADT128" s="124"/>
      <c r="ADU128" s="124"/>
      <c r="ADV128" s="124"/>
      <c r="ADW128" s="124"/>
      <c r="ADX128" s="124"/>
      <c r="ADY128" s="125"/>
      <c r="ADZ128" s="126"/>
      <c r="AEA128" s="124"/>
      <c r="AEB128" s="124"/>
      <c r="AEC128" s="127"/>
      <c r="AED128" s="123"/>
      <c r="AEE128" s="124"/>
      <c r="AEF128" s="124"/>
      <c r="AEG128" s="124"/>
      <c r="AEH128" s="124"/>
      <c r="AEI128" s="124"/>
      <c r="AEJ128" s="124"/>
      <c r="AEK128" s="124"/>
      <c r="AEL128" s="124"/>
      <c r="AEM128" s="124"/>
      <c r="AEN128" s="124"/>
      <c r="AEO128" s="125"/>
      <c r="AEP128" s="301"/>
      <c r="AEQ128" s="151"/>
      <c r="AER128" s="131">
        <f>SUM(ADP128:AEQ128)</f>
      </c>
      <c r="AES128" s="150">
        <f>XZ128+ZC128+AAF128+ABI128+ACL128+ADO128+AER128</f>
      </c>
      <c r="AET128" s="302">
        <f>(COUNTIF(WX128:AER128,"H")+COUNTIF(WX128:AER128,"S")+COUNTIF(WX128:AER128,"L")+COUNTIF(WX128:AER128,"E")+COUNTIF(WX128:AER128,"C"))/2</f>
      </c>
      <c r="AEU128" s="131">
        <f>AES128+AET128</f>
      </c>
      <c r="AEV128" s="134"/>
      <c r="AEW128" s="135"/>
      <c r="AEX128" s="219">
        <v>0.5</v>
      </c>
      <c r="AEY128" s="216">
        <v>0.5</v>
      </c>
      <c r="AEZ128" s="216">
        <v>0.5</v>
      </c>
      <c r="AFA128" s="216">
        <v>0.5</v>
      </c>
      <c r="AFB128" s="216">
        <v>0.5</v>
      </c>
      <c r="AFC128" s="216">
        <v>0.5</v>
      </c>
      <c r="AFD128" s="216">
        <v>0.5</v>
      </c>
      <c r="AFE128" s="217">
        <v>0.5</v>
      </c>
      <c r="AFF128" s="147"/>
      <c r="AFG128" s="148"/>
      <c r="AFH128" s="216">
        <v>0.5</v>
      </c>
      <c r="AFI128" s="226">
        <v>0.5</v>
      </c>
      <c r="AFJ128" s="219">
        <v>0.5</v>
      </c>
      <c r="AFK128" s="216">
        <v>0.5</v>
      </c>
      <c r="AFL128" s="216">
        <v>0.5</v>
      </c>
      <c r="AFM128" s="216">
        <v>0.5</v>
      </c>
      <c r="AFN128" s="216">
        <v>0.5</v>
      </c>
      <c r="AFO128" s="216">
        <v>0.5</v>
      </c>
      <c r="AFP128" s="137"/>
      <c r="AFQ128" s="137"/>
      <c r="AFR128" s="137"/>
      <c r="AFS128" s="137"/>
      <c r="AFT128" s="137"/>
      <c r="AFU128" s="153"/>
      <c r="AFV128" s="304"/>
      <c r="AFW128" s="152"/>
      <c r="AFX128" s="131">
        <f>SUM(AEV128:AFW128)</f>
      </c>
      <c r="AFY128" s="134"/>
      <c r="AFZ128" s="135"/>
      <c r="AGA128" s="142">
        <v>0.5</v>
      </c>
      <c r="AGB128" s="138">
        <v>0.5</v>
      </c>
      <c r="AGC128" s="138">
        <v>0.5</v>
      </c>
      <c r="AGD128" s="138">
        <v>0.5</v>
      </c>
      <c r="AGE128" s="138">
        <v>0.5</v>
      </c>
      <c r="AGF128" s="138">
        <v>0.5</v>
      </c>
      <c r="AGG128" s="138">
        <v>0.5</v>
      </c>
      <c r="AGH128" s="139">
        <v>0.5</v>
      </c>
      <c r="AGI128" s="147"/>
      <c r="AGJ128" s="148"/>
      <c r="AGK128" s="138">
        <v>0.5</v>
      </c>
      <c r="AGL128" s="149">
        <v>0.5</v>
      </c>
      <c r="AGM128" s="142">
        <v>0.5</v>
      </c>
      <c r="AGN128" s="138">
        <v>0.5</v>
      </c>
      <c r="AGO128" s="138">
        <v>0.5</v>
      </c>
      <c r="AGP128" s="138">
        <v>0.5</v>
      </c>
      <c r="AGQ128" s="138">
        <v>0.5</v>
      </c>
      <c r="AGR128" s="138">
        <v>0.5</v>
      </c>
      <c r="AGS128" s="137"/>
      <c r="AGT128" s="137"/>
      <c r="AGU128" s="137"/>
      <c r="AGV128" s="137"/>
      <c r="AGW128" s="137"/>
      <c r="AGX128" s="153"/>
      <c r="AGY128" s="304"/>
      <c r="AGZ128" s="152"/>
      <c r="AHA128" s="131">
        <f>SUM(AFY128:AGZ128)</f>
      </c>
      <c r="AHB128" s="134"/>
      <c r="AHC128" s="135"/>
      <c r="AHD128" s="142">
        <v>0.5</v>
      </c>
      <c r="AHE128" s="138">
        <v>0.5</v>
      </c>
      <c r="AHF128" s="138">
        <v>0.5</v>
      </c>
      <c r="AHG128" s="138">
        <v>0.5</v>
      </c>
      <c r="AHH128" s="138">
        <v>0.5</v>
      </c>
      <c r="AHI128" s="138">
        <v>0.5</v>
      </c>
      <c r="AHJ128" s="138">
        <v>0.5</v>
      </c>
      <c r="AHK128" s="139">
        <v>0.5</v>
      </c>
      <c r="AHL128" s="147"/>
      <c r="AHM128" s="148"/>
      <c r="AHN128" s="138">
        <v>0.5</v>
      </c>
      <c r="AHO128" s="149">
        <v>0.5</v>
      </c>
      <c r="AHP128" s="142">
        <v>0.5</v>
      </c>
      <c r="AHQ128" s="138">
        <v>0.5</v>
      </c>
      <c r="AHR128" s="138">
        <v>0.5</v>
      </c>
      <c r="AHS128" s="138">
        <v>0.5</v>
      </c>
      <c r="AHT128" s="138">
        <v>0.5</v>
      </c>
      <c r="AHU128" s="138">
        <v>0.5</v>
      </c>
      <c r="AHV128" s="137"/>
      <c r="AHW128" s="137"/>
      <c r="AHX128" s="137"/>
      <c r="AHY128" s="137"/>
      <c r="AHZ128" s="137"/>
      <c r="AIA128" s="153"/>
      <c r="AIB128" s="304"/>
      <c r="AIC128" s="152"/>
      <c r="AID128" s="131">
        <f>SUM(AHB128:AIC128)</f>
      </c>
      <c r="AIE128" s="134"/>
      <c r="AIF128" s="135"/>
      <c r="AIG128" s="142">
        <v>0.5</v>
      </c>
      <c r="AIH128" s="138">
        <v>0.5</v>
      </c>
      <c r="AII128" s="138">
        <v>0.5</v>
      </c>
      <c r="AIJ128" s="138">
        <v>0.5</v>
      </c>
      <c r="AIK128" s="138">
        <v>0.5</v>
      </c>
      <c r="AIL128" s="138">
        <v>0.5</v>
      </c>
      <c r="AIM128" s="138">
        <v>0.5</v>
      </c>
      <c r="AIN128" s="139">
        <v>0.5</v>
      </c>
      <c r="AIO128" s="147"/>
      <c r="AIP128" s="148"/>
      <c r="AIQ128" s="138">
        <v>0.5</v>
      </c>
      <c r="AIR128" s="149">
        <v>0.5</v>
      </c>
      <c r="AIS128" s="142">
        <v>0.5</v>
      </c>
      <c r="AIT128" s="138">
        <v>0.5</v>
      </c>
      <c r="AIU128" s="138">
        <v>0.5</v>
      </c>
      <c r="AIV128" s="138">
        <v>0.5</v>
      </c>
      <c r="AIW128" s="138">
        <v>0.5</v>
      </c>
      <c r="AIX128" s="138">
        <v>0.5</v>
      </c>
      <c r="AIY128" s="137"/>
      <c r="AIZ128" s="137"/>
      <c r="AJA128" s="137"/>
      <c r="AJB128" s="137"/>
      <c r="AJC128" s="137"/>
      <c r="AJD128" s="153"/>
      <c r="AJE128" s="304"/>
      <c r="AJF128" s="152"/>
      <c r="AJG128" s="131">
        <f>SUM(AIE128:AJF128)</f>
      </c>
      <c r="AJH128" s="134"/>
      <c r="AJI128" s="135"/>
      <c r="AJJ128" s="219">
        <v>0.5</v>
      </c>
      <c r="AJK128" s="216">
        <v>0.5</v>
      </c>
      <c r="AJL128" s="216">
        <v>0.5</v>
      </c>
      <c r="AJM128" s="216">
        <v>0.5</v>
      </c>
      <c r="AJN128" s="216">
        <v>0.5</v>
      </c>
      <c r="AJO128" s="216">
        <v>0.5</v>
      </c>
      <c r="AJP128" s="216">
        <v>0.5</v>
      </c>
      <c r="AJQ128" s="217">
        <v>0.5</v>
      </c>
      <c r="AJR128" s="147"/>
      <c r="AJS128" s="148"/>
      <c r="AJT128" s="216">
        <v>0.5</v>
      </c>
      <c r="AJU128" s="226">
        <v>0.5</v>
      </c>
      <c r="AJV128" s="219">
        <v>0.5</v>
      </c>
      <c r="AJW128" s="216">
        <v>0.5</v>
      </c>
      <c r="AJX128" s="216">
        <v>0.5</v>
      </c>
      <c r="AJY128" s="216">
        <v>0.5</v>
      </c>
      <c r="AJZ128" s="216">
        <v>0.5</v>
      </c>
      <c r="AKA128" s="216">
        <v>0.5</v>
      </c>
      <c r="AKB128" s="137"/>
      <c r="AKC128" s="137"/>
      <c r="AKD128" s="137"/>
      <c r="AKE128" s="137"/>
      <c r="AKF128" s="137"/>
      <c r="AKG128" s="153"/>
      <c r="AKH128" s="304"/>
      <c r="AKI128" s="152"/>
      <c r="AKJ128" s="131">
        <f>SUM(AJH128:AKI128)</f>
      </c>
      <c r="AKK128" s="121"/>
      <c r="AKL128" s="122"/>
      <c r="AKM128" s="123"/>
      <c r="AKN128" s="124"/>
      <c r="AKO128" s="124"/>
      <c r="AKP128" s="124"/>
      <c r="AKQ128" s="124"/>
      <c r="AKR128" s="124"/>
      <c r="AKS128" s="124"/>
      <c r="AKT128" s="125"/>
      <c r="AKU128" s="126"/>
      <c r="AKV128" s="124"/>
      <c r="AKW128" s="124"/>
      <c r="AKX128" s="127"/>
      <c r="AKY128" s="123"/>
      <c r="AKZ128" s="124"/>
      <c r="ALA128" s="124"/>
      <c r="ALB128" s="124"/>
      <c r="ALC128" s="124"/>
      <c r="ALD128" s="124"/>
      <c r="ALE128" s="124"/>
      <c r="ALF128" s="124"/>
      <c r="ALG128" s="124"/>
      <c r="ALH128" s="124"/>
      <c r="ALI128" s="124"/>
      <c r="ALJ128" s="125"/>
      <c r="ALK128" s="301"/>
      <c r="ALL128" s="151"/>
      <c r="ALM128" s="131">
        <f>SUM(AKK128:ALL128)</f>
      </c>
      <c r="ALN128" s="121"/>
      <c r="ALO128" s="122"/>
      <c r="ALP128" s="123"/>
      <c r="ALQ128" s="124"/>
      <c r="ALR128" s="124"/>
      <c r="ALS128" s="124"/>
      <c r="ALT128" s="124"/>
      <c r="ALU128" s="124"/>
      <c r="ALV128" s="124"/>
      <c r="ALW128" s="125"/>
      <c r="ALX128" s="126"/>
      <c r="ALY128" s="124"/>
      <c r="ALZ128" s="124"/>
      <c r="AMA128" s="127"/>
      <c r="AMB128" s="123"/>
      <c r="AMC128" s="124"/>
      <c r="AMD128" s="124"/>
      <c r="AME128" s="124"/>
      <c r="AMF128" s="124"/>
      <c r="AMG128" s="124"/>
      <c r="AMH128" s="124"/>
      <c r="AMI128" s="124"/>
      <c r="AMJ128" s="124"/>
      <c r="AMK128" s="124"/>
      <c r="AML128" s="124"/>
      <c r="AMM128" s="125"/>
      <c r="AMN128" s="301"/>
      <c r="AMO128" s="151"/>
      <c r="AMP128" s="131">
        <f>SUM(ALN128:AMO128)</f>
      </c>
      <c r="AMQ128" s="150">
        <f>AFX128+AHA128+AID128+AJG128+AKJ128+ALM128+AMP128</f>
      </c>
      <c r="AMR128" s="302">
        <f>(COUNTIF(AEV128:AMP128,"H")+COUNTIF(AEV128:AMP128,"S")+COUNTIF(AEV128:AMP128,"L")+COUNTIF(AEV128:AMP128,"E")+COUNTIF(AEV128:AMP128,"C"))/2</f>
      </c>
      <c r="AMS128" s="131">
        <f>AMQ128+AMR128</f>
      </c>
      <c r="AMT128" s="4"/>
      <c r="AMU128" s="4"/>
      <c r="AMV128" s="4"/>
      <c r="AMW128" s="4"/>
      <c r="AMX128" s="4"/>
      <c r="AMY128" s="4"/>
      <c r="AMZ128" s="4"/>
      <c r="ANA128" s="4"/>
      <c r="ANB128" s="4"/>
      <c r="ANC128" s="4"/>
      <c r="AND128" s="4"/>
      <c r="ANE128" s="4"/>
      <c r="ANF128" s="4"/>
      <c r="ANG128" s="4"/>
      <c r="ANH128" s="4"/>
      <c r="ANI128" s="4"/>
      <c r="ANJ128" s="4"/>
      <c r="ANK128" s="4"/>
      <c r="ANL128" s="4"/>
      <c r="ANM128" s="4"/>
      <c r="ANN128" s="4"/>
      <c r="ANO128" s="4"/>
      <c r="ANP128" s="4"/>
      <c r="ANQ128" s="4"/>
      <c r="ANR128" s="4"/>
      <c r="ANS128" s="4"/>
      <c r="ANT128" s="4"/>
      <c r="ANU128" s="4"/>
      <c r="ANV128" s="4"/>
      <c r="ANW128" s="4"/>
      <c r="ANX128" s="4"/>
      <c r="ANY128" s="4"/>
      <c r="ANZ128" s="4"/>
      <c r="AOA128" s="4"/>
      <c r="AOB128" s="4"/>
      <c r="AOC128" s="4"/>
      <c r="AOD128" s="4"/>
      <c r="AOE128" s="4"/>
      <c r="AOF128" s="4"/>
      <c r="AOG128" s="4"/>
      <c r="AOH128" s="4"/>
      <c r="AOI128" s="4"/>
      <c r="AOJ128" s="4"/>
      <c r="AOK128" s="4"/>
      <c r="AOL128" s="4"/>
      <c r="AOM128" s="4"/>
      <c r="AON128" s="4"/>
      <c r="AOO128" s="4"/>
      <c r="AOP128" s="4"/>
      <c r="AOQ128" s="4"/>
      <c r="AOR128" s="4"/>
      <c r="AOS128" s="4"/>
      <c r="AOT128" s="4"/>
      <c r="AOU128" s="4"/>
      <c r="AOV128" s="4"/>
      <c r="AOW128" s="4"/>
      <c r="AOX128" s="4"/>
      <c r="AOY128" s="4"/>
      <c r="AOZ128" s="4"/>
      <c r="APA128" s="4"/>
      <c r="APB128" s="4"/>
      <c r="APC128" s="4"/>
      <c r="APD128" s="4"/>
      <c r="APE128" s="4"/>
      <c r="APF128" s="4"/>
      <c r="APG128" s="4"/>
      <c r="APH128" s="4"/>
      <c r="API128" s="4"/>
      <c r="APJ128" s="4"/>
      <c r="APK128" s="4"/>
      <c r="APL128" s="4"/>
      <c r="APM128" s="4"/>
      <c r="APN128" s="4"/>
      <c r="APO128" s="4"/>
      <c r="APP128" s="4"/>
      <c r="APQ128" s="4"/>
      <c r="APR128" s="4"/>
      <c r="APS128" s="4"/>
      <c r="APT128" s="4"/>
      <c r="APU128" s="4"/>
      <c r="APV128" s="4"/>
      <c r="APW128" s="4"/>
      <c r="APX128" s="4"/>
      <c r="APY128" s="4"/>
      <c r="APZ128" s="4"/>
      <c r="AQA128" s="4"/>
      <c r="AQB128" s="4"/>
      <c r="AQC128" s="4"/>
      <c r="AQD128" s="4"/>
      <c r="AQE128" s="4"/>
      <c r="AQF128" s="4"/>
      <c r="AQG128" s="4"/>
      <c r="AQH128" s="4"/>
      <c r="AQI128" s="4"/>
      <c r="AQJ128" s="4"/>
      <c r="AQK128" s="4"/>
      <c r="AQL128" s="4"/>
      <c r="AQM128" s="4"/>
      <c r="AQN128" s="4"/>
      <c r="AQO128" s="4"/>
      <c r="AQP128" s="4"/>
      <c r="AQQ128" s="4"/>
      <c r="AQR128" s="4"/>
      <c r="AQS128" s="4"/>
      <c r="AQT128" s="4"/>
      <c r="AQU128" s="4"/>
      <c r="AQV128" s="4"/>
      <c r="AQW128" s="4"/>
      <c r="AQX128" s="4"/>
      <c r="AQY128" s="4"/>
      <c r="AQZ128" s="4"/>
      <c r="ARA128" s="4"/>
      <c r="ARB128" s="4"/>
      <c r="ARC128" s="4"/>
      <c r="ARD128" s="4"/>
      <c r="ARE128" s="4"/>
      <c r="ARF128" s="4"/>
      <c r="ARG128" s="4"/>
      <c r="ARH128" s="4"/>
      <c r="ARI128" s="4"/>
      <c r="ARJ128" s="4"/>
      <c r="ARK128" s="4"/>
      <c r="ARL128" s="4"/>
      <c r="ARM128" s="4"/>
      <c r="ARN128" s="4"/>
      <c r="ARO128" s="4"/>
      <c r="ARP128" s="4"/>
      <c r="ARQ128" s="4"/>
      <c r="ARR128" s="4"/>
      <c r="ARS128" s="4"/>
      <c r="ART128" s="4"/>
      <c r="ARU128" s="4"/>
      <c r="ARV128" s="4"/>
      <c r="ARW128" s="4"/>
      <c r="ARX128" s="4"/>
      <c r="ARY128" s="4"/>
      <c r="ARZ128" s="4"/>
      <c r="ASA128" s="4"/>
      <c r="ASB128" s="4"/>
      <c r="ASC128" s="4"/>
      <c r="ASD128" s="4"/>
      <c r="ASE128" s="4"/>
      <c r="ASF128" s="4"/>
      <c r="ASG128" s="4"/>
      <c r="ASH128" s="4"/>
      <c r="ASI128" s="4"/>
      <c r="ASJ128" s="4"/>
      <c r="ASK128" s="4"/>
      <c r="ASL128" s="4"/>
      <c r="ASM128" s="4"/>
      <c r="ASN128" s="4"/>
      <c r="ASO128" s="4"/>
      <c r="ASP128" s="4"/>
      <c r="ASQ128" s="4"/>
      <c r="ASR128" s="4"/>
      <c r="ASS128" s="4"/>
      <c r="AST128" s="4"/>
      <c r="ASU128" s="4"/>
    </row>
    <row r="129" ht="15.75" customHeight="1" spans="1:1191" x14ac:dyDescent="0.25">
      <c r="A129" s="665"/>
      <c r="B129" s="618" t="s">
        <v>162</v>
      </c>
      <c r="C129" s="619" t="s">
        <v>153</v>
      </c>
      <c r="D129" s="567"/>
      <c r="E129" s="168"/>
      <c r="F129" s="568"/>
      <c r="G129" s="569"/>
      <c r="H129" s="569"/>
      <c r="I129" s="569"/>
      <c r="J129" s="569"/>
      <c r="K129" s="569"/>
      <c r="L129" s="569"/>
      <c r="M129" s="570"/>
      <c r="N129" s="571"/>
      <c r="O129" s="569"/>
      <c r="P129" s="569"/>
      <c r="Q129" s="572"/>
      <c r="R129" s="568"/>
      <c r="S129" s="569"/>
      <c r="T129" s="569"/>
      <c r="U129" s="569"/>
      <c r="V129" s="569"/>
      <c r="W129" s="569"/>
      <c r="X129" s="569"/>
      <c r="Y129" s="569"/>
      <c r="Z129" s="569"/>
      <c r="AA129" s="569"/>
      <c r="AB129" s="569"/>
      <c r="AC129" s="570"/>
      <c r="AD129" s="168"/>
      <c r="AE129" s="168"/>
      <c r="AF129" s="574">
        <f>SUM(D129:AE129)</f>
      </c>
      <c r="AG129" s="567"/>
      <c r="AH129" s="168"/>
      <c r="AI129" s="568"/>
      <c r="AJ129" s="569"/>
      <c r="AK129" s="569"/>
      <c r="AL129" s="569"/>
      <c r="AM129" s="569"/>
      <c r="AN129" s="569"/>
      <c r="AO129" s="569"/>
      <c r="AP129" s="570"/>
      <c r="AQ129" s="571"/>
      <c r="AR129" s="569"/>
      <c r="AS129" s="569"/>
      <c r="AT129" s="572"/>
      <c r="AU129" s="568"/>
      <c r="AV129" s="569"/>
      <c r="AW129" s="569"/>
      <c r="AX129" s="569"/>
      <c r="AY129" s="569"/>
      <c r="AZ129" s="569"/>
      <c r="BA129" s="569"/>
      <c r="BB129" s="569"/>
      <c r="BC129" s="569"/>
      <c r="BD129" s="569"/>
      <c r="BE129" s="569"/>
      <c r="BF129" s="570"/>
      <c r="BG129" s="168"/>
      <c r="BH129" s="168"/>
      <c r="BI129" s="574">
        <f>SUM(AG129:BH129)</f>
      </c>
      <c r="BJ129" s="567"/>
      <c r="BK129" s="168"/>
      <c r="BL129" s="568"/>
      <c r="BM129" s="569"/>
      <c r="BN129" s="569"/>
      <c r="BO129" s="569"/>
      <c r="BP129" s="569"/>
      <c r="BQ129" s="569"/>
      <c r="BR129" s="569"/>
      <c r="BS129" s="570"/>
      <c r="BT129" s="571"/>
      <c r="BU129" s="569"/>
      <c r="BV129" s="569"/>
      <c r="BW129" s="572"/>
      <c r="BX129" s="568"/>
      <c r="BY129" s="569"/>
      <c r="BZ129" s="569"/>
      <c r="CA129" s="569"/>
      <c r="CB129" s="569"/>
      <c r="CC129" s="569"/>
      <c r="CD129" s="569"/>
      <c r="CE129" s="569"/>
      <c r="CF129" s="569"/>
      <c r="CG129" s="569"/>
      <c r="CH129" s="569"/>
      <c r="CI129" s="570"/>
      <c r="CJ129" s="168"/>
      <c r="CK129" s="168"/>
      <c r="CL129" s="574">
        <f>SUM(BJ129:CK129)</f>
      </c>
      <c r="CM129" s="567"/>
      <c r="CN129" s="168"/>
      <c r="CO129" s="568"/>
      <c r="CP129" s="569"/>
      <c r="CQ129" s="569"/>
      <c r="CR129" s="569"/>
      <c r="CS129" s="569"/>
      <c r="CT129" s="569"/>
      <c r="CU129" s="569"/>
      <c r="CV129" s="570"/>
      <c r="CW129" s="571"/>
      <c r="CX129" s="569"/>
      <c r="CY129" s="569"/>
      <c r="CZ129" s="572"/>
      <c r="DA129" s="568"/>
      <c r="DB129" s="569"/>
      <c r="DC129" s="569"/>
      <c r="DD129" s="569"/>
      <c r="DE129" s="569"/>
      <c r="DF129" s="569"/>
      <c r="DG129" s="569"/>
      <c r="DH129" s="569"/>
      <c r="DI129" s="569"/>
      <c r="DJ129" s="569"/>
      <c r="DK129" s="569"/>
      <c r="DL129" s="570"/>
      <c r="DM129" s="168"/>
      <c r="DN129" s="168"/>
      <c r="DO129" s="574">
        <f>SUM(CM129:DN129)</f>
      </c>
      <c r="DP129" s="567"/>
      <c r="DQ129" s="168"/>
      <c r="DR129" s="568"/>
      <c r="DS129" s="569"/>
      <c r="DT129" s="569"/>
      <c r="DU129" s="569"/>
      <c r="DV129" s="569"/>
      <c r="DW129" s="569"/>
      <c r="DX129" s="569"/>
      <c r="DY129" s="570"/>
      <c r="DZ129" s="571"/>
      <c r="EA129" s="569"/>
      <c r="EB129" s="569"/>
      <c r="EC129" s="572"/>
      <c r="ED129" s="568"/>
      <c r="EE129" s="569"/>
      <c r="EF129" s="569"/>
      <c r="EG129" s="569"/>
      <c r="EH129" s="569"/>
      <c r="EI129" s="569"/>
      <c r="EJ129" s="569"/>
      <c r="EK129" s="569"/>
      <c r="EL129" s="569"/>
      <c r="EM129" s="569"/>
      <c r="EN129" s="569"/>
      <c r="EO129" s="570"/>
      <c r="EP129" s="168"/>
      <c r="EQ129" s="168"/>
      <c r="ER129" s="574">
        <f>SUM(DP129:EQ129)</f>
      </c>
      <c r="ES129" s="567"/>
      <c r="ET129" s="168"/>
      <c r="EU129" s="568"/>
      <c r="EV129" s="569"/>
      <c r="EW129" s="569"/>
      <c r="EX129" s="569"/>
      <c r="EY129" s="569"/>
      <c r="EZ129" s="569"/>
      <c r="FA129" s="569"/>
      <c r="FB129" s="570"/>
      <c r="FC129" s="571"/>
      <c r="FD129" s="569"/>
      <c r="FE129" s="569"/>
      <c r="FF129" s="572"/>
      <c r="FG129" s="568"/>
      <c r="FH129" s="569"/>
      <c r="FI129" s="569"/>
      <c r="FJ129" s="569"/>
      <c r="FK129" s="569"/>
      <c r="FL129" s="569"/>
      <c r="FM129" s="569"/>
      <c r="FN129" s="569"/>
      <c r="FO129" s="569"/>
      <c r="FP129" s="569"/>
      <c r="FQ129" s="569"/>
      <c r="FR129" s="570"/>
      <c r="FS129" s="168"/>
      <c r="FT129" s="168"/>
      <c r="FU129" s="574">
        <f>SUM(ES129:FT129)</f>
      </c>
      <c r="FV129" s="567"/>
      <c r="FW129" s="168"/>
      <c r="FX129" s="568"/>
      <c r="FY129" s="569"/>
      <c r="FZ129" s="569"/>
      <c r="GA129" s="569"/>
      <c r="GB129" s="569"/>
      <c r="GC129" s="569"/>
      <c r="GD129" s="569"/>
      <c r="GE129" s="570"/>
      <c r="GF129" s="571"/>
      <c r="GG129" s="569"/>
      <c r="GH129" s="569"/>
      <c r="GI129" s="572"/>
      <c r="GJ129" s="568"/>
      <c r="GK129" s="569"/>
      <c r="GL129" s="569"/>
      <c r="GM129" s="569"/>
      <c r="GN129" s="569"/>
      <c r="GO129" s="569"/>
      <c r="GP129" s="569"/>
      <c r="GQ129" s="569"/>
      <c r="GR129" s="569"/>
      <c r="GS129" s="569"/>
      <c r="GT129" s="569"/>
      <c r="GU129" s="570"/>
      <c r="GV129" s="168"/>
      <c r="GW129" s="168"/>
      <c r="GX129" s="574">
        <f>SUM(FV129:GW129)</f>
      </c>
      <c r="GY129" s="575">
        <f>AF129+BI129+CL129+DO129+ER129+FU129+GX129</f>
      </c>
      <c r="GZ129" s="576">
        <f>(COUNTIF(D129:GX129,"H")+COUNTIF(D129:GX129,"S")+COUNTIF(D129:GX129,"L")+COUNTIF(D129:GX129,"E")+COUNTIF(D129:GX129,"C"))/2</f>
      </c>
      <c r="HA129" s="574">
        <f>GY129+GZ129</f>
      </c>
      <c r="HB129" s="577"/>
      <c r="HC129" s="189"/>
      <c r="HD129" s="578"/>
      <c r="HE129" s="579"/>
      <c r="HF129" s="579"/>
      <c r="HG129" s="580">
        <v>0.5</v>
      </c>
      <c r="HH129" s="580">
        <v>0.5</v>
      </c>
      <c r="HI129" s="580">
        <v>0.5</v>
      </c>
      <c r="HJ129" s="581">
        <v>0.5</v>
      </c>
      <c r="HK129" s="582">
        <v>0.5</v>
      </c>
      <c r="HL129" s="594">
        <v>0.5</v>
      </c>
      <c r="HM129" s="581">
        <v>0.5</v>
      </c>
      <c r="HN129" s="579"/>
      <c r="HO129" s="595"/>
      <c r="HP129" s="585">
        <v>0.5</v>
      </c>
      <c r="HQ129" s="581">
        <v>0.5</v>
      </c>
      <c r="HR129" s="580">
        <v>0.5</v>
      </c>
      <c r="HS129" s="580">
        <v>0.5</v>
      </c>
      <c r="HT129" s="580">
        <v>0.5</v>
      </c>
      <c r="HU129" s="580">
        <v>0.5</v>
      </c>
      <c r="HV129" s="580">
        <v>0.5</v>
      </c>
      <c r="HW129" s="580">
        <v>0.5</v>
      </c>
      <c r="HX129" s="580">
        <v>0.5</v>
      </c>
      <c r="HY129" s="579"/>
      <c r="HZ129" s="579"/>
      <c r="IA129" s="586"/>
      <c r="IB129" s="189"/>
      <c r="IC129" s="189"/>
      <c r="ID129" s="574">
        <f>SUM(HB129:IC129)</f>
      </c>
      <c r="IE129" s="577"/>
      <c r="IF129" s="189"/>
      <c r="IG129" s="578"/>
      <c r="IH129" s="579"/>
      <c r="II129" s="579"/>
      <c r="IJ129" s="666">
        <v>0.5</v>
      </c>
      <c r="IK129" s="666">
        <v>0.5</v>
      </c>
      <c r="IL129" s="666">
        <v>0.5</v>
      </c>
      <c r="IM129" s="623">
        <v>0.5</v>
      </c>
      <c r="IN129" s="624">
        <v>0.5</v>
      </c>
      <c r="IO129" s="667">
        <v>0.5</v>
      </c>
      <c r="IP129" s="623">
        <v>0.5</v>
      </c>
      <c r="IQ129" s="579"/>
      <c r="IR129" s="595"/>
      <c r="IS129" s="622">
        <v>0.5</v>
      </c>
      <c r="IT129" s="623">
        <v>0.5</v>
      </c>
      <c r="IU129" s="666">
        <v>0.5</v>
      </c>
      <c r="IV129" s="666">
        <v>0.5</v>
      </c>
      <c r="IW129" s="666">
        <v>0.5</v>
      </c>
      <c r="IX129" s="666">
        <v>0.5</v>
      </c>
      <c r="IY129" s="666">
        <v>0.5</v>
      </c>
      <c r="IZ129" s="666">
        <v>0.5</v>
      </c>
      <c r="JA129" s="666">
        <v>0.5</v>
      </c>
      <c r="JB129" s="579"/>
      <c r="JC129" s="579"/>
      <c r="JD129" s="586"/>
      <c r="JE129" s="189"/>
      <c r="JF129" s="189"/>
      <c r="JG129" s="574">
        <f>SUM(IE129:JF129)</f>
      </c>
      <c r="JH129" s="577"/>
      <c r="JI129" s="189"/>
      <c r="JJ129" s="578"/>
      <c r="JK129" s="579"/>
      <c r="JL129" s="579"/>
      <c r="JM129" s="580">
        <v>0.5</v>
      </c>
      <c r="JN129" s="580">
        <v>0.5</v>
      </c>
      <c r="JO129" s="580">
        <v>0.5</v>
      </c>
      <c r="JP129" s="581">
        <v>0.5</v>
      </c>
      <c r="JQ129" s="582">
        <v>0.5</v>
      </c>
      <c r="JR129" s="594">
        <v>0.5</v>
      </c>
      <c r="JS129" s="581">
        <v>0.5</v>
      </c>
      <c r="JT129" s="579"/>
      <c r="JU129" s="595"/>
      <c r="JV129" s="585">
        <v>0.5</v>
      </c>
      <c r="JW129" s="581">
        <v>0.5</v>
      </c>
      <c r="JX129" s="580">
        <v>0.5</v>
      </c>
      <c r="JY129" s="580">
        <v>0.5</v>
      </c>
      <c r="JZ129" s="580">
        <v>0.5</v>
      </c>
      <c r="KA129" s="580">
        <v>0.5</v>
      </c>
      <c r="KB129" s="580">
        <v>0.5</v>
      </c>
      <c r="KC129" s="580">
        <v>0.5</v>
      </c>
      <c r="KD129" s="580">
        <v>0.5</v>
      </c>
      <c r="KE129" s="579"/>
      <c r="KF129" s="579"/>
      <c r="KG129" s="586"/>
      <c r="KH129" s="189"/>
      <c r="KI129" s="189"/>
      <c r="KJ129" s="574">
        <f>SUM(JH129:KI129)</f>
      </c>
      <c r="KK129" s="577"/>
      <c r="KL129" s="189"/>
      <c r="KM129" s="578"/>
      <c r="KN129" s="579"/>
      <c r="KO129" s="579"/>
      <c r="KP129" s="580">
        <v>0.5</v>
      </c>
      <c r="KQ129" s="580">
        <v>0.5</v>
      </c>
      <c r="KR129" s="580">
        <v>0.5</v>
      </c>
      <c r="KS129" s="581">
        <v>0.5</v>
      </c>
      <c r="KT129" s="582">
        <v>0.5</v>
      </c>
      <c r="KU129" s="594">
        <v>0.5</v>
      </c>
      <c r="KV129" s="581">
        <v>0.5</v>
      </c>
      <c r="KW129" s="579"/>
      <c r="KX129" s="595"/>
      <c r="KY129" s="585">
        <v>0.5</v>
      </c>
      <c r="KZ129" s="581">
        <v>0.5</v>
      </c>
      <c r="LA129" s="580">
        <v>0.5</v>
      </c>
      <c r="LB129" s="580">
        <v>0.5</v>
      </c>
      <c r="LC129" s="580">
        <v>0.5</v>
      </c>
      <c r="LD129" s="580">
        <v>0.5</v>
      </c>
      <c r="LE129" s="580">
        <v>0.5</v>
      </c>
      <c r="LF129" s="580">
        <v>0.5</v>
      </c>
      <c r="LG129" s="580">
        <v>0.5</v>
      </c>
      <c r="LH129" s="579"/>
      <c r="LI129" s="579"/>
      <c r="LJ129" s="586"/>
      <c r="LK129" s="189"/>
      <c r="LL129" s="189"/>
      <c r="LM129" s="574">
        <f>SUM(KK129:LL129)</f>
      </c>
      <c r="LN129" s="577"/>
      <c r="LO129" s="189"/>
      <c r="LP129" s="578"/>
      <c r="LQ129" s="579"/>
      <c r="LR129" s="579"/>
      <c r="LS129" s="666">
        <v>0.5</v>
      </c>
      <c r="LT129" s="666">
        <v>0.5</v>
      </c>
      <c r="LU129" s="666">
        <v>0.5</v>
      </c>
      <c r="LV129" s="623">
        <v>0.5</v>
      </c>
      <c r="LW129" s="624">
        <v>0.5</v>
      </c>
      <c r="LX129" s="667">
        <v>0.5</v>
      </c>
      <c r="LY129" s="623">
        <v>0.5</v>
      </c>
      <c r="LZ129" s="579"/>
      <c r="MA129" s="595"/>
      <c r="MB129" s="622">
        <v>0.5</v>
      </c>
      <c r="MC129" s="623">
        <v>0.5</v>
      </c>
      <c r="MD129" s="666">
        <v>0.5</v>
      </c>
      <c r="ME129" s="666">
        <v>0.5</v>
      </c>
      <c r="MF129" s="666">
        <v>0.5</v>
      </c>
      <c r="MG129" s="666">
        <v>0.5</v>
      </c>
      <c r="MH129" s="666">
        <v>0.5</v>
      </c>
      <c r="MI129" s="666">
        <v>0.5</v>
      </c>
      <c r="MJ129" s="666">
        <v>0.5</v>
      </c>
      <c r="MK129" s="579"/>
      <c r="ML129" s="579"/>
      <c r="MM129" s="586"/>
      <c r="MN129" s="189"/>
      <c r="MO129" s="189"/>
      <c r="MP129" s="574">
        <f>SUM(LN129:MO129)</f>
      </c>
      <c r="MQ129" s="567"/>
      <c r="MR129" s="168"/>
      <c r="MS129" s="568"/>
      <c r="MT129" s="569"/>
      <c r="MU129" s="569"/>
      <c r="MV129" s="569"/>
      <c r="MW129" s="569"/>
      <c r="MX129" s="569"/>
      <c r="MY129" s="569"/>
      <c r="MZ129" s="570"/>
      <c r="NA129" s="571"/>
      <c r="NB129" s="569"/>
      <c r="NC129" s="569"/>
      <c r="ND129" s="572"/>
      <c r="NE129" s="568"/>
      <c r="NF129" s="569"/>
      <c r="NG129" s="569"/>
      <c r="NH129" s="569"/>
      <c r="NI129" s="569"/>
      <c r="NJ129" s="569"/>
      <c r="NK129" s="569"/>
      <c r="NL129" s="569"/>
      <c r="NM129" s="569"/>
      <c r="NN129" s="569"/>
      <c r="NO129" s="569"/>
      <c r="NP129" s="570"/>
      <c r="NQ129" s="168"/>
      <c r="NR129" s="168"/>
      <c r="NS129" s="574">
        <f>SUM(MQ129:NR129)</f>
      </c>
      <c r="NT129" s="567"/>
      <c r="NU129" s="168"/>
      <c r="NV129" s="568"/>
      <c r="NW129" s="569"/>
      <c r="NX129" s="569"/>
      <c r="NY129" s="569"/>
      <c r="NZ129" s="569"/>
      <c r="OA129" s="569"/>
      <c r="OB129" s="569"/>
      <c r="OC129" s="570"/>
      <c r="OD129" s="571"/>
      <c r="OE129" s="569"/>
      <c r="OF129" s="569"/>
      <c r="OG129" s="572"/>
      <c r="OH129" s="568"/>
      <c r="OI129" s="569"/>
      <c r="OJ129" s="569"/>
      <c r="OK129" s="569"/>
      <c r="OL129" s="569"/>
      <c r="OM129" s="569"/>
      <c r="ON129" s="569"/>
      <c r="OO129" s="569"/>
      <c r="OP129" s="569"/>
      <c r="OQ129" s="569"/>
      <c r="OR129" s="569"/>
      <c r="OS129" s="570"/>
      <c r="OT129" s="168"/>
      <c r="OU129" s="168"/>
      <c r="OV129" s="574">
        <f>SUM(NT129:OU129)</f>
      </c>
      <c r="OW129" s="575">
        <f>ID129+JG129+KJ129+LM129+MP129+NS129+OV129</f>
      </c>
      <c r="OX129" s="576">
        <f>(COUNTIF(HB129:OV129,"H")+COUNTIF(HB129:OV129,"S")+COUNTIF(HB129:OV129,"L")+COUNTIF(HB129:OV129,"E")+COUNTIF(HB129:OV129,"C"))/2</f>
      </c>
      <c r="OY129" s="574">
        <f>OW129+OX129</f>
      </c>
      <c r="OZ129" s="577"/>
      <c r="PA129" s="189"/>
      <c r="PB129" s="578"/>
      <c r="PC129" s="579"/>
      <c r="PD129" s="579"/>
      <c r="PE129" s="580">
        <v>0.5</v>
      </c>
      <c r="PF129" s="580">
        <v>0.5</v>
      </c>
      <c r="PG129" s="580">
        <v>0.5</v>
      </c>
      <c r="PH129" s="581">
        <v>0.5</v>
      </c>
      <c r="PI129" s="582">
        <v>0.5</v>
      </c>
      <c r="PJ129" s="594">
        <v>0.5</v>
      </c>
      <c r="PK129" s="581">
        <v>0.5</v>
      </c>
      <c r="PL129" s="579"/>
      <c r="PM129" s="595"/>
      <c r="PN129" s="585">
        <v>0.5</v>
      </c>
      <c r="PO129" s="581">
        <v>0.5</v>
      </c>
      <c r="PP129" s="580">
        <v>0.5</v>
      </c>
      <c r="PQ129" s="580">
        <v>0.5</v>
      </c>
      <c r="PR129" s="580">
        <v>0.5</v>
      </c>
      <c r="PS129" s="580">
        <v>0.5</v>
      </c>
      <c r="PT129" s="580">
        <v>0.5</v>
      </c>
      <c r="PU129" s="580">
        <v>0.5</v>
      </c>
      <c r="PV129" s="580">
        <v>0.5</v>
      </c>
      <c r="PW129" s="579"/>
      <c r="PX129" s="579"/>
      <c r="PY129" s="586"/>
      <c r="PZ129" s="189"/>
      <c r="QA129" s="189"/>
      <c r="QB129" s="574">
        <f>SUM(OZ129:QA129)</f>
      </c>
      <c r="QC129" s="577"/>
      <c r="QD129" s="189"/>
      <c r="QE129" s="578"/>
      <c r="QF129" s="579"/>
      <c r="QG129" s="579"/>
      <c r="QH129" s="666">
        <v>0.5</v>
      </c>
      <c r="QI129" s="666">
        <v>0.5</v>
      </c>
      <c r="QJ129" s="666">
        <v>0.5</v>
      </c>
      <c r="QK129" s="623">
        <v>0.5</v>
      </c>
      <c r="QL129" s="624">
        <v>0.5</v>
      </c>
      <c r="QM129" s="667">
        <v>0.5</v>
      </c>
      <c r="QN129" s="623">
        <v>0.5</v>
      </c>
      <c r="QO129" s="579"/>
      <c r="QP129" s="595"/>
      <c r="QQ129" s="622">
        <v>0.5</v>
      </c>
      <c r="QR129" s="623">
        <v>0.5</v>
      </c>
      <c r="QS129" s="666">
        <v>0.5</v>
      </c>
      <c r="QT129" s="666">
        <v>0.5</v>
      </c>
      <c r="QU129" s="666">
        <v>0.5</v>
      </c>
      <c r="QV129" s="666">
        <v>0.5</v>
      </c>
      <c r="QW129" s="666">
        <v>0.5</v>
      </c>
      <c r="QX129" s="666">
        <v>0.5</v>
      </c>
      <c r="QY129" s="666">
        <v>0.5</v>
      </c>
      <c r="QZ129" s="579"/>
      <c r="RA129" s="579"/>
      <c r="RB129" s="586"/>
      <c r="RC129" s="189"/>
      <c r="RD129" s="189"/>
      <c r="RE129" s="574">
        <f>SUM(QC129:RD129)</f>
      </c>
      <c r="RF129" s="577"/>
      <c r="RG129" s="189"/>
      <c r="RH129" s="578"/>
      <c r="RI129" s="579"/>
      <c r="RJ129" s="579"/>
      <c r="RK129" s="580">
        <v>0.5</v>
      </c>
      <c r="RL129" s="580">
        <v>0.5</v>
      </c>
      <c r="RM129" s="580">
        <v>0.5</v>
      </c>
      <c r="RN129" s="581">
        <v>0.5</v>
      </c>
      <c r="RO129" s="582">
        <v>0.5</v>
      </c>
      <c r="RP129" s="594">
        <v>0.5</v>
      </c>
      <c r="RQ129" s="581">
        <v>0.5</v>
      </c>
      <c r="RR129" s="579"/>
      <c r="RS129" s="595"/>
      <c r="RT129" s="585">
        <v>0.5</v>
      </c>
      <c r="RU129" s="581">
        <v>0.5</v>
      </c>
      <c r="RV129" s="580">
        <v>0.5</v>
      </c>
      <c r="RW129" s="580">
        <v>0.5</v>
      </c>
      <c r="RX129" s="580">
        <v>0.5</v>
      </c>
      <c r="RY129" s="580">
        <v>0.5</v>
      </c>
      <c r="RZ129" s="580">
        <v>0.5</v>
      </c>
      <c r="SA129" s="580">
        <v>0.5</v>
      </c>
      <c r="SB129" s="580">
        <v>0.5</v>
      </c>
      <c r="SC129" s="579"/>
      <c r="SD129" s="579"/>
      <c r="SE129" s="586"/>
      <c r="SF129" s="189"/>
      <c r="SG129" s="189"/>
      <c r="SH129" s="574">
        <f>SUM(RF129:SG129)</f>
      </c>
      <c r="SI129" s="577"/>
      <c r="SJ129" s="189"/>
      <c r="SK129" s="578"/>
      <c r="SL129" s="579"/>
      <c r="SM129" s="579"/>
      <c r="SN129" s="580">
        <v>0.5</v>
      </c>
      <c r="SO129" s="580">
        <v>0.5</v>
      </c>
      <c r="SP129" s="580">
        <v>0.5</v>
      </c>
      <c r="SQ129" s="581">
        <v>0.5</v>
      </c>
      <c r="SR129" s="582">
        <v>0.5</v>
      </c>
      <c r="SS129" s="594">
        <v>0.5</v>
      </c>
      <c r="ST129" s="581">
        <v>0.5</v>
      </c>
      <c r="SU129" s="579"/>
      <c r="SV129" s="595"/>
      <c r="SW129" s="585">
        <v>0.5</v>
      </c>
      <c r="SX129" s="581">
        <v>0.5</v>
      </c>
      <c r="SY129" s="580">
        <v>0.5</v>
      </c>
      <c r="SZ129" s="580">
        <v>0.5</v>
      </c>
      <c r="TA129" s="580">
        <v>0.5</v>
      </c>
      <c r="TB129" s="580">
        <v>0.5</v>
      </c>
      <c r="TC129" s="580">
        <v>0.5</v>
      </c>
      <c r="TD129" s="580">
        <v>0.5</v>
      </c>
      <c r="TE129" s="580">
        <v>0.5</v>
      </c>
      <c r="TF129" s="579"/>
      <c r="TG129" s="579"/>
      <c r="TH129" s="586"/>
      <c r="TI129" s="189"/>
      <c r="TJ129" s="189"/>
      <c r="TK129" s="574">
        <f>SUM(SI129:TJ129)</f>
      </c>
      <c r="TL129" s="577"/>
      <c r="TM129" s="189"/>
      <c r="TN129" s="578"/>
      <c r="TO129" s="579"/>
      <c r="TP129" s="579"/>
      <c r="TQ129" s="666">
        <v>0.5</v>
      </c>
      <c r="TR129" s="666">
        <v>0.5</v>
      </c>
      <c r="TS129" s="666">
        <v>0.5</v>
      </c>
      <c r="TT129" s="623">
        <v>0.5</v>
      </c>
      <c r="TU129" s="624">
        <v>0.5</v>
      </c>
      <c r="TV129" s="667">
        <v>0.5</v>
      </c>
      <c r="TW129" s="623">
        <v>0.5</v>
      </c>
      <c r="TX129" s="579"/>
      <c r="TY129" s="595"/>
      <c r="TZ129" s="622">
        <v>0.5</v>
      </c>
      <c r="UA129" s="623">
        <v>0.5</v>
      </c>
      <c r="UB129" s="666">
        <v>0.5</v>
      </c>
      <c r="UC129" s="666">
        <v>0.5</v>
      </c>
      <c r="UD129" s="666">
        <v>0.5</v>
      </c>
      <c r="UE129" s="666">
        <v>0.5</v>
      </c>
      <c r="UF129" s="666">
        <v>0.5</v>
      </c>
      <c r="UG129" s="666">
        <v>0.5</v>
      </c>
      <c r="UH129" s="666">
        <v>0.5</v>
      </c>
      <c r="UI129" s="579"/>
      <c r="UJ129" s="579"/>
      <c r="UK129" s="586"/>
      <c r="UL129" s="189"/>
      <c r="UM129" s="189"/>
      <c r="UN129" s="574">
        <f>SUM(TL129:UM129)</f>
      </c>
      <c r="UO129" s="567"/>
      <c r="UP129" s="168"/>
      <c r="UQ129" s="568"/>
      <c r="UR129" s="569"/>
      <c r="US129" s="569"/>
      <c r="UT129" s="569"/>
      <c r="UU129" s="569"/>
      <c r="UV129" s="569"/>
      <c r="UW129" s="569"/>
      <c r="UX129" s="570"/>
      <c r="UY129" s="571"/>
      <c r="UZ129" s="569"/>
      <c r="VA129" s="569"/>
      <c r="VB129" s="572"/>
      <c r="VC129" s="568"/>
      <c r="VD129" s="569"/>
      <c r="VE129" s="569"/>
      <c r="VF129" s="569"/>
      <c r="VG129" s="569"/>
      <c r="VH129" s="569"/>
      <c r="VI129" s="569"/>
      <c r="VJ129" s="569"/>
      <c r="VK129" s="569"/>
      <c r="VL129" s="569"/>
      <c r="VM129" s="569"/>
      <c r="VN129" s="570"/>
      <c r="VO129" s="168"/>
      <c r="VP129" s="168"/>
      <c r="VQ129" s="574">
        <f>SUM(UO129:VP129)</f>
      </c>
      <c r="VR129" s="567"/>
      <c r="VS129" s="168"/>
      <c r="VT129" s="568"/>
      <c r="VU129" s="569"/>
      <c r="VV129" s="569"/>
      <c r="VW129" s="569"/>
      <c r="VX129" s="569"/>
      <c r="VY129" s="569"/>
      <c r="VZ129" s="569"/>
      <c r="WA129" s="570"/>
      <c r="WB129" s="571"/>
      <c r="WC129" s="569"/>
      <c r="WD129" s="569"/>
      <c r="WE129" s="572"/>
      <c r="WF129" s="568"/>
      <c r="WG129" s="569"/>
      <c r="WH129" s="569"/>
      <c r="WI129" s="569"/>
      <c r="WJ129" s="569"/>
      <c r="WK129" s="569"/>
      <c r="WL129" s="569"/>
      <c r="WM129" s="569"/>
      <c r="WN129" s="569"/>
      <c r="WO129" s="569"/>
      <c r="WP129" s="569"/>
      <c r="WQ129" s="570"/>
      <c r="WR129" s="168"/>
      <c r="WS129" s="168"/>
      <c r="WT129" s="574">
        <f>SUM(VR129:WS129)</f>
      </c>
      <c r="WU129" s="575">
        <f>QB129+RE129+SH129+TK129+UN129+VQ129+WT129</f>
      </c>
      <c r="WV129" s="576">
        <f>(COUNTIF(OZ129:WT129,"H")+COUNTIF(OZ129:WT129,"S")+COUNTIF(OZ129:WT129,"L")+COUNTIF(OZ129:WT129,"E")+COUNTIF(OZ129:WT129,"C"))/2</f>
      </c>
      <c r="WW129" s="574">
        <f>WU129+WV129</f>
      </c>
      <c r="WX129" s="577"/>
      <c r="WY129" s="189"/>
      <c r="WZ129" s="578"/>
      <c r="XA129" s="579"/>
      <c r="XB129" s="579"/>
      <c r="XC129" s="580">
        <v>0.5</v>
      </c>
      <c r="XD129" s="580">
        <v>0.5</v>
      </c>
      <c r="XE129" s="580">
        <v>0.5</v>
      </c>
      <c r="XF129" s="581">
        <v>0.5</v>
      </c>
      <c r="XG129" s="582">
        <v>0.5</v>
      </c>
      <c r="XH129" s="594">
        <v>0.5</v>
      </c>
      <c r="XI129" s="581">
        <v>0.5</v>
      </c>
      <c r="XJ129" s="579"/>
      <c r="XK129" s="595"/>
      <c r="XL129" s="585">
        <v>0.5</v>
      </c>
      <c r="XM129" s="581">
        <v>0.5</v>
      </c>
      <c r="XN129" s="580">
        <v>0.5</v>
      </c>
      <c r="XO129" s="580">
        <v>0.5</v>
      </c>
      <c r="XP129" s="580">
        <v>0.5</v>
      </c>
      <c r="XQ129" s="580">
        <v>0.5</v>
      </c>
      <c r="XR129" s="580">
        <v>0.5</v>
      </c>
      <c r="XS129" s="580">
        <v>0.5</v>
      </c>
      <c r="XT129" s="580">
        <v>0.5</v>
      </c>
      <c r="XU129" s="579"/>
      <c r="XV129" s="579"/>
      <c r="XW129" s="586"/>
      <c r="XX129" s="189"/>
      <c r="XY129" s="189"/>
      <c r="XZ129" s="574">
        <f>SUM(WX129:XY129)</f>
      </c>
      <c r="YA129" s="577"/>
      <c r="YB129" s="189"/>
      <c r="YC129" s="578"/>
      <c r="YD129" s="579"/>
      <c r="YE129" s="579"/>
      <c r="YF129" s="666">
        <v>0.5</v>
      </c>
      <c r="YG129" s="666">
        <v>0.5</v>
      </c>
      <c r="YH129" s="666">
        <v>0.5</v>
      </c>
      <c r="YI129" s="623">
        <v>0.5</v>
      </c>
      <c r="YJ129" s="624">
        <v>0.5</v>
      </c>
      <c r="YK129" s="667">
        <v>0.5</v>
      </c>
      <c r="YL129" s="623">
        <v>0.5</v>
      </c>
      <c r="YM129" s="579"/>
      <c r="YN129" s="595"/>
      <c r="YO129" s="622">
        <v>0.5</v>
      </c>
      <c r="YP129" s="623">
        <v>0.5</v>
      </c>
      <c r="YQ129" s="666">
        <v>0.5</v>
      </c>
      <c r="YR129" s="666">
        <v>0.5</v>
      </c>
      <c r="YS129" s="666">
        <v>0.5</v>
      </c>
      <c r="YT129" s="666">
        <v>0.5</v>
      </c>
      <c r="YU129" s="666">
        <v>0.5</v>
      </c>
      <c r="YV129" s="666">
        <v>0.5</v>
      </c>
      <c r="YW129" s="666">
        <v>0.5</v>
      </c>
      <c r="YX129" s="579"/>
      <c r="YY129" s="579"/>
      <c r="YZ129" s="586"/>
      <c r="ZA129" s="189"/>
      <c r="ZB129" s="189"/>
      <c r="ZC129" s="574">
        <f>SUM(YA129:ZB129)</f>
      </c>
      <c r="ZD129" s="577"/>
      <c r="ZE129" s="189"/>
      <c r="ZF129" s="578"/>
      <c r="ZG129" s="579"/>
      <c r="ZH129" s="579"/>
      <c r="ZI129" s="580">
        <v>0.5</v>
      </c>
      <c r="ZJ129" s="580">
        <v>0.5</v>
      </c>
      <c r="ZK129" s="580">
        <v>0.5</v>
      </c>
      <c r="ZL129" s="581">
        <v>0.5</v>
      </c>
      <c r="ZM129" s="582">
        <v>0.5</v>
      </c>
      <c r="ZN129" s="594">
        <v>0.5</v>
      </c>
      <c r="ZO129" s="581">
        <v>0.5</v>
      </c>
      <c r="ZP129" s="579"/>
      <c r="ZQ129" s="595"/>
      <c r="ZR129" s="585">
        <v>0.5</v>
      </c>
      <c r="ZS129" s="581">
        <v>0.5</v>
      </c>
      <c r="ZT129" s="580">
        <v>0.5</v>
      </c>
      <c r="ZU129" s="580">
        <v>0.5</v>
      </c>
      <c r="ZV129" s="580">
        <v>0.5</v>
      </c>
      <c r="ZW129" s="580">
        <v>0.5</v>
      </c>
      <c r="ZX129" s="580">
        <v>0.5</v>
      </c>
      <c r="ZY129" s="580">
        <v>0.5</v>
      </c>
      <c r="ZZ129" s="580">
        <v>0.5</v>
      </c>
      <c r="AAA129" s="579"/>
      <c r="AAB129" s="579"/>
      <c r="AAC129" s="586"/>
      <c r="AAD129" s="189"/>
      <c r="AAE129" s="189"/>
      <c r="AAF129" s="574">
        <f>SUM(ZD129:AAE129)</f>
      </c>
      <c r="AAG129" s="577"/>
      <c r="AAH129" s="189"/>
      <c r="AAI129" s="578"/>
      <c r="AAJ129" s="579"/>
      <c r="AAK129" s="579"/>
      <c r="AAL129" s="580">
        <v>0.5</v>
      </c>
      <c r="AAM129" s="580">
        <v>0.5</v>
      </c>
      <c r="AAN129" s="580">
        <v>0.5</v>
      </c>
      <c r="AAO129" s="581">
        <v>0.5</v>
      </c>
      <c r="AAP129" s="582">
        <v>0.5</v>
      </c>
      <c r="AAQ129" s="594">
        <v>0.5</v>
      </c>
      <c r="AAR129" s="581">
        <v>0.5</v>
      </c>
      <c r="AAS129" s="579"/>
      <c r="AAT129" s="595"/>
      <c r="AAU129" s="585">
        <v>0.5</v>
      </c>
      <c r="AAV129" s="581">
        <v>0.5</v>
      </c>
      <c r="AAW129" s="580">
        <v>0.5</v>
      </c>
      <c r="AAX129" s="580">
        <v>0.5</v>
      </c>
      <c r="AAY129" s="580">
        <v>0.5</v>
      </c>
      <c r="AAZ129" s="580">
        <v>0.5</v>
      </c>
      <c r="ABA129" s="580">
        <v>0.5</v>
      </c>
      <c r="ABB129" s="580">
        <v>0.5</v>
      </c>
      <c r="ABC129" s="580">
        <v>0.5</v>
      </c>
      <c r="ABD129" s="579"/>
      <c r="ABE129" s="579"/>
      <c r="ABF129" s="586"/>
      <c r="ABG129" s="189"/>
      <c r="ABH129" s="189"/>
      <c r="ABI129" s="574">
        <f>SUM(AAG129:ABH129)</f>
      </c>
      <c r="ABJ129" s="577"/>
      <c r="ABK129" s="189"/>
      <c r="ABL129" s="578"/>
      <c r="ABM129" s="579"/>
      <c r="ABN129" s="579"/>
      <c r="ABO129" s="666">
        <v>0.5</v>
      </c>
      <c r="ABP129" s="666">
        <v>0.5</v>
      </c>
      <c r="ABQ129" s="666">
        <v>0.5</v>
      </c>
      <c r="ABR129" s="623">
        <v>0.5</v>
      </c>
      <c r="ABS129" s="624">
        <v>0.5</v>
      </c>
      <c r="ABT129" s="667">
        <v>0.5</v>
      </c>
      <c r="ABU129" s="623">
        <v>0.5</v>
      </c>
      <c r="ABV129" s="579"/>
      <c r="ABW129" s="595"/>
      <c r="ABX129" s="622">
        <v>0.5</v>
      </c>
      <c r="ABY129" s="623">
        <v>0.5</v>
      </c>
      <c r="ABZ129" s="666">
        <v>0.5</v>
      </c>
      <c r="ACA129" s="666">
        <v>0.5</v>
      </c>
      <c r="ACB129" s="666">
        <v>0.5</v>
      </c>
      <c r="ACC129" s="666">
        <v>0.5</v>
      </c>
      <c r="ACD129" s="666">
        <v>0.5</v>
      </c>
      <c r="ACE129" s="666">
        <v>0.5</v>
      </c>
      <c r="ACF129" s="666">
        <v>0.5</v>
      </c>
      <c r="ACG129" s="579"/>
      <c r="ACH129" s="579"/>
      <c r="ACI129" s="586"/>
      <c r="ACJ129" s="189"/>
      <c r="ACK129" s="189"/>
      <c r="ACL129" s="574">
        <f>SUM(ABJ129:ACK129)</f>
      </c>
      <c r="ACM129" s="567"/>
      <c r="ACN129" s="168"/>
      <c r="ACO129" s="568"/>
      <c r="ACP129" s="569"/>
      <c r="ACQ129" s="569"/>
      <c r="ACR129" s="569"/>
      <c r="ACS129" s="569"/>
      <c r="ACT129" s="569"/>
      <c r="ACU129" s="569"/>
      <c r="ACV129" s="570"/>
      <c r="ACW129" s="571"/>
      <c r="ACX129" s="569"/>
      <c r="ACY129" s="569"/>
      <c r="ACZ129" s="572"/>
      <c r="ADA129" s="568"/>
      <c r="ADB129" s="569"/>
      <c r="ADC129" s="569"/>
      <c r="ADD129" s="569"/>
      <c r="ADE129" s="569"/>
      <c r="ADF129" s="569"/>
      <c r="ADG129" s="569"/>
      <c r="ADH129" s="569"/>
      <c r="ADI129" s="569"/>
      <c r="ADJ129" s="569"/>
      <c r="ADK129" s="569"/>
      <c r="ADL129" s="570"/>
      <c r="ADM129" s="168"/>
      <c r="ADN129" s="168"/>
      <c r="ADO129" s="574">
        <f>SUM(ACM129:ADN129)</f>
      </c>
      <c r="ADP129" s="567"/>
      <c r="ADQ129" s="168"/>
      <c r="ADR129" s="568"/>
      <c r="ADS129" s="569"/>
      <c r="ADT129" s="569"/>
      <c r="ADU129" s="569"/>
      <c r="ADV129" s="569"/>
      <c r="ADW129" s="569"/>
      <c r="ADX129" s="569"/>
      <c r="ADY129" s="570"/>
      <c r="ADZ129" s="571"/>
      <c r="AEA129" s="569"/>
      <c r="AEB129" s="569"/>
      <c r="AEC129" s="572"/>
      <c r="AED129" s="568"/>
      <c r="AEE129" s="569"/>
      <c r="AEF129" s="569"/>
      <c r="AEG129" s="569"/>
      <c r="AEH129" s="569"/>
      <c r="AEI129" s="569"/>
      <c r="AEJ129" s="569"/>
      <c r="AEK129" s="569"/>
      <c r="AEL129" s="569"/>
      <c r="AEM129" s="569"/>
      <c r="AEN129" s="569"/>
      <c r="AEO129" s="570"/>
      <c r="AEP129" s="168"/>
      <c r="AEQ129" s="168"/>
      <c r="AER129" s="574">
        <f>SUM(ADP129:AEQ129)</f>
      </c>
      <c r="AES129" s="575">
        <f>XZ129+ZC129+AAF129+ABI129+ACL129+ADO129+AER129</f>
      </c>
      <c r="AET129" s="576">
        <f>(COUNTIF(WX129:AER129,"H")+COUNTIF(WX129:AER129,"S")+COUNTIF(WX129:AER129,"L")+COUNTIF(WX129:AER129,"E")+COUNTIF(WX129:AER129,"C"))/2</f>
      </c>
      <c r="AEU129" s="574">
        <f>AES129+AET129</f>
      </c>
      <c r="AEV129" s="577"/>
      <c r="AEW129" s="189"/>
      <c r="AEX129" s="578"/>
      <c r="AEY129" s="579"/>
      <c r="AEZ129" s="579"/>
      <c r="AFA129" s="580">
        <v>0.5</v>
      </c>
      <c r="AFB129" s="580">
        <v>0.5</v>
      </c>
      <c r="AFC129" s="580">
        <v>0.5</v>
      </c>
      <c r="AFD129" s="581">
        <v>0.5</v>
      </c>
      <c r="AFE129" s="582">
        <v>0.5</v>
      </c>
      <c r="AFF129" s="594">
        <v>0.5</v>
      </c>
      <c r="AFG129" s="581">
        <v>0.5</v>
      </c>
      <c r="AFH129" s="579"/>
      <c r="AFI129" s="595"/>
      <c r="AFJ129" s="585">
        <v>0.5</v>
      </c>
      <c r="AFK129" s="581">
        <v>0.5</v>
      </c>
      <c r="AFL129" s="580">
        <v>0.5</v>
      </c>
      <c r="AFM129" s="580">
        <v>0.5</v>
      </c>
      <c r="AFN129" s="580">
        <v>0.5</v>
      </c>
      <c r="AFO129" s="580">
        <v>0.5</v>
      </c>
      <c r="AFP129" s="580">
        <v>0.5</v>
      </c>
      <c r="AFQ129" s="580">
        <v>0.5</v>
      </c>
      <c r="AFR129" s="580">
        <v>0.5</v>
      </c>
      <c r="AFS129" s="579"/>
      <c r="AFT129" s="579"/>
      <c r="AFU129" s="586"/>
      <c r="AFV129" s="189"/>
      <c r="AFW129" s="189"/>
      <c r="AFX129" s="574">
        <f>SUM(AEV129:AFW129)</f>
      </c>
      <c r="AFY129" s="577"/>
      <c r="AFZ129" s="189"/>
      <c r="AGA129" s="578"/>
      <c r="AGB129" s="579"/>
      <c r="AGC129" s="579"/>
      <c r="AGD129" s="666">
        <v>0.5</v>
      </c>
      <c r="AGE129" s="666">
        <v>0.5</v>
      </c>
      <c r="AGF129" s="666">
        <v>0.5</v>
      </c>
      <c r="AGG129" s="623">
        <v>0.5</v>
      </c>
      <c r="AGH129" s="624">
        <v>0.5</v>
      </c>
      <c r="AGI129" s="667">
        <v>0.5</v>
      </c>
      <c r="AGJ129" s="623">
        <v>0.5</v>
      </c>
      <c r="AGK129" s="579"/>
      <c r="AGL129" s="595"/>
      <c r="AGM129" s="622">
        <v>0.5</v>
      </c>
      <c r="AGN129" s="623">
        <v>0.5</v>
      </c>
      <c r="AGO129" s="666">
        <v>0.5</v>
      </c>
      <c r="AGP129" s="666">
        <v>0.5</v>
      </c>
      <c r="AGQ129" s="666">
        <v>0.5</v>
      </c>
      <c r="AGR129" s="666">
        <v>0.5</v>
      </c>
      <c r="AGS129" s="666">
        <v>0.5</v>
      </c>
      <c r="AGT129" s="666">
        <v>0.5</v>
      </c>
      <c r="AGU129" s="666">
        <v>0.5</v>
      </c>
      <c r="AGV129" s="579"/>
      <c r="AGW129" s="579"/>
      <c r="AGX129" s="586"/>
      <c r="AGY129" s="189"/>
      <c r="AGZ129" s="189"/>
      <c r="AHA129" s="574">
        <f>SUM(AFY129:AGZ129)</f>
      </c>
      <c r="AHB129" s="577"/>
      <c r="AHC129" s="189"/>
      <c r="AHD129" s="578"/>
      <c r="AHE129" s="579"/>
      <c r="AHF129" s="579"/>
      <c r="AHG129" s="580">
        <v>0.5</v>
      </c>
      <c r="AHH129" s="580">
        <v>0.5</v>
      </c>
      <c r="AHI129" s="580">
        <v>0.5</v>
      </c>
      <c r="AHJ129" s="581">
        <v>0.5</v>
      </c>
      <c r="AHK129" s="582">
        <v>0.5</v>
      </c>
      <c r="AHL129" s="594">
        <v>0.5</v>
      </c>
      <c r="AHM129" s="581">
        <v>0.5</v>
      </c>
      <c r="AHN129" s="579"/>
      <c r="AHO129" s="595"/>
      <c r="AHP129" s="585">
        <v>0.5</v>
      </c>
      <c r="AHQ129" s="581">
        <v>0.5</v>
      </c>
      <c r="AHR129" s="580">
        <v>0.5</v>
      </c>
      <c r="AHS129" s="580">
        <v>0.5</v>
      </c>
      <c r="AHT129" s="580">
        <v>0.5</v>
      </c>
      <c r="AHU129" s="580">
        <v>0.5</v>
      </c>
      <c r="AHV129" s="580">
        <v>0.5</v>
      </c>
      <c r="AHW129" s="580">
        <v>0.5</v>
      </c>
      <c r="AHX129" s="580">
        <v>0.5</v>
      </c>
      <c r="AHY129" s="579"/>
      <c r="AHZ129" s="579"/>
      <c r="AIA129" s="586"/>
      <c r="AIB129" s="189"/>
      <c r="AIC129" s="189"/>
      <c r="AID129" s="574">
        <f>SUM(AHB129:AIC129)</f>
      </c>
      <c r="AIE129" s="577"/>
      <c r="AIF129" s="189"/>
      <c r="AIG129" s="578"/>
      <c r="AIH129" s="579"/>
      <c r="AII129" s="579"/>
      <c r="AIJ129" s="580">
        <v>0.5</v>
      </c>
      <c r="AIK129" s="580">
        <v>0.5</v>
      </c>
      <c r="AIL129" s="580">
        <v>0.5</v>
      </c>
      <c r="AIM129" s="581">
        <v>0.5</v>
      </c>
      <c r="AIN129" s="582">
        <v>0.5</v>
      </c>
      <c r="AIO129" s="594">
        <v>0.5</v>
      </c>
      <c r="AIP129" s="581">
        <v>0.5</v>
      </c>
      <c r="AIQ129" s="579"/>
      <c r="AIR129" s="595"/>
      <c r="AIS129" s="585">
        <v>0.5</v>
      </c>
      <c r="AIT129" s="581">
        <v>0.5</v>
      </c>
      <c r="AIU129" s="580">
        <v>0.5</v>
      </c>
      <c r="AIV129" s="580">
        <v>0.5</v>
      </c>
      <c r="AIW129" s="580">
        <v>0.5</v>
      </c>
      <c r="AIX129" s="580">
        <v>0.5</v>
      </c>
      <c r="AIY129" s="580">
        <v>0.5</v>
      </c>
      <c r="AIZ129" s="580">
        <v>0.5</v>
      </c>
      <c r="AJA129" s="580">
        <v>0.5</v>
      </c>
      <c r="AJB129" s="579"/>
      <c r="AJC129" s="579"/>
      <c r="AJD129" s="586"/>
      <c r="AJE129" s="189"/>
      <c r="AJF129" s="189"/>
      <c r="AJG129" s="574">
        <f>SUM(AIE129:AJF129)</f>
      </c>
      <c r="AJH129" s="577"/>
      <c r="AJI129" s="189"/>
      <c r="AJJ129" s="578"/>
      <c r="AJK129" s="579"/>
      <c r="AJL129" s="579"/>
      <c r="AJM129" s="666">
        <v>0.5</v>
      </c>
      <c r="AJN129" s="666">
        <v>0.5</v>
      </c>
      <c r="AJO129" s="666">
        <v>0.5</v>
      </c>
      <c r="AJP129" s="623">
        <v>0.5</v>
      </c>
      <c r="AJQ129" s="624">
        <v>0.5</v>
      </c>
      <c r="AJR129" s="667">
        <v>0.5</v>
      </c>
      <c r="AJS129" s="623">
        <v>0.5</v>
      </c>
      <c r="AJT129" s="579"/>
      <c r="AJU129" s="595"/>
      <c r="AJV129" s="622">
        <v>0.5</v>
      </c>
      <c r="AJW129" s="623">
        <v>0.5</v>
      </c>
      <c r="AJX129" s="666">
        <v>0.5</v>
      </c>
      <c r="AJY129" s="666">
        <v>0.5</v>
      </c>
      <c r="AJZ129" s="666">
        <v>0.5</v>
      </c>
      <c r="AKA129" s="666">
        <v>0.5</v>
      </c>
      <c r="AKB129" s="666">
        <v>0.5</v>
      </c>
      <c r="AKC129" s="666">
        <v>0.5</v>
      </c>
      <c r="AKD129" s="666">
        <v>0.5</v>
      </c>
      <c r="AKE129" s="579"/>
      <c r="AKF129" s="579"/>
      <c r="AKG129" s="586"/>
      <c r="AKH129" s="189"/>
      <c r="AKI129" s="189"/>
      <c r="AKJ129" s="574">
        <f>SUM(AJH129:AKI129)</f>
      </c>
      <c r="AKK129" s="567"/>
      <c r="AKL129" s="168"/>
      <c r="AKM129" s="568"/>
      <c r="AKN129" s="569"/>
      <c r="AKO129" s="569"/>
      <c r="AKP129" s="569"/>
      <c r="AKQ129" s="569"/>
      <c r="AKR129" s="569"/>
      <c r="AKS129" s="569"/>
      <c r="AKT129" s="570"/>
      <c r="AKU129" s="571"/>
      <c r="AKV129" s="569"/>
      <c r="AKW129" s="569"/>
      <c r="AKX129" s="572"/>
      <c r="AKY129" s="568"/>
      <c r="AKZ129" s="569"/>
      <c r="ALA129" s="569"/>
      <c r="ALB129" s="569"/>
      <c r="ALC129" s="569"/>
      <c r="ALD129" s="569"/>
      <c r="ALE129" s="569"/>
      <c r="ALF129" s="569"/>
      <c r="ALG129" s="569"/>
      <c r="ALH129" s="569"/>
      <c r="ALI129" s="569"/>
      <c r="ALJ129" s="570"/>
      <c r="ALK129" s="168"/>
      <c r="ALL129" s="168"/>
      <c r="ALM129" s="574">
        <f>SUM(AKK129:ALL129)</f>
      </c>
      <c r="ALN129" s="567"/>
      <c r="ALO129" s="168"/>
      <c r="ALP129" s="568"/>
      <c r="ALQ129" s="569"/>
      <c r="ALR129" s="569"/>
      <c r="ALS129" s="569"/>
      <c r="ALT129" s="569"/>
      <c r="ALU129" s="569"/>
      <c r="ALV129" s="569"/>
      <c r="ALW129" s="570"/>
      <c r="ALX129" s="571"/>
      <c r="ALY129" s="569"/>
      <c r="ALZ129" s="569"/>
      <c r="AMA129" s="572"/>
      <c r="AMB129" s="568"/>
      <c r="AMC129" s="569"/>
      <c r="AMD129" s="569"/>
      <c r="AME129" s="569"/>
      <c r="AMF129" s="569"/>
      <c r="AMG129" s="569"/>
      <c r="AMH129" s="569"/>
      <c r="AMI129" s="569"/>
      <c r="AMJ129" s="569"/>
      <c r="AMK129" s="569"/>
      <c r="AML129" s="569"/>
      <c r="AMM129" s="570"/>
      <c r="AMN129" s="168"/>
      <c r="AMO129" s="168"/>
      <c r="AMP129" s="574">
        <f>SUM(ALN129:AMO129)</f>
      </c>
      <c r="AMQ129" s="575">
        <f>AFX129+AHA129+AID129+AJG129+AKJ129+ALM129+AMP129</f>
      </c>
      <c r="AMR129" s="576">
        <f>(COUNTIF(AEV129:AMP129,"H")+COUNTIF(AEV129:AMP129,"S")+COUNTIF(AEV129:AMP129,"L")+COUNTIF(AEV129:AMP129,"E")+COUNTIF(AEV129:AMP129,"C"))/2</f>
      </c>
      <c r="AMS129" s="574">
        <f>AMQ129+AMR129</f>
      </c>
      <c r="AMT129" s="4"/>
      <c r="AMU129" s="4"/>
      <c r="AMV129" s="4"/>
      <c r="AMW129" s="4"/>
      <c r="AMX129" s="4"/>
      <c r="AMY129" s="4"/>
      <c r="AMZ129" s="4"/>
      <c r="ANA129" s="4"/>
      <c r="ANB129" s="4"/>
      <c r="ANC129" s="4"/>
      <c r="AND129" s="4"/>
      <c r="ANE129" s="4"/>
      <c r="ANF129" s="4"/>
      <c r="ANG129" s="4"/>
      <c r="ANH129" s="4"/>
      <c r="ANI129" s="4"/>
      <c r="ANJ129" s="4"/>
      <c r="ANK129" s="4"/>
      <c r="ANL129" s="4"/>
      <c r="ANM129" s="4"/>
      <c r="ANN129" s="4"/>
      <c r="ANO129" s="4"/>
      <c r="ANP129" s="4"/>
      <c r="ANQ129" s="4"/>
      <c r="ANR129" s="4"/>
      <c r="ANS129" s="4"/>
      <c r="ANT129" s="4"/>
      <c r="ANU129" s="4"/>
      <c r="ANV129" s="4"/>
      <c r="ANW129" s="4"/>
      <c r="ANX129" s="4"/>
      <c r="ANY129" s="4"/>
      <c r="ANZ129" s="4"/>
      <c r="AOA129" s="4"/>
      <c r="AOB129" s="4"/>
      <c r="AOC129" s="4"/>
      <c r="AOD129" s="4"/>
      <c r="AOE129" s="4"/>
      <c r="AOF129" s="4"/>
      <c r="AOG129" s="4"/>
      <c r="AOH129" s="4"/>
      <c r="AOI129" s="4"/>
      <c r="AOJ129" s="4"/>
      <c r="AOK129" s="4"/>
      <c r="AOL129" s="4"/>
      <c r="AOM129" s="4"/>
      <c r="AON129" s="4"/>
      <c r="AOO129" s="4"/>
      <c r="AOP129" s="4"/>
      <c r="AOQ129" s="4"/>
      <c r="AOR129" s="4"/>
      <c r="AOS129" s="4"/>
      <c r="AOT129" s="4"/>
      <c r="AOU129" s="4"/>
      <c r="AOV129" s="4"/>
      <c r="AOW129" s="4"/>
      <c r="AOX129" s="4"/>
      <c r="AOY129" s="4"/>
      <c r="AOZ129" s="4"/>
      <c r="APA129" s="4"/>
      <c r="APB129" s="4"/>
      <c r="APC129" s="4"/>
      <c r="APD129" s="4"/>
      <c r="APE129" s="4"/>
      <c r="APF129" s="4"/>
      <c r="APG129" s="4"/>
      <c r="APH129" s="4"/>
      <c r="API129" s="4"/>
      <c r="APJ129" s="4"/>
      <c r="APK129" s="4"/>
      <c r="APL129" s="4"/>
      <c r="APM129" s="4"/>
      <c r="APN129" s="4"/>
      <c r="APO129" s="4"/>
      <c r="APP129" s="4"/>
      <c r="APQ129" s="4"/>
      <c r="APR129" s="4"/>
      <c r="APS129" s="4"/>
      <c r="APT129" s="4"/>
      <c r="APU129" s="4"/>
      <c r="APV129" s="4"/>
      <c r="APW129" s="4"/>
      <c r="APX129" s="4"/>
      <c r="APY129" s="4"/>
      <c r="APZ129" s="4"/>
      <c r="AQA129" s="4"/>
      <c r="AQB129" s="4"/>
      <c r="AQC129" s="4"/>
      <c r="AQD129" s="4"/>
      <c r="AQE129" s="4"/>
      <c r="AQF129" s="4"/>
      <c r="AQG129" s="4"/>
      <c r="AQH129" s="4"/>
      <c r="AQI129" s="4"/>
      <c r="AQJ129" s="4"/>
      <c r="AQK129" s="4"/>
      <c r="AQL129" s="4"/>
      <c r="AQM129" s="4"/>
      <c r="AQN129" s="4"/>
      <c r="AQO129" s="4"/>
      <c r="AQP129" s="4"/>
      <c r="AQQ129" s="4"/>
      <c r="AQR129" s="4"/>
      <c r="AQS129" s="4"/>
      <c r="AQT129" s="4"/>
      <c r="AQU129" s="4"/>
      <c r="AQV129" s="4"/>
      <c r="AQW129" s="4"/>
      <c r="AQX129" s="4"/>
      <c r="AQY129" s="4"/>
      <c r="AQZ129" s="4"/>
      <c r="ARA129" s="4"/>
      <c r="ARB129" s="4"/>
      <c r="ARC129" s="4"/>
      <c r="ARD129" s="4"/>
      <c r="ARE129" s="4"/>
      <c r="ARF129" s="4"/>
      <c r="ARG129" s="4"/>
      <c r="ARH129" s="4"/>
      <c r="ARI129" s="4"/>
      <c r="ARJ129" s="4"/>
      <c r="ARK129" s="4"/>
      <c r="ARL129" s="4"/>
      <c r="ARM129" s="4"/>
      <c r="ARN129" s="4"/>
      <c r="ARO129" s="4"/>
      <c r="ARP129" s="4"/>
      <c r="ARQ129" s="4"/>
      <c r="ARR129" s="4"/>
      <c r="ARS129" s="4"/>
      <c r="ART129" s="4"/>
      <c r="ARU129" s="4"/>
      <c r="ARV129" s="4"/>
      <c r="ARW129" s="4"/>
      <c r="ARX129" s="4"/>
      <c r="ARY129" s="4"/>
      <c r="ARZ129" s="4"/>
      <c r="ASA129" s="4"/>
      <c r="ASB129" s="4"/>
      <c r="ASC129" s="4"/>
      <c r="ASD129" s="4"/>
      <c r="ASE129" s="4"/>
      <c r="ASF129" s="4"/>
      <c r="ASG129" s="4"/>
      <c r="ASH129" s="4"/>
      <c r="ASI129" s="4"/>
      <c r="ASJ129" s="4"/>
      <c r="ASK129" s="4"/>
      <c r="ASL129" s="4"/>
      <c r="ASM129" s="4"/>
      <c r="ASN129" s="4"/>
      <c r="ASO129" s="4"/>
      <c r="ASP129" s="4"/>
      <c r="ASQ129" s="4"/>
      <c r="ASR129" s="4"/>
      <c r="ASS129" s="4"/>
      <c r="AST129" s="4"/>
      <c r="ASU129" s="4"/>
    </row>
    <row r="130" ht="15" customHeight="1" spans="1:1191" x14ac:dyDescent="0.25">
      <c r="A130" s="668" t="s">
        <v>48</v>
      </c>
      <c r="B130" s="669" t="s">
        <v>163</v>
      </c>
      <c r="C130" s="598" t="s">
        <v>153</v>
      </c>
      <c r="D130" s="235"/>
      <c r="E130" s="236"/>
      <c r="F130" s="346"/>
      <c r="G130" s="239"/>
      <c r="H130" s="239"/>
      <c r="I130" s="239"/>
      <c r="J130" s="239"/>
      <c r="K130" s="239"/>
      <c r="L130" s="239"/>
      <c r="M130" s="238"/>
      <c r="N130" s="240"/>
      <c r="O130" s="239"/>
      <c r="P130" s="239"/>
      <c r="Q130" s="241"/>
      <c r="R130" s="346"/>
      <c r="S130" s="239"/>
      <c r="T130" s="239"/>
      <c r="U130" s="239"/>
      <c r="V130" s="239"/>
      <c r="W130" s="239"/>
      <c r="X130" s="239"/>
      <c r="Y130" s="239"/>
      <c r="Z130" s="239"/>
      <c r="AA130" s="239"/>
      <c r="AB130" s="239"/>
      <c r="AC130" s="238"/>
      <c r="AD130" s="345"/>
      <c r="AE130" s="237"/>
      <c r="AF130" s="247">
        <f>SUM(D130:AE130)</f>
      </c>
      <c r="AG130" s="235"/>
      <c r="AH130" s="236"/>
      <c r="AI130" s="346"/>
      <c r="AJ130" s="239"/>
      <c r="AK130" s="239"/>
      <c r="AL130" s="239"/>
      <c r="AM130" s="239"/>
      <c r="AN130" s="239"/>
      <c r="AO130" s="239"/>
      <c r="AP130" s="238"/>
      <c r="AQ130" s="240"/>
      <c r="AR130" s="239"/>
      <c r="AS130" s="239"/>
      <c r="AT130" s="241"/>
      <c r="AU130" s="346"/>
      <c r="AV130" s="239"/>
      <c r="AW130" s="239"/>
      <c r="AX130" s="239"/>
      <c r="AY130" s="239"/>
      <c r="AZ130" s="239"/>
      <c r="BA130" s="239"/>
      <c r="BB130" s="239"/>
      <c r="BC130" s="239"/>
      <c r="BD130" s="239"/>
      <c r="BE130" s="239"/>
      <c r="BF130" s="238"/>
      <c r="BG130" s="345"/>
      <c r="BH130" s="237"/>
      <c r="BI130" s="247">
        <f>SUM(AG130:BH130)</f>
      </c>
      <c r="BJ130" s="235"/>
      <c r="BK130" s="236"/>
      <c r="BL130" s="346"/>
      <c r="BM130" s="239"/>
      <c r="BN130" s="239"/>
      <c r="BO130" s="239"/>
      <c r="BP130" s="239"/>
      <c r="BQ130" s="239"/>
      <c r="BR130" s="239"/>
      <c r="BS130" s="238"/>
      <c r="BT130" s="240"/>
      <c r="BU130" s="239"/>
      <c r="BV130" s="239"/>
      <c r="BW130" s="241"/>
      <c r="BX130" s="346"/>
      <c r="BY130" s="239"/>
      <c r="BZ130" s="239"/>
      <c r="CA130" s="239"/>
      <c r="CB130" s="239"/>
      <c r="CC130" s="239"/>
      <c r="CD130" s="239"/>
      <c r="CE130" s="239"/>
      <c r="CF130" s="239"/>
      <c r="CG130" s="239"/>
      <c r="CH130" s="239"/>
      <c r="CI130" s="238"/>
      <c r="CJ130" s="345"/>
      <c r="CK130" s="237"/>
      <c r="CL130" s="247">
        <f>SUM(BJ130:CK130)</f>
      </c>
      <c r="CM130" s="235"/>
      <c r="CN130" s="236"/>
      <c r="CO130" s="346"/>
      <c r="CP130" s="239"/>
      <c r="CQ130" s="239"/>
      <c r="CR130" s="239"/>
      <c r="CS130" s="239"/>
      <c r="CT130" s="239"/>
      <c r="CU130" s="239"/>
      <c r="CV130" s="238"/>
      <c r="CW130" s="240"/>
      <c r="CX130" s="239"/>
      <c r="CY130" s="239"/>
      <c r="CZ130" s="241"/>
      <c r="DA130" s="346"/>
      <c r="DB130" s="239"/>
      <c r="DC130" s="239"/>
      <c r="DD130" s="239"/>
      <c r="DE130" s="239"/>
      <c r="DF130" s="239"/>
      <c r="DG130" s="239"/>
      <c r="DH130" s="239"/>
      <c r="DI130" s="239"/>
      <c r="DJ130" s="239"/>
      <c r="DK130" s="239"/>
      <c r="DL130" s="238"/>
      <c r="DM130" s="345"/>
      <c r="DN130" s="237"/>
      <c r="DO130" s="244">
        <f>SUM(CM130:DN130)</f>
      </c>
      <c r="DP130" s="235"/>
      <c r="DQ130" s="236"/>
      <c r="DR130" s="346"/>
      <c r="DS130" s="239"/>
      <c r="DT130" s="239"/>
      <c r="DU130" s="239"/>
      <c r="DV130" s="239"/>
      <c r="DW130" s="239"/>
      <c r="DX130" s="239"/>
      <c r="DY130" s="238"/>
      <c r="DZ130" s="240"/>
      <c r="EA130" s="239"/>
      <c r="EB130" s="239"/>
      <c r="EC130" s="241"/>
      <c r="ED130" s="346"/>
      <c r="EE130" s="239"/>
      <c r="EF130" s="239"/>
      <c r="EG130" s="239"/>
      <c r="EH130" s="239"/>
      <c r="EI130" s="239"/>
      <c r="EJ130" s="239"/>
      <c r="EK130" s="239"/>
      <c r="EL130" s="239"/>
      <c r="EM130" s="239"/>
      <c r="EN130" s="239"/>
      <c r="EO130" s="238"/>
      <c r="EP130" s="345"/>
      <c r="EQ130" s="237"/>
      <c r="ER130" s="244">
        <f>SUM(DP130:EQ130)</f>
      </c>
      <c r="ES130" s="235"/>
      <c r="ET130" s="236"/>
      <c r="EU130" s="346"/>
      <c r="EV130" s="239"/>
      <c r="EW130" s="239"/>
      <c r="EX130" s="239"/>
      <c r="EY130" s="239"/>
      <c r="EZ130" s="239"/>
      <c r="FA130" s="239"/>
      <c r="FB130" s="238"/>
      <c r="FC130" s="240"/>
      <c r="FD130" s="239"/>
      <c r="FE130" s="239"/>
      <c r="FF130" s="241"/>
      <c r="FG130" s="346"/>
      <c r="FH130" s="239"/>
      <c r="FI130" s="239"/>
      <c r="FJ130" s="239"/>
      <c r="FK130" s="239"/>
      <c r="FL130" s="239"/>
      <c r="FM130" s="239"/>
      <c r="FN130" s="239"/>
      <c r="FO130" s="239"/>
      <c r="FP130" s="239"/>
      <c r="FQ130" s="239"/>
      <c r="FR130" s="238"/>
      <c r="FS130" s="345"/>
      <c r="FT130" s="237"/>
      <c r="FU130" s="244">
        <f>SUM(ES130:FT130)</f>
      </c>
      <c r="FV130" s="235"/>
      <c r="FW130" s="236"/>
      <c r="FX130" s="346"/>
      <c r="FY130" s="239"/>
      <c r="FZ130" s="239"/>
      <c r="GA130" s="239"/>
      <c r="GB130" s="239"/>
      <c r="GC130" s="239"/>
      <c r="GD130" s="239"/>
      <c r="GE130" s="238"/>
      <c r="GF130" s="240"/>
      <c r="GG130" s="239"/>
      <c r="GH130" s="239"/>
      <c r="GI130" s="241"/>
      <c r="GJ130" s="346"/>
      <c r="GK130" s="239"/>
      <c r="GL130" s="239"/>
      <c r="GM130" s="239"/>
      <c r="GN130" s="239"/>
      <c r="GO130" s="239"/>
      <c r="GP130" s="239"/>
      <c r="GQ130" s="239"/>
      <c r="GR130" s="239"/>
      <c r="GS130" s="239"/>
      <c r="GT130" s="239"/>
      <c r="GU130" s="238"/>
      <c r="GV130" s="345"/>
      <c r="GW130" s="237"/>
      <c r="GX130" s="244">
        <f>SUM(FV130:GW130)</f>
      </c>
      <c r="GY130" s="264">
        <f>AF130+BI130+CL130+DO130+ER130+FU130+GX130</f>
      </c>
      <c r="GZ130" s="347">
        <f>(COUNTIF(D130:GX130,"H")+COUNTIF(D130:GX130,"S")+COUNTIF(D130:GX130,"L")+COUNTIF(D130:GX130,"E")+COUNTIF(D130:GX130,"C"))/2</f>
      </c>
      <c r="HA130" s="244">
        <f>GY130+GZ130</f>
      </c>
      <c r="HB130" s="248"/>
      <c r="HC130" s="249"/>
      <c r="HD130" s="350"/>
      <c r="HE130" s="261">
        <v>0.5</v>
      </c>
      <c r="HF130" s="261">
        <v>0.5</v>
      </c>
      <c r="HG130" s="261">
        <v>0.5</v>
      </c>
      <c r="HH130" s="261">
        <v>0.5</v>
      </c>
      <c r="HI130" s="261">
        <v>0.5</v>
      </c>
      <c r="HJ130" s="261">
        <v>0.5</v>
      </c>
      <c r="HK130" s="262">
        <v>0.5</v>
      </c>
      <c r="HL130" s="263">
        <v>0.5</v>
      </c>
      <c r="HM130" s="261">
        <v>0.5</v>
      </c>
      <c r="HN130" s="356"/>
      <c r="HO130" s="357"/>
      <c r="HP130" s="351">
        <v>0.5</v>
      </c>
      <c r="HQ130" s="261">
        <v>0.5</v>
      </c>
      <c r="HR130" s="261">
        <v>0.5</v>
      </c>
      <c r="HS130" s="261">
        <v>0.5</v>
      </c>
      <c r="HT130" s="261">
        <v>0.5</v>
      </c>
      <c r="HU130" s="261">
        <v>0.5</v>
      </c>
      <c r="HV130" s="261">
        <v>0.5</v>
      </c>
      <c r="HW130" s="261">
        <v>0.5</v>
      </c>
      <c r="HX130" s="261">
        <v>0.5</v>
      </c>
      <c r="HY130" s="256"/>
      <c r="HZ130" s="256"/>
      <c r="IA130" s="251"/>
      <c r="IB130" s="349"/>
      <c r="IC130" s="250"/>
      <c r="ID130" s="247">
        <f>SUM(HB130:IC130)</f>
      </c>
      <c r="IE130" s="248"/>
      <c r="IF130" s="249"/>
      <c r="IG130" s="350"/>
      <c r="IH130" s="253">
        <v>0.5</v>
      </c>
      <c r="II130" s="253">
        <v>0.5</v>
      </c>
      <c r="IJ130" s="650">
        <v>0.5</v>
      </c>
      <c r="IK130" s="650">
        <v>0.5</v>
      </c>
      <c r="IL130" s="650">
        <v>0.5</v>
      </c>
      <c r="IM130" s="253">
        <v>0.5</v>
      </c>
      <c r="IN130" s="254">
        <v>0.5</v>
      </c>
      <c r="IO130" s="255">
        <v>0.5</v>
      </c>
      <c r="IP130" s="253">
        <v>0.5</v>
      </c>
      <c r="IQ130" s="256"/>
      <c r="IR130" s="257"/>
      <c r="IS130" s="651">
        <v>0.5</v>
      </c>
      <c r="IT130" s="253">
        <v>0.5</v>
      </c>
      <c r="IU130" s="650">
        <v>0.5</v>
      </c>
      <c r="IV130" s="650">
        <v>0.5</v>
      </c>
      <c r="IW130" s="650">
        <v>0.5</v>
      </c>
      <c r="IX130" s="650">
        <v>0.5</v>
      </c>
      <c r="IY130" s="650">
        <v>0.5</v>
      </c>
      <c r="IZ130" s="650">
        <v>0.5</v>
      </c>
      <c r="JA130" s="650">
        <v>0.5</v>
      </c>
      <c r="JB130" s="256"/>
      <c r="JC130" s="256"/>
      <c r="JD130" s="251"/>
      <c r="JE130" s="349"/>
      <c r="JF130" s="250"/>
      <c r="JG130" s="247">
        <f>SUM(IE130:JF130)</f>
      </c>
      <c r="JH130" s="248"/>
      <c r="JI130" s="249"/>
      <c r="JJ130" s="350"/>
      <c r="JK130" s="261">
        <v>0.5</v>
      </c>
      <c r="JL130" s="261">
        <v>0.5</v>
      </c>
      <c r="JM130" s="261">
        <v>0.5</v>
      </c>
      <c r="JN130" s="261">
        <v>0.5</v>
      </c>
      <c r="JO130" s="261">
        <v>0.5</v>
      </c>
      <c r="JP130" s="261">
        <v>0.5</v>
      </c>
      <c r="JQ130" s="262">
        <v>0.5</v>
      </c>
      <c r="JR130" s="263">
        <v>0.5</v>
      </c>
      <c r="JS130" s="261">
        <v>0.5</v>
      </c>
      <c r="JT130" s="356"/>
      <c r="JU130" s="357"/>
      <c r="JV130" s="351">
        <v>0.5</v>
      </c>
      <c r="JW130" s="261">
        <v>0.5</v>
      </c>
      <c r="JX130" s="261">
        <v>0.5</v>
      </c>
      <c r="JY130" s="261">
        <v>0.5</v>
      </c>
      <c r="JZ130" s="261">
        <v>0.5</v>
      </c>
      <c r="KA130" s="261">
        <v>0.5</v>
      </c>
      <c r="KB130" s="261">
        <v>0.5</v>
      </c>
      <c r="KC130" s="261">
        <v>0.5</v>
      </c>
      <c r="KD130" s="261">
        <v>0.5</v>
      </c>
      <c r="KE130" s="256"/>
      <c r="KF130" s="256"/>
      <c r="KG130" s="251"/>
      <c r="KH130" s="349"/>
      <c r="KI130" s="250"/>
      <c r="KJ130" s="247">
        <f>SUM(JH130:KI130)</f>
      </c>
      <c r="KK130" s="248"/>
      <c r="KL130" s="249"/>
      <c r="KM130" s="350"/>
      <c r="KN130" s="261">
        <v>0.5</v>
      </c>
      <c r="KO130" s="261">
        <v>0.5</v>
      </c>
      <c r="KP130" s="261">
        <v>0.5</v>
      </c>
      <c r="KQ130" s="261">
        <v>0.5</v>
      </c>
      <c r="KR130" s="261">
        <v>0.5</v>
      </c>
      <c r="KS130" s="261">
        <v>0.5</v>
      </c>
      <c r="KT130" s="262">
        <v>0.5</v>
      </c>
      <c r="KU130" s="263">
        <v>0.5</v>
      </c>
      <c r="KV130" s="261">
        <v>0.5</v>
      </c>
      <c r="KW130" s="356"/>
      <c r="KX130" s="357"/>
      <c r="KY130" s="351">
        <v>0.5</v>
      </c>
      <c r="KZ130" s="261">
        <v>0.5</v>
      </c>
      <c r="LA130" s="261">
        <v>0.5</v>
      </c>
      <c r="LB130" s="261">
        <v>0.5</v>
      </c>
      <c r="LC130" s="261">
        <v>0.5</v>
      </c>
      <c r="LD130" s="261">
        <v>0.5</v>
      </c>
      <c r="LE130" s="261">
        <v>0.5</v>
      </c>
      <c r="LF130" s="261">
        <v>0.5</v>
      </c>
      <c r="LG130" s="261">
        <v>0.5</v>
      </c>
      <c r="LH130" s="256"/>
      <c r="LI130" s="256"/>
      <c r="LJ130" s="251"/>
      <c r="LK130" s="349"/>
      <c r="LL130" s="250"/>
      <c r="LM130" s="244">
        <f>SUM(KK130:LL130)</f>
      </c>
      <c r="LN130" s="248"/>
      <c r="LO130" s="249"/>
      <c r="LP130" s="350"/>
      <c r="LQ130" s="256"/>
      <c r="LR130" s="256"/>
      <c r="LS130" s="253">
        <v>0.5</v>
      </c>
      <c r="LT130" s="253">
        <v>0.5</v>
      </c>
      <c r="LU130" s="253">
        <v>0.5</v>
      </c>
      <c r="LV130" s="253">
        <v>0.5</v>
      </c>
      <c r="LW130" s="254">
        <v>0.5</v>
      </c>
      <c r="LX130" s="255">
        <v>0.5</v>
      </c>
      <c r="LY130" s="253">
        <v>0.5</v>
      </c>
      <c r="LZ130" s="253">
        <v>0.5</v>
      </c>
      <c r="MA130" s="257"/>
      <c r="MB130" s="350"/>
      <c r="MC130" s="256"/>
      <c r="MD130" s="256"/>
      <c r="ME130" s="256"/>
      <c r="MF130" s="256"/>
      <c r="MG130" s="256"/>
      <c r="MH130" s="256"/>
      <c r="MI130" s="256"/>
      <c r="MJ130" s="256"/>
      <c r="MK130" s="256"/>
      <c r="ML130" s="256"/>
      <c r="MM130" s="251"/>
      <c r="MN130" s="349"/>
      <c r="MO130" s="250"/>
      <c r="MP130" s="244">
        <f>SUM(LN130:MO130)</f>
      </c>
      <c r="MQ130" s="235"/>
      <c r="MR130" s="236"/>
      <c r="MS130" s="346"/>
      <c r="MT130" s="239"/>
      <c r="MU130" s="239"/>
      <c r="MV130" s="239"/>
      <c r="MW130" s="239"/>
      <c r="MX130" s="239"/>
      <c r="MY130" s="239"/>
      <c r="MZ130" s="238"/>
      <c r="NA130" s="240"/>
      <c r="NB130" s="239"/>
      <c r="NC130" s="239"/>
      <c r="ND130" s="241"/>
      <c r="NE130" s="346"/>
      <c r="NF130" s="239"/>
      <c r="NG130" s="239"/>
      <c r="NH130" s="239"/>
      <c r="NI130" s="239"/>
      <c r="NJ130" s="239"/>
      <c r="NK130" s="239"/>
      <c r="NL130" s="239"/>
      <c r="NM130" s="239"/>
      <c r="NN130" s="239"/>
      <c r="NO130" s="239"/>
      <c r="NP130" s="238"/>
      <c r="NQ130" s="345"/>
      <c r="NR130" s="237"/>
      <c r="NS130" s="244">
        <f>SUM(MQ130:NR130)</f>
      </c>
      <c r="NT130" s="235"/>
      <c r="NU130" s="236"/>
      <c r="NV130" s="346"/>
      <c r="NW130" s="239"/>
      <c r="NX130" s="239"/>
      <c r="NY130" s="239"/>
      <c r="NZ130" s="239"/>
      <c r="OA130" s="239"/>
      <c r="OB130" s="239"/>
      <c r="OC130" s="238"/>
      <c r="OD130" s="240"/>
      <c r="OE130" s="239"/>
      <c r="OF130" s="239"/>
      <c r="OG130" s="241"/>
      <c r="OH130" s="346"/>
      <c r="OI130" s="239"/>
      <c r="OJ130" s="239"/>
      <c r="OK130" s="239"/>
      <c r="OL130" s="239"/>
      <c r="OM130" s="239"/>
      <c r="ON130" s="239"/>
      <c r="OO130" s="239"/>
      <c r="OP130" s="239"/>
      <c r="OQ130" s="239"/>
      <c r="OR130" s="239"/>
      <c r="OS130" s="238"/>
      <c r="OT130" s="345"/>
      <c r="OU130" s="237"/>
      <c r="OV130" s="244">
        <f>SUM(NT130:OU130)</f>
      </c>
      <c r="OW130" s="264">
        <f>ID130+JG130+KJ130+LM130+MP130+NS130+OV130</f>
      </c>
      <c r="OX130" s="347">
        <f>(COUNTIF(HB130:OV130,"H")+COUNTIF(HB130:OV130,"S")+COUNTIF(HB130:OV130,"L")+COUNTIF(HB130:OV130,"E")+COUNTIF(HB130:OV130,"C"))/2</f>
      </c>
      <c r="OY130" s="244">
        <f>OW130+OX130</f>
      </c>
      <c r="OZ130" s="248"/>
      <c r="PA130" s="249"/>
      <c r="PB130" s="350"/>
      <c r="PC130" s="256"/>
      <c r="PD130" s="256"/>
      <c r="PE130" s="599">
        <v>0.5</v>
      </c>
      <c r="PF130" s="599">
        <v>0.5</v>
      </c>
      <c r="PG130" s="599">
        <v>0.5</v>
      </c>
      <c r="PH130" s="261">
        <v>0.5</v>
      </c>
      <c r="PI130" s="262">
        <v>0.5</v>
      </c>
      <c r="PJ130" s="263">
        <v>0.5</v>
      </c>
      <c r="PK130" s="261">
        <v>0.5</v>
      </c>
      <c r="PL130" s="256"/>
      <c r="PM130" s="257"/>
      <c r="PN130" s="351">
        <v>0.5</v>
      </c>
      <c r="PO130" s="261">
        <v>0.5</v>
      </c>
      <c r="PP130" s="599">
        <v>0.5</v>
      </c>
      <c r="PQ130" s="599">
        <v>0.5</v>
      </c>
      <c r="PR130" s="599">
        <v>0.5</v>
      </c>
      <c r="PS130" s="599">
        <v>0.5</v>
      </c>
      <c r="PT130" s="599">
        <v>0.5</v>
      </c>
      <c r="PU130" s="599">
        <v>0.5</v>
      </c>
      <c r="PV130" s="599">
        <v>0.5</v>
      </c>
      <c r="PW130" s="256"/>
      <c r="PX130" s="256"/>
      <c r="PY130" s="251"/>
      <c r="PZ130" s="349"/>
      <c r="QA130" s="250"/>
      <c r="QB130" s="247">
        <f>SUM(OZ130:QA130)</f>
      </c>
      <c r="QC130" s="248"/>
      <c r="QD130" s="249"/>
      <c r="QE130" s="350"/>
      <c r="QF130" s="256"/>
      <c r="QG130" s="256"/>
      <c r="QH130" s="650">
        <v>0.5</v>
      </c>
      <c r="QI130" s="650">
        <v>0.5</v>
      </c>
      <c r="QJ130" s="650">
        <v>0.5</v>
      </c>
      <c r="QK130" s="253">
        <v>0.5</v>
      </c>
      <c r="QL130" s="254">
        <v>0.5</v>
      </c>
      <c r="QM130" s="255">
        <v>0.5</v>
      </c>
      <c r="QN130" s="253">
        <v>0.5</v>
      </c>
      <c r="QO130" s="256"/>
      <c r="QP130" s="257"/>
      <c r="QQ130" s="651">
        <v>0.5</v>
      </c>
      <c r="QR130" s="253">
        <v>0.5</v>
      </c>
      <c r="QS130" s="650">
        <v>0.5</v>
      </c>
      <c r="QT130" s="650">
        <v>0.5</v>
      </c>
      <c r="QU130" s="650">
        <v>0.5</v>
      </c>
      <c r="QV130" s="650">
        <v>0.5</v>
      </c>
      <c r="QW130" s="650">
        <v>0.5</v>
      </c>
      <c r="QX130" s="650">
        <v>0.5</v>
      </c>
      <c r="QY130" s="650">
        <v>0.5</v>
      </c>
      <c r="QZ130" s="256"/>
      <c r="RA130" s="256"/>
      <c r="RB130" s="251"/>
      <c r="RC130" s="349"/>
      <c r="RD130" s="250"/>
      <c r="RE130" s="247">
        <f>SUM(QC130:RD130)</f>
      </c>
      <c r="RF130" s="248"/>
      <c r="RG130" s="249"/>
      <c r="RH130" s="350"/>
      <c r="RI130" s="256"/>
      <c r="RJ130" s="256"/>
      <c r="RK130" s="599">
        <v>0.5</v>
      </c>
      <c r="RL130" s="599">
        <v>0.5</v>
      </c>
      <c r="RM130" s="599">
        <v>0.5</v>
      </c>
      <c r="RN130" s="261">
        <v>0.5</v>
      </c>
      <c r="RO130" s="262">
        <v>0.5</v>
      </c>
      <c r="RP130" s="263">
        <v>0.5</v>
      </c>
      <c r="RQ130" s="261">
        <v>0.5</v>
      </c>
      <c r="RR130" s="256"/>
      <c r="RS130" s="257"/>
      <c r="RT130" s="351">
        <v>0.5</v>
      </c>
      <c r="RU130" s="261">
        <v>0.5</v>
      </c>
      <c r="RV130" s="599">
        <v>0.5</v>
      </c>
      <c r="RW130" s="599">
        <v>0.5</v>
      </c>
      <c r="RX130" s="599">
        <v>0.5</v>
      </c>
      <c r="RY130" s="599">
        <v>0.5</v>
      </c>
      <c r="RZ130" s="599">
        <v>0.5</v>
      </c>
      <c r="SA130" s="599">
        <v>0.5</v>
      </c>
      <c r="SB130" s="599">
        <v>0.5</v>
      </c>
      <c r="SC130" s="256"/>
      <c r="SD130" s="256"/>
      <c r="SE130" s="251"/>
      <c r="SF130" s="349"/>
      <c r="SG130" s="250"/>
      <c r="SH130" s="247">
        <f>SUM(RF130:SG130)</f>
      </c>
      <c r="SI130" s="248"/>
      <c r="SJ130" s="249"/>
      <c r="SK130" s="350"/>
      <c r="SL130" s="261">
        <v>0.5</v>
      </c>
      <c r="SM130" s="261">
        <v>0.5</v>
      </c>
      <c r="SN130" s="261">
        <v>0.5</v>
      </c>
      <c r="SO130" s="261">
        <v>0.5</v>
      </c>
      <c r="SP130" s="261">
        <v>0.5</v>
      </c>
      <c r="SQ130" s="261">
        <v>0.5</v>
      </c>
      <c r="SR130" s="262">
        <v>0.5</v>
      </c>
      <c r="SS130" s="263">
        <v>0.5</v>
      </c>
      <c r="ST130" s="261">
        <v>0.5</v>
      </c>
      <c r="SU130" s="356"/>
      <c r="SV130" s="357"/>
      <c r="SW130" s="351">
        <v>0.5</v>
      </c>
      <c r="SX130" s="261">
        <v>0.5</v>
      </c>
      <c r="SY130" s="261">
        <v>0.5</v>
      </c>
      <c r="SZ130" s="261">
        <v>0.5</v>
      </c>
      <c r="TA130" s="261">
        <v>0.5</v>
      </c>
      <c r="TB130" s="261">
        <v>0.5</v>
      </c>
      <c r="TC130" s="261">
        <v>0.5</v>
      </c>
      <c r="TD130" s="261">
        <v>0.5</v>
      </c>
      <c r="TE130" s="261">
        <v>0.5</v>
      </c>
      <c r="TF130" s="256"/>
      <c r="TG130" s="256"/>
      <c r="TH130" s="251"/>
      <c r="TI130" s="349"/>
      <c r="TJ130" s="250"/>
      <c r="TK130" s="244">
        <f>SUM(SI130:TJ130)</f>
      </c>
      <c r="TL130" s="248"/>
      <c r="TM130" s="249"/>
      <c r="TN130" s="350"/>
      <c r="TO130" s="256"/>
      <c r="TP130" s="256"/>
      <c r="TQ130" s="253">
        <v>0.5</v>
      </c>
      <c r="TR130" s="253">
        <v>0.5</v>
      </c>
      <c r="TS130" s="253">
        <v>0.5</v>
      </c>
      <c r="TT130" s="253">
        <v>0.5</v>
      </c>
      <c r="TU130" s="254">
        <v>0.5</v>
      </c>
      <c r="TV130" s="255">
        <v>0.5</v>
      </c>
      <c r="TW130" s="253">
        <v>0.5</v>
      </c>
      <c r="TX130" s="253">
        <v>0.5</v>
      </c>
      <c r="TY130" s="257"/>
      <c r="TZ130" s="350"/>
      <c r="UA130" s="256"/>
      <c r="UB130" s="256"/>
      <c r="UC130" s="256"/>
      <c r="UD130" s="256"/>
      <c r="UE130" s="256"/>
      <c r="UF130" s="256"/>
      <c r="UG130" s="256"/>
      <c r="UH130" s="256"/>
      <c r="UI130" s="256"/>
      <c r="UJ130" s="256"/>
      <c r="UK130" s="251"/>
      <c r="UL130" s="349"/>
      <c r="UM130" s="250"/>
      <c r="UN130" s="244">
        <f>SUM(TL130:UM130)</f>
      </c>
      <c r="UO130" s="235"/>
      <c r="UP130" s="236"/>
      <c r="UQ130" s="346"/>
      <c r="UR130" s="239"/>
      <c r="US130" s="239"/>
      <c r="UT130" s="239"/>
      <c r="UU130" s="239"/>
      <c r="UV130" s="239"/>
      <c r="UW130" s="239"/>
      <c r="UX130" s="238"/>
      <c r="UY130" s="240"/>
      <c r="UZ130" s="239"/>
      <c r="VA130" s="239"/>
      <c r="VB130" s="241"/>
      <c r="VC130" s="346"/>
      <c r="VD130" s="239"/>
      <c r="VE130" s="239"/>
      <c r="VF130" s="239"/>
      <c r="VG130" s="239"/>
      <c r="VH130" s="239"/>
      <c r="VI130" s="239"/>
      <c r="VJ130" s="239"/>
      <c r="VK130" s="239"/>
      <c r="VL130" s="239"/>
      <c r="VM130" s="239"/>
      <c r="VN130" s="238"/>
      <c r="VO130" s="345"/>
      <c r="VP130" s="237"/>
      <c r="VQ130" s="244">
        <f>SUM(UO130:VP130)</f>
      </c>
      <c r="VR130" s="235"/>
      <c r="VS130" s="236"/>
      <c r="VT130" s="346"/>
      <c r="VU130" s="239"/>
      <c r="VV130" s="239"/>
      <c r="VW130" s="239"/>
      <c r="VX130" s="239"/>
      <c r="VY130" s="239"/>
      <c r="VZ130" s="239"/>
      <c r="WA130" s="238"/>
      <c r="WB130" s="240"/>
      <c r="WC130" s="239"/>
      <c r="WD130" s="239"/>
      <c r="WE130" s="241"/>
      <c r="WF130" s="346"/>
      <c r="WG130" s="239"/>
      <c r="WH130" s="239"/>
      <c r="WI130" s="239"/>
      <c r="WJ130" s="239"/>
      <c r="WK130" s="239"/>
      <c r="WL130" s="239"/>
      <c r="WM130" s="239"/>
      <c r="WN130" s="239"/>
      <c r="WO130" s="239"/>
      <c r="WP130" s="239"/>
      <c r="WQ130" s="238"/>
      <c r="WR130" s="345"/>
      <c r="WS130" s="237"/>
      <c r="WT130" s="244">
        <f>SUM(VR130:WS130)</f>
      </c>
      <c r="WU130" s="245">
        <f>QB130+RE130+SH130+TK130+UN130+VQ130+WT130</f>
      </c>
      <c r="WV130" s="347">
        <f>(COUNTIF(OZ130:WT130,"H")+COUNTIF(OZ130:WT130,"S")+COUNTIF(OZ130:WT130,"L")+COUNTIF(OZ130:WT130,"E")+COUNTIF(OZ130:WT130,"C"))/2</f>
      </c>
      <c r="WW130" s="247">
        <f>WU130+WV130</f>
      </c>
      <c r="WX130" s="248"/>
      <c r="WY130" s="249"/>
      <c r="WZ130" s="350"/>
      <c r="XA130" s="261">
        <v>0.5</v>
      </c>
      <c r="XB130" s="261">
        <v>0.5</v>
      </c>
      <c r="XC130" s="261">
        <v>0.5</v>
      </c>
      <c r="XD130" s="261">
        <v>0.5</v>
      </c>
      <c r="XE130" s="261">
        <v>0.5</v>
      </c>
      <c r="XF130" s="261">
        <v>0.5</v>
      </c>
      <c r="XG130" s="262">
        <v>0.5</v>
      </c>
      <c r="XH130" s="263">
        <v>0.5</v>
      </c>
      <c r="XI130" s="261">
        <v>0.5</v>
      </c>
      <c r="XJ130" s="356"/>
      <c r="XK130" s="357"/>
      <c r="XL130" s="351">
        <v>0.5</v>
      </c>
      <c r="XM130" s="261">
        <v>0.5</v>
      </c>
      <c r="XN130" s="261">
        <v>0.5</v>
      </c>
      <c r="XO130" s="261">
        <v>0.5</v>
      </c>
      <c r="XP130" s="261">
        <v>0.5</v>
      </c>
      <c r="XQ130" s="261">
        <v>0.5</v>
      </c>
      <c r="XR130" s="261">
        <v>0.5</v>
      </c>
      <c r="XS130" s="261">
        <v>0.5</v>
      </c>
      <c r="XT130" s="261">
        <v>0.5</v>
      </c>
      <c r="XU130" s="256"/>
      <c r="XV130" s="256"/>
      <c r="XW130" s="251"/>
      <c r="XX130" s="349"/>
      <c r="XY130" s="250"/>
      <c r="XZ130" s="247">
        <f>SUM(WX130:XY130)</f>
      </c>
      <c r="YA130" s="248"/>
      <c r="YB130" s="249"/>
      <c r="YC130" s="350"/>
      <c r="YD130" s="253">
        <v>0.5</v>
      </c>
      <c r="YE130" s="253">
        <v>0.5</v>
      </c>
      <c r="YF130" s="650">
        <v>0.5</v>
      </c>
      <c r="YG130" s="650">
        <v>0.5</v>
      </c>
      <c r="YH130" s="650">
        <v>0.5</v>
      </c>
      <c r="YI130" s="253">
        <v>0.5</v>
      </c>
      <c r="YJ130" s="254">
        <v>0.5</v>
      </c>
      <c r="YK130" s="255">
        <v>0.5</v>
      </c>
      <c r="YL130" s="253">
        <v>0.5</v>
      </c>
      <c r="YM130" s="256"/>
      <c r="YN130" s="257"/>
      <c r="YO130" s="651">
        <v>0.5</v>
      </c>
      <c r="YP130" s="253">
        <v>0.5</v>
      </c>
      <c r="YQ130" s="650">
        <v>0.5</v>
      </c>
      <c r="YR130" s="650">
        <v>0.5</v>
      </c>
      <c r="YS130" s="650">
        <v>0.5</v>
      </c>
      <c r="YT130" s="650">
        <v>0.5</v>
      </c>
      <c r="YU130" s="650">
        <v>0.5</v>
      </c>
      <c r="YV130" s="650">
        <v>0.5</v>
      </c>
      <c r="YW130" s="650">
        <v>0.5</v>
      </c>
      <c r="YX130" s="256"/>
      <c r="YY130" s="256"/>
      <c r="YZ130" s="251"/>
      <c r="ZA130" s="349"/>
      <c r="ZB130" s="250"/>
      <c r="ZC130" s="247">
        <f>SUM(YA130:ZB130)</f>
      </c>
      <c r="ZD130" s="248"/>
      <c r="ZE130" s="249"/>
      <c r="ZF130" s="350"/>
      <c r="ZG130" s="261">
        <v>0.5</v>
      </c>
      <c r="ZH130" s="261">
        <v>0.5</v>
      </c>
      <c r="ZI130" s="261">
        <v>0.5</v>
      </c>
      <c r="ZJ130" s="261">
        <v>0.5</v>
      </c>
      <c r="ZK130" s="261">
        <v>0.5</v>
      </c>
      <c r="ZL130" s="261">
        <v>0.5</v>
      </c>
      <c r="ZM130" s="262">
        <v>0.5</v>
      </c>
      <c r="ZN130" s="263">
        <v>0.5</v>
      </c>
      <c r="ZO130" s="261">
        <v>0.5</v>
      </c>
      <c r="ZP130" s="356"/>
      <c r="ZQ130" s="357"/>
      <c r="ZR130" s="351">
        <v>0.5</v>
      </c>
      <c r="ZS130" s="261">
        <v>0.5</v>
      </c>
      <c r="ZT130" s="261">
        <v>0.5</v>
      </c>
      <c r="ZU130" s="261">
        <v>0.5</v>
      </c>
      <c r="ZV130" s="261">
        <v>0.5</v>
      </c>
      <c r="ZW130" s="261">
        <v>0.5</v>
      </c>
      <c r="ZX130" s="261">
        <v>0.5</v>
      </c>
      <c r="ZY130" s="261">
        <v>0.5</v>
      </c>
      <c r="ZZ130" s="261">
        <v>0.5</v>
      </c>
      <c r="AAA130" s="256"/>
      <c r="AAB130" s="256"/>
      <c r="AAC130" s="251"/>
      <c r="AAD130" s="349"/>
      <c r="AAE130" s="250"/>
      <c r="AAF130" s="247">
        <f>SUM(ZD130:AAE130)</f>
      </c>
      <c r="AAG130" s="248"/>
      <c r="AAH130" s="249"/>
      <c r="AAI130" s="350"/>
      <c r="AAJ130" s="261">
        <v>0.5</v>
      </c>
      <c r="AAK130" s="261">
        <v>0.5</v>
      </c>
      <c r="AAL130" s="261">
        <v>0.5</v>
      </c>
      <c r="AAM130" s="261">
        <v>0.5</v>
      </c>
      <c r="AAN130" s="261">
        <v>0.5</v>
      </c>
      <c r="AAO130" s="261">
        <v>0.5</v>
      </c>
      <c r="AAP130" s="262">
        <v>0.5</v>
      </c>
      <c r="AAQ130" s="263">
        <v>0.5</v>
      </c>
      <c r="AAR130" s="261">
        <v>0.5</v>
      </c>
      <c r="AAS130" s="356"/>
      <c r="AAT130" s="357"/>
      <c r="AAU130" s="351">
        <v>0.5</v>
      </c>
      <c r="AAV130" s="261">
        <v>0.5</v>
      </c>
      <c r="AAW130" s="261">
        <v>0.5</v>
      </c>
      <c r="AAX130" s="261">
        <v>0.5</v>
      </c>
      <c r="AAY130" s="261">
        <v>0.5</v>
      </c>
      <c r="AAZ130" s="261">
        <v>0.5</v>
      </c>
      <c r="ABA130" s="261">
        <v>0.5</v>
      </c>
      <c r="ABB130" s="261">
        <v>0.5</v>
      </c>
      <c r="ABC130" s="261">
        <v>0.5</v>
      </c>
      <c r="ABD130" s="256"/>
      <c r="ABE130" s="256"/>
      <c r="ABF130" s="251"/>
      <c r="ABG130" s="349"/>
      <c r="ABH130" s="250"/>
      <c r="ABI130" s="244">
        <f>SUM(AAG130:ABH130)</f>
      </c>
      <c r="ABJ130" s="248"/>
      <c r="ABK130" s="249"/>
      <c r="ABL130" s="350"/>
      <c r="ABM130" s="256"/>
      <c r="ABN130" s="256"/>
      <c r="ABO130" s="253">
        <v>0.5</v>
      </c>
      <c r="ABP130" s="253">
        <v>0.5</v>
      </c>
      <c r="ABQ130" s="253">
        <v>0.5</v>
      </c>
      <c r="ABR130" s="253">
        <v>0.5</v>
      </c>
      <c r="ABS130" s="254">
        <v>0.5</v>
      </c>
      <c r="ABT130" s="255">
        <v>0.5</v>
      </c>
      <c r="ABU130" s="253">
        <v>0.5</v>
      </c>
      <c r="ABV130" s="253">
        <v>0.5</v>
      </c>
      <c r="ABW130" s="257"/>
      <c r="ABX130" s="350"/>
      <c r="ABY130" s="256"/>
      <c r="ABZ130" s="256"/>
      <c r="ACA130" s="256"/>
      <c r="ACB130" s="256"/>
      <c r="ACC130" s="256"/>
      <c r="ACD130" s="256"/>
      <c r="ACE130" s="256"/>
      <c r="ACF130" s="256"/>
      <c r="ACG130" s="256"/>
      <c r="ACH130" s="256"/>
      <c r="ACI130" s="251"/>
      <c r="ACJ130" s="349"/>
      <c r="ACK130" s="250"/>
      <c r="ACL130" s="244">
        <f>SUM(ABJ130:ACK130)</f>
      </c>
      <c r="ACM130" s="235"/>
      <c r="ACN130" s="236"/>
      <c r="ACO130" s="346"/>
      <c r="ACP130" s="239"/>
      <c r="ACQ130" s="239"/>
      <c r="ACR130" s="239"/>
      <c r="ACS130" s="239"/>
      <c r="ACT130" s="239"/>
      <c r="ACU130" s="239"/>
      <c r="ACV130" s="238"/>
      <c r="ACW130" s="240"/>
      <c r="ACX130" s="239"/>
      <c r="ACY130" s="239"/>
      <c r="ACZ130" s="241"/>
      <c r="ADA130" s="346"/>
      <c r="ADB130" s="239"/>
      <c r="ADC130" s="239"/>
      <c r="ADD130" s="239"/>
      <c r="ADE130" s="239"/>
      <c r="ADF130" s="239"/>
      <c r="ADG130" s="239"/>
      <c r="ADH130" s="239"/>
      <c r="ADI130" s="239"/>
      <c r="ADJ130" s="239"/>
      <c r="ADK130" s="239"/>
      <c r="ADL130" s="238"/>
      <c r="ADM130" s="345"/>
      <c r="ADN130" s="237"/>
      <c r="ADO130" s="244">
        <f>SUM(ACM130:ADN130)</f>
      </c>
      <c r="ADP130" s="235"/>
      <c r="ADQ130" s="236"/>
      <c r="ADR130" s="346"/>
      <c r="ADS130" s="239"/>
      <c r="ADT130" s="239"/>
      <c r="ADU130" s="239"/>
      <c r="ADV130" s="239"/>
      <c r="ADW130" s="239"/>
      <c r="ADX130" s="239"/>
      <c r="ADY130" s="238"/>
      <c r="ADZ130" s="240"/>
      <c r="AEA130" s="239"/>
      <c r="AEB130" s="239"/>
      <c r="AEC130" s="241"/>
      <c r="AED130" s="346"/>
      <c r="AEE130" s="239"/>
      <c r="AEF130" s="239"/>
      <c r="AEG130" s="239"/>
      <c r="AEH130" s="239"/>
      <c r="AEI130" s="239"/>
      <c r="AEJ130" s="239"/>
      <c r="AEK130" s="239"/>
      <c r="AEL130" s="239"/>
      <c r="AEM130" s="239"/>
      <c r="AEN130" s="239"/>
      <c r="AEO130" s="238"/>
      <c r="AEP130" s="345"/>
      <c r="AEQ130" s="237"/>
      <c r="AER130" s="244">
        <f>SUM(ADP130:AEQ130)</f>
      </c>
      <c r="AES130" s="245">
        <f>XZ130+ZC130+AAF130+ABI130+ACL130+ADO130+AER130</f>
      </c>
      <c r="AET130" s="347">
        <f>(COUNTIF(WX130:AER130,"H")+COUNTIF(WX130:AER130,"S")+COUNTIF(WX130:AER130,"L")+COUNTIF(WX130:AER130,"E")+COUNTIF(WX130:AER130,"C"))/2</f>
      </c>
      <c r="AEU130" s="247">
        <f>AES130+AET130</f>
      </c>
      <c r="AEV130" s="248"/>
      <c r="AEW130" s="249"/>
      <c r="AEX130" s="350"/>
      <c r="AEY130" s="261">
        <v>0.5</v>
      </c>
      <c r="AEZ130" s="261">
        <v>0.5</v>
      </c>
      <c r="AFA130" s="261">
        <v>0.5</v>
      </c>
      <c r="AFB130" s="261">
        <v>0.5</v>
      </c>
      <c r="AFC130" s="261">
        <v>0.5</v>
      </c>
      <c r="AFD130" s="261">
        <v>0.5</v>
      </c>
      <c r="AFE130" s="262">
        <v>0.5</v>
      </c>
      <c r="AFF130" s="263">
        <v>0.5</v>
      </c>
      <c r="AFG130" s="261">
        <v>0.5</v>
      </c>
      <c r="AFH130" s="356"/>
      <c r="AFI130" s="357"/>
      <c r="AFJ130" s="351">
        <v>0.5</v>
      </c>
      <c r="AFK130" s="261">
        <v>0.5</v>
      </c>
      <c r="AFL130" s="261">
        <v>0.5</v>
      </c>
      <c r="AFM130" s="261">
        <v>0.5</v>
      </c>
      <c r="AFN130" s="261">
        <v>0.5</v>
      </c>
      <c r="AFO130" s="261">
        <v>0.5</v>
      </c>
      <c r="AFP130" s="261">
        <v>0.5</v>
      </c>
      <c r="AFQ130" s="261">
        <v>0.5</v>
      </c>
      <c r="AFR130" s="261">
        <v>0.5</v>
      </c>
      <c r="AFS130" s="256"/>
      <c r="AFT130" s="256"/>
      <c r="AFU130" s="251"/>
      <c r="AFV130" s="349"/>
      <c r="AFW130" s="250"/>
      <c r="AFX130" s="247">
        <f>SUM(AEV130:AFW130)</f>
      </c>
      <c r="AFY130" s="248"/>
      <c r="AFZ130" s="249"/>
      <c r="AGA130" s="350"/>
      <c r="AGB130" s="253">
        <v>0.5</v>
      </c>
      <c r="AGC130" s="253">
        <v>0.5</v>
      </c>
      <c r="AGD130" s="650">
        <v>0.5</v>
      </c>
      <c r="AGE130" s="650">
        <v>0.5</v>
      </c>
      <c r="AGF130" s="650">
        <v>0.5</v>
      </c>
      <c r="AGG130" s="253">
        <v>0.5</v>
      </c>
      <c r="AGH130" s="254">
        <v>0.5</v>
      </c>
      <c r="AGI130" s="255">
        <v>0.5</v>
      </c>
      <c r="AGJ130" s="253">
        <v>0.5</v>
      </c>
      <c r="AGK130" s="256"/>
      <c r="AGL130" s="257"/>
      <c r="AGM130" s="651">
        <v>0.5</v>
      </c>
      <c r="AGN130" s="253">
        <v>0.5</v>
      </c>
      <c r="AGO130" s="650">
        <v>0.5</v>
      </c>
      <c r="AGP130" s="650">
        <v>0.5</v>
      </c>
      <c r="AGQ130" s="650">
        <v>0.5</v>
      </c>
      <c r="AGR130" s="650">
        <v>0.5</v>
      </c>
      <c r="AGS130" s="650">
        <v>0.5</v>
      </c>
      <c r="AGT130" s="650">
        <v>0.5</v>
      </c>
      <c r="AGU130" s="650">
        <v>0.5</v>
      </c>
      <c r="AGV130" s="256"/>
      <c r="AGW130" s="256"/>
      <c r="AGX130" s="251"/>
      <c r="AGY130" s="349"/>
      <c r="AGZ130" s="250"/>
      <c r="AHA130" s="247">
        <f>SUM(AFY130:AGZ130)</f>
      </c>
      <c r="AHB130" s="248"/>
      <c r="AHC130" s="249"/>
      <c r="AHD130" s="350"/>
      <c r="AHE130" s="261">
        <v>0.5</v>
      </c>
      <c r="AHF130" s="261">
        <v>0.5</v>
      </c>
      <c r="AHG130" s="261">
        <v>0.5</v>
      </c>
      <c r="AHH130" s="261">
        <v>0.5</v>
      </c>
      <c r="AHI130" s="261">
        <v>0.5</v>
      </c>
      <c r="AHJ130" s="261">
        <v>0.5</v>
      </c>
      <c r="AHK130" s="262">
        <v>0.5</v>
      </c>
      <c r="AHL130" s="263">
        <v>0.5</v>
      </c>
      <c r="AHM130" s="261">
        <v>0.5</v>
      </c>
      <c r="AHN130" s="356"/>
      <c r="AHO130" s="357"/>
      <c r="AHP130" s="351">
        <v>0.5</v>
      </c>
      <c r="AHQ130" s="261">
        <v>0.5</v>
      </c>
      <c r="AHR130" s="261">
        <v>0.5</v>
      </c>
      <c r="AHS130" s="261">
        <v>0.5</v>
      </c>
      <c r="AHT130" s="261">
        <v>0.5</v>
      </c>
      <c r="AHU130" s="261">
        <v>0.5</v>
      </c>
      <c r="AHV130" s="261">
        <v>0.5</v>
      </c>
      <c r="AHW130" s="261">
        <v>0.5</v>
      </c>
      <c r="AHX130" s="261">
        <v>0.5</v>
      </c>
      <c r="AHY130" s="256"/>
      <c r="AHZ130" s="256"/>
      <c r="AIA130" s="251"/>
      <c r="AIB130" s="349"/>
      <c r="AIC130" s="250"/>
      <c r="AID130" s="247">
        <f>SUM(AHB130:AIC130)</f>
      </c>
      <c r="AIE130" s="248"/>
      <c r="AIF130" s="249"/>
      <c r="AIG130" s="350"/>
      <c r="AIH130" s="261">
        <v>0.5</v>
      </c>
      <c r="AII130" s="261">
        <v>0.5</v>
      </c>
      <c r="AIJ130" s="261">
        <v>0.5</v>
      </c>
      <c r="AIK130" s="261">
        <v>0.5</v>
      </c>
      <c r="AIL130" s="261">
        <v>0.5</v>
      </c>
      <c r="AIM130" s="261">
        <v>0.5</v>
      </c>
      <c r="AIN130" s="262">
        <v>0.5</v>
      </c>
      <c r="AIO130" s="263">
        <v>0.5</v>
      </c>
      <c r="AIP130" s="261">
        <v>0.5</v>
      </c>
      <c r="AIQ130" s="356"/>
      <c r="AIR130" s="357"/>
      <c r="AIS130" s="351">
        <v>0.5</v>
      </c>
      <c r="AIT130" s="261">
        <v>0.5</v>
      </c>
      <c r="AIU130" s="261">
        <v>0.5</v>
      </c>
      <c r="AIV130" s="261">
        <v>0.5</v>
      </c>
      <c r="AIW130" s="261">
        <v>0.5</v>
      </c>
      <c r="AIX130" s="261">
        <v>0.5</v>
      </c>
      <c r="AIY130" s="261">
        <v>0.5</v>
      </c>
      <c r="AIZ130" s="261">
        <v>0.5</v>
      </c>
      <c r="AJA130" s="261">
        <v>0.5</v>
      </c>
      <c r="AJB130" s="256"/>
      <c r="AJC130" s="256"/>
      <c r="AJD130" s="251"/>
      <c r="AJE130" s="349"/>
      <c r="AJF130" s="250"/>
      <c r="AJG130" s="244">
        <f>SUM(AIE130:AJF130)</f>
      </c>
      <c r="AJH130" s="248"/>
      <c r="AJI130" s="249"/>
      <c r="AJJ130" s="350"/>
      <c r="AJK130" s="256"/>
      <c r="AJL130" s="256"/>
      <c r="AJM130" s="253">
        <v>0.5</v>
      </c>
      <c r="AJN130" s="253">
        <v>0.5</v>
      </c>
      <c r="AJO130" s="253">
        <v>0.5</v>
      </c>
      <c r="AJP130" s="253">
        <v>0.5</v>
      </c>
      <c r="AJQ130" s="254">
        <v>0.5</v>
      </c>
      <c r="AJR130" s="255">
        <v>0.5</v>
      </c>
      <c r="AJS130" s="253">
        <v>0.5</v>
      </c>
      <c r="AJT130" s="253">
        <v>0.5</v>
      </c>
      <c r="AJU130" s="257"/>
      <c r="AJV130" s="350"/>
      <c r="AJW130" s="256"/>
      <c r="AJX130" s="256"/>
      <c r="AJY130" s="256"/>
      <c r="AJZ130" s="256"/>
      <c r="AKA130" s="256"/>
      <c r="AKB130" s="256"/>
      <c r="AKC130" s="256"/>
      <c r="AKD130" s="256"/>
      <c r="AKE130" s="256"/>
      <c r="AKF130" s="256"/>
      <c r="AKG130" s="251"/>
      <c r="AKH130" s="349"/>
      <c r="AKI130" s="250"/>
      <c r="AKJ130" s="244">
        <f>SUM(AJH130:AKI130)</f>
      </c>
      <c r="AKK130" s="235"/>
      <c r="AKL130" s="236"/>
      <c r="AKM130" s="346"/>
      <c r="AKN130" s="239"/>
      <c r="AKO130" s="239"/>
      <c r="AKP130" s="239"/>
      <c r="AKQ130" s="239"/>
      <c r="AKR130" s="239"/>
      <c r="AKS130" s="239"/>
      <c r="AKT130" s="238"/>
      <c r="AKU130" s="240"/>
      <c r="AKV130" s="239"/>
      <c r="AKW130" s="239"/>
      <c r="AKX130" s="241"/>
      <c r="AKY130" s="346"/>
      <c r="AKZ130" s="239"/>
      <c r="ALA130" s="239"/>
      <c r="ALB130" s="239"/>
      <c r="ALC130" s="239"/>
      <c r="ALD130" s="239"/>
      <c r="ALE130" s="239"/>
      <c r="ALF130" s="239"/>
      <c r="ALG130" s="239"/>
      <c r="ALH130" s="239"/>
      <c r="ALI130" s="239"/>
      <c r="ALJ130" s="238"/>
      <c r="ALK130" s="345"/>
      <c r="ALL130" s="237"/>
      <c r="ALM130" s="244">
        <f>SUM(AKK130:ALL130)</f>
      </c>
      <c r="ALN130" s="235"/>
      <c r="ALO130" s="236"/>
      <c r="ALP130" s="346"/>
      <c r="ALQ130" s="239"/>
      <c r="ALR130" s="239"/>
      <c r="ALS130" s="239"/>
      <c r="ALT130" s="239"/>
      <c r="ALU130" s="239"/>
      <c r="ALV130" s="239"/>
      <c r="ALW130" s="238"/>
      <c r="ALX130" s="240"/>
      <c r="ALY130" s="239"/>
      <c r="ALZ130" s="239"/>
      <c r="AMA130" s="241"/>
      <c r="AMB130" s="346"/>
      <c r="AMC130" s="239"/>
      <c r="AMD130" s="239"/>
      <c r="AME130" s="239"/>
      <c r="AMF130" s="239"/>
      <c r="AMG130" s="239"/>
      <c r="AMH130" s="239"/>
      <c r="AMI130" s="239"/>
      <c r="AMJ130" s="239"/>
      <c r="AMK130" s="239"/>
      <c r="AML130" s="239"/>
      <c r="AMM130" s="238"/>
      <c r="AMN130" s="345"/>
      <c r="AMO130" s="237"/>
      <c r="AMP130" s="244">
        <f>SUM(ALN130:AMO130)</f>
      </c>
      <c r="AMQ130" s="245">
        <f>AFX130+AHA130+AID130+AJG130+AKJ130+ALM130+AMP130</f>
      </c>
      <c r="AMR130" s="347">
        <f>(COUNTIF(AEV130:AMP130,"H")+COUNTIF(AEV130:AMP130,"S")+COUNTIF(AEV130:AMP130,"L")+COUNTIF(AEV130:AMP130,"E")+COUNTIF(AEV130:AMP130,"C"))/2</f>
      </c>
      <c r="AMS130" s="247">
        <f>AMQ130+AMR130</f>
      </c>
      <c r="AMT130" s="4"/>
      <c r="AMU130" s="4"/>
      <c r="AMV130" s="4"/>
      <c r="AMW130" s="4"/>
      <c r="AMX130" s="4"/>
      <c r="AMY130" s="4"/>
      <c r="AMZ130" s="4"/>
      <c r="ANA130" s="4"/>
      <c r="ANB130" s="4"/>
      <c r="ANC130" s="4"/>
      <c r="AND130" s="4"/>
      <c r="ANE130" s="4"/>
      <c r="ANF130" s="4"/>
      <c r="ANG130" s="4"/>
      <c r="ANH130" s="4"/>
      <c r="ANI130" s="4"/>
      <c r="ANJ130" s="4"/>
      <c r="ANK130" s="4"/>
      <c r="ANL130" s="4"/>
      <c r="ANM130" s="4"/>
      <c r="ANN130" s="4"/>
      <c r="ANO130" s="4"/>
      <c r="ANP130" s="4"/>
      <c r="ANQ130" s="4"/>
      <c r="ANR130" s="4"/>
      <c r="ANS130" s="4"/>
      <c r="ANT130" s="4"/>
      <c r="ANU130" s="4"/>
      <c r="ANV130" s="4"/>
      <c r="ANW130" s="4"/>
      <c r="ANX130" s="4"/>
      <c r="ANY130" s="4"/>
      <c r="ANZ130" s="4"/>
      <c r="AOA130" s="4"/>
      <c r="AOB130" s="4"/>
      <c r="AOC130" s="4"/>
      <c r="AOD130" s="4"/>
      <c r="AOE130" s="4"/>
      <c r="AOF130" s="4"/>
      <c r="AOG130" s="4"/>
      <c r="AOH130" s="4"/>
      <c r="AOI130" s="4"/>
      <c r="AOJ130" s="4"/>
      <c r="AOK130" s="4"/>
      <c r="AOL130" s="4"/>
      <c r="AOM130" s="4"/>
      <c r="AON130" s="4"/>
      <c r="AOO130" s="4"/>
      <c r="AOP130" s="4"/>
      <c r="AOQ130" s="4"/>
      <c r="AOR130" s="4"/>
      <c r="AOS130" s="4"/>
      <c r="AOT130" s="4"/>
      <c r="AOU130" s="4"/>
      <c r="AOV130" s="4"/>
      <c r="AOW130" s="4"/>
      <c r="AOX130" s="4"/>
      <c r="AOY130" s="4"/>
      <c r="AOZ130" s="4"/>
      <c r="APA130" s="4"/>
      <c r="APB130" s="4"/>
      <c r="APC130" s="4"/>
      <c r="APD130" s="4"/>
      <c r="APE130" s="4"/>
      <c r="APF130" s="4"/>
      <c r="APG130" s="4"/>
      <c r="APH130" s="4"/>
      <c r="API130" s="4"/>
      <c r="APJ130" s="4"/>
      <c r="APK130" s="4"/>
      <c r="APL130" s="4"/>
      <c r="APM130" s="4"/>
      <c r="APN130" s="4"/>
      <c r="APO130" s="4"/>
      <c r="APP130" s="4"/>
      <c r="APQ130" s="4"/>
      <c r="APR130" s="4"/>
      <c r="APS130" s="4"/>
      <c r="APT130" s="4"/>
      <c r="APU130" s="4"/>
      <c r="APV130" s="4"/>
      <c r="APW130" s="4"/>
      <c r="APX130" s="4"/>
      <c r="APY130" s="4"/>
      <c r="APZ130" s="4"/>
      <c r="AQA130" s="4"/>
      <c r="AQB130" s="4"/>
      <c r="AQC130" s="4"/>
      <c r="AQD130" s="4"/>
      <c r="AQE130" s="4"/>
      <c r="AQF130" s="4"/>
      <c r="AQG130" s="4"/>
      <c r="AQH130" s="4"/>
      <c r="AQI130" s="4"/>
      <c r="AQJ130" s="4"/>
      <c r="AQK130" s="4"/>
      <c r="AQL130" s="4"/>
      <c r="AQM130" s="4"/>
      <c r="AQN130" s="4"/>
      <c r="AQO130" s="4"/>
      <c r="AQP130" s="4"/>
      <c r="AQQ130" s="4"/>
      <c r="AQR130" s="4"/>
      <c r="AQS130" s="4"/>
      <c r="AQT130" s="4"/>
      <c r="AQU130" s="4"/>
      <c r="AQV130" s="4"/>
      <c r="AQW130" s="4"/>
      <c r="AQX130" s="4"/>
      <c r="AQY130" s="4"/>
      <c r="AQZ130" s="4"/>
      <c r="ARA130" s="4"/>
      <c r="ARB130" s="4"/>
      <c r="ARC130" s="4"/>
      <c r="ARD130" s="4"/>
      <c r="ARE130" s="4"/>
      <c r="ARF130" s="4"/>
      <c r="ARG130" s="4"/>
      <c r="ARH130" s="4"/>
      <c r="ARI130" s="4"/>
      <c r="ARJ130" s="4"/>
      <c r="ARK130" s="4"/>
      <c r="ARL130" s="4"/>
      <c r="ARM130" s="4"/>
      <c r="ARN130" s="4"/>
      <c r="ARO130" s="4"/>
      <c r="ARP130" s="4"/>
      <c r="ARQ130" s="4"/>
      <c r="ARR130" s="4"/>
      <c r="ARS130" s="4"/>
      <c r="ART130" s="4"/>
      <c r="ARU130" s="4"/>
      <c r="ARV130" s="4"/>
      <c r="ARW130" s="4"/>
      <c r="ARX130" s="4"/>
      <c r="ARY130" s="4"/>
      <c r="ARZ130" s="4"/>
      <c r="ASA130" s="4"/>
      <c r="ASB130" s="4"/>
      <c r="ASC130" s="4"/>
      <c r="ASD130" s="4"/>
      <c r="ASE130" s="4"/>
      <c r="ASF130" s="4"/>
      <c r="ASG130" s="4"/>
      <c r="ASH130" s="4"/>
      <c r="ASI130" s="4"/>
      <c r="ASJ130" s="4"/>
      <c r="ASK130" s="4"/>
      <c r="ASL130" s="4"/>
      <c r="ASM130" s="4"/>
      <c r="ASN130" s="4"/>
      <c r="ASO130" s="4"/>
      <c r="ASP130" s="4"/>
      <c r="ASQ130" s="4"/>
      <c r="ASR130" s="4"/>
      <c r="ASS130" s="4"/>
      <c r="AST130" s="4"/>
      <c r="ASU130" s="4"/>
    </row>
    <row r="131" spans="1:1191" x14ac:dyDescent="0.25">
      <c r="A131" s="9"/>
      <c r="B131" s="268" t="s">
        <v>73</v>
      </c>
      <c r="C131" s="269">
        <f>COUNTA(C121:C130)</f>
      </c>
      <c r="D131" s="273"/>
      <c r="E131" s="273"/>
      <c r="F131" s="271">
        <f>COUNTIF(F121:F130,0.5)</f>
      </c>
      <c r="G131" s="271">
        <f>COUNTIF(G121:G130,0.5)</f>
      </c>
      <c r="H131" s="271">
        <f>COUNTIF(H121:H130,0.5)</f>
      </c>
      <c r="I131" s="271">
        <f>COUNTIF(I121:I130,0.5)</f>
      </c>
      <c r="J131" s="271">
        <f>COUNTIF(J121:J130,0.5)</f>
      </c>
      <c r="K131" s="271">
        <f>COUNTIF(K121:K130,0.5)</f>
      </c>
      <c r="L131" s="271">
        <f>COUNTIF(L121:L130,0.5)</f>
      </c>
      <c r="M131" s="271">
        <f>COUNTIF(M121:M130,0.5)</f>
      </c>
      <c r="N131" s="271">
        <f>COUNTIF(N121:N130,0.5)</f>
      </c>
      <c r="O131" s="271">
        <f>COUNTIF(O121:O130,0.5)</f>
      </c>
      <c r="P131" s="271">
        <f>COUNTIF(P121:P130,0.5)</f>
      </c>
      <c r="Q131" s="271">
        <f>COUNTIF(Q121:Q130,0.5)</f>
      </c>
      <c r="R131" s="271">
        <f>COUNTIF(R121:R130,0.5)</f>
      </c>
      <c r="S131" s="271">
        <f>COUNTIF(S121:S130,0.5)</f>
      </c>
      <c r="T131" s="271">
        <f>COUNTIF(T121:T130,0.5)</f>
      </c>
      <c r="U131" s="271">
        <f>COUNTIF(U121:U130,0.5)</f>
      </c>
      <c r="V131" s="271">
        <f>COUNTIF(V121:V130,0.5)</f>
      </c>
      <c r="W131" s="271">
        <f>COUNTIF(W121:W130,0.5)</f>
      </c>
      <c r="X131" s="271">
        <f>COUNTIF(X121:X130,0.5)</f>
      </c>
      <c r="Y131" s="271">
        <f>COUNTIF(Y121:Y130,0.5)</f>
      </c>
      <c r="Z131" s="271">
        <f>COUNTIF(Z121:Z130,0.5)</f>
      </c>
      <c r="AA131" s="271">
        <f>COUNTIF(AA121:AA130,0.5)</f>
      </c>
      <c r="AB131" s="271">
        <f>COUNTIF(AB121:AB130,0.5)</f>
      </c>
      <c r="AC131" s="271">
        <f>COUNTIF(AC121:AC130,0.5)</f>
      </c>
      <c r="AD131" s="269"/>
      <c r="AE131" s="269"/>
      <c r="AF131" s="657"/>
      <c r="AG131" s="657"/>
      <c r="AH131" s="273"/>
      <c r="AI131" s="271">
        <f>COUNTIF(AI121:AI130,0.5)</f>
      </c>
      <c r="AJ131" s="271">
        <f>COUNTIF(AJ121:AJ130,0.5)</f>
      </c>
      <c r="AK131" s="271">
        <f>COUNTIF(AK121:AK130,0.5)</f>
      </c>
      <c r="AL131" s="271">
        <f>COUNTIF(AL121:AL130,0.5)</f>
      </c>
      <c r="AM131" s="271">
        <f>COUNTIF(AM121:AM130,0.5)</f>
      </c>
      <c r="AN131" s="271">
        <f>COUNTIF(AN121:AN130,0.5)</f>
      </c>
      <c r="AO131" s="271">
        <f>COUNTIF(AO121:AO130,0.5)</f>
      </c>
      <c r="AP131" s="271">
        <f>COUNTIF(AP121:AP130,0.5)</f>
      </c>
      <c r="AQ131" s="271">
        <f>COUNTIF(AQ121:AQ130,0.5)</f>
      </c>
      <c r="AR131" s="271">
        <f>COUNTIF(AR121:AR130,0.5)</f>
      </c>
      <c r="AS131" s="271">
        <f>COUNTIF(AS121:AS130,0.5)</f>
      </c>
      <c r="AT131" s="271">
        <f>COUNTIF(AT121:AT130,0.5)</f>
      </c>
      <c r="AU131" s="271">
        <f>COUNTIF(AU121:AU130,0.5)</f>
      </c>
      <c r="AV131" s="271">
        <f>COUNTIF(AV121:AV130,0.5)</f>
      </c>
      <c r="AW131" s="271">
        <f>COUNTIF(AW121:AW130,0.5)</f>
      </c>
      <c r="AX131" s="271">
        <f>COUNTIF(AX121:AX130,0.5)</f>
      </c>
      <c r="AY131" s="271">
        <f>COUNTIF(AY121:AY130,0.5)</f>
      </c>
      <c r="AZ131" s="271">
        <f>COUNTIF(AZ121:AZ130,0.5)</f>
      </c>
      <c r="BA131" s="271">
        <f>COUNTIF(BA121:BA130,0.5)</f>
      </c>
      <c r="BB131" s="271">
        <f>COUNTIF(BB121:BB130,0.5)</f>
      </c>
      <c r="BC131" s="271">
        <f>COUNTIF(BC121:BC130,0.5)</f>
      </c>
      <c r="BD131" s="271">
        <f>COUNTIF(BD121:BD130,0.5)</f>
      </c>
      <c r="BE131" s="271">
        <f>COUNTIF(BE121:BE130,0.5)</f>
      </c>
      <c r="BF131" s="271">
        <f>COUNTIF(BF121:BF130,0.5)</f>
      </c>
      <c r="BG131" s="269"/>
      <c r="BH131" s="269"/>
      <c r="BI131" s="657"/>
      <c r="BJ131" s="657"/>
      <c r="BK131" s="273"/>
      <c r="BL131" s="271">
        <f>COUNTIF(BL121:BL130,0.5)</f>
      </c>
      <c r="BM131" s="271">
        <f>COUNTIF(BM121:BM130,0.5)</f>
      </c>
      <c r="BN131" s="271">
        <f>COUNTIF(BN121:BN130,0.5)</f>
      </c>
      <c r="BO131" s="271">
        <f>COUNTIF(BO121:BO130,0.5)</f>
      </c>
      <c r="BP131" s="271">
        <f>COUNTIF(BP121:BP130,0.5)</f>
      </c>
      <c r="BQ131" s="271">
        <f>COUNTIF(BQ121:BQ130,0.5)</f>
      </c>
      <c r="BR131" s="271">
        <f>COUNTIF(BR121:BR130,0.5)</f>
      </c>
      <c r="BS131" s="271">
        <f>COUNTIF(BS121:BS130,0.5)</f>
      </c>
      <c r="BT131" s="271">
        <f>COUNTIF(BT121:BT130,0.5)</f>
      </c>
      <c r="BU131" s="271">
        <f>COUNTIF(BU121:BU130,0.5)</f>
      </c>
      <c r="BV131" s="271">
        <f>COUNTIF(BV121:BV130,0.5)</f>
      </c>
      <c r="BW131" s="271">
        <f>COUNTIF(BW121:BW130,0.5)</f>
      </c>
      <c r="BX131" s="271">
        <f>COUNTIF(BX121:BX130,0.5)</f>
      </c>
      <c r="BY131" s="271">
        <f>COUNTIF(BY121:BY130,0.5)</f>
      </c>
      <c r="BZ131" s="271">
        <f>COUNTIF(BZ121:BZ130,0.5)</f>
      </c>
      <c r="CA131" s="271">
        <f>COUNTIF(CA121:CA130,0.5)</f>
      </c>
      <c r="CB131" s="271">
        <f>COUNTIF(CB121:CB130,0.5)</f>
      </c>
      <c r="CC131" s="271">
        <f>COUNTIF(CC121:CC130,0.5)</f>
      </c>
      <c r="CD131" s="271">
        <f>COUNTIF(CD121:CD130,0.5)</f>
      </c>
      <c r="CE131" s="271">
        <f>COUNTIF(CE121:CE130,0.5)</f>
      </c>
      <c r="CF131" s="271">
        <f>COUNTIF(CF121:CF130,0.5)</f>
      </c>
      <c r="CG131" s="271">
        <f>COUNTIF(CG121:CG130,0.5)</f>
      </c>
      <c r="CH131" s="271">
        <f>COUNTIF(CH121:CH130,0.5)</f>
      </c>
      <c r="CI131" s="271">
        <f>COUNTIF(CI121:CI130,0.5)</f>
      </c>
      <c r="CJ131" s="269"/>
      <c r="CK131" s="269"/>
      <c r="CL131" s="657"/>
      <c r="CM131" s="657"/>
      <c r="CN131" s="273"/>
      <c r="CO131" s="271">
        <f>COUNTIF(CO121:CO130,0.5)</f>
      </c>
      <c r="CP131" s="271">
        <f>COUNTIF(CP121:CP130,0.5)</f>
      </c>
      <c r="CQ131" s="271">
        <f>COUNTIF(CQ121:CQ130,0.5)</f>
      </c>
      <c r="CR131" s="271">
        <f>COUNTIF(CR121:CR130,0.5)</f>
      </c>
      <c r="CS131" s="271">
        <f>COUNTIF(CS121:CS130,0.5)</f>
      </c>
      <c r="CT131" s="271">
        <f>COUNTIF(CT121:CT130,0.5)</f>
      </c>
      <c r="CU131" s="271">
        <f>COUNTIF(CU121:CU130,0.5)</f>
      </c>
      <c r="CV131" s="271">
        <f>COUNTIF(CV121:CV130,0.5)</f>
      </c>
      <c r="CW131" s="271">
        <f>COUNTIF(CW121:CW130,0.5)</f>
      </c>
      <c r="CX131" s="271">
        <f>COUNTIF(CX121:CX130,0.5)</f>
      </c>
      <c r="CY131" s="271">
        <f>COUNTIF(CY121:CY130,0.5)</f>
      </c>
      <c r="CZ131" s="271">
        <f>COUNTIF(CZ121:CZ130,0.5)</f>
      </c>
      <c r="DA131" s="271">
        <f>COUNTIF(DA121:DA130,0.5)</f>
      </c>
      <c r="DB131" s="271">
        <f>COUNTIF(DB121:DB130,0.5)</f>
      </c>
      <c r="DC131" s="271">
        <f>COUNTIF(DC121:DC130,0.5)</f>
      </c>
      <c r="DD131" s="271">
        <f>COUNTIF(DD121:DD130,0.5)</f>
      </c>
      <c r="DE131" s="271">
        <f>COUNTIF(DE121:DE130,0.5)</f>
      </c>
      <c r="DF131" s="271">
        <f>COUNTIF(DF121:DF130,0.5)</f>
      </c>
      <c r="DG131" s="271">
        <f>COUNTIF(DG121:DG130,0.5)</f>
      </c>
      <c r="DH131" s="271">
        <f>COUNTIF(DH121:DH130,0.5)</f>
      </c>
      <c r="DI131" s="271">
        <f>COUNTIF(DI121:DI130,0.5)</f>
      </c>
      <c r="DJ131" s="271">
        <f>COUNTIF(DJ121:DJ130,0.5)</f>
      </c>
      <c r="DK131" s="271">
        <f>COUNTIF(DK121:DK130,0.5)</f>
      </c>
      <c r="DL131" s="271">
        <f>COUNTIF(DL121:DL130,0.5)</f>
      </c>
      <c r="DM131" s="269"/>
      <c r="DN131" s="269"/>
      <c r="DO131" s="657"/>
      <c r="DP131" s="657"/>
      <c r="DQ131" s="273"/>
      <c r="DR131" s="271">
        <f>COUNTIF(DR121:DR130,0.5)</f>
      </c>
      <c r="DS131" s="271">
        <f>COUNTIF(DS121:DS130,0.5)</f>
      </c>
      <c r="DT131" s="271">
        <f>COUNTIF(DT121:DT130,0.5)</f>
      </c>
      <c r="DU131" s="271">
        <f>COUNTIF(DU121:DU130,0.5)</f>
      </c>
      <c r="DV131" s="271">
        <f>COUNTIF(DV121:DV130,0.5)</f>
      </c>
      <c r="DW131" s="271">
        <f>COUNTIF(DW121:DW130,0.5)</f>
      </c>
      <c r="DX131" s="271">
        <f>COUNTIF(DX121:DX130,0.5)</f>
      </c>
      <c r="DY131" s="271">
        <f>COUNTIF(DY121:DY130,0.5)</f>
      </c>
      <c r="DZ131" s="271">
        <f>COUNTIF(DZ121:DZ130,0.5)</f>
      </c>
      <c r="EA131" s="271">
        <f>COUNTIF(EA121:EA130,0.5)</f>
      </c>
      <c r="EB131" s="271">
        <f>COUNTIF(EB121:EB130,0.5)</f>
      </c>
      <c r="EC131" s="271">
        <f>COUNTIF(EC121:EC130,0.5)</f>
      </c>
      <c r="ED131" s="271">
        <f>COUNTIF(ED121:ED130,0.5)</f>
      </c>
      <c r="EE131" s="271">
        <f>COUNTIF(EE121:EE130,0.5)</f>
      </c>
      <c r="EF131" s="271">
        <f>COUNTIF(EF121:EF130,0.5)</f>
      </c>
      <c r="EG131" s="271">
        <f>COUNTIF(EG121:EG130,0.5)</f>
      </c>
      <c r="EH131" s="271">
        <f>COUNTIF(EH121:EH130,0.5)</f>
      </c>
      <c r="EI131" s="271">
        <f>COUNTIF(EI121:EI130,0.5)</f>
      </c>
      <c r="EJ131" s="271">
        <f>COUNTIF(EJ121:EJ130,0.5)</f>
      </c>
      <c r="EK131" s="271">
        <f>COUNTIF(EK121:EK130,0.5)</f>
      </c>
      <c r="EL131" s="271">
        <f>COUNTIF(EL121:EL130,0.5)</f>
      </c>
      <c r="EM131" s="271">
        <f>COUNTIF(EM121:EM130,0.5)</f>
      </c>
      <c r="EN131" s="271">
        <f>COUNTIF(EN121:EN130,0.5)</f>
      </c>
      <c r="EO131" s="271">
        <f>COUNTIF(EO121:EO130,0.5)</f>
      </c>
      <c r="EP131" s="269"/>
      <c r="EQ131" s="269"/>
      <c r="ER131" s="657"/>
      <c r="ES131" s="657"/>
      <c r="ET131" s="273"/>
      <c r="EU131" s="273"/>
      <c r="EV131" s="273"/>
      <c r="EW131" s="273"/>
      <c r="EX131" s="273"/>
      <c r="EY131" s="273"/>
      <c r="EZ131" s="273"/>
      <c r="FA131" s="273"/>
      <c r="FB131" s="273"/>
      <c r="FC131" s="273"/>
      <c r="FD131" s="273"/>
      <c r="FE131" s="273"/>
      <c r="FF131" s="273"/>
      <c r="FG131" s="273"/>
      <c r="FH131" s="273"/>
      <c r="FI131" s="273"/>
      <c r="FJ131" s="273"/>
      <c r="FK131" s="273"/>
      <c r="FL131" s="273"/>
      <c r="FM131" s="273"/>
      <c r="FN131" s="273"/>
      <c r="FO131" s="273"/>
      <c r="FP131" s="273"/>
      <c r="FQ131" s="273"/>
      <c r="FR131" s="273"/>
      <c r="FS131" s="273"/>
      <c r="FT131" s="273"/>
      <c r="FU131" s="273"/>
      <c r="FV131" s="273"/>
      <c r="FW131" s="273"/>
      <c r="FX131" s="273"/>
      <c r="FY131" s="273"/>
      <c r="FZ131" s="273"/>
      <c r="GA131" s="273"/>
      <c r="GB131" s="273"/>
      <c r="GC131" s="273"/>
      <c r="GD131" s="273"/>
      <c r="GE131" s="273"/>
      <c r="GF131" s="273"/>
      <c r="GG131" s="273"/>
      <c r="GH131" s="273"/>
      <c r="GI131" s="273"/>
      <c r="GJ131" s="273"/>
      <c r="GK131" s="273"/>
      <c r="GL131" s="273"/>
      <c r="GM131" s="273"/>
      <c r="GN131" s="273"/>
      <c r="GO131" s="273"/>
      <c r="GP131" s="273"/>
      <c r="GQ131" s="273"/>
      <c r="GR131" s="273"/>
      <c r="GS131" s="273"/>
      <c r="GT131" s="273"/>
      <c r="GU131" s="273"/>
      <c r="GV131" s="269"/>
      <c r="GW131" s="269"/>
      <c r="GX131" s="657"/>
      <c r="GY131" s="657"/>
      <c r="GZ131" s="657"/>
      <c r="HA131" s="659"/>
      <c r="HB131" s="359"/>
      <c r="HC131" s="273"/>
      <c r="HD131" s="271">
        <f>COUNTIF(HD121:HD130,0.5)</f>
      </c>
      <c r="HE131" s="271">
        <f>COUNTIF(HE121:HE130,0.5)</f>
      </c>
      <c r="HF131" s="271">
        <f>COUNTIF(HF121:HF130,0.5)</f>
      </c>
      <c r="HG131" s="271">
        <f>COUNTIF(HG121:HG130,0.5)</f>
      </c>
      <c r="HH131" s="271">
        <f>COUNTIF(HH121:HH130,0.5)</f>
      </c>
      <c r="HI131" s="271">
        <f>COUNTIF(HI121:HI130,0.5)</f>
      </c>
      <c r="HJ131" s="271">
        <f>COUNTIF(HJ121:HJ130,0.5)</f>
      </c>
      <c r="HK131" s="271">
        <f>COUNTIF(HK121:HK130,0.5)</f>
      </c>
      <c r="HL131" s="271">
        <f>COUNTIF(HL121:HL130,0.5)</f>
      </c>
      <c r="HM131" s="271">
        <f>COUNTIF(HM121:HM130,0.5)</f>
      </c>
      <c r="HN131" s="271">
        <f>COUNTIF(HN121:HN130,0.5)</f>
      </c>
      <c r="HO131" s="271">
        <f>COUNTIF(HO121:HO130,0.5)</f>
      </c>
      <c r="HP131" s="271">
        <f>COUNTIF(HP121:HP130,0.5)</f>
      </c>
      <c r="HQ131" s="271">
        <f>COUNTIF(HQ121:HQ130,0.5)</f>
      </c>
      <c r="HR131" s="271">
        <f>COUNTIF(HR121:HR130,0.5)</f>
      </c>
      <c r="HS131" s="271">
        <f>COUNTIF(HS121:HS130,0.5)</f>
      </c>
      <c r="HT131" s="271">
        <f>COUNTIF(HT121:HT130,0.5)</f>
      </c>
      <c r="HU131" s="271">
        <f>COUNTIF(HU121:HU130,0.5)</f>
      </c>
      <c r="HV131" s="271">
        <f>COUNTIF(HV121:HV130,0.5)</f>
      </c>
      <c r="HW131" s="271">
        <f>COUNTIF(HW121:HW130,0.5)</f>
      </c>
      <c r="HX131" s="271">
        <f>COUNTIF(HX121:HX130,0.5)</f>
      </c>
      <c r="HY131" s="271">
        <f>COUNTIF(HY121:HY130,0.5)</f>
      </c>
      <c r="HZ131" s="271">
        <f>COUNTIF(HZ121:HZ130,0.5)</f>
      </c>
      <c r="IA131" s="271">
        <f>COUNTIF(IA121:IA130,0.5)</f>
      </c>
      <c r="IB131" s="269"/>
      <c r="IC131" s="269"/>
      <c r="ID131" s="657"/>
      <c r="IE131" s="657"/>
      <c r="IF131" s="273"/>
      <c r="IG131" s="271">
        <f>COUNTIF(IG121:IG130,0.5)</f>
      </c>
      <c r="IH131" s="271">
        <f>COUNTIF(IH121:IH130,0.5)</f>
      </c>
      <c r="II131" s="271">
        <f>COUNTIF(II121:II130,0.5)</f>
      </c>
      <c r="IJ131" s="271">
        <f>COUNTIF(IJ121:IJ130,0.5)</f>
      </c>
      <c r="IK131" s="271">
        <f>COUNTIF(IK121:IK130,0.5)</f>
      </c>
      <c r="IL131" s="271">
        <f>COUNTIF(IL121:IL130,0.5)</f>
      </c>
      <c r="IM131" s="271">
        <f>COUNTIF(IM121:IM130,0.5)</f>
      </c>
      <c r="IN131" s="271">
        <f>COUNTIF(IN121:IN130,0.5)</f>
      </c>
      <c r="IO131" s="271">
        <f>COUNTIF(IO121:IO130,0.5)</f>
      </c>
      <c r="IP131" s="271">
        <f>COUNTIF(IP121:IP130,0.5)</f>
      </c>
      <c r="IQ131" s="271">
        <f>COUNTIF(IQ121:IQ130,0.5)</f>
      </c>
      <c r="IR131" s="271">
        <f>COUNTIF(IR121:IR130,0.5)</f>
      </c>
      <c r="IS131" s="271">
        <f>COUNTIF(IS121:IS130,0.5)</f>
      </c>
      <c r="IT131" s="271">
        <f>COUNTIF(IT121:IT130,0.5)</f>
      </c>
      <c r="IU131" s="271">
        <f>COUNTIF(IU121:IU130,0.5)</f>
      </c>
      <c r="IV131" s="271">
        <f>COUNTIF(IV121:IV130,0.5)</f>
      </c>
      <c r="IW131" s="271">
        <f>COUNTIF(IW121:IW130,0.5)</f>
      </c>
      <c r="IX131" s="271">
        <f>COUNTIF(IX121:IX130,0.5)</f>
      </c>
      <c r="IY131" s="271">
        <f>COUNTIF(IY121:IY130,0.5)</f>
      </c>
      <c r="IZ131" s="271">
        <f>COUNTIF(IZ121:IZ130,0.5)</f>
      </c>
      <c r="JA131" s="271">
        <f>COUNTIF(JA121:JA130,0.5)</f>
      </c>
      <c r="JB131" s="271">
        <f>COUNTIF(JB121:JB130,0.5)</f>
      </c>
      <c r="JC131" s="271">
        <f>COUNTIF(JC121:JC130,0.5)</f>
      </c>
      <c r="JD131" s="271">
        <f>COUNTIF(JD121:JD130,0.5)</f>
      </c>
      <c r="JE131" s="269"/>
      <c r="JF131" s="269"/>
      <c r="JG131" s="657"/>
      <c r="JH131" s="657"/>
      <c r="JI131" s="273"/>
      <c r="JJ131" s="271">
        <f>COUNTIF(JJ121:JJ130,0.5)</f>
      </c>
      <c r="JK131" s="271">
        <f>COUNTIF(JK121:JK130,0.5)</f>
      </c>
      <c r="JL131" s="271">
        <f>COUNTIF(JL121:JL130,0.5)</f>
      </c>
      <c r="JM131" s="271">
        <f>COUNTIF(JM121:JM130,0.5)</f>
      </c>
      <c r="JN131" s="271">
        <f>COUNTIF(JN121:JN130,0.5)</f>
      </c>
      <c r="JO131" s="271">
        <f>COUNTIF(JO121:JO130,0.5)</f>
      </c>
      <c r="JP131" s="271">
        <f>COUNTIF(JP121:JP130,0.5)</f>
      </c>
      <c r="JQ131" s="271">
        <f>COUNTIF(JQ121:JQ130,0.5)</f>
      </c>
      <c r="JR131" s="271">
        <f>COUNTIF(JR121:JR130,0.5)</f>
      </c>
      <c r="JS131" s="271">
        <f>COUNTIF(JS121:JS130,0.5)</f>
      </c>
      <c r="JT131" s="271">
        <f>COUNTIF(JT121:JT130,0.5)</f>
      </c>
      <c r="JU131" s="271">
        <f>COUNTIF(JU121:JU130,0.5)</f>
      </c>
      <c r="JV131" s="271">
        <f>COUNTIF(JV121:JV130,0.5)</f>
      </c>
      <c r="JW131" s="271">
        <f>COUNTIF(JW121:JW130,0.5)</f>
      </c>
      <c r="JX131" s="271">
        <f>COUNTIF(JX121:JX130,0.5)</f>
      </c>
      <c r="JY131" s="271">
        <f>COUNTIF(JY121:JY130,0.5)</f>
      </c>
      <c r="JZ131" s="271">
        <f>COUNTIF(JZ121:JZ130,0.5)</f>
      </c>
      <c r="KA131" s="271">
        <f>COUNTIF(KA121:KA130,0.5)</f>
      </c>
      <c r="KB131" s="271">
        <f>COUNTIF(KB121:KB130,0.5)</f>
      </c>
      <c r="KC131" s="271">
        <f>COUNTIF(KC121:KC130,0.5)</f>
      </c>
      <c r="KD131" s="271">
        <f>COUNTIF(KD121:KD130,0.5)</f>
      </c>
      <c r="KE131" s="271">
        <f>COUNTIF(KE121:KE130,0.5)</f>
      </c>
      <c r="KF131" s="271">
        <f>COUNTIF(KF121:KF130,0.5)</f>
      </c>
      <c r="KG131" s="271">
        <f>COUNTIF(KG121:KG130,0.5)</f>
      </c>
      <c r="KH131" s="269"/>
      <c r="KI131" s="269"/>
      <c r="KJ131" s="657"/>
      <c r="KK131" s="657"/>
      <c r="KL131" s="273"/>
      <c r="KM131" s="271">
        <f>COUNTIF(KM121:KM130,0.5)</f>
      </c>
      <c r="KN131" s="271">
        <f>COUNTIF(KN121:KN130,0.5)</f>
      </c>
      <c r="KO131" s="271">
        <f>COUNTIF(KO121:KO130,0.5)</f>
      </c>
      <c r="KP131" s="271">
        <f>COUNTIF(KP121:KP130,0.5)</f>
      </c>
      <c r="KQ131" s="271">
        <f>COUNTIF(KQ121:KQ130,0.5)</f>
      </c>
      <c r="KR131" s="271">
        <f>COUNTIF(KR121:KR130,0.5)</f>
      </c>
      <c r="KS131" s="271">
        <f>COUNTIF(KS121:KS130,0.5)</f>
      </c>
      <c r="KT131" s="271">
        <f>COUNTIF(KT121:KT130,0.5)</f>
      </c>
      <c r="KU131" s="271">
        <f>COUNTIF(KU121:KU130,0.5)</f>
      </c>
      <c r="KV131" s="271">
        <f>COUNTIF(KV121:KV130,0.5)</f>
      </c>
      <c r="KW131" s="271">
        <f>COUNTIF(KW121:KW130,0.5)</f>
      </c>
      <c r="KX131" s="271">
        <f>COUNTIF(KX121:KX130,0.5)</f>
      </c>
      <c r="KY131" s="271">
        <f>COUNTIF(KY121:KY130,0.5)</f>
      </c>
      <c r="KZ131" s="271">
        <f>COUNTIF(KZ121:KZ130,0.5)</f>
      </c>
      <c r="LA131" s="271">
        <f>COUNTIF(LA121:LA130,0.5)</f>
      </c>
      <c r="LB131" s="271">
        <f>COUNTIF(LB121:LB130,0.5)</f>
      </c>
      <c r="LC131" s="271">
        <f>COUNTIF(LC121:LC130,0.5)</f>
      </c>
      <c r="LD131" s="271">
        <f>COUNTIF(LD121:LD130,0.5)</f>
      </c>
      <c r="LE131" s="271">
        <f>COUNTIF(LE121:LE130,0.5)</f>
      </c>
      <c r="LF131" s="271">
        <f>COUNTIF(LF121:LF130,0.5)</f>
      </c>
      <c r="LG131" s="271">
        <f>COUNTIF(LG121:LG130,0.5)</f>
      </c>
      <c r="LH131" s="271">
        <f>COUNTIF(LH121:LH130,0.5)</f>
      </c>
      <c r="LI131" s="271">
        <f>COUNTIF(LI121:LI130,0.5)</f>
      </c>
      <c r="LJ131" s="271">
        <f>COUNTIF(LJ121:LJ130,0.5)</f>
      </c>
      <c r="LK131" s="269"/>
      <c r="LL131" s="269"/>
      <c r="LM131" s="657"/>
      <c r="LN131" s="657"/>
      <c r="LO131" s="273"/>
      <c r="LP131" s="271">
        <f>COUNTIF(LP121:LP130,0.5)</f>
      </c>
      <c r="LQ131" s="271">
        <f>COUNTIF(LQ121:LQ130,0.5)</f>
      </c>
      <c r="LR131" s="271">
        <f>COUNTIF(LR121:LR130,0.5)</f>
      </c>
      <c r="LS131" s="271">
        <f>COUNTIF(LS121:LS130,0.5)</f>
      </c>
      <c r="LT131" s="271">
        <f>COUNTIF(LT121:LT130,0.5)</f>
      </c>
      <c r="LU131" s="271">
        <f>COUNTIF(LU121:LU130,0.5)</f>
      </c>
      <c r="LV131" s="271">
        <f>COUNTIF(LV121:LV130,0.5)</f>
      </c>
      <c r="LW131" s="271">
        <f>COUNTIF(LW121:LW130,0.5)</f>
      </c>
      <c r="LX131" s="271">
        <f>COUNTIF(LX121:LX130,0.5)</f>
      </c>
      <c r="LY131" s="271">
        <f>COUNTIF(LY121:LY130,0.5)</f>
      </c>
      <c r="LZ131" s="271">
        <f>COUNTIF(LZ121:LZ130,0.5)</f>
      </c>
      <c r="MA131" s="271">
        <f>COUNTIF(MA121:MA130,0.5)</f>
      </c>
      <c r="MB131" s="271">
        <f>COUNTIF(MB121:MB130,0.5)</f>
      </c>
      <c r="MC131" s="271">
        <f>COUNTIF(MC121:MC130,0.5)</f>
      </c>
      <c r="MD131" s="271">
        <f>COUNTIF(MD121:MD130,0.5)</f>
      </c>
      <c r="ME131" s="271">
        <f>COUNTIF(ME121:ME130,0.5)</f>
      </c>
      <c r="MF131" s="271">
        <f>COUNTIF(MF121:MF130,0.5)</f>
      </c>
      <c r="MG131" s="271">
        <f>COUNTIF(MG121:MG130,0.5)</f>
      </c>
      <c r="MH131" s="271">
        <f>COUNTIF(MH121:MH130,0.5)</f>
      </c>
      <c r="MI131" s="271">
        <f>COUNTIF(MI121:MI130,0.5)</f>
      </c>
      <c r="MJ131" s="271">
        <f>COUNTIF(MJ121:MJ130,0.5)</f>
      </c>
      <c r="MK131" s="271">
        <f>COUNTIF(MK121:MK130,0.5)</f>
      </c>
      <c r="ML131" s="271">
        <f>COUNTIF(ML121:ML130,0.5)</f>
      </c>
      <c r="MM131" s="271">
        <f>COUNTIF(MM121:MM130,0.5)</f>
      </c>
      <c r="MN131" s="269"/>
      <c r="MO131" s="269"/>
      <c r="MP131" s="657"/>
      <c r="MQ131" s="657"/>
      <c r="MR131" s="273"/>
      <c r="MS131" s="273"/>
      <c r="MT131" s="273"/>
      <c r="MU131" s="273"/>
      <c r="MV131" s="273"/>
      <c r="MW131" s="273"/>
      <c r="MX131" s="273"/>
      <c r="MY131" s="273"/>
      <c r="MZ131" s="273"/>
      <c r="NA131" s="273"/>
      <c r="NB131" s="273"/>
      <c r="NC131" s="273"/>
      <c r="ND131" s="273"/>
      <c r="NE131" s="273"/>
      <c r="NF131" s="273"/>
      <c r="NG131" s="273"/>
      <c r="NH131" s="273"/>
      <c r="NI131" s="273"/>
      <c r="NJ131" s="273"/>
      <c r="NK131" s="273"/>
      <c r="NL131" s="273"/>
      <c r="NM131" s="273"/>
      <c r="NN131" s="273"/>
      <c r="NO131" s="273"/>
      <c r="NP131" s="273"/>
      <c r="NQ131" s="273"/>
      <c r="NR131" s="273"/>
      <c r="NS131" s="273"/>
      <c r="NT131" s="273"/>
      <c r="NU131" s="273"/>
      <c r="NV131" s="273"/>
      <c r="NW131" s="273"/>
      <c r="NX131" s="273"/>
      <c r="NY131" s="273"/>
      <c r="NZ131" s="273"/>
      <c r="OA131" s="273"/>
      <c r="OB131" s="273"/>
      <c r="OC131" s="273"/>
      <c r="OD131" s="273"/>
      <c r="OE131" s="273"/>
      <c r="OF131" s="273"/>
      <c r="OG131" s="273"/>
      <c r="OH131" s="273"/>
      <c r="OI131" s="273"/>
      <c r="OJ131" s="273"/>
      <c r="OK131" s="273"/>
      <c r="OL131" s="273"/>
      <c r="OM131" s="273"/>
      <c r="ON131" s="273"/>
      <c r="OO131" s="273"/>
      <c r="OP131" s="273"/>
      <c r="OQ131" s="273"/>
      <c r="OR131" s="273"/>
      <c r="OS131" s="273"/>
      <c r="OT131" s="269"/>
      <c r="OU131" s="269"/>
      <c r="OV131" s="657"/>
      <c r="OW131" s="657"/>
      <c r="OX131" s="657"/>
      <c r="OY131" s="659"/>
      <c r="OZ131" s="359"/>
      <c r="PA131" s="273"/>
      <c r="PB131" s="271">
        <f>COUNTIF(PB121:PB130,0.5)</f>
      </c>
      <c r="PC131" s="271">
        <f>COUNTIF(PC121:PC130,0.5)</f>
      </c>
      <c r="PD131" s="271">
        <f>COUNTIF(PD121:PD130,0.5)</f>
      </c>
      <c r="PE131" s="271">
        <f>COUNTIF(PE121:PE130,0.5)</f>
      </c>
      <c r="PF131" s="271">
        <f>COUNTIF(PF121:PF130,0.5)</f>
      </c>
      <c r="PG131" s="271">
        <f>COUNTIF(PG121:PG130,0.5)</f>
      </c>
      <c r="PH131" s="271">
        <f>COUNTIF(PH121:PH130,0.5)</f>
      </c>
      <c r="PI131" s="271">
        <f>COUNTIF(PI121:PI130,0.5)</f>
      </c>
      <c r="PJ131" s="271">
        <f>COUNTIF(PJ121:PJ130,0.5)</f>
      </c>
      <c r="PK131" s="271">
        <f>COUNTIF(PK121:PK130,0.5)</f>
      </c>
      <c r="PL131" s="271">
        <f>COUNTIF(PL121:PL130,0.5)</f>
      </c>
      <c r="PM131" s="271">
        <f>COUNTIF(PM121:PM130,0.5)</f>
      </c>
      <c r="PN131" s="271">
        <f>COUNTIF(PN121:PN130,0.5)</f>
      </c>
      <c r="PO131" s="271">
        <f>COUNTIF(PO121:PO130,0.5)</f>
      </c>
      <c r="PP131" s="271">
        <f>COUNTIF(PP121:PP130,0.5)</f>
      </c>
      <c r="PQ131" s="271">
        <f>COUNTIF(PQ121:PQ130,0.5)</f>
      </c>
      <c r="PR131" s="271">
        <f>COUNTIF(PR121:PR130,0.5)</f>
      </c>
      <c r="PS131" s="271">
        <f>COUNTIF(PS121:PS130,0.5)</f>
      </c>
      <c r="PT131" s="271">
        <f>COUNTIF(PT121:PT130,0.5)</f>
      </c>
      <c r="PU131" s="271">
        <f>COUNTIF(PU121:PU130,0.5)</f>
      </c>
      <c r="PV131" s="271">
        <f>COUNTIF(PV121:PV130,0.5)</f>
      </c>
      <c r="PW131" s="271">
        <f>COUNTIF(PW121:PW130,0.5)</f>
      </c>
      <c r="PX131" s="271">
        <f>COUNTIF(PX121:PX130,0.5)</f>
      </c>
      <c r="PY131" s="271">
        <f>COUNTIF(PY121:PY130,0.5)</f>
      </c>
      <c r="PZ131" s="269"/>
      <c r="QA131" s="269"/>
      <c r="QB131" s="282"/>
      <c r="QC131" s="282"/>
      <c r="QD131" s="273"/>
      <c r="QE131" s="271">
        <f>COUNTIF(QE121:QE130,0.5)</f>
      </c>
      <c r="QF131" s="271">
        <f>COUNTIF(QF121:QF130,0.5)</f>
      </c>
      <c r="QG131" s="271">
        <f>COUNTIF(QG121:QG130,0.5)</f>
      </c>
      <c r="QH131" s="271">
        <f>COUNTIF(QH121:QH130,0.5)</f>
      </c>
      <c r="QI131" s="271">
        <f>COUNTIF(QI121:QI130,0.5)</f>
      </c>
      <c r="QJ131" s="271">
        <f>COUNTIF(QJ121:QJ130,0.5)</f>
      </c>
      <c r="QK131" s="271">
        <f>COUNTIF(QK121:QK130,0.5)</f>
      </c>
      <c r="QL131" s="271">
        <f>COUNTIF(QL121:QL130,0.5)</f>
      </c>
      <c r="QM131" s="271">
        <f>COUNTIF(QM121:QM130,0.5)</f>
      </c>
      <c r="QN131" s="271">
        <f>COUNTIF(QN121:QN130,0.5)</f>
      </c>
      <c r="QO131" s="271">
        <f>COUNTIF(QO121:QO130,0.5)</f>
      </c>
      <c r="QP131" s="271">
        <f>COUNTIF(QP121:QP130,0.5)</f>
      </c>
      <c r="QQ131" s="271">
        <f>COUNTIF(QQ121:QQ130,0.5)</f>
      </c>
      <c r="QR131" s="271">
        <f>COUNTIF(QR121:QR130,0.5)</f>
      </c>
      <c r="QS131" s="271">
        <f>COUNTIF(QS121:QS130,0.5)</f>
      </c>
      <c r="QT131" s="271">
        <f>COUNTIF(QT121:QT130,0.5)</f>
      </c>
      <c r="QU131" s="271">
        <f>COUNTIF(QU121:QU130,0.5)</f>
      </c>
      <c r="QV131" s="271">
        <f>COUNTIF(QV121:QV130,0.5)</f>
      </c>
      <c r="QW131" s="271">
        <f>COUNTIF(QW121:QW130,0.5)</f>
      </c>
      <c r="QX131" s="271">
        <f>COUNTIF(QX121:QX130,0.5)</f>
      </c>
      <c r="QY131" s="271">
        <f>COUNTIF(QY121:QY130,0.5)</f>
      </c>
      <c r="QZ131" s="271">
        <f>COUNTIF(QZ121:QZ130,0.5)</f>
      </c>
      <c r="RA131" s="271">
        <f>COUNTIF(RA121:RA130,0.5)</f>
      </c>
      <c r="RB131" s="271">
        <f>COUNTIF(RB121:RB130,0.5)</f>
      </c>
      <c r="RC131" s="269"/>
      <c r="RD131" s="269"/>
      <c r="RE131" s="282"/>
      <c r="RF131" s="282"/>
      <c r="RG131" s="273"/>
      <c r="RH131" s="271">
        <f>COUNTIF(RH121:RH130,0.5)</f>
      </c>
      <c r="RI131" s="271">
        <f>COUNTIF(RI121:RI130,0.5)</f>
      </c>
      <c r="RJ131" s="271">
        <f>COUNTIF(RJ121:RJ130,0.5)</f>
      </c>
      <c r="RK131" s="271">
        <f>COUNTIF(RK121:RK130,0.5)</f>
      </c>
      <c r="RL131" s="271">
        <f>COUNTIF(RL121:RL130,0.5)</f>
      </c>
      <c r="RM131" s="271">
        <f>COUNTIF(RM121:RM130,0.5)</f>
      </c>
      <c r="RN131" s="271">
        <f>COUNTIF(RN121:RN130,0.5)</f>
      </c>
      <c r="RO131" s="271">
        <f>COUNTIF(RO121:RO130,0.5)</f>
      </c>
      <c r="RP131" s="271">
        <f>COUNTIF(RP121:RP130,0.5)</f>
      </c>
      <c r="RQ131" s="271">
        <f>COUNTIF(RQ121:RQ130,0.5)</f>
      </c>
      <c r="RR131" s="271">
        <f>COUNTIF(RR121:RR130,0.5)</f>
      </c>
      <c r="RS131" s="271">
        <f>COUNTIF(RS121:RS130,0.5)</f>
      </c>
      <c r="RT131" s="271">
        <f>COUNTIF(RT121:RT130,0.5)</f>
      </c>
      <c r="RU131" s="271">
        <f>COUNTIF(RU121:RU130,0.5)</f>
      </c>
      <c r="RV131" s="271">
        <f>COUNTIF(RV121:RV130,0.5)</f>
      </c>
      <c r="RW131" s="271">
        <f>COUNTIF(RW121:RW130,0.5)</f>
      </c>
      <c r="RX131" s="271">
        <f>COUNTIF(RX121:RX130,0.5)</f>
      </c>
      <c r="RY131" s="271">
        <f>COUNTIF(RY121:RY130,0.5)</f>
      </c>
      <c r="RZ131" s="271">
        <f>COUNTIF(RZ121:RZ130,0.5)</f>
      </c>
      <c r="SA131" s="271">
        <f>COUNTIF(SA121:SA130,0.5)</f>
      </c>
      <c r="SB131" s="271">
        <f>COUNTIF(SB121:SB130,0.5)</f>
      </c>
      <c r="SC131" s="271">
        <f>COUNTIF(SC121:SC130,0.5)</f>
      </c>
      <c r="SD131" s="271">
        <f>COUNTIF(SD121:SD130,0.5)</f>
      </c>
      <c r="SE131" s="271">
        <f>COUNTIF(SE121:SE130,0.5)</f>
      </c>
      <c r="SF131" s="269"/>
      <c r="SG131" s="269"/>
      <c r="SH131" s="282"/>
      <c r="SI131" s="282"/>
      <c r="SJ131" s="273"/>
      <c r="SK131" s="271">
        <f>COUNTIF(SK121:SK130,0.5)</f>
      </c>
      <c r="SL131" s="271">
        <f>COUNTIF(SL121:SL130,0.5)</f>
      </c>
      <c r="SM131" s="271">
        <f>COUNTIF(SM121:SM130,0.5)</f>
      </c>
      <c r="SN131" s="271">
        <f>COUNTIF(SN121:SN130,0.5)</f>
      </c>
      <c r="SO131" s="271">
        <f>COUNTIF(SO121:SO130,0.5)</f>
      </c>
      <c r="SP131" s="271">
        <f>COUNTIF(SP121:SP130,0.5)</f>
      </c>
      <c r="SQ131" s="271">
        <f>COUNTIF(SQ121:SQ130,0.5)</f>
      </c>
      <c r="SR131" s="271">
        <f>COUNTIF(SR121:SR130,0.5)</f>
      </c>
      <c r="SS131" s="271">
        <f>COUNTIF(SS121:SS130,0.5)</f>
      </c>
      <c r="ST131" s="271">
        <f>COUNTIF(ST121:ST130,0.5)</f>
      </c>
      <c r="SU131" s="271">
        <f>COUNTIF(SU121:SU130,0.5)</f>
      </c>
      <c r="SV131" s="271">
        <f>COUNTIF(SV121:SV130,0.5)</f>
      </c>
      <c r="SW131" s="271">
        <f>COUNTIF(SW121:SW130,0.5)</f>
      </c>
      <c r="SX131" s="271">
        <f>COUNTIF(SX121:SX130,0.5)</f>
      </c>
      <c r="SY131" s="271">
        <f>COUNTIF(SY121:SY130,0.5)</f>
      </c>
      <c r="SZ131" s="271">
        <f>COUNTIF(SZ121:SZ130,0.5)</f>
      </c>
      <c r="TA131" s="271">
        <f>COUNTIF(TA121:TA130,0.5)</f>
      </c>
      <c r="TB131" s="271">
        <f>COUNTIF(TB121:TB130,0.5)</f>
      </c>
      <c r="TC131" s="271">
        <f>COUNTIF(TC121:TC130,0.5)</f>
      </c>
      <c r="TD131" s="271">
        <f>COUNTIF(TD121:TD130,0.5)</f>
      </c>
      <c r="TE131" s="271">
        <f>COUNTIF(TE121:TE130,0.5)</f>
      </c>
      <c r="TF131" s="271">
        <f>COUNTIF(TF121:TF130,0.5)</f>
      </c>
      <c r="TG131" s="271">
        <f>COUNTIF(TG121:TG130,0.5)</f>
      </c>
      <c r="TH131" s="271">
        <f>COUNTIF(TH121:TH130,0.5)</f>
      </c>
      <c r="TI131" s="269"/>
      <c r="TJ131" s="269"/>
      <c r="TK131" s="282"/>
      <c r="TL131" s="282"/>
      <c r="TM131" s="273"/>
      <c r="TN131" s="271">
        <f>COUNTIF(TN121:TN130,0.5)</f>
      </c>
      <c r="TO131" s="271">
        <f>COUNTIF(TO121:TO130,0.5)</f>
      </c>
      <c r="TP131" s="271">
        <f>COUNTIF(TP121:TP130,0.5)</f>
      </c>
      <c r="TQ131" s="271">
        <f>COUNTIF(TQ121:TQ130,0.5)</f>
      </c>
      <c r="TR131" s="271">
        <f>COUNTIF(TR121:TR130,0.5)</f>
      </c>
      <c r="TS131" s="271">
        <f>COUNTIF(TS121:TS130,0.5)</f>
      </c>
      <c r="TT131" s="271">
        <f>COUNTIF(TT121:TT130,0.5)</f>
      </c>
      <c r="TU131" s="271">
        <f>COUNTIF(TU121:TU130,0.5)</f>
      </c>
      <c r="TV131" s="271">
        <f>COUNTIF(TV121:TV130,0.5)</f>
      </c>
      <c r="TW131" s="271">
        <f>COUNTIF(TW121:TW130,0.5)</f>
      </c>
      <c r="TX131" s="271">
        <f>COUNTIF(TX121:TX130,0.5)</f>
      </c>
      <c r="TY131" s="271">
        <f>COUNTIF(TY121:TY130,0.5)</f>
      </c>
      <c r="TZ131" s="271">
        <f>COUNTIF(TZ121:TZ130,0.5)</f>
      </c>
      <c r="UA131" s="271">
        <f>COUNTIF(UA121:UA130,0.5)</f>
      </c>
      <c r="UB131" s="271">
        <f>COUNTIF(UB121:UB130,0.5)</f>
      </c>
      <c r="UC131" s="271">
        <f>COUNTIF(UC121:UC130,0.5)</f>
      </c>
      <c r="UD131" s="271">
        <f>COUNTIF(UD121:UD130,0.5)</f>
      </c>
      <c r="UE131" s="271">
        <f>COUNTIF(UE121:UE130,0.5)</f>
      </c>
      <c r="UF131" s="271">
        <f>COUNTIF(UF121:UF130,0.5)</f>
      </c>
      <c r="UG131" s="271">
        <f>COUNTIF(UG121:UG130,0.5)</f>
      </c>
      <c r="UH131" s="271">
        <f>COUNTIF(UH121:UH130,0.5)</f>
      </c>
      <c r="UI131" s="271">
        <f>COUNTIF(UI121:UI130,0.5)</f>
      </c>
      <c r="UJ131" s="271">
        <f>COUNTIF(UJ121:UJ130,0.5)</f>
      </c>
      <c r="UK131" s="271">
        <f>COUNTIF(UK121:UK130,0.5)</f>
      </c>
      <c r="UL131" s="269"/>
      <c r="UM131" s="269"/>
      <c r="UN131" s="282"/>
      <c r="UO131" s="657"/>
      <c r="UP131" s="273"/>
      <c r="UQ131" s="273"/>
      <c r="UR131" s="273"/>
      <c r="US131" s="273"/>
      <c r="UT131" s="273"/>
      <c r="UU131" s="273"/>
      <c r="UV131" s="273"/>
      <c r="UW131" s="273"/>
      <c r="UX131" s="273"/>
      <c r="UY131" s="273"/>
      <c r="UZ131" s="273"/>
      <c r="VA131" s="273"/>
      <c r="VB131" s="273"/>
      <c r="VC131" s="273"/>
      <c r="VD131" s="273"/>
      <c r="VE131" s="273"/>
      <c r="VF131" s="273"/>
      <c r="VG131" s="273"/>
      <c r="VH131" s="273"/>
      <c r="VI131" s="273"/>
      <c r="VJ131" s="273"/>
      <c r="VK131" s="273"/>
      <c r="VL131" s="273"/>
      <c r="VM131" s="273"/>
      <c r="VN131" s="273"/>
      <c r="VO131" s="273"/>
      <c r="VP131" s="273"/>
      <c r="VQ131" s="273"/>
      <c r="VR131" s="273"/>
      <c r="VS131" s="273"/>
      <c r="VT131" s="273"/>
      <c r="VU131" s="273"/>
      <c r="VV131" s="273"/>
      <c r="VW131" s="273"/>
      <c r="VX131" s="273"/>
      <c r="VY131" s="273"/>
      <c r="VZ131" s="273"/>
      <c r="WA131" s="273"/>
      <c r="WB131" s="273"/>
      <c r="WC131" s="273"/>
      <c r="WD131" s="273"/>
      <c r="WE131" s="273"/>
      <c r="WF131" s="273"/>
      <c r="WG131" s="273"/>
      <c r="WH131" s="273"/>
      <c r="WI131" s="273"/>
      <c r="WJ131" s="273"/>
      <c r="WK131" s="273"/>
      <c r="WL131" s="273"/>
      <c r="WM131" s="273"/>
      <c r="WN131" s="273"/>
      <c r="WO131" s="273"/>
      <c r="WP131" s="273"/>
      <c r="WQ131" s="273"/>
      <c r="WR131" s="269"/>
      <c r="WS131" s="269"/>
      <c r="WT131" s="657"/>
      <c r="WU131" s="657"/>
      <c r="WV131" s="657"/>
      <c r="WW131" s="659"/>
      <c r="WX131" s="359"/>
      <c r="WY131" s="273"/>
      <c r="WZ131" s="271">
        <f>COUNTIF(WZ121:WZ130,0.5)</f>
      </c>
      <c r="XA131" s="271">
        <f>COUNTIF(XA121:XA130,0.5)</f>
      </c>
      <c r="XB131" s="271">
        <f>COUNTIF(XB121:XB130,0.5)</f>
      </c>
      <c r="XC131" s="271">
        <f>COUNTIF(XC121:XC130,0.5)</f>
      </c>
      <c r="XD131" s="271">
        <f>COUNTIF(XD121:XD130,0.5)</f>
      </c>
      <c r="XE131" s="271">
        <f>COUNTIF(XE121:XE130,0.5)</f>
      </c>
      <c r="XF131" s="271">
        <f>COUNTIF(XF121:XF130,0.5)</f>
      </c>
      <c r="XG131" s="271">
        <f>COUNTIF(XG121:XG130,0.5)</f>
      </c>
      <c r="XH131" s="271">
        <f>COUNTIF(XH121:XH130,0.5)</f>
      </c>
      <c r="XI131" s="271">
        <f>COUNTIF(XI121:XI130,0.5)</f>
      </c>
      <c r="XJ131" s="271">
        <f>COUNTIF(XJ121:XJ130,0.5)</f>
      </c>
      <c r="XK131" s="271">
        <f>COUNTIF(XK121:XK130,0.5)</f>
      </c>
      <c r="XL131" s="271">
        <f>COUNTIF(XL121:XL130,0.5)</f>
      </c>
      <c r="XM131" s="271">
        <f>COUNTIF(XM121:XM130,0.5)</f>
      </c>
      <c r="XN131" s="271">
        <f>COUNTIF(XN121:XN130,0.5)</f>
      </c>
      <c r="XO131" s="271">
        <f>COUNTIF(XO121:XO130,0.5)</f>
      </c>
      <c r="XP131" s="271">
        <f>COUNTIF(XP121:XP130,0.5)</f>
      </c>
      <c r="XQ131" s="271">
        <f>COUNTIF(XQ121:XQ130,0.5)</f>
      </c>
      <c r="XR131" s="271">
        <f>COUNTIF(XR121:XR130,0.5)</f>
      </c>
      <c r="XS131" s="271">
        <f>COUNTIF(XS121:XS130,0.5)</f>
      </c>
      <c r="XT131" s="271">
        <f>COUNTIF(XT121:XT130,0.5)</f>
      </c>
      <c r="XU131" s="271">
        <f>COUNTIF(XU121:XU130,0.5)</f>
      </c>
      <c r="XV131" s="271">
        <f>COUNTIF(XV121:XV130,0.5)</f>
      </c>
      <c r="XW131" s="271">
        <f>COUNTIF(XW121:XW130,0.5)</f>
      </c>
      <c r="XX131" s="269"/>
      <c r="XY131" s="269"/>
      <c r="XZ131" s="657"/>
      <c r="YA131" s="657"/>
      <c r="YB131" s="273"/>
      <c r="YC131" s="271">
        <f>COUNTIF(YC121:YC130,0.5)</f>
      </c>
      <c r="YD131" s="271">
        <f>COUNTIF(YD121:YD130,0.5)</f>
      </c>
      <c r="YE131" s="271">
        <f>COUNTIF(YE121:YE130,0.5)</f>
      </c>
      <c r="YF131" s="271">
        <f>COUNTIF(YF121:YF130,0.5)</f>
      </c>
      <c r="YG131" s="271">
        <f>COUNTIF(YG121:YG130,0.5)</f>
      </c>
      <c r="YH131" s="271">
        <f>COUNTIF(YH121:YH130,0.5)</f>
      </c>
      <c r="YI131" s="271">
        <f>COUNTIF(YI121:YI130,0.5)</f>
      </c>
      <c r="YJ131" s="271">
        <f>COUNTIF(YJ121:YJ130,0.5)</f>
      </c>
      <c r="YK131" s="271">
        <f>COUNTIF(YK121:YK130,0.5)</f>
      </c>
      <c r="YL131" s="271">
        <f>COUNTIF(YL121:YL130,0.5)</f>
      </c>
      <c r="YM131" s="271">
        <f>COUNTIF(YM121:YM130,0.5)</f>
      </c>
      <c r="YN131" s="271">
        <f>COUNTIF(YN121:YN130,0.5)</f>
      </c>
      <c r="YO131" s="271">
        <f>COUNTIF(YO121:YO130,0.5)</f>
      </c>
      <c r="YP131" s="271">
        <f>COUNTIF(YP121:YP130,0.5)</f>
      </c>
      <c r="YQ131" s="271">
        <f>COUNTIF(YQ121:YQ130,0.5)</f>
      </c>
      <c r="YR131" s="271">
        <f>COUNTIF(YR121:YR130,0.5)</f>
      </c>
      <c r="YS131" s="271">
        <f>COUNTIF(YS121:YS130,0.5)</f>
      </c>
      <c r="YT131" s="271">
        <f>COUNTIF(YT121:YT130,0.5)</f>
      </c>
      <c r="YU131" s="271">
        <f>COUNTIF(YU121:YU130,0.5)</f>
      </c>
      <c r="YV131" s="271">
        <f>COUNTIF(YV121:YV130,0.5)</f>
      </c>
      <c r="YW131" s="271">
        <f>COUNTIF(YW121:YW130,0.5)</f>
      </c>
      <c r="YX131" s="271">
        <f>COUNTIF(YX121:YX130,0.5)</f>
      </c>
      <c r="YY131" s="271">
        <f>COUNTIF(YY121:YY130,0.5)</f>
      </c>
      <c r="YZ131" s="271">
        <f>COUNTIF(YZ121:YZ130,0.5)</f>
      </c>
      <c r="ZA131" s="269"/>
      <c r="ZB131" s="269"/>
      <c r="ZC131" s="657"/>
      <c r="ZD131" s="657"/>
      <c r="ZE131" s="273"/>
      <c r="ZF131" s="271">
        <f>COUNTIF(ZF121:ZF130,0.5)</f>
      </c>
      <c r="ZG131" s="271">
        <f>COUNTIF(ZG121:ZG130,0.5)</f>
      </c>
      <c r="ZH131" s="271">
        <f>COUNTIF(ZH121:ZH130,0.5)</f>
      </c>
      <c r="ZI131" s="271">
        <f>COUNTIF(ZI121:ZI130,0.5)</f>
      </c>
      <c r="ZJ131" s="271">
        <f>COUNTIF(ZJ121:ZJ130,0.5)</f>
      </c>
      <c r="ZK131" s="271">
        <f>COUNTIF(ZK121:ZK130,0.5)</f>
      </c>
      <c r="ZL131" s="271">
        <f>COUNTIF(ZL121:ZL130,0.5)</f>
      </c>
      <c r="ZM131" s="271">
        <f>COUNTIF(ZM121:ZM130,0.5)</f>
      </c>
      <c r="ZN131" s="271">
        <f>COUNTIF(ZN121:ZN130,0.5)</f>
      </c>
      <c r="ZO131" s="271">
        <f>COUNTIF(ZO121:ZO130,0.5)</f>
      </c>
      <c r="ZP131" s="271">
        <f>COUNTIF(ZP121:ZP130,0.5)</f>
      </c>
      <c r="ZQ131" s="271">
        <f>COUNTIF(ZQ121:ZQ130,0.5)</f>
      </c>
      <c r="ZR131" s="271">
        <f>COUNTIF(ZR121:ZR130,0.5)</f>
      </c>
      <c r="ZS131" s="271">
        <f>COUNTIF(ZS121:ZS130,0.5)</f>
      </c>
      <c r="ZT131" s="271">
        <f>COUNTIF(ZT121:ZT130,0.5)</f>
      </c>
      <c r="ZU131" s="271">
        <f>COUNTIF(ZU121:ZU130,0.5)</f>
      </c>
      <c r="ZV131" s="271">
        <f>COUNTIF(ZV121:ZV130,0.5)</f>
      </c>
      <c r="ZW131" s="271">
        <f>COUNTIF(ZW121:ZW130,0.5)</f>
      </c>
      <c r="ZX131" s="271">
        <f>COUNTIF(ZX121:ZX130,0.5)</f>
      </c>
      <c r="ZY131" s="271">
        <f>COUNTIF(ZY121:ZY130,0.5)</f>
      </c>
      <c r="ZZ131" s="271">
        <f>COUNTIF(ZZ121:ZZ130,0.5)</f>
      </c>
      <c r="AAA131" s="271">
        <f>COUNTIF(AAA121:AAA130,0.5)</f>
      </c>
      <c r="AAB131" s="271">
        <f>COUNTIF(AAB121:AAB130,0.5)</f>
      </c>
      <c r="AAC131" s="271">
        <f>COUNTIF(AAC121:AAC130,0.5)</f>
      </c>
      <c r="AAD131" s="269"/>
      <c r="AAE131" s="269"/>
      <c r="AAF131" s="657"/>
      <c r="AAG131" s="657"/>
      <c r="AAH131" s="273"/>
      <c r="AAI131" s="271">
        <f>COUNTIF(AAI121:AAI130,0.5)</f>
      </c>
      <c r="AAJ131" s="271">
        <f>COUNTIF(AAJ121:AAJ130,0.5)</f>
      </c>
      <c r="AAK131" s="271">
        <f>COUNTIF(AAK121:AAK130,0.5)</f>
      </c>
      <c r="AAL131" s="271">
        <f>COUNTIF(AAL121:AAL130,0.5)</f>
      </c>
      <c r="AAM131" s="271">
        <f>COUNTIF(AAM121:AAM130,0.5)</f>
      </c>
      <c r="AAN131" s="271">
        <f>COUNTIF(AAN121:AAN130,0.5)</f>
      </c>
      <c r="AAO131" s="271">
        <f>COUNTIF(AAO121:AAO130,0.5)</f>
      </c>
      <c r="AAP131" s="271">
        <f>COUNTIF(AAP121:AAP130,0.5)</f>
      </c>
      <c r="AAQ131" s="271">
        <f>COUNTIF(AAQ121:AAQ130,0.5)</f>
      </c>
      <c r="AAR131" s="271">
        <f>COUNTIF(AAR121:AAR130,0.5)</f>
      </c>
      <c r="AAS131" s="271">
        <f>COUNTIF(AAS121:AAS130,0.5)</f>
      </c>
      <c r="AAT131" s="271">
        <f>COUNTIF(AAT121:AAT130,0.5)</f>
      </c>
      <c r="AAU131" s="271">
        <f>COUNTIF(AAU121:AAU130,0.5)</f>
      </c>
      <c r="AAV131" s="271">
        <f>COUNTIF(AAV121:AAV130,0.5)</f>
      </c>
      <c r="AAW131" s="271">
        <f>COUNTIF(AAW121:AAW130,0.5)</f>
      </c>
      <c r="AAX131" s="271">
        <f>COUNTIF(AAX121:AAX130,0.5)</f>
      </c>
      <c r="AAY131" s="271">
        <f>COUNTIF(AAY121:AAY130,0.5)</f>
      </c>
      <c r="AAZ131" s="271">
        <f>COUNTIF(AAZ121:AAZ130,0.5)</f>
      </c>
      <c r="ABA131" s="271">
        <f>COUNTIF(ABA121:ABA130,0.5)</f>
      </c>
      <c r="ABB131" s="271">
        <f>COUNTIF(ABB121:ABB130,0.5)</f>
      </c>
      <c r="ABC131" s="271">
        <f>COUNTIF(ABC121:ABC130,0.5)</f>
      </c>
      <c r="ABD131" s="271">
        <f>COUNTIF(ABD121:ABD130,0.5)</f>
      </c>
      <c r="ABE131" s="271">
        <f>COUNTIF(ABE121:ABE130,0.5)</f>
      </c>
      <c r="ABF131" s="271">
        <f>COUNTIF(ABF121:ABF130,0.5)</f>
      </c>
      <c r="ABG131" s="269"/>
      <c r="ABH131" s="269"/>
      <c r="ABI131" s="657"/>
      <c r="ABJ131" s="657"/>
      <c r="ABK131" s="273"/>
      <c r="ABL131" s="271">
        <f>COUNTIF(ABL121:ABL130,0.5)</f>
      </c>
      <c r="ABM131" s="271">
        <f>COUNTIF(ABM121:ABM130,0.5)</f>
      </c>
      <c r="ABN131" s="271">
        <f>COUNTIF(ABN121:ABN130,0.5)</f>
      </c>
      <c r="ABO131" s="271">
        <f>COUNTIF(ABO121:ABO130,0.5)</f>
      </c>
      <c r="ABP131" s="271">
        <f>COUNTIF(ABP121:ABP130,0.5)</f>
      </c>
      <c r="ABQ131" s="271">
        <f>COUNTIF(ABQ121:ABQ130,0.5)</f>
      </c>
      <c r="ABR131" s="271">
        <f>COUNTIF(ABR121:ABR130,0.5)</f>
      </c>
      <c r="ABS131" s="271">
        <f>COUNTIF(ABS121:ABS130,0.5)</f>
      </c>
      <c r="ABT131" s="271">
        <f>COUNTIF(ABT121:ABT130,0.5)</f>
      </c>
      <c r="ABU131" s="271">
        <f>COUNTIF(ABU121:ABU130,0.5)</f>
      </c>
      <c r="ABV131" s="271">
        <f>COUNTIF(ABV121:ABV130,0.5)</f>
      </c>
      <c r="ABW131" s="271">
        <f>COUNTIF(ABW121:ABW130,0.5)</f>
      </c>
      <c r="ABX131" s="271">
        <f>COUNTIF(ABX121:ABX130,0.5)</f>
      </c>
      <c r="ABY131" s="271">
        <f>COUNTIF(ABY121:ABY130,0.5)</f>
      </c>
      <c r="ABZ131" s="271">
        <f>COUNTIF(ABZ121:ABZ130,0.5)</f>
      </c>
      <c r="ACA131" s="271">
        <f>COUNTIF(ACA121:ACA130,0.5)</f>
      </c>
      <c r="ACB131" s="271">
        <f>COUNTIF(ACB121:ACB130,0.5)</f>
      </c>
      <c r="ACC131" s="271">
        <f>COUNTIF(ACC121:ACC130,0.5)</f>
      </c>
      <c r="ACD131" s="271">
        <f>COUNTIF(ACD121:ACD130,0.5)</f>
      </c>
      <c r="ACE131" s="271">
        <f>COUNTIF(ACE121:ACE130,0.5)</f>
      </c>
      <c r="ACF131" s="271">
        <f>COUNTIF(ACF121:ACF130,0.5)</f>
      </c>
      <c r="ACG131" s="271">
        <f>COUNTIF(ACG121:ACG130,0.5)</f>
      </c>
      <c r="ACH131" s="271">
        <f>COUNTIF(ACH121:ACH130,0.5)</f>
      </c>
      <c r="ACI131" s="271">
        <f>COUNTIF(ACI121:ACI130,0.5)</f>
      </c>
      <c r="ACJ131" s="269"/>
      <c r="ACK131" s="269"/>
      <c r="ACL131" s="657"/>
      <c r="ACM131" s="657"/>
      <c r="ACN131" s="273"/>
      <c r="ACO131" s="273"/>
      <c r="ACP131" s="273"/>
      <c r="ACQ131" s="273"/>
      <c r="ACR131" s="273"/>
      <c r="ACS131" s="273"/>
      <c r="ACT131" s="273"/>
      <c r="ACU131" s="273"/>
      <c r="ACV131" s="273"/>
      <c r="ACW131" s="273"/>
      <c r="ACX131" s="273"/>
      <c r="ACY131" s="273"/>
      <c r="ACZ131" s="273"/>
      <c r="ADA131" s="273"/>
      <c r="ADB131" s="273"/>
      <c r="ADC131" s="273"/>
      <c r="ADD131" s="273"/>
      <c r="ADE131" s="273"/>
      <c r="ADF131" s="273"/>
      <c r="ADG131" s="273"/>
      <c r="ADH131" s="273"/>
      <c r="ADI131" s="273"/>
      <c r="ADJ131" s="273"/>
      <c r="ADK131" s="273"/>
      <c r="ADL131" s="273"/>
      <c r="ADM131" s="273"/>
      <c r="ADN131" s="273"/>
      <c r="ADO131" s="273"/>
      <c r="ADP131" s="273"/>
      <c r="ADQ131" s="273"/>
      <c r="ADR131" s="273"/>
      <c r="ADS131" s="273"/>
      <c r="ADT131" s="273"/>
      <c r="ADU131" s="273"/>
      <c r="ADV131" s="273"/>
      <c r="ADW131" s="273"/>
      <c r="ADX131" s="273"/>
      <c r="ADY131" s="273"/>
      <c r="ADZ131" s="273"/>
      <c r="AEA131" s="273"/>
      <c r="AEB131" s="273"/>
      <c r="AEC131" s="273"/>
      <c r="AED131" s="273"/>
      <c r="AEE131" s="273"/>
      <c r="AEF131" s="273"/>
      <c r="AEG131" s="273"/>
      <c r="AEH131" s="273"/>
      <c r="AEI131" s="273"/>
      <c r="AEJ131" s="273"/>
      <c r="AEK131" s="273"/>
      <c r="AEL131" s="273"/>
      <c r="AEM131" s="273"/>
      <c r="AEN131" s="273"/>
      <c r="AEO131" s="273"/>
      <c r="AEP131" s="269"/>
      <c r="AEQ131" s="269"/>
      <c r="AER131" s="657"/>
      <c r="AES131" s="657"/>
      <c r="AET131" s="657"/>
      <c r="AEU131" s="659"/>
      <c r="AEV131" s="359"/>
      <c r="AEW131" s="273"/>
      <c r="AEX131" s="271">
        <f>COUNTIF(AEX121:AEX130,0.5)</f>
      </c>
      <c r="AEY131" s="271">
        <f>COUNTIF(AEY121:AEY130,0.5)</f>
      </c>
      <c r="AEZ131" s="271">
        <f>COUNTIF(AEZ121:AEZ130,0.5)</f>
      </c>
      <c r="AFA131" s="271">
        <f>COUNTIF(AFA121:AFA130,0.5)</f>
      </c>
      <c r="AFB131" s="271">
        <f>COUNTIF(AFB121:AFB130,0.5)</f>
      </c>
      <c r="AFC131" s="271">
        <f>COUNTIF(AFC121:AFC130,0.5)</f>
      </c>
      <c r="AFD131" s="271">
        <f>COUNTIF(AFD121:AFD130,0.5)</f>
      </c>
      <c r="AFE131" s="271">
        <f>COUNTIF(AFE121:AFE130,0.5)</f>
      </c>
      <c r="AFF131" s="271">
        <f>COUNTIF(AFF121:AFF130,0.5)</f>
      </c>
      <c r="AFG131" s="271">
        <f>COUNTIF(AFG121:AFG130,0.5)</f>
      </c>
      <c r="AFH131" s="271">
        <f>COUNTIF(AFH121:AFH130,0.5)</f>
      </c>
      <c r="AFI131" s="271">
        <f>COUNTIF(AFI121:AFI130,0.5)</f>
      </c>
      <c r="AFJ131" s="271">
        <f>COUNTIF(AFJ121:AFJ130,0.5)</f>
      </c>
      <c r="AFK131" s="271">
        <f>COUNTIF(AFK121:AFK130,0.5)</f>
      </c>
      <c r="AFL131" s="271">
        <f>COUNTIF(AFL121:AFL130,0.5)</f>
      </c>
      <c r="AFM131" s="271">
        <f>COUNTIF(AFM121:AFM130,0.5)</f>
      </c>
      <c r="AFN131" s="271">
        <f>COUNTIF(AFN121:AFN130,0.5)</f>
      </c>
      <c r="AFO131" s="271">
        <f>COUNTIF(AFO121:AFO130,0.5)</f>
      </c>
      <c r="AFP131" s="271">
        <f>COUNTIF(AFP121:AFP130,0.5)</f>
      </c>
      <c r="AFQ131" s="271">
        <f>COUNTIF(AFQ121:AFQ130,0.5)</f>
      </c>
      <c r="AFR131" s="271">
        <f>COUNTIF(AFR121:AFR130,0.5)</f>
      </c>
      <c r="AFS131" s="271">
        <f>COUNTIF(AFS121:AFS130,0.5)</f>
      </c>
      <c r="AFT131" s="271">
        <f>COUNTIF(AFT121:AFT130,0.5)</f>
      </c>
      <c r="AFU131" s="271">
        <f>COUNTIF(AFU121:AFU130,0.5)</f>
      </c>
      <c r="AFV131" s="269"/>
      <c r="AFW131" s="269"/>
      <c r="AFX131" s="657"/>
      <c r="AFY131" s="657"/>
      <c r="AFZ131" s="273"/>
      <c r="AGA131" s="271">
        <f>COUNTIF(AGA121:AGA130,0.5)</f>
      </c>
      <c r="AGB131" s="271">
        <f>COUNTIF(AGB121:AGB130,0.5)</f>
      </c>
      <c r="AGC131" s="271">
        <f>COUNTIF(AGC121:AGC130,0.5)</f>
      </c>
      <c r="AGD131" s="271">
        <f>COUNTIF(AGD121:AGD130,0.5)</f>
      </c>
      <c r="AGE131" s="271">
        <f>COUNTIF(AGE121:AGE130,0.5)</f>
      </c>
      <c r="AGF131" s="271">
        <f>COUNTIF(AGF121:AGF130,0.5)</f>
      </c>
      <c r="AGG131" s="271">
        <f>COUNTIF(AGG121:AGG130,0.5)</f>
      </c>
      <c r="AGH131" s="271">
        <f>COUNTIF(AGH121:AGH130,0.5)</f>
      </c>
      <c r="AGI131" s="271">
        <f>COUNTIF(AGI121:AGI130,0.5)</f>
      </c>
      <c r="AGJ131" s="271">
        <f>COUNTIF(AGJ121:AGJ130,0.5)</f>
      </c>
      <c r="AGK131" s="271">
        <f>COUNTIF(AGK121:AGK130,0.5)</f>
      </c>
      <c r="AGL131" s="271">
        <f>COUNTIF(AGL121:AGL130,0.5)</f>
      </c>
      <c r="AGM131" s="271">
        <f>COUNTIF(AGM121:AGM130,0.5)</f>
      </c>
      <c r="AGN131" s="271">
        <f>COUNTIF(AGN121:AGN130,0.5)</f>
      </c>
      <c r="AGO131" s="271">
        <f>COUNTIF(AGO121:AGO130,0.5)</f>
      </c>
      <c r="AGP131" s="271">
        <f>COUNTIF(AGP121:AGP130,0.5)</f>
      </c>
      <c r="AGQ131" s="271">
        <f>COUNTIF(AGQ121:AGQ130,0.5)</f>
      </c>
      <c r="AGR131" s="271">
        <f>COUNTIF(AGR121:AGR130,0.5)</f>
      </c>
      <c r="AGS131" s="271">
        <f>COUNTIF(AGS121:AGS130,0.5)</f>
      </c>
      <c r="AGT131" s="271">
        <f>COUNTIF(AGT121:AGT130,0.5)</f>
      </c>
      <c r="AGU131" s="271">
        <f>COUNTIF(AGU121:AGU130,0.5)</f>
      </c>
      <c r="AGV131" s="271">
        <f>COUNTIF(AGV121:AGV130,0.5)</f>
      </c>
      <c r="AGW131" s="271">
        <f>COUNTIF(AGW121:AGW130,0.5)</f>
      </c>
      <c r="AGX131" s="271">
        <f>COUNTIF(AGX121:AGX130,0.5)</f>
      </c>
      <c r="AGY131" s="269"/>
      <c r="AGZ131" s="269"/>
      <c r="AHA131" s="657"/>
      <c r="AHB131" s="657"/>
      <c r="AHC131" s="273"/>
      <c r="AHD131" s="271">
        <f>COUNTIF(AHD121:AHD130,0.5)</f>
      </c>
      <c r="AHE131" s="271">
        <f>COUNTIF(AHE121:AHE130,0.5)</f>
      </c>
      <c r="AHF131" s="271">
        <f>COUNTIF(AHF121:AHF130,0.5)</f>
      </c>
      <c r="AHG131" s="271">
        <f>COUNTIF(AHG121:AHG130,0.5)</f>
      </c>
      <c r="AHH131" s="271">
        <f>COUNTIF(AHH121:AHH130,0.5)</f>
      </c>
      <c r="AHI131" s="271">
        <f>COUNTIF(AHI121:AHI130,0.5)</f>
      </c>
      <c r="AHJ131" s="271">
        <f>COUNTIF(AHJ121:AHJ130,0.5)</f>
      </c>
      <c r="AHK131" s="271">
        <f>COUNTIF(AHK121:AHK130,0.5)</f>
      </c>
      <c r="AHL131" s="271">
        <f>COUNTIF(AHL121:AHL130,0.5)</f>
      </c>
      <c r="AHM131" s="271">
        <f>COUNTIF(AHM121:AHM130,0.5)</f>
      </c>
      <c r="AHN131" s="271">
        <f>COUNTIF(AHN121:AHN130,0.5)</f>
      </c>
      <c r="AHO131" s="271">
        <f>COUNTIF(AHO121:AHO130,0.5)</f>
      </c>
      <c r="AHP131" s="271">
        <f>COUNTIF(AHP121:AHP130,0.5)</f>
      </c>
      <c r="AHQ131" s="271">
        <f>COUNTIF(AHQ121:AHQ130,0.5)</f>
      </c>
      <c r="AHR131" s="271">
        <f>COUNTIF(AHR121:AHR130,0.5)</f>
      </c>
      <c r="AHS131" s="271">
        <f>COUNTIF(AHS121:AHS130,0.5)</f>
      </c>
      <c r="AHT131" s="271">
        <f>COUNTIF(AHT121:AHT130,0.5)</f>
      </c>
      <c r="AHU131" s="271">
        <f>COUNTIF(AHU121:AHU130,0.5)</f>
      </c>
      <c r="AHV131" s="271">
        <f>COUNTIF(AHV121:AHV130,0.5)</f>
      </c>
      <c r="AHW131" s="271">
        <f>COUNTIF(AHW121:AHW130,0.5)</f>
      </c>
      <c r="AHX131" s="271">
        <f>COUNTIF(AHX121:AHX130,0.5)</f>
      </c>
      <c r="AHY131" s="271">
        <f>COUNTIF(AHY121:AHY130,0.5)</f>
      </c>
      <c r="AHZ131" s="271">
        <f>COUNTIF(AHZ121:AHZ130,0.5)</f>
      </c>
      <c r="AIA131" s="271">
        <f>COUNTIF(AIA121:AIA130,0.5)</f>
      </c>
      <c r="AIB131" s="269"/>
      <c r="AIC131" s="269"/>
      <c r="AID131" s="657"/>
      <c r="AIE131" s="657"/>
      <c r="AIF131" s="273"/>
      <c r="AIG131" s="271">
        <f>COUNTIF(AIG121:AIG130,0.5)</f>
      </c>
      <c r="AIH131" s="271">
        <f>COUNTIF(AIH121:AIH130,0.5)</f>
      </c>
      <c r="AII131" s="271">
        <f>COUNTIF(AII121:AII130,0.5)</f>
      </c>
      <c r="AIJ131" s="271">
        <f>COUNTIF(AIJ121:AIJ130,0.5)</f>
      </c>
      <c r="AIK131" s="271">
        <f>COUNTIF(AIK121:AIK130,0.5)</f>
      </c>
      <c r="AIL131" s="271">
        <f>COUNTIF(AIL121:AIL130,0.5)</f>
      </c>
      <c r="AIM131" s="271">
        <f>COUNTIF(AIM121:AIM130,0.5)</f>
      </c>
      <c r="AIN131" s="271">
        <f>COUNTIF(AIN121:AIN130,0.5)</f>
      </c>
      <c r="AIO131" s="271">
        <f>COUNTIF(AIO121:AIO130,0.5)</f>
      </c>
      <c r="AIP131" s="271">
        <f>COUNTIF(AIP121:AIP130,0.5)</f>
      </c>
      <c r="AIQ131" s="271">
        <f>COUNTIF(AIQ121:AIQ130,0.5)</f>
      </c>
      <c r="AIR131" s="271">
        <f>COUNTIF(AIR121:AIR130,0.5)</f>
      </c>
      <c r="AIS131" s="271">
        <f>COUNTIF(AIS121:AIS130,0.5)</f>
      </c>
      <c r="AIT131" s="271">
        <f>COUNTIF(AIT121:AIT130,0.5)</f>
      </c>
      <c r="AIU131" s="271">
        <f>COUNTIF(AIU121:AIU130,0.5)</f>
      </c>
      <c r="AIV131" s="271">
        <f>COUNTIF(AIV121:AIV130,0.5)</f>
      </c>
      <c r="AIW131" s="271">
        <f>COUNTIF(AIW121:AIW130,0.5)</f>
      </c>
      <c r="AIX131" s="271">
        <f>COUNTIF(AIX121:AIX130,0.5)</f>
      </c>
      <c r="AIY131" s="271">
        <f>COUNTIF(AIY121:AIY130,0.5)</f>
      </c>
      <c r="AIZ131" s="271">
        <f>COUNTIF(AIZ121:AIZ130,0.5)</f>
      </c>
      <c r="AJA131" s="271">
        <f>COUNTIF(AJA121:AJA130,0.5)</f>
      </c>
      <c r="AJB131" s="271">
        <f>COUNTIF(AJB121:AJB130,0.5)</f>
      </c>
      <c r="AJC131" s="271">
        <f>COUNTIF(AJC121:AJC130,0.5)</f>
      </c>
      <c r="AJD131" s="271">
        <f>COUNTIF(AJD121:AJD130,0.5)</f>
      </c>
      <c r="AJE131" s="269"/>
      <c r="AJF131" s="269"/>
      <c r="AJG131" s="657"/>
      <c r="AJH131" s="657"/>
      <c r="AJI131" s="273"/>
      <c r="AJJ131" s="271">
        <f>COUNTIF(AJJ121:AJJ130,0.5)</f>
      </c>
      <c r="AJK131" s="271">
        <f>COUNTIF(AJK121:AJK130,0.5)</f>
      </c>
      <c r="AJL131" s="271">
        <f>COUNTIF(AJL121:AJL130,0.5)</f>
      </c>
      <c r="AJM131" s="271">
        <f>COUNTIF(AJM121:AJM130,0.5)</f>
      </c>
      <c r="AJN131" s="271">
        <f>COUNTIF(AJN121:AJN130,0.5)</f>
      </c>
      <c r="AJO131" s="271">
        <f>COUNTIF(AJO121:AJO130,0.5)</f>
      </c>
      <c r="AJP131" s="271">
        <f>COUNTIF(AJP121:AJP130,0.5)</f>
      </c>
      <c r="AJQ131" s="271">
        <f>COUNTIF(AJQ121:AJQ130,0.5)</f>
      </c>
      <c r="AJR131" s="271">
        <f>COUNTIF(AJR121:AJR130,0.5)</f>
      </c>
      <c r="AJS131" s="271">
        <f>COUNTIF(AJS121:AJS130,0.5)</f>
      </c>
      <c r="AJT131" s="271">
        <f>COUNTIF(AJT121:AJT130,0.5)</f>
      </c>
      <c r="AJU131" s="271">
        <f>COUNTIF(AJU121:AJU130,0.5)</f>
      </c>
      <c r="AJV131" s="271">
        <f>COUNTIF(AJV121:AJV130,0.5)</f>
      </c>
      <c r="AJW131" s="271">
        <f>COUNTIF(AJW121:AJW130,0.5)</f>
      </c>
      <c r="AJX131" s="271">
        <f>COUNTIF(AJX121:AJX130,0.5)</f>
      </c>
      <c r="AJY131" s="271">
        <f>COUNTIF(AJY121:AJY130,0.5)</f>
      </c>
      <c r="AJZ131" s="271">
        <f>COUNTIF(AJZ121:AJZ130,0.5)</f>
      </c>
      <c r="AKA131" s="271">
        <f>COUNTIF(AKA121:AKA130,0.5)</f>
      </c>
      <c r="AKB131" s="271">
        <f>COUNTIF(AKB121:AKB130,0.5)</f>
      </c>
      <c r="AKC131" s="271">
        <f>COUNTIF(AKC121:AKC130,0.5)</f>
      </c>
      <c r="AKD131" s="271">
        <f>COUNTIF(AKD121:AKD130,0.5)</f>
      </c>
      <c r="AKE131" s="271">
        <f>COUNTIF(AKE121:AKE130,0.5)</f>
      </c>
      <c r="AKF131" s="271">
        <f>COUNTIF(AKF121:AKF130,0.5)</f>
      </c>
      <c r="AKG131" s="271">
        <f>COUNTIF(AKG121:AKG130,0.5)</f>
      </c>
      <c r="AKH131" s="269"/>
      <c r="AKI131" s="269"/>
      <c r="AKJ131" s="657"/>
      <c r="AKK131" s="657"/>
      <c r="AKL131" s="273"/>
      <c r="AKM131" s="273"/>
      <c r="AKN131" s="273"/>
      <c r="AKO131" s="273"/>
      <c r="AKP131" s="273"/>
      <c r="AKQ131" s="273"/>
      <c r="AKR131" s="273"/>
      <c r="AKS131" s="273"/>
      <c r="AKT131" s="273"/>
      <c r="AKU131" s="273"/>
      <c r="AKV131" s="273"/>
      <c r="AKW131" s="273"/>
      <c r="AKX131" s="273"/>
      <c r="AKY131" s="273"/>
      <c r="AKZ131" s="273"/>
      <c r="ALA131" s="273"/>
      <c r="ALB131" s="273"/>
      <c r="ALC131" s="273"/>
      <c r="ALD131" s="273"/>
      <c r="ALE131" s="273"/>
      <c r="ALF131" s="273"/>
      <c r="ALG131" s="273"/>
      <c r="ALH131" s="273"/>
      <c r="ALI131" s="273"/>
      <c r="ALJ131" s="273"/>
      <c r="ALK131" s="273"/>
      <c r="ALL131" s="273"/>
      <c r="ALM131" s="273"/>
      <c r="ALN131" s="273"/>
      <c r="ALO131" s="273"/>
      <c r="ALP131" s="273"/>
      <c r="ALQ131" s="273"/>
      <c r="ALR131" s="273"/>
      <c r="ALS131" s="273"/>
      <c r="ALT131" s="273"/>
      <c r="ALU131" s="273"/>
      <c r="ALV131" s="273"/>
      <c r="ALW131" s="273"/>
      <c r="ALX131" s="273"/>
      <c r="ALY131" s="273"/>
      <c r="ALZ131" s="273"/>
      <c r="AMA131" s="273"/>
      <c r="AMB131" s="273"/>
      <c r="AMC131" s="273"/>
      <c r="AMD131" s="273"/>
      <c r="AME131" s="273"/>
      <c r="AMF131" s="273"/>
      <c r="AMG131" s="273"/>
      <c r="AMH131" s="273"/>
      <c r="AMI131" s="273"/>
      <c r="AMJ131" s="273"/>
      <c r="AMK131" s="273"/>
      <c r="AML131" s="273"/>
      <c r="AMM131" s="273"/>
      <c r="AMN131" s="269"/>
      <c r="AMO131" s="269"/>
      <c r="AMP131" s="657"/>
      <c r="AMQ131" s="657"/>
      <c r="AMR131" s="657"/>
      <c r="AMS131" s="659"/>
      <c r="AMT131" s="4"/>
      <c r="AMU131" s="4"/>
      <c r="AMV131" s="4"/>
      <c r="AMW131" s="4"/>
      <c r="AMX131" s="4"/>
      <c r="AMY131" s="4"/>
      <c r="AMZ131" s="4"/>
      <c r="ANA131" s="4"/>
      <c r="ANB131" s="4"/>
      <c r="ANC131" s="4"/>
      <c r="AND131" s="4"/>
      <c r="ANE131" s="4"/>
      <c r="ANF131" s="4"/>
      <c r="ANG131" s="4"/>
      <c r="ANH131" s="4"/>
      <c r="ANI131" s="4"/>
      <c r="ANJ131" s="4"/>
      <c r="ANK131" s="4"/>
      <c r="ANL131" s="4"/>
      <c r="ANM131" s="4"/>
      <c r="ANN131" s="4"/>
      <c r="ANO131" s="4"/>
      <c r="ANP131" s="4"/>
      <c r="ANQ131" s="4"/>
      <c r="ANR131" s="4"/>
      <c r="ANS131" s="4"/>
      <c r="ANT131" s="4"/>
      <c r="ANU131" s="4"/>
      <c r="ANV131" s="4"/>
      <c r="ANW131" s="4"/>
      <c r="ANX131" s="4"/>
      <c r="ANY131" s="4"/>
      <c r="ANZ131" s="4"/>
      <c r="AOA131" s="4"/>
      <c r="AOB131" s="4"/>
      <c r="AOC131" s="4"/>
      <c r="AOD131" s="4"/>
      <c r="AOE131" s="4"/>
      <c r="AOF131" s="4"/>
      <c r="AOG131" s="4"/>
      <c r="AOH131" s="4"/>
      <c r="AOI131" s="4"/>
      <c r="AOJ131" s="4"/>
      <c r="AOK131" s="4"/>
      <c r="AOL131" s="4"/>
      <c r="AOM131" s="4"/>
      <c r="AON131" s="4"/>
      <c r="AOO131" s="4"/>
      <c r="AOP131" s="4"/>
      <c r="AOQ131" s="4"/>
      <c r="AOR131" s="4"/>
      <c r="AOS131" s="4"/>
      <c r="AOT131" s="4"/>
      <c r="AOU131" s="4"/>
      <c r="AOV131" s="4"/>
      <c r="AOW131" s="4"/>
      <c r="AOX131" s="4"/>
      <c r="AOY131" s="4"/>
      <c r="AOZ131" s="4"/>
      <c r="APA131" s="4"/>
      <c r="APB131" s="4"/>
      <c r="APC131" s="4"/>
      <c r="APD131" s="4"/>
      <c r="APE131" s="4"/>
      <c r="APF131" s="4"/>
      <c r="APG131" s="4"/>
      <c r="APH131" s="4"/>
      <c r="API131" s="4"/>
      <c r="APJ131" s="4"/>
      <c r="APK131" s="4"/>
      <c r="APL131" s="4"/>
      <c r="APM131" s="4"/>
      <c r="APN131" s="4"/>
      <c r="APO131" s="4"/>
      <c r="APP131" s="4"/>
      <c r="APQ131" s="4"/>
      <c r="APR131" s="4"/>
      <c r="APS131" s="4"/>
      <c r="APT131" s="4"/>
      <c r="APU131" s="4"/>
      <c r="APV131" s="4"/>
      <c r="APW131" s="4"/>
      <c r="APX131" s="4"/>
      <c r="APY131" s="4"/>
      <c r="APZ131" s="4"/>
      <c r="AQA131" s="4"/>
      <c r="AQB131" s="4"/>
      <c r="AQC131" s="4"/>
      <c r="AQD131" s="4"/>
      <c r="AQE131" s="4"/>
      <c r="AQF131" s="4"/>
      <c r="AQG131" s="4"/>
      <c r="AQH131" s="4"/>
      <c r="AQI131" s="4"/>
      <c r="AQJ131" s="4"/>
      <c r="AQK131" s="4"/>
      <c r="AQL131" s="4"/>
      <c r="AQM131" s="4"/>
      <c r="AQN131" s="4"/>
      <c r="AQO131" s="4"/>
      <c r="AQP131" s="4"/>
      <c r="AQQ131" s="4"/>
      <c r="AQR131" s="4"/>
      <c r="AQS131" s="4"/>
      <c r="AQT131" s="4"/>
      <c r="AQU131" s="4"/>
      <c r="AQV131" s="4"/>
      <c r="AQW131" s="4"/>
      <c r="AQX131" s="4"/>
      <c r="AQY131" s="4"/>
      <c r="AQZ131" s="4"/>
      <c r="ARA131" s="4"/>
      <c r="ARB131" s="4"/>
      <c r="ARC131" s="4"/>
      <c r="ARD131" s="4"/>
      <c r="ARE131" s="4"/>
      <c r="ARF131" s="4"/>
      <c r="ARG131" s="4"/>
      <c r="ARH131" s="4"/>
      <c r="ARI131" s="4"/>
      <c r="ARJ131" s="4"/>
      <c r="ARK131" s="4"/>
      <c r="ARL131" s="4"/>
      <c r="ARM131" s="4"/>
      <c r="ARN131" s="4"/>
      <c r="ARO131" s="4"/>
      <c r="ARP131" s="4"/>
      <c r="ARQ131" s="4"/>
      <c r="ARR131" s="4"/>
      <c r="ARS131" s="4"/>
      <c r="ART131" s="4"/>
      <c r="ARU131" s="4"/>
      <c r="ARV131" s="4"/>
      <c r="ARW131" s="4"/>
      <c r="ARX131" s="4"/>
      <c r="ARY131" s="4"/>
      <c r="ARZ131" s="4"/>
      <c r="ASA131" s="4"/>
      <c r="ASB131" s="4"/>
      <c r="ASC131" s="4"/>
      <c r="ASD131" s="4"/>
      <c r="ASE131" s="4"/>
      <c r="ASF131" s="4"/>
      <c r="ASG131" s="4"/>
      <c r="ASH131" s="4"/>
      <c r="ASI131" s="4"/>
      <c r="ASJ131" s="4"/>
      <c r="ASK131" s="4"/>
      <c r="ASL131" s="4"/>
      <c r="ASM131" s="4"/>
      <c r="ASN131" s="4"/>
      <c r="ASO131" s="4"/>
      <c r="ASP131" s="4"/>
      <c r="ASQ131" s="4"/>
      <c r="ASR131" s="4"/>
      <c r="ASS131" s="4"/>
      <c r="AST131" s="4"/>
      <c r="ASU131" s="4"/>
    </row>
    <row r="132" ht="15.75" customHeight="1" spans="1:1191" x14ac:dyDescent="0.25">
      <c r="A132" s="9"/>
      <c r="B132" s="360"/>
      <c r="C132" s="657"/>
      <c r="D132" s="273"/>
      <c r="E132" s="273"/>
      <c r="F132" s="277"/>
      <c r="G132" s="278" t="s">
        <v>74</v>
      </c>
      <c r="H132" s="279"/>
      <c r="I132" s="280">
        <f>SUM(F131:AC131)/16</f>
      </c>
      <c r="J132" s="279"/>
      <c r="K132" s="277"/>
      <c r="L132" s="277"/>
      <c r="M132" s="277"/>
      <c r="N132" s="277"/>
      <c r="O132" s="277"/>
      <c r="P132" s="277"/>
      <c r="Q132" s="277"/>
      <c r="R132" s="277"/>
      <c r="S132" s="277"/>
      <c r="T132" s="277"/>
      <c r="U132" s="277"/>
      <c r="V132" s="277"/>
      <c r="W132" s="277"/>
      <c r="X132" s="277"/>
      <c r="Y132" s="277"/>
      <c r="Z132" s="277"/>
      <c r="AA132" s="277"/>
      <c r="AB132" s="277"/>
      <c r="AC132" s="277"/>
      <c r="AD132" s="277"/>
      <c r="AE132" s="277"/>
      <c r="AF132" s="657"/>
      <c r="AG132" s="657"/>
      <c r="AH132" s="273"/>
      <c r="AI132" s="277"/>
      <c r="AJ132" s="278" t="s">
        <v>74</v>
      </c>
      <c r="AK132" s="279"/>
      <c r="AL132" s="280">
        <f>SUM(AI131:BF131)/16</f>
      </c>
      <c r="AM132" s="279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/>
      <c r="AY132" s="277"/>
      <c r="AZ132" s="277"/>
      <c r="BA132" s="277"/>
      <c r="BB132" s="277"/>
      <c r="BC132" s="277"/>
      <c r="BD132" s="277"/>
      <c r="BE132" s="277"/>
      <c r="BF132" s="277"/>
      <c r="BG132" s="277"/>
      <c r="BH132" s="277"/>
      <c r="BI132" s="657"/>
      <c r="BJ132" s="657"/>
      <c r="BK132" s="273"/>
      <c r="BL132" s="277"/>
      <c r="BM132" s="278" t="s">
        <v>74</v>
      </c>
      <c r="BN132" s="279"/>
      <c r="BO132" s="280">
        <f>SUM(BL131:CI131)/16</f>
      </c>
      <c r="BP132" s="279"/>
      <c r="BQ132" s="277"/>
      <c r="BR132" s="277"/>
      <c r="BS132" s="277"/>
      <c r="BT132" s="277"/>
      <c r="BU132" s="277"/>
      <c r="BV132" s="277"/>
      <c r="BW132" s="277"/>
      <c r="BX132" s="277"/>
      <c r="BY132" s="277"/>
      <c r="BZ132" s="277"/>
      <c r="CA132" s="277"/>
      <c r="CB132" s="277"/>
      <c r="CC132" s="277"/>
      <c r="CD132" s="277"/>
      <c r="CE132" s="277"/>
      <c r="CF132" s="277"/>
      <c r="CG132" s="277"/>
      <c r="CH132" s="277"/>
      <c r="CI132" s="277"/>
      <c r="CJ132" s="277"/>
      <c r="CK132" s="277"/>
      <c r="CL132" s="657"/>
      <c r="CM132" s="657"/>
      <c r="CN132" s="273"/>
      <c r="CO132" s="277"/>
      <c r="CP132" s="278" t="s">
        <v>74</v>
      </c>
      <c r="CQ132" s="279"/>
      <c r="CR132" s="280">
        <f>SUM(CO131:DL131)/16</f>
      </c>
      <c r="CS132" s="279"/>
      <c r="CT132" s="277"/>
      <c r="CU132" s="277"/>
      <c r="CV132" s="277"/>
      <c r="CW132" s="277"/>
      <c r="CX132" s="277"/>
      <c r="CY132" s="277"/>
      <c r="CZ132" s="277"/>
      <c r="DA132" s="277"/>
      <c r="DB132" s="277"/>
      <c r="DC132" s="277"/>
      <c r="DD132" s="277"/>
      <c r="DE132" s="277"/>
      <c r="DF132" s="277"/>
      <c r="DG132" s="277"/>
      <c r="DH132" s="277"/>
      <c r="DI132" s="277"/>
      <c r="DJ132" s="277"/>
      <c r="DK132" s="277"/>
      <c r="DL132" s="277"/>
      <c r="DM132" s="277"/>
      <c r="DN132" s="277"/>
      <c r="DO132" s="657"/>
      <c r="DP132" s="657"/>
      <c r="DQ132" s="273"/>
      <c r="DR132" s="277"/>
      <c r="DS132" s="278" t="s">
        <v>74</v>
      </c>
      <c r="DT132" s="279"/>
      <c r="DU132" s="280">
        <f>SUM(DR131:EO131)/16</f>
      </c>
      <c r="DV132" s="279"/>
      <c r="DW132" s="277"/>
      <c r="DX132" s="277"/>
      <c r="DY132" s="277"/>
      <c r="DZ132" s="277"/>
      <c r="EA132" s="277"/>
      <c r="EB132" s="277"/>
      <c r="EC132" s="277"/>
      <c r="ED132" s="277"/>
      <c r="EE132" s="277"/>
      <c r="EF132" s="277"/>
      <c r="EG132" s="277"/>
      <c r="EH132" s="277"/>
      <c r="EI132" s="277"/>
      <c r="EJ132" s="277"/>
      <c r="EK132" s="277"/>
      <c r="EL132" s="277"/>
      <c r="EM132" s="277"/>
      <c r="EN132" s="277"/>
      <c r="EO132" s="277"/>
      <c r="EP132" s="277"/>
      <c r="EQ132" s="277"/>
      <c r="ER132" s="657"/>
      <c r="ES132" s="657"/>
      <c r="ET132" s="273"/>
      <c r="EU132" s="277"/>
      <c r="EV132" s="273"/>
      <c r="EW132" s="273"/>
      <c r="EX132" s="273"/>
      <c r="EY132" s="273"/>
      <c r="EZ132" s="273"/>
      <c r="FA132" s="273"/>
      <c r="FB132" s="273"/>
      <c r="FC132" s="273"/>
      <c r="FD132" s="273"/>
      <c r="FE132" s="273"/>
      <c r="FF132" s="273"/>
      <c r="FG132" s="273"/>
      <c r="FH132" s="273"/>
      <c r="FI132" s="273"/>
      <c r="FJ132" s="273"/>
      <c r="FK132" s="273"/>
      <c r="FL132" s="273"/>
      <c r="FM132" s="273"/>
      <c r="FN132" s="273"/>
      <c r="FO132" s="273"/>
      <c r="FP132" s="273"/>
      <c r="FQ132" s="273"/>
      <c r="FR132" s="273"/>
      <c r="FS132" s="273"/>
      <c r="FT132" s="273"/>
      <c r="FU132" s="273"/>
      <c r="FV132" s="273"/>
      <c r="FW132" s="273"/>
      <c r="FX132" s="273"/>
      <c r="FY132" s="273"/>
      <c r="FZ132" s="273"/>
      <c r="GA132" s="273"/>
      <c r="GB132" s="273"/>
      <c r="GC132" s="273"/>
      <c r="GD132" s="277"/>
      <c r="GE132" s="277"/>
      <c r="GF132" s="277"/>
      <c r="GG132" s="277"/>
      <c r="GH132" s="277"/>
      <c r="GI132" s="277"/>
      <c r="GJ132" s="277"/>
      <c r="GK132" s="277"/>
      <c r="GL132" s="277"/>
      <c r="GM132" s="277"/>
      <c r="GN132" s="277"/>
      <c r="GO132" s="277"/>
      <c r="GP132" s="277"/>
      <c r="GQ132" s="277"/>
      <c r="GR132" s="277"/>
      <c r="GS132" s="277"/>
      <c r="GT132" s="277"/>
      <c r="GU132" s="277"/>
      <c r="GV132" s="277"/>
      <c r="GW132" s="277"/>
      <c r="GX132" s="657"/>
      <c r="GY132" s="657"/>
      <c r="GZ132" s="657"/>
      <c r="HA132" s="659"/>
      <c r="HB132" s="359"/>
      <c r="HC132" s="273"/>
      <c r="HD132" s="277"/>
      <c r="HE132" s="278" t="s">
        <v>74</v>
      </c>
      <c r="HF132" s="279"/>
      <c r="HG132" s="280">
        <f>SUM(HD131:IA131)/16</f>
      </c>
      <c r="HH132" s="279"/>
      <c r="HI132" s="277"/>
      <c r="HJ132" s="277"/>
      <c r="HK132" s="277"/>
      <c r="HL132" s="277"/>
      <c r="HM132" s="277"/>
      <c r="HN132" s="277"/>
      <c r="HO132" s="277"/>
      <c r="HP132" s="277"/>
      <c r="HQ132" s="277"/>
      <c r="HR132" s="277"/>
      <c r="HS132" s="277"/>
      <c r="HT132" s="277"/>
      <c r="HU132" s="277"/>
      <c r="HV132" s="277"/>
      <c r="HW132" s="277"/>
      <c r="HX132" s="277"/>
      <c r="HY132" s="277"/>
      <c r="HZ132" s="277"/>
      <c r="IA132" s="277"/>
      <c r="IB132" s="277"/>
      <c r="IC132" s="277"/>
      <c r="ID132" s="657"/>
      <c r="IE132" s="657"/>
      <c r="IF132" s="273"/>
      <c r="IG132" s="277"/>
      <c r="IH132" s="278" t="s">
        <v>74</v>
      </c>
      <c r="II132" s="279"/>
      <c r="IJ132" s="280">
        <f>SUM(IG131:JD131)/16</f>
      </c>
      <c r="IK132" s="279"/>
      <c r="IL132" s="277"/>
      <c r="IM132" s="277"/>
      <c r="IN132" s="277"/>
      <c r="IO132" s="277"/>
      <c r="IP132" s="277"/>
      <c r="IQ132" s="277"/>
      <c r="IR132" s="277"/>
      <c r="IS132" s="277"/>
      <c r="IT132" s="277"/>
      <c r="IU132" s="277"/>
      <c r="IV132" s="277"/>
      <c r="IW132" s="277"/>
      <c r="IX132" s="277"/>
      <c r="IY132" s="277"/>
      <c r="IZ132" s="277"/>
      <c r="JA132" s="277"/>
      <c r="JB132" s="277"/>
      <c r="JC132" s="277"/>
      <c r="JD132" s="277"/>
      <c r="JE132" s="277"/>
      <c r="JF132" s="277"/>
      <c r="JG132" s="657"/>
      <c r="JH132" s="657"/>
      <c r="JI132" s="273"/>
      <c r="JJ132" s="277"/>
      <c r="JK132" s="278" t="s">
        <v>74</v>
      </c>
      <c r="JL132" s="279"/>
      <c r="JM132" s="280">
        <f>SUM(JJ131:KG131)/16</f>
      </c>
      <c r="JN132" s="279"/>
      <c r="JO132" s="277"/>
      <c r="JP132" s="277"/>
      <c r="JQ132" s="277"/>
      <c r="JR132" s="277"/>
      <c r="JS132" s="277"/>
      <c r="JT132" s="277"/>
      <c r="JU132" s="277"/>
      <c r="JV132" s="277"/>
      <c r="JW132" s="277"/>
      <c r="JX132" s="277"/>
      <c r="JY132" s="277"/>
      <c r="JZ132" s="277"/>
      <c r="KA132" s="277"/>
      <c r="KB132" s="277"/>
      <c r="KC132" s="277"/>
      <c r="KD132" s="277"/>
      <c r="KE132" s="277"/>
      <c r="KF132" s="277"/>
      <c r="KG132" s="277"/>
      <c r="KH132" s="277"/>
      <c r="KI132" s="277"/>
      <c r="KJ132" s="657"/>
      <c r="KK132" s="657"/>
      <c r="KL132" s="273"/>
      <c r="KM132" s="277"/>
      <c r="KN132" s="278" t="s">
        <v>74</v>
      </c>
      <c r="KO132" s="279"/>
      <c r="KP132" s="280">
        <f>SUM(KM131:LJ131)/16</f>
      </c>
      <c r="KQ132" s="279"/>
      <c r="KR132" s="277"/>
      <c r="KS132" s="277"/>
      <c r="KT132" s="277"/>
      <c r="KU132" s="277"/>
      <c r="KV132" s="277"/>
      <c r="KW132" s="277"/>
      <c r="KX132" s="277"/>
      <c r="KY132" s="277"/>
      <c r="KZ132" s="277"/>
      <c r="LA132" s="277"/>
      <c r="LB132" s="277"/>
      <c r="LC132" s="277"/>
      <c r="LD132" s="277"/>
      <c r="LE132" s="277"/>
      <c r="LF132" s="277"/>
      <c r="LG132" s="277"/>
      <c r="LH132" s="277"/>
      <c r="LI132" s="277"/>
      <c r="LJ132" s="277"/>
      <c r="LK132" s="277"/>
      <c r="LL132" s="277"/>
      <c r="LM132" s="657"/>
      <c r="LN132" s="657"/>
      <c r="LO132" s="273"/>
      <c r="LP132" s="277"/>
      <c r="LQ132" s="278" t="s">
        <v>74</v>
      </c>
      <c r="LR132" s="279"/>
      <c r="LS132" s="280">
        <f>SUM(LP131:MM131)/16</f>
      </c>
      <c r="LT132" s="279"/>
      <c r="LU132" s="277"/>
      <c r="LV132" s="277"/>
      <c r="LW132" s="277"/>
      <c r="LX132" s="277"/>
      <c r="LY132" s="277"/>
      <c r="LZ132" s="277"/>
      <c r="MA132" s="277"/>
      <c r="MB132" s="277"/>
      <c r="MC132" s="277"/>
      <c r="MD132" s="277"/>
      <c r="ME132" s="277"/>
      <c r="MF132" s="277"/>
      <c r="MG132" s="277"/>
      <c r="MH132" s="277"/>
      <c r="MI132" s="277"/>
      <c r="MJ132" s="277"/>
      <c r="MK132" s="277"/>
      <c r="ML132" s="277"/>
      <c r="MM132" s="277"/>
      <c r="MN132" s="277"/>
      <c r="MO132" s="277"/>
      <c r="MP132" s="657"/>
      <c r="MQ132" s="657"/>
      <c r="MR132" s="273"/>
      <c r="MS132" s="277"/>
      <c r="MT132" s="273"/>
      <c r="MU132" s="273"/>
      <c r="MV132" s="273"/>
      <c r="MW132" s="273"/>
      <c r="MX132" s="273"/>
      <c r="MY132" s="273"/>
      <c r="MZ132" s="273"/>
      <c r="NA132" s="273"/>
      <c r="NB132" s="273"/>
      <c r="NC132" s="273"/>
      <c r="ND132" s="273"/>
      <c r="NE132" s="273"/>
      <c r="NF132" s="273"/>
      <c r="NG132" s="273"/>
      <c r="NH132" s="273"/>
      <c r="NI132" s="273"/>
      <c r="NJ132" s="273"/>
      <c r="NK132" s="273"/>
      <c r="NL132" s="273"/>
      <c r="NM132" s="273"/>
      <c r="NN132" s="273"/>
      <c r="NO132" s="273"/>
      <c r="NP132" s="273"/>
      <c r="NQ132" s="273"/>
      <c r="NR132" s="273"/>
      <c r="NS132" s="273"/>
      <c r="NT132" s="273"/>
      <c r="NU132" s="273"/>
      <c r="NV132" s="273"/>
      <c r="NW132" s="273"/>
      <c r="NX132" s="273"/>
      <c r="NY132" s="273"/>
      <c r="NZ132" s="273"/>
      <c r="OA132" s="273"/>
      <c r="OB132" s="277"/>
      <c r="OC132" s="277"/>
      <c r="OD132" s="277"/>
      <c r="OE132" s="277"/>
      <c r="OF132" s="277"/>
      <c r="OG132" s="277"/>
      <c r="OH132" s="277"/>
      <c r="OI132" s="277"/>
      <c r="OJ132" s="277"/>
      <c r="OK132" s="277"/>
      <c r="OL132" s="277"/>
      <c r="OM132" s="277"/>
      <c r="ON132" s="277"/>
      <c r="OO132" s="277"/>
      <c r="OP132" s="277"/>
      <c r="OQ132" s="277"/>
      <c r="OR132" s="277"/>
      <c r="OS132" s="277"/>
      <c r="OT132" s="277"/>
      <c r="OU132" s="277"/>
      <c r="OV132" s="657"/>
      <c r="OW132" s="657"/>
      <c r="OX132" s="657"/>
      <c r="OY132" s="659"/>
      <c r="OZ132" s="359"/>
      <c r="PA132" s="273"/>
      <c r="PB132" s="277"/>
      <c r="PC132" s="278" t="s">
        <v>74</v>
      </c>
      <c r="PD132" s="279"/>
      <c r="PE132" s="280">
        <f>SUM(PB131:PY131)/16</f>
      </c>
      <c r="PF132" s="279"/>
      <c r="PG132" s="277"/>
      <c r="PH132" s="277"/>
      <c r="PI132" s="277"/>
      <c r="PJ132" s="277"/>
      <c r="PK132" s="277"/>
      <c r="PL132" s="277"/>
      <c r="PM132" s="277"/>
      <c r="PN132" s="277"/>
      <c r="PO132" s="277"/>
      <c r="PP132" s="277"/>
      <c r="PQ132" s="277"/>
      <c r="PR132" s="277"/>
      <c r="PS132" s="277"/>
      <c r="PT132" s="277"/>
      <c r="PU132" s="277"/>
      <c r="PV132" s="277"/>
      <c r="PW132" s="277"/>
      <c r="PX132" s="277"/>
      <c r="PY132" s="277"/>
      <c r="PZ132" s="277"/>
      <c r="QA132" s="277"/>
      <c r="QB132" s="657"/>
      <c r="QC132" s="657"/>
      <c r="QD132" s="273"/>
      <c r="QE132" s="277"/>
      <c r="QF132" s="278" t="s">
        <v>74</v>
      </c>
      <c r="QG132" s="279"/>
      <c r="QH132" s="280">
        <f>SUM(QE131:RB131)/16</f>
      </c>
      <c r="QI132" s="279"/>
      <c r="QJ132" s="277"/>
      <c r="QK132" s="277"/>
      <c r="QL132" s="277"/>
      <c r="QM132" s="277"/>
      <c r="QN132" s="277"/>
      <c r="QO132" s="277"/>
      <c r="QP132" s="277"/>
      <c r="QQ132" s="277"/>
      <c r="QR132" s="277"/>
      <c r="QS132" s="277"/>
      <c r="QT132" s="277"/>
      <c r="QU132" s="277"/>
      <c r="QV132" s="277"/>
      <c r="QW132" s="277"/>
      <c r="QX132" s="277"/>
      <c r="QY132" s="277"/>
      <c r="QZ132" s="277"/>
      <c r="RA132" s="277"/>
      <c r="RB132" s="277"/>
      <c r="RC132" s="277"/>
      <c r="RD132" s="277"/>
      <c r="RE132" s="657"/>
      <c r="RF132" s="657"/>
      <c r="RG132" s="273"/>
      <c r="RH132" s="277"/>
      <c r="RI132" s="278" t="s">
        <v>74</v>
      </c>
      <c r="RJ132" s="279"/>
      <c r="RK132" s="280">
        <f>SUM(RH131:SE131)/16</f>
      </c>
      <c r="RL132" s="279"/>
      <c r="RM132" s="277"/>
      <c r="RN132" s="277"/>
      <c r="RO132" s="277"/>
      <c r="RP132" s="277"/>
      <c r="RQ132" s="277"/>
      <c r="RR132" s="277"/>
      <c r="RS132" s="277"/>
      <c r="RT132" s="277"/>
      <c r="RU132" s="277"/>
      <c r="RV132" s="277"/>
      <c r="RW132" s="277"/>
      <c r="RX132" s="277"/>
      <c r="RY132" s="277"/>
      <c r="RZ132" s="277"/>
      <c r="SA132" s="277"/>
      <c r="SB132" s="277"/>
      <c r="SC132" s="277"/>
      <c r="SD132" s="277"/>
      <c r="SE132" s="277"/>
      <c r="SF132" s="277"/>
      <c r="SG132" s="277"/>
      <c r="SH132" s="657"/>
      <c r="SI132" s="657"/>
      <c r="SJ132" s="273"/>
      <c r="SK132" s="277"/>
      <c r="SL132" s="278" t="s">
        <v>74</v>
      </c>
      <c r="SM132" s="279"/>
      <c r="SN132" s="280">
        <f>SUM(SK131:TH131)/16</f>
      </c>
      <c r="SO132" s="279"/>
      <c r="SP132" s="277"/>
      <c r="SQ132" s="277"/>
      <c r="SR132" s="277"/>
      <c r="SS132" s="277"/>
      <c r="ST132" s="277"/>
      <c r="SU132" s="277"/>
      <c r="SV132" s="277"/>
      <c r="SW132" s="277"/>
      <c r="SX132" s="277"/>
      <c r="SY132" s="277"/>
      <c r="SZ132" s="277"/>
      <c r="TA132" s="277"/>
      <c r="TB132" s="277"/>
      <c r="TC132" s="277"/>
      <c r="TD132" s="277"/>
      <c r="TE132" s="277"/>
      <c r="TF132" s="277"/>
      <c r="TG132" s="277"/>
      <c r="TH132" s="277"/>
      <c r="TI132" s="277"/>
      <c r="TJ132" s="277"/>
      <c r="TK132" s="657"/>
      <c r="TL132" s="657"/>
      <c r="TM132" s="273"/>
      <c r="TN132" s="277"/>
      <c r="TO132" s="278" t="s">
        <v>74</v>
      </c>
      <c r="TP132" s="279"/>
      <c r="TQ132" s="280">
        <f>SUM(TN131:UK131)/16</f>
      </c>
      <c r="TR132" s="279"/>
      <c r="TS132" s="277"/>
      <c r="TT132" s="277"/>
      <c r="TU132" s="277"/>
      <c r="TV132" s="277"/>
      <c r="TW132" s="277"/>
      <c r="TX132" s="277"/>
      <c r="TY132" s="277"/>
      <c r="TZ132" s="277"/>
      <c r="UA132" s="277"/>
      <c r="UB132" s="277"/>
      <c r="UC132" s="277"/>
      <c r="UD132" s="277"/>
      <c r="UE132" s="277"/>
      <c r="UF132" s="277"/>
      <c r="UG132" s="277"/>
      <c r="UH132" s="277"/>
      <c r="UI132" s="277"/>
      <c r="UJ132" s="277"/>
      <c r="UK132" s="277"/>
      <c r="UL132" s="277"/>
      <c r="UM132" s="277"/>
      <c r="UN132" s="657"/>
      <c r="UO132" s="657"/>
      <c r="UP132" s="273"/>
      <c r="UQ132" s="277"/>
      <c r="UR132" s="273"/>
      <c r="US132" s="273"/>
      <c r="UT132" s="273"/>
      <c r="UU132" s="273"/>
      <c r="UV132" s="273"/>
      <c r="UW132" s="273"/>
      <c r="UX132" s="273"/>
      <c r="UY132" s="273"/>
      <c r="UZ132" s="273"/>
      <c r="VA132" s="273"/>
      <c r="VB132" s="273"/>
      <c r="VC132" s="273"/>
      <c r="VD132" s="273"/>
      <c r="VE132" s="273"/>
      <c r="VF132" s="273"/>
      <c r="VG132" s="273"/>
      <c r="VH132" s="273"/>
      <c r="VI132" s="273"/>
      <c r="VJ132" s="273"/>
      <c r="VK132" s="273"/>
      <c r="VL132" s="273"/>
      <c r="VM132" s="273"/>
      <c r="VN132" s="273"/>
      <c r="VO132" s="273"/>
      <c r="VP132" s="273"/>
      <c r="VQ132" s="273"/>
      <c r="VR132" s="273"/>
      <c r="VS132" s="273"/>
      <c r="VT132" s="273"/>
      <c r="VU132" s="273"/>
      <c r="VV132" s="273"/>
      <c r="VW132" s="273"/>
      <c r="VX132" s="273"/>
      <c r="VY132" s="273"/>
      <c r="VZ132" s="277"/>
      <c r="WA132" s="277"/>
      <c r="WB132" s="277"/>
      <c r="WC132" s="277"/>
      <c r="WD132" s="277"/>
      <c r="WE132" s="277"/>
      <c r="WF132" s="277"/>
      <c r="WG132" s="277"/>
      <c r="WH132" s="277"/>
      <c r="WI132" s="277"/>
      <c r="WJ132" s="277"/>
      <c r="WK132" s="277"/>
      <c r="WL132" s="277"/>
      <c r="WM132" s="277"/>
      <c r="WN132" s="277"/>
      <c r="WO132" s="277"/>
      <c r="WP132" s="277"/>
      <c r="WQ132" s="277"/>
      <c r="WR132" s="277"/>
      <c r="WS132" s="277"/>
      <c r="WT132" s="657"/>
      <c r="WU132" s="657"/>
      <c r="WV132" s="657"/>
      <c r="WW132" s="659"/>
      <c r="WX132" s="359"/>
      <c r="WY132" s="273"/>
      <c r="WZ132" s="277"/>
      <c r="XA132" s="278" t="s">
        <v>74</v>
      </c>
      <c r="XB132" s="279"/>
      <c r="XC132" s="280">
        <f>SUM(WZ131:XW131)/16</f>
      </c>
      <c r="XD132" s="279"/>
      <c r="XE132" s="277"/>
      <c r="XF132" s="277"/>
      <c r="XG132" s="277"/>
      <c r="XH132" s="277"/>
      <c r="XI132" s="277"/>
      <c r="XJ132" s="277"/>
      <c r="XK132" s="277"/>
      <c r="XL132" s="277"/>
      <c r="XM132" s="277"/>
      <c r="XN132" s="277"/>
      <c r="XO132" s="277"/>
      <c r="XP132" s="277"/>
      <c r="XQ132" s="277"/>
      <c r="XR132" s="277"/>
      <c r="XS132" s="277"/>
      <c r="XT132" s="277"/>
      <c r="XU132" s="277"/>
      <c r="XV132" s="277"/>
      <c r="XW132" s="277"/>
      <c r="XX132" s="277"/>
      <c r="XY132" s="277"/>
      <c r="XZ132" s="657"/>
      <c r="YA132" s="657"/>
      <c r="YB132" s="273"/>
      <c r="YC132" s="277"/>
      <c r="YD132" s="278" t="s">
        <v>74</v>
      </c>
      <c r="YE132" s="279"/>
      <c r="YF132" s="280">
        <f>SUM(YC131:YZ131)/16</f>
      </c>
      <c r="YG132" s="279"/>
      <c r="YH132" s="277"/>
      <c r="YI132" s="277"/>
      <c r="YJ132" s="277"/>
      <c r="YK132" s="277"/>
      <c r="YL132" s="277"/>
      <c r="YM132" s="277"/>
      <c r="YN132" s="277"/>
      <c r="YO132" s="277"/>
      <c r="YP132" s="277"/>
      <c r="YQ132" s="277"/>
      <c r="YR132" s="277"/>
      <c r="YS132" s="277"/>
      <c r="YT132" s="277"/>
      <c r="YU132" s="277"/>
      <c r="YV132" s="277"/>
      <c r="YW132" s="277"/>
      <c r="YX132" s="277"/>
      <c r="YY132" s="277"/>
      <c r="YZ132" s="277"/>
      <c r="ZA132" s="277"/>
      <c r="ZB132" s="277"/>
      <c r="ZC132" s="657"/>
      <c r="ZD132" s="657"/>
      <c r="ZE132" s="273"/>
      <c r="ZF132" s="277"/>
      <c r="ZG132" s="278" t="s">
        <v>74</v>
      </c>
      <c r="ZH132" s="279"/>
      <c r="ZI132" s="280">
        <f>SUM(ZF131:AAC131)/16</f>
      </c>
      <c r="ZJ132" s="279"/>
      <c r="ZK132" s="277"/>
      <c r="ZL132" s="277"/>
      <c r="ZM132" s="277"/>
      <c r="ZN132" s="277"/>
      <c r="ZO132" s="277"/>
      <c r="ZP132" s="277"/>
      <c r="ZQ132" s="277"/>
      <c r="ZR132" s="277"/>
      <c r="ZS132" s="277"/>
      <c r="ZT132" s="277"/>
      <c r="ZU132" s="277"/>
      <c r="ZV132" s="277"/>
      <c r="ZW132" s="277"/>
      <c r="ZX132" s="277"/>
      <c r="ZY132" s="277"/>
      <c r="ZZ132" s="277"/>
      <c r="AAA132" s="277"/>
      <c r="AAB132" s="277"/>
      <c r="AAC132" s="277"/>
      <c r="AAD132" s="277"/>
      <c r="AAE132" s="277"/>
      <c r="AAF132" s="657"/>
      <c r="AAG132" s="657"/>
      <c r="AAH132" s="273"/>
      <c r="AAI132" s="277"/>
      <c r="AAJ132" s="278" t="s">
        <v>74</v>
      </c>
      <c r="AAK132" s="279"/>
      <c r="AAL132" s="280">
        <f>SUM(AAI131:ABF131)/16</f>
      </c>
      <c r="AAM132" s="279"/>
      <c r="AAN132" s="277"/>
      <c r="AAO132" s="277"/>
      <c r="AAP132" s="277"/>
      <c r="AAQ132" s="277"/>
      <c r="AAR132" s="277"/>
      <c r="AAS132" s="277"/>
      <c r="AAT132" s="277"/>
      <c r="AAU132" s="277"/>
      <c r="AAV132" s="277"/>
      <c r="AAW132" s="277"/>
      <c r="AAX132" s="277"/>
      <c r="AAY132" s="277"/>
      <c r="AAZ132" s="277"/>
      <c r="ABA132" s="277"/>
      <c r="ABB132" s="277"/>
      <c r="ABC132" s="277"/>
      <c r="ABD132" s="277"/>
      <c r="ABE132" s="277"/>
      <c r="ABF132" s="277"/>
      <c r="ABG132" s="277"/>
      <c r="ABH132" s="277"/>
      <c r="ABI132" s="657"/>
      <c r="ABJ132" s="657"/>
      <c r="ABK132" s="273"/>
      <c r="ABL132" s="277"/>
      <c r="ABM132" s="278" t="s">
        <v>74</v>
      </c>
      <c r="ABN132" s="279"/>
      <c r="ABO132" s="280">
        <f>SUM(ABL131:ACI131)/16</f>
      </c>
      <c r="ABP132" s="279"/>
      <c r="ABQ132" s="277"/>
      <c r="ABR132" s="277"/>
      <c r="ABS132" s="277"/>
      <c r="ABT132" s="277"/>
      <c r="ABU132" s="277"/>
      <c r="ABV132" s="277"/>
      <c r="ABW132" s="277"/>
      <c r="ABX132" s="277"/>
      <c r="ABY132" s="277"/>
      <c r="ABZ132" s="277"/>
      <c r="ACA132" s="277"/>
      <c r="ACB132" s="277"/>
      <c r="ACC132" s="277"/>
      <c r="ACD132" s="277"/>
      <c r="ACE132" s="277"/>
      <c r="ACF132" s="277"/>
      <c r="ACG132" s="277"/>
      <c r="ACH132" s="277"/>
      <c r="ACI132" s="277"/>
      <c r="ACJ132" s="277"/>
      <c r="ACK132" s="277"/>
      <c r="ACL132" s="657"/>
      <c r="ACM132" s="657"/>
      <c r="ACN132" s="273"/>
      <c r="ACO132" s="277"/>
      <c r="ACP132" s="273"/>
      <c r="ACQ132" s="273"/>
      <c r="ACR132" s="273"/>
      <c r="ACS132" s="273"/>
      <c r="ACT132" s="273"/>
      <c r="ACU132" s="273"/>
      <c r="ACV132" s="273"/>
      <c r="ACW132" s="273"/>
      <c r="ACX132" s="273"/>
      <c r="ACY132" s="273"/>
      <c r="ACZ132" s="273"/>
      <c r="ADA132" s="273"/>
      <c r="ADB132" s="273"/>
      <c r="ADC132" s="273"/>
      <c r="ADD132" s="273"/>
      <c r="ADE132" s="273"/>
      <c r="ADF132" s="273"/>
      <c r="ADG132" s="273"/>
      <c r="ADH132" s="273"/>
      <c r="ADI132" s="273"/>
      <c r="ADJ132" s="273"/>
      <c r="ADK132" s="273"/>
      <c r="ADL132" s="273"/>
      <c r="ADM132" s="273"/>
      <c r="ADN132" s="273"/>
      <c r="ADO132" s="273"/>
      <c r="ADP132" s="273"/>
      <c r="ADQ132" s="273"/>
      <c r="ADR132" s="273"/>
      <c r="ADS132" s="273"/>
      <c r="ADT132" s="273"/>
      <c r="ADU132" s="273"/>
      <c r="ADV132" s="273"/>
      <c r="ADW132" s="273"/>
      <c r="ADX132" s="277"/>
      <c r="ADY132" s="277"/>
      <c r="ADZ132" s="277"/>
      <c r="AEA132" s="277"/>
      <c r="AEB132" s="277"/>
      <c r="AEC132" s="277"/>
      <c r="AED132" s="277"/>
      <c r="AEE132" s="277"/>
      <c r="AEF132" s="277"/>
      <c r="AEG132" s="277"/>
      <c r="AEH132" s="277"/>
      <c r="AEI132" s="277"/>
      <c r="AEJ132" s="277"/>
      <c r="AEK132" s="277"/>
      <c r="AEL132" s="277"/>
      <c r="AEM132" s="277"/>
      <c r="AEN132" s="277"/>
      <c r="AEO132" s="277"/>
      <c r="AEP132" s="277"/>
      <c r="AEQ132" s="277"/>
      <c r="AER132" s="657"/>
      <c r="AES132" s="657"/>
      <c r="AET132" s="657"/>
      <c r="AEU132" s="659"/>
      <c r="AEV132" s="359"/>
      <c r="AEW132" s="273"/>
      <c r="AEX132" s="277"/>
      <c r="AEY132" s="278" t="s">
        <v>74</v>
      </c>
      <c r="AEZ132" s="279"/>
      <c r="AFA132" s="280">
        <f>SUM(AEX131:AFU131)/16</f>
      </c>
      <c r="AFB132" s="279"/>
      <c r="AFC132" s="277"/>
      <c r="AFD132" s="277"/>
      <c r="AFE132" s="277"/>
      <c r="AFF132" s="277"/>
      <c r="AFG132" s="277"/>
      <c r="AFH132" s="277"/>
      <c r="AFI132" s="277"/>
      <c r="AFJ132" s="277"/>
      <c r="AFK132" s="277"/>
      <c r="AFL132" s="277"/>
      <c r="AFM132" s="277"/>
      <c r="AFN132" s="277"/>
      <c r="AFO132" s="277"/>
      <c r="AFP132" s="277"/>
      <c r="AFQ132" s="277"/>
      <c r="AFR132" s="277"/>
      <c r="AFS132" s="277"/>
      <c r="AFT132" s="277"/>
      <c r="AFU132" s="277"/>
      <c r="AFV132" s="277"/>
      <c r="AFW132" s="277"/>
      <c r="AFX132" s="657"/>
      <c r="AFY132" s="657"/>
      <c r="AFZ132" s="273"/>
      <c r="AGA132" s="277"/>
      <c r="AGB132" s="278" t="s">
        <v>74</v>
      </c>
      <c r="AGC132" s="279"/>
      <c r="AGD132" s="280">
        <f>SUM(AGA131:AGX131)/16</f>
      </c>
      <c r="AGE132" s="279"/>
      <c r="AGF132" s="277"/>
      <c r="AGG132" s="277"/>
      <c r="AGH132" s="277"/>
      <c r="AGI132" s="277"/>
      <c r="AGJ132" s="277"/>
      <c r="AGK132" s="277"/>
      <c r="AGL132" s="277"/>
      <c r="AGM132" s="277"/>
      <c r="AGN132" s="277"/>
      <c r="AGO132" s="277"/>
      <c r="AGP132" s="277"/>
      <c r="AGQ132" s="277"/>
      <c r="AGR132" s="277"/>
      <c r="AGS132" s="277"/>
      <c r="AGT132" s="277"/>
      <c r="AGU132" s="277"/>
      <c r="AGV132" s="277"/>
      <c r="AGW132" s="277"/>
      <c r="AGX132" s="277"/>
      <c r="AGY132" s="277"/>
      <c r="AGZ132" s="277"/>
      <c r="AHA132" s="657"/>
      <c r="AHB132" s="657"/>
      <c r="AHC132" s="273"/>
      <c r="AHD132" s="277"/>
      <c r="AHE132" s="278" t="s">
        <v>74</v>
      </c>
      <c r="AHF132" s="279"/>
      <c r="AHG132" s="280">
        <f>SUM(AHD131:AIA131)/16</f>
      </c>
      <c r="AHH132" s="279"/>
      <c r="AHI132" s="277"/>
      <c r="AHJ132" s="277"/>
      <c r="AHK132" s="277"/>
      <c r="AHL132" s="277"/>
      <c r="AHM132" s="277"/>
      <c r="AHN132" s="277"/>
      <c r="AHO132" s="277"/>
      <c r="AHP132" s="277"/>
      <c r="AHQ132" s="277"/>
      <c r="AHR132" s="277"/>
      <c r="AHS132" s="277"/>
      <c r="AHT132" s="277"/>
      <c r="AHU132" s="277"/>
      <c r="AHV132" s="277"/>
      <c r="AHW132" s="277"/>
      <c r="AHX132" s="277"/>
      <c r="AHY132" s="277"/>
      <c r="AHZ132" s="277"/>
      <c r="AIA132" s="277"/>
      <c r="AIB132" s="277"/>
      <c r="AIC132" s="277"/>
      <c r="AID132" s="657"/>
      <c r="AIE132" s="657"/>
      <c r="AIF132" s="273"/>
      <c r="AIG132" s="277"/>
      <c r="AIH132" s="278" t="s">
        <v>74</v>
      </c>
      <c r="AII132" s="279"/>
      <c r="AIJ132" s="280">
        <f>SUM(AIG131:AJD131)/16</f>
      </c>
      <c r="AIK132" s="279"/>
      <c r="AIL132" s="277"/>
      <c r="AIM132" s="277"/>
      <c r="AIN132" s="277"/>
      <c r="AIO132" s="277"/>
      <c r="AIP132" s="277"/>
      <c r="AIQ132" s="277"/>
      <c r="AIR132" s="277"/>
      <c r="AIS132" s="277"/>
      <c r="AIT132" s="277"/>
      <c r="AIU132" s="277"/>
      <c r="AIV132" s="277"/>
      <c r="AIW132" s="277"/>
      <c r="AIX132" s="277"/>
      <c r="AIY132" s="277"/>
      <c r="AIZ132" s="277"/>
      <c r="AJA132" s="277"/>
      <c r="AJB132" s="277"/>
      <c r="AJC132" s="277"/>
      <c r="AJD132" s="277"/>
      <c r="AJE132" s="277"/>
      <c r="AJF132" s="277"/>
      <c r="AJG132" s="657"/>
      <c r="AJH132" s="657"/>
      <c r="AJI132" s="273"/>
      <c r="AJJ132" s="277"/>
      <c r="AJK132" s="278" t="s">
        <v>74</v>
      </c>
      <c r="AJL132" s="279"/>
      <c r="AJM132" s="280">
        <f>SUM(AJJ131:AKG131)/16</f>
      </c>
      <c r="AJN132" s="279"/>
      <c r="AJO132" s="277"/>
      <c r="AJP132" s="277"/>
      <c r="AJQ132" s="277"/>
      <c r="AJR132" s="277"/>
      <c r="AJS132" s="277"/>
      <c r="AJT132" s="277"/>
      <c r="AJU132" s="277"/>
      <c r="AJV132" s="277"/>
      <c r="AJW132" s="277"/>
      <c r="AJX132" s="277"/>
      <c r="AJY132" s="277"/>
      <c r="AJZ132" s="277"/>
      <c r="AKA132" s="277"/>
      <c r="AKB132" s="277"/>
      <c r="AKC132" s="277"/>
      <c r="AKD132" s="277"/>
      <c r="AKE132" s="277"/>
      <c r="AKF132" s="277"/>
      <c r="AKG132" s="277"/>
      <c r="AKH132" s="277"/>
      <c r="AKI132" s="277"/>
      <c r="AKJ132" s="657"/>
      <c r="AKK132" s="657"/>
      <c r="AKL132" s="273"/>
      <c r="AKM132" s="277"/>
      <c r="AKN132" s="273"/>
      <c r="AKO132" s="273"/>
      <c r="AKP132" s="273"/>
      <c r="AKQ132" s="273"/>
      <c r="AKR132" s="273"/>
      <c r="AKS132" s="273"/>
      <c r="AKT132" s="273"/>
      <c r="AKU132" s="273"/>
      <c r="AKV132" s="273"/>
      <c r="AKW132" s="273"/>
      <c r="AKX132" s="273"/>
      <c r="AKY132" s="273"/>
      <c r="AKZ132" s="273"/>
      <c r="ALA132" s="273"/>
      <c r="ALB132" s="273"/>
      <c r="ALC132" s="273"/>
      <c r="ALD132" s="273"/>
      <c r="ALE132" s="273"/>
      <c r="ALF132" s="273"/>
      <c r="ALG132" s="273"/>
      <c r="ALH132" s="273"/>
      <c r="ALI132" s="273"/>
      <c r="ALJ132" s="273"/>
      <c r="ALK132" s="273"/>
      <c r="ALL132" s="273"/>
      <c r="ALM132" s="273"/>
      <c r="ALN132" s="273"/>
      <c r="ALO132" s="273"/>
      <c r="ALP132" s="273"/>
      <c r="ALQ132" s="273"/>
      <c r="ALR132" s="273"/>
      <c r="ALS132" s="273"/>
      <c r="ALT132" s="273"/>
      <c r="ALU132" s="273"/>
      <c r="ALV132" s="277"/>
      <c r="ALW132" s="277"/>
      <c r="ALX132" s="277"/>
      <c r="ALY132" s="277"/>
      <c r="ALZ132" s="277"/>
      <c r="AMA132" s="277"/>
      <c r="AMB132" s="277"/>
      <c r="AMC132" s="277"/>
      <c r="AMD132" s="277"/>
      <c r="AME132" s="277"/>
      <c r="AMF132" s="277"/>
      <c r="AMG132" s="277"/>
      <c r="AMH132" s="277"/>
      <c r="AMI132" s="277"/>
      <c r="AMJ132" s="277"/>
      <c r="AMK132" s="277"/>
      <c r="AML132" s="277"/>
      <c r="AMM132" s="277"/>
      <c r="AMN132" s="277"/>
      <c r="AMO132" s="277"/>
      <c r="AMP132" s="657"/>
      <c r="AMQ132" s="657"/>
      <c r="AMR132" s="657"/>
      <c r="AMS132" s="659"/>
      <c r="AMT132" s="4"/>
      <c r="AMU132" s="4"/>
      <c r="AMV132" s="4"/>
      <c r="AMW132" s="4"/>
      <c r="AMX132" s="4"/>
      <c r="AMY132" s="4"/>
      <c r="AMZ132" s="4"/>
      <c r="ANA132" s="4"/>
      <c r="ANB132" s="4"/>
      <c r="ANC132" s="4"/>
      <c r="AND132" s="4"/>
      <c r="ANE132" s="4"/>
      <c r="ANF132" s="4"/>
      <c r="ANG132" s="4"/>
      <c r="ANH132" s="4"/>
      <c r="ANI132" s="4"/>
      <c r="ANJ132" s="4"/>
      <c r="ANK132" s="4"/>
      <c r="ANL132" s="4"/>
      <c r="ANM132" s="4"/>
      <c r="ANN132" s="4"/>
      <c r="ANO132" s="4"/>
      <c r="ANP132" s="4"/>
      <c r="ANQ132" s="4"/>
      <c r="ANR132" s="4"/>
      <c r="ANS132" s="4"/>
      <c r="ANT132" s="4"/>
      <c r="ANU132" s="4"/>
      <c r="ANV132" s="4"/>
      <c r="ANW132" s="4"/>
      <c r="ANX132" s="4"/>
      <c r="ANY132" s="4"/>
      <c r="ANZ132" s="4"/>
      <c r="AOA132" s="4"/>
      <c r="AOB132" s="4"/>
      <c r="AOC132" s="4"/>
      <c r="AOD132" s="4"/>
      <c r="AOE132" s="4"/>
      <c r="AOF132" s="4"/>
      <c r="AOG132" s="4"/>
      <c r="AOH132" s="4"/>
      <c r="AOI132" s="4"/>
      <c r="AOJ132" s="4"/>
      <c r="AOK132" s="4"/>
      <c r="AOL132" s="4"/>
      <c r="AOM132" s="4"/>
      <c r="AON132" s="4"/>
      <c r="AOO132" s="4"/>
      <c r="AOP132" s="4"/>
      <c r="AOQ132" s="4"/>
      <c r="AOR132" s="4"/>
      <c r="AOS132" s="4"/>
      <c r="AOT132" s="4"/>
      <c r="AOU132" s="4"/>
      <c r="AOV132" s="4"/>
      <c r="AOW132" s="4"/>
      <c r="AOX132" s="4"/>
      <c r="AOY132" s="4"/>
      <c r="AOZ132" s="4"/>
      <c r="APA132" s="4"/>
      <c r="APB132" s="4"/>
      <c r="APC132" s="4"/>
      <c r="APD132" s="4"/>
      <c r="APE132" s="4"/>
      <c r="APF132" s="4"/>
      <c r="APG132" s="4"/>
      <c r="APH132" s="4"/>
      <c r="API132" s="4"/>
      <c r="APJ132" s="4"/>
      <c r="APK132" s="4"/>
      <c r="APL132" s="4"/>
      <c r="APM132" s="4"/>
      <c r="APN132" s="4"/>
      <c r="APO132" s="4"/>
      <c r="APP132" s="4"/>
      <c r="APQ132" s="4"/>
      <c r="APR132" s="4"/>
      <c r="APS132" s="4"/>
      <c r="APT132" s="4"/>
      <c r="APU132" s="4"/>
      <c r="APV132" s="4"/>
      <c r="APW132" s="4"/>
      <c r="APX132" s="4"/>
      <c r="APY132" s="4"/>
      <c r="APZ132" s="4"/>
      <c r="AQA132" s="4"/>
      <c r="AQB132" s="4"/>
      <c r="AQC132" s="4"/>
      <c r="AQD132" s="4"/>
      <c r="AQE132" s="4"/>
      <c r="AQF132" s="4"/>
      <c r="AQG132" s="4"/>
      <c r="AQH132" s="4"/>
      <c r="AQI132" s="4"/>
      <c r="AQJ132" s="4"/>
      <c r="AQK132" s="4"/>
      <c r="AQL132" s="4"/>
      <c r="AQM132" s="4"/>
      <c r="AQN132" s="4"/>
      <c r="AQO132" s="4"/>
      <c r="AQP132" s="4"/>
      <c r="AQQ132" s="4"/>
      <c r="AQR132" s="4"/>
      <c r="AQS132" s="4"/>
      <c r="AQT132" s="4"/>
      <c r="AQU132" s="4"/>
      <c r="AQV132" s="4"/>
      <c r="AQW132" s="4"/>
      <c r="AQX132" s="4"/>
      <c r="AQY132" s="4"/>
      <c r="AQZ132" s="4"/>
      <c r="ARA132" s="4"/>
      <c r="ARB132" s="4"/>
      <c r="ARC132" s="4"/>
      <c r="ARD132" s="4"/>
      <c r="ARE132" s="4"/>
      <c r="ARF132" s="4"/>
      <c r="ARG132" s="4"/>
      <c r="ARH132" s="4"/>
      <c r="ARI132" s="4"/>
      <c r="ARJ132" s="4"/>
      <c r="ARK132" s="4"/>
      <c r="ARL132" s="4"/>
      <c r="ARM132" s="4"/>
      <c r="ARN132" s="4"/>
      <c r="ARO132" s="4"/>
      <c r="ARP132" s="4"/>
      <c r="ARQ132" s="4"/>
      <c r="ARR132" s="4"/>
      <c r="ARS132" s="4"/>
      <c r="ART132" s="4"/>
      <c r="ARU132" s="4"/>
      <c r="ARV132" s="4"/>
      <c r="ARW132" s="4"/>
      <c r="ARX132" s="4"/>
      <c r="ARY132" s="4"/>
      <c r="ARZ132" s="4"/>
      <c r="ASA132" s="4"/>
      <c r="ASB132" s="4"/>
      <c r="ASC132" s="4"/>
      <c r="ASD132" s="4"/>
      <c r="ASE132" s="4"/>
      <c r="ASF132" s="4"/>
      <c r="ASG132" s="4"/>
      <c r="ASH132" s="4"/>
      <c r="ASI132" s="4"/>
      <c r="ASJ132" s="4"/>
      <c r="ASK132" s="4"/>
      <c r="ASL132" s="4"/>
      <c r="ASM132" s="4"/>
      <c r="ASN132" s="4"/>
      <c r="ASO132" s="4"/>
      <c r="ASP132" s="4"/>
      <c r="ASQ132" s="4"/>
      <c r="ASR132" s="4"/>
      <c r="ASS132" s="4"/>
      <c r="AST132" s="4"/>
      <c r="ASU132" s="4"/>
    </row>
    <row r="133" ht="15" customHeight="1" spans="1:1191" x14ac:dyDescent="0.25">
      <c r="A133" s="9"/>
      <c r="B133" s="360"/>
      <c r="C133" s="657"/>
      <c r="D133" s="273"/>
      <c r="E133" s="273"/>
      <c r="F133" s="657"/>
      <c r="G133" s="657"/>
      <c r="H133" s="657"/>
      <c r="I133" s="657"/>
      <c r="J133" s="657"/>
      <c r="K133" s="657"/>
      <c r="L133" s="657"/>
      <c r="M133" s="657"/>
      <c r="N133" s="657"/>
      <c r="O133" s="657"/>
      <c r="P133" s="657"/>
      <c r="Q133" s="657"/>
      <c r="R133" s="657"/>
      <c r="S133" s="657"/>
      <c r="T133" s="657"/>
      <c r="U133" s="657"/>
      <c r="V133" s="657"/>
      <c r="W133" s="657"/>
      <c r="X133" s="657"/>
      <c r="Y133" s="657"/>
      <c r="Z133" s="657"/>
      <c r="AA133" s="657"/>
      <c r="AB133" s="657"/>
      <c r="AC133" s="657"/>
      <c r="AD133" s="657"/>
      <c r="AE133" s="657"/>
      <c r="AF133" s="657"/>
      <c r="AG133" s="657"/>
      <c r="AH133" s="273"/>
      <c r="AI133" s="657"/>
      <c r="AJ133" s="657"/>
      <c r="AK133" s="657"/>
      <c r="AL133" s="657"/>
      <c r="AM133" s="657"/>
      <c r="AN133" s="657"/>
      <c r="AO133" s="657"/>
      <c r="AP133" s="657"/>
      <c r="AQ133" s="657"/>
      <c r="AR133" s="657"/>
      <c r="AS133" s="657"/>
      <c r="AT133" s="657"/>
      <c r="AU133" s="657"/>
      <c r="AV133" s="657"/>
      <c r="AW133" s="657"/>
      <c r="AX133" s="657"/>
      <c r="AY133" s="657"/>
      <c r="AZ133" s="657"/>
      <c r="BA133" s="657"/>
      <c r="BB133" s="657"/>
      <c r="BC133" s="657"/>
      <c r="BD133" s="657"/>
      <c r="BE133" s="657"/>
      <c r="BF133" s="657"/>
      <c r="BG133" s="657"/>
      <c r="BH133" s="657"/>
      <c r="BI133" s="657"/>
      <c r="BJ133" s="657"/>
      <c r="BK133" s="273"/>
      <c r="BL133" s="657"/>
      <c r="BM133" s="657"/>
      <c r="BN133" s="657"/>
      <c r="BO133" s="657"/>
      <c r="BP133" s="657"/>
      <c r="BQ133" s="657"/>
      <c r="BR133" s="657"/>
      <c r="BS133" s="657"/>
      <c r="BT133" s="657"/>
      <c r="BU133" s="657"/>
      <c r="BV133" s="657"/>
      <c r="BW133" s="657"/>
      <c r="BX133" s="657"/>
      <c r="BY133" s="657"/>
      <c r="BZ133" s="657"/>
      <c r="CA133" s="657"/>
      <c r="CB133" s="657"/>
      <c r="CC133" s="657"/>
      <c r="CD133" s="657"/>
      <c r="CE133" s="657"/>
      <c r="CF133" s="657"/>
      <c r="CG133" s="657"/>
      <c r="CH133" s="657"/>
      <c r="CI133" s="657"/>
      <c r="CJ133" s="657"/>
      <c r="CK133" s="657"/>
      <c r="CL133" s="657"/>
      <c r="CM133" s="657"/>
      <c r="CN133" s="273"/>
      <c r="CO133" s="657"/>
      <c r="CP133" s="657"/>
      <c r="CQ133" s="657"/>
      <c r="CR133" s="657"/>
      <c r="CS133" s="657"/>
      <c r="CT133" s="657"/>
      <c r="CU133" s="657"/>
      <c r="CV133" s="657"/>
      <c r="CW133" s="657"/>
      <c r="CX133" s="657"/>
      <c r="CY133" s="657"/>
      <c r="CZ133" s="657"/>
      <c r="DA133" s="657"/>
      <c r="DB133" s="657"/>
      <c r="DC133" s="657"/>
      <c r="DD133" s="657"/>
      <c r="DE133" s="657"/>
      <c r="DF133" s="657"/>
      <c r="DG133" s="657"/>
      <c r="DH133" s="657"/>
      <c r="DI133" s="657"/>
      <c r="DJ133" s="657"/>
      <c r="DK133" s="657"/>
      <c r="DL133" s="657"/>
      <c r="DM133" s="657"/>
      <c r="DN133" s="657"/>
      <c r="DO133" s="657"/>
      <c r="DP133" s="657"/>
      <c r="DQ133" s="273"/>
      <c r="DR133" s="657"/>
      <c r="DS133" s="657"/>
      <c r="DT133" s="657"/>
      <c r="DU133" s="657"/>
      <c r="DV133" s="657"/>
      <c r="DW133" s="657"/>
      <c r="DX133" s="657"/>
      <c r="DY133" s="657"/>
      <c r="DZ133" s="657"/>
      <c r="EA133" s="657"/>
      <c r="EB133" s="657"/>
      <c r="EC133" s="657"/>
      <c r="ED133" s="657"/>
      <c r="EE133" s="657"/>
      <c r="EF133" s="657"/>
      <c r="EG133" s="657"/>
      <c r="EH133" s="657"/>
      <c r="EI133" s="657"/>
      <c r="EJ133" s="657"/>
      <c r="EK133" s="657"/>
      <c r="EL133" s="657"/>
      <c r="EM133" s="657"/>
      <c r="EN133" s="657"/>
      <c r="EO133" s="657"/>
      <c r="EP133" s="657"/>
      <c r="EQ133" s="657"/>
      <c r="ER133" s="657"/>
      <c r="ES133" s="657"/>
      <c r="ET133" s="273"/>
      <c r="EU133" s="657"/>
      <c r="EV133" s="657"/>
      <c r="EW133" s="657"/>
      <c r="EX133" s="657"/>
      <c r="EY133" s="657"/>
      <c r="EZ133" s="657"/>
      <c r="FA133" s="657"/>
      <c r="FB133" s="657"/>
      <c r="FC133" s="657"/>
      <c r="FD133" s="657"/>
      <c r="FE133" s="657"/>
      <c r="FF133" s="657"/>
      <c r="FG133" s="657"/>
      <c r="FH133" s="657"/>
      <c r="FI133" s="657"/>
      <c r="FJ133" s="657"/>
      <c r="FK133" s="657"/>
      <c r="FL133" s="657"/>
      <c r="FM133" s="657"/>
      <c r="FN133" s="657"/>
      <c r="FO133" s="657"/>
      <c r="FP133" s="657"/>
      <c r="FQ133" s="657"/>
      <c r="FR133" s="657"/>
      <c r="FS133" s="657"/>
      <c r="FT133" s="657"/>
      <c r="FU133" s="657"/>
      <c r="FV133" s="657"/>
      <c r="FW133" s="273"/>
      <c r="FX133" s="657"/>
      <c r="FY133" s="657"/>
      <c r="FZ133" s="657"/>
      <c r="GA133" s="657"/>
      <c r="GB133" s="657"/>
      <c r="GC133" s="657"/>
      <c r="GD133" s="657"/>
      <c r="GE133" s="657"/>
      <c r="GF133" s="657"/>
      <c r="GG133" s="657"/>
      <c r="GH133" s="657"/>
      <c r="GI133" s="657"/>
      <c r="GJ133" s="657"/>
      <c r="GK133" s="657"/>
      <c r="GL133" s="657"/>
      <c r="GM133" s="657"/>
      <c r="GN133" s="657"/>
      <c r="GO133" s="657"/>
      <c r="GP133" s="657"/>
      <c r="GQ133" s="657"/>
      <c r="GR133" s="657"/>
      <c r="GS133" s="657"/>
      <c r="GT133" s="657"/>
      <c r="GU133" s="657"/>
      <c r="GV133" s="657"/>
      <c r="GW133" s="657"/>
      <c r="GX133" s="657"/>
      <c r="GY133" s="657"/>
      <c r="GZ133" s="657"/>
      <c r="HA133" s="659"/>
      <c r="HB133" s="359"/>
      <c r="HC133" s="273"/>
      <c r="HD133" s="657"/>
      <c r="HE133" s="657"/>
      <c r="HF133" s="657"/>
      <c r="HG133" s="657"/>
      <c r="HH133" s="657"/>
      <c r="HI133" s="657"/>
      <c r="HJ133" s="657"/>
      <c r="HK133" s="657"/>
      <c r="HL133" s="657"/>
      <c r="HM133" s="657"/>
      <c r="HN133" s="657"/>
      <c r="HO133" s="657"/>
      <c r="HP133" s="657"/>
      <c r="HQ133" s="657"/>
      <c r="HR133" s="657"/>
      <c r="HS133" s="657"/>
      <c r="HT133" s="657"/>
      <c r="HU133" s="657"/>
      <c r="HV133" s="657"/>
      <c r="HW133" s="657"/>
      <c r="HX133" s="657"/>
      <c r="HY133" s="657"/>
      <c r="HZ133" s="657"/>
      <c r="IA133" s="657"/>
      <c r="IB133" s="657"/>
      <c r="IC133" s="657"/>
      <c r="ID133" s="657"/>
      <c r="IE133" s="657"/>
      <c r="IF133" s="273"/>
      <c r="IG133" s="657"/>
      <c r="IH133" s="657"/>
      <c r="II133" s="657"/>
      <c r="IJ133" s="657"/>
      <c r="IK133" s="657"/>
      <c r="IL133" s="657"/>
      <c r="IM133" s="657"/>
      <c r="IN133" s="657"/>
      <c r="IO133" s="657"/>
      <c r="IP133" s="657"/>
      <c r="IQ133" s="657"/>
      <c r="IR133" s="657"/>
      <c r="IS133" s="657"/>
      <c r="IT133" s="657"/>
      <c r="IU133" s="657"/>
      <c r="IV133" s="657"/>
      <c r="IW133" s="657"/>
      <c r="IX133" s="657"/>
      <c r="IY133" s="657"/>
      <c r="IZ133" s="657"/>
      <c r="JA133" s="657"/>
      <c r="JB133" s="657"/>
      <c r="JC133" s="657"/>
      <c r="JD133" s="657"/>
      <c r="JE133" s="657"/>
      <c r="JF133" s="657"/>
      <c r="JG133" s="657"/>
      <c r="JH133" s="657"/>
      <c r="JI133" s="273"/>
      <c r="JJ133" s="657"/>
      <c r="JK133" s="657"/>
      <c r="JL133" s="657"/>
      <c r="JM133" s="657"/>
      <c r="JN133" s="657"/>
      <c r="JO133" s="657"/>
      <c r="JP133" s="657"/>
      <c r="JQ133" s="657"/>
      <c r="JR133" s="657"/>
      <c r="JS133" s="657"/>
      <c r="JT133" s="657"/>
      <c r="JU133" s="657"/>
      <c r="JV133" s="657"/>
      <c r="JW133" s="657"/>
      <c r="JX133" s="657"/>
      <c r="JY133" s="657"/>
      <c r="JZ133" s="657"/>
      <c r="KA133" s="657"/>
      <c r="KB133" s="657"/>
      <c r="KC133" s="657"/>
      <c r="KD133" s="657"/>
      <c r="KE133" s="657"/>
      <c r="KF133" s="657"/>
      <c r="KG133" s="657"/>
      <c r="KH133" s="657"/>
      <c r="KI133" s="657"/>
      <c r="KJ133" s="657"/>
      <c r="KK133" s="657"/>
      <c r="KL133" s="273"/>
      <c r="KM133" s="657"/>
      <c r="KN133" s="657"/>
      <c r="KO133" s="657"/>
      <c r="KP133" s="657"/>
      <c r="KQ133" s="657"/>
      <c r="KR133" s="657"/>
      <c r="KS133" s="657"/>
      <c r="KT133" s="657"/>
      <c r="KU133" s="657"/>
      <c r="KV133" s="657"/>
      <c r="KW133" s="657"/>
      <c r="KX133" s="657"/>
      <c r="KY133" s="657"/>
      <c r="KZ133" s="657"/>
      <c r="LA133" s="657"/>
      <c r="LB133" s="657"/>
      <c r="LC133" s="657"/>
      <c r="LD133" s="657"/>
      <c r="LE133" s="657"/>
      <c r="LF133" s="657"/>
      <c r="LG133" s="657"/>
      <c r="LH133" s="657"/>
      <c r="LI133" s="657"/>
      <c r="LJ133" s="657"/>
      <c r="LK133" s="657"/>
      <c r="LL133" s="657"/>
      <c r="LM133" s="657"/>
      <c r="LN133" s="657"/>
      <c r="LO133" s="273"/>
      <c r="LP133" s="657"/>
      <c r="LQ133" s="657"/>
      <c r="LR133" s="657"/>
      <c r="LS133" s="657"/>
      <c r="LT133" s="657"/>
      <c r="LU133" s="657"/>
      <c r="LV133" s="657"/>
      <c r="LW133" s="657"/>
      <c r="LX133" s="657"/>
      <c r="LY133" s="657"/>
      <c r="LZ133" s="657"/>
      <c r="MA133" s="657"/>
      <c r="MB133" s="657"/>
      <c r="MC133" s="657"/>
      <c r="MD133" s="657"/>
      <c r="ME133" s="657"/>
      <c r="MF133" s="657"/>
      <c r="MG133" s="657"/>
      <c r="MH133" s="657"/>
      <c r="MI133" s="657"/>
      <c r="MJ133" s="657"/>
      <c r="MK133" s="657"/>
      <c r="ML133" s="657"/>
      <c r="MM133" s="657"/>
      <c r="MN133" s="657"/>
      <c r="MO133" s="657"/>
      <c r="MP133" s="657"/>
      <c r="MQ133" s="657"/>
      <c r="MR133" s="273"/>
      <c r="MS133" s="657"/>
      <c r="MT133" s="657"/>
      <c r="MU133" s="657"/>
      <c r="MV133" s="657"/>
      <c r="MW133" s="657"/>
      <c r="MX133" s="657"/>
      <c r="MY133" s="657"/>
      <c r="MZ133" s="657"/>
      <c r="NA133" s="657"/>
      <c r="NB133" s="657"/>
      <c r="NC133" s="657"/>
      <c r="ND133" s="657"/>
      <c r="NE133" s="657"/>
      <c r="NF133" s="657"/>
      <c r="NG133" s="657"/>
      <c r="NH133" s="657"/>
      <c r="NI133" s="657"/>
      <c r="NJ133" s="657"/>
      <c r="NK133" s="657"/>
      <c r="NL133" s="657"/>
      <c r="NM133" s="657"/>
      <c r="NN133" s="657"/>
      <c r="NO133" s="657"/>
      <c r="NP133" s="657"/>
      <c r="NQ133" s="657"/>
      <c r="NR133" s="657"/>
      <c r="NS133" s="657"/>
      <c r="NT133" s="657"/>
      <c r="NU133" s="273"/>
      <c r="NV133" s="657"/>
      <c r="NW133" s="657"/>
      <c r="NX133" s="657"/>
      <c r="NY133" s="657"/>
      <c r="NZ133" s="657"/>
      <c r="OA133" s="657"/>
      <c r="OB133" s="657"/>
      <c r="OC133" s="657"/>
      <c r="OD133" s="657"/>
      <c r="OE133" s="657"/>
      <c r="OF133" s="657"/>
      <c r="OG133" s="657"/>
      <c r="OH133" s="657"/>
      <c r="OI133" s="657"/>
      <c r="OJ133" s="657"/>
      <c r="OK133" s="657"/>
      <c r="OL133" s="657"/>
      <c r="OM133" s="657"/>
      <c r="ON133" s="657"/>
      <c r="OO133" s="657"/>
      <c r="OP133" s="657"/>
      <c r="OQ133" s="657"/>
      <c r="OR133" s="657"/>
      <c r="OS133" s="657"/>
      <c r="OT133" s="657"/>
      <c r="OU133" s="657"/>
      <c r="OV133" s="657"/>
      <c r="OW133" s="657"/>
      <c r="OX133" s="657"/>
      <c r="OY133" s="659"/>
      <c r="OZ133" s="359"/>
      <c r="PA133" s="273"/>
      <c r="PB133" s="657"/>
      <c r="PC133" s="657"/>
      <c r="PD133" s="657"/>
      <c r="PE133" s="657"/>
      <c r="PF133" s="657"/>
      <c r="PG133" s="657"/>
      <c r="PH133" s="657"/>
      <c r="PI133" s="657"/>
      <c r="PJ133" s="657"/>
      <c r="PK133" s="657"/>
      <c r="PL133" s="657"/>
      <c r="PM133" s="657"/>
      <c r="PN133" s="657"/>
      <c r="PO133" s="657"/>
      <c r="PP133" s="657"/>
      <c r="PQ133" s="657"/>
      <c r="PR133" s="657"/>
      <c r="PS133" s="657"/>
      <c r="PT133" s="657"/>
      <c r="PU133" s="657"/>
      <c r="PV133" s="657"/>
      <c r="PW133" s="657"/>
      <c r="PX133" s="657"/>
      <c r="PY133" s="657"/>
      <c r="PZ133" s="657"/>
      <c r="QA133" s="657"/>
      <c r="QB133" s="657"/>
      <c r="QC133" s="657"/>
      <c r="QD133" s="273"/>
      <c r="QE133" s="657"/>
      <c r="QF133" s="657"/>
      <c r="QG133" s="657"/>
      <c r="QH133" s="657"/>
      <c r="QI133" s="657"/>
      <c r="QJ133" s="657"/>
      <c r="QK133" s="657"/>
      <c r="QL133" s="657"/>
      <c r="QM133" s="657"/>
      <c r="QN133" s="657"/>
      <c r="QO133" s="657"/>
      <c r="QP133" s="657"/>
      <c r="QQ133" s="657"/>
      <c r="QR133" s="657"/>
      <c r="QS133" s="657"/>
      <c r="QT133" s="657"/>
      <c r="QU133" s="657"/>
      <c r="QV133" s="657"/>
      <c r="QW133" s="657"/>
      <c r="QX133" s="657"/>
      <c r="QY133" s="657"/>
      <c r="QZ133" s="657"/>
      <c r="RA133" s="657"/>
      <c r="RB133" s="657"/>
      <c r="RC133" s="657"/>
      <c r="RD133" s="657"/>
      <c r="RE133" s="657"/>
      <c r="RF133" s="657"/>
      <c r="RG133" s="273"/>
      <c r="RH133" s="657"/>
      <c r="RI133" s="657"/>
      <c r="RJ133" s="657"/>
      <c r="RK133" s="657"/>
      <c r="RL133" s="657"/>
      <c r="RM133" s="657"/>
      <c r="RN133" s="657"/>
      <c r="RO133" s="657"/>
      <c r="RP133" s="657"/>
      <c r="RQ133" s="657"/>
      <c r="RR133" s="657"/>
      <c r="RS133" s="657"/>
      <c r="RT133" s="657"/>
      <c r="RU133" s="657"/>
      <c r="RV133" s="657"/>
      <c r="RW133" s="657"/>
      <c r="RX133" s="657"/>
      <c r="RY133" s="657"/>
      <c r="RZ133" s="657"/>
      <c r="SA133" s="657"/>
      <c r="SB133" s="657"/>
      <c r="SC133" s="657"/>
      <c r="SD133" s="657"/>
      <c r="SE133" s="657"/>
      <c r="SF133" s="657"/>
      <c r="SG133" s="657"/>
      <c r="SH133" s="657"/>
      <c r="SI133" s="657"/>
      <c r="SJ133" s="273"/>
      <c r="SK133" s="657"/>
      <c r="SL133" s="657"/>
      <c r="SM133" s="657"/>
      <c r="SN133" s="657"/>
      <c r="SO133" s="657"/>
      <c r="SP133" s="657"/>
      <c r="SQ133" s="657"/>
      <c r="SR133" s="657"/>
      <c r="SS133" s="657"/>
      <c r="ST133" s="657"/>
      <c r="SU133" s="657"/>
      <c r="SV133" s="657"/>
      <c r="SW133" s="657"/>
      <c r="SX133" s="657"/>
      <c r="SY133" s="657"/>
      <c r="SZ133" s="657"/>
      <c r="TA133" s="657"/>
      <c r="TB133" s="657"/>
      <c r="TC133" s="657"/>
      <c r="TD133" s="657"/>
      <c r="TE133" s="657"/>
      <c r="TF133" s="657"/>
      <c r="TG133" s="657"/>
      <c r="TH133" s="657"/>
      <c r="TI133" s="657"/>
      <c r="TJ133" s="657"/>
      <c r="TK133" s="657"/>
      <c r="TL133" s="657"/>
      <c r="TM133" s="273"/>
      <c r="TN133" s="657"/>
      <c r="TO133" s="657"/>
      <c r="TP133" s="657"/>
      <c r="TQ133" s="657"/>
      <c r="TR133" s="657"/>
      <c r="TS133" s="657"/>
      <c r="TT133" s="657"/>
      <c r="TU133" s="657"/>
      <c r="TV133" s="657"/>
      <c r="TW133" s="657"/>
      <c r="TX133" s="657"/>
      <c r="TY133" s="657"/>
      <c r="TZ133" s="657"/>
      <c r="UA133" s="657"/>
      <c r="UB133" s="657"/>
      <c r="UC133" s="657"/>
      <c r="UD133" s="657"/>
      <c r="UE133" s="657"/>
      <c r="UF133" s="657"/>
      <c r="UG133" s="657"/>
      <c r="UH133" s="657"/>
      <c r="UI133" s="657"/>
      <c r="UJ133" s="657"/>
      <c r="UK133" s="657"/>
      <c r="UL133" s="657"/>
      <c r="UM133" s="657"/>
      <c r="UN133" s="657"/>
      <c r="UO133" s="657"/>
      <c r="UP133" s="273"/>
      <c r="UQ133" s="657"/>
      <c r="UR133" s="657"/>
      <c r="US133" s="657"/>
      <c r="UT133" s="657"/>
      <c r="UU133" s="657"/>
      <c r="UV133" s="657"/>
      <c r="UW133" s="657"/>
      <c r="UX133" s="657"/>
      <c r="UY133" s="657"/>
      <c r="UZ133" s="657"/>
      <c r="VA133" s="657"/>
      <c r="VB133" s="657"/>
      <c r="VC133" s="657"/>
      <c r="VD133" s="657"/>
      <c r="VE133" s="657"/>
      <c r="VF133" s="657"/>
      <c r="VG133" s="657"/>
      <c r="VH133" s="657"/>
      <c r="VI133" s="657"/>
      <c r="VJ133" s="657"/>
      <c r="VK133" s="657"/>
      <c r="VL133" s="657"/>
      <c r="VM133" s="657"/>
      <c r="VN133" s="657"/>
      <c r="VO133" s="657"/>
      <c r="VP133" s="657"/>
      <c r="VQ133" s="657"/>
      <c r="VR133" s="657"/>
      <c r="VS133" s="273"/>
      <c r="VT133" s="657"/>
      <c r="VU133" s="657"/>
      <c r="VV133" s="657"/>
      <c r="VW133" s="657"/>
      <c r="VX133" s="657"/>
      <c r="VY133" s="657"/>
      <c r="VZ133" s="657"/>
      <c r="WA133" s="657"/>
      <c r="WB133" s="657"/>
      <c r="WC133" s="657"/>
      <c r="WD133" s="657"/>
      <c r="WE133" s="657"/>
      <c r="WF133" s="657"/>
      <c r="WG133" s="657"/>
      <c r="WH133" s="657"/>
      <c r="WI133" s="657"/>
      <c r="WJ133" s="657"/>
      <c r="WK133" s="657"/>
      <c r="WL133" s="657"/>
      <c r="WM133" s="657"/>
      <c r="WN133" s="657"/>
      <c r="WO133" s="657"/>
      <c r="WP133" s="657"/>
      <c r="WQ133" s="657"/>
      <c r="WR133" s="657"/>
      <c r="WS133" s="657"/>
      <c r="WT133" s="657"/>
      <c r="WU133" s="657"/>
      <c r="WV133" s="657"/>
      <c r="WW133" s="659"/>
      <c r="WX133" s="359"/>
      <c r="WY133" s="273"/>
      <c r="WZ133" s="657"/>
      <c r="XA133" s="657"/>
      <c r="XB133" s="657"/>
      <c r="XC133" s="657"/>
      <c r="XD133" s="657"/>
      <c r="XE133" s="657"/>
      <c r="XF133" s="657"/>
      <c r="XG133" s="657"/>
      <c r="XH133" s="657"/>
      <c r="XI133" s="657"/>
      <c r="XJ133" s="657"/>
      <c r="XK133" s="657"/>
      <c r="XL133" s="657"/>
      <c r="XM133" s="657"/>
      <c r="XN133" s="657"/>
      <c r="XO133" s="657"/>
      <c r="XP133" s="657"/>
      <c r="XQ133" s="657"/>
      <c r="XR133" s="657"/>
      <c r="XS133" s="657"/>
      <c r="XT133" s="657"/>
      <c r="XU133" s="657"/>
      <c r="XV133" s="657"/>
      <c r="XW133" s="657"/>
      <c r="XX133" s="657"/>
      <c r="XY133" s="657"/>
      <c r="XZ133" s="657"/>
      <c r="YA133" s="657"/>
      <c r="YB133" s="273"/>
      <c r="YC133" s="657"/>
      <c r="YD133" s="657"/>
      <c r="YE133" s="657"/>
      <c r="YF133" s="657"/>
      <c r="YG133" s="657"/>
      <c r="YH133" s="657"/>
      <c r="YI133" s="657"/>
      <c r="YJ133" s="657"/>
      <c r="YK133" s="657"/>
      <c r="YL133" s="657"/>
      <c r="YM133" s="657"/>
      <c r="YN133" s="657"/>
      <c r="YO133" s="657"/>
      <c r="YP133" s="657"/>
      <c r="YQ133" s="657"/>
      <c r="YR133" s="657"/>
      <c r="YS133" s="657"/>
      <c r="YT133" s="657"/>
      <c r="YU133" s="657"/>
      <c r="YV133" s="657"/>
      <c r="YW133" s="657"/>
      <c r="YX133" s="657"/>
      <c r="YY133" s="657"/>
      <c r="YZ133" s="657"/>
      <c r="ZA133" s="657"/>
      <c r="ZB133" s="657"/>
      <c r="ZC133" s="657"/>
      <c r="ZD133" s="657"/>
      <c r="ZE133" s="273"/>
      <c r="ZF133" s="657"/>
      <c r="ZG133" s="657"/>
      <c r="ZH133" s="657"/>
      <c r="ZI133" s="657"/>
      <c r="ZJ133" s="657"/>
      <c r="ZK133" s="657"/>
      <c r="ZL133" s="657"/>
      <c r="ZM133" s="657"/>
      <c r="ZN133" s="657"/>
      <c r="ZO133" s="657"/>
      <c r="ZP133" s="657"/>
      <c r="ZQ133" s="657"/>
      <c r="ZR133" s="657"/>
      <c r="ZS133" s="657"/>
      <c r="ZT133" s="657"/>
      <c r="ZU133" s="657"/>
      <c r="ZV133" s="657"/>
      <c r="ZW133" s="657"/>
      <c r="ZX133" s="657"/>
      <c r="ZY133" s="657"/>
      <c r="ZZ133" s="657"/>
      <c r="AAA133" s="657"/>
      <c r="AAB133" s="657"/>
      <c r="AAC133" s="657"/>
      <c r="AAD133" s="657"/>
      <c r="AAE133" s="657"/>
      <c r="AAF133" s="657"/>
      <c r="AAG133" s="657"/>
      <c r="AAH133" s="273"/>
      <c r="AAI133" s="657"/>
      <c r="AAJ133" s="657"/>
      <c r="AAK133" s="657"/>
      <c r="AAL133" s="657"/>
      <c r="AAM133" s="657"/>
      <c r="AAN133" s="657"/>
      <c r="AAO133" s="657"/>
      <c r="AAP133" s="657"/>
      <c r="AAQ133" s="657"/>
      <c r="AAR133" s="657"/>
      <c r="AAS133" s="657"/>
      <c r="AAT133" s="657"/>
      <c r="AAU133" s="657"/>
      <c r="AAV133" s="657"/>
      <c r="AAW133" s="657"/>
      <c r="AAX133" s="657"/>
      <c r="AAY133" s="657"/>
      <c r="AAZ133" s="657"/>
      <c r="ABA133" s="657"/>
      <c r="ABB133" s="657"/>
      <c r="ABC133" s="657"/>
      <c r="ABD133" s="657"/>
      <c r="ABE133" s="657"/>
      <c r="ABF133" s="657"/>
      <c r="ABG133" s="657"/>
      <c r="ABH133" s="657"/>
      <c r="ABI133" s="657"/>
      <c r="ABJ133" s="657"/>
      <c r="ABK133" s="273"/>
      <c r="ABL133" s="657"/>
      <c r="ABM133" s="657"/>
      <c r="ABN133" s="657"/>
      <c r="ABO133" s="657"/>
      <c r="ABP133" s="657"/>
      <c r="ABQ133" s="657"/>
      <c r="ABR133" s="657"/>
      <c r="ABS133" s="657"/>
      <c r="ABT133" s="657"/>
      <c r="ABU133" s="657"/>
      <c r="ABV133" s="657"/>
      <c r="ABW133" s="657"/>
      <c r="ABX133" s="657"/>
      <c r="ABY133" s="657"/>
      <c r="ABZ133" s="657"/>
      <c r="ACA133" s="657"/>
      <c r="ACB133" s="657"/>
      <c r="ACC133" s="657"/>
      <c r="ACD133" s="657"/>
      <c r="ACE133" s="657"/>
      <c r="ACF133" s="657"/>
      <c r="ACG133" s="657"/>
      <c r="ACH133" s="657"/>
      <c r="ACI133" s="657"/>
      <c r="ACJ133" s="657"/>
      <c r="ACK133" s="657"/>
      <c r="ACL133" s="657"/>
      <c r="ACM133" s="657"/>
      <c r="ACN133" s="273"/>
      <c r="ACO133" s="657"/>
      <c r="ACP133" s="657"/>
      <c r="ACQ133" s="657"/>
      <c r="ACR133" s="657"/>
      <c r="ACS133" s="657"/>
      <c r="ACT133" s="657"/>
      <c r="ACU133" s="657"/>
      <c r="ACV133" s="657"/>
      <c r="ACW133" s="657"/>
      <c r="ACX133" s="657"/>
      <c r="ACY133" s="657"/>
      <c r="ACZ133" s="657"/>
      <c r="ADA133" s="657"/>
      <c r="ADB133" s="657"/>
      <c r="ADC133" s="657"/>
      <c r="ADD133" s="657"/>
      <c r="ADE133" s="657"/>
      <c r="ADF133" s="657"/>
      <c r="ADG133" s="657"/>
      <c r="ADH133" s="657"/>
      <c r="ADI133" s="657"/>
      <c r="ADJ133" s="657"/>
      <c r="ADK133" s="657"/>
      <c r="ADL133" s="657"/>
      <c r="ADM133" s="657"/>
      <c r="ADN133" s="657"/>
      <c r="ADO133" s="657"/>
      <c r="ADP133" s="657"/>
      <c r="ADQ133" s="273"/>
      <c r="ADR133" s="657"/>
      <c r="ADS133" s="657"/>
      <c r="ADT133" s="657"/>
      <c r="ADU133" s="657"/>
      <c r="ADV133" s="657"/>
      <c r="ADW133" s="657"/>
      <c r="ADX133" s="657"/>
      <c r="ADY133" s="657"/>
      <c r="ADZ133" s="657"/>
      <c r="AEA133" s="657"/>
      <c r="AEB133" s="657"/>
      <c r="AEC133" s="657"/>
      <c r="AED133" s="657"/>
      <c r="AEE133" s="657"/>
      <c r="AEF133" s="657"/>
      <c r="AEG133" s="657"/>
      <c r="AEH133" s="657"/>
      <c r="AEI133" s="657"/>
      <c r="AEJ133" s="657"/>
      <c r="AEK133" s="657"/>
      <c r="AEL133" s="657"/>
      <c r="AEM133" s="657"/>
      <c r="AEN133" s="657"/>
      <c r="AEO133" s="657"/>
      <c r="AEP133" s="657"/>
      <c r="AEQ133" s="657"/>
      <c r="AER133" s="657"/>
      <c r="AES133" s="657"/>
      <c r="AET133" s="657"/>
      <c r="AEU133" s="659"/>
      <c r="AEV133" s="359"/>
      <c r="AEW133" s="273"/>
      <c r="AEX133" s="657"/>
      <c r="AEY133" s="657"/>
      <c r="AEZ133" s="657"/>
      <c r="AFA133" s="657"/>
      <c r="AFB133" s="657"/>
      <c r="AFC133" s="657"/>
      <c r="AFD133" s="657"/>
      <c r="AFE133" s="657"/>
      <c r="AFF133" s="657"/>
      <c r="AFG133" s="657"/>
      <c r="AFH133" s="657"/>
      <c r="AFI133" s="657"/>
      <c r="AFJ133" s="657"/>
      <c r="AFK133" s="657"/>
      <c r="AFL133" s="657"/>
      <c r="AFM133" s="657"/>
      <c r="AFN133" s="657"/>
      <c r="AFO133" s="657"/>
      <c r="AFP133" s="657"/>
      <c r="AFQ133" s="657"/>
      <c r="AFR133" s="657"/>
      <c r="AFS133" s="657"/>
      <c r="AFT133" s="657"/>
      <c r="AFU133" s="657"/>
      <c r="AFV133" s="657"/>
      <c r="AFW133" s="657"/>
      <c r="AFX133" s="657"/>
      <c r="AFY133" s="657"/>
      <c r="AFZ133" s="273"/>
      <c r="AGA133" s="657"/>
      <c r="AGB133" s="657"/>
      <c r="AGC133" s="657"/>
      <c r="AGD133" s="657"/>
      <c r="AGE133" s="657"/>
      <c r="AGF133" s="657"/>
      <c r="AGG133" s="657"/>
      <c r="AGH133" s="657"/>
      <c r="AGI133" s="657"/>
      <c r="AGJ133" s="657"/>
      <c r="AGK133" s="657"/>
      <c r="AGL133" s="657"/>
      <c r="AGM133" s="657"/>
      <c r="AGN133" s="657"/>
      <c r="AGO133" s="657"/>
      <c r="AGP133" s="657"/>
      <c r="AGQ133" s="657"/>
      <c r="AGR133" s="657"/>
      <c r="AGS133" s="657"/>
      <c r="AGT133" s="657"/>
      <c r="AGU133" s="657"/>
      <c r="AGV133" s="657"/>
      <c r="AGW133" s="657"/>
      <c r="AGX133" s="657"/>
      <c r="AGY133" s="657"/>
      <c r="AGZ133" s="657"/>
      <c r="AHA133" s="657"/>
      <c r="AHB133" s="657"/>
      <c r="AHC133" s="273"/>
      <c r="AHD133" s="657"/>
      <c r="AHE133" s="657"/>
      <c r="AHF133" s="657"/>
      <c r="AHG133" s="657"/>
      <c r="AHH133" s="657"/>
      <c r="AHI133" s="657"/>
      <c r="AHJ133" s="657"/>
      <c r="AHK133" s="657"/>
      <c r="AHL133" s="657"/>
      <c r="AHM133" s="657"/>
      <c r="AHN133" s="657"/>
      <c r="AHO133" s="657"/>
      <c r="AHP133" s="657"/>
      <c r="AHQ133" s="657"/>
      <c r="AHR133" s="657"/>
      <c r="AHS133" s="657"/>
      <c r="AHT133" s="657"/>
      <c r="AHU133" s="657"/>
      <c r="AHV133" s="657"/>
      <c r="AHW133" s="657"/>
      <c r="AHX133" s="657"/>
      <c r="AHY133" s="657"/>
      <c r="AHZ133" s="657"/>
      <c r="AIA133" s="657"/>
      <c r="AIB133" s="657"/>
      <c r="AIC133" s="657"/>
      <c r="AID133" s="657"/>
      <c r="AIE133" s="657"/>
      <c r="AIF133" s="273"/>
      <c r="AIG133" s="657"/>
      <c r="AIH133" s="657"/>
      <c r="AII133" s="657"/>
      <c r="AIJ133" s="657"/>
      <c r="AIK133" s="657"/>
      <c r="AIL133" s="657"/>
      <c r="AIM133" s="657"/>
      <c r="AIN133" s="657"/>
      <c r="AIO133" s="657"/>
      <c r="AIP133" s="657"/>
      <c r="AIQ133" s="657"/>
      <c r="AIR133" s="657"/>
      <c r="AIS133" s="657"/>
      <c r="AIT133" s="657"/>
      <c r="AIU133" s="657"/>
      <c r="AIV133" s="657"/>
      <c r="AIW133" s="657"/>
      <c r="AIX133" s="657"/>
      <c r="AIY133" s="657"/>
      <c r="AIZ133" s="657"/>
      <c r="AJA133" s="657"/>
      <c r="AJB133" s="657"/>
      <c r="AJC133" s="657"/>
      <c r="AJD133" s="657"/>
      <c r="AJE133" s="657"/>
      <c r="AJF133" s="657"/>
      <c r="AJG133" s="657"/>
      <c r="AJH133" s="657"/>
      <c r="AJI133" s="273"/>
      <c r="AJJ133" s="657"/>
      <c r="AJK133" s="657"/>
      <c r="AJL133" s="657"/>
      <c r="AJM133" s="657"/>
      <c r="AJN133" s="657"/>
      <c r="AJO133" s="657"/>
      <c r="AJP133" s="657"/>
      <c r="AJQ133" s="657"/>
      <c r="AJR133" s="657"/>
      <c r="AJS133" s="657"/>
      <c r="AJT133" s="657"/>
      <c r="AJU133" s="657"/>
      <c r="AJV133" s="657"/>
      <c r="AJW133" s="657"/>
      <c r="AJX133" s="657"/>
      <c r="AJY133" s="657"/>
      <c r="AJZ133" s="657"/>
      <c r="AKA133" s="657"/>
      <c r="AKB133" s="657"/>
      <c r="AKC133" s="657"/>
      <c r="AKD133" s="657"/>
      <c r="AKE133" s="657"/>
      <c r="AKF133" s="657"/>
      <c r="AKG133" s="657"/>
      <c r="AKH133" s="657"/>
      <c r="AKI133" s="657"/>
      <c r="AKJ133" s="657"/>
      <c r="AKK133" s="657"/>
      <c r="AKL133" s="273"/>
      <c r="AKM133" s="657"/>
      <c r="AKN133" s="657"/>
      <c r="AKO133" s="657"/>
      <c r="AKP133" s="657"/>
      <c r="AKQ133" s="657"/>
      <c r="AKR133" s="657"/>
      <c r="AKS133" s="657"/>
      <c r="AKT133" s="657"/>
      <c r="AKU133" s="657"/>
      <c r="AKV133" s="657"/>
      <c r="AKW133" s="657"/>
      <c r="AKX133" s="657"/>
      <c r="AKY133" s="657"/>
      <c r="AKZ133" s="657"/>
      <c r="ALA133" s="657"/>
      <c r="ALB133" s="657"/>
      <c r="ALC133" s="657"/>
      <c r="ALD133" s="657"/>
      <c r="ALE133" s="657"/>
      <c r="ALF133" s="657"/>
      <c r="ALG133" s="657"/>
      <c r="ALH133" s="657"/>
      <c r="ALI133" s="657"/>
      <c r="ALJ133" s="657"/>
      <c r="ALK133" s="657"/>
      <c r="ALL133" s="657"/>
      <c r="ALM133" s="657"/>
      <c r="ALN133" s="657"/>
      <c r="ALO133" s="273"/>
      <c r="ALP133" s="657"/>
      <c r="ALQ133" s="657"/>
      <c r="ALR133" s="657"/>
      <c r="ALS133" s="657"/>
      <c r="ALT133" s="657"/>
      <c r="ALU133" s="657"/>
      <c r="ALV133" s="657"/>
      <c r="ALW133" s="657"/>
      <c r="ALX133" s="657"/>
      <c r="ALY133" s="657"/>
      <c r="ALZ133" s="657"/>
      <c r="AMA133" s="657"/>
      <c r="AMB133" s="657"/>
      <c r="AMC133" s="657"/>
      <c r="AMD133" s="657"/>
      <c r="AME133" s="657"/>
      <c r="AMF133" s="657"/>
      <c r="AMG133" s="657"/>
      <c r="AMH133" s="657"/>
      <c r="AMI133" s="657"/>
      <c r="AMJ133" s="657"/>
      <c r="AMK133" s="657"/>
      <c r="AML133" s="657"/>
      <c r="AMM133" s="657"/>
      <c r="AMN133" s="657"/>
      <c r="AMO133" s="657"/>
      <c r="AMP133" s="657"/>
      <c r="AMQ133" s="657"/>
      <c r="AMR133" s="657"/>
      <c r="AMS133" s="659"/>
      <c r="AMT133" s="4"/>
      <c r="AMU133" s="4"/>
      <c r="AMV133" s="4"/>
      <c r="AMW133" s="4"/>
      <c r="AMX133" s="4"/>
      <c r="AMY133" s="4"/>
      <c r="AMZ133" s="4"/>
      <c r="ANA133" s="4"/>
      <c r="ANB133" s="4"/>
      <c r="ANC133" s="4"/>
      <c r="AND133" s="4"/>
      <c r="ANE133" s="4"/>
      <c r="ANF133" s="4"/>
      <c r="ANG133" s="4"/>
      <c r="ANH133" s="4"/>
      <c r="ANI133" s="4"/>
      <c r="ANJ133" s="4"/>
      <c r="ANK133" s="4"/>
      <c r="ANL133" s="4"/>
      <c r="ANM133" s="4"/>
      <c r="ANN133" s="4"/>
      <c r="ANO133" s="4"/>
      <c r="ANP133" s="4"/>
      <c r="ANQ133" s="4"/>
      <c r="ANR133" s="4"/>
      <c r="ANS133" s="4"/>
      <c r="ANT133" s="4"/>
      <c r="ANU133" s="4"/>
      <c r="ANV133" s="4"/>
      <c r="ANW133" s="4"/>
      <c r="ANX133" s="4"/>
      <c r="ANY133" s="4"/>
      <c r="ANZ133" s="4"/>
      <c r="AOA133" s="4"/>
      <c r="AOB133" s="4"/>
      <c r="AOC133" s="4"/>
      <c r="AOD133" s="4"/>
      <c r="AOE133" s="4"/>
      <c r="AOF133" s="4"/>
      <c r="AOG133" s="4"/>
      <c r="AOH133" s="4"/>
      <c r="AOI133" s="4"/>
      <c r="AOJ133" s="4"/>
      <c r="AOK133" s="4"/>
      <c r="AOL133" s="4"/>
      <c r="AOM133" s="4"/>
      <c r="AON133" s="4"/>
      <c r="AOO133" s="4"/>
      <c r="AOP133" s="4"/>
      <c r="AOQ133" s="4"/>
      <c r="AOR133" s="4"/>
      <c r="AOS133" s="4"/>
      <c r="AOT133" s="4"/>
      <c r="AOU133" s="4"/>
      <c r="AOV133" s="4"/>
      <c r="AOW133" s="4"/>
      <c r="AOX133" s="4"/>
      <c r="AOY133" s="4"/>
      <c r="AOZ133" s="4"/>
      <c r="APA133" s="4"/>
      <c r="APB133" s="4"/>
      <c r="APC133" s="4"/>
      <c r="APD133" s="4"/>
      <c r="APE133" s="4"/>
      <c r="APF133" s="4"/>
      <c r="APG133" s="4"/>
      <c r="APH133" s="4"/>
      <c r="API133" s="4"/>
      <c r="APJ133" s="4"/>
      <c r="APK133" s="4"/>
      <c r="APL133" s="4"/>
      <c r="APM133" s="4"/>
      <c r="APN133" s="4"/>
      <c r="APO133" s="4"/>
      <c r="APP133" s="4"/>
      <c r="APQ133" s="4"/>
      <c r="APR133" s="4"/>
      <c r="APS133" s="4"/>
      <c r="APT133" s="4"/>
      <c r="APU133" s="4"/>
      <c r="APV133" s="4"/>
      <c r="APW133" s="4"/>
      <c r="APX133" s="4"/>
      <c r="APY133" s="4"/>
      <c r="APZ133" s="4"/>
      <c r="AQA133" s="4"/>
      <c r="AQB133" s="4"/>
      <c r="AQC133" s="4"/>
      <c r="AQD133" s="4"/>
      <c r="AQE133" s="4"/>
      <c r="AQF133" s="4"/>
      <c r="AQG133" s="4"/>
      <c r="AQH133" s="4"/>
      <c r="AQI133" s="4"/>
      <c r="AQJ133" s="4"/>
      <c r="AQK133" s="4"/>
      <c r="AQL133" s="4"/>
      <c r="AQM133" s="4"/>
      <c r="AQN133" s="4"/>
      <c r="AQO133" s="4"/>
      <c r="AQP133" s="4"/>
      <c r="AQQ133" s="4"/>
      <c r="AQR133" s="4"/>
      <c r="AQS133" s="4"/>
      <c r="AQT133" s="4"/>
      <c r="AQU133" s="4"/>
      <c r="AQV133" s="4"/>
      <c r="AQW133" s="4"/>
      <c r="AQX133" s="4"/>
      <c r="AQY133" s="4"/>
      <c r="AQZ133" s="4"/>
      <c r="ARA133" s="4"/>
      <c r="ARB133" s="4"/>
      <c r="ARC133" s="4"/>
      <c r="ARD133" s="4"/>
      <c r="ARE133" s="4"/>
      <c r="ARF133" s="4"/>
      <c r="ARG133" s="4"/>
      <c r="ARH133" s="4"/>
      <c r="ARI133" s="4"/>
      <c r="ARJ133" s="4"/>
      <c r="ARK133" s="4"/>
      <c r="ARL133" s="4"/>
      <c r="ARM133" s="4"/>
      <c r="ARN133" s="4"/>
      <c r="ARO133" s="4"/>
      <c r="ARP133" s="4"/>
      <c r="ARQ133" s="4"/>
      <c r="ARR133" s="4"/>
      <c r="ARS133" s="4"/>
      <c r="ART133" s="4"/>
      <c r="ARU133" s="4"/>
      <c r="ARV133" s="4"/>
      <c r="ARW133" s="4"/>
      <c r="ARX133" s="4"/>
      <c r="ARY133" s="4"/>
      <c r="ARZ133" s="4"/>
      <c r="ASA133" s="4"/>
      <c r="ASB133" s="4"/>
      <c r="ASC133" s="4"/>
      <c r="ASD133" s="4"/>
      <c r="ASE133" s="4"/>
      <c r="ASF133" s="4"/>
      <c r="ASG133" s="4"/>
      <c r="ASH133" s="4"/>
      <c r="ASI133" s="4"/>
      <c r="ASJ133" s="4"/>
      <c r="ASK133" s="4"/>
      <c r="ASL133" s="4"/>
      <c r="ASM133" s="4"/>
      <c r="ASN133" s="4"/>
      <c r="ASO133" s="4"/>
      <c r="ASP133" s="4"/>
      <c r="ASQ133" s="4"/>
      <c r="ASR133" s="4"/>
      <c r="ASS133" s="4"/>
      <c r="AST133" s="4"/>
      <c r="ASU133" s="4"/>
    </row>
    <row r="134" ht="15" customHeight="1" spans="1:1191" x14ac:dyDescent="0.25">
      <c r="A134" s="670" t="s">
        <v>164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  <c r="ALQ134" s="4"/>
      <c r="ALR134" s="4"/>
      <c r="ALS134" s="4"/>
      <c r="ALT134" s="4"/>
      <c r="ALU134" s="4"/>
      <c r="ALV134" s="4"/>
      <c r="ALW134" s="4"/>
      <c r="ALX134" s="4"/>
      <c r="ALY134" s="4"/>
      <c r="ALZ134" s="4"/>
      <c r="AMA134" s="4"/>
      <c r="AMB134" s="4"/>
      <c r="AMC134" s="4"/>
      <c r="AMD134" s="4"/>
      <c r="AME134" s="4"/>
      <c r="AMF134" s="4"/>
      <c r="AMG134" s="4"/>
      <c r="AMH134" s="4"/>
      <c r="AMI134" s="4"/>
      <c r="AMJ134" s="4"/>
      <c r="AMK134" s="4"/>
      <c r="AML134" s="4"/>
      <c r="AMM134" s="4"/>
      <c r="AMN134" s="4"/>
      <c r="AMO134" s="4"/>
      <c r="AMP134" s="4"/>
      <c r="AMQ134" s="4"/>
      <c r="AMR134" s="4"/>
      <c r="AMS134" s="4"/>
      <c r="AMT134" s="4"/>
      <c r="AMU134" s="4"/>
      <c r="AMV134" s="4"/>
      <c r="AMW134" s="4"/>
      <c r="AMX134" s="4"/>
      <c r="AMY134" s="4"/>
      <c r="AMZ134" s="4"/>
      <c r="ANA134" s="4"/>
      <c r="ANB134" s="4"/>
      <c r="ANC134" s="4"/>
      <c r="AND134" s="4"/>
      <c r="ANE134" s="4"/>
      <c r="ANF134" s="4"/>
      <c r="ANG134" s="4"/>
      <c r="ANH134" s="4"/>
      <c r="ANI134" s="4"/>
      <c r="ANJ134" s="4"/>
      <c r="ANK134" s="4"/>
      <c r="ANL134" s="4"/>
      <c r="ANM134" s="4"/>
      <c r="ANN134" s="4"/>
      <c r="ANO134" s="4"/>
      <c r="ANP134" s="4"/>
      <c r="ANQ134" s="4"/>
      <c r="ANR134" s="4"/>
      <c r="ANS134" s="4"/>
      <c r="ANT134" s="4"/>
      <c r="ANU134" s="4"/>
      <c r="ANV134" s="4"/>
      <c r="ANW134" s="4"/>
      <c r="ANX134" s="4"/>
      <c r="ANY134" s="4"/>
      <c r="ANZ134" s="4"/>
      <c r="AOA134" s="4"/>
      <c r="AOB134" s="4"/>
      <c r="AOC134" s="4"/>
      <c r="AOD134" s="4"/>
      <c r="AOE134" s="4"/>
      <c r="AOF134" s="4"/>
      <c r="AOG134" s="4"/>
      <c r="AOH134" s="4"/>
      <c r="AOI134" s="4"/>
      <c r="AOJ134" s="4"/>
      <c r="AOK134" s="4"/>
      <c r="AOL134" s="4"/>
      <c r="AOM134" s="4"/>
      <c r="AON134" s="4"/>
      <c r="AOO134" s="4"/>
      <c r="AOP134" s="4"/>
      <c r="AOQ134" s="4"/>
      <c r="AOR134" s="4"/>
      <c r="AOS134" s="4"/>
      <c r="AOT134" s="4"/>
      <c r="AOU134" s="4"/>
      <c r="AOV134" s="4"/>
      <c r="AOW134" s="4"/>
      <c r="AOX134" s="4"/>
      <c r="AOY134" s="4"/>
      <c r="AOZ134" s="4"/>
      <c r="APA134" s="4"/>
      <c r="APB134" s="4"/>
      <c r="APC134" s="4"/>
      <c r="APD134" s="4"/>
      <c r="APE134" s="4"/>
      <c r="APF134" s="4"/>
      <c r="APG134" s="4"/>
      <c r="APH134" s="4"/>
      <c r="API134" s="4"/>
      <c r="APJ134" s="4"/>
      <c r="APK134" s="4"/>
      <c r="APL134" s="4"/>
      <c r="APM134" s="4"/>
      <c r="APN134" s="4"/>
      <c r="APO134" s="4"/>
      <c r="APP134" s="4"/>
      <c r="APQ134" s="4"/>
      <c r="APR134" s="4"/>
      <c r="APS134" s="4"/>
      <c r="APT134" s="4"/>
      <c r="APU134" s="4"/>
      <c r="APV134" s="4"/>
      <c r="APW134" s="4"/>
      <c r="APX134" s="4"/>
      <c r="APY134" s="4"/>
      <c r="APZ134" s="4"/>
      <c r="AQA134" s="4"/>
      <c r="AQB134" s="4"/>
      <c r="AQC134" s="4"/>
      <c r="AQD134" s="4"/>
      <c r="AQE134" s="4"/>
      <c r="AQF134" s="4"/>
      <c r="AQG134" s="4"/>
      <c r="AQH134" s="4"/>
      <c r="AQI134" s="4"/>
      <c r="AQJ134" s="4"/>
      <c r="AQK134" s="4"/>
      <c r="AQL134" s="4"/>
      <c r="AQM134" s="4"/>
      <c r="AQN134" s="4"/>
      <c r="AQO134" s="4"/>
      <c r="AQP134" s="4"/>
      <c r="AQQ134" s="4"/>
      <c r="AQR134" s="4"/>
      <c r="AQS134" s="4"/>
      <c r="AQT134" s="4"/>
      <c r="AQU134" s="4"/>
      <c r="AQV134" s="4"/>
      <c r="AQW134" s="4"/>
      <c r="AQX134" s="4"/>
      <c r="AQY134" s="4"/>
      <c r="AQZ134" s="4"/>
      <c r="ARA134" s="4"/>
      <c r="ARB134" s="4"/>
      <c r="ARC134" s="4"/>
      <c r="ARD134" s="4"/>
      <c r="ARE134" s="4"/>
      <c r="ARF134" s="4"/>
      <c r="ARG134" s="4"/>
      <c r="ARH134" s="4"/>
      <c r="ARI134" s="4"/>
      <c r="ARJ134" s="4"/>
      <c r="ARK134" s="4"/>
      <c r="ARL134" s="4"/>
      <c r="ARM134" s="4"/>
      <c r="ARN134" s="4"/>
      <c r="ARO134" s="4"/>
      <c r="ARP134" s="4"/>
      <c r="ARQ134" s="4"/>
      <c r="ARR134" s="4"/>
      <c r="ARS134" s="4"/>
      <c r="ART134" s="4"/>
      <c r="ARU134" s="4"/>
      <c r="ARV134" s="4"/>
      <c r="ARW134" s="4"/>
      <c r="ARX134" s="4"/>
      <c r="ARY134" s="4"/>
      <c r="ARZ134" s="4"/>
      <c r="ASA134" s="4"/>
      <c r="ASB134" s="4"/>
      <c r="ASC134" s="4"/>
      <c r="ASD134" s="4"/>
      <c r="ASE134" s="4"/>
      <c r="ASF134" s="4"/>
      <c r="ASG134" s="4"/>
      <c r="ASH134" s="4"/>
      <c r="ASI134" s="4"/>
      <c r="ASJ134" s="4"/>
      <c r="ASK134" s="4"/>
      <c r="ASL134" s="4"/>
      <c r="ASM134" s="4"/>
      <c r="ASN134" s="4"/>
      <c r="ASO134" s="4"/>
      <c r="ASP134" s="4"/>
      <c r="ASQ134" s="4"/>
      <c r="ASR134" s="4"/>
      <c r="ASS134" s="4"/>
      <c r="AST134" s="4"/>
      <c r="ASU134" s="4"/>
    </row>
    <row r="135" ht="15" customHeight="1" spans="1:1191" x14ac:dyDescent="0.25">
      <c r="A135" s="8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  <c r="ALZ135" s="4"/>
      <c r="AMA135" s="4"/>
      <c r="AMB135" s="4"/>
      <c r="AMC135" s="4"/>
      <c r="AMD135" s="4"/>
      <c r="AME135" s="4"/>
      <c r="AMF135" s="4"/>
      <c r="AMG135" s="4"/>
      <c r="AMH135" s="4"/>
      <c r="AMI135" s="4"/>
      <c r="AMJ135" s="4"/>
      <c r="AMK135" s="4"/>
      <c r="AML135" s="4"/>
      <c r="AMM135" s="4"/>
      <c r="AMN135" s="4"/>
      <c r="AMO135" s="4"/>
      <c r="AMP135" s="4"/>
      <c r="AMQ135" s="4"/>
      <c r="AMR135" s="4"/>
      <c r="AMS135" s="4"/>
      <c r="AMT135" s="4"/>
      <c r="AMU135" s="4"/>
      <c r="AMV135" s="4"/>
      <c r="AMW135" s="4"/>
      <c r="AMX135" s="4"/>
      <c r="AMY135" s="4"/>
      <c r="AMZ135" s="4"/>
      <c r="ANA135" s="4"/>
      <c r="ANB135" s="4"/>
      <c r="ANC135" s="4"/>
      <c r="AND135" s="4"/>
      <c r="ANE135" s="4"/>
      <c r="ANF135" s="4"/>
      <c r="ANG135" s="4"/>
      <c r="ANH135" s="4"/>
      <c r="ANI135" s="4"/>
      <c r="ANJ135" s="4"/>
      <c r="ANK135" s="4"/>
      <c r="ANL135" s="4"/>
      <c r="ANM135" s="4"/>
      <c r="ANN135" s="4"/>
      <c r="ANO135" s="4"/>
      <c r="ANP135" s="4"/>
      <c r="ANQ135" s="4"/>
      <c r="ANR135" s="4"/>
      <c r="ANS135" s="4"/>
      <c r="ANT135" s="4"/>
      <c r="ANU135" s="4"/>
      <c r="ANV135" s="4"/>
      <c r="ANW135" s="4"/>
      <c r="ANX135" s="4"/>
      <c r="ANY135" s="4"/>
      <c r="ANZ135" s="4"/>
      <c r="AOA135" s="4"/>
      <c r="AOB135" s="4"/>
      <c r="AOC135" s="4"/>
      <c r="AOD135" s="4"/>
      <c r="AOE135" s="4"/>
      <c r="AOF135" s="4"/>
      <c r="AOG135" s="4"/>
      <c r="AOH135" s="4"/>
      <c r="AOI135" s="4"/>
      <c r="AOJ135" s="4"/>
      <c r="AOK135" s="4"/>
      <c r="AOL135" s="4"/>
      <c r="AOM135" s="4"/>
      <c r="AON135" s="4"/>
      <c r="AOO135" s="4"/>
      <c r="AOP135" s="4"/>
      <c r="AOQ135" s="4"/>
      <c r="AOR135" s="4"/>
      <c r="AOS135" s="4"/>
      <c r="AOT135" s="4"/>
      <c r="AOU135" s="4"/>
      <c r="AOV135" s="4"/>
      <c r="AOW135" s="4"/>
      <c r="AOX135" s="4"/>
      <c r="AOY135" s="4"/>
      <c r="AOZ135" s="4"/>
      <c r="APA135" s="4"/>
      <c r="APB135" s="4"/>
      <c r="APC135" s="4"/>
      <c r="APD135" s="4"/>
      <c r="APE135" s="4"/>
      <c r="APF135" s="4"/>
      <c r="APG135" s="4"/>
      <c r="APH135" s="4"/>
      <c r="API135" s="4"/>
      <c r="APJ135" s="4"/>
      <c r="APK135" s="4"/>
      <c r="APL135" s="4"/>
      <c r="APM135" s="4"/>
      <c r="APN135" s="4"/>
      <c r="APO135" s="4"/>
      <c r="APP135" s="4"/>
      <c r="APQ135" s="4"/>
      <c r="APR135" s="4"/>
      <c r="APS135" s="4"/>
      <c r="APT135" s="4"/>
      <c r="APU135" s="4"/>
      <c r="APV135" s="4"/>
      <c r="APW135" s="4"/>
      <c r="APX135" s="4"/>
      <c r="APY135" s="4"/>
      <c r="APZ135" s="4"/>
      <c r="AQA135" s="4"/>
      <c r="AQB135" s="4"/>
      <c r="AQC135" s="4"/>
      <c r="AQD135" s="4"/>
      <c r="AQE135" s="4"/>
      <c r="AQF135" s="4"/>
      <c r="AQG135" s="4"/>
      <c r="AQH135" s="4"/>
      <c r="AQI135" s="4"/>
      <c r="AQJ135" s="4"/>
      <c r="AQK135" s="4"/>
      <c r="AQL135" s="4"/>
      <c r="AQM135" s="4"/>
      <c r="AQN135" s="4"/>
      <c r="AQO135" s="4"/>
      <c r="AQP135" s="4"/>
      <c r="AQQ135" s="4"/>
      <c r="AQR135" s="4"/>
      <c r="AQS135" s="4"/>
      <c r="AQT135" s="4"/>
      <c r="AQU135" s="4"/>
      <c r="AQV135" s="4"/>
      <c r="AQW135" s="4"/>
      <c r="AQX135" s="4"/>
      <c r="AQY135" s="4"/>
      <c r="AQZ135" s="4"/>
      <c r="ARA135" s="4"/>
      <c r="ARB135" s="4"/>
      <c r="ARC135" s="4"/>
      <c r="ARD135" s="4"/>
      <c r="ARE135" s="4"/>
      <c r="ARF135" s="4"/>
      <c r="ARG135" s="4"/>
      <c r="ARH135" s="4"/>
      <c r="ARI135" s="4"/>
      <c r="ARJ135" s="4"/>
      <c r="ARK135" s="4"/>
      <c r="ARL135" s="4"/>
      <c r="ARM135" s="4"/>
      <c r="ARN135" s="4"/>
      <c r="ARO135" s="4"/>
      <c r="ARP135" s="4"/>
      <c r="ARQ135" s="4"/>
      <c r="ARR135" s="4"/>
      <c r="ARS135" s="4"/>
      <c r="ART135" s="4"/>
      <c r="ARU135" s="4"/>
      <c r="ARV135" s="4"/>
      <c r="ARW135" s="4"/>
      <c r="ARX135" s="4"/>
      <c r="ARY135" s="4"/>
      <c r="ARZ135" s="4"/>
      <c r="ASA135" s="4"/>
      <c r="ASB135" s="4"/>
      <c r="ASC135" s="4"/>
      <c r="ASD135" s="4"/>
      <c r="ASE135" s="4"/>
      <c r="ASF135" s="4"/>
      <c r="ASG135" s="4"/>
      <c r="ASH135" s="4"/>
      <c r="ASI135" s="4"/>
      <c r="ASJ135" s="4"/>
      <c r="ASK135" s="4"/>
      <c r="ASL135" s="4"/>
      <c r="ASM135" s="4"/>
      <c r="ASN135" s="4"/>
      <c r="ASO135" s="4"/>
      <c r="ASP135" s="4"/>
      <c r="ASQ135" s="4"/>
      <c r="ASR135" s="4"/>
      <c r="ASS135" s="4"/>
      <c r="AST135" s="4"/>
      <c r="ASU135" s="4"/>
    </row>
    <row r="136" ht="15" customHeight="1" spans="1:1191" x14ac:dyDescent="0.25">
      <c r="A136" s="671" t="s">
        <v>165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  <c r="ALZ136" s="4"/>
      <c r="AMA136" s="4"/>
      <c r="AMB136" s="4"/>
      <c r="AMC136" s="4"/>
      <c r="AMD136" s="4"/>
      <c r="AME136" s="4"/>
      <c r="AMF136" s="4"/>
      <c r="AMG136" s="4"/>
      <c r="AMH136" s="4"/>
      <c r="AMI136" s="4"/>
      <c r="AMJ136" s="4"/>
      <c r="AMK136" s="4"/>
      <c r="AML136" s="4"/>
      <c r="AMM136" s="4"/>
      <c r="AMN136" s="4"/>
      <c r="AMO136" s="4"/>
      <c r="AMP136" s="4"/>
      <c r="AMQ136" s="4"/>
      <c r="AMR136" s="4"/>
      <c r="AMS136" s="4"/>
      <c r="AMT136" s="4"/>
      <c r="AMU136" s="4"/>
      <c r="AMV136" s="4"/>
      <c r="AMW136" s="4"/>
      <c r="AMX136" s="4"/>
      <c r="AMY136" s="4"/>
      <c r="AMZ136" s="4"/>
      <c r="ANA136" s="4"/>
      <c r="ANB136" s="4"/>
      <c r="ANC136" s="4"/>
      <c r="AND136" s="4"/>
      <c r="ANE136" s="4"/>
      <c r="ANF136" s="4"/>
      <c r="ANG136" s="4"/>
      <c r="ANH136" s="4"/>
      <c r="ANI136" s="4"/>
      <c r="ANJ136" s="4"/>
      <c r="ANK136" s="4"/>
      <c r="ANL136" s="4"/>
      <c r="ANM136" s="4"/>
      <c r="ANN136" s="4"/>
      <c r="ANO136" s="4"/>
      <c r="ANP136" s="4"/>
      <c r="ANQ136" s="4"/>
      <c r="ANR136" s="4"/>
      <c r="ANS136" s="4"/>
      <c r="ANT136" s="4"/>
      <c r="ANU136" s="4"/>
      <c r="ANV136" s="4"/>
      <c r="ANW136" s="4"/>
      <c r="ANX136" s="4"/>
      <c r="ANY136" s="4"/>
      <c r="ANZ136" s="4"/>
      <c r="AOA136" s="4"/>
      <c r="AOB136" s="4"/>
      <c r="AOC136" s="4"/>
      <c r="AOD136" s="4"/>
      <c r="AOE136" s="4"/>
      <c r="AOF136" s="4"/>
      <c r="AOG136" s="4"/>
      <c r="AOH136" s="4"/>
      <c r="AOI136" s="4"/>
      <c r="AOJ136" s="4"/>
      <c r="AOK136" s="4"/>
      <c r="AOL136" s="4"/>
      <c r="AOM136" s="4"/>
      <c r="AON136" s="4"/>
      <c r="AOO136" s="4"/>
      <c r="AOP136" s="4"/>
      <c r="AOQ136" s="4"/>
      <c r="AOR136" s="4"/>
      <c r="AOS136" s="4"/>
      <c r="AOT136" s="4"/>
      <c r="AOU136" s="4"/>
      <c r="AOV136" s="4"/>
      <c r="AOW136" s="4"/>
      <c r="AOX136" s="4"/>
      <c r="AOY136" s="4"/>
      <c r="AOZ136" s="4"/>
      <c r="APA136" s="4"/>
      <c r="APB136" s="4"/>
      <c r="APC136" s="4"/>
      <c r="APD136" s="4"/>
      <c r="APE136" s="4"/>
      <c r="APF136" s="4"/>
      <c r="APG136" s="4"/>
      <c r="APH136" s="4"/>
      <c r="API136" s="4"/>
      <c r="APJ136" s="4"/>
      <c r="APK136" s="4"/>
      <c r="APL136" s="4"/>
      <c r="APM136" s="4"/>
      <c r="APN136" s="4"/>
      <c r="APO136" s="4"/>
      <c r="APP136" s="4"/>
      <c r="APQ136" s="4"/>
      <c r="APR136" s="4"/>
      <c r="APS136" s="4"/>
      <c r="APT136" s="4"/>
      <c r="APU136" s="4"/>
      <c r="APV136" s="4"/>
      <c r="APW136" s="4"/>
      <c r="APX136" s="4"/>
      <c r="APY136" s="4"/>
      <c r="APZ136" s="4"/>
      <c r="AQA136" s="4"/>
      <c r="AQB136" s="4"/>
      <c r="AQC136" s="4"/>
      <c r="AQD136" s="4"/>
      <c r="AQE136" s="4"/>
      <c r="AQF136" s="4"/>
      <c r="AQG136" s="4"/>
      <c r="AQH136" s="4"/>
      <c r="AQI136" s="4"/>
      <c r="AQJ136" s="4"/>
      <c r="AQK136" s="4"/>
      <c r="AQL136" s="4"/>
      <c r="AQM136" s="4"/>
      <c r="AQN136" s="4"/>
      <c r="AQO136" s="4"/>
      <c r="AQP136" s="4"/>
      <c r="AQQ136" s="4"/>
      <c r="AQR136" s="4"/>
      <c r="AQS136" s="4"/>
      <c r="AQT136" s="4"/>
      <c r="AQU136" s="4"/>
      <c r="AQV136" s="4"/>
      <c r="AQW136" s="4"/>
      <c r="AQX136" s="4"/>
      <c r="AQY136" s="4"/>
      <c r="AQZ136" s="4"/>
      <c r="ARA136" s="4"/>
      <c r="ARB136" s="4"/>
      <c r="ARC136" s="4"/>
      <c r="ARD136" s="4"/>
      <c r="ARE136" s="4"/>
      <c r="ARF136" s="4"/>
      <c r="ARG136" s="4"/>
      <c r="ARH136" s="4"/>
      <c r="ARI136" s="4"/>
      <c r="ARJ136" s="4"/>
      <c r="ARK136" s="4"/>
      <c r="ARL136" s="4"/>
      <c r="ARM136" s="4"/>
      <c r="ARN136" s="4"/>
      <c r="ARO136" s="4"/>
      <c r="ARP136" s="4"/>
      <c r="ARQ136" s="4"/>
      <c r="ARR136" s="4"/>
      <c r="ARS136" s="4"/>
      <c r="ART136" s="4"/>
      <c r="ARU136" s="4"/>
      <c r="ARV136" s="4"/>
      <c r="ARW136" s="4"/>
      <c r="ARX136" s="4"/>
      <c r="ARY136" s="4"/>
      <c r="ARZ136" s="4"/>
      <c r="ASA136" s="4"/>
      <c r="ASB136" s="4"/>
      <c r="ASC136" s="4"/>
      <c r="ASD136" s="4"/>
      <c r="ASE136" s="4"/>
      <c r="ASF136" s="4"/>
      <c r="ASG136" s="4"/>
      <c r="ASH136" s="4"/>
      <c r="ASI136" s="4"/>
      <c r="ASJ136" s="4"/>
      <c r="ASK136" s="4"/>
      <c r="ASL136" s="4"/>
      <c r="ASM136" s="4"/>
      <c r="ASN136" s="4"/>
      <c r="ASO136" s="4"/>
      <c r="ASP136" s="4"/>
      <c r="ASQ136" s="4"/>
      <c r="ASR136" s="4"/>
      <c r="ASS136" s="4"/>
      <c r="AST136" s="4"/>
      <c r="ASU136" s="4"/>
    </row>
    <row r="137" ht="15" customHeight="1" spans="1:1191" x14ac:dyDescent="0.25">
      <c r="A137" s="15">
        <v>0.5</v>
      </c>
      <c r="B137" s="672" t="s">
        <v>166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  <c r="ALZ137" s="4"/>
      <c r="AMA137" s="4"/>
      <c r="AMB137" s="4"/>
      <c r="AMC137" s="4"/>
      <c r="AMD137" s="4"/>
      <c r="AME137" s="4"/>
      <c r="AMF137" s="4"/>
      <c r="AMG137" s="4"/>
      <c r="AMH137" s="4"/>
      <c r="AMI137" s="4"/>
      <c r="AMJ137" s="4"/>
      <c r="AMK137" s="4"/>
      <c r="AML137" s="4"/>
      <c r="AMM137" s="4"/>
      <c r="AMN137" s="4"/>
      <c r="AMO137" s="4"/>
      <c r="AMP137" s="4"/>
      <c r="AMQ137" s="4"/>
      <c r="AMR137" s="4"/>
      <c r="AMS137" s="4"/>
      <c r="AMT137" s="4"/>
      <c r="AMU137" s="4"/>
      <c r="AMV137" s="4"/>
      <c r="AMW137" s="4"/>
      <c r="AMX137" s="4"/>
      <c r="AMY137" s="4"/>
      <c r="AMZ137" s="4"/>
      <c r="ANA137" s="4"/>
      <c r="ANB137" s="4"/>
      <c r="ANC137" s="4"/>
      <c r="AND137" s="4"/>
      <c r="ANE137" s="4"/>
      <c r="ANF137" s="4"/>
      <c r="ANG137" s="4"/>
      <c r="ANH137" s="4"/>
      <c r="ANI137" s="4"/>
      <c r="ANJ137" s="4"/>
      <c r="ANK137" s="4"/>
      <c r="ANL137" s="4"/>
      <c r="ANM137" s="4"/>
      <c r="ANN137" s="4"/>
      <c r="ANO137" s="4"/>
      <c r="ANP137" s="4"/>
      <c r="ANQ137" s="4"/>
      <c r="ANR137" s="4"/>
      <c r="ANS137" s="4"/>
      <c r="ANT137" s="4"/>
      <c r="ANU137" s="4"/>
      <c r="ANV137" s="4"/>
      <c r="ANW137" s="4"/>
      <c r="ANX137" s="4"/>
      <c r="ANY137" s="4"/>
      <c r="ANZ137" s="4"/>
      <c r="AOA137" s="4"/>
      <c r="AOB137" s="4"/>
      <c r="AOC137" s="4"/>
      <c r="AOD137" s="4"/>
      <c r="AOE137" s="4"/>
      <c r="AOF137" s="4"/>
      <c r="AOG137" s="4"/>
      <c r="AOH137" s="4"/>
      <c r="AOI137" s="4"/>
      <c r="AOJ137" s="4"/>
      <c r="AOK137" s="4"/>
      <c r="AOL137" s="4"/>
      <c r="AOM137" s="4"/>
      <c r="AON137" s="4"/>
      <c r="AOO137" s="4"/>
      <c r="AOP137" s="4"/>
      <c r="AOQ137" s="4"/>
      <c r="AOR137" s="4"/>
      <c r="AOS137" s="4"/>
      <c r="AOT137" s="4"/>
      <c r="AOU137" s="4"/>
      <c r="AOV137" s="4"/>
      <c r="AOW137" s="4"/>
      <c r="AOX137" s="4"/>
      <c r="AOY137" s="4"/>
      <c r="AOZ137" s="4"/>
      <c r="APA137" s="4"/>
      <c r="APB137" s="4"/>
      <c r="APC137" s="4"/>
      <c r="APD137" s="4"/>
      <c r="APE137" s="4"/>
      <c r="APF137" s="4"/>
      <c r="APG137" s="4"/>
      <c r="APH137" s="4"/>
      <c r="API137" s="4"/>
      <c r="APJ137" s="4"/>
      <c r="APK137" s="4"/>
      <c r="APL137" s="4"/>
      <c r="APM137" s="4"/>
      <c r="APN137" s="4"/>
      <c r="APO137" s="4"/>
      <c r="APP137" s="4"/>
      <c r="APQ137" s="4"/>
      <c r="APR137" s="4"/>
      <c r="APS137" s="4"/>
      <c r="APT137" s="4"/>
      <c r="APU137" s="4"/>
      <c r="APV137" s="4"/>
      <c r="APW137" s="4"/>
      <c r="APX137" s="4"/>
      <c r="APY137" s="4"/>
      <c r="APZ137" s="4"/>
      <c r="AQA137" s="4"/>
      <c r="AQB137" s="4"/>
      <c r="AQC137" s="4"/>
      <c r="AQD137" s="4"/>
      <c r="AQE137" s="4"/>
      <c r="AQF137" s="4"/>
      <c r="AQG137" s="4"/>
      <c r="AQH137" s="4"/>
      <c r="AQI137" s="4"/>
      <c r="AQJ137" s="4"/>
      <c r="AQK137" s="4"/>
      <c r="AQL137" s="4"/>
      <c r="AQM137" s="4"/>
      <c r="AQN137" s="4"/>
      <c r="AQO137" s="4"/>
      <c r="AQP137" s="4"/>
      <c r="AQQ137" s="4"/>
      <c r="AQR137" s="4"/>
      <c r="AQS137" s="4"/>
      <c r="AQT137" s="4"/>
      <c r="AQU137" s="4"/>
      <c r="AQV137" s="4"/>
      <c r="AQW137" s="4"/>
      <c r="AQX137" s="4"/>
      <c r="AQY137" s="4"/>
      <c r="AQZ137" s="4"/>
      <c r="ARA137" s="4"/>
      <c r="ARB137" s="4"/>
      <c r="ARC137" s="4"/>
      <c r="ARD137" s="4"/>
      <c r="ARE137" s="4"/>
      <c r="ARF137" s="4"/>
      <c r="ARG137" s="4"/>
      <c r="ARH137" s="4"/>
      <c r="ARI137" s="4"/>
      <c r="ARJ137" s="4"/>
      <c r="ARK137" s="4"/>
      <c r="ARL137" s="4"/>
      <c r="ARM137" s="4"/>
      <c r="ARN137" s="4"/>
      <c r="ARO137" s="4"/>
      <c r="ARP137" s="4"/>
      <c r="ARQ137" s="4"/>
      <c r="ARR137" s="4"/>
      <c r="ARS137" s="4"/>
      <c r="ART137" s="4"/>
      <c r="ARU137" s="4"/>
      <c r="ARV137" s="4"/>
      <c r="ARW137" s="4"/>
      <c r="ARX137" s="4"/>
      <c r="ARY137" s="4"/>
      <c r="ARZ137" s="4"/>
      <c r="ASA137" s="4"/>
      <c r="ASB137" s="4"/>
      <c r="ASC137" s="4"/>
      <c r="ASD137" s="4"/>
      <c r="ASE137" s="4"/>
      <c r="ASF137" s="4"/>
      <c r="ASG137" s="4"/>
      <c r="ASH137" s="4"/>
      <c r="ASI137" s="4"/>
      <c r="ASJ137" s="4"/>
      <c r="ASK137" s="4"/>
      <c r="ASL137" s="4"/>
      <c r="ASM137" s="4"/>
      <c r="ASN137" s="4"/>
      <c r="ASO137" s="4"/>
      <c r="ASP137" s="4"/>
      <c r="ASQ137" s="4"/>
      <c r="ASR137" s="4"/>
      <c r="ASS137" s="4"/>
      <c r="AST137" s="4"/>
      <c r="ASU137" s="4"/>
    </row>
    <row r="138" ht="15" customHeight="1" spans="1:1191" x14ac:dyDescent="0.25">
      <c r="A138" s="673"/>
      <c r="B138" s="672" t="s">
        <v>167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  <c r="ALZ138" s="4"/>
      <c r="AMA138" s="4"/>
      <c r="AMB138" s="4"/>
      <c r="AMC138" s="4"/>
      <c r="AMD138" s="4"/>
      <c r="AME138" s="4"/>
      <c r="AMF138" s="4"/>
      <c r="AMG138" s="4"/>
      <c r="AMH138" s="4"/>
      <c r="AMI138" s="4"/>
      <c r="AMJ138" s="4"/>
      <c r="AMK138" s="4"/>
      <c r="AML138" s="4"/>
      <c r="AMM138" s="4"/>
      <c r="AMN138" s="4"/>
      <c r="AMO138" s="4"/>
      <c r="AMP138" s="4"/>
      <c r="AMQ138" s="4"/>
      <c r="AMR138" s="4"/>
      <c r="AMS138" s="4"/>
      <c r="AMT138" s="4"/>
      <c r="AMU138" s="4"/>
      <c r="AMV138" s="4"/>
      <c r="AMW138" s="4"/>
      <c r="AMX138" s="4"/>
      <c r="AMY138" s="4"/>
      <c r="AMZ138" s="4"/>
      <c r="ANA138" s="4"/>
      <c r="ANB138" s="4"/>
      <c r="ANC138" s="4"/>
      <c r="AND138" s="4"/>
      <c r="ANE138" s="4"/>
      <c r="ANF138" s="4"/>
      <c r="ANG138" s="4"/>
      <c r="ANH138" s="4"/>
      <c r="ANI138" s="4"/>
      <c r="ANJ138" s="4"/>
      <c r="ANK138" s="4"/>
      <c r="ANL138" s="4"/>
      <c r="ANM138" s="4"/>
      <c r="ANN138" s="4"/>
      <c r="ANO138" s="4"/>
      <c r="ANP138" s="4"/>
      <c r="ANQ138" s="4"/>
      <c r="ANR138" s="4"/>
      <c r="ANS138" s="4"/>
      <c r="ANT138" s="4"/>
      <c r="ANU138" s="4"/>
      <c r="ANV138" s="4"/>
      <c r="ANW138" s="4"/>
      <c r="ANX138" s="4"/>
      <c r="ANY138" s="4"/>
      <c r="ANZ138" s="4"/>
      <c r="AOA138" s="4"/>
      <c r="AOB138" s="4"/>
      <c r="AOC138" s="4"/>
      <c r="AOD138" s="4"/>
      <c r="AOE138" s="4"/>
      <c r="AOF138" s="4"/>
      <c r="AOG138" s="4"/>
      <c r="AOH138" s="4"/>
      <c r="AOI138" s="4"/>
      <c r="AOJ138" s="4"/>
      <c r="AOK138" s="4"/>
      <c r="AOL138" s="4"/>
      <c r="AOM138" s="4"/>
      <c r="AON138" s="4"/>
      <c r="AOO138" s="4"/>
      <c r="AOP138" s="4"/>
      <c r="AOQ138" s="4"/>
      <c r="AOR138" s="4"/>
      <c r="AOS138" s="4"/>
      <c r="AOT138" s="4"/>
      <c r="AOU138" s="4"/>
      <c r="AOV138" s="4"/>
      <c r="AOW138" s="4"/>
      <c r="AOX138" s="4"/>
      <c r="AOY138" s="4"/>
      <c r="AOZ138" s="4"/>
      <c r="APA138" s="4"/>
      <c r="APB138" s="4"/>
      <c r="APC138" s="4"/>
      <c r="APD138" s="4"/>
      <c r="APE138" s="4"/>
      <c r="APF138" s="4"/>
      <c r="APG138" s="4"/>
      <c r="APH138" s="4"/>
      <c r="API138" s="4"/>
      <c r="APJ138" s="4"/>
      <c r="APK138" s="4"/>
      <c r="APL138" s="4"/>
      <c r="APM138" s="4"/>
      <c r="APN138" s="4"/>
      <c r="APO138" s="4"/>
      <c r="APP138" s="4"/>
      <c r="APQ138" s="4"/>
      <c r="APR138" s="4"/>
      <c r="APS138" s="4"/>
      <c r="APT138" s="4"/>
      <c r="APU138" s="4"/>
      <c r="APV138" s="4"/>
      <c r="APW138" s="4"/>
      <c r="APX138" s="4"/>
      <c r="APY138" s="4"/>
      <c r="APZ138" s="4"/>
      <c r="AQA138" s="4"/>
      <c r="AQB138" s="4"/>
      <c r="AQC138" s="4"/>
      <c r="AQD138" s="4"/>
      <c r="AQE138" s="4"/>
      <c r="AQF138" s="4"/>
      <c r="AQG138" s="4"/>
      <c r="AQH138" s="4"/>
      <c r="AQI138" s="4"/>
      <c r="AQJ138" s="4"/>
      <c r="AQK138" s="4"/>
      <c r="AQL138" s="4"/>
      <c r="AQM138" s="4"/>
      <c r="AQN138" s="4"/>
      <c r="AQO138" s="4"/>
      <c r="AQP138" s="4"/>
      <c r="AQQ138" s="4"/>
      <c r="AQR138" s="4"/>
      <c r="AQS138" s="4"/>
      <c r="AQT138" s="4"/>
      <c r="AQU138" s="4"/>
      <c r="AQV138" s="4"/>
      <c r="AQW138" s="4"/>
      <c r="AQX138" s="4"/>
      <c r="AQY138" s="4"/>
      <c r="AQZ138" s="4"/>
      <c r="ARA138" s="4"/>
      <c r="ARB138" s="4"/>
      <c r="ARC138" s="4"/>
      <c r="ARD138" s="4"/>
      <c r="ARE138" s="4"/>
      <c r="ARF138" s="4"/>
      <c r="ARG138" s="4"/>
      <c r="ARH138" s="4"/>
      <c r="ARI138" s="4"/>
      <c r="ARJ138" s="4"/>
      <c r="ARK138" s="4"/>
      <c r="ARL138" s="4"/>
      <c r="ARM138" s="4"/>
      <c r="ARN138" s="4"/>
      <c r="ARO138" s="4"/>
      <c r="ARP138" s="4"/>
      <c r="ARQ138" s="4"/>
      <c r="ARR138" s="4"/>
      <c r="ARS138" s="4"/>
      <c r="ART138" s="4"/>
      <c r="ARU138" s="4"/>
      <c r="ARV138" s="4"/>
      <c r="ARW138" s="4"/>
      <c r="ARX138" s="4"/>
      <c r="ARY138" s="4"/>
      <c r="ARZ138" s="4"/>
      <c r="ASA138" s="4"/>
      <c r="ASB138" s="4"/>
      <c r="ASC138" s="4"/>
      <c r="ASD138" s="4"/>
      <c r="ASE138" s="4"/>
      <c r="ASF138" s="4"/>
      <c r="ASG138" s="4"/>
      <c r="ASH138" s="4"/>
      <c r="ASI138" s="4"/>
      <c r="ASJ138" s="4"/>
      <c r="ASK138" s="4"/>
      <c r="ASL138" s="4"/>
      <c r="ASM138" s="4"/>
      <c r="ASN138" s="4"/>
      <c r="ASO138" s="4"/>
      <c r="ASP138" s="4"/>
      <c r="ASQ138" s="4"/>
      <c r="ASR138" s="4"/>
      <c r="ASS138" s="4"/>
      <c r="AST138" s="4"/>
      <c r="ASU138" s="4"/>
    </row>
    <row r="139" ht="15" customHeight="1" spans="1:1191" x14ac:dyDescent="0.25">
      <c r="A139" s="29">
        <v>0.5</v>
      </c>
      <c r="B139" s="672" t="s">
        <v>12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  <c r="ALZ139" s="4"/>
      <c r="AMA139" s="4"/>
      <c r="AMB139" s="4"/>
      <c r="AMC139" s="4"/>
      <c r="AMD139" s="4"/>
      <c r="AME139" s="4"/>
      <c r="AMF139" s="4"/>
      <c r="AMG139" s="4"/>
      <c r="AMH139" s="4"/>
      <c r="AMI139" s="4"/>
      <c r="AMJ139" s="4"/>
      <c r="AMK139" s="4"/>
      <c r="AML139" s="4"/>
      <c r="AMM139" s="4"/>
      <c r="AMN139" s="4"/>
      <c r="AMO139" s="4"/>
      <c r="AMP139" s="4"/>
      <c r="AMQ139" s="4"/>
      <c r="AMR139" s="4"/>
      <c r="AMS139" s="4"/>
      <c r="AMT139" s="4"/>
      <c r="AMU139" s="4"/>
      <c r="AMV139" s="4"/>
      <c r="AMW139" s="4"/>
      <c r="AMX139" s="4"/>
      <c r="AMY139" s="4"/>
      <c r="AMZ139" s="4"/>
      <c r="ANA139" s="4"/>
      <c r="ANB139" s="4"/>
      <c r="ANC139" s="4"/>
      <c r="AND139" s="4"/>
      <c r="ANE139" s="4"/>
      <c r="ANF139" s="4"/>
      <c r="ANG139" s="4"/>
      <c r="ANH139" s="4"/>
      <c r="ANI139" s="4"/>
      <c r="ANJ139" s="4"/>
      <c r="ANK139" s="4"/>
      <c r="ANL139" s="4"/>
      <c r="ANM139" s="4"/>
      <c r="ANN139" s="4"/>
      <c r="ANO139" s="4"/>
      <c r="ANP139" s="4"/>
      <c r="ANQ139" s="4"/>
      <c r="ANR139" s="4"/>
      <c r="ANS139" s="4"/>
      <c r="ANT139" s="4"/>
      <c r="ANU139" s="4"/>
      <c r="ANV139" s="4"/>
      <c r="ANW139" s="4"/>
      <c r="ANX139" s="4"/>
      <c r="ANY139" s="4"/>
      <c r="ANZ139" s="4"/>
      <c r="AOA139" s="4"/>
      <c r="AOB139" s="4"/>
      <c r="AOC139" s="4"/>
      <c r="AOD139" s="4"/>
      <c r="AOE139" s="4"/>
      <c r="AOF139" s="4"/>
      <c r="AOG139" s="4"/>
      <c r="AOH139" s="4"/>
      <c r="AOI139" s="4"/>
      <c r="AOJ139" s="4"/>
      <c r="AOK139" s="4"/>
      <c r="AOL139" s="4"/>
      <c r="AOM139" s="4"/>
      <c r="AON139" s="4"/>
      <c r="AOO139" s="4"/>
      <c r="AOP139" s="4"/>
      <c r="AOQ139" s="4"/>
      <c r="AOR139" s="4"/>
      <c r="AOS139" s="4"/>
      <c r="AOT139" s="4"/>
      <c r="AOU139" s="4"/>
      <c r="AOV139" s="4"/>
      <c r="AOW139" s="4"/>
      <c r="AOX139" s="4"/>
      <c r="AOY139" s="4"/>
      <c r="AOZ139" s="4"/>
      <c r="APA139" s="4"/>
      <c r="APB139" s="4"/>
      <c r="APC139" s="4"/>
      <c r="APD139" s="4"/>
      <c r="APE139" s="4"/>
      <c r="APF139" s="4"/>
      <c r="APG139" s="4"/>
      <c r="APH139" s="4"/>
      <c r="API139" s="4"/>
      <c r="APJ139" s="4"/>
      <c r="APK139" s="4"/>
      <c r="APL139" s="4"/>
      <c r="APM139" s="4"/>
      <c r="APN139" s="4"/>
      <c r="APO139" s="4"/>
      <c r="APP139" s="4"/>
      <c r="APQ139" s="4"/>
      <c r="APR139" s="4"/>
      <c r="APS139" s="4"/>
      <c r="APT139" s="4"/>
      <c r="APU139" s="4"/>
      <c r="APV139" s="4"/>
      <c r="APW139" s="4"/>
      <c r="APX139" s="4"/>
      <c r="APY139" s="4"/>
      <c r="APZ139" s="4"/>
      <c r="AQA139" s="4"/>
      <c r="AQB139" s="4"/>
      <c r="AQC139" s="4"/>
      <c r="AQD139" s="4"/>
      <c r="AQE139" s="4"/>
      <c r="AQF139" s="4"/>
      <c r="AQG139" s="4"/>
      <c r="AQH139" s="4"/>
      <c r="AQI139" s="4"/>
      <c r="AQJ139" s="4"/>
      <c r="AQK139" s="4"/>
      <c r="AQL139" s="4"/>
      <c r="AQM139" s="4"/>
      <c r="AQN139" s="4"/>
      <c r="AQO139" s="4"/>
      <c r="AQP139" s="4"/>
      <c r="AQQ139" s="4"/>
      <c r="AQR139" s="4"/>
      <c r="AQS139" s="4"/>
      <c r="AQT139" s="4"/>
      <c r="AQU139" s="4"/>
      <c r="AQV139" s="4"/>
      <c r="AQW139" s="4"/>
      <c r="AQX139" s="4"/>
      <c r="AQY139" s="4"/>
      <c r="AQZ139" s="4"/>
      <c r="ARA139" s="4"/>
      <c r="ARB139" s="4"/>
      <c r="ARC139" s="4"/>
      <c r="ARD139" s="4"/>
      <c r="ARE139" s="4"/>
      <c r="ARF139" s="4"/>
      <c r="ARG139" s="4"/>
      <c r="ARH139" s="4"/>
      <c r="ARI139" s="4"/>
      <c r="ARJ139" s="4"/>
      <c r="ARK139" s="4"/>
      <c r="ARL139" s="4"/>
      <c r="ARM139" s="4"/>
      <c r="ARN139" s="4"/>
      <c r="ARO139" s="4"/>
      <c r="ARP139" s="4"/>
      <c r="ARQ139" s="4"/>
      <c r="ARR139" s="4"/>
      <c r="ARS139" s="4"/>
      <c r="ART139" s="4"/>
      <c r="ARU139" s="4"/>
      <c r="ARV139" s="4"/>
      <c r="ARW139" s="4"/>
      <c r="ARX139" s="4"/>
      <c r="ARY139" s="4"/>
      <c r="ARZ139" s="4"/>
      <c r="ASA139" s="4"/>
      <c r="ASB139" s="4"/>
      <c r="ASC139" s="4"/>
      <c r="ASD139" s="4"/>
      <c r="ASE139" s="4"/>
      <c r="ASF139" s="4"/>
      <c r="ASG139" s="4"/>
      <c r="ASH139" s="4"/>
      <c r="ASI139" s="4"/>
      <c r="ASJ139" s="4"/>
      <c r="ASK139" s="4"/>
      <c r="ASL139" s="4"/>
      <c r="ASM139" s="4"/>
      <c r="ASN139" s="4"/>
      <c r="ASO139" s="4"/>
      <c r="ASP139" s="4"/>
      <c r="ASQ139" s="4"/>
      <c r="ASR139" s="4"/>
      <c r="ASS139" s="4"/>
      <c r="AST139" s="4"/>
      <c r="ASU139" s="4"/>
    </row>
    <row r="140" ht="15" customHeight="1" spans="1:1191" x14ac:dyDescent="0.25">
      <c r="A140" s="674">
        <v>0.5</v>
      </c>
      <c r="B140" s="672" t="s">
        <v>16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  <c r="ALZ140" s="4"/>
      <c r="AMA140" s="4"/>
      <c r="AMB140" s="4"/>
      <c r="AMC140" s="4"/>
      <c r="AMD140" s="4"/>
      <c r="AME140" s="4"/>
      <c r="AMF140" s="4"/>
      <c r="AMG140" s="4"/>
      <c r="AMH140" s="4"/>
      <c r="AMI140" s="4"/>
      <c r="AMJ140" s="4"/>
      <c r="AMK140" s="4"/>
      <c r="AML140" s="4"/>
      <c r="AMM140" s="4"/>
      <c r="AMN140" s="4"/>
      <c r="AMO140" s="4"/>
      <c r="AMP140" s="4"/>
      <c r="AMQ140" s="4"/>
      <c r="AMR140" s="4"/>
      <c r="AMS140" s="4"/>
      <c r="AMT140" s="4"/>
      <c r="AMU140" s="4"/>
      <c r="AMV140" s="4"/>
      <c r="AMW140" s="4"/>
      <c r="AMX140" s="4"/>
      <c r="AMY140" s="4"/>
      <c r="AMZ140" s="4"/>
      <c r="ANA140" s="4"/>
      <c r="ANB140" s="4"/>
      <c r="ANC140" s="4"/>
      <c r="AND140" s="4"/>
      <c r="ANE140" s="4"/>
      <c r="ANF140" s="4"/>
      <c r="ANG140" s="4"/>
      <c r="ANH140" s="4"/>
      <c r="ANI140" s="4"/>
      <c r="ANJ140" s="4"/>
      <c r="ANK140" s="4"/>
      <c r="ANL140" s="4"/>
      <c r="ANM140" s="4"/>
      <c r="ANN140" s="4"/>
      <c r="ANO140" s="4"/>
      <c r="ANP140" s="4"/>
      <c r="ANQ140" s="4"/>
      <c r="ANR140" s="4"/>
      <c r="ANS140" s="4"/>
      <c r="ANT140" s="4"/>
      <c r="ANU140" s="4"/>
      <c r="ANV140" s="4"/>
      <c r="ANW140" s="4"/>
      <c r="ANX140" s="4"/>
      <c r="ANY140" s="4"/>
      <c r="ANZ140" s="4"/>
      <c r="AOA140" s="4"/>
      <c r="AOB140" s="4"/>
      <c r="AOC140" s="4"/>
      <c r="AOD140" s="4"/>
      <c r="AOE140" s="4"/>
      <c r="AOF140" s="4"/>
      <c r="AOG140" s="4"/>
      <c r="AOH140" s="4"/>
      <c r="AOI140" s="4"/>
      <c r="AOJ140" s="4"/>
      <c r="AOK140" s="4"/>
      <c r="AOL140" s="4"/>
      <c r="AOM140" s="4"/>
      <c r="AON140" s="4"/>
      <c r="AOO140" s="4"/>
      <c r="AOP140" s="4"/>
      <c r="AOQ140" s="4"/>
      <c r="AOR140" s="4"/>
      <c r="AOS140" s="4"/>
      <c r="AOT140" s="4"/>
      <c r="AOU140" s="4"/>
      <c r="AOV140" s="4"/>
      <c r="AOW140" s="4"/>
      <c r="AOX140" s="4"/>
      <c r="AOY140" s="4"/>
      <c r="AOZ140" s="4"/>
      <c r="APA140" s="4"/>
      <c r="APB140" s="4"/>
      <c r="APC140" s="4"/>
      <c r="APD140" s="4"/>
      <c r="APE140" s="4"/>
      <c r="APF140" s="4"/>
      <c r="APG140" s="4"/>
      <c r="APH140" s="4"/>
      <c r="API140" s="4"/>
      <c r="APJ140" s="4"/>
      <c r="APK140" s="4"/>
      <c r="APL140" s="4"/>
      <c r="APM140" s="4"/>
      <c r="APN140" s="4"/>
      <c r="APO140" s="4"/>
      <c r="APP140" s="4"/>
      <c r="APQ140" s="4"/>
      <c r="APR140" s="4"/>
      <c r="APS140" s="4"/>
      <c r="APT140" s="4"/>
      <c r="APU140" s="4"/>
      <c r="APV140" s="4"/>
      <c r="APW140" s="4"/>
      <c r="APX140" s="4"/>
      <c r="APY140" s="4"/>
      <c r="APZ140" s="4"/>
      <c r="AQA140" s="4"/>
      <c r="AQB140" s="4"/>
      <c r="AQC140" s="4"/>
      <c r="AQD140" s="4"/>
      <c r="AQE140" s="4"/>
      <c r="AQF140" s="4"/>
      <c r="AQG140" s="4"/>
      <c r="AQH140" s="4"/>
      <c r="AQI140" s="4"/>
      <c r="AQJ140" s="4"/>
      <c r="AQK140" s="4"/>
      <c r="AQL140" s="4"/>
      <c r="AQM140" s="4"/>
      <c r="AQN140" s="4"/>
      <c r="AQO140" s="4"/>
      <c r="AQP140" s="4"/>
      <c r="AQQ140" s="4"/>
      <c r="AQR140" s="4"/>
      <c r="AQS140" s="4"/>
      <c r="AQT140" s="4"/>
      <c r="AQU140" s="4"/>
      <c r="AQV140" s="4"/>
      <c r="AQW140" s="4"/>
      <c r="AQX140" s="4"/>
      <c r="AQY140" s="4"/>
      <c r="AQZ140" s="4"/>
      <c r="ARA140" s="4"/>
      <c r="ARB140" s="4"/>
      <c r="ARC140" s="4"/>
      <c r="ARD140" s="4"/>
      <c r="ARE140" s="4"/>
      <c r="ARF140" s="4"/>
      <c r="ARG140" s="4"/>
      <c r="ARH140" s="4"/>
      <c r="ARI140" s="4"/>
      <c r="ARJ140" s="4"/>
      <c r="ARK140" s="4"/>
      <c r="ARL140" s="4"/>
      <c r="ARM140" s="4"/>
      <c r="ARN140" s="4"/>
      <c r="ARO140" s="4"/>
      <c r="ARP140" s="4"/>
      <c r="ARQ140" s="4"/>
      <c r="ARR140" s="4"/>
      <c r="ARS140" s="4"/>
      <c r="ART140" s="4"/>
      <c r="ARU140" s="4"/>
      <c r="ARV140" s="4"/>
      <c r="ARW140" s="4"/>
      <c r="ARX140" s="4"/>
      <c r="ARY140" s="4"/>
      <c r="ARZ140" s="4"/>
      <c r="ASA140" s="4"/>
      <c r="ASB140" s="4"/>
      <c r="ASC140" s="4"/>
      <c r="ASD140" s="4"/>
      <c r="ASE140" s="4"/>
      <c r="ASF140" s="4"/>
      <c r="ASG140" s="4"/>
      <c r="ASH140" s="4"/>
      <c r="ASI140" s="4"/>
      <c r="ASJ140" s="4"/>
      <c r="ASK140" s="4"/>
      <c r="ASL140" s="4"/>
      <c r="ASM140" s="4"/>
      <c r="ASN140" s="4"/>
      <c r="ASO140" s="4"/>
      <c r="ASP140" s="4"/>
      <c r="ASQ140" s="4"/>
      <c r="ASR140" s="4"/>
      <c r="ASS140" s="4"/>
      <c r="AST140" s="4"/>
      <c r="ASU140" s="4"/>
    </row>
    <row r="141" ht="15" customHeight="1" spans="1:1191" x14ac:dyDescent="0.25">
      <c r="A141" s="675">
        <v>0.5</v>
      </c>
      <c r="B141" s="672" t="s">
        <v>168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  <c r="ALZ141" s="4"/>
      <c r="AMA141" s="4"/>
      <c r="AMB141" s="4"/>
      <c r="AMC141" s="4"/>
      <c r="AMD141" s="4"/>
      <c r="AME141" s="4"/>
      <c r="AMF141" s="4"/>
      <c r="AMG141" s="4"/>
      <c r="AMH141" s="4"/>
      <c r="AMI141" s="4"/>
      <c r="AMJ141" s="4"/>
      <c r="AMK141" s="4"/>
      <c r="AML141" s="4"/>
      <c r="AMM141" s="4"/>
      <c r="AMN141" s="4"/>
      <c r="AMO141" s="4"/>
      <c r="AMP141" s="4"/>
      <c r="AMQ141" s="4"/>
      <c r="AMR141" s="4"/>
      <c r="AMS141" s="4"/>
      <c r="AMT141" s="4"/>
      <c r="AMU141" s="4"/>
      <c r="AMV141" s="4"/>
      <c r="AMW141" s="4"/>
      <c r="AMX141" s="4"/>
      <c r="AMY141" s="4"/>
      <c r="AMZ141" s="4"/>
      <c r="ANA141" s="4"/>
      <c r="ANB141" s="4"/>
      <c r="ANC141" s="4"/>
      <c r="AND141" s="4"/>
      <c r="ANE141" s="4"/>
      <c r="ANF141" s="4"/>
      <c r="ANG141" s="4"/>
      <c r="ANH141" s="4"/>
      <c r="ANI141" s="4"/>
      <c r="ANJ141" s="4"/>
      <c r="ANK141" s="4"/>
      <c r="ANL141" s="4"/>
      <c r="ANM141" s="4"/>
      <c r="ANN141" s="4"/>
      <c r="ANO141" s="4"/>
      <c r="ANP141" s="4"/>
      <c r="ANQ141" s="4"/>
      <c r="ANR141" s="4"/>
      <c r="ANS141" s="4"/>
      <c r="ANT141" s="4"/>
      <c r="ANU141" s="4"/>
      <c r="ANV141" s="4"/>
      <c r="ANW141" s="4"/>
      <c r="ANX141" s="4"/>
      <c r="ANY141" s="4"/>
      <c r="ANZ141" s="4"/>
      <c r="AOA141" s="4"/>
      <c r="AOB141" s="4"/>
      <c r="AOC141" s="4"/>
      <c r="AOD141" s="4"/>
      <c r="AOE141" s="4"/>
      <c r="AOF141" s="4"/>
      <c r="AOG141" s="4"/>
      <c r="AOH141" s="4"/>
      <c r="AOI141" s="4"/>
      <c r="AOJ141" s="4"/>
      <c r="AOK141" s="4"/>
      <c r="AOL141" s="4"/>
      <c r="AOM141" s="4"/>
      <c r="AON141" s="4"/>
      <c r="AOO141" s="4"/>
      <c r="AOP141" s="4"/>
      <c r="AOQ141" s="4"/>
      <c r="AOR141" s="4"/>
      <c r="AOS141" s="4"/>
      <c r="AOT141" s="4"/>
      <c r="AOU141" s="4"/>
      <c r="AOV141" s="4"/>
      <c r="AOW141" s="4"/>
      <c r="AOX141" s="4"/>
      <c r="AOY141" s="4"/>
      <c r="AOZ141" s="4"/>
      <c r="APA141" s="4"/>
      <c r="APB141" s="4"/>
      <c r="APC141" s="4"/>
      <c r="APD141" s="4"/>
      <c r="APE141" s="4"/>
      <c r="APF141" s="4"/>
      <c r="APG141" s="4"/>
      <c r="APH141" s="4"/>
      <c r="API141" s="4"/>
      <c r="APJ141" s="4"/>
      <c r="APK141" s="4"/>
      <c r="APL141" s="4"/>
      <c r="APM141" s="4"/>
      <c r="APN141" s="4"/>
      <c r="APO141" s="4"/>
      <c r="APP141" s="4"/>
      <c r="APQ141" s="4"/>
      <c r="APR141" s="4"/>
      <c r="APS141" s="4"/>
      <c r="APT141" s="4"/>
      <c r="APU141" s="4"/>
      <c r="APV141" s="4"/>
      <c r="APW141" s="4"/>
      <c r="APX141" s="4"/>
      <c r="APY141" s="4"/>
      <c r="APZ141" s="4"/>
      <c r="AQA141" s="4"/>
      <c r="AQB141" s="4"/>
      <c r="AQC141" s="4"/>
      <c r="AQD141" s="4"/>
      <c r="AQE141" s="4"/>
      <c r="AQF141" s="4"/>
      <c r="AQG141" s="4"/>
      <c r="AQH141" s="4"/>
      <c r="AQI141" s="4"/>
      <c r="AQJ141" s="4"/>
      <c r="AQK141" s="4"/>
      <c r="AQL141" s="4"/>
      <c r="AQM141" s="4"/>
      <c r="AQN141" s="4"/>
      <c r="AQO141" s="4"/>
      <c r="AQP141" s="4"/>
      <c r="AQQ141" s="4"/>
      <c r="AQR141" s="4"/>
      <c r="AQS141" s="4"/>
      <c r="AQT141" s="4"/>
      <c r="AQU141" s="4"/>
      <c r="AQV141" s="4"/>
      <c r="AQW141" s="4"/>
      <c r="AQX141" s="4"/>
      <c r="AQY141" s="4"/>
      <c r="AQZ141" s="4"/>
      <c r="ARA141" s="4"/>
      <c r="ARB141" s="4"/>
      <c r="ARC141" s="4"/>
      <c r="ARD141" s="4"/>
      <c r="ARE141" s="4"/>
      <c r="ARF141" s="4"/>
      <c r="ARG141" s="4"/>
      <c r="ARH141" s="4"/>
      <c r="ARI141" s="4"/>
      <c r="ARJ141" s="4"/>
      <c r="ARK141" s="4"/>
      <c r="ARL141" s="4"/>
      <c r="ARM141" s="4"/>
      <c r="ARN141" s="4"/>
      <c r="ARO141" s="4"/>
      <c r="ARP141" s="4"/>
      <c r="ARQ141" s="4"/>
      <c r="ARR141" s="4"/>
      <c r="ARS141" s="4"/>
      <c r="ART141" s="4"/>
      <c r="ARU141" s="4"/>
      <c r="ARV141" s="4"/>
      <c r="ARW141" s="4"/>
      <c r="ARX141" s="4"/>
      <c r="ARY141" s="4"/>
      <c r="ARZ141" s="4"/>
      <c r="ASA141" s="4"/>
      <c r="ASB141" s="4"/>
      <c r="ASC141" s="4"/>
      <c r="ASD141" s="4"/>
      <c r="ASE141" s="4"/>
      <c r="ASF141" s="4"/>
      <c r="ASG141" s="4"/>
      <c r="ASH141" s="4"/>
      <c r="ASI141" s="4"/>
      <c r="ASJ141" s="4"/>
      <c r="ASK141" s="4"/>
      <c r="ASL141" s="4"/>
      <c r="ASM141" s="4"/>
      <c r="ASN141" s="4"/>
      <c r="ASO141" s="4"/>
      <c r="ASP141" s="4"/>
      <c r="ASQ141" s="4"/>
      <c r="ASR141" s="4"/>
      <c r="ASS141" s="4"/>
      <c r="AST141" s="4"/>
      <c r="ASU141" s="4"/>
    </row>
    <row r="142" ht="15" customHeight="1" spans="1:1191" x14ac:dyDescent="0.25">
      <c r="A142" s="676">
        <v>0.5</v>
      </c>
      <c r="B142" s="672" t="s">
        <v>169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  <c r="ALZ142" s="4"/>
      <c r="AMA142" s="4"/>
      <c r="AMB142" s="4"/>
      <c r="AMC142" s="4"/>
      <c r="AMD142" s="4"/>
      <c r="AME142" s="4"/>
      <c r="AMF142" s="4"/>
      <c r="AMG142" s="4"/>
      <c r="AMH142" s="4"/>
      <c r="AMI142" s="4"/>
      <c r="AMJ142" s="4"/>
      <c r="AMK142" s="4"/>
      <c r="AML142" s="4"/>
      <c r="AMM142" s="4"/>
      <c r="AMN142" s="4"/>
      <c r="AMO142" s="4"/>
      <c r="AMP142" s="4"/>
      <c r="AMQ142" s="4"/>
      <c r="AMR142" s="4"/>
      <c r="AMS142" s="4"/>
      <c r="AMT142" s="4"/>
      <c r="AMU142" s="4"/>
      <c r="AMV142" s="4"/>
      <c r="AMW142" s="4"/>
      <c r="AMX142" s="4"/>
      <c r="AMY142" s="4"/>
      <c r="AMZ142" s="4"/>
      <c r="ANA142" s="4"/>
      <c r="ANB142" s="4"/>
      <c r="ANC142" s="4"/>
      <c r="AND142" s="4"/>
      <c r="ANE142" s="4"/>
      <c r="ANF142" s="4"/>
      <c r="ANG142" s="4"/>
      <c r="ANH142" s="4"/>
      <c r="ANI142" s="4"/>
      <c r="ANJ142" s="4"/>
      <c r="ANK142" s="4"/>
      <c r="ANL142" s="4"/>
      <c r="ANM142" s="4"/>
      <c r="ANN142" s="4"/>
      <c r="ANO142" s="4"/>
      <c r="ANP142" s="4"/>
      <c r="ANQ142" s="4"/>
      <c r="ANR142" s="4"/>
      <c r="ANS142" s="4"/>
      <c r="ANT142" s="4"/>
      <c r="ANU142" s="4"/>
      <c r="ANV142" s="4"/>
      <c r="ANW142" s="4"/>
      <c r="ANX142" s="4"/>
      <c r="ANY142" s="4"/>
      <c r="ANZ142" s="4"/>
      <c r="AOA142" s="4"/>
      <c r="AOB142" s="4"/>
      <c r="AOC142" s="4"/>
      <c r="AOD142" s="4"/>
      <c r="AOE142" s="4"/>
      <c r="AOF142" s="4"/>
      <c r="AOG142" s="4"/>
      <c r="AOH142" s="4"/>
      <c r="AOI142" s="4"/>
      <c r="AOJ142" s="4"/>
      <c r="AOK142" s="4"/>
      <c r="AOL142" s="4"/>
      <c r="AOM142" s="4"/>
      <c r="AON142" s="4"/>
      <c r="AOO142" s="4"/>
      <c r="AOP142" s="4"/>
      <c r="AOQ142" s="4"/>
      <c r="AOR142" s="4"/>
      <c r="AOS142" s="4"/>
      <c r="AOT142" s="4"/>
      <c r="AOU142" s="4"/>
      <c r="AOV142" s="4"/>
      <c r="AOW142" s="4"/>
      <c r="AOX142" s="4"/>
      <c r="AOY142" s="4"/>
      <c r="AOZ142" s="4"/>
      <c r="APA142" s="4"/>
      <c r="APB142" s="4"/>
      <c r="APC142" s="4"/>
      <c r="APD142" s="4"/>
      <c r="APE142" s="4"/>
      <c r="APF142" s="4"/>
      <c r="APG142" s="4"/>
      <c r="APH142" s="4"/>
      <c r="API142" s="4"/>
      <c r="APJ142" s="4"/>
      <c r="APK142" s="4"/>
      <c r="APL142" s="4"/>
      <c r="APM142" s="4"/>
      <c r="APN142" s="4"/>
      <c r="APO142" s="4"/>
      <c r="APP142" s="4"/>
      <c r="APQ142" s="4"/>
      <c r="APR142" s="4"/>
      <c r="APS142" s="4"/>
      <c r="APT142" s="4"/>
      <c r="APU142" s="4"/>
      <c r="APV142" s="4"/>
      <c r="APW142" s="4"/>
      <c r="APX142" s="4"/>
      <c r="APY142" s="4"/>
      <c r="APZ142" s="4"/>
      <c r="AQA142" s="4"/>
      <c r="AQB142" s="4"/>
      <c r="AQC142" s="4"/>
      <c r="AQD142" s="4"/>
      <c r="AQE142" s="4"/>
      <c r="AQF142" s="4"/>
      <c r="AQG142" s="4"/>
      <c r="AQH142" s="4"/>
      <c r="AQI142" s="4"/>
      <c r="AQJ142" s="4"/>
      <c r="AQK142" s="4"/>
      <c r="AQL142" s="4"/>
      <c r="AQM142" s="4"/>
      <c r="AQN142" s="4"/>
      <c r="AQO142" s="4"/>
      <c r="AQP142" s="4"/>
      <c r="AQQ142" s="4"/>
      <c r="AQR142" s="4"/>
      <c r="AQS142" s="4"/>
      <c r="AQT142" s="4"/>
      <c r="AQU142" s="4"/>
      <c r="AQV142" s="4"/>
      <c r="AQW142" s="4"/>
      <c r="AQX142" s="4"/>
      <c r="AQY142" s="4"/>
      <c r="AQZ142" s="4"/>
      <c r="ARA142" s="4"/>
      <c r="ARB142" s="4"/>
      <c r="ARC142" s="4"/>
      <c r="ARD142" s="4"/>
      <c r="ARE142" s="4"/>
      <c r="ARF142" s="4"/>
      <c r="ARG142" s="4"/>
      <c r="ARH142" s="4"/>
      <c r="ARI142" s="4"/>
      <c r="ARJ142" s="4"/>
      <c r="ARK142" s="4"/>
      <c r="ARL142" s="4"/>
      <c r="ARM142" s="4"/>
      <c r="ARN142" s="4"/>
      <c r="ARO142" s="4"/>
      <c r="ARP142" s="4"/>
      <c r="ARQ142" s="4"/>
      <c r="ARR142" s="4"/>
      <c r="ARS142" s="4"/>
      <c r="ART142" s="4"/>
      <c r="ARU142" s="4"/>
      <c r="ARV142" s="4"/>
      <c r="ARW142" s="4"/>
      <c r="ARX142" s="4"/>
      <c r="ARY142" s="4"/>
      <c r="ARZ142" s="4"/>
      <c r="ASA142" s="4"/>
      <c r="ASB142" s="4"/>
      <c r="ASC142" s="4"/>
      <c r="ASD142" s="4"/>
      <c r="ASE142" s="4"/>
      <c r="ASF142" s="4"/>
      <c r="ASG142" s="4"/>
      <c r="ASH142" s="4"/>
      <c r="ASI142" s="4"/>
      <c r="ASJ142" s="4"/>
      <c r="ASK142" s="4"/>
      <c r="ASL142" s="4"/>
      <c r="ASM142" s="4"/>
      <c r="ASN142" s="4"/>
      <c r="ASO142" s="4"/>
      <c r="ASP142" s="4"/>
      <c r="ASQ142" s="4"/>
      <c r="ASR142" s="4"/>
      <c r="ASS142" s="4"/>
      <c r="AST142" s="4"/>
      <c r="ASU142" s="4"/>
    </row>
    <row r="143" ht="15" customHeight="1" spans="1:1191" x14ac:dyDescent="0.25">
      <c r="A143" s="677">
        <v>0.5</v>
      </c>
      <c r="B143" s="672" t="s">
        <v>170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  <c r="ALQ143" s="4"/>
      <c r="ALR143" s="4"/>
      <c r="ALS143" s="4"/>
      <c r="ALT143" s="4"/>
      <c r="ALU143" s="4"/>
      <c r="ALV143" s="4"/>
      <c r="ALW143" s="4"/>
      <c r="ALX143" s="4"/>
      <c r="ALY143" s="4"/>
      <c r="ALZ143" s="4"/>
      <c r="AMA143" s="4"/>
      <c r="AMB143" s="4"/>
      <c r="AMC143" s="4"/>
      <c r="AMD143" s="4"/>
      <c r="AME143" s="4"/>
      <c r="AMF143" s="4"/>
      <c r="AMG143" s="4"/>
      <c r="AMH143" s="4"/>
      <c r="AMI143" s="4"/>
      <c r="AMJ143" s="4"/>
      <c r="AMK143" s="4"/>
      <c r="AML143" s="4"/>
      <c r="AMM143" s="4"/>
      <c r="AMN143" s="4"/>
      <c r="AMO143" s="4"/>
      <c r="AMP143" s="4"/>
      <c r="AMQ143" s="4"/>
      <c r="AMR143" s="4"/>
      <c r="AMS143" s="4"/>
      <c r="AMT143" s="4"/>
      <c r="AMU143" s="4"/>
      <c r="AMV143" s="4"/>
      <c r="AMW143" s="4"/>
      <c r="AMX143" s="4"/>
      <c r="AMY143" s="4"/>
      <c r="AMZ143" s="4"/>
      <c r="ANA143" s="4"/>
      <c r="ANB143" s="4"/>
      <c r="ANC143" s="4"/>
      <c r="AND143" s="4"/>
      <c r="ANE143" s="4"/>
      <c r="ANF143" s="4"/>
      <c r="ANG143" s="4"/>
      <c r="ANH143" s="4"/>
      <c r="ANI143" s="4"/>
      <c r="ANJ143" s="4"/>
      <c r="ANK143" s="4"/>
      <c r="ANL143" s="4"/>
      <c r="ANM143" s="4"/>
      <c r="ANN143" s="4"/>
      <c r="ANO143" s="4"/>
      <c r="ANP143" s="4"/>
      <c r="ANQ143" s="4"/>
      <c r="ANR143" s="4"/>
      <c r="ANS143" s="4"/>
      <c r="ANT143" s="4"/>
      <c r="ANU143" s="4"/>
      <c r="ANV143" s="4"/>
      <c r="ANW143" s="4"/>
      <c r="ANX143" s="4"/>
      <c r="ANY143" s="4"/>
      <c r="ANZ143" s="4"/>
      <c r="AOA143" s="4"/>
      <c r="AOB143" s="4"/>
      <c r="AOC143" s="4"/>
      <c r="AOD143" s="4"/>
      <c r="AOE143" s="4"/>
      <c r="AOF143" s="4"/>
      <c r="AOG143" s="4"/>
      <c r="AOH143" s="4"/>
      <c r="AOI143" s="4"/>
      <c r="AOJ143" s="4"/>
      <c r="AOK143" s="4"/>
      <c r="AOL143" s="4"/>
      <c r="AOM143" s="4"/>
      <c r="AON143" s="4"/>
      <c r="AOO143" s="4"/>
      <c r="AOP143" s="4"/>
      <c r="AOQ143" s="4"/>
      <c r="AOR143" s="4"/>
      <c r="AOS143" s="4"/>
      <c r="AOT143" s="4"/>
      <c r="AOU143" s="4"/>
      <c r="AOV143" s="4"/>
      <c r="AOW143" s="4"/>
      <c r="AOX143" s="4"/>
      <c r="AOY143" s="4"/>
      <c r="AOZ143" s="4"/>
      <c r="APA143" s="4"/>
      <c r="APB143" s="4"/>
      <c r="APC143" s="4"/>
      <c r="APD143" s="4"/>
      <c r="APE143" s="4"/>
      <c r="APF143" s="4"/>
      <c r="APG143" s="4"/>
      <c r="APH143" s="4"/>
      <c r="API143" s="4"/>
      <c r="APJ143" s="4"/>
      <c r="APK143" s="4"/>
      <c r="APL143" s="4"/>
      <c r="APM143" s="4"/>
      <c r="APN143" s="4"/>
      <c r="APO143" s="4"/>
      <c r="APP143" s="4"/>
      <c r="APQ143" s="4"/>
      <c r="APR143" s="4"/>
      <c r="APS143" s="4"/>
      <c r="APT143" s="4"/>
      <c r="APU143" s="4"/>
      <c r="APV143" s="4"/>
      <c r="APW143" s="4"/>
      <c r="APX143" s="4"/>
      <c r="APY143" s="4"/>
      <c r="APZ143" s="4"/>
      <c r="AQA143" s="4"/>
      <c r="AQB143" s="4"/>
      <c r="AQC143" s="4"/>
      <c r="AQD143" s="4"/>
      <c r="AQE143" s="4"/>
      <c r="AQF143" s="4"/>
      <c r="AQG143" s="4"/>
      <c r="AQH143" s="4"/>
      <c r="AQI143" s="4"/>
      <c r="AQJ143" s="4"/>
      <c r="AQK143" s="4"/>
      <c r="AQL143" s="4"/>
      <c r="AQM143" s="4"/>
      <c r="AQN143" s="4"/>
      <c r="AQO143" s="4"/>
      <c r="AQP143" s="4"/>
      <c r="AQQ143" s="4"/>
      <c r="AQR143" s="4"/>
      <c r="AQS143" s="4"/>
      <c r="AQT143" s="4"/>
      <c r="AQU143" s="4"/>
      <c r="AQV143" s="4"/>
      <c r="AQW143" s="4"/>
      <c r="AQX143" s="4"/>
      <c r="AQY143" s="4"/>
      <c r="AQZ143" s="4"/>
      <c r="ARA143" s="4"/>
      <c r="ARB143" s="4"/>
      <c r="ARC143" s="4"/>
      <c r="ARD143" s="4"/>
      <c r="ARE143" s="4"/>
      <c r="ARF143" s="4"/>
      <c r="ARG143" s="4"/>
      <c r="ARH143" s="4"/>
      <c r="ARI143" s="4"/>
      <c r="ARJ143" s="4"/>
      <c r="ARK143" s="4"/>
      <c r="ARL143" s="4"/>
      <c r="ARM143" s="4"/>
      <c r="ARN143" s="4"/>
      <c r="ARO143" s="4"/>
      <c r="ARP143" s="4"/>
      <c r="ARQ143" s="4"/>
      <c r="ARR143" s="4"/>
      <c r="ARS143" s="4"/>
      <c r="ART143" s="4"/>
      <c r="ARU143" s="4"/>
      <c r="ARV143" s="4"/>
      <c r="ARW143" s="4"/>
      <c r="ARX143" s="4"/>
      <c r="ARY143" s="4"/>
      <c r="ARZ143" s="4"/>
      <c r="ASA143" s="4"/>
      <c r="ASB143" s="4"/>
      <c r="ASC143" s="4"/>
      <c r="ASD143" s="4"/>
      <c r="ASE143" s="4"/>
      <c r="ASF143" s="4"/>
      <c r="ASG143" s="4"/>
      <c r="ASH143" s="4"/>
      <c r="ASI143" s="4"/>
      <c r="ASJ143" s="4"/>
      <c r="ASK143" s="4"/>
      <c r="ASL143" s="4"/>
      <c r="ASM143" s="4"/>
      <c r="ASN143" s="4"/>
      <c r="ASO143" s="4"/>
      <c r="ASP143" s="4"/>
      <c r="ASQ143" s="4"/>
      <c r="ASR143" s="4"/>
      <c r="ASS143" s="4"/>
      <c r="AST143" s="4"/>
      <c r="ASU143" s="4"/>
    </row>
    <row r="144" ht="15" customHeight="1" spans="1:1191" x14ac:dyDescent="0.25">
      <c r="A144" s="678">
        <v>0.5</v>
      </c>
      <c r="B144" s="672" t="s">
        <v>171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  <c r="ALZ144" s="4"/>
      <c r="AMA144" s="4"/>
      <c r="AMB144" s="4"/>
      <c r="AMC144" s="4"/>
      <c r="AMD144" s="4"/>
      <c r="AME144" s="4"/>
      <c r="AMF144" s="4"/>
      <c r="AMG144" s="4"/>
      <c r="AMH144" s="4"/>
      <c r="AMI144" s="4"/>
      <c r="AMJ144" s="4"/>
      <c r="AMK144" s="4"/>
      <c r="AML144" s="4"/>
      <c r="AMM144" s="4"/>
      <c r="AMN144" s="4"/>
      <c r="AMO144" s="4"/>
      <c r="AMP144" s="4"/>
      <c r="AMQ144" s="4"/>
      <c r="AMR144" s="4"/>
      <c r="AMS144" s="4"/>
      <c r="AMT144" s="4"/>
      <c r="AMU144" s="4"/>
      <c r="AMV144" s="4"/>
      <c r="AMW144" s="4"/>
      <c r="AMX144" s="4"/>
      <c r="AMY144" s="4"/>
      <c r="AMZ144" s="4"/>
      <c r="ANA144" s="4"/>
      <c r="ANB144" s="4"/>
      <c r="ANC144" s="4"/>
      <c r="AND144" s="4"/>
      <c r="ANE144" s="4"/>
      <c r="ANF144" s="4"/>
      <c r="ANG144" s="4"/>
      <c r="ANH144" s="4"/>
      <c r="ANI144" s="4"/>
      <c r="ANJ144" s="4"/>
      <c r="ANK144" s="4"/>
      <c r="ANL144" s="4"/>
      <c r="ANM144" s="4"/>
      <c r="ANN144" s="4"/>
      <c r="ANO144" s="4"/>
      <c r="ANP144" s="4"/>
      <c r="ANQ144" s="4"/>
      <c r="ANR144" s="4"/>
      <c r="ANS144" s="4"/>
      <c r="ANT144" s="4"/>
      <c r="ANU144" s="4"/>
      <c r="ANV144" s="4"/>
      <c r="ANW144" s="4"/>
      <c r="ANX144" s="4"/>
      <c r="ANY144" s="4"/>
      <c r="ANZ144" s="4"/>
      <c r="AOA144" s="4"/>
      <c r="AOB144" s="4"/>
      <c r="AOC144" s="4"/>
      <c r="AOD144" s="4"/>
      <c r="AOE144" s="4"/>
      <c r="AOF144" s="4"/>
      <c r="AOG144" s="4"/>
      <c r="AOH144" s="4"/>
      <c r="AOI144" s="4"/>
      <c r="AOJ144" s="4"/>
      <c r="AOK144" s="4"/>
      <c r="AOL144" s="4"/>
      <c r="AOM144" s="4"/>
      <c r="AON144" s="4"/>
      <c r="AOO144" s="4"/>
      <c r="AOP144" s="4"/>
      <c r="AOQ144" s="4"/>
      <c r="AOR144" s="4"/>
      <c r="AOS144" s="4"/>
      <c r="AOT144" s="4"/>
      <c r="AOU144" s="4"/>
      <c r="AOV144" s="4"/>
      <c r="AOW144" s="4"/>
      <c r="AOX144" s="4"/>
      <c r="AOY144" s="4"/>
      <c r="AOZ144" s="4"/>
      <c r="APA144" s="4"/>
      <c r="APB144" s="4"/>
      <c r="APC144" s="4"/>
      <c r="APD144" s="4"/>
      <c r="APE144" s="4"/>
      <c r="APF144" s="4"/>
      <c r="APG144" s="4"/>
      <c r="APH144" s="4"/>
      <c r="API144" s="4"/>
      <c r="APJ144" s="4"/>
      <c r="APK144" s="4"/>
      <c r="APL144" s="4"/>
      <c r="APM144" s="4"/>
      <c r="APN144" s="4"/>
      <c r="APO144" s="4"/>
      <c r="APP144" s="4"/>
      <c r="APQ144" s="4"/>
      <c r="APR144" s="4"/>
      <c r="APS144" s="4"/>
      <c r="APT144" s="4"/>
      <c r="APU144" s="4"/>
      <c r="APV144" s="4"/>
      <c r="APW144" s="4"/>
      <c r="APX144" s="4"/>
      <c r="APY144" s="4"/>
      <c r="APZ144" s="4"/>
      <c r="AQA144" s="4"/>
      <c r="AQB144" s="4"/>
      <c r="AQC144" s="4"/>
      <c r="AQD144" s="4"/>
      <c r="AQE144" s="4"/>
      <c r="AQF144" s="4"/>
      <c r="AQG144" s="4"/>
      <c r="AQH144" s="4"/>
      <c r="AQI144" s="4"/>
      <c r="AQJ144" s="4"/>
      <c r="AQK144" s="4"/>
      <c r="AQL144" s="4"/>
      <c r="AQM144" s="4"/>
      <c r="AQN144" s="4"/>
      <c r="AQO144" s="4"/>
      <c r="AQP144" s="4"/>
      <c r="AQQ144" s="4"/>
      <c r="AQR144" s="4"/>
      <c r="AQS144" s="4"/>
      <c r="AQT144" s="4"/>
      <c r="AQU144" s="4"/>
      <c r="AQV144" s="4"/>
      <c r="AQW144" s="4"/>
      <c r="AQX144" s="4"/>
      <c r="AQY144" s="4"/>
      <c r="AQZ144" s="4"/>
      <c r="ARA144" s="4"/>
      <c r="ARB144" s="4"/>
      <c r="ARC144" s="4"/>
      <c r="ARD144" s="4"/>
      <c r="ARE144" s="4"/>
      <c r="ARF144" s="4"/>
      <c r="ARG144" s="4"/>
      <c r="ARH144" s="4"/>
      <c r="ARI144" s="4"/>
      <c r="ARJ144" s="4"/>
      <c r="ARK144" s="4"/>
      <c r="ARL144" s="4"/>
      <c r="ARM144" s="4"/>
      <c r="ARN144" s="4"/>
      <c r="ARO144" s="4"/>
      <c r="ARP144" s="4"/>
      <c r="ARQ144" s="4"/>
      <c r="ARR144" s="4"/>
      <c r="ARS144" s="4"/>
      <c r="ART144" s="4"/>
      <c r="ARU144" s="4"/>
      <c r="ARV144" s="4"/>
      <c r="ARW144" s="4"/>
      <c r="ARX144" s="4"/>
      <c r="ARY144" s="4"/>
      <c r="ARZ144" s="4"/>
      <c r="ASA144" s="4"/>
      <c r="ASB144" s="4"/>
      <c r="ASC144" s="4"/>
      <c r="ASD144" s="4"/>
      <c r="ASE144" s="4"/>
      <c r="ASF144" s="4"/>
      <c r="ASG144" s="4"/>
      <c r="ASH144" s="4"/>
      <c r="ASI144" s="4"/>
      <c r="ASJ144" s="4"/>
      <c r="ASK144" s="4"/>
      <c r="ASL144" s="4"/>
      <c r="ASM144" s="4"/>
      <c r="ASN144" s="4"/>
      <c r="ASO144" s="4"/>
      <c r="ASP144" s="4"/>
      <c r="ASQ144" s="4"/>
      <c r="ASR144" s="4"/>
      <c r="ASS144" s="4"/>
      <c r="AST144" s="4"/>
      <c r="ASU144" s="4"/>
    </row>
    <row r="145" ht="15" customHeight="1" spans="1:1191" x14ac:dyDescent="0.25">
      <c r="A145" s="679">
        <v>0.5</v>
      </c>
      <c r="B145" s="672" t="s">
        <v>172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  <c r="UG145" s="4"/>
      <c r="UH145" s="4"/>
      <c r="UI145" s="4"/>
      <c r="UJ145" s="4"/>
      <c r="UK145" s="4"/>
      <c r="UL145" s="4"/>
      <c r="UM145" s="4"/>
      <c r="UN145" s="4"/>
      <c r="UO145" s="4"/>
      <c r="UP145" s="4"/>
      <c r="UQ145" s="4"/>
      <c r="UR145" s="4"/>
      <c r="US145" s="4"/>
      <c r="UT145" s="4"/>
      <c r="UU145" s="4"/>
      <c r="UV145" s="4"/>
      <c r="UW145" s="4"/>
      <c r="UX145" s="4"/>
      <c r="UY145" s="4"/>
      <c r="UZ145" s="4"/>
      <c r="VA145" s="4"/>
      <c r="VB145" s="4"/>
      <c r="VC145" s="4"/>
      <c r="VD145" s="4"/>
      <c r="VE145" s="4"/>
      <c r="VF145" s="4"/>
      <c r="VG145" s="4"/>
      <c r="VH145" s="4"/>
      <c r="VI145" s="4"/>
      <c r="VJ145" s="4"/>
      <c r="VK145" s="4"/>
      <c r="VL145" s="4"/>
      <c r="VM145" s="4"/>
      <c r="VN145" s="4"/>
      <c r="VO145" s="4"/>
      <c r="VP145" s="4"/>
      <c r="VQ145" s="4"/>
      <c r="VR145" s="4"/>
      <c r="VS145" s="4"/>
      <c r="VT145" s="4"/>
      <c r="VU145" s="4"/>
      <c r="VV145" s="4"/>
      <c r="VW145" s="4"/>
      <c r="VX145" s="4"/>
      <c r="VY145" s="4"/>
      <c r="VZ145" s="4"/>
      <c r="WA145" s="4"/>
      <c r="WB145" s="4"/>
      <c r="WC145" s="4"/>
      <c r="WD145" s="4"/>
      <c r="WE145" s="4"/>
      <c r="WF145" s="4"/>
      <c r="WG145" s="4"/>
      <c r="WH145" s="4"/>
      <c r="WI145" s="4"/>
      <c r="WJ145" s="4"/>
      <c r="WK145" s="4"/>
      <c r="WL145" s="4"/>
      <c r="WM145" s="4"/>
      <c r="WN145" s="4"/>
      <c r="WO145" s="4"/>
      <c r="WP145" s="4"/>
      <c r="WQ145" s="4"/>
      <c r="WR145" s="4"/>
      <c r="WS145" s="4"/>
      <c r="WT145" s="4"/>
      <c r="WU145" s="4"/>
      <c r="WV145" s="4"/>
      <c r="WW145" s="4"/>
      <c r="WX145" s="4"/>
      <c r="WY145" s="4"/>
      <c r="WZ145" s="4"/>
      <c r="XA145" s="4"/>
      <c r="XB145" s="4"/>
      <c r="XC145" s="4"/>
      <c r="XD145" s="4"/>
      <c r="XE145" s="4"/>
      <c r="XF145" s="4"/>
      <c r="XG145" s="4"/>
      <c r="XH145" s="4"/>
      <c r="XI145" s="4"/>
      <c r="XJ145" s="4"/>
      <c r="XK145" s="4"/>
      <c r="XL145" s="4"/>
      <c r="XM145" s="4"/>
      <c r="XN145" s="4"/>
      <c r="XO145" s="4"/>
      <c r="XP145" s="4"/>
      <c r="XQ145" s="4"/>
      <c r="XR145" s="4"/>
      <c r="XS145" s="4"/>
      <c r="XT145" s="4"/>
      <c r="XU145" s="4"/>
      <c r="XV145" s="4"/>
      <c r="XW145" s="4"/>
      <c r="XX145" s="4"/>
      <c r="XY145" s="4"/>
      <c r="XZ145" s="4"/>
      <c r="YA145" s="4"/>
      <c r="YB145" s="4"/>
      <c r="YC145" s="4"/>
      <c r="YD145" s="4"/>
      <c r="YE145" s="4"/>
      <c r="YF145" s="4"/>
      <c r="YG145" s="4"/>
      <c r="YH145" s="4"/>
      <c r="YI145" s="4"/>
      <c r="YJ145" s="4"/>
      <c r="YK145" s="4"/>
      <c r="YL145" s="4"/>
      <c r="YM145" s="4"/>
      <c r="YN145" s="4"/>
      <c r="YO145" s="4"/>
      <c r="YP145" s="4"/>
      <c r="YQ145" s="4"/>
      <c r="YR145" s="4"/>
      <c r="YS145" s="4"/>
      <c r="YT145" s="4"/>
      <c r="YU145" s="4"/>
      <c r="YV145" s="4"/>
      <c r="YW145" s="4"/>
      <c r="YX145" s="4"/>
      <c r="YY145" s="4"/>
      <c r="YZ145" s="4"/>
      <c r="ZA145" s="4"/>
      <c r="ZB145" s="4"/>
      <c r="ZC145" s="4"/>
      <c r="ZD145" s="4"/>
      <c r="ZE145" s="4"/>
      <c r="ZF145" s="4"/>
      <c r="ZG145" s="4"/>
      <c r="ZH145" s="4"/>
      <c r="ZI145" s="4"/>
      <c r="ZJ145" s="4"/>
      <c r="ZK145" s="4"/>
      <c r="ZL145" s="4"/>
      <c r="ZM145" s="4"/>
      <c r="ZN145" s="4"/>
      <c r="ZO145" s="4"/>
      <c r="ZP145" s="4"/>
      <c r="ZQ145" s="4"/>
      <c r="ZR145" s="4"/>
      <c r="ZS145" s="4"/>
      <c r="ZT145" s="4"/>
      <c r="ZU145" s="4"/>
      <c r="ZV145" s="4"/>
      <c r="ZW145" s="4"/>
      <c r="ZX145" s="4"/>
      <c r="ZY145" s="4"/>
      <c r="ZZ145" s="4"/>
      <c r="AAA145" s="4"/>
      <c r="AAB145" s="4"/>
      <c r="AAC145" s="4"/>
      <c r="AAD145" s="4"/>
      <c r="AAE145" s="4"/>
      <c r="AAF145" s="4"/>
      <c r="AAG145" s="4"/>
      <c r="AAH145" s="4"/>
      <c r="AAI145" s="4"/>
      <c r="AAJ145" s="4"/>
      <c r="AAK145" s="4"/>
      <c r="AAL145" s="4"/>
      <c r="AAM145" s="4"/>
      <c r="AAN145" s="4"/>
      <c r="AAO145" s="4"/>
      <c r="AAP145" s="4"/>
      <c r="AAQ145" s="4"/>
      <c r="AAR145" s="4"/>
      <c r="AAS145" s="4"/>
      <c r="AAT145" s="4"/>
      <c r="AAU145" s="4"/>
      <c r="AAV145" s="4"/>
      <c r="AAW145" s="4"/>
      <c r="AAX145" s="4"/>
      <c r="AAY145" s="4"/>
      <c r="AAZ145" s="4"/>
      <c r="ABA145" s="4"/>
      <c r="ABB145" s="4"/>
      <c r="ABC145" s="4"/>
      <c r="ABD145" s="4"/>
      <c r="ABE145" s="4"/>
      <c r="ABF145" s="4"/>
      <c r="ABG145" s="4"/>
      <c r="ABH145" s="4"/>
      <c r="ABI145" s="4"/>
      <c r="ABJ145" s="4"/>
      <c r="ABK145" s="4"/>
      <c r="ABL145" s="4"/>
      <c r="ABM145" s="4"/>
      <c r="ABN145" s="4"/>
      <c r="ABO145" s="4"/>
      <c r="ABP145" s="4"/>
      <c r="ABQ145" s="4"/>
      <c r="ABR145" s="4"/>
      <c r="ABS145" s="4"/>
      <c r="ABT145" s="4"/>
      <c r="ABU145" s="4"/>
      <c r="ABV145" s="4"/>
      <c r="ABW145" s="4"/>
      <c r="ABX145" s="4"/>
      <c r="ABY145" s="4"/>
      <c r="ABZ145" s="4"/>
      <c r="ACA145" s="4"/>
      <c r="ACB145" s="4"/>
      <c r="ACC145" s="4"/>
      <c r="ACD145" s="4"/>
      <c r="ACE145" s="4"/>
      <c r="ACF145" s="4"/>
      <c r="ACG145" s="4"/>
      <c r="ACH145" s="4"/>
      <c r="ACI145" s="4"/>
      <c r="ACJ145" s="4"/>
      <c r="ACK145" s="4"/>
      <c r="ACL145" s="4"/>
      <c r="ACM145" s="4"/>
      <c r="ACN145" s="4"/>
      <c r="ACO145" s="4"/>
      <c r="ACP145" s="4"/>
      <c r="ACQ145" s="4"/>
      <c r="ACR145" s="4"/>
      <c r="ACS145" s="4"/>
      <c r="ACT145" s="4"/>
      <c r="ACU145" s="4"/>
      <c r="ACV145" s="4"/>
      <c r="ACW145" s="4"/>
      <c r="ACX145" s="4"/>
      <c r="ACY145" s="4"/>
      <c r="ACZ145" s="4"/>
      <c r="ADA145" s="4"/>
      <c r="ADB145" s="4"/>
      <c r="ADC145" s="4"/>
      <c r="ADD145" s="4"/>
      <c r="ADE145" s="4"/>
      <c r="ADF145" s="4"/>
      <c r="ADG145" s="4"/>
      <c r="ADH145" s="4"/>
      <c r="ADI145" s="4"/>
      <c r="ADJ145" s="4"/>
      <c r="ADK145" s="4"/>
      <c r="ADL145" s="4"/>
      <c r="ADM145" s="4"/>
      <c r="ADN145" s="4"/>
      <c r="ADO145" s="4"/>
      <c r="ADP145" s="4"/>
      <c r="ADQ145" s="4"/>
      <c r="ADR145" s="4"/>
      <c r="ADS145" s="4"/>
      <c r="ADT145" s="4"/>
      <c r="ADU145" s="4"/>
      <c r="ADV145" s="4"/>
      <c r="ADW145" s="4"/>
      <c r="ADX145" s="4"/>
      <c r="ADY145" s="4"/>
      <c r="ADZ145" s="4"/>
      <c r="AEA145" s="4"/>
      <c r="AEB145" s="4"/>
      <c r="AEC145" s="4"/>
      <c r="AED145" s="4"/>
      <c r="AEE145" s="4"/>
      <c r="AEF145" s="4"/>
      <c r="AEG145" s="4"/>
      <c r="AEH145" s="4"/>
      <c r="AEI145" s="4"/>
      <c r="AEJ145" s="4"/>
      <c r="AEK145" s="4"/>
      <c r="AEL145" s="4"/>
      <c r="AEM145" s="4"/>
      <c r="AEN145" s="4"/>
      <c r="AEO145" s="4"/>
      <c r="AEP145" s="4"/>
      <c r="AEQ145" s="4"/>
      <c r="AER145" s="4"/>
      <c r="AES145" s="4"/>
      <c r="AET145" s="4"/>
      <c r="AEU145" s="4"/>
      <c r="AEV145" s="4"/>
      <c r="AEW145" s="4"/>
      <c r="AEX145" s="4"/>
      <c r="AEY145" s="4"/>
      <c r="AEZ145" s="4"/>
      <c r="AFA145" s="4"/>
      <c r="AFB145" s="4"/>
      <c r="AFC145" s="4"/>
      <c r="AFD145" s="4"/>
      <c r="AFE145" s="4"/>
      <c r="AFF145" s="4"/>
      <c r="AFG145" s="4"/>
      <c r="AFH145" s="4"/>
      <c r="AFI145" s="4"/>
      <c r="AFJ145" s="4"/>
      <c r="AFK145" s="4"/>
      <c r="AFL145" s="4"/>
      <c r="AFM145" s="4"/>
      <c r="AFN145" s="4"/>
      <c r="AFO145" s="4"/>
      <c r="AFP145" s="4"/>
      <c r="AFQ145" s="4"/>
      <c r="AFR145" s="4"/>
      <c r="AFS145" s="4"/>
      <c r="AFT145" s="4"/>
      <c r="AFU145" s="4"/>
      <c r="AFV145" s="4"/>
      <c r="AFW145" s="4"/>
      <c r="AFX145" s="4"/>
      <c r="AFY145" s="4"/>
      <c r="AFZ145" s="4"/>
      <c r="AGA145" s="4"/>
      <c r="AGB145" s="4"/>
      <c r="AGC145" s="4"/>
      <c r="AGD145" s="4"/>
      <c r="AGE145" s="4"/>
      <c r="AGF145" s="4"/>
      <c r="AGG145" s="4"/>
      <c r="AGH145" s="4"/>
      <c r="AGI145" s="4"/>
      <c r="AGJ145" s="4"/>
      <c r="AGK145" s="4"/>
      <c r="AGL145" s="4"/>
      <c r="AGM145" s="4"/>
      <c r="AGN145" s="4"/>
      <c r="AGO145" s="4"/>
      <c r="AGP145" s="4"/>
      <c r="AGQ145" s="4"/>
      <c r="AGR145" s="4"/>
      <c r="AGS145" s="4"/>
      <c r="AGT145" s="4"/>
      <c r="AGU145" s="4"/>
      <c r="AGV145" s="4"/>
      <c r="AGW145" s="4"/>
      <c r="AGX145" s="4"/>
      <c r="AGY145" s="4"/>
      <c r="AGZ145" s="4"/>
      <c r="AHA145" s="4"/>
      <c r="AHB145" s="4"/>
      <c r="AHC145" s="4"/>
      <c r="AHD145" s="4"/>
      <c r="AHE145" s="4"/>
      <c r="AHF145" s="4"/>
      <c r="AHG145" s="4"/>
      <c r="AHH145" s="4"/>
      <c r="AHI145" s="4"/>
      <c r="AHJ145" s="4"/>
      <c r="AHK145" s="4"/>
      <c r="AHL145" s="4"/>
      <c r="AHM145" s="4"/>
      <c r="AHN145" s="4"/>
      <c r="AHO145" s="4"/>
      <c r="AHP145" s="4"/>
      <c r="AHQ145" s="4"/>
      <c r="AHR145" s="4"/>
      <c r="AHS145" s="4"/>
      <c r="AHT145" s="4"/>
      <c r="AHU145" s="4"/>
      <c r="AHV145" s="4"/>
      <c r="AHW145" s="4"/>
      <c r="AHX145" s="4"/>
      <c r="AHY145" s="4"/>
      <c r="AHZ145" s="4"/>
      <c r="AIA145" s="4"/>
      <c r="AIB145" s="4"/>
      <c r="AIC145" s="4"/>
      <c r="AID145" s="4"/>
      <c r="AIE145" s="4"/>
      <c r="AIF145" s="4"/>
      <c r="AIG145" s="4"/>
      <c r="AIH145" s="4"/>
      <c r="AII145" s="4"/>
      <c r="AIJ145" s="4"/>
      <c r="AIK145" s="4"/>
      <c r="AIL145" s="4"/>
      <c r="AIM145" s="4"/>
      <c r="AIN145" s="4"/>
      <c r="AIO145" s="4"/>
      <c r="AIP145" s="4"/>
      <c r="AIQ145" s="4"/>
      <c r="AIR145" s="4"/>
      <c r="AIS145" s="4"/>
      <c r="AIT145" s="4"/>
      <c r="AIU145" s="4"/>
      <c r="AIV145" s="4"/>
      <c r="AIW145" s="4"/>
      <c r="AIX145" s="4"/>
      <c r="AIY145" s="4"/>
      <c r="AIZ145" s="4"/>
      <c r="AJA145" s="4"/>
      <c r="AJB145" s="4"/>
      <c r="AJC145" s="4"/>
      <c r="AJD145" s="4"/>
      <c r="AJE145" s="4"/>
      <c r="AJF145" s="4"/>
      <c r="AJG145" s="4"/>
      <c r="AJH145" s="4"/>
      <c r="AJI145" s="4"/>
      <c r="AJJ145" s="4"/>
      <c r="AJK145" s="4"/>
      <c r="AJL145" s="4"/>
      <c r="AJM145" s="4"/>
      <c r="AJN145" s="4"/>
      <c r="AJO145" s="4"/>
      <c r="AJP145" s="4"/>
      <c r="AJQ145" s="4"/>
      <c r="AJR145" s="4"/>
      <c r="AJS145" s="4"/>
      <c r="AJT145" s="4"/>
      <c r="AJU145" s="4"/>
      <c r="AJV145" s="4"/>
      <c r="AJW145" s="4"/>
      <c r="AJX145" s="4"/>
      <c r="AJY145" s="4"/>
      <c r="AJZ145" s="4"/>
      <c r="AKA145" s="4"/>
      <c r="AKB145" s="4"/>
      <c r="AKC145" s="4"/>
      <c r="AKD145" s="4"/>
      <c r="AKE145" s="4"/>
      <c r="AKF145" s="4"/>
      <c r="AKG145" s="4"/>
      <c r="AKH145" s="4"/>
      <c r="AKI145" s="4"/>
      <c r="AKJ145" s="4"/>
      <c r="AKK145" s="4"/>
      <c r="AKL145" s="4"/>
      <c r="AKM145" s="4"/>
      <c r="AKN145" s="4"/>
      <c r="AKO145" s="4"/>
      <c r="AKP145" s="4"/>
      <c r="AKQ145" s="4"/>
      <c r="AKR145" s="4"/>
      <c r="AKS145" s="4"/>
      <c r="AKT145" s="4"/>
      <c r="AKU145" s="4"/>
      <c r="AKV145" s="4"/>
      <c r="AKW145" s="4"/>
      <c r="AKX145" s="4"/>
      <c r="AKY145" s="4"/>
      <c r="AKZ145" s="4"/>
      <c r="ALA145" s="4"/>
      <c r="ALB145" s="4"/>
      <c r="ALC145" s="4"/>
      <c r="ALD145" s="4"/>
      <c r="ALE145" s="4"/>
      <c r="ALF145" s="4"/>
      <c r="ALG145" s="4"/>
      <c r="ALH145" s="4"/>
      <c r="ALI145" s="4"/>
      <c r="ALJ145" s="4"/>
      <c r="ALK145" s="4"/>
      <c r="ALL145" s="4"/>
      <c r="ALM145" s="4"/>
      <c r="ALN145" s="4"/>
      <c r="ALO145" s="4"/>
      <c r="ALP145" s="4"/>
      <c r="ALQ145" s="4"/>
      <c r="ALR145" s="4"/>
      <c r="ALS145" s="4"/>
      <c r="ALT145" s="4"/>
      <c r="ALU145" s="4"/>
      <c r="ALV145" s="4"/>
      <c r="ALW145" s="4"/>
      <c r="ALX145" s="4"/>
      <c r="ALY145" s="4"/>
      <c r="ALZ145" s="4"/>
      <c r="AMA145" s="4"/>
      <c r="AMB145" s="4"/>
      <c r="AMC145" s="4"/>
      <c r="AMD145" s="4"/>
      <c r="AME145" s="4"/>
      <c r="AMF145" s="4"/>
      <c r="AMG145" s="4"/>
      <c r="AMH145" s="4"/>
      <c r="AMI145" s="4"/>
      <c r="AMJ145" s="4"/>
      <c r="AMK145" s="4"/>
      <c r="AML145" s="4"/>
      <c r="AMM145" s="4"/>
      <c r="AMN145" s="4"/>
      <c r="AMO145" s="4"/>
      <c r="AMP145" s="4"/>
      <c r="AMQ145" s="4"/>
      <c r="AMR145" s="4"/>
      <c r="AMS145" s="4"/>
      <c r="AMT145" s="4"/>
      <c r="AMU145" s="4"/>
      <c r="AMV145" s="4"/>
      <c r="AMW145" s="4"/>
      <c r="AMX145" s="4"/>
      <c r="AMY145" s="4"/>
      <c r="AMZ145" s="4"/>
      <c r="ANA145" s="4"/>
      <c r="ANB145" s="4"/>
      <c r="ANC145" s="4"/>
      <c r="AND145" s="4"/>
      <c r="ANE145" s="4"/>
      <c r="ANF145" s="4"/>
      <c r="ANG145" s="4"/>
      <c r="ANH145" s="4"/>
      <c r="ANI145" s="4"/>
      <c r="ANJ145" s="4"/>
      <c r="ANK145" s="4"/>
      <c r="ANL145" s="4"/>
      <c r="ANM145" s="4"/>
      <c r="ANN145" s="4"/>
      <c r="ANO145" s="4"/>
      <c r="ANP145" s="4"/>
      <c r="ANQ145" s="4"/>
      <c r="ANR145" s="4"/>
      <c r="ANS145" s="4"/>
      <c r="ANT145" s="4"/>
      <c r="ANU145" s="4"/>
      <c r="ANV145" s="4"/>
      <c r="ANW145" s="4"/>
      <c r="ANX145" s="4"/>
      <c r="ANY145" s="4"/>
      <c r="ANZ145" s="4"/>
      <c r="AOA145" s="4"/>
      <c r="AOB145" s="4"/>
      <c r="AOC145" s="4"/>
      <c r="AOD145" s="4"/>
      <c r="AOE145" s="4"/>
      <c r="AOF145" s="4"/>
      <c r="AOG145" s="4"/>
      <c r="AOH145" s="4"/>
      <c r="AOI145" s="4"/>
      <c r="AOJ145" s="4"/>
      <c r="AOK145" s="4"/>
      <c r="AOL145" s="4"/>
      <c r="AOM145" s="4"/>
      <c r="AON145" s="4"/>
      <c r="AOO145" s="4"/>
      <c r="AOP145" s="4"/>
      <c r="AOQ145" s="4"/>
      <c r="AOR145" s="4"/>
      <c r="AOS145" s="4"/>
      <c r="AOT145" s="4"/>
      <c r="AOU145" s="4"/>
      <c r="AOV145" s="4"/>
      <c r="AOW145" s="4"/>
      <c r="AOX145" s="4"/>
      <c r="AOY145" s="4"/>
      <c r="AOZ145" s="4"/>
      <c r="APA145" s="4"/>
      <c r="APB145" s="4"/>
      <c r="APC145" s="4"/>
      <c r="APD145" s="4"/>
      <c r="APE145" s="4"/>
      <c r="APF145" s="4"/>
      <c r="APG145" s="4"/>
      <c r="APH145" s="4"/>
      <c r="API145" s="4"/>
      <c r="APJ145" s="4"/>
      <c r="APK145" s="4"/>
      <c r="APL145" s="4"/>
      <c r="APM145" s="4"/>
      <c r="APN145" s="4"/>
      <c r="APO145" s="4"/>
      <c r="APP145" s="4"/>
      <c r="APQ145" s="4"/>
      <c r="APR145" s="4"/>
      <c r="APS145" s="4"/>
      <c r="APT145" s="4"/>
      <c r="APU145" s="4"/>
      <c r="APV145" s="4"/>
      <c r="APW145" s="4"/>
      <c r="APX145" s="4"/>
      <c r="APY145" s="4"/>
      <c r="APZ145" s="4"/>
      <c r="AQA145" s="4"/>
      <c r="AQB145" s="4"/>
      <c r="AQC145" s="4"/>
      <c r="AQD145" s="4"/>
      <c r="AQE145" s="4"/>
      <c r="AQF145" s="4"/>
      <c r="AQG145" s="4"/>
      <c r="AQH145" s="4"/>
      <c r="AQI145" s="4"/>
      <c r="AQJ145" s="4"/>
      <c r="AQK145" s="4"/>
      <c r="AQL145" s="4"/>
      <c r="AQM145" s="4"/>
      <c r="AQN145" s="4"/>
      <c r="AQO145" s="4"/>
      <c r="AQP145" s="4"/>
      <c r="AQQ145" s="4"/>
      <c r="AQR145" s="4"/>
      <c r="AQS145" s="4"/>
      <c r="AQT145" s="4"/>
      <c r="AQU145" s="4"/>
      <c r="AQV145" s="4"/>
      <c r="AQW145" s="4"/>
      <c r="AQX145" s="4"/>
      <c r="AQY145" s="4"/>
      <c r="AQZ145" s="4"/>
      <c r="ARA145" s="4"/>
      <c r="ARB145" s="4"/>
      <c r="ARC145" s="4"/>
      <c r="ARD145" s="4"/>
      <c r="ARE145" s="4"/>
      <c r="ARF145" s="4"/>
      <c r="ARG145" s="4"/>
      <c r="ARH145" s="4"/>
      <c r="ARI145" s="4"/>
      <c r="ARJ145" s="4"/>
      <c r="ARK145" s="4"/>
      <c r="ARL145" s="4"/>
      <c r="ARM145" s="4"/>
      <c r="ARN145" s="4"/>
      <c r="ARO145" s="4"/>
      <c r="ARP145" s="4"/>
      <c r="ARQ145" s="4"/>
      <c r="ARR145" s="4"/>
      <c r="ARS145" s="4"/>
      <c r="ART145" s="4"/>
      <c r="ARU145" s="4"/>
      <c r="ARV145" s="4"/>
      <c r="ARW145" s="4"/>
      <c r="ARX145" s="4"/>
      <c r="ARY145" s="4"/>
      <c r="ARZ145" s="4"/>
      <c r="ASA145" s="4"/>
      <c r="ASB145" s="4"/>
      <c r="ASC145" s="4"/>
      <c r="ASD145" s="4"/>
      <c r="ASE145" s="4"/>
      <c r="ASF145" s="4"/>
      <c r="ASG145" s="4"/>
      <c r="ASH145" s="4"/>
      <c r="ASI145" s="4"/>
      <c r="ASJ145" s="4"/>
      <c r="ASK145" s="4"/>
      <c r="ASL145" s="4"/>
      <c r="ASM145" s="4"/>
      <c r="ASN145" s="4"/>
      <c r="ASO145" s="4"/>
      <c r="ASP145" s="4"/>
      <c r="ASQ145" s="4"/>
      <c r="ASR145" s="4"/>
      <c r="ASS145" s="4"/>
      <c r="AST145" s="4"/>
      <c r="ASU145" s="4"/>
    </row>
    <row r="146" ht="15" customHeight="1" spans="1:1191" x14ac:dyDescent="0.25">
      <c r="A146" s="37">
        <v>0.5</v>
      </c>
      <c r="B146" s="16" t="s">
        <v>21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  <c r="UG146" s="4"/>
      <c r="UH146" s="4"/>
      <c r="UI146" s="4"/>
      <c r="UJ146" s="4"/>
      <c r="UK146" s="4"/>
      <c r="UL146" s="4"/>
      <c r="UM146" s="4"/>
      <c r="UN146" s="4"/>
      <c r="UO146" s="4"/>
      <c r="UP146" s="4"/>
      <c r="UQ146" s="4"/>
      <c r="UR146" s="4"/>
      <c r="US146" s="4"/>
      <c r="UT146" s="4"/>
      <c r="UU146" s="4"/>
      <c r="UV146" s="4"/>
      <c r="UW146" s="4"/>
      <c r="UX146" s="4"/>
      <c r="UY146" s="4"/>
      <c r="UZ146" s="4"/>
      <c r="VA146" s="4"/>
      <c r="VB146" s="4"/>
      <c r="VC146" s="4"/>
      <c r="VD146" s="4"/>
      <c r="VE146" s="4"/>
      <c r="VF146" s="4"/>
      <c r="VG146" s="4"/>
      <c r="VH146" s="4"/>
      <c r="VI146" s="4"/>
      <c r="VJ146" s="4"/>
      <c r="VK146" s="4"/>
      <c r="VL146" s="4"/>
      <c r="VM146" s="4"/>
      <c r="VN146" s="4"/>
      <c r="VO146" s="4"/>
      <c r="VP146" s="4"/>
      <c r="VQ146" s="4"/>
      <c r="VR146" s="4"/>
      <c r="VS146" s="4"/>
      <c r="VT146" s="4"/>
      <c r="VU146" s="4"/>
      <c r="VV146" s="4"/>
      <c r="VW146" s="4"/>
      <c r="VX146" s="4"/>
      <c r="VY146" s="4"/>
      <c r="VZ146" s="4"/>
      <c r="WA146" s="4"/>
      <c r="WB146" s="4"/>
      <c r="WC146" s="4"/>
      <c r="WD146" s="4"/>
      <c r="WE146" s="4"/>
      <c r="WF146" s="4"/>
      <c r="WG146" s="4"/>
      <c r="WH146" s="4"/>
      <c r="WI146" s="4"/>
      <c r="WJ146" s="4"/>
      <c r="WK146" s="4"/>
      <c r="WL146" s="4"/>
      <c r="WM146" s="4"/>
      <c r="WN146" s="4"/>
      <c r="WO146" s="4"/>
      <c r="WP146" s="4"/>
      <c r="WQ146" s="4"/>
      <c r="WR146" s="4"/>
      <c r="WS146" s="4"/>
      <c r="WT146" s="4"/>
      <c r="WU146" s="4"/>
      <c r="WV146" s="4"/>
      <c r="WW146" s="4"/>
      <c r="WX146" s="4"/>
      <c r="WY146" s="4"/>
      <c r="WZ146" s="4"/>
      <c r="XA146" s="4"/>
      <c r="XB146" s="4"/>
      <c r="XC146" s="4"/>
      <c r="XD146" s="4"/>
      <c r="XE146" s="4"/>
      <c r="XF146" s="4"/>
      <c r="XG146" s="4"/>
      <c r="XH146" s="4"/>
      <c r="XI146" s="4"/>
      <c r="XJ146" s="4"/>
      <c r="XK146" s="4"/>
      <c r="XL146" s="4"/>
      <c r="XM146" s="4"/>
      <c r="XN146" s="4"/>
      <c r="XO146" s="4"/>
      <c r="XP146" s="4"/>
      <c r="XQ146" s="4"/>
      <c r="XR146" s="4"/>
      <c r="XS146" s="4"/>
      <c r="XT146" s="4"/>
      <c r="XU146" s="4"/>
      <c r="XV146" s="4"/>
      <c r="XW146" s="4"/>
      <c r="XX146" s="4"/>
      <c r="XY146" s="4"/>
      <c r="XZ146" s="4"/>
      <c r="YA146" s="4"/>
      <c r="YB146" s="4"/>
      <c r="YC146" s="4"/>
      <c r="YD146" s="4"/>
      <c r="YE146" s="4"/>
      <c r="YF146" s="4"/>
      <c r="YG146" s="4"/>
      <c r="YH146" s="4"/>
      <c r="YI146" s="4"/>
      <c r="YJ146" s="4"/>
      <c r="YK146" s="4"/>
      <c r="YL146" s="4"/>
      <c r="YM146" s="4"/>
      <c r="YN146" s="4"/>
      <c r="YO146" s="4"/>
      <c r="YP146" s="4"/>
      <c r="YQ146" s="4"/>
      <c r="YR146" s="4"/>
      <c r="YS146" s="4"/>
      <c r="YT146" s="4"/>
      <c r="YU146" s="4"/>
      <c r="YV146" s="4"/>
      <c r="YW146" s="4"/>
      <c r="YX146" s="4"/>
      <c r="YY146" s="4"/>
      <c r="YZ146" s="4"/>
      <c r="ZA146" s="4"/>
      <c r="ZB146" s="4"/>
      <c r="ZC146" s="4"/>
      <c r="ZD146" s="4"/>
      <c r="ZE146" s="4"/>
      <c r="ZF146" s="4"/>
      <c r="ZG146" s="4"/>
      <c r="ZH146" s="4"/>
      <c r="ZI146" s="4"/>
      <c r="ZJ146" s="4"/>
      <c r="ZK146" s="4"/>
      <c r="ZL146" s="4"/>
      <c r="ZM146" s="4"/>
      <c r="ZN146" s="4"/>
      <c r="ZO146" s="4"/>
      <c r="ZP146" s="4"/>
      <c r="ZQ146" s="4"/>
      <c r="ZR146" s="4"/>
      <c r="ZS146" s="4"/>
      <c r="ZT146" s="4"/>
      <c r="ZU146" s="4"/>
      <c r="ZV146" s="4"/>
      <c r="ZW146" s="4"/>
      <c r="ZX146" s="4"/>
      <c r="ZY146" s="4"/>
      <c r="ZZ146" s="4"/>
      <c r="AAA146" s="4"/>
      <c r="AAB146" s="4"/>
      <c r="AAC146" s="4"/>
      <c r="AAD146" s="4"/>
      <c r="AAE146" s="4"/>
      <c r="AAF146" s="4"/>
      <c r="AAG146" s="4"/>
      <c r="AAH146" s="4"/>
      <c r="AAI146" s="4"/>
      <c r="AAJ146" s="4"/>
      <c r="AAK146" s="4"/>
      <c r="AAL146" s="4"/>
      <c r="AAM146" s="4"/>
      <c r="AAN146" s="4"/>
      <c r="AAO146" s="4"/>
      <c r="AAP146" s="4"/>
      <c r="AAQ146" s="4"/>
      <c r="AAR146" s="4"/>
      <c r="AAS146" s="4"/>
      <c r="AAT146" s="4"/>
      <c r="AAU146" s="4"/>
      <c r="AAV146" s="4"/>
      <c r="AAW146" s="4"/>
      <c r="AAX146" s="4"/>
      <c r="AAY146" s="4"/>
      <c r="AAZ146" s="4"/>
      <c r="ABA146" s="4"/>
      <c r="ABB146" s="4"/>
      <c r="ABC146" s="4"/>
      <c r="ABD146" s="4"/>
      <c r="ABE146" s="4"/>
      <c r="ABF146" s="4"/>
      <c r="ABG146" s="4"/>
      <c r="ABH146" s="4"/>
      <c r="ABI146" s="4"/>
      <c r="ABJ146" s="4"/>
      <c r="ABK146" s="4"/>
      <c r="ABL146" s="4"/>
      <c r="ABM146" s="4"/>
      <c r="ABN146" s="4"/>
      <c r="ABO146" s="4"/>
      <c r="ABP146" s="4"/>
      <c r="ABQ146" s="4"/>
      <c r="ABR146" s="4"/>
      <c r="ABS146" s="4"/>
      <c r="ABT146" s="4"/>
      <c r="ABU146" s="4"/>
      <c r="ABV146" s="4"/>
      <c r="ABW146" s="4"/>
      <c r="ABX146" s="4"/>
      <c r="ABY146" s="4"/>
      <c r="ABZ146" s="4"/>
      <c r="ACA146" s="4"/>
      <c r="ACB146" s="4"/>
      <c r="ACC146" s="4"/>
      <c r="ACD146" s="4"/>
      <c r="ACE146" s="4"/>
      <c r="ACF146" s="4"/>
      <c r="ACG146" s="4"/>
      <c r="ACH146" s="4"/>
      <c r="ACI146" s="4"/>
      <c r="ACJ146" s="4"/>
      <c r="ACK146" s="4"/>
      <c r="ACL146" s="4"/>
      <c r="ACM146" s="4"/>
      <c r="ACN146" s="4"/>
      <c r="ACO146" s="4"/>
      <c r="ACP146" s="4"/>
      <c r="ACQ146" s="4"/>
      <c r="ACR146" s="4"/>
      <c r="ACS146" s="4"/>
      <c r="ACT146" s="4"/>
      <c r="ACU146" s="4"/>
      <c r="ACV146" s="4"/>
      <c r="ACW146" s="4"/>
      <c r="ACX146" s="4"/>
      <c r="ACY146" s="4"/>
      <c r="ACZ146" s="4"/>
      <c r="ADA146" s="4"/>
      <c r="ADB146" s="4"/>
      <c r="ADC146" s="4"/>
      <c r="ADD146" s="4"/>
      <c r="ADE146" s="4"/>
      <c r="ADF146" s="4"/>
      <c r="ADG146" s="4"/>
      <c r="ADH146" s="4"/>
      <c r="ADI146" s="4"/>
      <c r="ADJ146" s="4"/>
      <c r="ADK146" s="4"/>
      <c r="ADL146" s="4"/>
      <c r="ADM146" s="4"/>
      <c r="ADN146" s="4"/>
      <c r="ADO146" s="4"/>
      <c r="ADP146" s="4"/>
      <c r="ADQ146" s="4"/>
      <c r="ADR146" s="4"/>
      <c r="ADS146" s="4"/>
      <c r="ADT146" s="4"/>
      <c r="ADU146" s="4"/>
      <c r="ADV146" s="4"/>
      <c r="ADW146" s="4"/>
      <c r="ADX146" s="4"/>
      <c r="ADY146" s="4"/>
      <c r="ADZ146" s="4"/>
      <c r="AEA146" s="4"/>
      <c r="AEB146" s="4"/>
      <c r="AEC146" s="4"/>
      <c r="AED146" s="4"/>
      <c r="AEE146" s="4"/>
      <c r="AEF146" s="4"/>
      <c r="AEG146" s="4"/>
      <c r="AEH146" s="4"/>
      <c r="AEI146" s="4"/>
      <c r="AEJ146" s="4"/>
      <c r="AEK146" s="4"/>
      <c r="AEL146" s="4"/>
      <c r="AEM146" s="4"/>
      <c r="AEN146" s="4"/>
      <c r="AEO146" s="4"/>
      <c r="AEP146" s="4"/>
      <c r="AEQ146" s="4"/>
      <c r="AER146" s="4"/>
      <c r="AES146" s="4"/>
      <c r="AET146" s="4"/>
      <c r="AEU146" s="4"/>
      <c r="AEV146" s="4"/>
      <c r="AEW146" s="4"/>
      <c r="AEX146" s="4"/>
      <c r="AEY146" s="4"/>
      <c r="AEZ146" s="4"/>
      <c r="AFA146" s="4"/>
      <c r="AFB146" s="4"/>
      <c r="AFC146" s="4"/>
      <c r="AFD146" s="4"/>
      <c r="AFE146" s="4"/>
      <c r="AFF146" s="4"/>
      <c r="AFG146" s="4"/>
      <c r="AFH146" s="4"/>
      <c r="AFI146" s="4"/>
      <c r="AFJ146" s="4"/>
      <c r="AFK146" s="4"/>
      <c r="AFL146" s="4"/>
      <c r="AFM146" s="4"/>
      <c r="AFN146" s="4"/>
      <c r="AFO146" s="4"/>
      <c r="AFP146" s="4"/>
      <c r="AFQ146" s="4"/>
      <c r="AFR146" s="4"/>
      <c r="AFS146" s="4"/>
      <c r="AFT146" s="4"/>
      <c r="AFU146" s="4"/>
      <c r="AFV146" s="4"/>
      <c r="AFW146" s="4"/>
      <c r="AFX146" s="4"/>
      <c r="AFY146" s="4"/>
      <c r="AFZ146" s="4"/>
      <c r="AGA146" s="4"/>
      <c r="AGB146" s="4"/>
      <c r="AGC146" s="4"/>
      <c r="AGD146" s="4"/>
      <c r="AGE146" s="4"/>
      <c r="AGF146" s="4"/>
      <c r="AGG146" s="4"/>
      <c r="AGH146" s="4"/>
      <c r="AGI146" s="4"/>
      <c r="AGJ146" s="4"/>
      <c r="AGK146" s="4"/>
      <c r="AGL146" s="4"/>
      <c r="AGM146" s="4"/>
      <c r="AGN146" s="4"/>
      <c r="AGO146" s="4"/>
      <c r="AGP146" s="4"/>
      <c r="AGQ146" s="4"/>
      <c r="AGR146" s="4"/>
      <c r="AGS146" s="4"/>
      <c r="AGT146" s="4"/>
      <c r="AGU146" s="4"/>
      <c r="AGV146" s="4"/>
      <c r="AGW146" s="4"/>
      <c r="AGX146" s="4"/>
      <c r="AGY146" s="4"/>
      <c r="AGZ146" s="4"/>
      <c r="AHA146" s="4"/>
      <c r="AHB146" s="4"/>
      <c r="AHC146" s="4"/>
      <c r="AHD146" s="4"/>
      <c r="AHE146" s="4"/>
      <c r="AHF146" s="4"/>
      <c r="AHG146" s="4"/>
      <c r="AHH146" s="4"/>
      <c r="AHI146" s="4"/>
      <c r="AHJ146" s="4"/>
      <c r="AHK146" s="4"/>
      <c r="AHL146" s="4"/>
      <c r="AHM146" s="4"/>
      <c r="AHN146" s="4"/>
      <c r="AHO146" s="4"/>
      <c r="AHP146" s="4"/>
      <c r="AHQ146" s="4"/>
      <c r="AHR146" s="4"/>
      <c r="AHS146" s="4"/>
      <c r="AHT146" s="4"/>
      <c r="AHU146" s="4"/>
      <c r="AHV146" s="4"/>
      <c r="AHW146" s="4"/>
      <c r="AHX146" s="4"/>
      <c r="AHY146" s="4"/>
      <c r="AHZ146" s="4"/>
      <c r="AIA146" s="4"/>
      <c r="AIB146" s="4"/>
      <c r="AIC146" s="4"/>
      <c r="AID146" s="4"/>
      <c r="AIE146" s="4"/>
      <c r="AIF146" s="4"/>
      <c r="AIG146" s="4"/>
      <c r="AIH146" s="4"/>
      <c r="AII146" s="4"/>
      <c r="AIJ146" s="4"/>
      <c r="AIK146" s="4"/>
      <c r="AIL146" s="4"/>
      <c r="AIM146" s="4"/>
      <c r="AIN146" s="4"/>
      <c r="AIO146" s="4"/>
      <c r="AIP146" s="4"/>
      <c r="AIQ146" s="4"/>
      <c r="AIR146" s="4"/>
      <c r="AIS146" s="4"/>
      <c r="AIT146" s="4"/>
      <c r="AIU146" s="4"/>
      <c r="AIV146" s="4"/>
      <c r="AIW146" s="4"/>
      <c r="AIX146" s="4"/>
      <c r="AIY146" s="4"/>
      <c r="AIZ146" s="4"/>
      <c r="AJA146" s="4"/>
      <c r="AJB146" s="4"/>
      <c r="AJC146" s="4"/>
      <c r="AJD146" s="4"/>
      <c r="AJE146" s="4"/>
      <c r="AJF146" s="4"/>
      <c r="AJG146" s="4"/>
      <c r="AJH146" s="4"/>
      <c r="AJI146" s="4"/>
      <c r="AJJ146" s="4"/>
      <c r="AJK146" s="4"/>
      <c r="AJL146" s="4"/>
      <c r="AJM146" s="4"/>
      <c r="AJN146" s="4"/>
      <c r="AJO146" s="4"/>
      <c r="AJP146" s="4"/>
      <c r="AJQ146" s="4"/>
      <c r="AJR146" s="4"/>
      <c r="AJS146" s="4"/>
      <c r="AJT146" s="4"/>
      <c r="AJU146" s="4"/>
      <c r="AJV146" s="4"/>
      <c r="AJW146" s="4"/>
      <c r="AJX146" s="4"/>
      <c r="AJY146" s="4"/>
      <c r="AJZ146" s="4"/>
      <c r="AKA146" s="4"/>
      <c r="AKB146" s="4"/>
      <c r="AKC146" s="4"/>
      <c r="AKD146" s="4"/>
      <c r="AKE146" s="4"/>
      <c r="AKF146" s="4"/>
      <c r="AKG146" s="4"/>
      <c r="AKH146" s="4"/>
      <c r="AKI146" s="4"/>
      <c r="AKJ146" s="4"/>
      <c r="AKK146" s="4"/>
      <c r="AKL146" s="4"/>
      <c r="AKM146" s="4"/>
      <c r="AKN146" s="4"/>
      <c r="AKO146" s="4"/>
      <c r="AKP146" s="4"/>
      <c r="AKQ146" s="4"/>
      <c r="AKR146" s="4"/>
      <c r="AKS146" s="4"/>
      <c r="AKT146" s="4"/>
      <c r="AKU146" s="4"/>
      <c r="AKV146" s="4"/>
      <c r="AKW146" s="4"/>
      <c r="AKX146" s="4"/>
      <c r="AKY146" s="4"/>
      <c r="AKZ146" s="4"/>
      <c r="ALA146" s="4"/>
      <c r="ALB146" s="4"/>
      <c r="ALC146" s="4"/>
      <c r="ALD146" s="4"/>
      <c r="ALE146" s="4"/>
      <c r="ALF146" s="4"/>
      <c r="ALG146" s="4"/>
      <c r="ALH146" s="4"/>
      <c r="ALI146" s="4"/>
      <c r="ALJ146" s="4"/>
      <c r="ALK146" s="4"/>
      <c r="ALL146" s="4"/>
      <c r="ALM146" s="4"/>
      <c r="ALN146" s="4"/>
      <c r="ALO146" s="4"/>
      <c r="ALP146" s="4"/>
      <c r="ALQ146" s="4"/>
      <c r="ALR146" s="4"/>
      <c r="ALS146" s="4"/>
      <c r="ALT146" s="4"/>
      <c r="ALU146" s="4"/>
      <c r="ALV146" s="4"/>
      <c r="ALW146" s="4"/>
      <c r="ALX146" s="4"/>
      <c r="ALY146" s="4"/>
      <c r="ALZ146" s="4"/>
      <c r="AMA146" s="4"/>
      <c r="AMB146" s="4"/>
      <c r="AMC146" s="4"/>
      <c r="AMD146" s="4"/>
      <c r="AME146" s="4"/>
      <c r="AMF146" s="4"/>
      <c r="AMG146" s="4"/>
      <c r="AMH146" s="4"/>
      <c r="AMI146" s="4"/>
      <c r="AMJ146" s="4"/>
      <c r="AMK146" s="4"/>
      <c r="AML146" s="4"/>
      <c r="AMM146" s="4"/>
      <c r="AMN146" s="4"/>
      <c r="AMO146" s="4"/>
      <c r="AMP146" s="4"/>
      <c r="AMQ146" s="4"/>
      <c r="AMR146" s="4"/>
      <c r="AMS146" s="4"/>
      <c r="AMT146" s="4"/>
      <c r="AMU146" s="4"/>
      <c r="AMV146" s="4"/>
      <c r="AMW146" s="4"/>
      <c r="AMX146" s="4"/>
      <c r="AMY146" s="4"/>
      <c r="AMZ146" s="4"/>
      <c r="ANA146" s="4"/>
      <c r="ANB146" s="4"/>
      <c r="ANC146" s="4"/>
      <c r="AND146" s="4"/>
      <c r="ANE146" s="4"/>
      <c r="ANF146" s="4"/>
      <c r="ANG146" s="4"/>
      <c r="ANH146" s="4"/>
      <c r="ANI146" s="4"/>
      <c r="ANJ146" s="4"/>
      <c r="ANK146" s="4"/>
      <c r="ANL146" s="4"/>
      <c r="ANM146" s="4"/>
      <c r="ANN146" s="4"/>
      <c r="ANO146" s="4"/>
      <c r="ANP146" s="4"/>
      <c r="ANQ146" s="4"/>
      <c r="ANR146" s="4"/>
      <c r="ANS146" s="4"/>
      <c r="ANT146" s="4"/>
      <c r="ANU146" s="4"/>
      <c r="ANV146" s="4"/>
      <c r="ANW146" s="4"/>
      <c r="ANX146" s="4"/>
      <c r="ANY146" s="4"/>
      <c r="ANZ146" s="4"/>
      <c r="AOA146" s="4"/>
      <c r="AOB146" s="4"/>
      <c r="AOC146" s="4"/>
      <c r="AOD146" s="4"/>
      <c r="AOE146" s="4"/>
      <c r="AOF146" s="4"/>
      <c r="AOG146" s="4"/>
      <c r="AOH146" s="4"/>
      <c r="AOI146" s="4"/>
      <c r="AOJ146" s="4"/>
      <c r="AOK146" s="4"/>
      <c r="AOL146" s="4"/>
      <c r="AOM146" s="4"/>
      <c r="AON146" s="4"/>
      <c r="AOO146" s="4"/>
      <c r="AOP146" s="4"/>
      <c r="AOQ146" s="4"/>
      <c r="AOR146" s="4"/>
      <c r="AOS146" s="4"/>
      <c r="AOT146" s="4"/>
      <c r="AOU146" s="4"/>
      <c r="AOV146" s="4"/>
      <c r="AOW146" s="4"/>
      <c r="AOX146" s="4"/>
      <c r="AOY146" s="4"/>
      <c r="AOZ146" s="4"/>
      <c r="APA146" s="4"/>
      <c r="APB146" s="4"/>
      <c r="APC146" s="4"/>
      <c r="APD146" s="4"/>
      <c r="APE146" s="4"/>
      <c r="APF146" s="4"/>
      <c r="APG146" s="4"/>
      <c r="APH146" s="4"/>
      <c r="API146" s="4"/>
      <c r="APJ146" s="4"/>
      <c r="APK146" s="4"/>
      <c r="APL146" s="4"/>
      <c r="APM146" s="4"/>
      <c r="APN146" s="4"/>
      <c r="APO146" s="4"/>
      <c r="APP146" s="4"/>
      <c r="APQ146" s="4"/>
      <c r="APR146" s="4"/>
      <c r="APS146" s="4"/>
      <c r="APT146" s="4"/>
      <c r="APU146" s="4"/>
      <c r="APV146" s="4"/>
      <c r="APW146" s="4"/>
      <c r="APX146" s="4"/>
      <c r="APY146" s="4"/>
      <c r="APZ146" s="4"/>
      <c r="AQA146" s="4"/>
      <c r="AQB146" s="4"/>
      <c r="AQC146" s="4"/>
      <c r="AQD146" s="4"/>
      <c r="AQE146" s="4"/>
      <c r="AQF146" s="4"/>
      <c r="AQG146" s="4"/>
      <c r="AQH146" s="4"/>
      <c r="AQI146" s="4"/>
      <c r="AQJ146" s="4"/>
      <c r="AQK146" s="4"/>
      <c r="AQL146" s="4"/>
      <c r="AQM146" s="4"/>
      <c r="AQN146" s="4"/>
      <c r="AQO146" s="4"/>
      <c r="AQP146" s="4"/>
      <c r="AQQ146" s="4"/>
      <c r="AQR146" s="4"/>
      <c r="AQS146" s="4"/>
      <c r="AQT146" s="4"/>
      <c r="AQU146" s="4"/>
      <c r="AQV146" s="4"/>
      <c r="AQW146" s="4"/>
      <c r="AQX146" s="4"/>
      <c r="AQY146" s="4"/>
      <c r="AQZ146" s="4"/>
      <c r="ARA146" s="4"/>
      <c r="ARB146" s="4"/>
      <c r="ARC146" s="4"/>
      <c r="ARD146" s="4"/>
      <c r="ARE146" s="4"/>
      <c r="ARF146" s="4"/>
      <c r="ARG146" s="4"/>
      <c r="ARH146" s="4"/>
      <c r="ARI146" s="4"/>
      <c r="ARJ146" s="4"/>
      <c r="ARK146" s="4"/>
      <c r="ARL146" s="4"/>
      <c r="ARM146" s="4"/>
      <c r="ARN146" s="4"/>
      <c r="ARO146" s="4"/>
      <c r="ARP146" s="4"/>
      <c r="ARQ146" s="4"/>
      <c r="ARR146" s="4"/>
      <c r="ARS146" s="4"/>
      <c r="ART146" s="4"/>
      <c r="ARU146" s="4"/>
      <c r="ARV146" s="4"/>
      <c r="ARW146" s="4"/>
      <c r="ARX146" s="4"/>
      <c r="ARY146" s="4"/>
      <c r="ARZ146" s="4"/>
      <c r="ASA146" s="4"/>
      <c r="ASB146" s="4"/>
      <c r="ASC146" s="4"/>
      <c r="ASD146" s="4"/>
      <c r="ASE146" s="4"/>
      <c r="ASF146" s="4"/>
      <c r="ASG146" s="4"/>
      <c r="ASH146" s="4"/>
      <c r="ASI146" s="4"/>
      <c r="ASJ146" s="4"/>
      <c r="ASK146" s="4"/>
      <c r="ASL146" s="4"/>
      <c r="ASM146" s="4"/>
      <c r="ASN146" s="4"/>
      <c r="ASO146" s="4"/>
      <c r="ASP146" s="4"/>
      <c r="ASQ146" s="4"/>
      <c r="ASR146" s="4"/>
      <c r="ASS146" s="4"/>
      <c r="AST146" s="4"/>
      <c r="ASU146" s="4"/>
    </row>
    <row r="147" ht="15" customHeight="1" spans="1:1191" x14ac:dyDescent="0.25">
      <c r="A147" s="67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  <c r="UG147" s="4"/>
      <c r="UH147" s="4"/>
      <c r="UI147" s="4"/>
      <c r="UJ147" s="4"/>
      <c r="UK147" s="4"/>
      <c r="UL147" s="4"/>
      <c r="UM147" s="4"/>
      <c r="UN147" s="4"/>
      <c r="UO147" s="4"/>
      <c r="UP147" s="4"/>
      <c r="UQ147" s="4"/>
      <c r="UR147" s="4"/>
      <c r="US147" s="4"/>
      <c r="UT147" s="4"/>
      <c r="UU147" s="4"/>
      <c r="UV147" s="4"/>
      <c r="UW147" s="4"/>
      <c r="UX147" s="4"/>
      <c r="UY147" s="4"/>
      <c r="UZ147" s="4"/>
      <c r="VA147" s="4"/>
      <c r="VB147" s="4"/>
      <c r="VC147" s="4"/>
      <c r="VD147" s="4"/>
      <c r="VE147" s="4"/>
      <c r="VF147" s="4"/>
      <c r="VG147" s="4"/>
      <c r="VH147" s="4"/>
      <c r="VI147" s="4"/>
      <c r="VJ147" s="4"/>
      <c r="VK147" s="4"/>
      <c r="VL147" s="4"/>
      <c r="VM147" s="4"/>
      <c r="VN147" s="4"/>
      <c r="VO147" s="4"/>
      <c r="VP147" s="4"/>
      <c r="VQ147" s="4"/>
      <c r="VR147" s="4"/>
      <c r="VS147" s="4"/>
      <c r="VT147" s="4"/>
      <c r="VU147" s="4"/>
      <c r="VV147" s="4"/>
      <c r="VW147" s="4"/>
      <c r="VX147" s="4"/>
      <c r="VY147" s="4"/>
      <c r="VZ147" s="4"/>
      <c r="WA147" s="4"/>
      <c r="WB147" s="4"/>
      <c r="WC147" s="4"/>
      <c r="WD147" s="4"/>
      <c r="WE147" s="4"/>
      <c r="WF147" s="4"/>
      <c r="WG147" s="4"/>
      <c r="WH147" s="4"/>
      <c r="WI147" s="4"/>
      <c r="WJ147" s="4"/>
      <c r="WK147" s="4"/>
      <c r="WL147" s="4"/>
      <c r="WM147" s="4"/>
      <c r="WN147" s="4"/>
      <c r="WO147" s="4"/>
      <c r="WP147" s="4"/>
      <c r="WQ147" s="4"/>
      <c r="WR147" s="4"/>
      <c r="WS147" s="4"/>
      <c r="WT147" s="4"/>
      <c r="WU147" s="4"/>
      <c r="WV147" s="4"/>
      <c r="WW147" s="4"/>
      <c r="WX147" s="4"/>
      <c r="WY147" s="4"/>
      <c r="WZ147" s="4"/>
      <c r="XA147" s="4"/>
      <c r="XB147" s="4"/>
      <c r="XC147" s="4"/>
      <c r="XD147" s="4"/>
      <c r="XE147" s="4"/>
      <c r="XF147" s="4"/>
      <c r="XG147" s="4"/>
      <c r="XH147" s="4"/>
      <c r="XI147" s="4"/>
      <c r="XJ147" s="4"/>
      <c r="XK147" s="4"/>
      <c r="XL147" s="4"/>
      <c r="XM147" s="4"/>
      <c r="XN147" s="4"/>
      <c r="XO147" s="4"/>
      <c r="XP147" s="4"/>
      <c r="XQ147" s="4"/>
      <c r="XR147" s="4"/>
      <c r="XS147" s="4"/>
      <c r="XT147" s="4"/>
      <c r="XU147" s="4"/>
      <c r="XV147" s="4"/>
      <c r="XW147" s="4"/>
      <c r="XX147" s="4"/>
      <c r="XY147" s="4"/>
      <c r="XZ147" s="4"/>
      <c r="YA147" s="4"/>
      <c r="YB147" s="4"/>
      <c r="YC147" s="4"/>
      <c r="YD147" s="4"/>
      <c r="YE147" s="4"/>
      <c r="YF147" s="4"/>
      <c r="YG147" s="4"/>
      <c r="YH147" s="4"/>
      <c r="YI147" s="4"/>
      <c r="YJ147" s="4"/>
      <c r="YK147" s="4"/>
      <c r="YL147" s="4"/>
      <c r="YM147" s="4"/>
      <c r="YN147" s="4"/>
      <c r="YO147" s="4"/>
      <c r="YP147" s="4"/>
      <c r="YQ147" s="4"/>
      <c r="YR147" s="4"/>
      <c r="YS147" s="4"/>
      <c r="YT147" s="4"/>
      <c r="YU147" s="4"/>
      <c r="YV147" s="4"/>
      <c r="YW147" s="4"/>
      <c r="YX147" s="4"/>
      <c r="YY147" s="4"/>
      <c r="YZ147" s="4"/>
      <c r="ZA147" s="4"/>
      <c r="ZB147" s="4"/>
      <c r="ZC147" s="4"/>
      <c r="ZD147" s="4"/>
      <c r="ZE147" s="4"/>
      <c r="ZF147" s="4"/>
      <c r="ZG147" s="4"/>
      <c r="ZH147" s="4"/>
      <c r="ZI147" s="4"/>
      <c r="ZJ147" s="4"/>
      <c r="ZK147" s="4"/>
      <c r="ZL147" s="4"/>
      <c r="ZM147" s="4"/>
      <c r="ZN147" s="4"/>
      <c r="ZO147" s="4"/>
      <c r="ZP147" s="4"/>
      <c r="ZQ147" s="4"/>
      <c r="ZR147" s="4"/>
      <c r="ZS147" s="4"/>
      <c r="ZT147" s="4"/>
      <c r="ZU147" s="4"/>
      <c r="ZV147" s="4"/>
      <c r="ZW147" s="4"/>
      <c r="ZX147" s="4"/>
      <c r="ZY147" s="4"/>
      <c r="ZZ147" s="4"/>
      <c r="AAA147" s="4"/>
      <c r="AAB147" s="4"/>
      <c r="AAC147" s="4"/>
      <c r="AAD147" s="4"/>
      <c r="AAE147" s="4"/>
      <c r="AAF147" s="4"/>
      <c r="AAG147" s="4"/>
      <c r="AAH147" s="4"/>
      <c r="AAI147" s="4"/>
      <c r="AAJ147" s="4"/>
      <c r="AAK147" s="4"/>
      <c r="AAL147" s="4"/>
      <c r="AAM147" s="4"/>
      <c r="AAN147" s="4"/>
      <c r="AAO147" s="4"/>
      <c r="AAP147" s="4"/>
      <c r="AAQ147" s="4"/>
      <c r="AAR147" s="4"/>
      <c r="AAS147" s="4"/>
      <c r="AAT147" s="4"/>
      <c r="AAU147" s="4"/>
      <c r="AAV147" s="4"/>
      <c r="AAW147" s="4"/>
      <c r="AAX147" s="4"/>
      <c r="AAY147" s="4"/>
      <c r="AAZ147" s="4"/>
      <c r="ABA147" s="4"/>
      <c r="ABB147" s="4"/>
      <c r="ABC147" s="4"/>
      <c r="ABD147" s="4"/>
      <c r="ABE147" s="4"/>
      <c r="ABF147" s="4"/>
      <c r="ABG147" s="4"/>
      <c r="ABH147" s="4"/>
      <c r="ABI147" s="4"/>
      <c r="ABJ147" s="4"/>
      <c r="ABK147" s="4"/>
      <c r="ABL147" s="4"/>
      <c r="ABM147" s="4"/>
      <c r="ABN147" s="4"/>
      <c r="ABO147" s="4"/>
      <c r="ABP147" s="4"/>
      <c r="ABQ147" s="4"/>
      <c r="ABR147" s="4"/>
      <c r="ABS147" s="4"/>
      <c r="ABT147" s="4"/>
      <c r="ABU147" s="4"/>
      <c r="ABV147" s="4"/>
      <c r="ABW147" s="4"/>
      <c r="ABX147" s="4"/>
      <c r="ABY147" s="4"/>
      <c r="ABZ147" s="4"/>
      <c r="ACA147" s="4"/>
      <c r="ACB147" s="4"/>
      <c r="ACC147" s="4"/>
      <c r="ACD147" s="4"/>
      <c r="ACE147" s="4"/>
      <c r="ACF147" s="4"/>
      <c r="ACG147" s="4"/>
      <c r="ACH147" s="4"/>
      <c r="ACI147" s="4"/>
      <c r="ACJ147" s="4"/>
      <c r="ACK147" s="4"/>
      <c r="ACL147" s="4"/>
      <c r="ACM147" s="4"/>
      <c r="ACN147" s="4"/>
      <c r="ACO147" s="4"/>
      <c r="ACP147" s="4"/>
      <c r="ACQ147" s="4"/>
      <c r="ACR147" s="4"/>
      <c r="ACS147" s="4"/>
      <c r="ACT147" s="4"/>
      <c r="ACU147" s="4"/>
      <c r="ACV147" s="4"/>
      <c r="ACW147" s="4"/>
      <c r="ACX147" s="4"/>
      <c r="ACY147" s="4"/>
      <c r="ACZ147" s="4"/>
      <c r="ADA147" s="4"/>
      <c r="ADB147" s="4"/>
      <c r="ADC147" s="4"/>
      <c r="ADD147" s="4"/>
      <c r="ADE147" s="4"/>
      <c r="ADF147" s="4"/>
      <c r="ADG147" s="4"/>
      <c r="ADH147" s="4"/>
      <c r="ADI147" s="4"/>
      <c r="ADJ147" s="4"/>
      <c r="ADK147" s="4"/>
      <c r="ADL147" s="4"/>
      <c r="ADM147" s="4"/>
      <c r="ADN147" s="4"/>
      <c r="ADO147" s="4"/>
      <c r="ADP147" s="4"/>
      <c r="ADQ147" s="4"/>
      <c r="ADR147" s="4"/>
      <c r="ADS147" s="4"/>
      <c r="ADT147" s="4"/>
      <c r="ADU147" s="4"/>
      <c r="ADV147" s="4"/>
      <c r="ADW147" s="4"/>
      <c r="ADX147" s="4"/>
      <c r="ADY147" s="4"/>
      <c r="ADZ147" s="4"/>
      <c r="AEA147" s="4"/>
      <c r="AEB147" s="4"/>
      <c r="AEC147" s="4"/>
      <c r="AED147" s="4"/>
      <c r="AEE147" s="4"/>
      <c r="AEF147" s="4"/>
      <c r="AEG147" s="4"/>
      <c r="AEH147" s="4"/>
      <c r="AEI147" s="4"/>
      <c r="AEJ147" s="4"/>
      <c r="AEK147" s="4"/>
      <c r="AEL147" s="4"/>
      <c r="AEM147" s="4"/>
      <c r="AEN147" s="4"/>
      <c r="AEO147" s="4"/>
      <c r="AEP147" s="4"/>
      <c r="AEQ147" s="4"/>
      <c r="AER147" s="4"/>
      <c r="AES147" s="4"/>
      <c r="AET147" s="4"/>
      <c r="AEU147" s="4"/>
      <c r="AEV147" s="4"/>
      <c r="AEW147" s="4"/>
      <c r="AEX147" s="4"/>
      <c r="AEY147" s="4"/>
      <c r="AEZ147" s="4"/>
      <c r="AFA147" s="4"/>
      <c r="AFB147" s="4"/>
      <c r="AFC147" s="4"/>
      <c r="AFD147" s="4"/>
      <c r="AFE147" s="4"/>
      <c r="AFF147" s="4"/>
      <c r="AFG147" s="4"/>
      <c r="AFH147" s="4"/>
      <c r="AFI147" s="4"/>
      <c r="AFJ147" s="4"/>
      <c r="AFK147" s="4"/>
      <c r="AFL147" s="4"/>
      <c r="AFM147" s="4"/>
      <c r="AFN147" s="4"/>
      <c r="AFO147" s="4"/>
      <c r="AFP147" s="4"/>
      <c r="AFQ147" s="4"/>
      <c r="AFR147" s="4"/>
      <c r="AFS147" s="4"/>
      <c r="AFT147" s="4"/>
      <c r="AFU147" s="4"/>
      <c r="AFV147" s="4"/>
      <c r="AFW147" s="4"/>
      <c r="AFX147" s="4"/>
      <c r="AFY147" s="4"/>
      <c r="AFZ147" s="4"/>
      <c r="AGA147" s="4"/>
      <c r="AGB147" s="4"/>
      <c r="AGC147" s="4"/>
      <c r="AGD147" s="4"/>
      <c r="AGE147" s="4"/>
      <c r="AGF147" s="4"/>
      <c r="AGG147" s="4"/>
      <c r="AGH147" s="4"/>
      <c r="AGI147" s="4"/>
      <c r="AGJ147" s="4"/>
      <c r="AGK147" s="4"/>
      <c r="AGL147" s="4"/>
      <c r="AGM147" s="4"/>
      <c r="AGN147" s="4"/>
      <c r="AGO147" s="4"/>
      <c r="AGP147" s="4"/>
      <c r="AGQ147" s="4"/>
      <c r="AGR147" s="4"/>
      <c r="AGS147" s="4"/>
      <c r="AGT147" s="4"/>
      <c r="AGU147" s="4"/>
      <c r="AGV147" s="4"/>
      <c r="AGW147" s="4"/>
      <c r="AGX147" s="4"/>
      <c r="AGY147" s="4"/>
      <c r="AGZ147" s="4"/>
      <c r="AHA147" s="4"/>
      <c r="AHB147" s="4"/>
      <c r="AHC147" s="4"/>
      <c r="AHD147" s="4"/>
      <c r="AHE147" s="4"/>
      <c r="AHF147" s="4"/>
      <c r="AHG147" s="4"/>
      <c r="AHH147" s="4"/>
      <c r="AHI147" s="4"/>
      <c r="AHJ147" s="4"/>
      <c r="AHK147" s="4"/>
      <c r="AHL147" s="4"/>
      <c r="AHM147" s="4"/>
      <c r="AHN147" s="4"/>
      <c r="AHO147" s="4"/>
      <c r="AHP147" s="4"/>
      <c r="AHQ147" s="4"/>
      <c r="AHR147" s="4"/>
      <c r="AHS147" s="4"/>
      <c r="AHT147" s="4"/>
      <c r="AHU147" s="4"/>
      <c r="AHV147" s="4"/>
      <c r="AHW147" s="4"/>
      <c r="AHX147" s="4"/>
      <c r="AHY147" s="4"/>
      <c r="AHZ147" s="4"/>
      <c r="AIA147" s="4"/>
      <c r="AIB147" s="4"/>
      <c r="AIC147" s="4"/>
      <c r="AID147" s="4"/>
      <c r="AIE147" s="4"/>
      <c r="AIF147" s="4"/>
      <c r="AIG147" s="4"/>
      <c r="AIH147" s="4"/>
      <c r="AII147" s="4"/>
      <c r="AIJ147" s="4"/>
      <c r="AIK147" s="4"/>
      <c r="AIL147" s="4"/>
      <c r="AIM147" s="4"/>
      <c r="AIN147" s="4"/>
      <c r="AIO147" s="4"/>
      <c r="AIP147" s="4"/>
      <c r="AIQ147" s="4"/>
      <c r="AIR147" s="4"/>
      <c r="AIS147" s="4"/>
      <c r="AIT147" s="4"/>
      <c r="AIU147" s="4"/>
      <c r="AIV147" s="4"/>
      <c r="AIW147" s="4"/>
      <c r="AIX147" s="4"/>
      <c r="AIY147" s="4"/>
      <c r="AIZ147" s="4"/>
      <c r="AJA147" s="4"/>
      <c r="AJB147" s="4"/>
      <c r="AJC147" s="4"/>
      <c r="AJD147" s="4"/>
      <c r="AJE147" s="4"/>
      <c r="AJF147" s="4"/>
      <c r="AJG147" s="4"/>
      <c r="AJH147" s="4"/>
      <c r="AJI147" s="4"/>
      <c r="AJJ147" s="4"/>
      <c r="AJK147" s="4"/>
      <c r="AJL147" s="4"/>
      <c r="AJM147" s="4"/>
      <c r="AJN147" s="4"/>
      <c r="AJO147" s="4"/>
      <c r="AJP147" s="4"/>
      <c r="AJQ147" s="4"/>
      <c r="AJR147" s="4"/>
      <c r="AJS147" s="4"/>
      <c r="AJT147" s="4"/>
      <c r="AJU147" s="4"/>
      <c r="AJV147" s="4"/>
      <c r="AJW147" s="4"/>
      <c r="AJX147" s="4"/>
      <c r="AJY147" s="4"/>
      <c r="AJZ147" s="4"/>
      <c r="AKA147" s="4"/>
      <c r="AKB147" s="4"/>
      <c r="AKC147" s="4"/>
      <c r="AKD147" s="4"/>
      <c r="AKE147" s="4"/>
      <c r="AKF147" s="4"/>
      <c r="AKG147" s="4"/>
      <c r="AKH147" s="4"/>
      <c r="AKI147" s="4"/>
      <c r="AKJ147" s="4"/>
      <c r="AKK147" s="4"/>
      <c r="AKL147" s="4"/>
      <c r="AKM147" s="4"/>
      <c r="AKN147" s="4"/>
      <c r="AKO147" s="4"/>
      <c r="AKP147" s="4"/>
      <c r="AKQ147" s="4"/>
      <c r="AKR147" s="4"/>
      <c r="AKS147" s="4"/>
      <c r="AKT147" s="4"/>
      <c r="AKU147" s="4"/>
      <c r="AKV147" s="4"/>
      <c r="AKW147" s="4"/>
      <c r="AKX147" s="4"/>
      <c r="AKY147" s="4"/>
      <c r="AKZ147" s="4"/>
      <c r="ALA147" s="4"/>
      <c r="ALB147" s="4"/>
      <c r="ALC147" s="4"/>
      <c r="ALD147" s="4"/>
      <c r="ALE147" s="4"/>
      <c r="ALF147" s="4"/>
      <c r="ALG147" s="4"/>
      <c r="ALH147" s="4"/>
      <c r="ALI147" s="4"/>
      <c r="ALJ147" s="4"/>
      <c r="ALK147" s="4"/>
      <c r="ALL147" s="4"/>
      <c r="ALM147" s="4"/>
      <c r="ALN147" s="4"/>
      <c r="ALO147" s="4"/>
      <c r="ALP147" s="4"/>
      <c r="ALQ147" s="4"/>
      <c r="ALR147" s="4"/>
      <c r="ALS147" s="4"/>
      <c r="ALT147" s="4"/>
      <c r="ALU147" s="4"/>
      <c r="ALV147" s="4"/>
      <c r="ALW147" s="4"/>
      <c r="ALX147" s="4"/>
      <c r="ALY147" s="4"/>
      <c r="ALZ147" s="4"/>
      <c r="AMA147" s="4"/>
      <c r="AMB147" s="4"/>
      <c r="AMC147" s="4"/>
      <c r="AMD147" s="4"/>
      <c r="AME147" s="4"/>
      <c r="AMF147" s="4"/>
      <c r="AMG147" s="4"/>
      <c r="AMH147" s="4"/>
      <c r="AMI147" s="4"/>
      <c r="AMJ147" s="4"/>
      <c r="AMK147" s="4"/>
      <c r="AML147" s="4"/>
      <c r="AMM147" s="4"/>
      <c r="AMN147" s="4"/>
      <c r="AMO147" s="4"/>
      <c r="AMP147" s="4"/>
      <c r="AMQ147" s="4"/>
      <c r="AMR147" s="4"/>
      <c r="AMS147" s="4"/>
      <c r="AMT147" s="4"/>
      <c r="AMU147" s="4"/>
      <c r="AMV147" s="4"/>
      <c r="AMW147" s="4"/>
      <c r="AMX147" s="4"/>
      <c r="AMY147" s="4"/>
      <c r="AMZ147" s="4"/>
      <c r="ANA147" s="4"/>
      <c r="ANB147" s="4"/>
      <c r="ANC147" s="4"/>
      <c r="AND147" s="4"/>
      <c r="ANE147" s="4"/>
      <c r="ANF147" s="4"/>
      <c r="ANG147" s="4"/>
      <c r="ANH147" s="4"/>
      <c r="ANI147" s="4"/>
      <c r="ANJ147" s="4"/>
      <c r="ANK147" s="4"/>
      <c r="ANL147" s="4"/>
      <c r="ANM147" s="4"/>
      <c r="ANN147" s="4"/>
      <c r="ANO147" s="4"/>
      <c r="ANP147" s="4"/>
      <c r="ANQ147" s="4"/>
      <c r="ANR147" s="4"/>
      <c r="ANS147" s="4"/>
      <c r="ANT147" s="4"/>
      <c r="ANU147" s="4"/>
      <c r="ANV147" s="4"/>
      <c r="ANW147" s="4"/>
      <c r="ANX147" s="4"/>
      <c r="ANY147" s="4"/>
      <c r="ANZ147" s="4"/>
      <c r="AOA147" s="4"/>
      <c r="AOB147" s="4"/>
      <c r="AOC147" s="4"/>
      <c r="AOD147" s="4"/>
      <c r="AOE147" s="4"/>
      <c r="AOF147" s="4"/>
      <c r="AOG147" s="4"/>
      <c r="AOH147" s="4"/>
      <c r="AOI147" s="4"/>
      <c r="AOJ147" s="4"/>
      <c r="AOK147" s="4"/>
      <c r="AOL147" s="4"/>
      <c r="AOM147" s="4"/>
      <c r="AON147" s="4"/>
      <c r="AOO147" s="4"/>
      <c r="AOP147" s="4"/>
      <c r="AOQ147" s="4"/>
      <c r="AOR147" s="4"/>
      <c r="AOS147" s="4"/>
      <c r="AOT147" s="4"/>
      <c r="AOU147" s="4"/>
      <c r="AOV147" s="4"/>
      <c r="AOW147" s="4"/>
      <c r="AOX147" s="4"/>
      <c r="AOY147" s="4"/>
      <c r="AOZ147" s="4"/>
      <c r="APA147" s="4"/>
      <c r="APB147" s="4"/>
      <c r="APC147" s="4"/>
      <c r="APD147" s="4"/>
      <c r="APE147" s="4"/>
      <c r="APF147" s="4"/>
      <c r="APG147" s="4"/>
      <c r="APH147" s="4"/>
      <c r="API147" s="4"/>
      <c r="APJ147" s="4"/>
      <c r="APK147" s="4"/>
      <c r="APL147" s="4"/>
      <c r="APM147" s="4"/>
      <c r="APN147" s="4"/>
      <c r="APO147" s="4"/>
      <c r="APP147" s="4"/>
      <c r="APQ147" s="4"/>
      <c r="APR147" s="4"/>
      <c r="APS147" s="4"/>
      <c r="APT147" s="4"/>
      <c r="APU147" s="4"/>
      <c r="APV147" s="4"/>
      <c r="APW147" s="4"/>
      <c r="APX147" s="4"/>
      <c r="APY147" s="4"/>
      <c r="APZ147" s="4"/>
      <c r="AQA147" s="4"/>
      <c r="AQB147" s="4"/>
      <c r="AQC147" s="4"/>
      <c r="AQD147" s="4"/>
      <c r="AQE147" s="4"/>
      <c r="AQF147" s="4"/>
      <c r="AQG147" s="4"/>
      <c r="AQH147" s="4"/>
      <c r="AQI147" s="4"/>
      <c r="AQJ147" s="4"/>
      <c r="AQK147" s="4"/>
      <c r="AQL147" s="4"/>
      <c r="AQM147" s="4"/>
      <c r="AQN147" s="4"/>
      <c r="AQO147" s="4"/>
      <c r="AQP147" s="4"/>
      <c r="AQQ147" s="4"/>
      <c r="AQR147" s="4"/>
      <c r="AQS147" s="4"/>
      <c r="AQT147" s="4"/>
      <c r="AQU147" s="4"/>
      <c r="AQV147" s="4"/>
      <c r="AQW147" s="4"/>
      <c r="AQX147" s="4"/>
      <c r="AQY147" s="4"/>
      <c r="AQZ147" s="4"/>
      <c r="ARA147" s="4"/>
      <c r="ARB147" s="4"/>
      <c r="ARC147" s="4"/>
      <c r="ARD147" s="4"/>
      <c r="ARE147" s="4"/>
      <c r="ARF147" s="4"/>
      <c r="ARG147" s="4"/>
      <c r="ARH147" s="4"/>
      <c r="ARI147" s="4"/>
      <c r="ARJ147" s="4"/>
      <c r="ARK147" s="4"/>
      <c r="ARL147" s="4"/>
      <c r="ARM147" s="4"/>
      <c r="ARN147" s="4"/>
      <c r="ARO147" s="4"/>
      <c r="ARP147" s="4"/>
      <c r="ARQ147" s="4"/>
      <c r="ARR147" s="4"/>
      <c r="ARS147" s="4"/>
      <c r="ART147" s="4"/>
      <c r="ARU147" s="4"/>
      <c r="ARV147" s="4"/>
      <c r="ARW147" s="4"/>
      <c r="ARX147" s="4"/>
      <c r="ARY147" s="4"/>
      <c r="ARZ147" s="4"/>
      <c r="ASA147" s="4"/>
      <c r="ASB147" s="4"/>
      <c r="ASC147" s="4"/>
      <c r="ASD147" s="4"/>
      <c r="ASE147" s="4"/>
      <c r="ASF147" s="4"/>
      <c r="ASG147" s="4"/>
      <c r="ASH147" s="4"/>
      <c r="ASI147" s="4"/>
      <c r="ASJ147" s="4"/>
      <c r="ASK147" s="4"/>
      <c r="ASL147" s="4"/>
      <c r="ASM147" s="4"/>
      <c r="ASN147" s="4"/>
      <c r="ASO147" s="4"/>
      <c r="ASP147" s="4"/>
      <c r="ASQ147" s="4"/>
      <c r="ASR147" s="4"/>
      <c r="ASS147" s="4"/>
      <c r="AST147" s="4"/>
      <c r="ASU147" s="4"/>
    </row>
    <row r="148" ht="15" customHeight="1" spans="1:1191" x14ac:dyDescent="0.25">
      <c r="A148" s="671" t="s">
        <v>173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  <c r="UG148" s="4"/>
      <c r="UH148" s="4"/>
      <c r="UI148" s="4"/>
      <c r="UJ148" s="4"/>
      <c r="UK148" s="4"/>
      <c r="UL148" s="4"/>
      <c r="UM148" s="4"/>
      <c r="UN148" s="4"/>
      <c r="UO148" s="4"/>
      <c r="UP148" s="4"/>
      <c r="UQ148" s="4"/>
      <c r="UR148" s="4"/>
      <c r="US148" s="4"/>
      <c r="UT148" s="4"/>
      <c r="UU148" s="4"/>
      <c r="UV148" s="4"/>
      <c r="UW148" s="4"/>
      <c r="UX148" s="4"/>
      <c r="UY148" s="4"/>
      <c r="UZ148" s="4"/>
      <c r="VA148" s="4"/>
      <c r="VB148" s="4"/>
      <c r="VC148" s="4"/>
      <c r="VD148" s="4"/>
      <c r="VE148" s="4"/>
      <c r="VF148" s="4"/>
      <c r="VG148" s="4"/>
      <c r="VH148" s="4"/>
      <c r="VI148" s="4"/>
      <c r="VJ148" s="4"/>
      <c r="VK148" s="4"/>
      <c r="VL148" s="4"/>
      <c r="VM148" s="4"/>
      <c r="VN148" s="4"/>
      <c r="VO148" s="4"/>
      <c r="VP148" s="4"/>
      <c r="VQ148" s="4"/>
      <c r="VR148" s="4"/>
      <c r="VS148" s="4"/>
      <c r="VT148" s="4"/>
      <c r="VU148" s="4"/>
      <c r="VV148" s="4"/>
      <c r="VW148" s="4"/>
      <c r="VX148" s="4"/>
      <c r="VY148" s="4"/>
      <c r="VZ148" s="4"/>
      <c r="WA148" s="4"/>
      <c r="WB148" s="4"/>
      <c r="WC148" s="4"/>
      <c r="WD148" s="4"/>
      <c r="WE148" s="4"/>
      <c r="WF148" s="4"/>
      <c r="WG148" s="4"/>
      <c r="WH148" s="4"/>
      <c r="WI148" s="4"/>
      <c r="WJ148" s="4"/>
      <c r="WK148" s="4"/>
      <c r="WL148" s="4"/>
      <c r="WM148" s="4"/>
      <c r="WN148" s="4"/>
      <c r="WO148" s="4"/>
      <c r="WP148" s="4"/>
      <c r="WQ148" s="4"/>
      <c r="WR148" s="4"/>
      <c r="WS148" s="4"/>
      <c r="WT148" s="4"/>
      <c r="WU148" s="4"/>
      <c r="WV148" s="4"/>
      <c r="WW148" s="4"/>
      <c r="WX148" s="4"/>
      <c r="WY148" s="4"/>
      <c r="WZ148" s="4"/>
      <c r="XA148" s="4"/>
      <c r="XB148" s="4"/>
      <c r="XC148" s="4"/>
      <c r="XD148" s="4"/>
      <c r="XE148" s="4"/>
      <c r="XF148" s="4"/>
      <c r="XG148" s="4"/>
      <c r="XH148" s="4"/>
      <c r="XI148" s="4"/>
      <c r="XJ148" s="4"/>
      <c r="XK148" s="4"/>
      <c r="XL148" s="4"/>
      <c r="XM148" s="4"/>
      <c r="XN148" s="4"/>
      <c r="XO148" s="4"/>
      <c r="XP148" s="4"/>
      <c r="XQ148" s="4"/>
      <c r="XR148" s="4"/>
      <c r="XS148" s="4"/>
      <c r="XT148" s="4"/>
      <c r="XU148" s="4"/>
      <c r="XV148" s="4"/>
      <c r="XW148" s="4"/>
      <c r="XX148" s="4"/>
      <c r="XY148" s="4"/>
      <c r="XZ148" s="4"/>
      <c r="YA148" s="4"/>
      <c r="YB148" s="4"/>
      <c r="YC148" s="4"/>
      <c r="YD148" s="4"/>
      <c r="YE148" s="4"/>
      <c r="YF148" s="4"/>
      <c r="YG148" s="4"/>
      <c r="YH148" s="4"/>
      <c r="YI148" s="4"/>
      <c r="YJ148" s="4"/>
      <c r="YK148" s="4"/>
      <c r="YL148" s="4"/>
      <c r="YM148" s="4"/>
      <c r="YN148" s="4"/>
      <c r="YO148" s="4"/>
      <c r="YP148" s="4"/>
      <c r="YQ148" s="4"/>
      <c r="YR148" s="4"/>
      <c r="YS148" s="4"/>
      <c r="YT148" s="4"/>
      <c r="YU148" s="4"/>
      <c r="YV148" s="4"/>
      <c r="YW148" s="4"/>
      <c r="YX148" s="4"/>
      <c r="YY148" s="4"/>
      <c r="YZ148" s="4"/>
      <c r="ZA148" s="4"/>
      <c r="ZB148" s="4"/>
      <c r="ZC148" s="4"/>
      <c r="ZD148" s="4"/>
      <c r="ZE148" s="4"/>
      <c r="ZF148" s="4"/>
      <c r="ZG148" s="4"/>
      <c r="ZH148" s="4"/>
      <c r="ZI148" s="4"/>
      <c r="ZJ148" s="4"/>
      <c r="ZK148" s="4"/>
      <c r="ZL148" s="4"/>
      <c r="ZM148" s="4"/>
      <c r="ZN148" s="4"/>
      <c r="ZO148" s="4"/>
      <c r="ZP148" s="4"/>
      <c r="ZQ148" s="4"/>
      <c r="ZR148" s="4"/>
      <c r="ZS148" s="4"/>
      <c r="ZT148" s="4"/>
      <c r="ZU148" s="4"/>
      <c r="ZV148" s="4"/>
      <c r="ZW148" s="4"/>
      <c r="ZX148" s="4"/>
      <c r="ZY148" s="4"/>
      <c r="ZZ148" s="4"/>
      <c r="AAA148" s="4"/>
      <c r="AAB148" s="4"/>
      <c r="AAC148" s="4"/>
      <c r="AAD148" s="4"/>
      <c r="AAE148" s="4"/>
      <c r="AAF148" s="4"/>
      <c r="AAG148" s="4"/>
      <c r="AAH148" s="4"/>
      <c r="AAI148" s="4"/>
      <c r="AAJ148" s="4"/>
      <c r="AAK148" s="4"/>
      <c r="AAL148" s="4"/>
      <c r="AAM148" s="4"/>
      <c r="AAN148" s="4"/>
      <c r="AAO148" s="4"/>
      <c r="AAP148" s="4"/>
      <c r="AAQ148" s="4"/>
      <c r="AAR148" s="4"/>
      <c r="AAS148" s="4"/>
      <c r="AAT148" s="4"/>
      <c r="AAU148" s="4"/>
      <c r="AAV148" s="4"/>
      <c r="AAW148" s="4"/>
      <c r="AAX148" s="4"/>
      <c r="AAY148" s="4"/>
      <c r="AAZ148" s="4"/>
      <c r="ABA148" s="4"/>
      <c r="ABB148" s="4"/>
      <c r="ABC148" s="4"/>
      <c r="ABD148" s="4"/>
      <c r="ABE148" s="4"/>
      <c r="ABF148" s="4"/>
      <c r="ABG148" s="4"/>
      <c r="ABH148" s="4"/>
      <c r="ABI148" s="4"/>
      <c r="ABJ148" s="4"/>
      <c r="ABK148" s="4"/>
      <c r="ABL148" s="4"/>
      <c r="ABM148" s="4"/>
      <c r="ABN148" s="4"/>
      <c r="ABO148" s="4"/>
      <c r="ABP148" s="4"/>
      <c r="ABQ148" s="4"/>
      <c r="ABR148" s="4"/>
      <c r="ABS148" s="4"/>
      <c r="ABT148" s="4"/>
      <c r="ABU148" s="4"/>
      <c r="ABV148" s="4"/>
      <c r="ABW148" s="4"/>
      <c r="ABX148" s="4"/>
      <c r="ABY148" s="4"/>
      <c r="ABZ148" s="4"/>
      <c r="ACA148" s="4"/>
      <c r="ACB148" s="4"/>
      <c r="ACC148" s="4"/>
      <c r="ACD148" s="4"/>
      <c r="ACE148" s="4"/>
      <c r="ACF148" s="4"/>
      <c r="ACG148" s="4"/>
      <c r="ACH148" s="4"/>
      <c r="ACI148" s="4"/>
      <c r="ACJ148" s="4"/>
      <c r="ACK148" s="4"/>
      <c r="ACL148" s="4"/>
      <c r="ACM148" s="4"/>
      <c r="ACN148" s="4"/>
      <c r="ACO148" s="4"/>
      <c r="ACP148" s="4"/>
      <c r="ACQ148" s="4"/>
      <c r="ACR148" s="4"/>
      <c r="ACS148" s="4"/>
      <c r="ACT148" s="4"/>
      <c r="ACU148" s="4"/>
      <c r="ACV148" s="4"/>
      <c r="ACW148" s="4"/>
      <c r="ACX148" s="4"/>
      <c r="ACY148" s="4"/>
      <c r="ACZ148" s="4"/>
      <c r="ADA148" s="4"/>
      <c r="ADB148" s="4"/>
      <c r="ADC148" s="4"/>
      <c r="ADD148" s="4"/>
      <c r="ADE148" s="4"/>
      <c r="ADF148" s="4"/>
      <c r="ADG148" s="4"/>
      <c r="ADH148" s="4"/>
      <c r="ADI148" s="4"/>
      <c r="ADJ148" s="4"/>
      <c r="ADK148" s="4"/>
      <c r="ADL148" s="4"/>
      <c r="ADM148" s="4"/>
      <c r="ADN148" s="4"/>
      <c r="ADO148" s="4"/>
      <c r="ADP148" s="4"/>
      <c r="ADQ148" s="4"/>
      <c r="ADR148" s="4"/>
      <c r="ADS148" s="4"/>
      <c r="ADT148" s="4"/>
      <c r="ADU148" s="4"/>
      <c r="ADV148" s="4"/>
      <c r="ADW148" s="4"/>
      <c r="ADX148" s="4"/>
      <c r="ADY148" s="4"/>
      <c r="ADZ148" s="4"/>
      <c r="AEA148" s="4"/>
      <c r="AEB148" s="4"/>
      <c r="AEC148" s="4"/>
      <c r="AED148" s="4"/>
      <c r="AEE148" s="4"/>
      <c r="AEF148" s="4"/>
      <c r="AEG148" s="4"/>
      <c r="AEH148" s="4"/>
      <c r="AEI148" s="4"/>
      <c r="AEJ148" s="4"/>
      <c r="AEK148" s="4"/>
      <c r="AEL148" s="4"/>
      <c r="AEM148" s="4"/>
      <c r="AEN148" s="4"/>
      <c r="AEO148" s="4"/>
      <c r="AEP148" s="4"/>
      <c r="AEQ148" s="4"/>
      <c r="AER148" s="4"/>
      <c r="AES148" s="4"/>
      <c r="AET148" s="4"/>
      <c r="AEU148" s="4"/>
      <c r="AEV148" s="4"/>
      <c r="AEW148" s="4"/>
      <c r="AEX148" s="4"/>
      <c r="AEY148" s="4"/>
      <c r="AEZ148" s="4"/>
      <c r="AFA148" s="4"/>
      <c r="AFB148" s="4"/>
      <c r="AFC148" s="4"/>
      <c r="AFD148" s="4"/>
      <c r="AFE148" s="4"/>
      <c r="AFF148" s="4"/>
      <c r="AFG148" s="4"/>
      <c r="AFH148" s="4"/>
      <c r="AFI148" s="4"/>
      <c r="AFJ148" s="4"/>
      <c r="AFK148" s="4"/>
      <c r="AFL148" s="4"/>
      <c r="AFM148" s="4"/>
      <c r="AFN148" s="4"/>
      <c r="AFO148" s="4"/>
      <c r="AFP148" s="4"/>
      <c r="AFQ148" s="4"/>
      <c r="AFR148" s="4"/>
      <c r="AFS148" s="4"/>
      <c r="AFT148" s="4"/>
      <c r="AFU148" s="4"/>
      <c r="AFV148" s="4"/>
      <c r="AFW148" s="4"/>
      <c r="AFX148" s="4"/>
      <c r="AFY148" s="4"/>
      <c r="AFZ148" s="4"/>
      <c r="AGA148" s="4"/>
      <c r="AGB148" s="4"/>
      <c r="AGC148" s="4"/>
      <c r="AGD148" s="4"/>
      <c r="AGE148" s="4"/>
      <c r="AGF148" s="4"/>
      <c r="AGG148" s="4"/>
      <c r="AGH148" s="4"/>
      <c r="AGI148" s="4"/>
      <c r="AGJ148" s="4"/>
      <c r="AGK148" s="4"/>
      <c r="AGL148" s="4"/>
      <c r="AGM148" s="4"/>
      <c r="AGN148" s="4"/>
      <c r="AGO148" s="4"/>
      <c r="AGP148" s="4"/>
      <c r="AGQ148" s="4"/>
      <c r="AGR148" s="4"/>
      <c r="AGS148" s="4"/>
      <c r="AGT148" s="4"/>
      <c r="AGU148" s="4"/>
      <c r="AGV148" s="4"/>
      <c r="AGW148" s="4"/>
      <c r="AGX148" s="4"/>
      <c r="AGY148" s="4"/>
      <c r="AGZ148" s="4"/>
      <c r="AHA148" s="4"/>
      <c r="AHB148" s="4"/>
      <c r="AHC148" s="4"/>
      <c r="AHD148" s="4"/>
      <c r="AHE148" s="4"/>
      <c r="AHF148" s="4"/>
      <c r="AHG148" s="4"/>
      <c r="AHH148" s="4"/>
      <c r="AHI148" s="4"/>
      <c r="AHJ148" s="4"/>
      <c r="AHK148" s="4"/>
      <c r="AHL148" s="4"/>
      <c r="AHM148" s="4"/>
      <c r="AHN148" s="4"/>
      <c r="AHO148" s="4"/>
      <c r="AHP148" s="4"/>
      <c r="AHQ148" s="4"/>
      <c r="AHR148" s="4"/>
      <c r="AHS148" s="4"/>
      <c r="AHT148" s="4"/>
      <c r="AHU148" s="4"/>
      <c r="AHV148" s="4"/>
      <c r="AHW148" s="4"/>
      <c r="AHX148" s="4"/>
      <c r="AHY148" s="4"/>
      <c r="AHZ148" s="4"/>
      <c r="AIA148" s="4"/>
      <c r="AIB148" s="4"/>
      <c r="AIC148" s="4"/>
      <c r="AID148" s="4"/>
      <c r="AIE148" s="4"/>
      <c r="AIF148" s="4"/>
      <c r="AIG148" s="4"/>
      <c r="AIH148" s="4"/>
      <c r="AII148" s="4"/>
      <c r="AIJ148" s="4"/>
      <c r="AIK148" s="4"/>
      <c r="AIL148" s="4"/>
      <c r="AIM148" s="4"/>
      <c r="AIN148" s="4"/>
      <c r="AIO148" s="4"/>
      <c r="AIP148" s="4"/>
      <c r="AIQ148" s="4"/>
      <c r="AIR148" s="4"/>
      <c r="AIS148" s="4"/>
      <c r="AIT148" s="4"/>
      <c r="AIU148" s="4"/>
      <c r="AIV148" s="4"/>
      <c r="AIW148" s="4"/>
      <c r="AIX148" s="4"/>
      <c r="AIY148" s="4"/>
      <c r="AIZ148" s="4"/>
      <c r="AJA148" s="4"/>
      <c r="AJB148" s="4"/>
      <c r="AJC148" s="4"/>
      <c r="AJD148" s="4"/>
      <c r="AJE148" s="4"/>
      <c r="AJF148" s="4"/>
      <c r="AJG148" s="4"/>
      <c r="AJH148" s="4"/>
      <c r="AJI148" s="4"/>
      <c r="AJJ148" s="4"/>
      <c r="AJK148" s="4"/>
      <c r="AJL148" s="4"/>
      <c r="AJM148" s="4"/>
      <c r="AJN148" s="4"/>
      <c r="AJO148" s="4"/>
      <c r="AJP148" s="4"/>
      <c r="AJQ148" s="4"/>
      <c r="AJR148" s="4"/>
      <c r="AJS148" s="4"/>
      <c r="AJT148" s="4"/>
      <c r="AJU148" s="4"/>
      <c r="AJV148" s="4"/>
      <c r="AJW148" s="4"/>
      <c r="AJX148" s="4"/>
      <c r="AJY148" s="4"/>
      <c r="AJZ148" s="4"/>
      <c r="AKA148" s="4"/>
      <c r="AKB148" s="4"/>
      <c r="AKC148" s="4"/>
      <c r="AKD148" s="4"/>
      <c r="AKE148" s="4"/>
      <c r="AKF148" s="4"/>
      <c r="AKG148" s="4"/>
      <c r="AKH148" s="4"/>
      <c r="AKI148" s="4"/>
      <c r="AKJ148" s="4"/>
      <c r="AKK148" s="4"/>
      <c r="AKL148" s="4"/>
      <c r="AKM148" s="4"/>
      <c r="AKN148" s="4"/>
      <c r="AKO148" s="4"/>
      <c r="AKP148" s="4"/>
      <c r="AKQ148" s="4"/>
      <c r="AKR148" s="4"/>
      <c r="AKS148" s="4"/>
      <c r="AKT148" s="4"/>
      <c r="AKU148" s="4"/>
      <c r="AKV148" s="4"/>
      <c r="AKW148" s="4"/>
      <c r="AKX148" s="4"/>
      <c r="AKY148" s="4"/>
      <c r="AKZ148" s="4"/>
      <c r="ALA148" s="4"/>
      <c r="ALB148" s="4"/>
      <c r="ALC148" s="4"/>
      <c r="ALD148" s="4"/>
      <c r="ALE148" s="4"/>
      <c r="ALF148" s="4"/>
      <c r="ALG148" s="4"/>
      <c r="ALH148" s="4"/>
      <c r="ALI148" s="4"/>
      <c r="ALJ148" s="4"/>
      <c r="ALK148" s="4"/>
      <c r="ALL148" s="4"/>
      <c r="ALM148" s="4"/>
      <c r="ALN148" s="4"/>
      <c r="ALO148" s="4"/>
      <c r="ALP148" s="4"/>
      <c r="ALQ148" s="4"/>
      <c r="ALR148" s="4"/>
      <c r="ALS148" s="4"/>
      <c r="ALT148" s="4"/>
      <c r="ALU148" s="4"/>
      <c r="ALV148" s="4"/>
      <c r="ALW148" s="4"/>
      <c r="ALX148" s="4"/>
      <c r="ALY148" s="4"/>
      <c r="ALZ148" s="4"/>
      <c r="AMA148" s="4"/>
      <c r="AMB148" s="4"/>
      <c r="AMC148" s="4"/>
      <c r="AMD148" s="4"/>
      <c r="AME148" s="4"/>
      <c r="AMF148" s="4"/>
      <c r="AMG148" s="4"/>
      <c r="AMH148" s="4"/>
      <c r="AMI148" s="4"/>
      <c r="AMJ148" s="4"/>
      <c r="AMK148" s="4"/>
      <c r="AML148" s="4"/>
      <c r="AMM148" s="4"/>
      <c r="AMN148" s="4"/>
      <c r="AMO148" s="4"/>
      <c r="AMP148" s="4"/>
      <c r="AMQ148" s="4"/>
      <c r="AMR148" s="4"/>
      <c r="AMS148" s="4"/>
      <c r="AMT148" s="4"/>
      <c r="AMU148" s="4"/>
      <c r="AMV148" s="4"/>
      <c r="AMW148" s="4"/>
      <c r="AMX148" s="4"/>
      <c r="AMY148" s="4"/>
      <c r="AMZ148" s="4"/>
      <c r="ANA148" s="4"/>
      <c r="ANB148" s="4"/>
      <c r="ANC148" s="4"/>
      <c r="AND148" s="4"/>
      <c r="ANE148" s="4"/>
      <c r="ANF148" s="4"/>
      <c r="ANG148" s="4"/>
      <c r="ANH148" s="4"/>
      <c r="ANI148" s="4"/>
      <c r="ANJ148" s="4"/>
      <c r="ANK148" s="4"/>
      <c r="ANL148" s="4"/>
      <c r="ANM148" s="4"/>
      <c r="ANN148" s="4"/>
      <c r="ANO148" s="4"/>
      <c r="ANP148" s="4"/>
      <c r="ANQ148" s="4"/>
      <c r="ANR148" s="4"/>
      <c r="ANS148" s="4"/>
      <c r="ANT148" s="4"/>
      <c r="ANU148" s="4"/>
      <c r="ANV148" s="4"/>
      <c r="ANW148" s="4"/>
      <c r="ANX148" s="4"/>
      <c r="ANY148" s="4"/>
      <c r="ANZ148" s="4"/>
      <c r="AOA148" s="4"/>
      <c r="AOB148" s="4"/>
      <c r="AOC148" s="4"/>
      <c r="AOD148" s="4"/>
      <c r="AOE148" s="4"/>
      <c r="AOF148" s="4"/>
      <c r="AOG148" s="4"/>
      <c r="AOH148" s="4"/>
      <c r="AOI148" s="4"/>
      <c r="AOJ148" s="4"/>
      <c r="AOK148" s="4"/>
      <c r="AOL148" s="4"/>
      <c r="AOM148" s="4"/>
      <c r="AON148" s="4"/>
      <c r="AOO148" s="4"/>
      <c r="AOP148" s="4"/>
      <c r="AOQ148" s="4"/>
      <c r="AOR148" s="4"/>
      <c r="AOS148" s="4"/>
      <c r="AOT148" s="4"/>
      <c r="AOU148" s="4"/>
      <c r="AOV148" s="4"/>
      <c r="AOW148" s="4"/>
      <c r="AOX148" s="4"/>
      <c r="AOY148" s="4"/>
      <c r="AOZ148" s="4"/>
      <c r="APA148" s="4"/>
      <c r="APB148" s="4"/>
      <c r="APC148" s="4"/>
      <c r="APD148" s="4"/>
      <c r="APE148" s="4"/>
      <c r="APF148" s="4"/>
      <c r="APG148" s="4"/>
      <c r="APH148" s="4"/>
      <c r="API148" s="4"/>
      <c r="APJ148" s="4"/>
      <c r="APK148" s="4"/>
      <c r="APL148" s="4"/>
      <c r="APM148" s="4"/>
      <c r="APN148" s="4"/>
      <c r="APO148" s="4"/>
      <c r="APP148" s="4"/>
      <c r="APQ148" s="4"/>
      <c r="APR148" s="4"/>
      <c r="APS148" s="4"/>
      <c r="APT148" s="4"/>
      <c r="APU148" s="4"/>
      <c r="APV148" s="4"/>
      <c r="APW148" s="4"/>
      <c r="APX148" s="4"/>
      <c r="APY148" s="4"/>
      <c r="APZ148" s="4"/>
      <c r="AQA148" s="4"/>
      <c r="AQB148" s="4"/>
      <c r="AQC148" s="4"/>
      <c r="AQD148" s="4"/>
      <c r="AQE148" s="4"/>
      <c r="AQF148" s="4"/>
      <c r="AQG148" s="4"/>
      <c r="AQH148" s="4"/>
      <c r="AQI148" s="4"/>
      <c r="AQJ148" s="4"/>
      <c r="AQK148" s="4"/>
      <c r="AQL148" s="4"/>
      <c r="AQM148" s="4"/>
      <c r="AQN148" s="4"/>
      <c r="AQO148" s="4"/>
      <c r="AQP148" s="4"/>
      <c r="AQQ148" s="4"/>
      <c r="AQR148" s="4"/>
      <c r="AQS148" s="4"/>
      <c r="AQT148" s="4"/>
      <c r="AQU148" s="4"/>
      <c r="AQV148" s="4"/>
      <c r="AQW148" s="4"/>
      <c r="AQX148" s="4"/>
      <c r="AQY148" s="4"/>
      <c r="AQZ148" s="4"/>
      <c r="ARA148" s="4"/>
      <c r="ARB148" s="4"/>
      <c r="ARC148" s="4"/>
      <c r="ARD148" s="4"/>
      <c r="ARE148" s="4"/>
      <c r="ARF148" s="4"/>
      <c r="ARG148" s="4"/>
      <c r="ARH148" s="4"/>
      <c r="ARI148" s="4"/>
      <c r="ARJ148" s="4"/>
      <c r="ARK148" s="4"/>
      <c r="ARL148" s="4"/>
      <c r="ARM148" s="4"/>
      <c r="ARN148" s="4"/>
      <c r="ARO148" s="4"/>
      <c r="ARP148" s="4"/>
      <c r="ARQ148" s="4"/>
      <c r="ARR148" s="4"/>
      <c r="ARS148" s="4"/>
      <c r="ART148" s="4"/>
      <c r="ARU148" s="4"/>
      <c r="ARV148" s="4"/>
      <c r="ARW148" s="4"/>
      <c r="ARX148" s="4"/>
      <c r="ARY148" s="4"/>
      <c r="ARZ148" s="4"/>
      <c r="ASA148" s="4"/>
      <c r="ASB148" s="4"/>
      <c r="ASC148" s="4"/>
      <c r="ASD148" s="4"/>
      <c r="ASE148" s="4"/>
      <c r="ASF148" s="4"/>
      <c r="ASG148" s="4"/>
      <c r="ASH148" s="4"/>
      <c r="ASI148" s="4"/>
      <c r="ASJ148" s="4"/>
      <c r="ASK148" s="4"/>
      <c r="ASL148" s="4"/>
      <c r="ASM148" s="4"/>
      <c r="ASN148" s="4"/>
      <c r="ASO148" s="4"/>
      <c r="ASP148" s="4"/>
      <c r="ASQ148" s="4"/>
      <c r="ASR148" s="4"/>
      <c r="ASS148" s="4"/>
      <c r="AST148" s="4"/>
      <c r="ASU148" s="4"/>
    </row>
    <row r="149" ht="15" customHeight="1" spans="1:1191" x14ac:dyDescent="0.25">
      <c r="A149" s="18" t="s">
        <v>4</v>
      </c>
      <c r="B149" s="672" t="s">
        <v>5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  <c r="UG149" s="4"/>
      <c r="UH149" s="4"/>
      <c r="UI149" s="4"/>
      <c r="UJ149" s="4"/>
      <c r="UK149" s="4"/>
      <c r="UL149" s="4"/>
      <c r="UM149" s="4"/>
      <c r="UN149" s="4"/>
      <c r="UO149" s="4"/>
      <c r="UP149" s="4"/>
      <c r="UQ149" s="4"/>
      <c r="UR149" s="4"/>
      <c r="US149" s="4"/>
      <c r="UT149" s="4"/>
      <c r="UU149" s="4"/>
      <c r="UV149" s="4"/>
      <c r="UW149" s="4"/>
      <c r="UX149" s="4"/>
      <c r="UY149" s="4"/>
      <c r="UZ149" s="4"/>
      <c r="VA149" s="4"/>
      <c r="VB149" s="4"/>
      <c r="VC149" s="4"/>
      <c r="VD149" s="4"/>
      <c r="VE149" s="4"/>
      <c r="VF149" s="4"/>
      <c r="VG149" s="4"/>
      <c r="VH149" s="4"/>
      <c r="VI149" s="4"/>
      <c r="VJ149" s="4"/>
      <c r="VK149" s="4"/>
      <c r="VL149" s="4"/>
      <c r="VM149" s="4"/>
      <c r="VN149" s="4"/>
      <c r="VO149" s="4"/>
      <c r="VP149" s="4"/>
      <c r="VQ149" s="4"/>
      <c r="VR149" s="4"/>
      <c r="VS149" s="4"/>
      <c r="VT149" s="4"/>
      <c r="VU149" s="4"/>
      <c r="VV149" s="4"/>
      <c r="VW149" s="4"/>
      <c r="VX149" s="4"/>
      <c r="VY149" s="4"/>
      <c r="VZ149" s="4"/>
      <c r="WA149" s="4"/>
      <c r="WB149" s="4"/>
      <c r="WC149" s="4"/>
      <c r="WD149" s="4"/>
      <c r="WE149" s="4"/>
      <c r="WF149" s="4"/>
      <c r="WG149" s="4"/>
      <c r="WH149" s="4"/>
      <c r="WI149" s="4"/>
      <c r="WJ149" s="4"/>
      <c r="WK149" s="4"/>
      <c r="WL149" s="4"/>
      <c r="WM149" s="4"/>
      <c r="WN149" s="4"/>
      <c r="WO149" s="4"/>
      <c r="WP149" s="4"/>
      <c r="WQ149" s="4"/>
      <c r="WR149" s="4"/>
      <c r="WS149" s="4"/>
      <c r="WT149" s="4"/>
      <c r="WU149" s="4"/>
      <c r="WV149" s="4"/>
      <c r="WW149" s="4"/>
      <c r="WX149" s="4"/>
      <c r="WY149" s="4"/>
      <c r="WZ149" s="4"/>
      <c r="XA149" s="4"/>
      <c r="XB149" s="4"/>
      <c r="XC149" s="4"/>
      <c r="XD149" s="4"/>
      <c r="XE149" s="4"/>
      <c r="XF149" s="4"/>
      <c r="XG149" s="4"/>
      <c r="XH149" s="4"/>
      <c r="XI149" s="4"/>
      <c r="XJ149" s="4"/>
      <c r="XK149" s="4"/>
      <c r="XL149" s="4"/>
      <c r="XM149" s="4"/>
      <c r="XN149" s="4"/>
      <c r="XO149" s="4"/>
      <c r="XP149" s="4"/>
      <c r="XQ149" s="4"/>
      <c r="XR149" s="4"/>
      <c r="XS149" s="4"/>
      <c r="XT149" s="4"/>
      <c r="XU149" s="4"/>
      <c r="XV149" s="4"/>
      <c r="XW149" s="4"/>
      <c r="XX149" s="4"/>
      <c r="XY149" s="4"/>
      <c r="XZ149" s="4"/>
      <c r="YA149" s="4"/>
      <c r="YB149" s="4"/>
      <c r="YC149" s="4"/>
      <c r="YD149" s="4"/>
      <c r="YE149" s="4"/>
      <c r="YF149" s="4"/>
      <c r="YG149" s="4"/>
      <c r="YH149" s="4"/>
      <c r="YI149" s="4"/>
      <c r="YJ149" s="4"/>
      <c r="YK149" s="4"/>
      <c r="YL149" s="4"/>
      <c r="YM149" s="4"/>
      <c r="YN149" s="4"/>
      <c r="YO149" s="4"/>
      <c r="YP149" s="4"/>
      <c r="YQ149" s="4"/>
      <c r="YR149" s="4"/>
      <c r="YS149" s="4"/>
      <c r="YT149" s="4"/>
      <c r="YU149" s="4"/>
      <c r="YV149" s="4"/>
      <c r="YW149" s="4"/>
      <c r="YX149" s="4"/>
      <c r="YY149" s="4"/>
      <c r="YZ149" s="4"/>
      <c r="ZA149" s="4"/>
      <c r="ZB149" s="4"/>
      <c r="ZC149" s="4"/>
      <c r="ZD149" s="4"/>
      <c r="ZE149" s="4"/>
      <c r="ZF149" s="4"/>
      <c r="ZG149" s="4"/>
      <c r="ZH149" s="4"/>
      <c r="ZI149" s="4"/>
      <c r="ZJ149" s="4"/>
      <c r="ZK149" s="4"/>
      <c r="ZL149" s="4"/>
      <c r="ZM149" s="4"/>
      <c r="ZN149" s="4"/>
      <c r="ZO149" s="4"/>
      <c r="ZP149" s="4"/>
      <c r="ZQ149" s="4"/>
      <c r="ZR149" s="4"/>
      <c r="ZS149" s="4"/>
      <c r="ZT149" s="4"/>
      <c r="ZU149" s="4"/>
      <c r="ZV149" s="4"/>
      <c r="ZW149" s="4"/>
      <c r="ZX149" s="4"/>
      <c r="ZY149" s="4"/>
      <c r="ZZ149" s="4"/>
      <c r="AAA149" s="4"/>
      <c r="AAB149" s="4"/>
      <c r="AAC149" s="4"/>
      <c r="AAD149" s="4"/>
      <c r="AAE149" s="4"/>
      <c r="AAF149" s="4"/>
      <c r="AAG149" s="4"/>
      <c r="AAH149" s="4"/>
      <c r="AAI149" s="4"/>
      <c r="AAJ149" s="4"/>
      <c r="AAK149" s="4"/>
      <c r="AAL149" s="4"/>
      <c r="AAM149" s="4"/>
      <c r="AAN149" s="4"/>
      <c r="AAO149" s="4"/>
      <c r="AAP149" s="4"/>
      <c r="AAQ149" s="4"/>
      <c r="AAR149" s="4"/>
      <c r="AAS149" s="4"/>
      <c r="AAT149" s="4"/>
      <c r="AAU149" s="4"/>
      <c r="AAV149" s="4"/>
      <c r="AAW149" s="4"/>
      <c r="AAX149" s="4"/>
      <c r="AAY149" s="4"/>
      <c r="AAZ149" s="4"/>
      <c r="ABA149" s="4"/>
      <c r="ABB149" s="4"/>
      <c r="ABC149" s="4"/>
      <c r="ABD149" s="4"/>
      <c r="ABE149" s="4"/>
      <c r="ABF149" s="4"/>
      <c r="ABG149" s="4"/>
      <c r="ABH149" s="4"/>
      <c r="ABI149" s="4"/>
      <c r="ABJ149" s="4"/>
      <c r="ABK149" s="4"/>
      <c r="ABL149" s="4"/>
      <c r="ABM149" s="4"/>
      <c r="ABN149" s="4"/>
      <c r="ABO149" s="4"/>
      <c r="ABP149" s="4"/>
      <c r="ABQ149" s="4"/>
      <c r="ABR149" s="4"/>
      <c r="ABS149" s="4"/>
      <c r="ABT149" s="4"/>
      <c r="ABU149" s="4"/>
      <c r="ABV149" s="4"/>
      <c r="ABW149" s="4"/>
      <c r="ABX149" s="4"/>
      <c r="ABY149" s="4"/>
      <c r="ABZ149" s="4"/>
      <c r="ACA149" s="4"/>
      <c r="ACB149" s="4"/>
      <c r="ACC149" s="4"/>
      <c r="ACD149" s="4"/>
      <c r="ACE149" s="4"/>
      <c r="ACF149" s="4"/>
      <c r="ACG149" s="4"/>
      <c r="ACH149" s="4"/>
      <c r="ACI149" s="4"/>
      <c r="ACJ149" s="4"/>
      <c r="ACK149" s="4"/>
      <c r="ACL149" s="4"/>
      <c r="ACM149" s="4"/>
      <c r="ACN149" s="4"/>
      <c r="ACO149" s="4"/>
      <c r="ACP149" s="4"/>
      <c r="ACQ149" s="4"/>
      <c r="ACR149" s="4"/>
      <c r="ACS149" s="4"/>
      <c r="ACT149" s="4"/>
      <c r="ACU149" s="4"/>
      <c r="ACV149" s="4"/>
      <c r="ACW149" s="4"/>
      <c r="ACX149" s="4"/>
      <c r="ACY149" s="4"/>
      <c r="ACZ149" s="4"/>
      <c r="ADA149" s="4"/>
      <c r="ADB149" s="4"/>
      <c r="ADC149" s="4"/>
      <c r="ADD149" s="4"/>
      <c r="ADE149" s="4"/>
      <c r="ADF149" s="4"/>
      <c r="ADG149" s="4"/>
      <c r="ADH149" s="4"/>
      <c r="ADI149" s="4"/>
      <c r="ADJ149" s="4"/>
      <c r="ADK149" s="4"/>
      <c r="ADL149" s="4"/>
      <c r="ADM149" s="4"/>
      <c r="ADN149" s="4"/>
      <c r="ADO149" s="4"/>
      <c r="ADP149" s="4"/>
      <c r="ADQ149" s="4"/>
      <c r="ADR149" s="4"/>
      <c r="ADS149" s="4"/>
      <c r="ADT149" s="4"/>
      <c r="ADU149" s="4"/>
      <c r="ADV149" s="4"/>
      <c r="ADW149" s="4"/>
      <c r="ADX149" s="4"/>
      <c r="ADY149" s="4"/>
      <c r="ADZ149" s="4"/>
      <c r="AEA149" s="4"/>
      <c r="AEB149" s="4"/>
      <c r="AEC149" s="4"/>
      <c r="AED149" s="4"/>
      <c r="AEE149" s="4"/>
      <c r="AEF149" s="4"/>
      <c r="AEG149" s="4"/>
      <c r="AEH149" s="4"/>
      <c r="AEI149" s="4"/>
      <c r="AEJ149" s="4"/>
      <c r="AEK149" s="4"/>
      <c r="AEL149" s="4"/>
      <c r="AEM149" s="4"/>
      <c r="AEN149" s="4"/>
      <c r="AEO149" s="4"/>
      <c r="AEP149" s="4"/>
      <c r="AEQ149" s="4"/>
      <c r="AER149" s="4"/>
      <c r="AES149" s="4"/>
      <c r="AET149" s="4"/>
      <c r="AEU149" s="4"/>
      <c r="AEV149" s="4"/>
      <c r="AEW149" s="4"/>
      <c r="AEX149" s="4"/>
      <c r="AEY149" s="4"/>
      <c r="AEZ149" s="4"/>
      <c r="AFA149" s="4"/>
      <c r="AFB149" s="4"/>
      <c r="AFC149" s="4"/>
      <c r="AFD149" s="4"/>
      <c r="AFE149" s="4"/>
      <c r="AFF149" s="4"/>
      <c r="AFG149" s="4"/>
      <c r="AFH149" s="4"/>
      <c r="AFI149" s="4"/>
      <c r="AFJ149" s="4"/>
      <c r="AFK149" s="4"/>
      <c r="AFL149" s="4"/>
      <c r="AFM149" s="4"/>
      <c r="AFN149" s="4"/>
      <c r="AFO149" s="4"/>
      <c r="AFP149" s="4"/>
      <c r="AFQ149" s="4"/>
      <c r="AFR149" s="4"/>
      <c r="AFS149" s="4"/>
      <c r="AFT149" s="4"/>
      <c r="AFU149" s="4"/>
      <c r="AFV149" s="4"/>
      <c r="AFW149" s="4"/>
      <c r="AFX149" s="4"/>
      <c r="AFY149" s="4"/>
      <c r="AFZ149" s="4"/>
      <c r="AGA149" s="4"/>
      <c r="AGB149" s="4"/>
      <c r="AGC149" s="4"/>
      <c r="AGD149" s="4"/>
      <c r="AGE149" s="4"/>
      <c r="AGF149" s="4"/>
      <c r="AGG149" s="4"/>
      <c r="AGH149" s="4"/>
      <c r="AGI149" s="4"/>
      <c r="AGJ149" s="4"/>
      <c r="AGK149" s="4"/>
      <c r="AGL149" s="4"/>
      <c r="AGM149" s="4"/>
      <c r="AGN149" s="4"/>
      <c r="AGO149" s="4"/>
      <c r="AGP149" s="4"/>
      <c r="AGQ149" s="4"/>
      <c r="AGR149" s="4"/>
      <c r="AGS149" s="4"/>
      <c r="AGT149" s="4"/>
      <c r="AGU149" s="4"/>
      <c r="AGV149" s="4"/>
      <c r="AGW149" s="4"/>
      <c r="AGX149" s="4"/>
      <c r="AGY149" s="4"/>
      <c r="AGZ149" s="4"/>
      <c r="AHA149" s="4"/>
      <c r="AHB149" s="4"/>
      <c r="AHC149" s="4"/>
      <c r="AHD149" s="4"/>
      <c r="AHE149" s="4"/>
      <c r="AHF149" s="4"/>
      <c r="AHG149" s="4"/>
      <c r="AHH149" s="4"/>
      <c r="AHI149" s="4"/>
      <c r="AHJ149" s="4"/>
      <c r="AHK149" s="4"/>
      <c r="AHL149" s="4"/>
      <c r="AHM149" s="4"/>
      <c r="AHN149" s="4"/>
      <c r="AHO149" s="4"/>
      <c r="AHP149" s="4"/>
      <c r="AHQ149" s="4"/>
      <c r="AHR149" s="4"/>
      <c r="AHS149" s="4"/>
      <c r="AHT149" s="4"/>
      <c r="AHU149" s="4"/>
      <c r="AHV149" s="4"/>
      <c r="AHW149" s="4"/>
      <c r="AHX149" s="4"/>
      <c r="AHY149" s="4"/>
      <c r="AHZ149" s="4"/>
      <c r="AIA149" s="4"/>
      <c r="AIB149" s="4"/>
      <c r="AIC149" s="4"/>
      <c r="AID149" s="4"/>
      <c r="AIE149" s="4"/>
      <c r="AIF149" s="4"/>
      <c r="AIG149" s="4"/>
      <c r="AIH149" s="4"/>
      <c r="AII149" s="4"/>
      <c r="AIJ149" s="4"/>
      <c r="AIK149" s="4"/>
      <c r="AIL149" s="4"/>
      <c r="AIM149" s="4"/>
      <c r="AIN149" s="4"/>
      <c r="AIO149" s="4"/>
      <c r="AIP149" s="4"/>
      <c r="AIQ149" s="4"/>
      <c r="AIR149" s="4"/>
      <c r="AIS149" s="4"/>
      <c r="AIT149" s="4"/>
      <c r="AIU149" s="4"/>
      <c r="AIV149" s="4"/>
      <c r="AIW149" s="4"/>
      <c r="AIX149" s="4"/>
      <c r="AIY149" s="4"/>
      <c r="AIZ149" s="4"/>
      <c r="AJA149" s="4"/>
      <c r="AJB149" s="4"/>
      <c r="AJC149" s="4"/>
      <c r="AJD149" s="4"/>
      <c r="AJE149" s="4"/>
      <c r="AJF149" s="4"/>
      <c r="AJG149" s="4"/>
      <c r="AJH149" s="4"/>
      <c r="AJI149" s="4"/>
      <c r="AJJ149" s="4"/>
      <c r="AJK149" s="4"/>
      <c r="AJL149" s="4"/>
      <c r="AJM149" s="4"/>
      <c r="AJN149" s="4"/>
      <c r="AJO149" s="4"/>
      <c r="AJP149" s="4"/>
      <c r="AJQ149" s="4"/>
      <c r="AJR149" s="4"/>
      <c r="AJS149" s="4"/>
      <c r="AJT149" s="4"/>
      <c r="AJU149" s="4"/>
      <c r="AJV149" s="4"/>
      <c r="AJW149" s="4"/>
      <c r="AJX149" s="4"/>
      <c r="AJY149" s="4"/>
      <c r="AJZ149" s="4"/>
      <c r="AKA149" s="4"/>
      <c r="AKB149" s="4"/>
      <c r="AKC149" s="4"/>
      <c r="AKD149" s="4"/>
      <c r="AKE149" s="4"/>
      <c r="AKF149" s="4"/>
      <c r="AKG149" s="4"/>
      <c r="AKH149" s="4"/>
      <c r="AKI149" s="4"/>
      <c r="AKJ149" s="4"/>
      <c r="AKK149" s="4"/>
      <c r="AKL149" s="4"/>
      <c r="AKM149" s="4"/>
      <c r="AKN149" s="4"/>
      <c r="AKO149" s="4"/>
      <c r="AKP149" s="4"/>
      <c r="AKQ149" s="4"/>
      <c r="AKR149" s="4"/>
      <c r="AKS149" s="4"/>
      <c r="AKT149" s="4"/>
      <c r="AKU149" s="4"/>
      <c r="AKV149" s="4"/>
      <c r="AKW149" s="4"/>
      <c r="AKX149" s="4"/>
      <c r="AKY149" s="4"/>
      <c r="AKZ149" s="4"/>
      <c r="ALA149" s="4"/>
      <c r="ALB149" s="4"/>
      <c r="ALC149" s="4"/>
      <c r="ALD149" s="4"/>
      <c r="ALE149" s="4"/>
      <c r="ALF149" s="4"/>
      <c r="ALG149" s="4"/>
      <c r="ALH149" s="4"/>
      <c r="ALI149" s="4"/>
      <c r="ALJ149" s="4"/>
      <c r="ALK149" s="4"/>
      <c r="ALL149" s="4"/>
      <c r="ALM149" s="4"/>
      <c r="ALN149" s="4"/>
      <c r="ALO149" s="4"/>
      <c r="ALP149" s="4"/>
      <c r="ALQ149" s="4"/>
      <c r="ALR149" s="4"/>
      <c r="ALS149" s="4"/>
      <c r="ALT149" s="4"/>
      <c r="ALU149" s="4"/>
      <c r="ALV149" s="4"/>
      <c r="ALW149" s="4"/>
      <c r="ALX149" s="4"/>
      <c r="ALY149" s="4"/>
      <c r="ALZ149" s="4"/>
      <c r="AMA149" s="4"/>
      <c r="AMB149" s="4"/>
      <c r="AMC149" s="4"/>
      <c r="AMD149" s="4"/>
      <c r="AME149" s="4"/>
      <c r="AMF149" s="4"/>
      <c r="AMG149" s="4"/>
      <c r="AMH149" s="4"/>
      <c r="AMI149" s="4"/>
      <c r="AMJ149" s="4"/>
      <c r="AMK149" s="4"/>
      <c r="AML149" s="4"/>
      <c r="AMM149" s="4"/>
      <c r="AMN149" s="4"/>
      <c r="AMO149" s="4"/>
      <c r="AMP149" s="4"/>
      <c r="AMQ149" s="4"/>
      <c r="AMR149" s="4"/>
      <c r="AMS149" s="4"/>
      <c r="AMT149" s="4"/>
      <c r="AMU149" s="4"/>
      <c r="AMV149" s="4"/>
      <c r="AMW149" s="4"/>
      <c r="AMX149" s="4"/>
      <c r="AMY149" s="4"/>
      <c r="AMZ149" s="4"/>
      <c r="ANA149" s="4"/>
      <c r="ANB149" s="4"/>
      <c r="ANC149" s="4"/>
      <c r="AND149" s="4"/>
      <c r="ANE149" s="4"/>
      <c r="ANF149" s="4"/>
      <c r="ANG149" s="4"/>
      <c r="ANH149" s="4"/>
      <c r="ANI149" s="4"/>
      <c r="ANJ149" s="4"/>
      <c r="ANK149" s="4"/>
      <c r="ANL149" s="4"/>
      <c r="ANM149" s="4"/>
      <c r="ANN149" s="4"/>
      <c r="ANO149" s="4"/>
      <c r="ANP149" s="4"/>
      <c r="ANQ149" s="4"/>
      <c r="ANR149" s="4"/>
      <c r="ANS149" s="4"/>
      <c r="ANT149" s="4"/>
      <c r="ANU149" s="4"/>
      <c r="ANV149" s="4"/>
      <c r="ANW149" s="4"/>
      <c r="ANX149" s="4"/>
      <c r="ANY149" s="4"/>
      <c r="ANZ149" s="4"/>
      <c r="AOA149" s="4"/>
      <c r="AOB149" s="4"/>
      <c r="AOC149" s="4"/>
      <c r="AOD149" s="4"/>
      <c r="AOE149" s="4"/>
      <c r="AOF149" s="4"/>
      <c r="AOG149" s="4"/>
      <c r="AOH149" s="4"/>
      <c r="AOI149" s="4"/>
      <c r="AOJ149" s="4"/>
      <c r="AOK149" s="4"/>
      <c r="AOL149" s="4"/>
      <c r="AOM149" s="4"/>
      <c r="AON149" s="4"/>
      <c r="AOO149" s="4"/>
      <c r="AOP149" s="4"/>
      <c r="AOQ149" s="4"/>
      <c r="AOR149" s="4"/>
      <c r="AOS149" s="4"/>
      <c r="AOT149" s="4"/>
      <c r="AOU149" s="4"/>
      <c r="AOV149" s="4"/>
      <c r="AOW149" s="4"/>
      <c r="AOX149" s="4"/>
      <c r="AOY149" s="4"/>
      <c r="AOZ149" s="4"/>
      <c r="APA149" s="4"/>
      <c r="APB149" s="4"/>
      <c r="APC149" s="4"/>
      <c r="APD149" s="4"/>
      <c r="APE149" s="4"/>
      <c r="APF149" s="4"/>
      <c r="APG149" s="4"/>
      <c r="APH149" s="4"/>
      <c r="API149" s="4"/>
      <c r="APJ149" s="4"/>
      <c r="APK149" s="4"/>
      <c r="APL149" s="4"/>
      <c r="APM149" s="4"/>
      <c r="APN149" s="4"/>
      <c r="APO149" s="4"/>
      <c r="APP149" s="4"/>
      <c r="APQ149" s="4"/>
      <c r="APR149" s="4"/>
      <c r="APS149" s="4"/>
      <c r="APT149" s="4"/>
      <c r="APU149" s="4"/>
      <c r="APV149" s="4"/>
      <c r="APW149" s="4"/>
      <c r="APX149" s="4"/>
      <c r="APY149" s="4"/>
      <c r="APZ149" s="4"/>
      <c r="AQA149" s="4"/>
      <c r="AQB149" s="4"/>
      <c r="AQC149" s="4"/>
      <c r="AQD149" s="4"/>
      <c r="AQE149" s="4"/>
      <c r="AQF149" s="4"/>
      <c r="AQG149" s="4"/>
      <c r="AQH149" s="4"/>
      <c r="AQI149" s="4"/>
      <c r="AQJ149" s="4"/>
      <c r="AQK149" s="4"/>
      <c r="AQL149" s="4"/>
      <c r="AQM149" s="4"/>
      <c r="AQN149" s="4"/>
      <c r="AQO149" s="4"/>
      <c r="AQP149" s="4"/>
      <c r="AQQ149" s="4"/>
      <c r="AQR149" s="4"/>
      <c r="AQS149" s="4"/>
      <c r="AQT149" s="4"/>
      <c r="AQU149" s="4"/>
      <c r="AQV149" s="4"/>
      <c r="AQW149" s="4"/>
      <c r="AQX149" s="4"/>
      <c r="AQY149" s="4"/>
      <c r="AQZ149" s="4"/>
      <c r="ARA149" s="4"/>
      <c r="ARB149" s="4"/>
      <c r="ARC149" s="4"/>
      <c r="ARD149" s="4"/>
      <c r="ARE149" s="4"/>
      <c r="ARF149" s="4"/>
      <c r="ARG149" s="4"/>
      <c r="ARH149" s="4"/>
      <c r="ARI149" s="4"/>
      <c r="ARJ149" s="4"/>
      <c r="ARK149" s="4"/>
      <c r="ARL149" s="4"/>
      <c r="ARM149" s="4"/>
      <c r="ARN149" s="4"/>
      <c r="ARO149" s="4"/>
      <c r="ARP149" s="4"/>
      <c r="ARQ149" s="4"/>
      <c r="ARR149" s="4"/>
      <c r="ARS149" s="4"/>
      <c r="ART149" s="4"/>
      <c r="ARU149" s="4"/>
      <c r="ARV149" s="4"/>
      <c r="ARW149" s="4"/>
      <c r="ARX149" s="4"/>
      <c r="ARY149" s="4"/>
      <c r="ARZ149" s="4"/>
      <c r="ASA149" s="4"/>
      <c r="ASB149" s="4"/>
      <c r="ASC149" s="4"/>
      <c r="ASD149" s="4"/>
      <c r="ASE149" s="4"/>
      <c r="ASF149" s="4"/>
      <c r="ASG149" s="4"/>
      <c r="ASH149" s="4"/>
      <c r="ASI149" s="4"/>
      <c r="ASJ149" s="4"/>
      <c r="ASK149" s="4"/>
      <c r="ASL149" s="4"/>
      <c r="ASM149" s="4"/>
      <c r="ASN149" s="4"/>
      <c r="ASO149" s="4"/>
      <c r="ASP149" s="4"/>
      <c r="ASQ149" s="4"/>
      <c r="ASR149" s="4"/>
      <c r="ASS149" s="4"/>
      <c r="AST149" s="4"/>
      <c r="ASU149" s="4"/>
    </row>
    <row r="150" ht="15" customHeight="1" spans="1:1191" x14ac:dyDescent="0.25">
      <c r="A150" s="26" t="s">
        <v>9</v>
      </c>
      <c r="B150" s="672" t="s">
        <v>10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  <c r="UG150" s="4"/>
      <c r="UH150" s="4"/>
      <c r="UI150" s="4"/>
      <c r="UJ150" s="4"/>
      <c r="UK150" s="4"/>
      <c r="UL150" s="4"/>
      <c r="UM150" s="4"/>
      <c r="UN150" s="4"/>
      <c r="UO150" s="4"/>
      <c r="UP150" s="4"/>
      <c r="UQ150" s="4"/>
      <c r="UR150" s="4"/>
      <c r="US150" s="4"/>
      <c r="UT150" s="4"/>
      <c r="UU150" s="4"/>
      <c r="UV150" s="4"/>
      <c r="UW150" s="4"/>
      <c r="UX150" s="4"/>
      <c r="UY150" s="4"/>
      <c r="UZ150" s="4"/>
      <c r="VA150" s="4"/>
      <c r="VB150" s="4"/>
      <c r="VC150" s="4"/>
      <c r="VD150" s="4"/>
      <c r="VE150" s="4"/>
      <c r="VF150" s="4"/>
      <c r="VG150" s="4"/>
      <c r="VH150" s="4"/>
      <c r="VI150" s="4"/>
      <c r="VJ150" s="4"/>
      <c r="VK150" s="4"/>
      <c r="VL150" s="4"/>
      <c r="VM150" s="4"/>
      <c r="VN150" s="4"/>
      <c r="VO150" s="4"/>
      <c r="VP150" s="4"/>
      <c r="VQ150" s="4"/>
      <c r="VR150" s="4"/>
      <c r="VS150" s="4"/>
      <c r="VT150" s="4"/>
      <c r="VU150" s="4"/>
      <c r="VV150" s="4"/>
      <c r="VW150" s="4"/>
      <c r="VX150" s="4"/>
      <c r="VY150" s="4"/>
      <c r="VZ150" s="4"/>
      <c r="WA150" s="4"/>
      <c r="WB150" s="4"/>
      <c r="WC150" s="4"/>
      <c r="WD150" s="4"/>
      <c r="WE150" s="4"/>
      <c r="WF150" s="4"/>
      <c r="WG150" s="4"/>
      <c r="WH150" s="4"/>
      <c r="WI150" s="4"/>
      <c r="WJ150" s="4"/>
      <c r="WK150" s="4"/>
      <c r="WL150" s="4"/>
      <c r="WM150" s="4"/>
      <c r="WN150" s="4"/>
      <c r="WO150" s="4"/>
      <c r="WP150" s="4"/>
      <c r="WQ150" s="4"/>
      <c r="WR150" s="4"/>
      <c r="WS150" s="4"/>
      <c r="WT150" s="4"/>
      <c r="WU150" s="4"/>
      <c r="WV150" s="4"/>
      <c r="WW150" s="4"/>
      <c r="WX150" s="4"/>
      <c r="WY150" s="4"/>
      <c r="WZ150" s="4"/>
      <c r="XA150" s="4"/>
      <c r="XB150" s="4"/>
      <c r="XC150" s="4"/>
      <c r="XD150" s="4"/>
      <c r="XE150" s="4"/>
      <c r="XF150" s="4"/>
      <c r="XG150" s="4"/>
      <c r="XH150" s="4"/>
      <c r="XI150" s="4"/>
      <c r="XJ150" s="4"/>
      <c r="XK150" s="4"/>
      <c r="XL150" s="4"/>
      <c r="XM150" s="4"/>
      <c r="XN150" s="4"/>
      <c r="XO150" s="4"/>
      <c r="XP150" s="4"/>
      <c r="XQ150" s="4"/>
      <c r="XR150" s="4"/>
      <c r="XS150" s="4"/>
      <c r="XT150" s="4"/>
      <c r="XU150" s="4"/>
      <c r="XV150" s="4"/>
      <c r="XW150" s="4"/>
      <c r="XX150" s="4"/>
      <c r="XY150" s="4"/>
      <c r="XZ150" s="4"/>
      <c r="YA150" s="4"/>
      <c r="YB150" s="4"/>
      <c r="YC150" s="4"/>
      <c r="YD150" s="4"/>
      <c r="YE150" s="4"/>
      <c r="YF150" s="4"/>
      <c r="YG150" s="4"/>
      <c r="YH150" s="4"/>
      <c r="YI150" s="4"/>
      <c r="YJ150" s="4"/>
      <c r="YK150" s="4"/>
      <c r="YL150" s="4"/>
      <c r="YM150" s="4"/>
      <c r="YN150" s="4"/>
      <c r="YO150" s="4"/>
      <c r="YP150" s="4"/>
      <c r="YQ150" s="4"/>
      <c r="YR150" s="4"/>
      <c r="YS150" s="4"/>
      <c r="YT150" s="4"/>
      <c r="YU150" s="4"/>
      <c r="YV150" s="4"/>
      <c r="YW150" s="4"/>
      <c r="YX150" s="4"/>
      <c r="YY150" s="4"/>
      <c r="YZ150" s="4"/>
      <c r="ZA150" s="4"/>
      <c r="ZB150" s="4"/>
      <c r="ZC150" s="4"/>
      <c r="ZD150" s="4"/>
      <c r="ZE150" s="4"/>
      <c r="ZF150" s="4"/>
      <c r="ZG150" s="4"/>
      <c r="ZH150" s="4"/>
      <c r="ZI150" s="4"/>
      <c r="ZJ150" s="4"/>
      <c r="ZK150" s="4"/>
      <c r="ZL150" s="4"/>
      <c r="ZM150" s="4"/>
      <c r="ZN150" s="4"/>
      <c r="ZO150" s="4"/>
      <c r="ZP150" s="4"/>
      <c r="ZQ150" s="4"/>
      <c r="ZR150" s="4"/>
      <c r="ZS150" s="4"/>
      <c r="ZT150" s="4"/>
      <c r="ZU150" s="4"/>
      <c r="ZV150" s="4"/>
      <c r="ZW150" s="4"/>
      <c r="ZX150" s="4"/>
      <c r="ZY150" s="4"/>
      <c r="ZZ150" s="4"/>
      <c r="AAA150" s="4"/>
      <c r="AAB150" s="4"/>
      <c r="AAC150" s="4"/>
      <c r="AAD150" s="4"/>
      <c r="AAE150" s="4"/>
      <c r="AAF150" s="4"/>
      <c r="AAG150" s="4"/>
      <c r="AAH150" s="4"/>
      <c r="AAI150" s="4"/>
      <c r="AAJ150" s="4"/>
      <c r="AAK150" s="4"/>
      <c r="AAL150" s="4"/>
      <c r="AAM150" s="4"/>
      <c r="AAN150" s="4"/>
      <c r="AAO150" s="4"/>
      <c r="AAP150" s="4"/>
      <c r="AAQ150" s="4"/>
      <c r="AAR150" s="4"/>
      <c r="AAS150" s="4"/>
      <c r="AAT150" s="4"/>
      <c r="AAU150" s="4"/>
      <c r="AAV150" s="4"/>
      <c r="AAW150" s="4"/>
      <c r="AAX150" s="4"/>
      <c r="AAY150" s="4"/>
      <c r="AAZ150" s="4"/>
      <c r="ABA150" s="4"/>
      <c r="ABB150" s="4"/>
      <c r="ABC150" s="4"/>
      <c r="ABD150" s="4"/>
      <c r="ABE150" s="4"/>
      <c r="ABF150" s="4"/>
      <c r="ABG150" s="4"/>
      <c r="ABH150" s="4"/>
      <c r="ABI150" s="4"/>
      <c r="ABJ150" s="4"/>
      <c r="ABK150" s="4"/>
      <c r="ABL150" s="4"/>
      <c r="ABM150" s="4"/>
      <c r="ABN150" s="4"/>
      <c r="ABO150" s="4"/>
      <c r="ABP150" s="4"/>
      <c r="ABQ150" s="4"/>
      <c r="ABR150" s="4"/>
      <c r="ABS150" s="4"/>
      <c r="ABT150" s="4"/>
      <c r="ABU150" s="4"/>
      <c r="ABV150" s="4"/>
      <c r="ABW150" s="4"/>
      <c r="ABX150" s="4"/>
      <c r="ABY150" s="4"/>
      <c r="ABZ150" s="4"/>
      <c r="ACA150" s="4"/>
      <c r="ACB150" s="4"/>
      <c r="ACC150" s="4"/>
      <c r="ACD150" s="4"/>
      <c r="ACE150" s="4"/>
      <c r="ACF150" s="4"/>
      <c r="ACG150" s="4"/>
      <c r="ACH150" s="4"/>
      <c r="ACI150" s="4"/>
      <c r="ACJ150" s="4"/>
      <c r="ACK150" s="4"/>
      <c r="ACL150" s="4"/>
      <c r="ACM150" s="4"/>
      <c r="ACN150" s="4"/>
      <c r="ACO150" s="4"/>
      <c r="ACP150" s="4"/>
      <c r="ACQ150" s="4"/>
      <c r="ACR150" s="4"/>
      <c r="ACS150" s="4"/>
      <c r="ACT150" s="4"/>
      <c r="ACU150" s="4"/>
      <c r="ACV150" s="4"/>
      <c r="ACW150" s="4"/>
      <c r="ACX150" s="4"/>
      <c r="ACY150" s="4"/>
      <c r="ACZ150" s="4"/>
      <c r="ADA150" s="4"/>
      <c r="ADB150" s="4"/>
      <c r="ADC150" s="4"/>
      <c r="ADD150" s="4"/>
      <c r="ADE150" s="4"/>
      <c r="ADF150" s="4"/>
      <c r="ADG150" s="4"/>
      <c r="ADH150" s="4"/>
      <c r="ADI150" s="4"/>
      <c r="ADJ150" s="4"/>
      <c r="ADK150" s="4"/>
      <c r="ADL150" s="4"/>
      <c r="ADM150" s="4"/>
      <c r="ADN150" s="4"/>
      <c r="ADO150" s="4"/>
      <c r="ADP150" s="4"/>
      <c r="ADQ150" s="4"/>
      <c r="ADR150" s="4"/>
      <c r="ADS150" s="4"/>
      <c r="ADT150" s="4"/>
      <c r="ADU150" s="4"/>
      <c r="ADV150" s="4"/>
      <c r="ADW150" s="4"/>
      <c r="ADX150" s="4"/>
      <c r="ADY150" s="4"/>
      <c r="ADZ150" s="4"/>
      <c r="AEA150" s="4"/>
      <c r="AEB150" s="4"/>
      <c r="AEC150" s="4"/>
      <c r="AED150" s="4"/>
      <c r="AEE150" s="4"/>
      <c r="AEF150" s="4"/>
      <c r="AEG150" s="4"/>
      <c r="AEH150" s="4"/>
      <c r="AEI150" s="4"/>
      <c r="AEJ150" s="4"/>
      <c r="AEK150" s="4"/>
      <c r="AEL150" s="4"/>
      <c r="AEM150" s="4"/>
      <c r="AEN150" s="4"/>
      <c r="AEO150" s="4"/>
      <c r="AEP150" s="4"/>
      <c r="AEQ150" s="4"/>
      <c r="AER150" s="4"/>
      <c r="AES150" s="4"/>
      <c r="AET150" s="4"/>
      <c r="AEU150" s="4"/>
      <c r="AEV150" s="4"/>
      <c r="AEW150" s="4"/>
      <c r="AEX150" s="4"/>
      <c r="AEY150" s="4"/>
      <c r="AEZ150" s="4"/>
      <c r="AFA150" s="4"/>
      <c r="AFB150" s="4"/>
      <c r="AFC150" s="4"/>
      <c r="AFD150" s="4"/>
      <c r="AFE150" s="4"/>
      <c r="AFF150" s="4"/>
      <c r="AFG150" s="4"/>
      <c r="AFH150" s="4"/>
      <c r="AFI150" s="4"/>
      <c r="AFJ150" s="4"/>
      <c r="AFK150" s="4"/>
      <c r="AFL150" s="4"/>
      <c r="AFM150" s="4"/>
      <c r="AFN150" s="4"/>
      <c r="AFO150" s="4"/>
      <c r="AFP150" s="4"/>
      <c r="AFQ150" s="4"/>
      <c r="AFR150" s="4"/>
      <c r="AFS150" s="4"/>
      <c r="AFT150" s="4"/>
      <c r="AFU150" s="4"/>
      <c r="AFV150" s="4"/>
      <c r="AFW150" s="4"/>
      <c r="AFX150" s="4"/>
      <c r="AFY150" s="4"/>
      <c r="AFZ150" s="4"/>
      <c r="AGA150" s="4"/>
      <c r="AGB150" s="4"/>
      <c r="AGC150" s="4"/>
      <c r="AGD150" s="4"/>
      <c r="AGE150" s="4"/>
      <c r="AGF150" s="4"/>
      <c r="AGG150" s="4"/>
      <c r="AGH150" s="4"/>
      <c r="AGI150" s="4"/>
      <c r="AGJ150" s="4"/>
      <c r="AGK150" s="4"/>
      <c r="AGL150" s="4"/>
      <c r="AGM150" s="4"/>
      <c r="AGN150" s="4"/>
      <c r="AGO150" s="4"/>
      <c r="AGP150" s="4"/>
      <c r="AGQ150" s="4"/>
      <c r="AGR150" s="4"/>
      <c r="AGS150" s="4"/>
      <c r="AGT150" s="4"/>
      <c r="AGU150" s="4"/>
      <c r="AGV150" s="4"/>
      <c r="AGW150" s="4"/>
      <c r="AGX150" s="4"/>
      <c r="AGY150" s="4"/>
      <c r="AGZ150" s="4"/>
      <c r="AHA150" s="4"/>
      <c r="AHB150" s="4"/>
      <c r="AHC150" s="4"/>
      <c r="AHD150" s="4"/>
      <c r="AHE150" s="4"/>
      <c r="AHF150" s="4"/>
      <c r="AHG150" s="4"/>
      <c r="AHH150" s="4"/>
      <c r="AHI150" s="4"/>
      <c r="AHJ150" s="4"/>
      <c r="AHK150" s="4"/>
      <c r="AHL150" s="4"/>
      <c r="AHM150" s="4"/>
      <c r="AHN150" s="4"/>
      <c r="AHO150" s="4"/>
      <c r="AHP150" s="4"/>
      <c r="AHQ150" s="4"/>
      <c r="AHR150" s="4"/>
      <c r="AHS150" s="4"/>
      <c r="AHT150" s="4"/>
      <c r="AHU150" s="4"/>
      <c r="AHV150" s="4"/>
      <c r="AHW150" s="4"/>
      <c r="AHX150" s="4"/>
      <c r="AHY150" s="4"/>
      <c r="AHZ150" s="4"/>
      <c r="AIA150" s="4"/>
      <c r="AIB150" s="4"/>
      <c r="AIC150" s="4"/>
      <c r="AID150" s="4"/>
      <c r="AIE150" s="4"/>
      <c r="AIF150" s="4"/>
      <c r="AIG150" s="4"/>
      <c r="AIH150" s="4"/>
      <c r="AII150" s="4"/>
      <c r="AIJ150" s="4"/>
      <c r="AIK150" s="4"/>
      <c r="AIL150" s="4"/>
      <c r="AIM150" s="4"/>
      <c r="AIN150" s="4"/>
      <c r="AIO150" s="4"/>
      <c r="AIP150" s="4"/>
      <c r="AIQ150" s="4"/>
      <c r="AIR150" s="4"/>
      <c r="AIS150" s="4"/>
      <c r="AIT150" s="4"/>
      <c r="AIU150" s="4"/>
      <c r="AIV150" s="4"/>
      <c r="AIW150" s="4"/>
      <c r="AIX150" s="4"/>
      <c r="AIY150" s="4"/>
      <c r="AIZ150" s="4"/>
      <c r="AJA150" s="4"/>
      <c r="AJB150" s="4"/>
      <c r="AJC150" s="4"/>
      <c r="AJD150" s="4"/>
      <c r="AJE150" s="4"/>
      <c r="AJF150" s="4"/>
      <c r="AJG150" s="4"/>
      <c r="AJH150" s="4"/>
      <c r="AJI150" s="4"/>
      <c r="AJJ150" s="4"/>
      <c r="AJK150" s="4"/>
      <c r="AJL150" s="4"/>
      <c r="AJM150" s="4"/>
      <c r="AJN150" s="4"/>
      <c r="AJO150" s="4"/>
      <c r="AJP150" s="4"/>
      <c r="AJQ150" s="4"/>
      <c r="AJR150" s="4"/>
      <c r="AJS150" s="4"/>
      <c r="AJT150" s="4"/>
      <c r="AJU150" s="4"/>
      <c r="AJV150" s="4"/>
      <c r="AJW150" s="4"/>
      <c r="AJX150" s="4"/>
      <c r="AJY150" s="4"/>
      <c r="AJZ150" s="4"/>
      <c r="AKA150" s="4"/>
      <c r="AKB150" s="4"/>
      <c r="AKC150" s="4"/>
      <c r="AKD150" s="4"/>
      <c r="AKE150" s="4"/>
      <c r="AKF150" s="4"/>
      <c r="AKG150" s="4"/>
      <c r="AKH150" s="4"/>
      <c r="AKI150" s="4"/>
      <c r="AKJ150" s="4"/>
      <c r="AKK150" s="4"/>
      <c r="AKL150" s="4"/>
      <c r="AKM150" s="4"/>
      <c r="AKN150" s="4"/>
      <c r="AKO150" s="4"/>
      <c r="AKP150" s="4"/>
      <c r="AKQ150" s="4"/>
      <c r="AKR150" s="4"/>
      <c r="AKS150" s="4"/>
      <c r="AKT150" s="4"/>
      <c r="AKU150" s="4"/>
      <c r="AKV150" s="4"/>
      <c r="AKW150" s="4"/>
      <c r="AKX150" s="4"/>
      <c r="AKY150" s="4"/>
      <c r="AKZ150" s="4"/>
      <c r="ALA150" s="4"/>
      <c r="ALB150" s="4"/>
      <c r="ALC150" s="4"/>
      <c r="ALD150" s="4"/>
      <c r="ALE150" s="4"/>
      <c r="ALF150" s="4"/>
      <c r="ALG150" s="4"/>
      <c r="ALH150" s="4"/>
      <c r="ALI150" s="4"/>
      <c r="ALJ150" s="4"/>
      <c r="ALK150" s="4"/>
      <c r="ALL150" s="4"/>
      <c r="ALM150" s="4"/>
      <c r="ALN150" s="4"/>
      <c r="ALO150" s="4"/>
      <c r="ALP150" s="4"/>
      <c r="ALQ150" s="4"/>
      <c r="ALR150" s="4"/>
      <c r="ALS150" s="4"/>
      <c r="ALT150" s="4"/>
      <c r="ALU150" s="4"/>
      <c r="ALV150" s="4"/>
      <c r="ALW150" s="4"/>
      <c r="ALX150" s="4"/>
      <c r="ALY150" s="4"/>
      <c r="ALZ150" s="4"/>
      <c r="AMA150" s="4"/>
      <c r="AMB150" s="4"/>
      <c r="AMC150" s="4"/>
      <c r="AMD150" s="4"/>
      <c r="AME150" s="4"/>
      <c r="AMF150" s="4"/>
      <c r="AMG150" s="4"/>
      <c r="AMH150" s="4"/>
      <c r="AMI150" s="4"/>
      <c r="AMJ150" s="4"/>
      <c r="AMK150" s="4"/>
      <c r="AML150" s="4"/>
      <c r="AMM150" s="4"/>
      <c r="AMN150" s="4"/>
      <c r="AMO150" s="4"/>
      <c r="AMP150" s="4"/>
      <c r="AMQ150" s="4"/>
      <c r="AMR150" s="4"/>
      <c r="AMS150" s="4"/>
      <c r="AMT150" s="4"/>
      <c r="AMU150" s="4"/>
      <c r="AMV150" s="4"/>
      <c r="AMW150" s="4"/>
      <c r="AMX150" s="4"/>
      <c r="AMY150" s="4"/>
      <c r="AMZ150" s="4"/>
      <c r="ANA150" s="4"/>
      <c r="ANB150" s="4"/>
      <c r="ANC150" s="4"/>
      <c r="AND150" s="4"/>
      <c r="ANE150" s="4"/>
      <c r="ANF150" s="4"/>
      <c r="ANG150" s="4"/>
      <c r="ANH150" s="4"/>
      <c r="ANI150" s="4"/>
      <c r="ANJ150" s="4"/>
      <c r="ANK150" s="4"/>
      <c r="ANL150" s="4"/>
      <c r="ANM150" s="4"/>
      <c r="ANN150" s="4"/>
      <c r="ANO150" s="4"/>
      <c r="ANP150" s="4"/>
      <c r="ANQ150" s="4"/>
      <c r="ANR150" s="4"/>
      <c r="ANS150" s="4"/>
      <c r="ANT150" s="4"/>
      <c r="ANU150" s="4"/>
      <c r="ANV150" s="4"/>
      <c r="ANW150" s="4"/>
      <c r="ANX150" s="4"/>
      <c r="ANY150" s="4"/>
      <c r="ANZ150" s="4"/>
      <c r="AOA150" s="4"/>
      <c r="AOB150" s="4"/>
      <c r="AOC150" s="4"/>
      <c r="AOD150" s="4"/>
      <c r="AOE150" s="4"/>
      <c r="AOF150" s="4"/>
      <c r="AOG150" s="4"/>
      <c r="AOH150" s="4"/>
      <c r="AOI150" s="4"/>
      <c r="AOJ150" s="4"/>
      <c r="AOK150" s="4"/>
      <c r="AOL150" s="4"/>
      <c r="AOM150" s="4"/>
      <c r="AON150" s="4"/>
      <c r="AOO150" s="4"/>
      <c r="AOP150" s="4"/>
      <c r="AOQ150" s="4"/>
      <c r="AOR150" s="4"/>
      <c r="AOS150" s="4"/>
      <c r="AOT150" s="4"/>
      <c r="AOU150" s="4"/>
      <c r="AOV150" s="4"/>
      <c r="AOW150" s="4"/>
      <c r="AOX150" s="4"/>
      <c r="AOY150" s="4"/>
      <c r="AOZ150" s="4"/>
      <c r="APA150" s="4"/>
      <c r="APB150" s="4"/>
      <c r="APC150" s="4"/>
      <c r="APD150" s="4"/>
      <c r="APE150" s="4"/>
      <c r="APF150" s="4"/>
      <c r="APG150" s="4"/>
      <c r="APH150" s="4"/>
      <c r="API150" s="4"/>
      <c r="APJ150" s="4"/>
      <c r="APK150" s="4"/>
      <c r="APL150" s="4"/>
      <c r="APM150" s="4"/>
      <c r="APN150" s="4"/>
      <c r="APO150" s="4"/>
      <c r="APP150" s="4"/>
      <c r="APQ150" s="4"/>
      <c r="APR150" s="4"/>
      <c r="APS150" s="4"/>
      <c r="APT150" s="4"/>
      <c r="APU150" s="4"/>
      <c r="APV150" s="4"/>
      <c r="APW150" s="4"/>
      <c r="APX150" s="4"/>
      <c r="APY150" s="4"/>
      <c r="APZ150" s="4"/>
      <c r="AQA150" s="4"/>
      <c r="AQB150" s="4"/>
      <c r="AQC150" s="4"/>
      <c r="AQD150" s="4"/>
      <c r="AQE150" s="4"/>
      <c r="AQF150" s="4"/>
      <c r="AQG150" s="4"/>
      <c r="AQH150" s="4"/>
      <c r="AQI150" s="4"/>
      <c r="AQJ150" s="4"/>
      <c r="AQK150" s="4"/>
      <c r="AQL150" s="4"/>
      <c r="AQM150" s="4"/>
      <c r="AQN150" s="4"/>
      <c r="AQO150" s="4"/>
      <c r="AQP150" s="4"/>
      <c r="AQQ150" s="4"/>
      <c r="AQR150" s="4"/>
      <c r="AQS150" s="4"/>
      <c r="AQT150" s="4"/>
      <c r="AQU150" s="4"/>
      <c r="AQV150" s="4"/>
      <c r="AQW150" s="4"/>
      <c r="AQX150" s="4"/>
      <c r="AQY150" s="4"/>
      <c r="AQZ150" s="4"/>
      <c r="ARA150" s="4"/>
      <c r="ARB150" s="4"/>
      <c r="ARC150" s="4"/>
      <c r="ARD150" s="4"/>
      <c r="ARE150" s="4"/>
      <c r="ARF150" s="4"/>
      <c r="ARG150" s="4"/>
      <c r="ARH150" s="4"/>
      <c r="ARI150" s="4"/>
      <c r="ARJ150" s="4"/>
      <c r="ARK150" s="4"/>
      <c r="ARL150" s="4"/>
      <c r="ARM150" s="4"/>
      <c r="ARN150" s="4"/>
      <c r="ARO150" s="4"/>
      <c r="ARP150" s="4"/>
      <c r="ARQ150" s="4"/>
      <c r="ARR150" s="4"/>
      <c r="ARS150" s="4"/>
      <c r="ART150" s="4"/>
      <c r="ARU150" s="4"/>
      <c r="ARV150" s="4"/>
      <c r="ARW150" s="4"/>
      <c r="ARX150" s="4"/>
      <c r="ARY150" s="4"/>
      <c r="ARZ150" s="4"/>
      <c r="ASA150" s="4"/>
      <c r="ASB150" s="4"/>
      <c r="ASC150" s="4"/>
      <c r="ASD150" s="4"/>
      <c r="ASE150" s="4"/>
      <c r="ASF150" s="4"/>
      <c r="ASG150" s="4"/>
      <c r="ASH150" s="4"/>
      <c r="ASI150" s="4"/>
      <c r="ASJ150" s="4"/>
      <c r="ASK150" s="4"/>
      <c r="ASL150" s="4"/>
      <c r="ASM150" s="4"/>
      <c r="ASN150" s="4"/>
      <c r="ASO150" s="4"/>
      <c r="ASP150" s="4"/>
      <c r="ASQ150" s="4"/>
      <c r="ASR150" s="4"/>
      <c r="ASS150" s="4"/>
      <c r="AST150" s="4"/>
      <c r="ASU150" s="4"/>
    </row>
    <row r="151" ht="15" customHeight="1" spans="1:1191" x14ac:dyDescent="0.25">
      <c r="A151" s="31" t="s">
        <v>14</v>
      </c>
      <c r="B151" s="672" t="s">
        <v>15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  <c r="UG151" s="4"/>
      <c r="UH151" s="4"/>
      <c r="UI151" s="4"/>
      <c r="UJ151" s="4"/>
      <c r="UK151" s="4"/>
      <c r="UL151" s="4"/>
      <c r="UM151" s="4"/>
      <c r="UN151" s="4"/>
      <c r="UO151" s="4"/>
      <c r="UP151" s="4"/>
      <c r="UQ151" s="4"/>
      <c r="UR151" s="4"/>
      <c r="US151" s="4"/>
      <c r="UT151" s="4"/>
      <c r="UU151" s="4"/>
      <c r="UV151" s="4"/>
      <c r="UW151" s="4"/>
      <c r="UX151" s="4"/>
      <c r="UY151" s="4"/>
      <c r="UZ151" s="4"/>
      <c r="VA151" s="4"/>
      <c r="VB151" s="4"/>
      <c r="VC151" s="4"/>
      <c r="VD151" s="4"/>
      <c r="VE151" s="4"/>
      <c r="VF151" s="4"/>
      <c r="VG151" s="4"/>
      <c r="VH151" s="4"/>
      <c r="VI151" s="4"/>
      <c r="VJ151" s="4"/>
      <c r="VK151" s="4"/>
      <c r="VL151" s="4"/>
      <c r="VM151" s="4"/>
      <c r="VN151" s="4"/>
      <c r="VO151" s="4"/>
      <c r="VP151" s="4"/>
      <c r="VQ151" s="4"/>
      <c r="VR151" s="4"/>
      <c r="VS151" s="4"/>
      <c r="VT151" s="4"/>
      <c r="VU151" s="4"/>
      <c r="VV151" s="4"/>
      <c r="VW151" s="4"/>
      <c r="VX151" s="4"/>
      <c r="VY151" s="4"/>
      <c r="VZ151" s="4"/>
      <c r="WA151" s="4"/>
      <c r="WB151" s="4"/>
      <c r="WC151" s="4"/>
      <c r="WD151" s="4"/>
      <c r="WE151" s="4"/>
      <c r="WF151" s="4"/>
      <c r="WG151" s="4"/>
      <c r="WH151" s="4"/>
      <c r="WI151" s="4"/>
      <c r="WJ151" s="4"/>
      <c r="WK151" s="4"/>
      <c r="WL151" s="4"/>
      <c r="WM151" s="4"/>
      <c r="WN151" s="4"/>
      <c r="WO151" s="4"/>
      <c r="WP151" s="4"/>
      <c r="WQ151" s="4"/>
      <c r="WR151" s="4"/>
      <c r="WS151" s="4"/>
      <c r="WT151" s="4"/>
      <c r="WU151" s="4"/>
      <c r="WV151" s="4"/>
      <c r="WW151" s="4"/>
      <c r="WX151" s="4"/>
      <c r="WY151" s="4"/>
      <c r="WZ151" s="4"/>
      <c r="XA151" s="4"/>
      <c r="XB151" s="4"/>
      <c r="XC151" s="4"/>
      <c r="XD151" s="4"/>
      <c r="XE151" s="4"/>
      <c r="XF151" s="4"/>
      <c r="XG151" s="4"/>
      <c r="XH151" s="4"/>
      <c r="XI151" s="4"/>
      <c r="XJ151" s="4"/>
      <c r="XK151" s="4"/>
      <c r="XL151" s="4"/>
      <c r="XM151" s="4"/>
      <c r="XN151" s="4"/>
      <c r="XO151" s="4"/>
      <c r="XP151" s="4"/>
      <c r="XQ151" s="4"/>
      <c r="XR151" s="4"/>
      <c r="XS151" s="4"/>
      <c r="XT151" s="4"/>
      <c r="XU151" s="4"/>
      <c r="XV151" s="4"/>
      <c r="XW151" s="4"/>
      <c r="XX151" s="4"/>
      <c r="XY151" s="4"/>
      <c r="XZ151" s="4"/>
      <c r="YA151" s="4"/>
      <c r="YB151" s="4"/>
      <c r="YC151" s="4"/>
      <c r="YD151" s="4"/>
      <c r="YE151" s="4"/>
      <c r="YF151" s="4"/>
      <c r="YG151" s="4"/>
      <c r="YH151" s="4"/>
      <c r="YI151" s="4"/>
      <c r="YJ151" s="4"/>
      <c r="YK151" s="4"/>
      <c r="YL151" s="4"/>
      <c r="YM151" s="4"/>
      <c r="YN151" s="4"/>
      <c r="YO151" s="4"/>
      <c r="YP151" s="4"/>
      <c r="YQ151" s="4"/>
      <c r="YR151" s="4"/>
      <c r="YS151" s="4"/>
      <c r="YT151" s="4"/>
      <c r="YU151" s="4"/>
      <c r="YV151" s="4"/>
      <c r="YW151" s="4"/>
      <c r="YX151" s="4"/>
      <c r="YY151" s="4"/>
      <c r="YZ151" s="4"/>
      <c r="ZA151" s="4"/>
      <c r="ZB151" s="4"/>
      <c r="ZC151" s="4"/>
      <c r="ZD151" s="4"/>
      <c r="ZE151" s="4"/>
      <c r="ZF151" s="4"/>
      <c r="ZG151" s="4"/>
      <c r="ZH151" s="4"/>
      <c r="ZI151" s="4"/>
      <c r="ZJ151" s="4"/>
      <c r="ZK151" s="4"/>
      <c r="ZL151" s="4"/>
      <c r="ZM151" s="4"/>
      <c r="ZN151" s="4"/>
      <c r="ZO151" s="4"/>
      <c r="ZP151" s="4"/>
      <c r="ZQ151" s="4"/>
      <c r="ZR151" s="4"/>
      <c r="ZS151" s="4"/>
      <c r="ZT151" s="4"/>
      <c r="ZU151" s="4"/>
      <c r="ZV151" s="4"/>
      <c r="ZW151" s="4"/>
      <c r="ZX151" s="4"/>
      <c r="ZY151" s="4"/>
      <c r="ZZ151" s="4"/>
      <c r="AAA151" s="4"/>
      <c r="AAB151" s="4"/>
      <c r="AAC151" s="4"/>
      <c r="AAD151" s="4"/>
      <c r="AAE151" s="4"/>
      <c r="AAF151" s="4"/>
      <c r="AAG151" s="4"/>
      <c r="AAH151" s="4"/>
      <c r="AAI151" s="4"/>
      <c r="AAJ151" s="4"/>
      <c r="AAK151" s="4"/>
      <c r="AAL151" s="4"/>
      <c r="AAM151" s="4"/>
      <c r="AAN151" s="4"/>
      <c r="AAO151" s="4"/>
      <c r="AAP151" s="4"/>
      <c r="AAQ151" s="4"/>
      <c r="AAR151" s="4"/>
      <c r="AAS151" s="4"/>
      <c r="AAT151" s="4"/>
      <c r="AAU151" s="4"/>
      <c r="AAV151" s="4"/>
      <c r="AAW151" s="4"/>
      <c r="AAX151" s="4"/>
      <c r="AAY151" s="4"/>
      <c r="AAZ151" s="4"/>
      <c r="ABA151" s="4"/>
      <c r="ABB151" s="4"/>
      <c r="ABC151" s="4"/>
      <c r="ABD151" s="4"/>
      <c r="ABE151" s="4"/>
      <c r="ABF151" s="4"/>
      <c r="ABG151" s="4"/>
      <c r="ABH151" s="4"/>
      <c r="ABI151" s="4"/>
      <c r="ABJ151" s="4"/>
      <c r="ABK151" s="4"/>
      <c r="ABL151" s="4"/>
      <c r="ABM151" s="4"/>
      <c r="ABN151" s="4"/>
      <c r="ABO151" s="4"/>
      <c r="ABP151" s="4"/>
      <c r="ABQ151" s="4"/>
      <c r="ABR151" s="4"/>
      <c r="ABS151" s="4"/>
      <c r="ABT151" s="4"/>
      <c r="ABU151" s="4"/>
      <c r="ABV151" s="4"/>
      <c r="ABW151" s="4"/>
      <c r="ABX151" s="4"/>
      <c r="ABY151" s="4"/>
      <c r="ABZ151" s="4"/>
      <c r="ACA151" s="4"/>
      <c r="ACB151" s="4"/>
      <c r="ACC151" s="4"/>
      <c r="ACD151" s="4"/>
      <c r="ACE151" s="4"/>
      <c r="ACF151" s="4"/>
      <c r="ACG151" s="4"/>
      <c r="ACH151" s="4"/>
      <c r="ACI151" s="4"/>
      <c r="ACJ151" s="4"/>
      <c r="ACK151" s="4"/>
      <c r="ACL151" s="4"/>
      <c r="ACM151" s="4"/>
      <c r="ACN151" s="4"/>
      <c r="ACO151" s="4"/>
      <c r="ACP151" s="4"/>
      <c r="ACQ151" s="4"/>
      <c r="ACR151" s="4"/>
      <c r="ACS151" s="4"/>
      <c r="ACT151" s="4"/>
      <c r="ACU151" s="4"/>
      <c r="ACV151" s="4"/>
      <c r="ACW151" s="4"/>
      <c r="ACX151" s="4"/>
      <c r="ACY151" s="4"/>
      <c r="ACZ151" s="4"/>
      <c r="ADA151" s="4"/>
      <c r="ADB151" s="4"/>
      <c r="ADC151" s="4"/>
      <c r="ADD151" s="4"/>
      <c r="ADE151" s="4"/>
      <c r="ADF151" s="4"/>
      <c r="ADG151" s="4"/>
      <c r="ADH151" s="4"/>
      <c r="ADI151" s="4"/>
      <c r="ADJ151" s="4"/>
      <c r="ADK151" s="4"/>
      <c r="ADL151" s="4"/>
      <c r="ADM151" s="4"/>
      <c r="ADN151" s="4"/>
      <c r="ADO151" s="4"/>
      <c r="ADP151" s="4"/>
      <c r="ADQ151" s="4"/>
      <c r="ADR151" s="4"/>
      <c r="ADS151" s="4"/>
      <c r="ADT151" s="4"/>
      <c r="ADU151" s="4"/>
      <c r="ADV151" s="4"/>
      <c r="ADW151" s="4"/>
      <c r="ADX151" s="4"/>
      <c r="ADY151" s="4"/>
      <c r="ADZ151" s="4"/>
      <c r="AEA151" s="4"/>
      <c r="AEB151" s="4"/>
      <c r="AEC151" s="4"/>
      <c r="AED151" s="4"/>
      <c r="AEE151" s="4"/>
      <c r="AEF151" s="4"/>
      <c r="AEG151" s="4"/>
      <c r="AEH151" s="4"/>
      <c r="AEI151" s="4"/>
      <c r="AEJ151" s="4"/>
      <c r="AEK151" s="4"/>
      <c r="AEL151" s="4"/>
      <c r="AEM151" s="4"/>
      <c r="AEN151" s="4"/>
      <c r="AEO151" s="4"/>
      <c r="AEP151" s="4"/>
      <c r="AEQ151" s="4"/>
      <c r="AER151" s="4"/>
      <c r="AES151" s="4"/>
      <c r="AET151" s="4"/>
      <c r="AEU151" s="4"/>
      <c r="AEV151" s="4"/>
      <c r="AEW151" s="4"/>
      <c r="AEX151" s="4"/>
      <c r="AEY151" s="4"/>
      <c r="AEZ151" s="4"/>
      <c r="AFA151" s="4"/>
      <c r="AFB151" s="4"/>
      <c r="AFC151" s="4"/>
      <c r="AFD151" s="4"/>
      <c r="AFE151" s="4"/>
      <c r="AFF151" s="4"/>
      <c r="AFG151" s="4"/>
      <c r="AFH151" s="4"/>
      <c r="AFI151" s="4"/>
      <c r="AFJ151" s="4"/>
      <c r="AFK151" s="4"/>
      <c r="AFL151" s="4"/>
      <c r="AFM151" s="4"/>
      <c r="AFN151" s="4"/>
      <c r="AFO151" s="4"/>
      <c r="AFP151" s="4"/>
      <c r="AFQ151" s="4"/>
      <c r="AFR151" s="4"/>
      <c r="AFS151" s="4"/>
      <c r="AFT151" s="4"/>
      <c r="AFU151" s="4"/>
      <c r="AFV151" s="4"/>
      <c r="AFW151" s="4"/>
      <c r="AFX151" s="4"/>
      <c r="AFY151" s="4"/>
      <c r="AFZ151" s="4"/>
      <c r="AGA151" s="4"/>
      <c r="AGB151" s="4"/>
      <c r="AGC151" s="4"/>
      <c r="AGD151" s="4"/>
      <c r="AGE151" s="4"/>
      <c r="AGF151" s="4"/>
      <c r="AGG151" s="4"/>
      <c r="AGH151" s="4"/>
      <c r="AGI151" s="4"/>
      <c r="AGJ151" s="4"/>
      <c r="AGK151" s="4"/>
      <c r="AGL151" s="4"/>
      <c r="AGM151" s="4"/>
      <c r="AGN151" s="4"/>
      <c r="AGO151" s="4"/>
      <c r="AGP151" s="4"/>
      <c r="AGQ151" s="4"/>
      <c r="AGR151" s="4"/>
      <c r="AGS151" s="4"/>
      <c r="AGT151" s="4"/>
      <c r="AGU151" s="4"/>
      <c r="AGV151" s="4"/>
      <c r="AGW151" s="4"/>
      <c r="AGX151" s="4"/>
      <c r="AGY151" s="4"/>
      <c r="AGZ151" s="4"/>
      <c r="AHA151" s="4"/>
      <c r="AHB151" s="4"/>
      <c r="AHC151" s="4"/>
      <c r="AHD151" s="4"/>
      <c r="AHE151" s="4"/>
      <c r="AHF151" s="4"/>
      <c r="AHG151" s="4"/>
      <c r="AHH151" s="4"/>
      <c r="AHI151" s="4"/>
      <c r="AHJ151" s="4"/>
      <c r="AHK151" s="4"/>
      <c r="AHL151" s="4"/>
      <c r="AHM151" s="4"/>
      <c r="AHN151" s="4"/>
      <c r="AHO151" s="4"/>
      <c r="AHP151" s="4"/>
      <c r="AHQ151" s="4"/>
      <c r="AHR151" s="4"/>
      <c r="AHS151" s="4"/>
      <c r="AHT151" s="4"/>
      <c r="AHU151" s="4"/>
      <c r="AHV151" s="4"/>
      <c r="AHW151" s="4"/>
      <c r="AHX151" s="4"/>
      <c r="AHY151" s="4"/>
      <c r="AHZ151" s="4"/>
      <c r="AIA151" s="4"/>
      <c r="AIB151" s="4"/>
      <c r="AIC151" s="4"/>
      <c r="AID151" s="4"/>
      <c r="AIE151" s="4"/>
      <c r="AIF151" s="4"/>
      <c r="AIG151" s="4"/>
      <c r="AIH151" s="4"/>
      <c r="AII151" s="4"/>
      <c r="AIJ151" s="4"/>
      <c r="AIK151" s="4"/>
      <c r="AIL151" s="4"/>
      <c r="AIM151" s="4"/>
      <c r="AIN151" s="4"/>
      <c r="AIO151" s="4"/>
      <c r="AIP151" s="4"/>
      <c r="AIQ151" s="4"/>
      <c r="AIR151" s="4"/>
      <c r="AIS151" s="4"/>
      <c r="AIT151" s="4"/>
      <c r="AIU151" s="4"/>
      <c r="AIV151" s="4"/>
      <c r="AIW151" s="4"/>
      <c r="AIX151" s="4"/>
      <c r="AIY151" s="4"/>
      <c r="AIZ151" s="4"/>
      <c r="AJA151" s="4"/>
      <c r="AJB151" s="4"/>
      <c r="AJC151" s="4"/>
      <c r="AJD151" s="4"/>
      <c r="AJE151" s="4"/>
      <c r="AJF151" s="4"/>
      <c r="AJG151" s="4"/>
      <c r="AJH151" s="4"/>
      <c r="AJI151" s="4"/>
      <c r="AJJ151" s="4"/>
      <c r="AJK151" s="4"/>
      <c r="AJL151" s="4"/>
      <c r="AJM151" s="4"/>
      <c r="AJN151" s="4"/>
      <c r="AJO151" s="4"/>
      <c r="AJP151" s="4"/>
      <c r="AJQ151" s="4"/>
      <c r="AJR151" s="4"/>
      <c r="AJS151" s="4"/>
      <c r="AJT151" s="4"/>
      <c r="AJU151" s="4"/>
      <c r="AJV151" s="4"/>
      <c r="AJW151" s="4"/>
      <c r="AJX151" s="4"/>
      <c r="AJY151" s="4"/>
      <c r="AJZ151" s="4"/>
      <c r="AKA151" s="4"/>
      <c r="AKB151" s="4"/>
      <c r="AKC151" s="4"/>
      <c r="AKD151" s="4"/>
      <c r="AKE151" s="4"/>
      <c r="AKF151" s="4"/>
      <c r="AKG151" s="4"/>
      <c r="AKH151" s="4"/>
      <c r="AKI151" s="4"/>
      <c r="AKJ151" s="4"/>
      <c r="AKK151" s="4"/>
      <c r="AKL151" s="4"/>
      <c r="AKM151" s="4"/>
      <c r="AKN151" s="4"/>
      <c r="AKO151" s="4"/>
      <c r="AKP151" s="4"/>
      <c r="AKQ151" s="4"/>
      <c r="AKR151" s="4"/>
      <c r="AKS151" s="4"/>
      <c r="AKT151" s="4"/>
      <c r="AKU151" s="4"/>
      <c r="AKV151" s="4"/>
      <c r="AKW151" s="4"/>
      <c r="AKX151" s="4"/>
      <c r="AKY151" s="4"/>
      <c r="AKZ151" s="4"/>
      <c r="ALA151" s="4"/>
      <c r="ALB151" s="4"/>
      <c r="ALC151" s="4"/>
      <c r="ALD151" s="4"/>
      <c r="ALE151" s="4"/>
      <c r="ALF151" s="4"/>
      <c r="ALG151" s="4"/>
      <c r="ALH151" s="4"/>
      <c r="ALI151" s="4"/>
      <c r="ALJ151" s="4"/>
      <c r="ALK151" s="4"/>
      <c r="ALL151" s="4"/>
      <c r="ALM151" s="4"/>
      <c r="ALN151" s="4"/>
      <c r="ALO151" s="4"/>
      <c r="ALP151" s="4"/>
      <c r="ALQ151" s="4"/>
      <c r="ALR151" s="4"/>
      <c r="ALS151" s="4"/>
      <c r="ALT151" s="4"/>
      <c r="ALU151" s="4"/>
      <c r="ALV151" s="4"/>
      <c r="ALW151" s="4"/>
      <c r="ALX151" s="4"/>
      <c r="ALY151" s="4"/>
      <c r="ALZ151" s="4"/>
      <c r="AMA151" s="4"/>
      <c r="AMB151" s="4"/>
      <c r="AMC151" s="4"/>
      <c r="AMD151" s="4"/>
      <c r="AME151" s="4"/>
      <c r="AMF151" s="4"/>
      <c r="AMG151" s="4"/>
      <c r="AMH151" s="4"/>
      <c r="AMI151" s="4"/>
      <c r="AMJ151" s="4"/>
      <c r="AMK151" s="4"/>
      <c r="AML151" s="4"/>
      <c r="AMM151" s="4"/>
      <c r="AMN151" s="4"/>
      <c r="AMO151" s="4"/>
      <c r="AMP151" s="4"/>
      <c r="AMQ151" s="4"/>
      <c r="AMR151" s="4"/>
      <c r="AMS151" s="4"/>
      <c r="AMT151" s="4"/>
      <c r="AMU151" s="4"/>
      <c r="AMV151" s="4"/>
      <c r="AMW151" s="4"/>
      <c r="AMX151" s="4"/>
      <c r="AMY151" s="4"/>
      <c r="AMZ151" s="4"/>
      <c r="ANA151" s="4"/>
      <c r="ANB151" s="4"/>
      <c r="ANC151" s="4"/>
      <c r="AND151" s="4"/>
      <c r="ANE151" s="4"/>
      <c r="ANF151" s="4"/>
      <c r="ANG151" s="4"/>
      <c r="ANH151" s="4"/>
      <c r="ANI151" s="4"/>
      <c r="ANJ151" s="4"/>
      <c r="ANK151" s="4"/>
      <c r="ANL151" s="4"/>
      <c r="ANM151" s="4"/>
      <c r="ANN151" s="4"/>
      <c r="ANO151" s="4"/>
      <c r="ANP151" s="4"/>
      <c r="ANQ151" s="4"/>
      <c r="ANR151" s="4"/>
      <c r="ANS151" s="4"/>
      <c r="ANT151" s="4"/>
      <c r="ANU151" s="4"/>
      <c r="ANV151" s="4"/>
      <c r="ANW151" s="4"/>
      <c r="ANX151" s="4"/>
      <c r="ANY151" s="4"/>
      <c r="ANZ151" s="4"/>
      <c r="AOA151" s="4"/>
      <c r="AOB151" s="4"/>
      <c r="AOC151" s="4"/>
      <c r="AOD151" s="4"/>
      <c r="AOE151" s="4"/>
      <c r="AOF151" s="4"/>
      <c r="AOG151" s="4"/>
      <c r="AOH151" s="4"/>
      <c r="AOI151" s="4"/>
      <c r="AOJ151" s="4"/>
      <c r="AOK151" s="4"/>
      <c r="AOL151" s="4"/>
      <c r="AOM151" s="4"/>
      <c r="AON151" s="4"/>
      <c r="AOO151" s="4"/>
      <c r="AOP151" s="4"/>
      <c r="AOQ151" s="4"/>
      <c r="AOR151" s="4"/>
      <c r="AOS151" s="4"/>
      <c r="AOT151" s="4"/>
      <c r="AOU151" s="4"/>
      <c r="AOV151" s="4"/>
      <c r="AOW151" s="4"/>
      <c r="AOX151" s="4"/>
      <c r="AOY151" s="4"/>
      <c r="AOZ151" s="4"/>
      <c r="APA151" s="4"/>
      <c r="APB151" s="4"/>
      <c r="APC151" s="4"/>
      <c r="APD151" s="4"/>
      <c r="APE151" s="4"/>
      <c r="APF151" s="4"/>
      <c r="APG151" s="4"/>
      <c r="APH151" s="4"/>
      <c r="API151" s="4"/>
      <c r="APJ151" s="4"/>
      <c r="APK151" s="4"/>
      <c r="APL151" s="4"/>
      <c r="APM151" s="4"/>
      <c r="APN151" s="4"/>
      <c r="APO151" s="4"/>
      <c r="APP151" s="4"/>
      <c r="APQ151" s="4"/>
      <c r="APR151" s="4"/>
      <c r="APS151" s="4"/>
      <c r="APT151" s="4"/>
      <c r="APU151" s="4"/>
      <c r="APV151" s="4"/>
      <c r="APW151" s="4"/>
      <c r="APX151" s="4"/>
      <c r="APY151" s="4"/>
      <c r="APZ151" s="4"/>
      <c r="AQA151" s="4"/>
      <c r="AQB151" s="4"/>
      <c r="AQC151" s="4"/>
      <c r="AQD151" s="4"/>
      <c r="AQE151" s="4"/>
      <c r="AQF151" s="4"/>
      <c r="AQG151" s="4"/>
      <c r="AQH151" s="4"/>
      <c r="AQI151" s="4"/>
      <c r="AQJ151" s="4"/>
      <c r="AQK151" s="4"/>
      <c r="AQL151" s="4"/>
      <c r="AQM151" s="4"/>
      <c r="AQN151" s="4"/>
      <c r="AQO151" s="4"/>
      <c r="AQP151" s="4"/>
      <c r="AQQ151" s="4"/>
      <c r="AQR151" s="4"/>
      <c r="AQS151" s="4"/>
      <c r="AQT151" s="4"/>
      <c r="AQU151" s="4"/>
      <c r="AQV151" s="4"/>
      <c r="AQW151" s="4"/>
      <c r="AQX151" s="4"/>
      <c r="AQY151" s="4"/>
      <c r="AQZ151" s="4"/>
      <c r="ARA151" s="4"/>
      <c r="ARB151" s="4"/>
      <c r="ARC151" s="4"/>
      <c r="ARD151" s="4"/>
      <c r="ARE151" s="4"/>
      <c r="ARF151" s="4"/>
      <c r="ARG151" s="4"/>
      <c r="ARH151" s="4"/>
      <c r="ARI151" s="4"/>
      <c r="ARJ151" s="4"/>
      <c r="ARK151" s="4"/>
      <c r="ARL151" s="4"/>
      <c r="ARM151" s="4"/>
      <c r="ARN151" s="4"/>
      <c r="ARO151" s="4"/>
      <c r="ARP151" s="4"/>
      <c r="ARQ151" s="4"/>
      <c r="ARR151" s="4"/>
      <c r="ARS151" s="4"/>
      <c r="ART151" s="4"/>
      <c r="ARU151" s="4"/>
      <c r="ARV151" s="4"/>
      <c r="ARW151" s="4"/>
      <c r="ARX151" s="4"/>
      <c r="ARY151" s="4"/>
      <c r="ARZ151" s="4"/>
      <c r="ASA151" s="4"/>
      <c r="ASB151" s="4"/>
      <c r="ASC151" s="4"/>
      <c r="ASD151" s="4"/>
      <c r="ASE151" s="4"/>
      <c r="ASF151" s="4"/>
      <c r="ASG151" s="4"/>
      <c r="ASH151" s="4"/>
      <c r="ASI151" s="4"/>
      <c r="ASJ151" s="4"/>
      <c r="ASK151" s="4"/>
      <c r="ASL151" s="4"/>
      <c r="ASM151" s="4"/>
      <c r="ASN151" s="4"/>
      <c r="ASO151" s="4"/>
      <c r="ASP151" s="4"/>
      <c r="ASQ151" s="4"/>
      <c r="ASR151" s="4"/>
      <c r="ASS151" s="4"/>
      <c r="AST151" s="4"/>
      <c r="ASU151" s="4"/>
    </row>
    <row r="152" ht="15" customHeight="1" spans="1:1191" x14ac:dyDescent="0.25">
      <c r="A152" s="35" t="s">
        <v>18</v>
      </c>
      <c r="B152" s="672" t="s">
        <v>174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  <c r="UG152" s="4"/>
      <c r="UH152" s="4"/>
      <c r="UI152" s="4"/>
      <c r="UJ152" s="4"/>
      <c r="UK152" s="4"/>
      <c r="UL152" s="4"/>
      <c r="UM152" s="4"/>
      <c r="UN152" s="4"/>
      <c r="UO152" s="4"/>
      <c r="UP152" s="4"/>
      <c r="UQ152" s="4"/>
      <c r="UR152" s="4"/>
      <c r="US152" s="4"/>
      <c r="UT152" s="4"/>
      <c r="UU152" s="4"/>
      <c r="UV152" s="4"/>
      <c r="UW152" s="4"/>
      <c r="UX152" s="4"/>
      <c r="UY152" s="4"/>
      <c r="UZ152" s="4"/>
      <c r="VA152" s="4"/>
      <c r="VB152" s="4"/>
      <c r="VC152" s="4"/>
      <c r="VD152" s="4"/>
      <c r="VE152" s="4"/>
      <c r="VF152" s="4"/>
      <c r="VG152" s="4"/>
      <c r="VH152" s="4"/>
      <c r="VI152" s="4"/>
      <c r="VJ152" s="4"/>
      <c r="VK152" s="4"/>
      <c r="VL152" s="4"/>
      <c r="VM152" s="4"/>
      <c r="VN152" s="4"/>
      <c r="VO152" s="4"/>
      <c r="VP152" s="4"/>
      <c r="VQ152" s="4"/>
      <c r="VR152" s="4"/>
      <c r="VS152" s="4"/>
      <c r="VT152" s="4"/>
      <c r="VU152" s="4"/>
      <c r="VV152" s="4"/>
      <c r="VW152" s="4"/>
      <c r="VX152" s="4"/>
      <c r="VY152" s="4"/>
      <c r="VZ152" s="4"/>
      <c r="WA152" s="4"/>
      <c r="WB152" s="4"/>
      <c r="WC152" s="4"/>
      <c r="WD152" s="4"/>
      <c r="WE152" s="4"/>
      <c r="WF152" s="4"/>
      <c r="WG152" s="4"/>
      <c r="WH152" s="4"/>
      <c r="WI152" s="4"/>
      <c r="WJ152" s="4"/>
      <c r="WK152" s="4"/>
      <c r="WL152" s="4"/>
      <c r="WM152" s="4"/>
      <c r="WN152" s="4"/>
      <c r="WO152" s="4"/>
      <c r="WP152" s="4"/>
      <c r="WQ152" s="4"/>
      <c r="WR152" s="4"/>
      <c r="WS152" s="4"/>
      <c r="WT152" s="4"/>
      <c r="WU152" s="4"/>
      <c r="WV152" s="4"/>
      <c r="WW152" s="4"/>
      <c r="WX152" s="4"/>
      <c r="WY152" s="4"/>
      <c r="WZ152" s="4"/>
      <c r="XA152" s="4"/>
      <c r="XB152" s="4"/>
      <c r="XC152" s="4"/>
      <c r="XD152" s="4"/>
      <c r="XE152" s="4"/>
      <c r="XF152" s="4"/>
      <c r="XG152" s="4"/>
      <c r="XH152" s="4"/>
      <c r="XI152" s="4"/>
      <c r="XJ152" s="4"/>
      <c r="XK152" s="4"/>
      <c r="XL152" s="4"/>
      <c r="XM152" s="4"/>
      <c r="XN152" s="4"/>
      <c r="XO152" s="4"/>
      <c r="XP152" s="4"/>
      <c r="XQ152" s="4"/>
      <c r="XR152" s="4"/>
      <c r="XS152" s="4"/>
      <c r="XT152" s="4"/>
      <c r="XU152" s="4"/>
      <c r="XV152" s="4"/>
      <c r="XW152" s="4"/>
      <c r="XX152" s="4"/>
      <c r="XY152" s="4"/>
      <c r="XZ152" s="4"/>
      <c r="YA152" s="4"/>
      <c r="YB152" s="4"/>
      <c r="YC152" s="4"/>
      <c r="YD152" s="4"/>
      <c r="YE152" s="4"/>
      <c r="YF152" s="4"/>
      <c r="YG152" s="4"/>
      <c r="YH152" s="4"/>
      <c r="YI152" s="4"/>
      <c r="YJ152" s="4"/>
      <c r="YK152" s="4"/>
      <c r="YL152" s="4"/>
      <c r="YM152" s="4"/>
      <c r="YN152" s="4"/>
      <c r="YO152" s="4"/>
      <c r="YP152" s="4"/>
      <c r="YQ152" s="4"/>
      <c r="YR152" s="4"/>
      <c r="YS152" s="4"/>
      <c r="YT152" s="4"/>
      <c r="YU152" s="4"/>
      <c r="YV152" s="4"/>
      <c r="YW152" s="4"/>
      <c r="YX152" s="4"/>
      <c r="YY152" s="4"/>
      <c r="YZ152" s="4"/>
      <c r="ZA152" s="4"/>
      <c r="ZB152" s="4"/>
      <c r="ZC152" s="4"/>
      <c r="ZD152" s="4"/>
      <c r="ZE152" s="4"/>
      <c r="ZF152" s="4"/>
      <c r="ZG152" s="4"/>
      <c r="ZH152" s="4"/>
      <c r="ZI152" s="4"/>
      <c r="ZJ152" s="4"/>
      <c r="ZK152" s="4"/>
      <c r="ZL152" s="4"/>
      <c r="ZM152" s="4"/>
      <c r="ZN152" s="4"/>
      <c r="ZO152" s="4"/>
      <c r="ZP152" s="4"/>
      <c r="ZQ152" s="4"/>
      <c r="ZR152" s="4"/>
      <c r="ZS152" s="4"/>
      <c r="ZT152" s="4"/>
      <c r="ZU152" s="4"/>
      <c r="ZV152" s="4"/>
      <c r="ZW152" s="4"/>
      <c r="ZX152" s="4"/>
      <c r="ZY152" s="4"/>
      <c r="ZZ152" s="4"/>
      <c r="AAA152" s="4"/>
      <c r="AAB152" s="4"/>
      <c r="AAC152" s="4"/>
      <c r="AAD152" s="4"/>
      <c r="AAE152" s="4"/>
      <c r="AAF152" s="4"/>
      <c r="AAG152" s="4"/>
      <c r="AAH152" s="4"/>
      <c r="AAI152" s="4"/>
      <c r="AAJ152" s="4"/>
      <c r="AAK152" s="4"/>
      <c r="AAL152" s="4"/>
      <c r="AAM152" s="4"/>
      <c r="AAN152" s="4"/>
      <c r="AAO152" s="4"/>
      <c r="AAP152" s="4"/>
      <c r="AAQ152" s="4"/>
      <c r="AAR152" s="4"/>
      <c r="AAS152" s="4"/>
      <c r="AAT152" s="4"/>
      <c r="AAU152" s="4"/>
      <c r="AAV152" s="4"/>
      <c r="AAW152" s="4"/>
      <c r="AAX152" s="4"/>
      <c r="AAY152" s="4"/>
      <c r="AAZ152" s="4"/>
      <c r="ABA152" s="4"/>
      <c r="ABB152" s="4"/>
      <c r="ABC152" s="4"/>
      <c r="ABD152" s="4"/>
      <c r="ABE152" s="4"/>
      <c r="ABF152" s="4"/>
      <c r="ABG152" s="4"/>
      <c r="ABH152" s="4"/>
      <c r="ABI152" s="4"/>
      <c r="ABJ152" s="4"/>
      <c r="ABK152" s="4"/>
      <c r="ABL152" s="4"/>
      <c r="ABM152" s="4"/>
      <c r="ABN152" s="4"/>
      <c r="ABO152" s="4"/>
      <c r="ABP152" s="4"/>
      <c r="ABQ152" s="4"/>
      <c r="ABR152" s="4"/>
      <c r="ABS152" s="4"/>
      <c r="ABT152" s="4"/>
      <c r="ABU152" s="4"/>
      <c r="ABV152" s="4"/>
      <c r="ABW152" s="4"/>
      <c r="ABX152" s="4"/>
      <c r="ABY152" s="4"/>
      <c r="ABZ152" s="4"/>
      <c r="ACA152" s="4"/>
      <c r="ACB152" s="4"/>
      <c r="ACC152" s="4"/>
      <c r="ACD152" s="4"/>
      <c r="ACE152" s="4"/>
      <c r="ACF152" s="4"/>
      <c r="ACG152" s="4"/>
      <c r="ACH152" s="4"/>
      <c r="ACI152" s="4"/>
      <c r="ACJ152" s="4"/>
      <c r="ACK152" s="4"/>
      <c r="ACL152" s="4"/>
      <c r="ACM152" s="4"/>
      <c r="ACN152" s="4"/>
      <c r="ACO152" s="4"/>
      <c r="ACP152" s="4"/>
      <c r="ACQ152" s="4"/>
      <c r="ACR152" s="4"/>
      <c r="ACS152" s="4"/>
      <c r="ACT152" s="4"/>
      <c r="ACU152" s="4"/>
      <c r="ACV152" s="4"/>
      <c r="ACW152" s="4"/>
      <c r="ACX152" s="4"/>
      <c r="ACY152" s="4"/>
      <c r="ACZ152" s="4"/>
      <c r="ADA152" s="4"/>
      <c r="ADB152" s="4"/>
      <c r="ADC152" s="4"/>
      <c r="ADD152" s="4"/>
      <c r="ADE152" s="4"/>
      <c r="ADF152" s="4"/>
      <c r="ADG152" s="4"/>
      <c r="ADH152" s="4"/>
      <c r="ADI152" s="4"/>
      <c r="ADJ152" s="4"/>
      <c r="ADK152" s="4"/>
      <c r="ADL152" s="4"/>
      <c r="ADM152" s="4"/>
      <c r="ADN152" s="4"/>
      <c r="ADO152" s="4"/>
      <c r="ADP152" s="4"/>
      <c r="ADQ152" s="4"/>
      <c r="ADR152" s="4"/>
      <c r="ADS152" s="4"/>
      <c r="ADT152" s="4"/>
      <c r="ADU152" s="4"/>
      <c r="ADV152" s="4"/>
      <c r="ADW152" s="4"/>
      <c r="ADX152" s="4"/>
      <c r="ADY152" s="4"/>
      <c r="ADZ152" s="4"/>
      <c r="AEA152" s="4"/>
      <c r="AEB152" s="4"/>
      <c r="AEC152" s="4"/>
      <c r="AED152" s="4"/>
      <c r="AEE152" s="4"/>
      <c r="AEF152" s="4"/>
      <c r="AEG152" s="4"/>
      <c r="AEH152" s="4"/>
      <c r="AEI152" s="4"/>
      <c r="AEJ152" s="4"/>
      <c r="AEK152" s="4"/>
      <c r="AEL152" s="4"/>
      <c r="AEM152" s="4"/>
      <c r="AEN152" s="4"/>
      <c r="AEO152" s="4"/>
      <c r="AEP152" s="4"/>
      <c r="AEQ152" s="4"/>
      <c r="AER152" s="4"/>
      <c r="AES152" s="4"/>
      <c r="AET152" s="4"/>
      <c r="AEU152" s="4"/>
      <c r="AEV152" s="4"/>
      <c r="AEW152" s="4"/>
      <c r="AEX152" s="4"/>
      <c r="AEY152" s="4"/>
      <c r="AEZ152" s="4"/>
      <c r="AFA152" s="4"/>
      <c r="AFB152" s="4"/>
      <c r="AFC152" s="4"/>
      <c r="AFD152" s="4"/>
      <c r="AFE152" s="4"/>
      <c r="AFF152" s="4"/>
      <c r="AFG152" s="4"/>
      <c r="AFH152" s="4"/>
      <c r="AFI152" s="4"/>
      <c r="AFJ152" s="4"/>
      <c r="AFK152" s="4"/>
      <c r="AFL152" s="4"/>
      <c r="AFM152" s="4"/>
      <c r="AFN152" s="4"/>
      <c r="AFO152" s="4"/>
      <c r="AFP152" s="4"/>
      <c r="AFQ152" s="4"/>
      <c r="AFR152" s="4"/>
      <c r="AFS152" s="4"/>
      <c r="AFT152" s="4"/>
      <c r="AFU152" s="4"/>
      <c r="AFV152" s="4"/>
      <c r="AFW152" s="4"/>
      <c r="AFX152" s="4"/>
      <c r="AFY152" s="4"/>
      <c r="AFZ152" s="4"/>
      <c r="AGA152" s="4"/>
      <c r="AGB152" s="4"/>
      <c r="AGC152" s="4"/>
      <c r="AGD152" s="4"/>
      <c r="AGE152" s="4"/>
      <c r="AGF152" s="4"/>
      <c r="AGG152" s="4"/>
      <c r="AGH152" s="4"/>
      <c r="AGI152" s="4"/>
      <c r="AGJ152" s="4"/>
      <c r="AGK152" s="4"/>
      <c r="AGL152" s="4"/>
      <c r="AGM152" s="4"/>
      <c r="AGN152" s="4"/>
      <c r="AGO152" s="4"/>
      <c r="AGP152" s="4"/>
      <c r="AGQ152" s="4"/>
      <c r="AGR152" s="4"/>
      <c r="AGS152" s="4"/>
      <c r="AGT152" s="4"/>
      <c r="AGU152" s="4"/>
      <c r="AGV152" s="4"/>
      <c r="AGW152" s="4"/>
      <c r="AGX152" s="4"/>
      <c r="AGY152" s="4"/>
      <c r="AGZ152" s="4"/>
      <c r="AHA152" s="4"/>
      <c r="AHB152" s="4"/>
      <c r="AHC152" s="4"/>
      <c r="AHD152" s="4"/>
      <c r="AHE152" s="4"/>
      <c r="AHF152" s="4"/>
      <c r="AHG152" s="4"/>
      <c r="AHH152" s="4"/>
      <c r="AHI152" s="4"/>
      <c r="AHJ152" s="4"/>
      <c r="AHK152" s="4"/>
      <c r="AHL152" s="4"/>
      <c r="AHM152" s="4"/>
      <c r="AHN152" s="4"/>
      <c r="AHO152" s="4"/>
      <c r="AHP152" s="4"/>
      <c r="AHQ152" s="4"/>
      <c r="AHR152" s="4"/>
      <c r="AHS152" s="4"/>
      <c r="AHT152" s="4"/>
      <c r="AHU152" s="4"/>
      <c r="AHV152" s="4"/>
      <c r="AHW152" s="4"/>
      <c r="AHX152" s="4"/>
      <c r="AHY152" s="4"/>
      <c r="AHZ152" s="4"/>
      <c r="AIA152" s="4"/>
      <c r="AIB152" s="4"/>
      <c r="AIC152" s="4"/>
      <c r="AID152" s="4"/>
      <c r="AIE152" s="4"/>
      <c r="AIF152" s="4"/>
      <c r="AIG152" s="4"/>
      <c r="AIH152" s="4"/>
      <c r="AII152" s="4"/>
      <c r="AIJ152" s="4"/>
      <c r="AIK152" s="4"/>
      <c r="AIL152" s="4"/>
      <c r="AIM152" s="4"/>
      <c r="AIN152" s="4"/>
      <c r="AIO152" s="4"/>
      <c r="AIP152" s="4"/>
      <c r="AIQ152" s="4"/>
      <c r="AIR152" s="4"/>
      <c r="AIS152" s="4"/>
      <c r="AIT152" s="4"/>
      <c r="AIU152" s="4"/>
      <c r="AIV152" s="4"/>
      <c r="AIW152" s="4"/>
      <c r="AIX152" s="4"/>
      <c r="AIY152" s="4"/>
      <c r="AIZ152" s="4"/>
      <c r="AJA152" s="4"/>
      <c r="AJB152" s="4"/>
      <c r="AJC152" s="4"/>
      <c r="AJD152" s="4"/>
      <c r="AJE152" s="4"/>
      <c r="AJF152" s="4"/>
      <c r="AJG152" s="4"/>
      <c r="AJH152" s="4"/>
      <c r="AJI152" s="4"/>
      <c r="AJJ152" s="4"/>
      <c r="AJK152" s="4"/>
      <c r="AJL152" s="4"/>
      <c r="AJM152" s="4"/>
      <c r="AJN152" s="4"/>
      <c r="AJO152" s="4"/>
      <c r="AJP152" s="4"/>
      <c r="AJQ152" s="4"/>
      <c r="AJR152" s="4"/>
      <c r="AJS152" s="4"/>
      <c r="AJT152" s="4"/>
      <c r="AJU152" s="4"/>
      <c r="AJV152" s="4"/>
      <c r="AJW152" s="4"/>
      <c r="AJX152" s="4"/>
      <c r="AJY152" s="4"/>
      <c r="AJZ152" s="4"/>
      <c r="AKA152" s="4"/>
      <c r="AKB152" s="4"/>
      <c r="AKC152" s="4"/>
      <c r="AKD152" s="4"/>
      <c r="AKE152" s="4"/>
      <c r="AKF152" s="4"/>
      <c r="AKG152" s="4"/>
      <c r="AKH152" s="4"/>
      <c r="AKI152" s="4"/>
      <c r="AKJ152" s="4"/>
      <c r="AKK152" s="4"/>
      <c r="AKL152" s="4"/>
      <c r="AKM152" s="4"/>
      <c r="AKN152" s="4"/>
      <c r="AKO152" s="4"/>
      <c r="AKP152" s="4"/>
      <c r="AKQ152" s="4"/>
      <c r="AKR152" s="4"/>
      <c r="AKS152" s="4"/>
      <c r="AKT152" s="4"/>
      <c r="AKU152" s="4"/>
      <c r="AKV152" s="4"/>
      <c r="AKW152" s="4"/>
      <c r="AKX152" s="4"/>
      <c r="AKY152" s="4"/>
      <c r="AKZ152" s="4"/>
      <c r="ALA152" s="4"/>
      <c r="ALB152" s="4"/>
      <c r="ALC152" s="4"/>
      <c r="ALD152" s="4"/>
      <c r="ALE152" s="4"/>
      <c r="ALF152" s="4"/>
      <c r="ALG152" s="4"/>
      <c r="ALH152" s="4"/>
      <c r="ALI152" s="4"/>
      <c r="ALJ152" s="4"/>
      <c r="ALK152" s="4"/>
      <c r="ALL152" s="4"/>
      <c r="ALM152" s="4"/>
      <c r="ALN152" s="4"/>
      <c r="ALO152" s="4"/>
      <c r="ALP152" s="4"/>
      <c r="ALQ152" s="4"/>
      <c r="ALR152" s="4"/>
      <c r="ALS152" s="4"/>
      <c r="ALT152" s="4"/>
      <c r="ALU152" s="4"/>
      <c r="ALV152" s="4"/>
      <c r="ALW152" s="4"/>
      <c r="ALX152" s="4"/>
      <c r="ALY152" s="4"/>
      <c r="ALZ152" s="4"/>
      <c r="AMA152" s="4"/>
      <c r="AMB152" s="4"/>
      <c r="AMC152" s="4"/>
      <c r="AMD152" s="4"/>
      <c r="AME152" s="4"/>
      <c r="AMF152" s="4"/>
      <c r="AMG152" s="4"/>
      <c r="AMH152" s="4"/>
      <c r="AMI152" s="4"/>
      <c r="AMJ152" s="4"/>
      <c r="AMK152" s="4"/>
      <c r="AML152" s="4"/>
      <c r="AMM152" s="4"/>
      <c r="AMN152" s="4"/>
      <c r="AMO152" s="4"/>
      <c r="AMP152" s="4"/>
      <c r="AMQ152" s="4"/>
      <c r="AMR152" s="4"/>
      <c r="AMS152" s="4"/>
      <c r="AMT152" s="4"/>
      <c r="AMU152" s="4"/>
      <c r="AMV152" s="4"/>
      <c r="AMW152" s="4"/>
      <c r="AMX152" s="4"/>
      <c r="AMY152" s="4"/>
      <c r="AMZ152" s="4"/>
      <c r="ANA152" s="4"/>
      <c r="ANB152" s="4"/>
      <c r="ANC152" s="4"/>
      <c r="AND152" s="4"/>
      <c r="ANE152" s="4"/>
      <c r="ANF152" s="4"/>
      <c r="ANG152" s="4"/>
      <c r="ANH152" s="4"/>
      <c r="ANI152" s="4"/>
      <c r="ANJ152" s="4"/>
      <c r="ANK152" s="4"/>
      <c r="ANL152" s="4"/>
      <c r="ANM152" s="4"/>
      <c r="ANN152" s="4"/>
      <c r="ANO152" s="4"/>
      <c r="ANP152" s="4"/>
      <c r="ANQ152" s="4"/>
      <c r="ANR152" s="4"/>
      <c r="ANS152" s="4"/>
      <c r="ANT152" s="4"/>
      <c r="ANU152" s="4"/>
      <c r="ANV152" s="4"/>
      <c r="ANW152" s="4"/>
      <c r="ANX152" s="4"/>
      <c r="ANY152" s="4"/>
      <c r="ANZ152" s="4"/>
      <c r="AOA152" s="4"/>
      <c r="AOB152" s="4"/>
      <c r="AOC152" s="4"/>
      <c r="AOD152" s="4"/>
      <c r="AOE152" s="4"/>
      <c r="AOF152" s="4"/>
      <c r="AOG152" s="4"/>
      <c r="AOH152" s="4"/>
      <c r="AOI152" s="4"/>
      <c r="AOJ152" s="4"/>
      <c r="AOK152" s="4"/>
      <c r="AOL152" s="4"/>
      <c r="AOM152" s="4"/>
      <c r="AON152" s="4"/>
      <c r="AOO152" s="4"/>
      <c r="AOP152" s="4"/>
      <c r="AOQ152" s="4"/>
      <c r="AOR152" s="4"/>
      <c r="AOS152" s="4"/>
      <c r="AOT152" s="4"/>
      <c r="AOU152" s="4"/>
      <c r="AOV152" s="4"/>
      <c r="AOW152" s="4"/>
      <c r="AOX152" s="4"/>
      <c r="AOY152" s="4"/>
      <c r="AOZ152" s="4"/>
      <c r="APA152" s="4"/>
      <c r="APB152" s="4"/>
      <c r="APC152" s="4"/>
      <c r="APD152" s="4"/>
      <c r="APE152" s="4"/>
      <c r="APF152" s="4"/>
      <c r="APG152" s="4"/>
      <c r="APH152" s="4"/>
      <c r="API152" s="4"/>
      <c r="APJ152" s="4"/>
      <c r="APK152" s="4"/>
      <c r="APL152" s="4"/>
      <c r="APM152" s="4"/>
      <c r="APN152" s="4"/>
      <c r="APO152" s="4"/>
      <c r="APP152" s="4"/>
      <c r="APQ152" s="4"/>
      <c r="APR152" s="4"/>
      <c r="APS152" s="4"/>
      <c r="APT152" s="4"/>
      <c r="APU152" s="4"/>
      <c r="APV152" s="4"/>
      <c r="APW152" s="4"/>
      <c r="APX152" s="4"/>
      <c r="APY152" s="4"/>
      <c r="APZ152" s="4"/>
      <c r="AQA152" s="4"/>
      <c r="AQB152" s="4"/>
      <c r="AQC152" s="4"/>
      <c r="AQD152" s="4"/>
      <c r="AQE152" s="4"/>
      <c r="AQF152" s="4"/>
      <c r="AQG152" s="4"/>
      <c r="AQH152" s="4"/>
      <c r="AQI152" s="4"/>
      <c r="AQJ152" s="4"/>
      <c r="AQK152" s="4"/>
      <c r="AQL152" s="4"/>
      <c r="AQM152" s="4"/>
      <c r="AQN152" s="4"/>
      <c r="AQO152" s="4"/>
      <c r="AQP152" s="4"/>
      <c r="AQQ152" s="4"/>
      <c r="AQR152" s="4"/>
      <c r="AQS152" s="4"/>
      <c r="AQT152" s="4"/>
      <c r="AQU152" s="4"/>
      <c r="AQV152" s="4"/>
      <c r="AQW152" s="4"/>
      <c r="AQX152" s="4"/>
      <c r="AQY152" s="4"/>
      <c r="AQZ152" s="4"/>
      <c r="ARA152" s="4"/>
      <c r="ARB152" s="4"/>
      <c r="ARC152" s="4"/>
      <c r="ARD152" s="4"/>
      <c r="ARE152" s="4"/>
      <c r="ARF152" s="4"/>
      <c r="ARG152" s="4"/>
      <c r="ARH152" s="4"/>
      <c r="ARI152" s="4"/>
      <c r="ARJ152" s="4"/>
      <c r="ARK152" s="4"/>
      <c r="ARL152" s="4"/>
      <c r="ARM152" s="4"/>
      <c r="ARN152" s="4"/>
      <c r="ARO152" s="4"/>
      <c r="ARP152" s="4"/>
      <c r="ARQ152" s="4"/>
      <c r="ARR152" s="4"/>
      <c r="ARS152" s="4"/>
      <c r="ART152" s="4"/>
      <c r="ARU152" s="4"/>
      <c r="ARV152" s="4"/>
      <c r="ARW152" s="4"/>
      <c r="ARX152" s="4"/>
      <c r="ARY152" s="4"/>
      <c r="ARZ152" s="4"/>
      <c r="ASA152" s="4"/>
      <c r="ASB152" s="4"/>
      <c r="ASC152" s="4"/>
      <c r="ASD152" s="4"/>
      <c r="ASE152" s="4"/>
      <c r="ASF152" s="4"/>
      <c r="ASG152" s="4"/>
      <c r="ASH152" s="4"/>
      <c r="ASI152" s="4"/>
      <c r="ASJ152" s="4"/>
      <c r="ASK152" s="4"/>
      <c r="ASL152" s="4"/>
      <c r="ASM152" s="4"/>
      <c r="ASN152" s="4"/>
      <c r="ASO152" s="4"/>
      <c r="ASP152" s="4"/>
      <c r="ASQ152" s="4"/>
      <c r="ASR152" s="4"/>
      <c r="ASS152" s="4"/>
      <c r="AST152" s="4"/>
      <c r="ASU152" s="4"/>
    </row>
    <row r="153" ht="15" customHeight="1" spans="1:1191" x14ac:dyDescent="0.25">
      <c r="A153" s="38" t="s">
        <v>22</v>
      </c>
      <c r="B153" s="672" t="s">
        <v>175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  <c r="UG153" s="4"/>
      <c r="UH153" s="4"/>
      <c r="UI153" s="4"/>
      <c r="UJ153" s="4"/>
      <c r="UK153" s="4"/>
      <c r="UL153" s="4"/>
      <c r="UM153" s="4"/>
      <c r="UN153" s="4"/>
      <c r="UO153" s="4"/>
      <c r="UP153" s="4"/>
      <c r="UQ153" s="4"/>
      <c r="UR153" s="4"/>
      <c r="US153" s="4"/>
      <c r="UT153" s="4"/>
      <c r="UU153" s="4"/>
      <c r="UV153" s="4"/>
      <c r="UW153" s="4"/>
      <c r="UX153" s="4"/>
      <c r="UY153" s="4"/>
      <c r="UZ153" s="4"/>
      <c r="VA153" s="4"/>
      <c r="VB153" s="4"/>
      <c r="VC153" s="4"/>
      <c r="VD153" s="4"/>
      <c r="VE153" s="4"/>
      <c r="VF153" s="4"/>
      <c r="VG153" s="4"/>
      <c r="VH153" s="4"/>
      <c r="VI153" s="4"/>
      <c r="VJ153" s="4"/>
      <c r="VK153" s="4"/>
      <c r="VL153" s="4"/>
      <c r="VM153" s="4"/>
      <c r="VN153" s="4"/>
      <c r="VO153" s="4"/>
      <c r="VP153" s="4"/>
      <c r="VQ153" s="4"/>
      <c r="VR153" s="4"/>
      <c r="VS153" s="4"/>
      <c r="VT153" s="4"/>
      <c r="VU153" s="4"/>
      <c r="VV153" s="4"/>
      <c r="VW153" s="4"/>
      <c r="VX153" s="4"/>
      <c r="VY153" s="4"/>
      <c r="VZ153" s="4"/>
      <c r="WA153" s="4"/>
      <c r="WB153" s="4"/>
      <c r="WC153" s="4"/>
      <c r="WD153" s="4"/>
      <c r="WE153" s="4"/>
      <c r="WF153" s="4"/>
      <c r="WG153" s="4"/>
      <c r="WH153" s="4"/>
      <c r="WI153" s="4"/>
      <c r="WJ153" s="4"/>
      <c r="WK153" s="4"/>
      <c r="WL153" s="4"/>
      <c r="WM153" s="4"/>
      <c r="WN153" s="4"/>
      <c r="WO153" s="4"/>
      <c r="WP153" s="4"/>
      <c r="WQ153" s="4"/>
      <c r="WR153" s="4"/>
      <c r="WS153" s="4"/>
      <c r="WT153" s="4"/>
      <c r="WU153" s="4"/>
      <c r="WV153" s="4"/>
      <c r="WW153" s="4"/>
      <c r="WX153" s="4"/>
      <c r="WY153" s="4"/>
      <c r="WZ153" s="4"/>
      <c r="XA153" s="4"/>
      <c r="XB153" s="4"/>
      <c r="XC153" s="4"/>
      <c r="XD153" s="4"/>
      <c r="XE153" s="4"/>
      <c r="XF153" s="4"/>
      <c r="XG153" s="4"/>
      <c r="XH153" s="4"/>
      <c r="XI153" s="4"/>
      <c r="XJ153" s="4"/>
      <c r="XK153" s="4"/>
      <c r="XL153" s="4"/>
      <c r="XM153" s="4"/>
      <c r="XN153" s="4"/>
      <c r="XO153" s="4"/>
      <c r="XP153" s="4"/>
      <c r="XQ153" s="4"/>
      <c r="XR153" s="4"/>
      <c r="XS153" s="4"/>
      <c r="XT153" s="4"/>
      <c r="XU153" s="4"/>
      <c r="XV153" s="4"/>
      <c r="XW153" s="4"/>
      <c r="XX153" s="4"/>
      <c r="XY153" s="4"/>
      <c r="XZ153" s="4"/>
      <c r="YA153" s="4"/>
      <c r="YB153" s="4"/>
      <c r="YC153" s="4"/>
      <c r="YD153" s="4"/>
      <c r="YE153" s="4"/>
      <c r="YF153" s="4"/>
      <c r="YG153" s="4"/>
      <c r="YH153" s="4"/>
      <c r="YI153" s="4"/>
      <c r="YJ153" s="4"/>
      <c r="YK153" s="4"/>
      <c r="YL153" s="4"/>
      <c r="YM153" s="4"/>
      <c r="YN153" s="4"/>
      <c r="YO153" s="4"/>
      <c r="YP153" s="4"/>
      <c r="YQ153" s="4"/>
      <c r="YR153" s="4"/>
      <c r="YS153" s="4"/>
      <c r="YT153" s="4"/>
      <c r="YU153" s="4"/>
      <c r="YV153" s="4"/>
      <c r="YW153" s="4"/>
      <c r="YX153" s="4"/>
      <c r="YY153" s="4"/>
      <c r="YZ153" s="4"/>
      <c r="ZA153" s="4"/>
      <c r="ZB153" s="4"/>
      <c r="ZC153" s="4"/>
      <c r="ZD153" s="4"/>
      <c r="ZE153" s="4"/>
      <c r="ZF153" s="4"/>
      <c r="ZG153" s="4"/>
      <c r="ZH153" s="4"/>
      <c r="ZI153" s="4"/>
      <c r="ZJ153" s="4"/>
      <c r="ZK153" s="4"/>
      <c r="ZL153" s="4"/>
      <c r="ZM153" s="4"/>
      <c r="ZN153" s="4"/>
      <c r="ZO153" s="4"/>
      <c r="ZP153" s="4"/>
      <c r="ZQ153" s="4"/>
      <c r="ZR153" s="4"/>
      <c r="ZS153" s="4"/>
      <c r="ZT153" s="4"/>
      <c r="ZU153" s="4"/>
      <c r="ZV153" s="4"/>
      <c r="ZW153" s="4"/>
      <c r="ZX153" s="4"/>
      <c r="ZY153" s="4"/>
      <c r="ZZ153" s="4"/>
      <c r="AAA153" s="4"/>
      <c r="AAB153" s="4"/>
      <c r="AAC153" s="4"/>
      <c r="AAD153" s="4"/>
      <c r="AAE153" s="4"/>
      <c r="AAF153" s="4"/>
      <c r="AAG153" s="4"/>
      <c r="AAH153" s="4"/>
      <c r="AAI153" s="4"/>
      <c r="AAJ153" s="4"/>
      <c r="AAK153" s="4"/>
      <c r="AAL153" s="4"/>
      <c r="AAM153" s="4"/>
      <c r="AAN153" s="4"/>
      <c r="AAO153" s="4"/>
      <c r="AAP153" s="4"/>
      <c r="AAQ153" s="4"/>
      <c r="AAR153" s="4"/>
      <c r="AAS153" s="4"/>
      <c r="AAT153" s="4"/>
      <c r="AAU153" s="4"/>
      <c r="AAV153" s="4"/>
      <c r="AAW153" s="4"/>
      <c r="AAX153" s="4"/>
      <c r="AAY153" s="4"/>
      <c r="AAZ153" s="4"/>
      <c r="ABA153" s="4"/>
      <c r="ABB153" s="4"/>
      <c r="ABC153" s="4"/>
      <c r="ABD153" s="4"/>
      <c r="ABE153" s="4"/>
      <c r="ABF153" s="4"/>
      <c r="ABG153" s="4"/>
      <c r="ABH153" s="4"/>
      <c r="ABI153" s="4"/>
      <c r="ABJ153" s="4"/>
      <c r="ABK153" s="4"/>
      <c r="ABL153" s="4"/>
      <c r="ABM153" s="4"/>
      <c r="ABN153" s="4"/>
      <c r="ABO153" s="4"/>
      <c r="ABP153" s="4"/>
      <c r="ABQ153" s="4"/>
      <c r="ABR153" s="4"/>
      <c r="ABS153" s="4"/>
      <c r="ABT153" s="4"/>
      <c r="ABU153" s="4"/>
      <c r="ABV153" s="4"/>
      <c r="ABW153" s="4"/>
      <c r="ABX153" s="4"/>
      <c r="ABY153" s="4"/>
      <c r="ABZ153" s="4"/>
      <c r="ACA153" s="4"/>
      <c r="ACB153" s="4"/>
      <c r="ACC153" s="4"/>
      <c r="ACD153" s="4"/>
      <c r="ACE153" s="4"/>
      <c r="ACF153" s="4"/>
      <c r="ACG153" s="4"/>
      <c r="ACH153" s="4"/>
      <c r="ACI153" s="4"/>
      <c r="ACJ153" s="4"/>
      <c r="ACK153" s="4"/>
      <c r="ACL153" s="4"/>
      <c r="ACM153" s="4"/>
      <c r="ACN153" s="4"/>
      <c r="ACO153" s="4"/>
      <c r="ACP153" s="4"/>
      <c r="ACQ153" s="4"/>
      <c r="ACR153" s="4"/>
      <c r="ACS153" s="4"/>
      <c r="ACT153" s="4"/>
      <c r="ACU153" s="4"/>
      <c r="ACV153" s="4"/>
      <c r="ACW153" s="4"/>
      <c r="ACX153" s="4"/>
      <c r="ACY153" s="4"/>
      <c r="ACZ153" s="4"/>
      <c r="ADA153" s="4"/>
      <c r="ADB153" s="4"/>
      <c r="ADC153" s="4"/>
      <c r="ADD153" s="4"/>
      <c r="ADE153" s="4"/>
      <c r="ADF153" s="4"/>
      <c r="ADG153" s="4"/>
      <c r="ADH153" s="4"/>
      <c r="ADI153" s="4"/>
      <c r="ADJ153" s="4"/>
      <c r="ADK153" s="4"/>
      <c r="ADL153" s="4"/>
      <c r="ADM153" s="4"/>
      <c r="ADN153" s="4"/>
      <c r="ADO153" s="4"/>
      <c r="ADP153" s="4"/>
      <c r="ADQ153" s="4"/>
      <c r="ADR153" s="4"/>
      <c r="ADS153" s="4"/>
      <c r="ADT153" s="4"/>
      <c r="ADU153" s="4"/>
      <c r="ADV153" s="4"/>
      <c r="ADW153" s="4"/>
      <c r="ADX153" s="4"/>
      <c r="ADY153" s="4"/>
      <c r="ADZ153" s="4"/>
      <c r="AEA153" s="4"/>
      <c r="AEB153" s="4"/>
      <c r="AEC153" s="4"/>
      <c r="AED153" s="4"/>
      <c r="AEE153" s="4"/>
      <c r="AEF153" s="4"/>
      <c r="AEG153" s="4"/>
      <c r="AEH153" s="4"/>
      <c r="AEI153" s="4"/>
      <c r="AEJ153" s="4"/>
      <c r="AEK153" s="4"/>
      <c r="AEL153" s="4"/>
      <c r="AEM153" s="4"/>
      <c r="AEN153" s="4"/>
      <c r="AEO153" s="4"/>
      <c r="AEP153" s="4"/>
      <c r="AEQ153" s="4"/>
      <c r="AER153" s="4"/>
      <c r="AES153" s="4"/>
      <c r="AET153" s="4"/>
      <c r="AEU153" s="4"/>
      <c r="AEV153" s="4"/>
      <c r="AEW153" s="4"/>
      <c r="AEX153" s="4"/>
      <c r="AEY153" s="4"/>
      <c r="AEZ153" s="4"/>
      <c r="AFA153" s="4"/>
      <c r="AFB153" s="4"/>
      <c r="AFC153" s="4"/>
      <c r="AFD153" s="4"/>
      <c r="AFE153" s="4"/>
      <c r="AFF153" s="4"/>
      <c r="AFG153" s="4"/>
      <c r="AFH153" s="4"/>
      <c r="AFI153" s="4"/>
      <c r="AFJ153" s="4"/>
      <c r="AFK153" s="4"/>
      <c r="AFL153" s="4"/>
      <c r="AFM153" s="4"/>
      <c r="AFN153" s="4"/>
      <c r="AFO153" s="4"/>
      <c r="AFP153" s="4"/>
      <c r="AFQ153" s="4"/>
      <c r="AFR153" s="4"/>
      <c r="AFS153" s="4"/>
      <c r="AFT153" s="4"/>
      <c r="AFU153" s="4"/>
      <c r="AFV153" s="4"/>
      <c r="AFW153" s="4"/>
      <c r="AFX153" s="4"/>
      <c r="AFY153" s="4"/>
      <c r="AFZ153" s="4"/>
      <c r="AGA153" s="4"/>
      <c r="AGB153" s="4"/>
      <c r="AGC153" s="4"/>
      <c r="AGD153" s="4"/>
      <c r="AGE153" s="4"/>
      <c r="AGF153" s="4"/>
      <c r="AGG153" s="4"/>
      <c r="AGH153" s="4"/>
      <c r="AGI153" s="4"/>
      <c r="AGJ153" s="4"/>
      <c r="AGK153" s="4"/>
      <c r="AGL153" s="4"/>
      <c r="AGM153" s="4"/>
      <c r="AGN153" s="4"/>
      <c r="AGO153" s="4"/>
      <c r="AGP153" s="4"/>
      <c r="AGQ153" s="4"/>
      <c r="AGR153" s="4"/>
      <c r="AGS153" s="4"/>
      <c r="AGT153" s="4"/>
      <c r="AGU153" s="4"/>
      <c r="AGV153" s="4"/>
      <c r="AGW153" s="4"/>
      <c r="AGX153" s="4"/>
      <c r="AGY153" s="4"/>
      <c r="AGZ153" s="4"/>
      <c r="AHA153" s="4"/>
      <c r="AHB153" s="4"/>
      <c r="AHC153" s="4"/>
      <c r="AHD153" s="4"/>
      <c r="AHE153" s="4"/>
      <c r="AHF153" s="4"/>
      <c r="AHG153" s="4"/>
      <c r="AHH153" s="4"/>
      <c r="AHI153" s="4"/>
      <c r="AHJ153" s="4"/>
      <c r="AHK153" s="4"/>
      <c r="AHL153" s="4"/>
      <c r="AHM153" s="4"/>
      <c r="AHN153" s="4"/>
      <c r="AHO153" s="4"/>
      <c r="AHP153" s="4"/>
      <c r="AHQ153" s="4"/>
      <c r="AHR153" s="4"/>
      <c r="AHS153" s="4"/>
      <c r="AHT153" s="4"/>
      <c r="AHU153" s="4"/>
      <c r="AHV153" s="4"/>
      <c r="AHW153" s="4"/>
      <c r="AHX153" s="4"/>
      <c r="AHY153" s="4"/>
      <c r="AHZ153" s="4"/>
      <c r="AIA153" s="4"/>
      <c r="AIB153" s="4"/>
      <c r="AIC153" s="4"/>
      <c r="AID153" s="4"/>
      <c r="AIE153" s="4"/>
      <c r="AIF153" s="4"/>
      <c r="AIG153" s="4"/>
      <c r="AIH153" s="4"/>
      <c r="AII153" s="4"/>
      <c r="AIJ153" s="4"/>
      <c r="AIK153" s="4"/>
      <c r="AIL153" s="4"/>
      <c r="AIM153" s="4"/>
      <c r="AIN153" s="4"/>
      <c r="AIO153" s="4"/>
      <c r="AIP153" s="4"/>
      <c r="AIQ153" s="4"/>
      <c r="AIR153" s="4"/>
      <c r="AIS153" s="4"/>
      <c r="AIT153" s="4"/>
      <c r="AIU153" s="4"/>
      <c r="AIV153" s="4"/>
      <c r="AIW153" s="4"/>
      <c r="AIX153" s="4"/>
      <c r="AIY153" s="4"/>
      <c r="AIZ153" s="4"/>
      <c r="AJA153" s="4"/>
      <c r="AJB153" s="4"/>
      <c r="AJC153" s="4"/>
      <c r="AJD153" s="4"/>
      <c r="AJE153" s="4"/>
      <c r="AJF153" s="4"/>
      <c r="AJG153" s="4"/>
      <c r="AJH153" s="4"/>
      <c r="AJI153" s="4"/>
      <c r="AJJ153" s="4"/>
      <c r="AJK153" s="4"/>
      <c r="AJL153" s="4"/>
      <c r="AJM153" s="4"/>
      <c r="AJN153" s="4"/>
      <c r="AJO153" s="4"/>
      <c r="AJP153" s="4"/>
      <c r="AJQ153" s="4"/>
      <c r="AJR153" s="4"/>
      <c r="AJS153" s="4"/>
      <c r="AJT153" s="4"/>
      <c r="AJU153" s="4"/>
      <c r="AJV153" s="4"/>
      <c r="AJW153" s="4"/>
      <c r="AJX153" s="4"/>
      <c r="AJY153" s="4"/>
      <c r="AJZ153" s="4"/>
      <c r="AKA153" s="4"/>
      <c r="AKB153" s="4"/>
      <c r="AKC153" s="4"/>
      <c r="AKD153" s="4"/>
      <c r="AKE153" s="4"/>
      <c r="AKF153" s="4"/>
      <c r="AKG153" s="4"/>
      <c r="AKH153" s="4"/>
      <c r="AKI153" s="4"/>
      <c r="AKJ153" s="4"/>
      <c r="AKK153" s="4"/>
      <c r="AKL153" s="4"/>
      <c r="AKM153" s="4"/>
      <c r="AKN153" s="4"/>
      <c r="AKO153" s="4"/>
      <c r="AKP153" s="4"/>
      <c r="AKQ153" s="4"/>
      <c r="AKR153" s="4"/>
      <c r="AKS153" s="4"/>
      <c r="AKT153" s="4"/>
      <c r="AKU153" s="4"/>
      <c r="AKV153" s="4"/>
      <c r="AKW153" s="4"/>
      <c r="AKX153" s="4"/>
      <c r="AKY153" s="4"/>
      <c r="AKZ153" s="4"/>
      <c r="ALA153" s="4"/>
      <c r="ALB153" s="4"/>
      <c r="ALC153" s="4"/>
      <c r="ALD153" s="4"/>
      <c r="ALE153" s="4"/>
      <c r="ALF153" s="4"/>
      <c r="ALG153" s="4"/>
      <c r="ALH153" s="4"/>
      <c r="ALI153" s="4"/>
      <c r="ALJ153" s="4"/>
      <c r="ALK153" s="4"/>
      <c r="ALL153" s="4"/>
      <c r="ALM153" s="4"/>
      <c r="ALN153" s="4"/>
      <c r="ALO153" s="4"/>
      <c r="ALP153" s="4"/>
      <c r="ALQ153" s="4"/>
      <c r="ALR153" s="4"/>
      <c r="ALS153" s="4"/>
      <c r="ALT153" s="4"/>
      <c r="ALU153" s="4"/>
      <c r="ALV153" s="4"/>
      <c r="ALW153" s="4"/>
      <c r="ALX153" s="4"/>
      <c r="ALY153" s="4"/>
      <c r="ALZ153" s="4"/>
      <c r="AMA153" s="4"/>
      <c r="AMB153" s="4"/>
      <c r="AMC153" s="4"/>
      <c r="AMD153" s="4"/>
      <c r="AME153" s="4"/>
      <c r="AMF153" s="4"/>
      <c r="AMG153" s="4"/>
      <c r="AMH153" s="4"/>
      <c r="AMI153" s="4"/>
      <c r="AMJ153" s="4"/>
      <c r="AMK153" s="4"/>
      <c r="AML153" s="4"/>
      <c r="AMM153" s="4"/>
      <c r="AMN153" s="4"/>
      <c r="AMO153" s="4"/>
      <c r="AMP153" s="4"/>
      <c r="AMQ153" s="4"/>
      <c r="AMR153" s="4"/>
      <c r="AMS153" s="4"/>
      <c r="AMT153" s="4"/>
      <c r="AMU153" s="4"/>
      <c r="AMV153" s="4"/>
      <c r="AMW153" s="4"/>
      <c r="AMX153" s="4"/>
      <c r="AMY153" s="4"/>
      <c r="AMZ153" s="4"/>
      <c r="ANA153" s="4"/>
      <c r="ANB153" s="4"/>
      <c r="ANC153" s="4"/>
      <c r="AND153" s="4"/>
      <c r="ANE153" s="4"/>
      <c r="ANF153" s="4"/>
      <c r="ANG153" s="4"/>
      <c r="ANH153" s="4"/>
      <c r="ANI153" s="4"/>
      <c r="ANJ153" s="4"/>
      <c r="ANK153" s="4"/>
      <c r="ANL153" s="4"/>
      <c r="ANM153" s="4"/>
      <c r="ANN153" s="4"/>
      <c r="ANO153" s="4"/>
      <c r="ANP153" s="4"/>
      <c r="ANQ153" s="4"/>
      <c r="ANR153" s="4"/>
      <c r="ANS153" s="4"/>
      <c r="ANT153" s="4"/>
      <c r="ANU153" s="4"/>
      <c r="ANV153" s="4"/>
      <c r="ANW153" s="4"/>
      <c r="ANX153" s="4"/>
      <c r="ANY153" s="4"/>
      <c r="ANZ153" s="4"/>
      <c r="AOA153" s="4"/>
      <c r="AOB153" s="4"/>
      <c r="AOC153" s="4"/>
      <c r="AOD153" s="4"/>
      <c r="AOE153" s="4"/>
      <c r="AOF153" s="4"/>
      <c r="AOG153" s="4"/>
      <c r="AOH153" s="4"/>
      <c r="AOI153" s="4"/>
      <c r="AOJ153" s="4"/>
      <c r="AOK153" s="4"/>
      <c r="AOL153" s="4"/>
      <c r="AOM153" s="4"/>
      <c r="AON153" s="4"/>
      <c r="AOO153" s="4"/>
      <c r="AOP153" s="4"/>
      <c r="AOQ153" s="4"/>
      <c r="AOR153" s="4"/>
      <c r="AOS153" s="4"/>
      <c r="AOT153" s="4"/>
      <c r="AOU153" s="4"/>
      <c r="AOV153" s="4"/>
      <c r="AOW153" s="4"/>
      <c r="AOX153" s="4"/>
      <c r="AOY153" s="4"/>
      <c r="AOZ153" s="4"/>
      <c r="APA153" s="4"/>
      <c r="APB153" s="4"/>
      <c r="APC153" s="4"/>
      <c r="APD153" s="4"/>
      <c r="APE153" s="4"/>
      <c r="APF153" s="4"/>
      <c r="APG153" s="4"/>
      <c r="APH153" s="4"/>
      <c r="API153" s="4"/>
      <c r="APJ153" s="4"/>
      <c r="APK153" s="4"/>
      <c r="APL153" s="4"/>
      <c r="APM153" s="4"/>
      <c r="APN153" s="4"/>
      <c r="APO153" s="4"/>
      <c r="APP153" s="4"/>
      <c r="APQ153" s="4"/>
      <c r="APR153" s="4"/>
      <c r="APS153" s="4"/>
      <c r="APT153" s="4"/>
      <c r="APU153" s="4"/>
      <c r="APV153" s="4"/>
      <c r="APW153" s="4"/>
      <c r="APX153" s="4"/>
      <c r="APY153" s="4"/>
      <c r="APZ153" s="4"/>
      <c r="AQA153" s="4"/>
      <c r="AQB153" s="4"/>
      <c r="AQC153" s="4"/>
      <c r="AQD153" s="4"/>
      <c r="AQE153" s="4"/>
      <c r="AQF153" s="4"/>
      <c r="AQG153" s="4"/>
      <c r="AQH153" s="4"/>
      <c r="AQI153" s="4"/>
      <c r="AQJ153" s="4"/>
      <c r="AQK153" s="4"/>
      <c r="AQL153" s="4"/>
      <c r="AQM153" s="4"/>
      <c r="AQN153" s="4"/>
      <c r="AQO153" s="4"/>
      <c r="AQP153" s="4"/>
      <c r="AQQ153" s="4"/>
      <c r="AQR153" s="4"/>
      <c r="AQS153" s="4"/>
      <c r="AQT153" s="4"/>
      <c r="AQU153" s="4"/>
      <c r="AQV153" s="4"/>
      <c r="AQW153" s="4"/>
      <c r="AQX153" s="4"/>
      <c r="AQY153" s="4"/>
      <c r="AQZ153" s="4"/>
      <c r="ARA153" s="4"/>
      <c r="ARB153" s="4"/>
      <c r="ARC153" s="4"/>
      <c r="ARD153" s="4"/>
      <c r="ARE153" s="4"/>
      <c r="ARF153" s="4"/>
      <c r="ARG153" s="4"/>
      <c r="ARH153" s="4"/>
      <c r="ARI153" s="4"/>
      <c r="ARJ153" s="4"/>
      <c r="ARK153" s="4"/>
      <c r="ARL153" s="4"/>
      <c r="ARM153" s="4"/>
      <c r="ARN153" s="4"/>
      <c r="ARO153" s="4"/>
      <c r="ARP153" s="4"/>
      <c r="ARQ153" s="4"/>
      <c r="ARR153" s="4"/>
      <c r="ARS153" s="4"/>
      <c r="ART153" s="4"/>
      <c r="ARU153" s="4"/>
      <c r="ARV153" s="4"/>
      <c r="ARW153" s="4"/>
      <c r="ARX153" s="4"/>
      <c r="ARY153" s="4"/>
      <c r="ARZ153" s="4"/>
      <c r="ASA153" s="4"/>
      <c r="ASB153" s="4"/>
      <c r="ASC153" s="4"/>
      <c r="ASD153" s="4"/>
      <c r="ASE153" s="4"/>
      <c r="ASF153" s="4"/>
      <c r="ASG153" s="4"/>
      <c r="ASH153" s="4"/>
      <c r="ASI153" s="4"/>
      <c r="ASJ153" s="4"/>
      <c r="ASK153" s="4"/>
      <c r="ASL153" s="4"/>
      <c r="ASM153" s="4"/>
      <c r="ASN153" s="4"/>
      <c r="ASO153" s="4"/>
      <c r="ASP153" s="4"/>
      <c r="ASQ153" s="4"/>
      <c r="ASR153" s="4"/>
      <c r="ASS153" s="4"/>
      <c r="AST153" s="4"/>
      <c r="ASU153" s="4"/>
    </row>
    <row r="154" ht="15" customHeight="1" spans="1:1191" x14ac:dyDescent="0.25">
      <c r="A154" s="19"/>
      <c r="B154" s="672" t="s">
        <v>176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  <c r="UG154" s="4"/>
      <c r="UH154" s="4"/>
      <c r="UI154" s="4"/>
      <c r="UJ154" s="4"/>
      <c r="UK154" s="4"/>
      <c r="UL154" s="4"/>
      <c r="UM154" s="4"/>
      <c r="UN154" s="4"/>
      <c r="UO154" s="4"/>
      <c r="UP154" s="4"/>
      <c r="UQ154" s="4"/>
      <c r="UR154" s="4"/>
      <c r="US154" s="4"/>
      <c r="UT154" s="4"/>
      <c r="UU154" s="4"/>
      <c r="UV154" s="4"/>
      <c r="UW154" s="4"/>
      <c r="UX154" s="4"/>
      <c r="UY154" s="4"/>
      <c r="UZ154" s="4"/>
      <c r="VA154" s="4"/>
      <c r="VB154" s="4"/>
      <c r="VC154" s="4"/>
      <c r="VD154" s="4"/>
      <c r="VE154" s="4"/>
      <c r="VF154" s="4"/>
      <c r="VG154" s="4"/>
      <c r="VH154" s="4"/>
      <c r="VI154" s="4"/>
      <c r="VJ154" s="4"/>
      <c r="VK154" s="4"/>
      <c r="VL154" s="4"/>
      <c r="VM154" s="4"/>
      <c r="VN154" s="4"/>
      <c r="VO154" s="4"/>
      <c r="VP154" s="4"/>
      <c r="VQ154" s="4"/>
      <c r="VR154" s="4"/>
      <c r="VS154" s="4"/>
      <c r="VT154" s="4"/>
      <c r="VU154" s="4"/>
      <c r="VV154" s="4"/>
      <c r="VW154" s="4"/>
      <c r="VX154" s="4"/>
      <c r="VY154" s="4"/>
      <c r="VZ154" s="4"/>
      <c r="WA154" s="4"/>
      <c r="WB154" s="4"/>
      <c r="WC154" s="4"/>
      <c r="WD154" s="4"/>
      <c r="WE154" s="4"/>
      <c r="WF154" s="4"/>
      <c r="WG154" s="4"/>
      <c r="WH154" s="4"/>
      <c r="WI154" s="4"/>
      <c r="WJ154" s="4"/>
      <c r="WK154" s="4"/>
      <c r="WL154" s="4"/>
      <c r="WM154" s="4"/>
      <c r="WN154" s="4"/>
      <c r="WO154" s="4"/>
      <c r="WP154" s="4"/>
      <c r="WQ154" s="4"/>
      <c r="WR154" s="4"/>
      <c r="WS154" s="4"/>
      <c r="WT154" s="4"/>
      <c r="WU154" s="4"/>
      <c r="WV154" s="4"/>
      <c r="WW154" s="4"/>
      <c r="WX154" s="4"/>
      <c r="WY154" s="4"/>
      <c r="WZ154" s="4"/>
      <c r="XA154" s="4"/>
      <c r="XB154" s="4"/>
      <c r="XC154" s="4"/>
      <c r="XD154" s="4"/>
      <c r="XE154" s="4"/>
      <c r="XF154" s="4"/>
      <c r="XG154" s="4"/>
      <c r="XH154" s="4"/>
      <c r="XI154" s="4"/>
      <c r="XJ154" s="4"/>
      <c r="XK154" s="4"/>
      <c r="XL154" s="4"/>
      <c r="XM154" s="4"/>
      <c r="XN154" s="4"/>
      <c r="XO154" s="4"/>
      <c r="XP154" s="4"/>
      <c r="XQ154" s="4"/>
      <c r="XR154" s="4"/>
      <c r="XS154" s="4"/>
      <c r="XT154" s="4"/>
      <c r="XU154" s="4"/>
      <c r="XV154" s="4"/>
      <c r="XW154" s="4"/>
      <c r="XX154" s="4"/>
      <c r="XY154" s="4"/>
      <c r="XZ154" s="4"/>
      <c r="YA154" s="4"/>
      <c r="YB154" s="4"/>
      <c r="YC154" s="4"/>
      <c r="YD154" s="4"/>
      <c r="YE154" s="4"/>
      <c r="YF154" s="4"/>
      <c r="YG154" s="4"/>
      <c r="YH154" s="4"/>
      <c r="YI154" s="4"/>
      <c r="YJ154" s="4"/>
      <c r="YK154" s="4"/>
      <c r="YL154" s="4"/>
      <c r="YM154" s="4"/>
      <c r="YN154" s="4"/>
      <c r="YO154" s="4"/>
      <c r="YP154" s="4"/>
      <c r="YQ154" s="4"/>
      <c r="YR154" s="4"/>
      <c r="YS154" s="4"/>
      <c r="YT154" s="4"/>
      <c r="YU154" s="4"/>
      <c r="YV154" s="4"/>
      <c r="YW154" s="4"/>
      <c r="YX154" s="4"/>
      <c r="YY154" s="4"/>
      <c r="YZ154" s="4"/>
      <c r="ZA154" s="4"/>
      <c r="ZB154" s="4"/>
      <c r="ZC154" s="4"/>
      <c r="ZD154" s="4"/>
      <c r="ZE154" s="4"/>
      <c r="ZF154" s="4"/>
      <c r="ZG154" s="4"/>
      <c r="ZH154" s="4"/>
      <c r="ZI154" s="4"/>
      <c r="ZJ154" s="4"/>
      <c r="ZK154" s="4"/>
      <c r="ZL154" s="4"/>
      <c r="ZM154" s="4"/>
      <c r="ZN154" s="4"/>
      <c r="ZO154" s="4"/>
      <c r="ZP154" s="4"/>
      <c r="ZQ154" s="4"/>
      <c r="ZR154" s="4"/>
      <c r="ZS154" s="4"/>
      <c r="ZT154" s="4"/>
      <c r="ZU154" s="4"/>
      <c r="ZV154" s="4"/>
      <c r="ZW154" s="4"/>
      <c r="ZX154" s="4"/>
      <c r="ZY154" s="4"/>
      <c r="ZZ154" s="4"/>
      <c r="AAA154" s="4"/>
      <c r="AAB154" s="4"/>
      <c r="AAC154" s="4"/>
      <c r="AAD154" s="4"/>
      <c r="AAE154" s="4"/>
      <c r="AAF154" s="4"/>
      <c r="AAG154" s="4"/>
      <c r="AAH154" s="4"/>
      <c r="AAI154" s="4"/>
      <c r="AAJ154" s="4"/>
      <c r="AAK154" s="4"/>
      <c r="AAL154" s="4"/>
      <c r="AAM154" s="4"/>
      <c r="AAN154" s="4"/>
      <c r="AAO154" s="4"/>
      <c r="AAP154" s="4"/>
      <c r="AAQ154" s="4"/>
      <c r="AAR154" s="4"/>
      <c r="AAS154" s="4"/>
      <c r="AAT154" s="4"/>
      <c r="AAU154" s="4"/>
      <c r="AAV154" s="4"/>
      <c r="AAW154" s="4"/>
      <c r="AAX154" s="4"/>
      <c r="AAY154" s="4"/>
      <c r="AAZ154" s="4"/>
      <c r="ABA154" s="4"/>
      <c r="ABB154" s="4"/>
      <c r="ABC154" s="4"/>
      <c r="ABD154" s="4"/>
      <c r="ABE154" s="4"/>
      <c r="ABF154" s="4"/>
      <c r="ABG154" s="4"/>
      <c r="ABH154" s="4"/>
      <c r="ABI154" s="4"/>
      <c r="ABJ154" s="4"/>
      <c r="ABK154" s="4"/>
      <c r="ABL154" s="4"/>
      <c r="ABM154" s="4"/>
      <c r="ABN154" s="4"/>
      <c r="ABO154" s="4"/>
      <c r="ABP154" s="4"/>
      <c r="ABQ154" s="4"/>
      <c r="ABR154" s="4"/>
      <c r="ABS154" s="4"/>
      <c r="ABT154" s="4"/>
      <c r="ABU154" s="4"/>
      <c r="ABV154" s="4"/>
      <c r="ABW154" s="4"/>
      <c r="ABX154" s="4"/>
      <c r="ABY154" s="4"/>
      <c r="ABZ154" s="4"/>
      <c r="ACA154" s="4"/>
      <c r="ACB154" s="4"/>
      <c r="ACC154" s="4"/>
      <c r="ACD154" s="4"/>
      <c r="ACE154" s="4"/>
      <c r="ACF154" s="4"/>
      <c r="ACG154" s="4"/>
      <c r="ACH154" s="4"/>
      <c r="ACI154" s="4"/>
      <c r="ACJ154" s="4"/>
      <c r="ACK154" s="4"/>
      <c r="ACL154" s="4"/>
      <c r="ACM154" s="4"/>
      <c r="ACN154" s="4"/>
      <c r="ACO154" s="4"/>
      <c r="ACP154" s="4"/>
      <c r="ACQ154" s="4"/>
      <c r="ACR154" s="4"/>
      <c r="ACS154" s="4"/>
      <c r="ACT154" s="4"/>
      <c r="ACU154" s="4"/>
      <c r="ACV154" s="4"/>
      <c r="ACW154" s="4"/>
      <c r="ACX154" s="4"/>
      <c r="ACY154" s="4"/>
      <c r="ACZ154" s="4"/>
      <c r="ADA154" s="4"/>
      <c r="ADB154" s="4"/>
      <c r="ADC154" s="4"/>
      <c r="ADD154" s="4"/>
      <c r="ADE154" s="4"/>
      <c r="ADF154" s="4"/>
      <c r="ADG154" s="4"/>
      <c r="ADH154" s="4"/>
      <c r="ADI154" s="4"/>
      <c r="ADJ154" s="4"/>
      <c r="ADK154" s="4"/>
      <c r="ADL154" s="4"/>
      <c r="ADM154" s="4"/>
      <c r="ADN154" s="4"/>
      <c r="ADO154" s="4"/>
      <c r="ADP154" s="4"/>
      <c r="ADQ154" s="4"/>
      <c r="ADR154" s="4"/>
      <c r="ADS154" s="4"/>
      <c r="ADT154" s="4"/>
      <c r="ADU154" s="4"/>
      <c r="ADV154" s="4"/>
      <c r="ADW154" s="4"/>
      <c r="ADX154" s="4"/>
      <c r="ADY154" s="4"/>
      <c r="ADZ154" s="4"/>
      <c r="AEA154" s="4"/>
      <c r="AEB154" s="4"/>
      <c r="AEC154" s="4"/>
      <c r="AED154" s="4"/>
      <c r="AEE154" s="4"/>
      <c r="AEF154" s="4"/>
      <c r="AEG154" s="4"/>
      <c r="AEH154" s="4"/>
      <c r="AEI154" s="4"/>
      <c r="AEJ154" s="4"/>
      <c r="AEK154" s="4"/>
      <c r="AEL154" s="4"/>
      <c r="AEM154" s="4"/>
      <c r="AEN154" s="4"/>
      <c r="AEO154" s="4"/>
      <c r="AEP154" s="4"/>
      <c r="AEQ154" s="4"/>
      <c r="AER154" s="4"/>
      <c r="AES154" s="4"/>
      <c r="AET154" s="4"/>
      <c r="AEU154" s="4"/>
      <c r="AEV154" s="4"/>
      <c r="AEW154" s="4"/>
      <c r="AEX154" s="4"/>
      <c r="AEY154" s="4"/>
      <c r="AEZ154" s="4"/>
      <c r="AFA154" s="4"/>
      <c r="AFB154" s="4"/>
      <c r="AFC154" s="4"/>
      <c r="AFD154" s="4"/>
      <c r="AFE154" s="4"/>
      <c r="AFF154" s="4"/>
      <c r="AFG154" s="4"/>
      <c r="AFH154" s="4"/>
      <c r="AFI154" s="4"/>
      <c r="AFJ154" s="4"/>
      <c r="AFK154" s="4"/>
      <c r="AFL154" s="4"/>
      <c r="AFM154" s="4"/>
      <c r="AFN154" s="4"/>
      <c r="AFO154" s="4"/>
      <c r="AFP154" s="4"/>
      <c r="AFQ154" s="4"/>
      <c r="AFR154" s="4"/>
      <c r="AFS154" s="4"/>
      <c r="AFT154" s="4"/>
      <c r="AFU154" s="4"/>
      <c r="AFV154" s="4"/>
      <c r="AFW154" s="4"/>
      <c r="AFX154" s="4"/>
      <c r="AFY154" s="4"/>
      <c r="AFZ154" s="4"/>
      <c r="AGA154" s="4"/>
      <c r="AGB154" s="4"/>
      <c r="AGC154" s="4"/>
      <c r="AGD154" s="4"/>
      <c r="AGE154" s="4"/>
      <c r="AGF154" s="4"/>
      <c r="AGG154" s="4"/>
      <c r="AGH154" s="4"/>
      <c r="AGI154" s="4"/>
      <c r="AGJ154" s="4"/>
      <c r="AGK154" s="4"/>
      <c r="AGL154" s="4"/>
      <c r="AGM154" s="4"/>
      <c r="AGN154" s="4"/>
      <c r="AGO154" s="4"/>
      <c r="AGP154" s="4"/>
      <c r="AGQ154" s="4"/>
      <c r="AGR154" s="4"/>
      <c r="AGS154" s="4"/>
      <c r="AGT154" s="4"/>
      <c r="AGU154" s="4"/>
      <c r="AGV154" s="4"/>
      <c r="AGW154" s="4"/>
      <c r="AGX154" s="4"/>
      <c r="AGY154" s="4"/>
      <c r="AGZ154" s="4"/>
      <c r="AHA154" s="4"/>
      <c r="AHB154" s="4"/>
      <c r="AHC154" s="4"/>
      <c r="AHD154" s="4"/>
      <c r="AHE154" s="4"/>
      <c r="AHF154" s="4"/>
      <c r="AHG154" s="4"/>
      <c r="AHH154" s="4"/>
      <c r="AHI154" s="4"/>
      <c r="AHJ154" s="4"/>
      <c r="AHK154" s="4"/>
      <c r="AHL154" s="4"/>
      <c r="AHM154" s="4"/>
      <c r="AHN154" s="4"/>
      <c r="AHO154" s="4"/>
      <c r="AHP154" s="4"/>
      <c r="AHQ154" s="4"/>
      <c r="AHR154" s="4"/>
      <c r="AHS154" s="4"/>
      <c r="AHT154" s="4"/>
      <c r="AHU154" s="4"/>
      <c r="AHV154" s="4"/>
      <c r="AHW154" s="4"/>
      <c r="AHX154" s="4"/>
      <c r="AHY154" s="4"/>
      <c r="AHZ154" s="4"/>
      <c r="AIA154" s="4"/>
      <c r="AIB154" s="4"/>
      <c r="AIC154" s="4"/>
      <c r="AID154" s="4"/>
      <c r="AIE154" s="4"/>
      <c r="AIF154" s="4"/>
      <c r="AIG154" s="4"/>
      <c r="AIH154" s="4"/>
      <c r="AII154" s="4"/>
      <c r="AIJ154" s="4"/>
      <c r="AIK154" s="4"/>
      <c r="AIL154" s="4"/>
      <c r="AIM154" s="4"/>
      <c r="AIN154" s="4"/>
      <c r="AIO154" s="4"/>
      <c r="AIP154" s="4"/>
      <c r="AIQ154" s="4"/>
      <c r="AIR154" s="4"/>
      <c r="AIS154" s="4"/>
      <c r="AIT154" s="4"/>
      <c r="AIU154" s="4"/>
      <c r="AIV154" s="4"/>
      <c r="AIW154" s="4"/>
      <c r="AIX154" s="4"/>
      <c r="AIY154" s="4"/>
      <c r="AIZ154" s="4"/>
      <c r="AJA154" s="4"/>
      <c r="AJB154" s="4"/>
      <c r="AJC154" s="4"/>
      <c r="AJD154" s="4"/>
      <c r="AJE154" s="4"/>
      <c r="AJF154" s="4"/>
      <c r="AJG154" s="4"/>
      <c r="AJH154" s="4"/>
      <c r="AJI154" s="4"/>
      <c r="AJJ154" s="4"/>
      <c r="AJK154" s="4"/>
      <c r="AJL154" s="4"/>
      <c r="AJM154" s="4"/>
      <c r="AJN154" s="4"/>
      <c r="AJO154" s="4"/>
      <c r="AJP154" s="4"/>
      <c r="AJQ154" s="4"/>
      <c r="AJR154" s="4"/>
      <c r="AJS154" s="4"/>
      <c r="AJT154" s="4"/>
      <c r="AJU154" s="4"/>
      <c r="AJV154" s="4"/>
      <c r="AJW154" s="4"/>
      <c r="AJX154" s="4"/>
      <c r="AJY154" s="4"/>
      <c r="AJZ154" s="4"/>
      <c r="AKA154" s="4"/>
      <c r="AKB154" s="4"/>
      <c r="AKC154" s="4"/>
      <c r="AKD154" s="4"/>
      <c r="AKE154" s="4"/>
      <c r="AKF154" s="4"/>
      <c r="AKG154" s="4"/>
      <c r="AKH154" s="4"/>
      <c r="AKI154" s="4"/>
      <c r="AKJ154" s="4"/>
      <c r="AKK154" s="4"/>
      <c r="AKL154" s="4"/>
      <c r="AKM154" s="4"/>
      <c r="AKN154" s="4"/>
      <c r="AKO154" s="4"/>
      <c r="AKP154" s="4"/>
      <c r="AKQ154" s="4"/>
      <c r="AKR154" s="4"/>
      <c r="AKS154" s="4"/>
      <c r="AKT154" s="4"/>
      <c r="AKU154" s="4"/>
      <c r="AKV154" s="4"/>
      <c r="AKW154" s="4"/>
      <c r="AKX154" s="4"/>
      <c r="AKY154" s="4"/>
      <c r="AKZ154" s="4"/>
      <c r="ALA154" s="4"/>
      <c r="ALB154" s="4"/>
      <c r="ALC154" s="4"/>
      <c r="ALD154" s="4"/>
      <c r="ALE154" s="4"/>
      <c r="ALF154" s="4"/>
      <c r="ALG154" s="4"/>
      <c r="ALH154" s="4"/>
      <c r="ALI154" s="4"/>
      <c r="ALJ154" s="4"/>
      <c r="ALK154" s="4"/>
      <c r="ALL154" s="4"/>
      <c r="ALM154" s="4"/>
      <c r="ALN154" s="4"/>
      <c r="ALO154" s="4"/>
      <c r="ALP154" s="4"/>
      <c r="ALQ154" s="4"/>
      <c r="ALR154" s="4"/>
      <c r="ALS154" s="4"/>
      <c r="ALT154" s="4"/>
      <c r="ALU154" s="4"/>
      <c r="ALV154" s="4"/>
      <c r="ALW154" s="4"/>
      <c r="ALX154" s="4"/>
      <c r="ALY154" s="4"/>
      <c r="ALZ154" s="4"/>
      <c r="AMA154" s="4"/>
      <c r="AMB154" s="4"/>
      <c r="AMC154" s="4"/>
      <c r="AMD154" s="4"/>
      <c r="AME154" s="4"/>
      <c r="AMF154" s="4"/>
      <c r="AMG154" s="4"/>
      <c r="AMH154" s="4"/>
      <c r="AMI154" s="4"/>
      <c r="AMJ154" s="4"/>
      <c r="AMK154" s="4"/>
      <c r="AML154" s="4"/>
      <c r="AMM154" s="4"/>
      <c r="AMN154" s="4"/>
      <c r="AMO154" s="4"/>
      <c r="AMP154" s="4"/>
      <c r="AMQ154" s="4"/>
      <c r="AMR154" s="4"/>
      <c r="AMS154" s="4"/>
      <c r="AMT154" s="4"/>
      <c r="AMU154" s="4"/>
      <c r="AMV154" s="4"/>
      <c r="AMW154" s="4"/>
      <c r="AMX154" s="4"/>
      <c r="AMY154" s="4"/>
      <c r="AMZ154" s="4"/>
      <c r="ANA154" s="4"/>
      <c r="ANB154" s="4"/>
      <c r="ANC154" s="4"/>
      <c r="AND154" s="4"/>
      <c r="ANE154" s="4"/>
      <c r="ANF154" s="4"/>
      <c r="ANG154" s="4"/>
      <c r="ANH154" s="4"/>
      <c r="ANI154" s="4"/>
      <c r="ANJ154" s="4"/>
      <c r="ANK154" s="4"/>
      <c r="ANL154" s="4"/>
      <c r="ANM154" s="4"/>
      <c r="ANN154" s="4"/>
      <c r="ANO154" s="4"/>
      <c r="ANP154" s="4"/>
      <c r="ANQ154" s="4"/>
      <c r="ANR154" s="4"/>
      <c r="ANS154" s="4"/>
      <c r="ANT154" s="4"/>
      <c r="ANU154" s="4"/>
      <c r="ANV154" s="4"/>
      <c r="ANW154" s="4"/>
      <c r="ANX154" s="4"/>
      <c r="ANY154" s="4"/>
      <c r="ANZ154" s="4"/>
      <c r="AOA154" s="4"/>
      <c r="AOB154" s="4"/>
      <c r="AOC154" s="4"/>
      <c r="AOD154" s="4"/>
      <c r="AOE154" s="4"/>
      <c r="AOF154" s="4"/>
      <c r="AOG154" s="4"/>
      <c r="AOH154" s="4"/>
      <c r="AOI154" s="4"/>
      <c r="AOJ154" s="4"/>
      <c r="AOK154" s="4"/>
      <c r="AOL154" s="4"/>
      <c r="AOM154" s="4"/>
      <c r="AON154" s="4"/>
      <c r="AOO154" s="4"/>
      <c r="AOP154" s="4"/>
      <c r="AOQ154" s="4"/>
      <c r="AOR154" s="4"/>
      <c r="AOS154" s="4"/>
      <c r="AOT154" s="4"/>
      <c r="AOU154" s="4"/>
      <c r="AOV154" s="4"/>
      <c r="AOW154" s="4"/>
      <c r="AOX154" s="4"/>
      <c r="AOY154" s="4"/>
      <c r="AOZ154" s="4"/>
      <c r="APA154" s="4"/>
      <c r="APB154" s="4"/>
      <c r="APC154" s="4"/>
      <c r="APD154" s="4"/>
      <c r="APE154" s="4"/>
      <c r="APF154" s="4"/>
      <c r="APG154" s="4"/>
      <c r="APH154" s="4"/>
      <c r="API154" s="4"/>
      <c r="APJ154" s="4"/>
      <c r="APK154" s="4"/>
      <c r="APL154" s="4"/>
      <c r="APM154" s="4"/>
      <c r="APN154" s="4"/>
      <c r="APO154" s="4"/>
      <c r="APP154" s="4"/>
      <c r="APQ154" s="4"/>
      <c r="APR154" s="4"/>
      <c r="APS154" s="4"/>
      <c r="APT154" s="4"/>
      <c r="APU154" s="4"/>
      <c r="APV154" s="4"/>
      <c r="APW154" s="4"/>
      <c r="APX154" s="4"/>
      <c r="APY154" s="4"/>
      <c r="APZ154" s="4"/>
      <c r="AQA154" s="4"/>
      <c r="AQB154" s="4"/>
      <c r="AQC154" s="4"/>
      <c r="AQD154" s="4"/>
      <c r="AQE154" s="4"/>
      <c r="AQF154" s="4"/>
      <c r="AQG154" s="4"/>
      <c r="AQH154" s="4"/>
      <c r="AQI154" s="4"/>
      <c r="AQJ154" s="4"/>
      <c r="AQK154" s="4"/>
      <c r="AQL154" s="4"/>
      <c r="AQM154" s="4"/>
      <c r="AQN154" s="4"/>
      <c r="AQO154" s="4"/>
      <c r="AQP154" s="4"/>
      <c r="AQQ154" s="4"/>
      <c r="AQR154" s="4"/>
      <c r="AQS154" s="4"/>
      <c r="AQT154" s="4"/>
      <c r="AQU154" s="4"/>
      <c r="AQV154" s="4"/>
      <c r="AQW154" s="4"/>
      <c r="AQX154" s="4"/>
      <c r="AQY154" s="4"/>
      <c r="AQZ154" s="4"/>
      <c r="ARA154" s="4"/>
      <c r="ARB154" s="4"/>
      <c r="ARC154" s="4"/>
      <c r="ARD154" s="4"/>
      <c r="ARE154" s="4"/>
      <c r="ARF154" s="4"/>
      <c r="ARG154" s="4"/>
      <c r="ARH154" s="4"/>
      <c r="ARI154" s="4"/>
      <c r="ARJ154" s="4"/>
      <c r="ARK154" s="4"/>
      <c r="ARL154" s="4"/>
      <c r="ARM154" s="4"/>
      <c r="ARN154" s="4"/>
      <c r="ARO154" s="4"/>
      <c r="ARP154" s="4"/>
      <c r="ARQ154" s="4"/>
      <c r="ARR154" s="4"/>
      <c r="ARS154" s="4"/>
      <c r="ART154" s="4"/>
      <c r="ARU154" s="4"/>
      <c r="ARV154" s="4"/>
      <c r="ARW154" s="4"/>
      <c r="ARX154" s="4"/>
      <c r="ARY154" s="4"/>
      <c r="ARZ154" s="4"/>
      <c r="ASA154" s="4"/>
      <c r="ASB154" s="4"/>
      <c r="ASC154" s="4"/>
      <c r="ASD154" s="4"/>
      <c r="ASE154" s="4"/>
      <c r="ASF154" s="4"/>
      <c r="ASG154" s="4"/>
      <c r="ASH154" s="4"/>
      <c r="ASI154" s="4"/>
      <c r="ASJ154" s="4"/>
      <c r="ASK154" s="4"/>
      <c r="ASL154" s="4"/>
      <c r="ASM154" s="4"/>
      <c r="ASN154" s="4"/>
      <c r="ASO154" s="4"/>
      <c r="ASP154" s="4"/>
      <c r="ASQ154" s="4"/>
      <c r="ASR154" s="4"/>
      <c r="ASS154" s="4"/>
      <c r="AST154" s="4"/>
      <c r="ASU154" s="4"/>
    </row>
    <row r="155" ht="15" customHeight="1" spans="1:1191" x14ac:dyDescent="0.25">
      <c r="A155" s="27"/>
      <c r="B155" s="672" t="s">
        <v>177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  <c r="UG155" s="4"/>
      <c r="UH155" s="4"/>
      <c r="UI155" s="4"/>
      <c r="UJ155" s="4"/>
      <c r="UK155" s="4"/>
      <c r="UL155" s="4"/>
      <c r="UM155" s="4"/>
      <c r="UN155" s="4"/>
      <c r="UO155" s="4"/>
      <c r="UP155" s="4"/>
      <c r="UQ155" s="4"/>
      <c r="UR155" s="4"/>
      <c r="US155" s="4"/>
      <c r="UT155" s="4"/>
      <c r="UU155" s="4"/>
      <c r="UV155" s="4"/>
      <c r="UW155" s="4"/>
      <c r="UX155" s="4"/>
      <c r="UY155" s="4"/>
      <c r="UZ155" s="4"/>
      <c r="VA155" s="4"/>
      <c r="VB155" s="4"/>
      <c r="VC155" s="4"/>
      <c r="VD155" s="4"/>
      <c r="VE155" s="4"/>
      <c r="VF155" s="4"/>
      <c r="VG155" s="4"/>
      <c r="VH155" s="4"/>
      <c r="VI155" s="4"/>
      <c r="VJ155" s="4"/>
      <c r="VK155" s="4"/>
      <c r="VL155" s="4"/>
      <c r="VM155" s="4"/>
      <c r="VN155" s="4"/>
      <c r="VO155" s="4"/>
      <c r="VP155" s="4"/>
      <c r="VQ155" s="4"/>
      <c r="VR155" s="4"/>
      <c r="VS155" s="4"/>
      <c r="VT155" s="4"/>
      <c r="VU155" s="4"/>
      <c r="VV155" s="4"/>
      <c r="VW155" s="4"/>
      <c r="VX155" s="4"/>
      <c r="VY155" s="4"/>
      <c r="VZ155" s="4"/>
      <c r="WA155" s="4"/>
      <c r="WB155" s="4"/>
      <c r="WC155" s="4"/>
      <c r="WD155" s="4"/>
      <c r="WE155" s="4"/>
      <c r="WF155" s="4"/>
      <c r="WG155" s="4"/>
      <c r="WH155" s="4"/>
      <c r="WI155" s="4"/>
      <c r="WJ155" s="4"/>
      <c r="WK155" s="4"/>
      <c r="WL155" s="4"/>
      <c r="WM155" s="4"/>
      <c r="WN155" s="4"/>
      <c r="WO155" s="4"/>
      <c r="WP155" s="4"/>
      <c r="WQ155" s="4"/>
      <c r="WR155" s="4"/>
      <c r="WS155" s="4"/>
      <c r="WT155" s="4"/>
      <c r="WU155" s="4"/>
      <c r="WV155" s="4"/>
      <c r="WW155" s="4"/>
      <c r="WX155" s="4"/>
      <c r="WY155" s="4"/>
      <c r="WZ155" s="4"/>
      <c r="XA155" s="4"/>
      <c r="XB155" s="4"/>
      <c r="XC155" s="4"/>
      <c r="XD155" s="4"/>
      <c r="XE155" s="4"/>
      <c r="XF155" s="4"/>
      <c r="XG155" s="4"/>
      <c r="XH155" s="4"/>
      <c r="XI155" s="4"/>
      <c r="XJ155" s="4"/>
      <c r="XK155" s="4"/>
      <c r="XL155" s="4"/>
      <c r="XM155" s="4"/>
      <c r="XN155" s="4"/>
      <c r="XO155" s="4"/>
      <c r="XP155" s="4"/>
      <c r="XQ155" s="4"/>
      <c r="XR155" s="4"/>
      <c r="XS155" s="4"/>
      <c r="XT155" s="4"/>
      <c r="XU155" s="4"/>
      <c r="XV155" s="4"/>
      <c r="XW155" s="4"/>
      <c r="XX155" s="4"/>
      <c r="XY155" s="4"/>
      <c r="XZ155" s="4"/>
      <c r="YA155" s="4"/>
      <c r="YB155" s="4"/>
      <c r="YC155" s="4"/>
      <c r="YD155" s="4"/>
      <c r="YE155" s="4"/>
      <c r="YF155" s="4"/>
      <c r="YG155" s="4"/>
      <c r="YH155" s="4"/>
      <c r="YI155" s="4"/>
      <c r="YJ155" s="4"/>
      <c r="YK155" s="4"/>
      <c r="YL155" s="4"/>
      <c r="YM155" s="4"/>
      <c r="YN155" s="4"/>
      <c r="YO155" s="4"/>
      <c r="YP155" s="4"/>
      <c r="YQ155" s="4"/>
      <c r="YR155" s="4"/>
      <c r="YS155" s="4"/>
      <c r="YT155" s="4"/>
      <c r="YU155" s="4"/>
      <c r="YV155" s="4"/>
      <c r="YW155" s="4"/>
      <c r="YX155" s="4"/>
      <c r="YY155" s="4"/>
      <c r="YZ155" s="4"/>
      <c r="ZA155" s="4"/>
      <c r="ZB155" s="4"/>
      <c r="ZC155" s="4"/>
      <c r="ZD155" s="4"/>
      <c r="ZE155" s="4"/>
      <c r="ZF155" s="4"/>
      <c r="ZG155" s="4"/>
      <c r="ZH155" s="4"/>
      <c r="ZI155" s="4"/>
      <c r="ZJ155" s="4"/>
      <c r="ZK155" s="4"/>
      <c r="ZL155" s="4"/>
      <c r="ZM155" s="4"/>
      <c r="ZN155" s="4"/>
      <c r="ZO155" s="4"/>
      <c r="ZP155" s="4"/>
      <c r="ZQ155" s="4"/>
      <c r="ZR155" s="4"/>
      <c r="ZS155" s="4"/>
      <c r="ZT155" s="4"/>
      <c r="ZU155" s="4"/>
      <c r="ZV155" s="4"/>
      <c r="ZW155" s="4"/>
      <c r="ZX155" s="4"/>
      <c r="ZY155" s="4"/>
      <c r="ZZ155" s="4"/>
      <c r="AAA155" s="4"/>
      <c r="AAB155" s="4"/>
      <c r="AAC155" s="4"/>
      <c r="AAD155" s="4"/>
      <c r="AAE155" s="4"/>
      <c r="AAF155" s="4"/>
      <c r="AAG155" s="4"/>
      <c r="AAH155" s="4"/>
      <c r="AAI155" s="4"/>
      <c r="AAJ155" s="4"/>
      <c r="AAK155" s="4"/>
      <c r="AAL155" s="4"/>
      <c r="AAM155" s="4"/>
      <c r="AAN155" s="4"/>
      <c r="AAO155" s="4"/>
      <c r="AAP155" s="4"/>
      <c r="AAQ155" s="4"/>
      <c r="AAR155" s="4"/>
      <c r="AAS155" s="4"/>
      <c r="AAT155" s="4"/>
      <c r="AAU155" s="4"/>
      <c r="AAV155" s="4"/>
      <c r="AAW155" s="4"/>
      <c r="AAX155" s="4"/>
      <c r="AAY155" s="4"/>
      <c r="AAZ155" s="4"/>
      <c r="ABA155" s="4"/>
      <c r="ABB155" s="4"/>
      <c r="ABC155" s="4"/>
      <c r="ABD155" s="4"/>
      <c r="ABE155" s="4"/>
      <c r="ABF155" s="4"/>
      <c r="ABG155" s="4"/>
      <c r="ABH155" s="4"/>
      <c r="ABI155" s="4"/>
      <c r="ABJ155" s="4"/>
      <c r="ABK155" s="4"/>
      <c r="ABL155" s="4"/>
      <c r="ABM155" s="4"/>
      <c r="ABN155" s="4"/>
      <c r="ABO155" s="4"/>
      <c r="ABP155" s="4"/>
      <c r="ABQ155" s="4"/>
      <c r="ABR155" s="4"/>
      <c r="ABS155" s="4"/>
      <c r="ABT155" s="4"/>
      <c r="ABU155" s="4"/>
      <c r="ABV155" s="4"/>
      <c r="ABW155" s="4"/>
      <c r="ABX155" s="4"/>
      <c r="ABY155" s="4"/>
      <c r="ABZ155" s="4"/>
      <c r="ACA155" s="4"/>
      <c r="ACB155" s="4"/>
      <c r="ACC155" s="4"/>
      <c r="ACD155" s="4"/>
      <c r="ACE155" s="4"/>
      <c r="ACF155" s="4"/>
      <c r="ACG155" s="4"/>
      <c r="ACH155" s="4"/>
      <c r="ACI155" s="4"/>
      <c r="ACJ155" s="4"/>
      <c r="ACK155" s="4"/>
      <c r="ACL155" s="4"/>
      <c r="ACM155" s="4"/>
      <c r="ACN155" s="4"/>
      <c r="ACO155" s="4"/>
      <c r="ACP155" s="4"/>
      <c r="ACQ155" s="4"/>
      <c r="ACR155" s="4"/>
      <c r="ACS155" s="4"/>
      <c r="ACT155" s="4"/>
      <c r="ACU155" s="4"/>
      <c r="ACV155" s="4"/>
      <c r="ACW155" s="4"/>
      <c r="ACX155" s="4"/>
      <c r="ACY155" s="4"/>
      <c r="ACZ155" s="4"/>
      <c r="ADA155" s="4"/>
      <c r="ADB155" s="4"/>
      <c r="ADC155" s="4"/>
      <c r="ADD155" s="4"/>
      <c r="ADE155" s="4"/>
      <c r="ADF155" s="4"/>
      <c r="ADG155" s="4"/>
      <c r="ADH155" s="4"/>
      <c r="ADI155" s="4"/>
      <c r="ADJ155" s="4"/>
      <c r="ADK155" s="4"/>
      <c r="ADL155" s="4"/>
      <c r="ADM155" s="4"/>
      <c r="ADN155" s="4"/>
      <c r="ADO155" s="4"/>
      <c r="ADP155" s="4"/>
      <c r="ADQ155" s="4"/>
      <c r="ADR155" s="4"/>
      <c r="ADS155" s="4"/>
      <c r="ADT155" s="4"/>
      <c r="ADU155" s="4"/>
      <c r="ADV155" s="4"/>
      <c r="ADW155" s="4"/>
      <c r="ADX155" s="4"/>
      <c r="ADY155" s="4"/>
      <c r="ADZ155" s="4"/>
      <c r="AEA155" s="4"/>
      <c r="AEB155" s="4"/>
      <c r="AEC155" s="4"/>
      <c r="AED155" s="4"/>
      <c r="AEE155" s="4"/>
      <c r="AEF155" s="4"/>
      <c r="AEG155" s="4"/>
      <c r="AEH155" s="4"/>
      <c r="AEI155" s="4"/>
      <c r="AEJ155" s="4"/>
      <c r="AEK155" s="4"/>
      <c r="AEL155" s="4"/>
      <c r="AEM155" s="4"/>
      <c r="AEN155" s="4"/>
      <c r="AEO155" s="4"/>
      <c r="AEP155" s="4"/>
      <c r="AEQ155" s="4"/>
      <c r="AER155" s="4"/>
      <c r="AES155" s="4"/>
      <c r="AET155" s="4"/>
      <c r="AEU155" s="4"/>
      <c r="AEV155" s="4"/>
      <c r="AEW155" s="4"/>
      <c r="AEX155" s="4"/>
      <c r="AEY155" s="4"/>
      <c r="AEZ155" s="4"/>
      <c r="AFA155" s="4"/>
      <c r="AFB155" s="4"/>
      <c r="AFC155" s="4"/>
      <c r="AFD155" s="4"/>
      <c r="AFE155" s="4"/>
      <c r="AFF155" s="4"/>
      <c r="AFG155" s="4"/>
      <c r="AFH155" s="4"/>
      <c r="AFI155" s="4"/>
      <c r="AFJ155" s="4"/>
      <c r="AFK155" s="4"/>
      <c r="AFL155" s="4"/>
      <c r="AFM155" s="4"/>
      <c r="AFN155" s="4"/>
      <c r="AFO155" s="4"/>
      <c r="AFP155" s="4"/>
      <c r="AFQ155" s="4"/>
      <c r="AFR155" s="4"/>
      <c r="AFS155" s="4"/>
      <c r="AFT155" s="4"/>
      <c r="AFU155" s="4"/>
      <c r="AFV155" s="4"/>
      <c r="AFW155" s="4"/>
      <c r="AFX155" s="4"/>
      <c r="AFY155" s="4"/>
      <c r="AFZ155" s="4"/>
      <c r="AGA155" s="4"/>
      <c r="AGB155" s="4"/>
      <c r="AGC155" s="4"/>
      <c r="AGD155" s="4"/>
      <c r="AGE155" s="4"/>
      <c r="AGF155" s="4"/>
      <c r="AGG155" s="4"/>
      <c r="AGH155" s="4"/>
      <c r="AGI155" s="4"/>
      <c r="AGJ155" s="4"/>
      <c r="AGK155" s="4"/>
      <c r="AGL155" s="4"/>
      <c r="AGM155" s="4"/>
      <c r="AGN155" s="4"/>
      <c r="AGO155" s="4"/>
      <c r="AGP155" s="4"/>
      <c r="AGQ155" s="4"/>
      <c r="AGR155" s="4"/>
      <c r="AGS155" s="4"/>
      <c r="AGT155" s="4"/>
      <c r="AGU155" s="4"/>
      <c r="AGV155" s="4"/>
      <c r="AGW155" s="4"/>
      <c r="AGX155" s="4"/>
      <c r="AGY155" s="4"/>
      <c r="AGZ155" s="4"/>
      <c r="AHA155" s="4"/>
      <c r="AHB155" s="4"/>
      <c r="AHC155" s="4"/>
      <c r="AHD155" s="4"/>
      <c r="AHE155" s="4"/>
      <c r="AHF155" s="4"/>
      <c r="AHG155" s="4"/>
      <c r="AHH155" s="4"/>
      <c r="AHI155" s="4"/>
      <c r="AHJ155" s="4"/>
      <c r="AHK155" s="4"/>
      <c r="AHL155" s="4"/>
      <c r="AHM155" s="4"/>
      <c r="AHN155" s="4"/>
      <c r="AHO155" s="4"/>
      <c r="AHP155" s="4"/>
      <c r="AHQ155" s="4"/>
      <c r="AHR155" s="4"/>
      <c r="AHS155" s="4"/>
      <c r="AHT155" s="4"/>
      <c r="AHU155" s="4"/>
      <c r="AHV155" s="4"/>
      <c r="AHW155" s="4"/>
      <c r="AHX155" s="4"/>
      <c r="AHY155" s="4"/>
      <c r="AHZ155" s="4"/>
      <c r="AIA155" s="4"/>
      <c r="AIB155" s="4"/>
      <c r="AIC155" s="4"/>
      <c r="AID155" s="4"/>
      <c r="AIE155" s="4"/>
      <c r="AIF155" s="4"/>
      <c r="AIG155" s="4"/>
      <c r="AIH155" s="4"/>
      <c r="AII155" s="4"/>
      <c r="AIJ155" s="4"/>
      <c r="AIK155" s="4"/>
      <c r="AIL155" s="4"/>
      <c r="AIM155" s="4"/>
      <c r="AIN155" s="4"/>
      <c r="AIO155" s="4"/>
      <c r="AIP155" s="4"/>
      <c r="AIQ155" s="4"/>
      <c r="AIR155" s="4"/>
      <c r="AIS155" s="4"/>
      <c r="AIT155" s="4"/>
      <c r="AIU155" s="4"/>
      <c r="AIV155" s="4"/>
      <c r="AIW155" s="4"/>
      <c r="AIX155" s="4"/>
      <c r="AIY155" s="4"/>
      <c r="AIZ155" s="4"/>
      <c r="AJA155" s="4"/>
      <c r="AJB155" s="4"/>
      <c r="AJC155" s="4"/>
      <c r="AJD155" s="4"/>
      <c r="AJE155" s="4"/>
      <c r="AJF155" s="4"/>
      <c r="AJG155" s="4"/>
      <c r="AJH155" s="4"/>
      <c r="AJI155" s="4"/>
      <c r="AJJ155" s="4"/>
      <c r="AJK155" s="4"/>
      <c r="AJL155" s="4"/>
      <c r="AJM155" s="4"/>
      <c r="AJN155" s="4"/>
      <c r="AJO155" s="4"/>
      <c r="AJP155" s="4"/>
      <c r="AJQ155" s="4"/>
      <c r="AJR155" s="4"/>
      <c r="AJS155" s="4"/>
      <c r="AJT155" s="4"/>
      <c r="AJU155" s="4"/>
      <c r="AJV155" s="4"/>
      <c r="AJW155" s="4"/>
      <c r="AJX155" s="4"/>
      <c r="AJY155" s="4"/>
      <c r="AJZ155" s="4"/>
      <c r="AKA155" s="4"/>
      <c r="AKB155" s="4"/>
      <c r="AKC155" s="4"/>
      <c r="AKD155" s="4"/>
      <c r="AKE155" s="4"/>
      <c r="AKF155" s="4"/>
      <c r="AKG155" s="4"/>
      <c r="AKH155" s="4"/>
      <c r="AKI155" s="4"/>
      <c r="AKJ155" s="4"/>
      <c r="AKK155" s="4"/>
      <c r="AKL155" s="4"/>
      <c r="AKM155" s="4"/>
      <c r="AKN155" s="4"/>
      <c r="AKO155" s="4"/>
      <c r="AKP155" s="4"/>
      <c r="AKQ155" s="4"/>
      <c r="AKR155" s="4"/>
      <c r="AKS155" s="4"/>
      <c r="AKT155" s="4"/>
      <c r="AKU155" s="4"/>
      <c r="AKV155" s="4"/>
      <c r="AKW155" s="4"/>
      <c r="AKX155" s="4"/>
      <c r="AKY155" s="4"/>
      <c r="AKZ155" s="4"/>
      <c r="ALA155" s="4"/>
      <c r="ALB155" s="4"/>
      <c r="ALC155" s="4"/>
      <c r="ALD155" s="4"/>
      <c r="ALE155" s="4"/>
      <c r="ALF155" s="4"/>
      <c r="ALG155" s="4"/>
      <c r="ALH155" s="4"/>
      <c r="ALI155" s="4"/>
      <c r="ALJ155" s="4"/>
      <c r="ALK155" s="4"/>
      <c r="ALL155" s="4"/>
      <c r="ALM155" s="4"/>
      <c r="ALN155" s="4"/>
      <c r="ALO155" s="4"/>
      <c r="ALP155" s="4"/>
      <c r="ALQ155" s="4"/>
      <c r="ALR155" s="4"/>
      <c r="ALS155" s="4"/>
      <c r="ALT155" s="4"/>
      <c r="ALU155" s="4"/>
      <c r="ALV155" s="4"/>
      <c r="ALW155" s="4"/>
      <c r="ALX155" s="4"/>
      <c r="ALY155" s="4"/>
      <c r="ALZ155" s="4"/>
      <c r="AMA155" s="4"/>
      <c r="AMB155" s="4"/>
      <c r="AMC155" s="4"/>
      <c r="AMD155" s="4"/>
      <c r="AME155" s="4"/>
      <c r="AMF155" s="4"/>
      <c r="AMG155" s="4"/>
      <c r="AMH155" s="4"/>
      <c r="AMI155" s="4"/>
      <c r="AMJ155" s="4"/>
      <c r="AMK155" s="4"/>
      <c r="AML155" s="4"/>
      <c r="AMM155" s="4"/>
      <c r="AMN155" s="4"/>
      <c r="AMO155" s="4"/>
      <c r="AMP155" s="4"/>
      <c r="AMQ155" s="4"/>
      <c r="AMR155" s="4"/>
      <c r="AMS155" s="4"/>
      <c r="AMT155" s="4"/>
      <c r="AMU155" s="4"/>
      <c r="AMV155" s="4"/>
      <c r="AMW155" s="4"/>
      <c r="AMX155" s="4"/>
      <c r="AMY155" s="4"/>
      <c r="AMZ155" s="4"/>
      <c r="ANA155" s="4"/>
      <c r="ANB155" s="4"/>
      <c r="ANC155" s="4"/>
      <c r="AND155" s="4"/>
      <c r="ANE155" s="4"/>
      <c r="ANF155" s="4"/>
      <c r="ANG155" s="4"/>
      <c r="ANH155" s="4"/>
      <c r="ANI155" s="4"/>
      <c r="ANJ155" s="4"/>
      <c r="ANK155" s="4"/>
      <c r="ANL155" s="4"/>
      <c r="ANM155" s="4"/>
      <c r="ANN155" s="4"/>
      <c r="ANO155" s="4"/>
      <c r="ANP155" s="4"/>
      <c r="ANQ155" s="4"/>
      <c r="ANR155" s="4"/>
      <c r="ANS155" s="4"/>
      <c r="ANT155" s="4"/>
      <c r="ANU155" s="4"/>
      <c r="ANV155" s="4"/>
      <c r="ANW155" s="4"/>
      <c r="ANX155" s="4"/>
      <c r="ANY155" s="4"/>
      <c r="ANZ155" s="4"/>
      <c r="AOA155" s="4"/>
      <c r="AOB155" s="4"/>
      <c r="AOC155" s="4"/>
      <c r="AOD155" s="4"/>
      <c r="AOE155" s="4"/>
      <c r="AOF155" s="4"/>
      <c r="AOG155" s="4"/>
      <c r="AOH155" s="4"/>
      <c r="AOI155" s="4"/>
      <c r="AOJ155" s="4"/>
      <c r="AOK155" s="4"/>
      <c r="AOL155" s="4"/>
      <c r="AOM155" s="4"/>
      <c r="AON155" s="4"/>
      <c r="AOO155" s="4"/>
      <c r="AOP155" s="4"/>
      <c r="AOQ155" s="4"/>
      <c r="AOR155" s="4"/>
      <c r="AOS155" s="4"/>
      <c r="AOT155" s="4"/>
      <c r="AOU155" s="4"/>
      <c r="AOV155" s="4"/>
      <c r="AOW155" s="4"/>
      <c r="AOX155" s="4"/>
      <c r="AOY155" s="4"/>
      <c r="AOZ155" s="4"/>
      <c r="APA155" s="4"/>
      <c r="APB155" s="4"/>
      <c r="APC155" s="4"/>
      <c r="APD155" s="4"/>
      <c r="APE155" s="4"/>
      <c r="APF155" s="4"/>
      <c r="APG155" s="4"/>
      <c r="APH155" s="4"/>
      <c r="API155" s="4"/>
      <c r="APJ155" s="4"/>
      <c r="APK155" s="4"/>
      <c r="APL155" s="4"/>
      <c r="APM155" s="4"/>
      <c r="APN155" s="4"/>
      <c r="APO155" s="4"/>
      <c r="APP155" s="4"/>
      <c r="APQ155" s="4"/>
      <c r="APR155" s="4"/>
      <c r="APS155" s="4"/>
      <c r="APT155" s="4"/>
      <c r="APU155" s="4"/>
      <c r="APV155" s="4"/>
      <c r="APW155" s="4"/>
      <c r="APX155" s="4"/>
      <c r="APY155" s="4"/>
      <c r="APZ155" s="4"/>
      <c r="AQA155" s="4"/>
      <c r="AQB155" s="4"/>
      <c r="AQC155" s="4"/>
      <c r="AQD155" s="4"/>
      <c r="AQE155" s="4"/>
      <c r="AQF155" s="4"/>
      <c r="AQG155" s="4"/>
      <c r="AQH155" s="4"/>
      <c r="AQI155" s="4"/>
      <c r="AQJ155" s="4"/>
      <c r="AQK155" s="4"/>
      <c r="AQL155" s="4"/>
      <c r="AQM155" s="4"/>
      <c r="AQN155" s="4"/>
      <c r="AQO155" s="4"/>
      <c r="AQP155" s="4"/>
      <c r="AQQ155" s="4"/>
      <c r="AQR155" s="4"/>
      <c r="AQS155" s="4"/>
      <c r="AQT155" s="4"/>
      <c r="AQU155" s="4"/>
      <c r="AQV155" s="4"/>
      <c r="AQW155" s="4"/>
      <c r="AQX155" s="4"/>
      <c r="AQY155" s="4"/>
      <c r="AQZ155" s="4"/>
      <c r="ARA155" s="4"/>
      <c r="ARB155" s="4"/>
      <c r="ARC155" s="4"/>
      <c r="ARD155" s="4"/>
      <c r="ARE155" s="4"/>
      <c r="ARF155" s="4"/>
      <c r="ARG155" s="4"/>
      <c r="ARH155" s="4"/>
      <c r="ARI155" s="4"/>
      <c r="ARJ155" s="4"/>
      <c r="ARK155" s="4"/>
      <c r="ARL155" s="4"/>
      <c r="ARM155" s="4"/>
      <c r="ARN155" s="4"/>
      <c r="ARO155" s="4"/>
      <c r="ARP155" s="4"/>
      <c r="ARQ155" s="4"/>
      <c r="ARR155" s="4"/>
      <c r="ARS155" s="4"/>
      <c r="ART155" s="4"/>
      <c r="ARU155" s="4"/>
      <c r="ARV155" s="4"/>
      <c r="ARW155" s="4"/>
      <c r="ARX155" s="4"/>
      <c r="ARY155" s="4"/>
      <c r="ARZ155" s="4"/>
      <c r="ASA155" s="4"/>
      <c r="ASB155" s="4"/>
      <c r="ASC155" s="4"/>
      <c r="ASD155" s="4"/>
      <c r="ASE155" s="4"/>
      <c r="ASF155" s="4"/>
      <c r="ASG155" s="4"/>
      <c r="ASH155" s="4"/>
      <c r="ASI155" s="4"/>
      <c r="ASJ155" s="4"/>
      <c r="ASK155" s="4"/>
      <c r="ASL155" s="4"/>
      <c r="ASM155" s="4"/>
      <c r="ASN155" s="4"/>
      <c r="ASO155" s="4"/>
      <c r="ASP155" s="4"/>
      <c r="ASQ155" s="4"/>
      <c r="ASR155" s="4"/>
      <c r="ASS155" s="4"/>
      <c r="AST155" s="4"/>
      <c r="ASU155" s="4"/>
    </row>
    <row r="156" spans="1:119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  <c r="UG156" s="4"/>
      <c r="UH156" s="4"/>
      <c r="UI156" s="4"/>
      <c r="UJ156" s="4"/>
      <c r="UK156" s="4"/>
      <c r="UL156" s="4"/>
      <c r="UM156" s="4"/>
      <c r="UN156" s="4"/>
      <c r="UO156" s="4"/>
      <c r="UP156" s="4"/>
      <c r="UQ156" s="4"/>
      <c r="UR156" s="4"/>
      <c r="US156" s="4"/>
      <c r="UT156" s="4"/>
      <c r="UU156" s="4"/>
      <c r="UV156" s="4"/>
      <c r="UW156" s="4"/>
      <c r="UX156" s="4"/>
      <c r="UY156" s="4"/>
      <c r="UZ156" s="4"/>
      <c r="VA156" s="4"/>
      <c r="VB156" s="4"/>
      <c r="VC156" s="4"/>
      <c r="VD156" s="4"/>
      <c r="VE156" s="4"/>
      <c r="VF156" s="4"/>
      <c r="VG156" s="4"/>
      <c r="VH156" s="4"/>
      <c r="VI156" s="4"/>
      <c r="VJ156" s="4"/>
      <c r="VK156" s="4"/>
      <c r="VL156" s="4"/>
      <c r="VM156" s="4"/>
      <c r="VN156" s="4"/>
      <c r="VO156" s="4"/>
      <c r="VP156" s="4"/>
      <c r="VQ156" s="4"/>
      <c r="VR156" s="4"/>
      <c r="VS156" s="4"/>
      <c r="VT156" s="4"/>
      <c r="VU156" s="4"/>
      <c r="VV156" s="4"/>
      <c r="VW156" s="4"/>
      <c r="VX156" s="4"/>
      <c r="VY156" s="4"/>
      <c r="VZ156" s="4"/>
      <c r="WA156" s="4"/>
      <c r="WB156" s="4"/>
      <c r="WC156" s="4"/>
      <c r="WD156" s="4"/>
      <c r="WE156" s="4"/>
      <c r="WF156" s="4"/>
      <c r="WG156" s="4"/>
      <c r="WH156" s="4"/>
      <c r="WI156" s="4"/>
      <c r="WJ156" s="4"/>
      <c r="WK156" s="4"/>
      <c r="WL156" s="4"/>
      <c r="WM156" s="4"/>
      <c r="WN156" s="4"/>
      <c r="WO156" s="4"/>
      <c r="WP156" s="4"/>
      <c r="WQ156" s="4"/>
      <c r="WR156" s="4"/>
      <c r="WS156" s="4"/>
      <c r="WT156" s="4"/>
      <c r="WU156" s="4"/>
      <c r="WV156" s="4"/>
      <c r="WW156" s="4"/>
      <c r="WX156" s="4"/>
      <c r="WY156" s="4"/>
      <c r="WZ156" s="4"/>
      <c r="XA156" s="4"/>
      <c r="XB156" s="4"/>
      <c r="XC156" s="4"/>
      <c r="XD156" s="4"/>
      <c r="XE156" s="4"/>
      <c r="XF156" s="4"/>
      <c r="XG156" s="4"/>
      <c r="XH156" s="4"/>
      <c r="XI156" s="4"/>
      <c r="XJ156" s="4"/>
      <c r="XK156" s="4"/>
      <c r="XL156" s="4"/>
      <c r="XM156" s="4"/>
      <c r="XN156" s="4"/>
      <c r="XO156" s="4"/>
      <c r="XP156" s="4"/>
      <c r="XQ156" s="4"/>
      <c r="XR156" s="4"/>
      <c r="XS156" s="4"/>
      <c r="XT156" s="4"/>
      <c r="XU156" s="4"/>
      <c r="XV156" s="4"/>
      <c r="XW156" s="4"/>
      <c r="XX156" s="4"/>
      <c r="XY156" s="4"/>
      <c r="XZ156" s="4"/>
      <c r="YA156" s="4"/>
      <c r="YB156" s="4"/>
      <c r="YC156" s="4"/>
      <c r="YD156" s="4"/>
      <c r="YE156" s="4"/>
      <c r="YF156" s="4"/>
      <c r="YG156" s="4"/>
      <c r="YH156" s="4"/>
      <c r="YI156" s="4"/>
      <c r="YJ156" s="4"/>
      <c r="YK156" s="4"/>
      <c r="YL156" s="4"/>
      <c r="YM156" s="4"/>
      <c r="YN156" s="4"/>
      <c r="YO156" s="4"/>
      <c r="YP156" s="4"/>
      <c r="YQ156" s="4"/>
      <c r="YR156" s="4"/>
      <c r="YS156" s="4"/>
      <c r="YT156" s="4"/>
      <c r="YU156" s="4"/>
      <c r="YV156" s="4"/>
      <c r="YW156" s="4"/>
      <c r="YX156" s="4"/>
      <c r="YY156" s="4"/>
      <c r="YZ156" s="4"/>
      <c r="ZA156" s="4"/>
      <c r="ZB156" s="4"/>
      <c r="ZC156" s="4"/>
      <c r="ZD156" s="4"/>
      <c r="ZE156" s="4"/>
      <c r="ZF156" s="4"/>
      <c r="ZG156" s="4"/>
      <c r="ZH156" s="4"/>
      <c r="ZI156" s="4"/>
      <c r="ZJ156" s="4"/>
      <c r="ZK156" s="4"/>
      <c r="ZL156" s="4"/>
      <c r="ZM156" s="4"/>
      <c r="ZN156" s="4"/>
      <c r="ZO156" s="4"/>
      <c r="ZP156" s="4"/>
      <c r="ZQ156" s="4"/>
      <c r="ZR156" s="4"/>
      <c r="ZS156" s="4"/>
      <c r="ZT156" s="4"/>
      <c r="ZU156" s="4"/>
      <c r="ZV156" s="4"/>
      <c r="ZW156" s="4"/>
      <c r="ZX156" s="4"/>
      <c r="ZY156" s="4"/>
      <c r="ZZ156" s="4"/>
      <c r="AAA156" s="4"/>
      <c r="AAB156" s="4"/>
      <c r="AAC156" s="4"/>
      <c r="AAD156" s="4"/>
      <c r="AAE156" s="4"/>
      <c r="AAF156" s="4"/>
      <c r="AAG156" s="4"/>
      <c r="AAH156" s="4"/>
      <c r="AAI156" s="4"/>
      <c r="AAJ156" s="4"/>
      <c r="AAK156" s="4"/>
      <c r="AAL156" s="4"/>
      <c r="AAM156" s="4"/>
      <c r="AAN156" s="4"/>
      <c r="AAO156" s="4"/>
      <c r="AAP156" s="4"/>
      <c r="AAQ156" s="4"/>
      <c r="AAR156" s="4"/>
      <c r="AAS156" s="4"/>
      <c r="AAT156" s="4"/>
      <c r="AAU156" s="4"/>
      <c r="AAV156" s="4"/>
      <c r="AAW156" s="4"/>
      <c r="AAX156" s="4"/>
      <c r="AAY156" s="4"/>
      <c r="AAZ156" s="4"/>
      <c r="ABA156" s="4"/>
      <c r="ABB156" s="4"/>
      <c r="ABC156" s="4"/>
      <c r="ABD156" s="4"/>
      <c r="ABE156" s="4"/>
      <c r="ABF156" s="4"/>
      <c r="ABG156" s="4"/>
      <c r="ABH156" s="4"/>
      <c r="ABI156" s="4"/>
      <c r="ABJ156" s="4"/>
      <c r="ABK156" s="4"/>
      <c r="ABL156" s="4"/>
      <c r="ABM156" s="4"/>
      <c r="ABN156" s="4"/>
      <c r="ABO156" s="4"/>
      <c r="ABP156" s="4"/>
      <c r="ABQ156" s="4"/>
      <c r="ABR156" s="4"/>
      <c r="ABS156" s="4"/>
      <c r="ABT156" s="4"/>
      <c r="ABU156" s="4"/>
      <c r="ABV156" s="4"/>
      <c r="ABW156" s="4"/>
      <c r="ABX156" s="4"/>
      <c r="ABY156" s="4"/>
      <c r="ABZ156" s="4"/>
      <c r="ACA156" s="4"/>
      <c r="ACB156" s="4"/>
      <c r="ACC156" s="4"/>
      <c r="ACD156" s="4"/>
      <c r="ACE156" s="4"/>
      <c r="ACF156" s="4"/>
      <c r="ACG156" s="4"/>
      <c r="ACH156" s="4"/>
      <c r="ACI156" s="4"/>
      <c r="ACJ156" s="4"/>
      <c r="ACK156" s="4"/>
      <c r="ACL156" s="4"/>
      <c r="ACM156" s="4"/>
      <c r="ACN156" s="4"/>
      <c r="ACO156" s="4"/>
      <c r="ACP156" s="4"/>
      <c r="ACQ156" s="4"/>
      <c r="ACR156" s="4"/>
      <c r="ACS156" s="4"/>
      <c r="ACT156" s="4"/>
      <c r="ACU156" s="4"/>
      <c r="ACV156" s="4"/>
      <c r="ACW156" s="4"/>
      <c r="ACX156" s="4"/>
      <c r="ACY156" s="4"/>
      <c r="ACZ156" s="4"/>
      <c r="ADA156" s="4"/>
      <c r="ADB156" s="4"/>
      <c r="ADC156" s="4"/>
      <c r="ADD156" s="4"/>
      <c r="ADE156" s="4"/>
      <c r="ADF156" s="4"/>
      <c r="ADG156" s="4"/>
      <c r="ADH156" s="4"/>
      <c r="ADI156" s="4"/>
      <c r="ADJ156" s="4"/>
      <c r="ADK156" s="4"/>
      <c r="ADL156" s="4"/>
      <c r="ADM156" s="4"/>
      <c r="ADN156" s="4"/>
      <c r="ADO156" s="4"/>
      <c r="ADP156" s="4"/>
      <c r="ADQ156" s="4"/>
      <c r="ADR156" s="4"/>
      <c r="ADS156" s="4"/>
      <c r="ADT156" s="4"/>
      <c r="ADU156" s="4"/>
      <c r="ADV156" s="4"/>
      <c r="ADW156" s="4"/>
      <c r="ADX156" s="4"/>
      <c r="ADY156" s="4"/>
      <c r="ADZ156" s="4"/>
      <c r="AEA156" s="4"/>
      <c r="AEB156" s="4"/>
      <c r="AEC156" s="4"/>
      <c r="AED156" s="4"/>
      <c r="AEE156" s="4"/>
      <c r="AEF156" s="4"/>
      <c r="AEG156" s="4"/>
      <c r="AEH156" s="4"/>
      <c r="AEI156" s="4"/>
      <c r="AEJ156" s="4"/>
      <c r="AEK156" s="4"/>
      <c r="AEL156" s="4"/>
      <c r="AEM156" s="4"/>
      <c r="AEN156" s="4"/>
      <c r="AEO156" s="4"/>
      <c r="AEP156" s="4"/>
      <c r="AEQ156" s="4"/>
      <c r="AER156" s="4"/>
      <c r="AES156" s="4"/>
      <c r="AET156" s="4"/>
      <c r="AEU156" s="4"/>
      <c r="AEV156" s="4"/>
      <c r="AEW156" s="4"/>
      <c r="AEX156" s="4"/>
      <c r="AEY156" s="4"/>
      <c r="AEZ156" s="4"/>
      <c r="AFA156" s="4"/>
      <c r="AFB156" s="4"/>
      <c r="AFC156" s="4"/>
      <c r="AFD156" s="4"/>
      <c r="AFE156" s="4"/>
      <c r="AFF156" s="4"/>
      <c r="AFG156" s="4"/>
      <c r="AFH156" s="4"/>
      <c r="AFI156" s="4"/>
      <c r="AFJ156" s="4"/>
      <c r="AFK156" s="4"/>
      <c r="AFL156" s="4"/>
      <c r="AFM156" s="4"/>
      <c r="AFN156" s="4"/>
      <c r="AFO156" s="4"/>
      <c r="AFP156" s="4"/>
      <c r="AFQ156" s="4"/>
      <c r="AFR156" s="4"/>
      <c r="AFS156" s="4"/>
      <c r="AFT156" s="4"/>
      <c r="AFU156" s="4"/>
      <c r="AFV156" s="4"/>
      <c r="AFW156" s="4"/>
      <c r="AFX156" s="4"/>
      <c r="AFY156" s="4"/>
      <c r="AFZ156" s="4"/>
      <c r="AGA156" s="4"/>
      <c r="AGB156" s="4"/>
      <c r="AGC156" s="4"/>
      <c r="AGD156" s="4"/>
      <c r="AGE156" s="4"/>
      <c r="AGF156" s="4"/>
      <c r="AGG156" s="4"/>
      <c r="AGH156" s="4"/>
      <c r="AGI156" s="4"/>
      <c r="AGJ156" s="4"/>
      <c r="AGK156" s="4"/>
      <c r="AGL156" s="4"/>
      <c r="AGM156" s="4"/>
      <c r="AGN156" s="4"/>
      <c r="AGO156" s="4"/>
      <c r="AGP156" s="4"/>
      <c r="AGQ156" s="4"/>
      <c r="AGR156" s="4"/>
      <c r="AGS156" s="4"/>
      <c r="AGT156" s="4"/>
      <c r="AGU156" s="4"/>
      <c r="AGV156" s="4"/>
      <c r="AGW156" s="4"/>
      <c r="AGX156" s="4"/>
      <c r="AGY156" s="4"/>
      <c r="AGZ156" s="4"/>
      <c r="AHA156" s="4"/>
      <c r="AHB156" s="4"/>
      <c r="AHC156" s="4"/>
      <c r="AHD156" s="4"/>
      <c r="AHE156" s="4"/>
      <c r="AHF156" s="4"/>
      <c r="AHG156" s="4"/>
      <c r="AHH156" s="4"/>
      <c r="AHI156" s="4"/>
      <c r="AHJ156" s="4"/>
      <c r="AHK156" s="4"/>
      <c r="AHL156" s="4"/>
      <c r="AHM156" s="4"/>
      <c r="AHN156" s="4"/>
      <c r="AHO156" s="4"/>
      <c r="AHP156" s="4"/>
      <c r="AHQ156" s="4"/>
      <c r="AHR156" s="4"/>
      <c r="AHS156" s="4"/>
      <c r="AHT156" s="4"/>
      <c r="AHU156" s="4"/>
      <c r="AHV156" s="4"/>
      <c r="AHW156" s="4"/>
      <c r="AHX156" s="4"/>
      <c r="AHY156" s="4"/>
      <c r="AHZ156" s="4"/>
      <c r="AIA156" s="4"/>
      <c r="AIB156" s="4"/>
      <c r="AIC156" s="4"/>
      <c r="AID156" s="4"/>
      <c r="AIE156" s="4"/>
      <c r="AIF156" s="4"/>
      <c r="AIG156" s="4"/>
      <c r="AIH156" s="4"/>
      <c r="AII156" s="4"/>
      <c r="AIJ156" s="4"/>
      <c r="AIK156" s="4"/>
      <c r="AIL156" s="4"/>
      <c r="AIM156" s="4"/>
      <c r="AIN156" s="4"/>
      <c r="AIO156" s="4"/>
      <c r="AIP156" s="4"/>
      <c r="AIQ156" s="4"/>
      <c r="AIR156" s="4"/>
      <c r="AIS156" s="4"/>
      <c r="AIT156" s="4"/>
      <c r="AIU156" s="4"/>
      <c r="AIV156" s="4"/>
      <c r="AIW156" s="4"/>
      <c r="AIX156" s="4"/>
      <c r="AIY156" s="4"/>
      <c r="AIZ156" s="4"/>
      <c r="AJA156" s="4"/>
      <c r="AJB156" s="4"/>
      <c r="AJC156" s="4"/>
      <c r="AJD156" s="4"/>
      <c r="AJE156" s="4"/>
      <c r="AJF156" s="4"/>
      <c r="AJG156" s="4"/>
      <c r="AJH156" s="4"/>
      <c r="AJI156" s="4"/>
      <c r="AJJ156" s="4"/>
      <c r="AJK156" s="4"/>
      <c r="AJL156" s="4"/>
      <c r="AJM156" s="4"/>
      <c r="AJN156" s="4"/>
      <c r="AJO156" s="4"/>
      <c r="AJP156" s="4"/>
      <c r="AJQ156" s="4"/>
      <c r="AJR156" s="4"/>
      <c r="AJS156" s="4"/>
      <c r="AJT156" s="4"/>
      <c r="AJU156" s="4"/>
      <c r="AJV156" s="4"/>
      <c r="AJW156" s="4"/>
      <c r="AJX156" s="4"/>
      <c r="AJY156" s="4"/>
      <c r="AJZ156" s="4"/>
      <c r="AKA156" s="4"/>
      <c r="AKB156" s="4"/>
      <c r="AKC156" s="4"/>
      <c r="AKD156" s="4"/>
      <c r="AKE156" s="4"/>
      <c r="AKF156" s="4"/>
      <c r="AKG156" s="4"/>
      <c r="AKH156" s="4"/>
      <c r="AKI156" s="4"/>
      <c r="AKJ156" s="4"/>
      <c r="AKK156" s="4"/>
      <c r="AKL156" s="4"/>
      <c r="AKM156" s="4"/>
      <c r="AKN156" s="4"/>
      <c r="AKO156" s="4"/>
      <c r="AKP156" s="4"/>
      <c r="AKQ156" s="4"/>
      <c r="AKR156" s="4"/>
      <c r="AKS156" s="4"/>
      <c r="AKT156" s="4"/>
      <c r="AKU156" s="4"/>
      <c r="AKV156" s="4"/>
      <c r="AKW156" s="4"/>
      <c r="AKX156" s="4"/>
      <c r="AKY156" s="4"/>
      <c r="AKZ156" s="4"/>
      <c r="ALA156" s="4"/>
      <c r="ALB156" s="4"/>
      <c r="ALC156" s="4"/>
      <c r="ALD156" s="4"/>
      <c r="ALE156" s="4"/>
      <c r="ALF156" s="4"/>
      <c r="ALG156" s="4"/>
      <c r="ALH156" s="4"/>
      <c r="ALI156" s="4"/>
      <c r="ALJ156" s="4"/>
      <c r="ALK156" s="4"/>
      <c r="ALL156" s="4"/>
      <c r="ALM156" s="4"/>
      <c r="ALN156" s="4"/>
      <c r="ALO156" s="4"/>
      <c r="ALP156" s="4"/>
      <c r="ALQ156" s="4"/>
      <c r="ALR156" s="4"/>
      <c r="ALS156" s="4"/>
      <c r="ALT156" s="4"/>
      <c r="ALU156" s="4"/>
      <c r="ALV156" s="4"/>
      <c r="ALW156" s="4"/>
      <c r="ALX156" s="4"/>
      <c r="ALY156" s="4"/>
      <c r="ALZ156" s="4"/>
      <c r="AMA156" s="4"/>
      <c r="AMB156" s="4"/>
      <c r="AMC156" s="4"/>
      <c r="AMD156" s="4"/>
      <c r="AME156" s="4"/>
      <c r="AMF156" s="4"/>
      <c r="AMG156" s="4"/>
      <c r="AMH156" s="4"/>
      <c r="AMI156" s="4"/>
      <c r="AMJ156" s="4"/>
      <c r="AMK156" s="4"/>
      <c r="AML156" s="4"/>
      <c r="AMM156" s="4"/>
      <c r="AMN156" s="4"/>
      <c r="AMO156" s="4"/>
      <c r="AMP156" s="4"/>
      <c r="AMQ156" s="4"/>
      <c r="AMR156" s="4"/>
      <c r="AMS156" s="4"/>
      <c r="AMT156" s="4"/>
      <c r="AMU156" s="4"/>
      <c r="AMV156" s="4"/>
      <c r="AMW156" s="4"/>
      <c r="AMX156" s="4"/>
      <c r="AMY156" s="4"/>
      <c r="AMZ156" s="4"/>
      <c r="ANA156" s="4"/>
      <c r="ANB156" s="4"/>
      <c r="ANC156" s="4"/>
      <c r="AND156" s="4"/>
      <c r="ANE156" s="4"/>
      <c r="ANF156" s="4"/>
      <c r="ANG156" s="4"/>
      <c r="ANH156" s="4"/>
      <c r="ANI156" s="4"/>
      <c r="ANJ156" s="4"/>
      <c r="ANK156" s="4"/>
      <c r="ANL156" s="4"/>
      <c r="ANM156" s="4"/>
      <c r="ANN156" s="4"/>
      <c r="ANO156" s="4"/>
      <c r="ANP156" s="4"/>
      <c r="ANQ156" s="4"/>
      <c r="ANR156" s="4"/>
      <c r="ANS156" s="4"/>
      <c r="ANT156" s="4"/>
      <c r="ANU156" s="4"/>
      <c r="ANV156" s="4"/>
      <c r="ANW156" s="4"/>
      <c r="ANX156" s="4"/>
      <c r="ANY156" s="4"/>
      <c r="ANZ156" s="4"/>
      <c r="AOA156" s="4"/>
      <c r="AOB156" s="4"/>
      <c r="AOC156" s="4"/>
      <c r="AOD156" s="4"/>
      <c r="AOE156" s="4"/>
      <c r="AOF156" s="4"/>
      <c r="AOG156" s="4"/>
      <c r="AOH156" s="4"/>
      <c r="AOI156" s="4"/>
      <c r="AOJ156" s="4"/>
      <c r="AOK156" s="4"/>
      <c r="AOL156" s="4"/>
      <c r="AOM156" s="4"/>
      <c r="AON156" s="4"/>
      <c r="AOO156" s="4"/>
      <c r="AOP156" s="4"/>
      <c r="AOQ156" s="4"/>
      <c r="AOR156" s="4"/>
      <c r="AOS156" s="4"/>
      <c r="AOT156" s="4"/>
      <c r="AOU156" s="4"/>
      <c r="AOV156" s="4"/>
      <c r="AOW156" s="4"/>
      <c r="AOX156" s="4"/>
      <c r="AOY156" s="4"/>
      <c r="AOZ156" s="4"/>
      <c r="APA156" s="4"/>
      <c r="APB156" s="4"/>
      <c r="APC156" s="4"/>
      <c r="APD156" s="4"/>
      <c r="APE156" s="4"/>
      <c r="APF156" s="4"/>
      <c r="APG156" s="4"/>
      <c r="APH156" s="4"/>
      <c r="API156" s="4"/>
      <c r="APJ156" s="4"/>
      <c r="APK156" s="4"/>
      <c r="APL156" s="4"/>
      <c r="APM156" s="4"/>
      <c r="APN156" s="4"/>
      <c r="APO156" s="4"/>
      <c r="APP156" s="4"/>
      <c r="APQ156" s="4"/>
      <c r="APR156" s="4"/>
      <c r="APS156" s="4"/>
      <c r="APT156" s="4"/>
      <c r="APU156" s="4"/>
      <c r="APV156" s="4"/>
      <c r="APW156" s="4"/>
      <c r="APX156" s="4"/>
      <c r="APY156" s="4"/>
      <c r="APZ156" s="4"/>
      <c r="AQA156" s="4"/>
      <c r="AQB156" s="4"/>
      <c r="AQC156" s="4"/>
      <c r="AQD156" s="4"/>
      <c r="AQE156" s="4"/>
      <c r="AQF156" s="4"/>
      <c r="AQG156" s="4"/>
      <c r="AQH156" s="4"/>
      <c r="AQI156" s="4"/>
      <c r="AQJ156" s="4"/>
      <c r="AQK156" s="4"/>
      <c r="AQL156" s="4"/>
      <c r="AQM156" s="4"/>
      <c r="AQN156" s="4"/>
      <c r="AQO156" s="4"/>
      <c r="AQP156" s="4"/>
      <c r="AQQ156" s="4"/>
      <c r="AQR156" s="4"/>
      <c r="AQS156" s="4"/>
      <c r="AQT156" s="4"/>
      <c r="AQU156" s="4"/>
      <c r="AQV156" s="4"/>
      <c r="AQW156" s="4"/>
      <c r="AQX156" s="4"/>
      <c r="AQY156" s="4"/>
      <c r="AQZ156" s="4"/>
      <c r="ARA156" s="4"/>
      <c r="ARB156" s="4"/>
      <c r="ARC156" s="4"/>
      <c r="ARD156" s="4"/>
      <c r="ARE156" s="4"/>
      <c r="ARF156" s="4"/>
      <c r="ARG156" s="4"/>
      <c r="ARH156" s="4"/>
      <c r="ARI156" s="4"/>
      <c r="ARJ156" s="4"/>
      <c r="ARK156" s="4"/>
      <c r="ARL156" s="4"/>
      <c r="ARM156" s="4"/>
      <c r="ARN156" s="4"/>
      <c r="ARO156" s="4"/>
      <c r="ARP156" s="4"/>
      <c r="ARQ156" s="4"/>
      <c r="ARR156" s="4"/>
      <c r="ARS156" s="4"/>
      <c r="ART156" s="4"/>
      <c r="ARU156" s="4"/>
      <c r="ARV156" s="4"/>
      <c r="ARW156" s="4"/>
      <c r="ARX156" s="4"/>
      <c r="ARY156" s="4"/>
      <c r="ARZ156" s="4"/>
      <c r="ASA156" s="4"/>
      <c r="ASB156" s="4"/>
      <c r="ASC156" s="4"/>
      <c r="ASD156" s="4"/>
      <c r="ASE156" s="4"/>
      <c r="ASF156" s="4"/>
      <c r="ASG156" s="4"/>
      <c r="ASH156" s="4"/>
      <c r="ASI156" s="4"/>
      <c r="ASJ156" s="4"/>
      <c r="ASK156" s="4"/>
      <c r="ASL156" s="4"/>
      <c r="ASM156" s="4"/>
      <c r="ASN156" s="4"/>
      <c r="ASO156" s="4"/>
      <c r="ASP156" s="4"/>
      <c r="ASQ156" s="4"/>
      <c r="ASR156" s="4"/>
      <c r="ASS156" s="4"/>
      <c r="AST156" s="4"/>
      <c r="ASU156" s="4"/>
    </row>
    <row r="157" spans="1:119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  <c r="UG157" s="4"/>
      <c r="UH157" s="4"/>
      <c r="UI157" s="4"/>
      <c r="UJ157" s="4"/>
      <c r="UK157" s="4"/>
      <c r="UL157" s="4"/>
      <c r="UM157" s="4"/>
      <c r="UN157" s="4"/>
      <c r="UO157" s="4"/>
      <c r="UP157" s="4"/>
      <c r="UQ157" s="4"/>
      <c r="UR157" s="4"/>
      <c r="US157" s="4"/>
      <c r="UT157" s="4"/>
      <c r="UU157" s="4"/>
      <c r="UV157" s="4"/>
      <c r="UW157" s="4"/>
      <c r="UX157" s="4"/>
      <c r="UY157" s="4"/>
      <c r="UZ157" s="4"/>
      <c r="VA157" s="4"/>
      <c r="VB157" s="4"/>
      <c r="VC157" s="4"/>
      <c r="VD157" s="4"/>
      <c r="VE157" s="4"/>
      <c r="VF157" s="4"/>
      <c r="VG157" s="4"/>
      <c r="VH157" s="4"/>
      <c r="VI157" s="4"/>
      <c r="VJ157" s="4"/>
      <c r="VK157" s="4"/>
      <c r="VL157" s="4"/>
      <c r="VM157" s="4"/>
      <c r="VN157" s="4"/>
      <c r="VO157" s="4"/>
      <c r="VP157" s="4"/>
      <c r="VQ157" s="4"/>
      <c r="VR157" s="4"/>
      <c r="VS157" s="4"/>
      <c r="VT157" s="4"/>
      <c r="VU157" s="4"/>
      <c r="VV157" s="4"/>
      <c r="VW157" s="4"/>
      <c r="VX157" s="4"/>
      <c r="VY157" s="4"/>
      <c r="VZ157" s="4"/>
      <c r="WA157" s="4"/>
      <c r="WB157" s="4"/>
      <c r="WC157" s="4"/>
      <c r="WD157" s="4"/>
      <c r="WE157" s="4"/>
      <c r="WF157" s="4"/>
      <c r="WG157" s="4"/>
      <c r="WH157" s="4"/>
      <c r="WI157" s="4"/>
      <c r="WJ157" s="4"/>
      <c r="WK157" s="4"/>
      <c r="WL157" s="4"/>
      <c r="WM157" s="4"/>
      <c r="WN157" s="4"/>
      <c r="WO157" s="4"/>
      <c r="WP157" s="4"/>
      <c r="WQ157" s="4"/>
      <c r="WR157" s="4"/>
      <c r="WS157" s="4"/>
      <c r="WT157" s="4"/>
      <c r="WU157" s="4"/>
      <c r="WV157" s="4"/>
      <c r="WW157" s="4"/>
      <c r="WX157" s="4"/>
      <c r="WY157" s="4"/>
      <c r="WZ157" s="4"/>
      <c r="XA157" s="4"/>
      <c r="XB157" s="4"/>
      <c r="XC157" s="4"/>
      <c r="XD157" s="4"/>
      <c r="XE157" s="4"/>
      <c r="XF157" s="4"/>
      <c r="XG157" s="4"/>
      <c r="XH157" s="4"/>
      <c r="XI157" s="4"/>
      <c r="XJ157" s="4"/>
      <c r="XK157" s="4"/>
      <c r="XL157" s="4"/>
      <c r="XM157" s="4"/>
      <c r="XN157" s="4"/>
      <c r="XO157" s="4"/>
      <c r="XP157" s="4"/>
      <c r="XQ157" s="4"/>
      <c r="XR157" s="4"/>
      <c r="XS157" s="4"/>
      <c r="XT157" s="4"/>
      <c r="XU157" s="4"/>
      <c r="XV157" s="4"/>
      <c r="XW157" s="4"/>
      <c r="XX157" s="4"/>
      <c r="XY157" s="4"/>
      <c r="XZ157" s="4"/>
      <c r="YA157" s="4"/>
      <c r="YB157" s="4"/>
      <c r="YC157" s="4"/>
      <c r="YD157" s="4"/>
      <c r="YE157" s="4"/>
      <c r="YF157" s="4"/>
      <c r="YG157" s="4"/>
      <c r="YH157" s="4"/>
      <c r="YI157" s="4"/>
      <c r="YJ157" s="4"/>
      <c r="YK157" s="4"/>
      <c r="YL157" s="4"/>
      <c r="YM157" s="4"/>
      <c r="YN157" s="4"/>
      <c r="YO157" s="4"/>
      <c r="YP157" s="4"/>
      <c r="YQ157" s="4"/>
      <c r="YR157" s="4"/>
      <c r="YS157" s="4"/>
      <c r="YT157" s="4"/>
      <c r="YU157" s="4"/>
      <c r="YV157" s="4"/>
      <c r="YW157" s="4"/>
      <c r="YX157" s="4"/>
      <c r="YY157" s="4"/>
      <c r="YZ157" s="4"/>
      <c r="ZA157" s="4"/>
      <c r="ZB157" s="4"/>
      <c r="ZC157" s="4"/>
      <c r="ZD157" s="4"/>
      <c r="ZE157" s="4"/>
      <c r="ZF157" s="4"/>
      <c r="ZG157" s="4"/>
      <c r="ZH157" s="4"/>
      <c r="ZI157" s="4"/>
      <c r="ZJ157" s="4"/>
      <c r="ZK157" s="4"/>
      <c r="ZL157" s="4"/>
      <c r="ZM157" s="4"/>
      <c r="ZN157" s="4"/>
      <c r="ZO157" s="4"/>
      <c r="ZP157" s="4"/>
      <c r="ZQ157" s="4"/>
      <c r="ZR157" s="4"/>
      <c r="ZS157" s="4"/>
      <c r="ZT157" s="4"/>
      <c r="ZU157" s="4"/>
      <c r="ZV157" s="4"/>
      <c r="ZW157" s="4"/>
      <c r="ZX157" s="4"/>
      <c r="ZY157" s="4"/>
      <c r="ZZ157" s="4"/>
      <c r="AAA157" s="4"/>
      <c r="AAB157" s="4"/>
      <c r="AAC157" s="4"/>
      <c r="AAD157" s="4"/>
      <c r="AAE157" s="4"/>
      <c r="AAF157" s="4"/>
      <c r="AAG157" s="4"/>
      <c r="AAH157" s="4"/>
      <c r="AAI157" s="4"/>
      <c r="AAJ157" s="4"/>
      <c r="AAK157" s="4"/>
      <c r="AAL157" s="4"/>
      <c r="AAM157" s="4"/>
      <c r="AAN157" s="4"/>
      <c r="AAO157" s="4"/>
      <c r="AAP157" s="4"/>
      <c r="AAQ157" s="4"/>
      <c r="AAR157" s="4"/>
      <c r="AAS157" s="4"/>
      <c r="AAT157" s="4"/>
      <c r="AAU157" s="4"/>
      <c r="AAV157" s="4"/>
      <c r="AAW157" s="4"/>
      <c r="AAX157" s="4"/>
      <c r="AAY157" s="4"/>
      <c r="AAZ157" s="4"/>
      <c r="ABA157" s="4"/>
      <c r="ABB157" s="4"/>
      <c r="ABC157" s="4"/>
      <c r="ABD157" s="4"/>
      <c r="ABE157" s="4"/>
      <c r="ABF157" s="4"/>
      <c r="ABG157" s="4"/>
      <c r="ABH157" s="4"/>
      <c r="ABI157" s="4"/>
      <c r="ABJ157" s="4"/>
      <c r="ABK157" s="4"/>
      <c r="ABL157" s="4"/>
      <c r="ABM157" s="4"/>
      <c r="ABN157" s="4"/>
      <c r="ABO157" s="4"/>
      <c r="ABP157" s="4"/>
      <c r="ABQ157" s="4"/>
      <c r="ABR157" s="4"/>
      <c r="ABS157" s="4"/>
      <c r="ABT157" s="4"/>
      <c r="ABU157" s="4"/>
      <c r="ABV157" s="4"/>
      <c r="ABW157" s="4"/>
      <c r="ABX157" s="4"/>
      <c r="ABY157" s="4"/>
      <c r="ABZ157" s="4"/>
      <c r="ACA157" s="4"/>
      <c r="ACB157" s="4"/>
      <c r="ACC157" s="4"/>
      <c r="ACD157" s="4"/>
      <c r="ACE157" s="4"/>
      <c r="ACF157" s="4"/>
      <c r="ACG157" s="4"/>
      <c r="ACH157" s="4"/>
      <c r="ACI157" s="4"/>
      <c r="ACJ157" s="4"/>
      <c r="ACK157" s="4"/>
      <c r="ACL157" s="4"/>
      <c r="ACM157" s="4"/>
      <c r="ACN157" s="4"/>
      <c r="ACO157" s="4"/>
      <c r="ACP157" s="4"/>
      <c r="ACQ157" s="4"/>
      <c r="ACR157" s="4"/>
      <c r="ACS157" s="4"/>
      <c r="ACT157" s="4"/>
      <c r="ACU157" s="4"/>
      <c r="ACV157" s="4"/>
      <c r="ACW157" s="4"/>
      <c r="ACX157" s="4"/>
      <c r="ACY157" s="4"/>
      <c r="ACZ157" s="4"/>
      <c r="ADA157" s="4"/>
      <c r="ADB157" s="4"/>
      <c r="ADC157" s="4"/>
      <c r="ADD157" s="4"/>
      <c r="ADE157" s="4"/>
      <c r="ADF157" s="4"/>
      <c r="ADG157" s="4"/>
      <c r="ADH157" s="4"/>
      <c r="ADI157" s="4"/>
      <c r="ADJ157" s="4"/>
      <c r="ADK157" s="4"/>
      <c r="ADL157" s="4"/>
      <c r="ADM157" s="4"/>
      <c r="ADN157" s="4"/>
      <c r="ADO157" s="4"/>
      <c r="ADP157" s="4"/>
      <c r="ADQ157" s="4"/>
      <c r="ADR157" s="4"/>
      <c r="ADS157" s="4"/>
      <c r="ADT157" s="4"/>
      <c r="ADU157" s="4"/>
      <c r="ADV157" s="4"/>
      <c r="ADW157" s="4"/>
      <c r="ADX157" s="4"/>
      <c r="ADY157" s="4"/>
      <c r="ADZ157" s="4"/>
      <c r="AEA157" s="4"/>
      <c r="AEB157" s="4"/>
      <c r="AEC157" s="4"/>
      <c r="AED157" s="4"/>
      <c r="AEE157" s="4"/>
      <c r="AEF157" s="4"/>
      <c r="AEG157" s="4"/>
      <c r="AEH157" s="4"/>
      <c r="AEI157" s="4"/>
      <c r="AEJ157" s="4"/>
      <c r="AEK157" s="4"/>
      <c r="AEL157" s="4"/>
      <c r="AEM157" s="4"/>
      <c r="AEN157" s="4"/>
      <c r="AEO157" s="4"/>
      <c r="AEP157" s="4"/>
      <c r="AEQ157" s="4"/>
      <c r="AER157" s="4"/>
      <c r="AES157" s="4"/>
      <c r="AET157" s="4"/>
      <c r="AEU157" s="4"/>
      <c r="AEV157" s="4"/>
      <c r="AEW157" s="4"/>
      <c r="AEX157" s="4"/>
      <c r="AEY157" s="4"/>
      <c r="AEZ157" s="4"/>
      <c r="AFA157" s="4"/>
      <c r="AFB157" s="4"/>
      <c r="AFC157" s="4"/>
      <c r="AFD157" s="4"/>
      <c r="AFE157" s="4"/>
      <c r="AFF157" s="4"/>
      <c r="AFG157" s="4"/>
      <c r="AFH157" s="4"/>
      <c r="AFI157" s="4"/>
      <c r="AFJ157" s="4"/>
      <c r="AFK157" s="4"/>
      <c r="AFL157" s="4"/>
      <c r="AFM157" s="4"/>
      <c r="AFN157" s="4"/>
      <c r="AFO157" s="4"/>
      <c r="AFP157" s="4"/>
      <c r="AFQ157" s="4"/>
      <c r="AFR157" s="4"/>
      <c r="AFS157" s="4"/>
      <c r="AFT157" s="4"/>
      <c r="AFU157" s="4"/>
      <c r="AFV157" s="4"/>
      <c r="AFW157" s="4"/>
      <c r="AFX157" s="4"/>
      <c r="AFY157" s="4"/>
      <c r="AFZ157" s="4"/>
      <c r="AGA157" s="4"/>
      <c r="AGB157" s="4"/>
      <c r="AGC157" s="4"/>
      <c r="AGD157" s="4"/>
      <c r="AGE157" s="4"/>
      <c r="AGF157" s="4"/>
      <c r="AGG157" s="4"/>
      <c r="AGH157" s="4"/>
      <c r="AGI157" s="4"/>
      <c r="AGJ157" s="4"/>
      <c r="AGK157" s="4"/>
      <c r="AGL157" s="4"/>
      <c r="AGM157" s="4"/>
      <c r="AGN157" s="4"/>
      <c r="AGO157" s="4"/>
      <c r="AGP157" s="4"/>
      <c r="AGQ157" s="4"/>
      <c r="AGR157" s="4"/>
      <c r="AGS157" s="4"/>
      <c r="AGT157" s="4"/>
      <c r="AGU157" s="4"/>
      <c r="AGV157" s="4"/>
      <c r="AGW157" s="4"/>
      <c r="AGX157" s="4"/>
      <c r="AGY157" s="4"/>
      <c r="AGZ157" s="4"/>
      <c r="AHA157" s="4"/>
      <c r="AHB157" s="4"/>
      <c r="AHC157" s="4"/>
      <c r="AHD157" s="4"/>
      <c r="AHE157" s="4"/>
      <c r="AHF157" s="4"/>
      <c r="AHG157" s="4"/>
      <c r="AHH157" s="4"/>
      <c r="AHI157" s="4"/>
      <c r="AHJ157" s="4"/>
      <c r="AHK157" s="4"/>
      <c r="AHL157" s="4"/>
      <c r="AHM157" s="4"/>
      <c r="AHN157" s="4"/>
      <c r="AHO157" s="4"/>
      <c r="AHP157" s="4"/>
      <c r="AHQ157" s="4"/>
      <c r="AHR157" s="4"/>
      <c r="AHS157" s="4"/>
      <c r="AHT157" s="4"/>
      <c r="AHU157" s="4"/>
      <c r="AHV157" s="4"/>
      <c r="AHW157" s="4"/>
      <c r="AHX157" s="4"/>
      <c r="AHY157" s="4"/>
      <c r="AHZ157" s="4"/>
      <c r="AIA157" s="4"/>
      <c r="AIB157" s="4"/>
      <c r="AIC157" s="4"/>
      <c r="AID157" s="4"/>
      <c r="AIE157" s="4"/>
      <c r="AIF157" s="4"/>
      <c r="AIG157" s="4"/>
      <c r="AIH157" s="4"/>
      <c r="AII157" s="4"/>
      <c r="AIJ157" s="4"/>
      <c r="AIK157" s="4"/>
      <c r="AIL157" s="4"/>
      <c r="AIM157" s="4"/>
      <c r="AIN157" s="4"/>
      <c r="AIO157" s="4"/>
      <c r="AIP157" s="4"/>
      <c r="AIQ157" s="4"/>
      <c r="AIR157" s="4"/>
      <c r="AIS157" s="4"/>
      <c r="AIT157" s="4"/>
      <c r="AIU157" s="4"/>
      <c r="AIV157" s="4"/>
      <c r="AIW157" s="4"/>
      <c r="AIX157" s="4"/>
      <c r="AIY157" s="4"/>
      <c r="AIZ157" s="4"/>
      <c r="AJA157" s="4"/>
      <c r="AJB157" s="4"/>
      <c r="AJC157" s="4"/>
      <c r="AJD157" s="4"/>
      <c r="AJE157" s="4"/>
      <c r="AJF157" s="4"/>
      <c r="AJG157" s="4"/>
      <c r="AJH157" s="4"/>
      <c r="AJI157" s="4"/>
      <c r="AJJ157" s="4"/>
      <c r="AJK157" s="4"/>
      <c r="AJL157" s="4"/>
      <c r="AJM157" s="4"/>
      <c r="AJN157" s="4"/>
      <c r="AJO157" s="4"/>
      <c r="AJP157" s="4"/>
      <c r="AJQ157" s="4"/>
      <c r="AJR157" s="4"/>
      <c r="AJS157" s="4"/>
      <c r="AJT157" s="4"/>
      <c r="AJU157" s="4"/>
      <c r="AJV157" s="4"/>
      <c r="AJW157" s="4"/>
      <c r="AJX157" s="4"/>
      <c r="AJY157" s="4"/>
      <c r="AJZ157" s="4"/>
      <c r="AKA157" s="4"/>
      <c r="AKB157" s="4"/>
      <c r="AKC157" s="4"/>
      <c r="AKD157" s="4"/>
      <c r="AKE157" s="4"/>
      <c r="AKF157" s="4"/>
      <c r="AKG157" s="4"/>
      <c r="AKH157" s="4"/>
      <c r="AKI157" s="4"/>
      <c r="AKJ157" s="4"/>
      <c r="AKK157" s="4"/>
      <c r="AKL157" s="4"/>
      <c r="AKM157" s="4"/>
      <c r="AKN157" s="4"/>
      <c r="AKO157" s="4"/>
      <c r="AKP157" s="4"/>
      <c r="AKQ157" s="4"/>
      <c r="AKR157" s="4"/>
      <c r="AKS157" s="4"/>
      <c r="AKT157" s="4"/>
      <c r="AKU157" s="4"/>
      <c r="AKV157" s="4"/>
      <c r="AKW157" s="4"/>
      <c r="AKX157" s="4"/>
      <c r="AKY157" s="4"/>
      <c r="AKZ157" s="4"/>
      <c r="ALA157" s="4"/>
      <c r="ALB157" s="4"/>
      <c r="ALC157" s="4"/>
      <c r="ALD157" s="4"/>
      <c r="ALE157" s="4"/>
      <c r="ALF157" s="4"/>
      <c r="ALG157" s="4"/>
      <c r="ALH157" s="4"/>
      <c r="ALI157" s="4"/>
      <c r="ALJ157" s="4"/>
      <c r="ALK157" s="4"/>
      <c r="ALL157" s="4"/>
      <c r="ALM157" s="4"/>
      <c r="ALN157" s="4"/>
      <c r="ALO157" s="4"/>
      <c r="ALP157" s="4"/>
      <c r="ALQ157" s="4"/>
      <c r="ALR157" s="4"/>
      <c r="ALS157" s="4"/>
      <c r="ALT157" s="4"/>
      <c r="ALU157" s="4"/>
      <c r="ALV157" s="4"/>
      <c r="ALW157" s="4"/>
      <c r="ALX157" s="4"/>
      <c r="ALY157" s="4"/>
      <c r="ALZ157" s="4"/>
      <c r="AMA157" s="4"/>
      <c r="AMB157" s="4"/>
      <c r="AMC157" s="4"/>
      <c r="AMD157" s="4"/>
      <c r="AME157" s="4"/>
      <c r="AMF157" s="4"/>
      <c r="AMG157" s="4"/>
      <c r="AMH157" s="4"/>
      <c r="AMI157" s="4"/>
      <c r="AMJ157" s="4"/>
      <c r="AMK157" s="4"/>
      <c r="AML157" s="4"/>
      <c r="AMM157" s="4"/>
      <c r="AMN157" s="4"/>
      <c r="AMO157" s="4"/>
      <c r="AMP157" s="4"/>
      <c r="AMQ157" s="4"/>
      <c r="AMR157" s="4"/>
      <c r="AMS157" s="4"/>
      <c r="AMT157" s="4"/>
      <c r="AMU157" s="4"/>
      <c r="AMV157" s="4"/>
      <c r="AMW157" s="4"/>
      <c r="AMX157" s="4"/>
      <c r="AMY157" s="4"/>
      <c r="AMZ157" s="4"/>
      <c r="ANA157" s="4"/>
      <c r="ANB157" s="4"/>
      <c r="ANC157" s="4"/>
      <c r="AND157" s="4"/>
      <c r="ANE157" s="4"/>
      <c r="ANF157" s="4"/>
      <c r="ANG157" s="4"/>
      <c r="ANH157" s="4"/>
      <c r="ANI157" s="4"/>
      <c r="ANJ157" s="4"/>
      <c r="ANK157" s="4"/>
      <c r="ANL157" s="4"/>
      <c r="ANM157" s="4"/>
      <c r="ANN157" s="4"/>
      <c r="ANO157" s="4"/>
      <c r="ANP157" s="4"/>
      <c r="ANQ157" s="4"/>
      <c r="ANR157" s="4"/>
      <c r="ANS157" s="4"/>
      <c r="ANT157" s="4"/>
      <c r="ANU157" s="4"/>
      <c r="ANV157" s="4"/>
      <c r="ANW157" s="4"/>
      <c r="ANX157" s="4"/>
      <c r="ANY157" s="4"/>
      <c r="ANZ157" s="4"/>
      <c r="AOA157" s="4"/>
      <c r="AOB157" s="4"/>
      <c r="AOC157" s="4"/>
      <c r="AOD157" s="4"/>
      <c r="AOE157" s="4"/>
      <c r="AOF157" s="4"/>
      <c r="AOG157" s="4"/>
      <c r="AOH157" s="4"/>
      <c r="AOI157" s="4"/>
      <c r="AOJ157" s="4"/>
      <c r="AOK157" s="4"/>
      <c r="AOL157" s="4"/>
      <c r="AOM157" s="4"/>
      <c r="AON157" s="4"/>
      <c r="AOO157" s="4"/>
      <c r="AOP157" s="4"/>
      <c r="AOQ157" s="4"/>
      <c r="AOR157" s="4"/>
      <c r="AOS157" s="4"/>
      <c r="AOT157" s="4"/>
      <c r="AOU157" s="4"/>
      <c r="AOV157" s="4"/>
      <c r="AOW157" s="4"/>
      <c r="AOX157" s="4"/>
      <c r="AOY157" s="4"/>
      <c r="AOZ157" s="4"/>
      <c r="APA157" s="4"/>
      <c r="APB157" s="4"/>
      <c r="APC157" s="4"/>
      <c r="APD157" s="4"/>
      <c r="APE157" s="4"/>
      <c r="APF157" s="4"/>
      <c r="APG157" s="4"/>
      <c r="APH157" s="4"/>
      <c r="API157" s="4"/>
      <c r="APJ157" s="4"/>
      <c r="APK157" s="4"/>
      <c r="APL157" s="4"/>
      <c r="APM157" s="4"/>
      <c r="APN157" s="4"/>
      <c r="APO157" s="4"/>
      <c r="APP157" s="4"/>
      <c r="APQ157" s="4"/>
      <c r="APR157" s="4"/>
      <c r="APS157" s="4"/>
      <c r="APT157" s="4"/>
      <c r="APU157" s="4"/>
      <c r="APV157" s="4"/>
      <c r="APW157" s="4"/>
      <c r="APX157" s="4"/>
      <c r="APY157" s="4"/>
      <c r="APZ157" s="4"/>
      <c r="AQA157" s="4"/>
      <c r="AQB157" s="4"/>
      <c r="AQC157" s="4"/>
      <c r="AQD157" s="4"/>
      <c r="AQE157" s="4"/>
      <c r="AQF157" s="4"/>
      <c r="AQG157" s="4"/>
      <c r="AQH157" s="4"/>
      <c r="AQI157" s="4"/>
      <c r="AQJ157" s="4"/>
      <c r="AQK157" s="4"/>
      <c r="AQL157" s="4"/>
      <c r="AQM157" s="4"/>
      <c r="AQN157" s="4"/>
      <c r="AQO157" s="4"/>
      <c r="AQP157" s="4"/>
      <c r="AQQ157" s="4"/>
      <c r="AQR157" s="4"/>
      <c r="AQS157" s="4"/>
      <c r="AQT157" s="4"/>
      <c r="AQU157" s="4"/>
      <c r="AQV157" s="4"/>
      <c r="AQW157" s="4"/>
      <c r="AQX157" s="4"/>
      <c r="AQY157" s="4"/>
      <c r="AQZ157" s="4"/>
      <c r="ARA157" s="4"/>
      <c r="ARB157" s="4"/>
      <c r="ARC157" s="4"/>
      <c r="ARD157" s="4"/>
      <c r="ARE157" s="4"/>
      <c r="ARF157" s="4"/>
      <c r="ARG157" s="4"/>
      <c r="ARH157" s="4"/>
      <c r="ARI157" s="4"/>
      <c r="ARJ157" s="4"/>
      <c r="ARK157" s="4"/>
      <c r="ARL157" s="4"/>
      <c r="ARM157" s="4"/>
      <c r="ARN157" s="4"/>
      <c r="ARO157" s="4"/>
      <c r="ARP157" s="4"/>
      <c r="ARQ157" s="4"/>
      <c r="ARR157" s="4"/>
      <c r="ARS157" s="4"/>
      <c r="ART157" s="4"/>
      <c r="ARU157" s="4"/>
      <c r="ARV157" s="4"/>
      <c r="ARW157" s="4"/>
      <c r="ARX157" s="4"/>
      <c r="ARY157" s="4"/>
      <c r="ARZ157" s="4"/>
      <c r="ASA157" s="4"/>
      <c r="ASB157" s="4"/>
      <c r="ASC157" s="4"/>
      <c r="ASD157" s="4"/>
      <c r="ASE157" s="4"/>
      <c r="ASF157" s="4"/>
      <c r="ASG157" s="4"/>
      <c r="ASH157" s="4"/>
      <c r="ASI157" s="4"/>
      <c r="ASJ157" s="4"/>
      <c r="ASK157" s="4"/>
      <c r="ASL157" s="4"/>
      <c r="ASM157" s="4"/>
      <c r="ASN157" s="4"/>
      <c r="ASO157" s="4"/>
      <c r="ASP157" s="4"/>
      <c r="ASQ157" s="4"/>
      <c r="ASR157" s="4"/>
      <c r="ASS157" s="4"/>
      <c r="AST157" s="4"/>
      <c r="ASU157" s="4"/>
    </row>
    <row r="158" hidden="1" spans="1:119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  <c r="UG158" s="4"/>
      <c r="UH158" s="4"/>
      <c r="UI158" s="4"/>
      <c r="UJ158" s="4"/>
      <c r="UK158" s="4"/>
      <c r="UL158" s="4"/>
      <c r="UM158" s="4"/>
      <c r="UN158" s="4"/>
      <c r="UO158" s="4"/>
      <c r="UP158" s="4"/>
      <c r="UQ158" s="4"/>
      <c r="UR158" s="4"/>
      <c r="US158" s="4"/>
      <c r="UT158" s="4"/>
      <c r="UU158" s="4"/>
      <c r="UV158" s="4"/>
      <c r="UW158" s="4"/>
      <c r="UX158" s="4"/>
      <c r="UY158" s="4"/>
      <c r="UZ158" s="4"/>
      <c r="VA158" s="4"/>
      <c r="VB158" s="4"/>
      <c r="VC158" s="4"/>
      <c r="VD158" s="4"/>
      <c r="VE158" s="4"/>
      <c r="VF158" s="4"/>
      <c r="VG158" s="4"/>
      <c r="VH158" s="4"/>
      <c r="VI158" s="4"/>
      <c r="VJ158" s="4"/>
      <c r="VK158" s="4"/>
      <c r="VL158" s="4"/>
      <c r="VM158" s="4"/>
      <c r="VN158" s="4"/>
      <c r="VO158" s="4"/>
      <c r="VP158" s="4"/>
      <c r="VQ158" s="4"/>
      <c r="VR158" s="4"/>
      <c r="VS158" s="4"/>
      <c r="VT158" s="4"/>
      <c r="VU158" s="4"/>
      <c r="VV158" s="4"/>
      <c r="VW158" s="4"/>
      <c r="VX158" s="4"/>
      <c r="VY158" s="4"/>
      <c r="VZ158" s="4"/>
      <c r="WA158" s="4"/>
      <c r="WB158" s="4"/>
      <c r="WC158" s="4"/>
      <c r="WD158" s="4"/>
      <c r="WE158" s="4"/>
      <c r="WF158" s="4"/>
      <c r="WG158" s="4"/>
      <c r="WH158" s="4"/>
      <c r="WI158" s="4"/>
      <c r="WJ158" s="4"/>
      <c r="WK158" s="4"/>
      <c r="WL158" s="4"/>
      <c r="WM158" s="4"/>
      <c r="WN158" s="4"/>
      <c r="WO158" s="4"/>
      <c r="WP158" s="4"/>
      <c r="WQ158" s="4"/>
      <c r="WR158" s="4"/>
      <c r="WS158" s="4"/>
      <c r="WT158" s="4"/>
      <c r="WU158" s="4"/>
      <c r="WV158" s="4"/>
      <c r="WW158" s="4"/>
      <c r="WX158" s="4"/>
      <c r="WY158" s="4"/>
      <c r="WZ158" s="4"/>
      <c r="XA158" s="4"/>
      <c r="XB158" s="4"/>
      <c r="XC158" s="4"/>
      <c r="XD158" s="4"/>
      <c r="XE158" s="4"/>
      <c r="XF158" s="4"/>
      <c r="XG158" s="4"/>
      <c r="XH158" s="4"/>
      <c r="XI158" s="4"/>
      <c r="XJ158" s="4"/>
      <c r="XK158" s="4"/>
      <c r="XL158" s="4"/>
      <c r="XM158" s="4"/>
      <c r="XN158" s="4"/>
      <c r="XO158" s="4"/>
      <c r="XP158" s="4"/>
      <c r="XQ158" s="4"/>
      <c r="XR158" s="4"/>
      <c r="XS158" s="4"/>
      <c r="XT158" s="4"/>
      <c r="XU158" s="4"/>
      <c r="XV158" s="4"/>
      <c r="XW158" s="4"/>
      <c r="XX158" s="4"/>
      <c r="XY158" s="4"/>
      <c r="XZ158" s="4"/>
      <c r="YA158" s="4"/>
      <c r="YB158" s="4"/>
      <c r="YC158" s="4"/>
      <c r="YD158" s="4"/>
      <c r="YE158" s="4"/>
      <c r="YF158" s="4"/>
      <c r="YG158" s="4"/>
      <c r="YH158" s="4"/>
      <c r="YI158" s="4"/>
      <c r="YJ158" s="4"/>
      <c r="YK158" s="4"/>
      <c r="YL158" s="4"/>
      <c r="YM158" s="4"/>
      <c r="YN158" s="4"/>
      <c r="YO158" s="4"/>
      <c r="YP158" s="4"/>
      <c r="YQ158" s="4"/>
      <c r="YR158" s="4"/>
      <c r="YS158" s="4"/>
      <c r="YT158" s="4"/>
      <c r="YU158" s="4"/>
      <c r="YV158" s="4"/>
      <c r="YW158" s="4"/>
      <c r="YX158" s="4"/>
      <c r="YY158" s="4"/>
      <c r="YZ158" s="4"/>
      <c r="ZA158" s="4"/>
      <c r="ZB158" s="4"/>
      <c r="ZC158" s="4"/>
      <c r="ZD158" s="4"/>
      <c r="ZE158" s="4"/>
      <c r="ZF158" s="4"/>
      <c r="ZG158" s="4"/>
      <c r="ZH158" s="4"/>
      <c r="ZI158" s="4"/>
      <c r="ZJ158" s="4"/>
      <c r="ZK158" s="4"/>
      <c r="ZL158" s="4"/>
      <c r="ZM158" s="4"/>
      <c r="ZN158" s="4"/>
      <c r="ZO158" s="4"/>
      <c r="ZP158" s="4"/>
      <c r="ZQ158" s="4"/>
      <c r="ZR158" s="4"/>
      <c r="ZS158" s="4"/>
      <c r="ZT158" s="4"/>
      <c r="ZU158" s="4"/>
      <c r="ZV158" s="4"/>
      <c r="ZW158" s="4"/>
      <c r="ZX158" s="4"/>
      <c r="ZY158" s="4"/>
      <c r="ZZ158" s="4"/>
      <c r="AAA158" s="4"/>
      <c r="AAB158" s="4"/>
      <c r="AAC158" s="4"/>
      <c r="AAD158" s="4"/>
      <c r="AAE158" s="4"/>
      <c r="AAF158" s="4"/>
      <c r="AAG158" s="4"/>
      <c r="AAH158" s="4"/>
      <c r="AAI158" s="4"/>
      <c r="AAJ158" s="4"/>
      <c r="AAK158" s="4"/>
      <c r="AAL158" s="4"/>
      <c r="AAM158" s="4"/>
      <c r="AAN158" s="4"/>
      <c r="AAO158" s="4"/>
      <c r="AAP158" s="4"/>
      <c r="AAQ158" s="4"/>
      <c r="AAR158" s="4"/>
      <c r="AAS158" s="4"/>
      <c r="AAT158" s="4"/>
      <c r="AAU158" s="4"/>
      <c r="AAV158" s="4"/>
      <c r="AAW158" s="4"/>
      <c r="AAX158" s="4"/>
      <c r="AAY158" s="4"/>
      <c r="AAZ158" s="4"/>
      <c r="ABA158" s="4"/>
      <c r="ABB158" s="4"/>
      <c r="ABC158" s="4"/>
      <c r="ABD158" s="4"/>
      <c r="ABE158" s="4"/>
      <c r="ABF158" s="4"/>
      <c r="ABG158" s="4"/>
      <c r="ABH158" s="4"/>
      <c r="ABI158" s="4"/>
      <c r="ABJ158" s="4"/>
      <c r="ABK158" s="4"/>
      <c r="ABL158" s="4"/>
      <c r="ABM158" s="4"/>
      <c r="ABN158" s="4"/>
      <c r="ABO158" s="4"/>
      <c r="ABP158" s="4"/>
      <c r="ABQ158" s="4"/>
      <c r="ABR158" s="4"/>
      <c r="ABS158" s="4"/>
      <c r="ABT158" s="4"/>
      <c r="ABU158" s="4"/>
      <c r="ABV158" s="4"/>
      <c r="ABW158" s="4"/>
      <c r="ABX158" s="4"/>
      <c r="ABY158" s="4"/>
      <c r="ABZ158" s="4"/>
      <c r="ACA158" s="4"/>
      <c r="ACB158" s="4"/>
      <c r="ACC158" s="4"/>
      <c r="ACD158" s="4"/>
      <c r="ACE158" s="4"/>
      <c r="ACF158" s="4"/>
      <c r="ACG158" s="4"/>
      <c r="ACH158" s="4"/>
      <c r="ACI158" s="4"/>
      <c r="ACJ158" s="4"/>
      <c r="ACK158" s="4"/>
      <c r="ACL158" s="4"/>
      <c r="ACM158" s="4"/>
      <c r="ACN158" s="4"/>
      <c r="ACO158" s="4"/>
      <c r="ACP158" s="4"/>
      <c r="ACQ158" s="4"/>
      <c r="ACR158" s="4"/>
      <c r="ACS158" s="4"/>
      <c r="ACT158" s="4"/>
      <c r="ACU158" s="4"/>
      <c r="ACV158" s="4"/>
      <c r="ACW158" s="4"/>
      <c r="ACX158" s="4"/>
      <c r="ACY158" s="4"/>
      <c r="ACZ158" s="4"/>
      <c r="ADA158" s="4"/>
      <c r="ADB158" s="4"/>
      <c r="ADC158" s="4"/>
      <c r="ADD158" s="4"/>
      <c r="ADE158" s="4"/>
      <c r="ADF158" s="4"/>
      <c r="ADG158" s="4"/>
      <c r="ADH158" s="4"/>
      <c r="ADI158" s="4"/>
      <c r="ADJ158" s="4"/>
      <c r="ADK158" s="4"/>
      <c r="ADL158" s="4"/>
      <c r="ADM158" s="4"/>
      <c r="ADN158" s="4"/>
      <c r="ADO158" s="4"/>
      <c r="ADP158" s="4"/>
      <c r="ADQ158" s="4"/>
      <c r="ADR158" s="4"/>
      <c r="ADS158" s="4"/>
      <c r="ADT158" s="4"/>
      <c r="ADU158" s="4"/>
      <c r="ADV158" s="4"/>
      <c r="ADW158" s="4"/>
      <c r="ADX158" s="4"/>
      <c r="ADY158" s="4"/>
      <c r="ADZ158" s="4"/>
      <c r="AEA158" s="4"/>
      <c r="AEB158" s="4"/>
      <c r="AEC158" s="4"/>
      <c r="AED158" s="4"/>
      <c r="AEE158" s="4"/>
      <c r="AEF158" s="4"/>
      <c r="AEG158" s="4"/>
      <c r="AEH158" s="4"/>
      <c r="AEI158" s="4"/>
      <c r="AEJ158" s="4"/>
      <c r="AEK158" s="4"/>
      <c r="AEL158" s="4"/>
      <c r="AEM158" s="4"/>
      <c r="AEN158" s="4"/>
      <c r="AEO158" s="4"/>
      <c r="AEP158" s="4"/>
      <c r="AEQ158" s="4"/>
      <c r="AER158" s="4"/>
      <c r="AES158" s="4"/>
      <c r="AET158" s="4"/>
      <c r="AEU158" s="4"/>
      <c r="AEV158" s="4"/>
      <c r="AEW158" s="4"/>
      <c r="AEX158" s="4"/>
      <c r="AEY158" s="4"/>
      <c r="AEZ158" s="4"/>
      <c r="AFA158" s="4"/>
      <c r="AFB158" s="4"/>
      <c r="AFC158" s="4"/>
      <c r="AFD158" s="4"/>
      <c r="AFE158" s="4"/>
      <c r="AFF158" s="4"/>
      <c r="AFG158" s="4"/>
      <c r="AFH158" s="4"/>
      <c r="AFI158" s="4"/>
      <c r="AFJ158" s="4"/>
      <c r="AFK158" s="4"/>
      <c r="AFL158" s="4"/>
      <c r="AFM158" s="4"/>
      <c r="AFN158" s="4"/>
      <c r="AFO158" s="4"/>
      <c r="AFP158" s="4"/>
      <c r="AFQ158" s="4"/>
      <c r="AFR158" s="4"/>
      <c r="AFS158" s="4"/>
      <c r="AFT158" s="4"/>
      <c r="AFU158" s="4"/>
      <c r="AFV158" s="4"/>
      <c r="AFW158" s="4"/>
      <c r="AFX158" s="4"/>
      <c r="AFY158" s="4"/>
      <c r="AFZ158" s="4"/>
      <c r="AGA158" s="4"/>
      <c r="AGB158" s="4"/>
      <c r="AGC158" s="4"/>
      <c r="AGD158" s="4"/>
      <c r="AGE158" s="4"/>
      <c r="AGF158" s="4"/>
      <c r="AGG158" s="4"/>
      <c r="AGH158" s="4"/>
      <c r="AGI158" s="4"/>
      <c r="AGJ158" s="4"/>
      <c r="AGK158" s="4"/>
      <c r="AGL158" s="4"/>
      <c r="AGM158" s="4"/>
      <c r="AGN158" s="4"/>
      <c r="AGO158" s="4"/>
      <c r="AGP158" s="4"/>
      <c r="AGQ158" s="4"/>
      <c r="AGR158" s="4"/>
      <c r="AGS158" s="4"/>
      <c r="AGT158" s="4"/>
      <c r="AGU158" s="4"/>
      <c r="AGV158" s="4"/>
      <c r="AGW158" s="4"/>
      <c r="AGX158" s="4"/>
      <c r="AGY158" s="4"/>
      <c r="AGZ158" s="4"/>
      <c r="AHA158" s="4"/>
      <c r="AHB158" s="4"/>
      <c r="AHC158" s="4"/>
      <c r="AHD158" s="4"/>
      <c r="AHE158" s="4"/>
      <c r="AHF158" s="4"/>
      <c r="AHG158" s="4"/>
      <c r="AHH158" s="4"/>
      <c r="AHI158" s="4"/>
      <c r="AHJ158" s="4"/>
      <c r="AHK158" s="4"/>
      <c r="AHL158" s="4"/>
      <c r="AHM158" s="4"/>
      <c r="AHN158" s="4"/>
      <c r="AHO158" s="4"/>
      <c r="AHP158" s="4"/>
      <c r="AHQ158" s="4"/>
      <c r="AHR158" s="4"/>
      <c r="AHS158" s="4"/>
      <c r="AHT158" s="4"/>
      <c r="AHU158" s="4"/>
      <c r="AHV158" s="4"/>
      <c r="AHW158" s="4"/>
      <c r="AHX158" s="4"/>
      <c r="AHY158" s="4"/>
      <c r="AHZ158" s="4"/>
      <c r="AIA158" s="4"/>
      <c r="AIB158" s="4"/>
      <c r="AIC158" s="4"/>
      <c r="AID158" s="4"/>
      <c r="AIE158" s="4"/>
      <c r="AIF158" s="4"/>
      <c r="AIG158" s="4"/>
      <c r="AIH158" s="4"/>
      <c r="AII158" s="4"/>
      <c r="AIJ158" s="4"/>
      <c r="AIK158" s="4"/>
      <c r="AIL158" s="4"/>
      <c r="AIM158" s="4"/>
      <c r="AIN158" s="4"/>
      <c r="AIO158" s="4"/>
      <c r="AIP158" s="4"/>
      <c r="AIQ158" s="4"/>
      <c r="AIR158" s="4"/>
      <c r="AIS158" s="4"/>
      <c r="AIT158" s="4"/>
      <c r="AIU158" s="4"/>
      <c r="AIV158" s="4"/>
      <c r="AIW158" s="4"/>
      <c r="AIX158" s="4"/>
      <c r="AIY158" s="4"/>
      <c r="AIZ158" s="4"/>
      <c r="AJA158" s="4"/>
      <c r="AJB158" s="4"/>
      <c r="AJC158" s="4"/>
      <c r="AJD158" s="4"/>
      <c r="AJE158" s="4"/>
      <c r="AJF158" s="4"/>
      <c r="AJG158" s="4"/>
      <c r="AJH158" s="4"/>
      <c r="AJI158" s="4"/>
      <c r="AJJ158" s="4"/>
      <c r="AJK158" s="4"/>
      <c r="AJL158" s="4"/>
      <c r="AJM158" s="4"/>
      <c r="AJN158" s="4"/>
      <c r="AJO158" s="4"/>
      <c r="AJP158" s="4"/>
      <c r="AJQ158" s="4"/>
      <c r="AJR158" s="4"/>
      <c r="AJS158" s="4"/>
      <c r="AJT158" s="4"/>
      <c r="AJU158" s="4"/>
      <c r="AJV158" s="4"/>
      <c r="AJW158" s="4"/>
      <c r="AJX158" s="4"/>
      <c r="AJY158" s="4"/>
      <c r="AJZ158" s="4"/>
      <c r="AKA158" s="4"/>
      <c r="AKB158" s="4"/>
      <c r="AKC158" s="4"/>
      <c r="AKD158" s="4"/>
      <c r="AKE158" s="4"/>
      <c r="AKF158" s="4"/>
      <c r="AKG158" s="4"/>
      <c r="AKH158" s="4"/>
      <c r="AKI158" s="4"/>
      <c r="AKJ158" s="4"/>
      <c r="AKK158" s="4"/>
      <c r="AKL158" s="4"/>
      <c r="AKM158" s="4"/>
      <c r="AKN158" s="4"/>
      <c r="AKO158" s="4"/>
      <c r="AKP158" s="4"/>
      <c r="AKQ158" s="4"/>
      <c r="AKR158" s="4"/>
      <c r="AKS158" s="4"/>
      <c r="AKT158" s="4"/>
      <c r="AKU158" s="4"/>
      <c r="AKV158" s="4"/>
      <c r="AKW158" s="4"/>
      <c r="AKX158" s="4"/>
      <c r="AKY158" s="4"/>
      <c r="AKZ158" s="4"/>
      <c r="ALA158" s="4"/>
      <c r="ALB158" s="4"/>
      <c r="ALC158" s="4"/>
      <c r="ALD158" s="4"/>
      <c r="ALE158" s="4"/>
      <c r="ALF158" s="4"/>
      <c r="ALG158" s="4"/>
      <c r="ALH158" s="4"/>
      <c r="ALI158" s="4"/>
      <c r="ALJ158" s="4"/>
      <c r="ALK158" s="4"/>
      <c r="ALL158" s="4"/>
      <c r="ALM158" s="4"/>
      <c r="ALN158" s="4"/>
      <c r="ALO158" s="4"/>
      <c r="ALP158" s="4"/>
      <c r="ALQ158" s="4"/>
      <c r="ALR158" s="4"/>
      <c r="ALS158" s="4"/>
      <c r="ALT158" s="4"/>
      <c r="ALU158" s="4"/>
      <c r="ALV158" s="4"/>
      <c r="ALW158" s="4"/>
      <c r="ALX158" s="4"/>
      <c r="ALY158" s="4"/>
      <c r="ALZ158" s="4"/>
      <c r="AMA158" s="4"/>
      <c r="AMB158" s="4"/>
      <c r="AMC158" s="4"/>
      <c r="AMD158" s="4"/>
      <c r="AME158" s="4"/>
      <c r="AMF158" s="4"/>
      <c r="AMG158" s="4"/>
      <c r="AMH158" s="4"/>
      <c r="AMI158" s="4"/>
      <c r="AMJ158" s="4"/>
      <c r="AMK158" s="4"/>
      <c r="AML158" s="4"/>
      <c r="AMM158" s="4"/>
      <c r="AMN158" s="4"/>
      <c r="AMO158" s="4"/>
      <c r="AMP158" s="4"/>
      <c r="AMQ158" s="4"/>
      <c r="AMR158" s="4"/>
      <c r="AMS158" s="4"/>
      <c r="AMT158" s="4"/>
      <c r="AMU158" s="4"/>
      <c r="AMV158" s="4"/>
      <c r="AMW158" s="4"/>
      <c r="AMX158" s="4"/>
      <c r="AMY158" s="4"/>
      <c r="AMZ158" s="4"/>
      <c r="ANA158" s="4"/>
      <c r="ANB158" s="4"/>
      <c r="ANC158" s="4"/>
      <c r="AND158" s="4"/>
      <c r="ANE158" s="4"/>
      <c r="ANF158" s="4"/>
      <c r="ANG158" s="4"/>
      <c r="ANH158" s="4"/>
      <c r="ANI158" s="4"/>
      <c r="ANJ158" s="4"/>
      <c r="ANK158" s="4"/>
      <c r="ANL158" s="4"/>
      <c r="ANM158" s="4"/>
      <c r="ANN158" s="4"/>
      <c r="ANO158" s="4"/>
      <c r="ANP158" s="4"/>
      <c r="ANQ158" s="4"/>
      <c r="ANR158" s="4"/>
      <c r="ANS158" s="4"/>
      <c r="ANT158" s="4"/>
      <c r="ANU158" s="4"/>
      <c r="ANV158" s="4"/>
      <c r="ANW158" s="4"/>
      <c r="ANX158" s="4"/>
      <c r="ANY158" s="4"/>
      <c r="ANZ158" s="4"/>
      <c r="AOA158" s="4"/>
      <c r="AOB158" s="4"/>
      <c r="AOC158" s="4"/>
      <c r="AOD158" s="4"/>
      <c r="AOE158" s="4"/>
      <c r="AOF158" s="4"/>
      <c r="AOG158" s="4"/>
      <c r="AOH158" s="4"/>
      <c r="AOI158" s="4"/>
      <c r="AOJ158" s="4"/>
      <c r="AOK158" s="4"/>
      <c r="AOL158" s="4"/>
      <c r="AOM158" s="4"/>
      <c r="AON158" s="4"/>
      <c r="AOO158" s="4"/>
      <c r="AOP158" s="4"/>
      <c r="AOQ158" s="4"/>
      <c r="AOR158" s="4"/>
      <c r="AOS158" s="4"/>
      <c r="AOT158" s="4"/>
      <c r="AOU158" s="4"/>
      <c r="AOV158" s="4"/>
      <c r="AOW158" s="4"/>
      <c r="AOX158" s="4"/>
      <c r="AOY158" s="4"/>
      <c r="AOZ158" s="4"/>
      <c r="APA158" s="4"/>
      <c r="APB158" s="4"/>
      <c r="APC158" s="4"/>
      <c r="APD158" s="4"/>
      <c r="APE158" s="4"/>
      <c r="APF158" s="4"/>
      <c r="APG158" s="4"/>
      <c r="APH158" s="4"/>
      <c r="API158" s="4"/>
      <c r="APJ158" s="4"/>
      <c r="APK158" s="4"/>
      <c r="APL158" s="4"/>
      <c r="APM158" s="4"/>
      <c r="APN158" s="4"/>
      <c r="APO158" s="4"/>
      <c r="APP158" s="4"/>
      <c r="APQ158" s="4"/>
      <c r="APR158" s="4"/>
      <c r="APS158" s="4"/>
      <c r="APT158" s="4"/>
      <c r="APU158" s="4"/>
      <c r="APV158" s="4"/>
      <c r="APW158" s="4"/>
      <c r="APX158" s="4"/>
      <c r="APY158" s="4"/>
      <c r="APZ158" s="4"/>
      <c r="AQA158" s="4"/>
      <c r="AQB158" s="4"/>
      <c r="AQC158" s="4"/>
      <c r="AQD158" s="4"/>
      <c r="AQE158" s="4"/>
      <c r="AQF158" s="4"/>
      <c r="AQG158" s="4"/>
      <c r="AQH158" s="4"/>
      <c r="AQI158" s="4"/>
      <c r="AQJ158" s="4"/>
      <c r="AQK158" s="4"/>
      <c r="AQL158" s="4"/>
      <c r="AQM158" s="4"/>
      <c r="AQN158" s="4"/>
      <c r="AQO158" s="4"/>
      <c r="AQP158" s="4"/>
      <c r="AQQ158" s="4"/>
      <c r="AQR158" s="4"/>
      <c r="AQS158" s="4"/>
      <c r="AQT158" s="4"/>
      <c r="AQU158" s="4"/>
      <c r="AQV158" s="4"/>
      <c r="AQW158" s="4"/>
      <c r="AQX158" s="4"/>
      <c r="AQY158" s="4"/>
      <c r="AQZ158" s="4"/>
      <c r="ARA158" s="4"/>
      <c r="ARB158" s="4"/>
      <c r="ARC158" s="4"/>
      <c r="ARD158" s="4"/>
      <c r="ARE158" s="4"/>
      <c r="ARF158" s="4"/>
      <c r="ARG158" s="4"/>
      <c r="ARH158" s="4"/>
      <c r="ARI158" s="4"/>
      <c r="ARJ158" s="4"/>
      <c r="ARK158" s="4"/>
      <c r="ARL158" s="4"/>
      <c r="ARM158" s="4"/>
      <c r="ARN158" s="4"/>
      <c r="ARO158" s="4"/>
      <c r="ARP158" s="4"/>
      <c r="ARQ158" s="4"/>
      <c r="ARR158" s="4"/>
      <c r="ARS158" s="4"/>
      <c r="ART158" s="4"/>
      <c r="ARU158" s="4"/>
      <c r="ARV158" s="4"/>
      <c r="ARW158" s="4"/>
      <c r="ARX158" s="4"/>
      <c r="ARY158" s="4"/>
      <c r="ARZ158" s="4"/>
      <c r="ASA158" s="4"/>
      <c r="ASB158" s="4"/>
      <c r="ASC158" s="4"/>
      <c r="ASD158" s="4"/>
      <c r="ASE158" s="4"/>
      <c r="ASF158" s="4"/>
      <c r="ASG158" s="4"/>
      <c r="ASH158" s="4"/>
      <c r="ASI158" s="4"/>
      <c r="ASJ158" s="4"/>
      <c r="ASK158" s="4"/>
      <c r="ASL158" s="4"/>
      <c r="ASM158" s="4"/>
      <c r="ASN158" s="4"/>
      <c r="ASO158" s="4"/>
      <c r="ASP158" s="4"/>
      <c r="ASQ158" s="4"/>
      <c r="ASR158" s="4"/>
      <c r="ASS158" s="4"/>
      <c r="AST158" s="4"/>
      <c r="ASU158" s="4"/>
    </row>
    <row r="159" hidden="1" spans="1:119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  <c r="UG159" s="4"/>
      <c r="UH159" s="4"/>
      <c r="UI159" s="4"/>
      <c r="UJ159" s="4"/>
      <c r="UK159" s="4"/>
      <c r="UL159" s="4"/>
      <c r="UM159" s="4"/>
      <c r="UN159" s="4"/>
      <c r="UO159" s="4"/>
      <c r="UP159" s="4"/>
      <c r="UQ159" s="4"/>
      <c r="UR159" s="4"/>
      <c r="US159" s="4"/>
      <c r="UT159" s="4"/>
      <c r="UU159" s="4"/>
      <c r="UV159" s="4"/>
      <c r="UW159" s="4"/>
      <c r="UX159" s="4"/>
      <c r="UY159" s="4"/>
      <c r="UZ159" s="4"/>
      <c r="VA159" s="4"/>
      <c r="VB159" s="4"/>
      <c r="VC159" s="4"/>
      <c r="VD159" s="4"/>
      <c r="VE159" s="4"/>
      <c r="VF159" s="4"/>
      <c r="VG159" s="4"/>
      <c r="VH159" s="4"/>
      <c r="VI159" s="4"/>
      <c r="VJ159" s="4"/>
      <c r="VK159" s="4"/>
      <c r="VL159" s="4"/>
      <c r="VM159" s="4"/>
      <c r="VN159" s="4"/>
      <c r="VO159" s="4"/>
      <c r="VP159" s="4"/>
      <c r="VQ159" s="4"/>
      <c r="VR159" s="4"/>
      <c r="VS159" s="4"/>
      <c r="VT159" s="4"/>
      <c r="VU159" s="4"/>
      <c r="VV159" s="4"/>
      <c r="VW159" s="4"/>
      <c r="VX159" s="4"/>
      <c r="VY159" s="4"/>
      <c r="VZ159" s="4"/>
      <c r="WA159" s="4"/>
      <c r="WB159" s="4"/>
      <c r="WC159" s="4"/>
      <c r="WD159" s="4"/>
      <c r="WE159" s="4"/>
      <c r="WF159" s="4"/>
      <c r="WG159" s="4"/>
      <c r="WH159" s="4"/>
      <c r="WI159" s="4"/>
      <c r="WJ159" s="4"/>
      <c r="WK159" s="4"/>
      <c r="WL159" s="4"/>
      <c r="WM159" s="4"/>
      <c r="WN159" s="4"/>
      <c r="WO159" s="4"/>
      <c r="WP159" s="4"/>
      <c r="WQ159" s="4"/>
      <c r="WR159" s="4"/>
      <c r="WS159" s="4"/>
      <c r="WT159" s="4"/>
      <c r="WU159" s="4"/>
      <c r="WV159" s="4"/>
      <c r="WW159" s="4"/>
      <c r="WX159" s="4"/>
      <c r="WY159" s="4"/>
      <c r="WZ159" s="4"/>
      <c r="XA159" s="4"/>
      <c r="XB159" s="4"/>
      <c r="XC159" s="4"/>
      <c r="XD159" s="4"/>
      <c r="XE159" s="4"/>
      <c r="XF159" s="4"/>
      <c r="XG159" s="4"/>
      <c r="XH159" s="4"/>
      <c r="XI159" s="4"/>
      <c r="XJ159" s="4"/>
      <c r="XK159" s="4"/>
      <c r="XL159" s="4"/>
      <c r="XM159" s="4"/>
      <c r="XN159" s="4"/>
      <c r="XO159" s="4"/>
      <c r="XP159" s="4"/>
      <c r="XQ159" s="4"/>
      <c r="XR159" s="4"/>
      <c r="XS159" s="4"/>
      <c r="XT159" s="4"/>
      <c r="XU159" s="4"/>
      <c r="XV159" s="4"/>
      <c r="XW159" s="4"/>
      <c r="XX159" s="4"/>
      <c r="XY159" s="4"/>
      <c r="XZ159" s="4"/>
      <c r="YA159" s="4"/>
      <c r="YB159" s="4"/>
      <c r="YC159" s="4"/>
      <c r="YD159" s="4"/>
      <c r="YE159" s="4"/>
      <c r="YF159" s="4"/>
      <c r="YG159" s="4"/>
      <c r="YH159" s="4"/>
      <c r="YI159" s="4"/>
      <c r="YJ159" s="4"/>
      <c r="YK159" s="4"/>
      <c r="YL159" s="4"/>
      <c r="YM159" s="4"/>
      <c r="YN159" s="4"/>
      <c r="YO159" s="4"/>
      <c r="YP159" s="4"/>
      <c r="YQ159" s="4"/>
      <c r="YR159" s="4"/>
      <c r="YS159" s="4"/>
      <c r="YT159" s="4"/>
      <c r="YU159" s="4"/>
      <c r="YV159" s="4"/>
      <c r="YW159" s="4"/>
      <c r="YX159" s="4"/>
      <c r="YY159" s="4"/>
      <c r="YZ159" s="4"/>
      <c r="ZA159" s="4"/>
      <c r="ZB159" s="4"/>
      <c r="ZC159" s="4"/>
      <c r="ZD159" s="4"/>
      <c r="ZE159" s="4"/>
      <c r="ZF159" s="4"/>
      <c r="ZG159" s="4"/>
      <c r="ZH159" s="4"/>
      <c r="ZI159" s="4"/>
      <c r="ZJ159" s="4"/>
      <c r="ZK159" s="4"/>
      <c r="ZL159" s="4"/>
      <c r="ZM159" s="4"/>
      <c r="ZN159" s="4"/>
      <c r="ZO159" s="4"/>
      <c r="ZP159" s="4"/>
      <c r="ZQ159" s="4"/>
      <c r="ZR159" s="4"/>
      <c r="ZS159" s="4"/>
      <c r="ZT159" s="4"/>
      <c r="ZU159" s="4"/>
      <c r="ZV159" s="4"/>
      <c r="ZW159" s="4"/>
      <c r="ZX159" s="4"/>
      <c r="ZY159" s="4"/>
      <c r="ZZ159" s="4"/>
      <c r="AAA159" s="4"/>
      <c r="AAB159" s="4"/>
      <c r="AAC159" s="4"/>
      <c r="AAD159" s="4"/>
      <c r="AAE159" s="4"/>
      <c r="AAF159" s="4"/>
      <c r="AAG159" s="4"/>
      <c r="AAH159" s="4"/>
      <c r="AAI159" s="4"/>
      <c r="AAJ159" s="4"/>
      <c r="AAK159" s="4"/>
      <c r="AAL159" s="4"/>
      <c r="AAM159" s="4"/>
      <c r="AAN159" s="4"/>
      <c r="AAO159" s="4"/>
      <c r="AAP159" s="4"/>
      <c r="AAQ159" s="4"/>
      <c r="AAR159" s="4"/>
      <c r="AAS159" s="4"/>
      <c r="AAT159" s="4"/>
      <c r="AAU159" s="4"/>
      <c r="AAV159" s="4"/>
      <c r="AAW159" s="4"/>
      <c r="AAX159" s="4"/>
      <c r="AAY159" s="4"/>
      <c r="AAZ159" s="4"/>
      <c r="ABA159" s="4"/>
      <c r="ABB159" s="4"/>
      <c r="ABC159" s="4"/>
      <c r="ABD159" s="4"/>
      <c r="ABE159" s="4"/>
      <c r="ABF159" s="4"/>
      <c r="ABG159" s="4"/>
      <c r="ABH159" s="4"/>
      <c r="ABI159" s="4"/>
      <c r="ABJ159" s="4"/>
      <c r="ABK159" s="4"/>
      <c r="ABL159" s="4"/>
      <c r="ABM159" s="4"/>
      <c r="ABN159" s="4"/>
      <c r="ABO159" s="4"/>
      <c r="ABP159" s="4"/>
      <c r="ABQ159" s="4"/>
      <c r="ABR159" s="4"/>
      <c r="ABS159" s="4"/>
      <c r="ABT159" s="4"/>
      <c r="ABU159" s="4"/>
      <c r="ABV159" s="4"/>
      <c r="ABW159" s="4"/>
      <c r="ABX159" s="4"/>
      <c r="ABY159" s="4"/>
      <c r="ABZ159" s="4"/>
      <c r="ACA159" s="4"/>
      <c r="ACB159" s="4"/>
      <c r="ACC159" s="4"/>
      <c r="ACD159" s="4"/>
      <c r="ACE159" s="4"/>
      <c r="ACF159" s="4"/>
      <c r="ACG159" s="4"/>
      <c r="ACH159" s="4"/>
      <c r="ACI159" s="4"/>
      <c r="ACJ159" s="4"/>
      <c r="ACK159" s="4"/>
      <c r="ACL159" s="4"/>
      <c r="ACM159" s="4"/>
      <c r="ACN159" s="4"/>
      <c r="ACO159" s="4"/>
      <c r="ACP159" s="4"/>
      <c r="ACQ159" s="4"/>
      <c r="ACR159" s="4"/>
      <c r="ACS159" s="4"/>
      <c r="ACT159" s="4"/>
      <c r="ACU159" s="4"/>
      <c r="ACV159" s="4"/>
      <c r="ACW159" s="4"/>
      <c r="ACX159" s="4"/>
      <c r="ACY159" s="4"/>
      <c r="ACZ159" s="4"/>
      <c r="ADA159" s="4"/>
      <c r="ADB159" s="4"/>
      <c r="ADC159" s="4"/>
      <c r="ADD159" s="4"/>
      <c r="ADE159" s="4"/>
      <c r="ADF159" s="4"/>
      <c r="ADG159" s="4"/>
      <c r="ADH159" s="4"/>
      <c r="ADI159" s="4"/>
      <c r="ADJ159" s="4"/>
      <c r="ADK159" s="4"/>
      <c r="ADL159" s="4"/>
      <c r="ADM159" s="4"/>
      <c r="ADN159" s="4"/>
      <c r="ADO159" s="4"/>
      <c r="ADP159" s="4"/>
      <c r="ADQ159" s="4"/>
      <c r="ADR159" s="4"/>
      <c r="ADS159" s="4"/>
      <c r="ADT159" s="4"/>
      <c r="ADU159" s="4"/>
      <c r="ADV159" s="4"/>
      <c r="ADW159" s="4"/>
      <c r="ADX159" s="4"/>
      <c r="ADY159" s="4"/>
      <c r="ADZ159" s="4"/>
      <c r="AEA159" s="4"/>
      <c r="AEB159" s="4"/>
      <c r="AEC159" s="4"/>
      <c r="AED159" s="4"/>
      <c r="AEE159" s="4"/>
      <c r="AEF159" s="4"/>
      <c r="AEG159" s="4"/>
      <c r="AEH159" s="4"/>
      <c r="AEI159" s="4"/>
      <c r="AEJ159" s="4"/>
      <c r="AEK159" s="4"/>
      <c r="AEL159" s="4"/>
      <c r="AEM159" s="4"/>
      <c r="AEN159" s="4"/>
      <c r="AEO159" s="4"/>
      <c r="AEP159" s="4"/>
      <c r="AEQ159" s="4"/>
      <c r="AER159" s="4"/>
      <c r="AES159" s="4"/>
      <c r="AET159" s="4"/>
      <c r="AEU159" s="4"/>
      <c r="AEV159" s="4"/>
      <c r="AEW159" s="4"/>
      <c r="AEX159" s="4"/>
      <c r="AEY159" s="4"/>
      <c r="AEZ159" s="4"/>
      <c r="AFA159" s="4"/>
      <c r="AFB159" s="4"/>
      <c r="AFC159" s="4"/>
      <c r="AFD159" s="4"/>
      <c r="AFE159" s="4"/>
      <c r="AFF159" s="4"/>
      <c r="AFG159" s="4"/>
      <c r="AFH159" s="4"/>
      <c r="AFI159" s="4"/>
      <c r="AFJ159" s="4"/>
      <c r="AFK159" s="4"/>
      <c r="AFL159" s="4"/>
      <c r="AFM159" s="4"/>
      <c r="AFN159" s="4"/>
      <c r="AFO159" s="4"/>
      <c r="AFP159" s="4"/>
      <c r="AFQ159" s="4"/>
      <c r="AFR159" s="4"/>
      <c r="AFS159" s="4"/>
      <c r="AFT159" s="4"/>
      <c r="AFU159" s="4"/>
      <c r="AFV159" s="4"/>
      <c r="AFW159" s="4"/>
      <c r="AFX159" s="4"/>
      <c r="AFY159" s="4"/>
      <c r="AFZ159" s="4"/>
      <c r="AGA159" s="4"/>
      <c r="AGB159" s="4"/>
      <c r="AGC159" s="4"/>
      <c r="AGD159" s="4"/>
      <c r="AGE159" s="4"/>
      <c r="AGF159" s="4"/>
      <c r="AGG159" s="4"/>
      <c r="AGH159" s="4"/>
      <c r="AGI159" s="4"/>
      <c r="AGJ159" s="4"/>
      <c r="AGK159" s="4"/>
      <c r="AGL159" s="4"/>
      <c r="AGM159" s="4"/>
      <c r="AGN159" s="4"/>
      <c r="AGO159" s="4"/>
      <c r="AGP159" s="4"/>
      <c r="AGQ159" s="4"/>
      <c r="AGR159" s="4"/>
      <c r="AGS159" s="4"/>
      <c r="AGT159" s="4"/>
      <c r="AGU159" s="4"/>
      <c r="AGV159" s="4"/>
      <c r="AGW159" s="4"/>
      <c r="AGX159" s="4"/>
      <c r="AGY159" s="4"/>
      <c r="AGZ159" s="4"/>
      <c r="AHA159" s="4"/>
      <c r="AHB159" s="4"/>
      <c r="AHC159" s="4"/>
      <c r="AHD159" s="4"/>
      <c r="AHE159" s="4"/>
      <c r="AHF159" s="4"/>
      <c r="AHG159" s="4"/>
      <c r="AHH159" s="4"/>
      <c r="AHI159" s="4"/>
      <c r="AHJ159" s="4"/>
      <c r="AHK159" s="4"/>
      <c r="AHL159" s="4"/>
      <c r="AHM159" s="4"/>
      <c r="AHN159" s="4"/>
      <c r="AHO159" s="4"/>
      <c r="AHP159" s="4"/>
      <c r="AHQ159" s="4"/>
      <c r="AHR159" s="4"/>
      <c r="AHS159" s="4"/>
      <c r="AHT159" s="4"/>
      <c r="AHU159" s="4"/>
      <c r="AHV159" s="4"/>
      <c r="AHW159" s="4"/>
      <c r="AHX159" s="4"/>
      <c r="AHY159" s="4"/>
      <c r="AHZ159" s="4"/>
      <c r="AIA159" s="4"/>
      <c r="AIB159" s="4"/>
      <c r="AIC159" s="4"/>
      <c r="AID159" s="4"/>
      <c r="AIE159" s="4"/>
      <c r="AIF159" s="4"/>
      <c r="AIG159" s="4"/>
      <c r="AIH159" s="4"/>
      <c r="AII159" s="4"/>
      <c r="AIJ159" s="4"/>
      <c r="AIK159" s="4"/>
      <c r="AIL159" s="4"/>
      <c r="AIM159" s="4"/>
      <c r="AIN159" s="4"/>
      <c r="AIO159" s="4"/>
      <c r="AIP159" s="4"/>
      <c r="AIQ159" s="4"/>
      <c r="AIR159" s="4"/>
      <c r="AIS159" s="4"/>
      <c r="AIT159" s="4"/>
      <c r="AIU159" s="4"/>
      <c r="AIV159" s="4"/>
      <c r="AIW159" s="4"/>
      <c r="AIX159" s="4"/>
      <c r="AIY159" s="4"/>
      <c r="AIZ159" s="4"/>
      <c r="AJA159" s="4"/>
      <c r="AJB159" s="4"/>
      <c r="AJC159" s="4"/>
      <c r="AJD159" s="4"/>
      <c r="AJE159" s="4"/>
      <c r="AJF159" s="4"/>
      <c r="AJG159" s="4"/>
      <c r="AJH159" s="4"/>
      <c r="AJI159" s="4"/>
      <c r="AJJ159" s="4"/>
      <c r="AJK159" s="4"/>
      <c r="AJL159" s="4"/>
      <c r="AJM159" s="4"/>
      <c r="AJN159" s="4"/>
      <c r="AJO159" s="4"/>
      <c r="AJP159" s="4"/>
      <c r="AJQ159" s="4"/>
      <c r="AJR159" s="4"/>
      <c r="AJS159" s="4"/>
      <c r="AJT159" s="4"/>
      <c r="AJU159" s="4"/>
      <c r="AJV159" s="4"/>
      <c r="AJW159" s="4"/>
      <c r="AJX159" s="4"/>
      <c r="AJY159" s="4"/>
      <c r="AJZ159" s="4"/>
      <c r="AKA159" s="4"/>
      <c r="AKB159" s="4"/>
      <c r="AKC159" s="4"/>
      <c r="AKD159" s="4"/>
      <c r="AKE159" s="4"/>
      <c r="AKF159" s="4"/>
      <c r="AKG159" s="4"/>
      <c r="AKH159" s="4"/>
      <c r="AKI159" s="4"/>
      <c r="AKJ159" s="4"/>
      <c r="AKK159" s="4"/>
      <c r="AKL159" s="4"/>
      <c r="AKM159" s="4"/>
      <c r="AKN159" s="4"/>
      <c r="AKO159" s="4"/>
      <c r="AKP159" s="4"/>
      <c r="AKQ159" s="4"/>
      <c r="AKR159" s="4"/>
      <c r="AKS159" s="4"/>
      <c r="AKT159" s="4"/>
      <c r="AKU159" s="4"/>
      <c r="AKV159" s="4"/>
      <c r="AKW159" s="4"/>
      <c r="AKX159" s="4"/>
      <c r="AKY159" s="4"/>
      <c r="AKZ159" s="4"/>
      <c r="ALA159" s="4"/>
      <c r="ALB159" s="4"/>
      <c r="ALC159" s="4"/>
      <c r="ALD159" s="4"/>
      <c r="ALE159" s="4"/>
      <c r="ALF159" s="4"/>
      <c r="ALG159" s="4"/>
      <c r="ALH159" s="4"/>
      <c r="ALI159" s="4"/>
      <c r="ALJ159" s="4"/>
      <c r="ALK159" s="4"/>
      <c r="ALL159" s="4"/>
      <c r="ALM159" s="4"/>
      <c r="ALN159" s="4"/>
      <c r="ALO159" s="4"/>
      <c r="ALP159" s="4"/>
      <c r="ALQ159" s="4"/>
      <c r="ALR159" s="4"/>
      <c r="ALS159" s="4"/>
      <c r="ALT159" s="4"/>
      <c r="ALU159" s="4"/>
      <c r="ALV159" s="4"/>
      <c r="ALW159" s="4"/>
      <c r="ALX159" s="4"/>
      <c r="ALY159" s="4"/>
      <c r="ALZ159" s="4"/>
      <c r="AMA159" s="4"/>
      <c r="AMB159" s="4"/>
      <c r="AMC159" s="4"/>
      <c r="AMD159" s="4"/>
      <c r="AME159" s="4"/>
      <c r="AMF159" s="4"/>
      <c r="AMG159" s="4"/>
      <c r="AMH159" s="4"/>
      <c r="AMI159" s="4"/>
      <c r="AMJ159" s="4"/>
      <c r="AMK159" s="4"/>
      <c r="AML159" s="4"/>
      <c r="AMM159" s="4"/>
      <c r="AMN159" s="4"/>
      <c r="AMO159" s="4"/>
      <c r="AMP159" s="4"/>
      <c r="AMQ159" s="4"/>
      <c r="AMR159" s="4"/>
      <c r="AMS159" s="4"/>
      <c r="AMT159" s="4"/>
      <c r="AMU159" s="4"/>
      <c r="AMV159" s="4"/>
      <c r="AMW159" s="4"/>
      <c r="AMX159" s="4"/>
      <c r="AMY159" s="4"/>
      <c r="AMZ159" s="4"/>
      <c r="ANA159" s="4"/>
      <c r="ANB159" s="4"/>
      <c r="ANC159" s="4"/>
      <c r="AND159" s="4"/>
      <c r="ANE159" s="4"/>
      <c r="ANF159" s="4"/>
      <c r="ANG159" s="4"/>
      <c r="ANH159" s="4"/>
      <c r="ANI159" s="4"/>
      <c r="ANJ159" s="4"/>
      <c r="ANK159" s="4"/>
      <c r="ANL159" s="4"/>
      <c r="ANM159" s="4"/>
      <c r="ANN159" s="4"/>
      <c r="ANO159" s="4"/>
      <c r="ANP159" s="4"/>
      <c r="ANQ159" s="4"/>
      <c r="ANR159" s="4"/>
      <c r="ANS159" s="4"/>
      <c r="ANT159" s="4"/>
      <c r="ANU159" s="4"/>
      <c r="ANV159" s="4"/>
      <c r="ANW159" s="4"/>
      <c r="ANX159" s="4"/>
      <c r="ANY159" s="4"/>
      <c r="ANZ159" s="4"/>
      <c r="AOA159" s="4"/>
      <c r="AOB159" s="4"/>
      <c r="AOC159" s="4"/>
      <c r="AOD159" s="4"/>
      <c r="AOE159" s="4"/>
      <c r="AOF159" s="4"/>
      <c r="AOG159" s="4"/>
      <c r="AOH159" s="4"/>
      <c r="AOI159" s="4"/>
      <c r="AOJ159" s="4"/>
      <c r="AOK159" s="4"/>
      <c r="AOL159" s="4"/>
      <c r="AOM159" s="4"/>
      <c r="AON159" s="4"/>
      <c r="AOO159" s="4"/>
      <c r="AOP159" s="4"/>
      <c r="AOQ159" s="4"/>
      <c r="AOR159" s="4"/>
      <c r="AOS159" s="4"/>
      <c r="AOT159" s="4"/>
      <c r="AOU159" s="4"/>
      <c r="AOV159" s="4"/>
      <c r="AOW159" s="4"/>
      <c r="AOX159" s="4"/>
      <c r="AOY159" s="4"/>
      <c r="AOZ159" s="4"/>
      <c r="APA159" s="4"/>
      <c r="APB159" s="4"/>
      <c r="APC159" s="4"/>
      <c r="APD159" s="4"/>
      <c r="APE159" s="4"/>
      <c r="APF159" s="4"/>
      <c r="APG159" s="4"/>
      <c r="APH159" s="4"/>
      <c r="API159" s="4"/>
      <c r="APJ159" s="4"/>
      <c r="APK159" s="4"/>
      <c r="APL159" s="4"/>
      <c r="APM159" s="4"/>
      <c r="APN159" s="4"/>
      <c r="APO159" s="4"/>
      <c r="APP159" s="4"/>
      <c r="APQ159" s="4"/>
      <c r="APR159" s="4"/>
      <c r="APS159" s="4"/>
      <c r="APT159" s="4"/>
      <c r="APU159" s="4"/>
      <c r="APV159" s="4"/>
      <c r="APW159" s="4"/>
      <c r="APX159" s="4"/>
      <c r="APY159" s="4"/>
      <c r="APZ159" s="4"/>
      <c r="AQA159" s="4"/>
      <c r="AQB159" s="4"/>
      <c r="AQC159" s="4"/>
      <c r="AQD159" s="4"/>
      <c r="AQE159" s="4"/>
      <c r="AQF159" s="4"/>
      <c r="AQG159" s="4"/>
      <c r="AQH159" s="4"/>
      <c r="AQI159" s="4"/>
      <c r="AQJ159" s="4"/>
      <c r="AQK159" s="4"/>
      <c r="AQL159" s="4"/>
      <c r="AQM159" s="4"/>
      <c r="AQN159" s="4"/>
      <c r="AQO159" s="4"/>
      <c r="AQP159" s="4"/>
      <c r="AQQ159" s="4"/>
      <c r="AQR159" s="4"/>
      <c r="AQS159" s="4"/>
      <c r="AQT159" s="4"/>
      <c r="AQU159" s="4"/>
      <c r="AQV159" s="4"/>
      <c r="AQW159" s="4"/>
      <c r="AQX159" s="4"/>
      <c r="AQY159" s="4"/>
      <c r="AQZ159" s="4"/>
      <c r="ARA159" s="4"/>
      <c r="ARB159" s="4"/>
      <c r="ARC159" s="4"/>
      <c r="ARD159" s="4"/>
      <c r="ARE159" s="4"/>
      <c r="ARF159" s="4"/>
      <c r="ARG159" s="4"/>
      <c r="ARH159" s="4"/>
      <c r="ARI159" s="4"/>
      <c r="ARJ159" s="4"/>
      <c r="ARK159" s="4"/>
      <c r="ARL159" s="4"/>
      <c r="ARM159" s="4"/>
      <c r="ARN159" s="4"/>
      <c r="ARO159" s="4"/>
      <c r="ARP159" s="4"/>
      <c r="ARQ159" s="4"/>
      <c r="ARR159" s="4"/>
      <c r="ARS159" s="4"/>
      <c r="ART159" s="4"/>
      <c r="ARU159" s="4"/>
      <c r="ARV159" s="4"/>
      <c r="ARW159" s="4"/>
      <c r="ARX159" s="4"/>
      <c r="ARY159" s="4"/>
      <c r="ARZ159" s="4"/>
      <c r="ASA159" s="4"/>
      <c r="ASB159" s="4"/>
      <c r="ASC159" s="4"/>
      <c r="ASD159" s="4"/>
      <c r="ASE159" s="4"/>
      <c r="ASF159" s="4"/>
      <c r="ASG159" s="4"/>
      <c r="ASH159" s="4"/>
      <c r="ASI159" s="4"/>
      <c r="ASJ159" s="4"/>
      <c r="ASK159" s="4"/>
      <c r="ASL159" s="4"/>
      <c r="ASM159" s="4"/>
      <c r="ASN159" s="4"/>
      <c r="ASO159" s="4"/>
      <c r="ASP159" s="4"/>
      <c r="ASQ159" s="4"/>
      <c r="ASR159" s="4"/>
      <c r="ASS159" s="4"/>
      <c r="AST159" s="4"/>
      <c r="ASU159" s="4"/>
    </row>
    <row r="160" hidden="1" spans="1:1191" x14ac:dyDescent="0.25">
      <c r="A160" s="4" t="s">
        <v>178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  <c r="UG160" s="4"/>
      <c r="UH160" s="4"/>
      <c r="UI160" s="4"/>
      <c r="UJ160" s="4"/>
      <c r="UK160" s="4"/>
      <c r="UL160" s="4"/>
      <c r="UM160" s="4"/>
      <c r="UN160" s="4"/>
      <c r="UO160" s="4"/>
      <c r="UP160" s="4"/>
      <c r="UQ160" s="4"/>
      <c r="UR160" s="4"/>
      <c r="US160" s="4"/>
      <c r="UT160" s="4"/>
      <c r="UU160" s="4"/>
      <c r="UV160" s="4"/>
      <c r="UW160" s="4"/>
      <c r="UX160" s="4"/>
      <c r="UY160" s="4"/>
      <c r="UZ160" s="4"/>
      <c r="VA160" s="4"/>
      <c r="VB160" s="4"/>
      <c r="VC160" s="4"/>
      <c r="VD160" s="4"/>
      <c r="VE160" s="4"/>
      <c r="VF160" s="4"/>
      <c r="VG160" s="4"/>
      <c r="VH160" s="4"/>
      <c r="VI160" s="4"/>
      <c r="VJ160" s="4"/>
      <c r="VK160" s="4"/>
      <c r="VL160" s="4"/>
      <c r="VM160" s="4"/>
      <c r="VN160" s="4"/>
      <c r="VO160" s="4"/>
      <c r="VP160" s="4"/>
      <c r="VQ160" s="4"/>
      <c r="VR160" s="4"/>
      <c r="VS160" s="4"/>
      <c r="VT160" s="4"/>
      <c r="VU160" s="4"/>
      <c r="VV160" s="4"/>
      <c r="VW160" s="4"/>
      <c r="VX160" s="4"/>
      <c r="VY160" s="4"/>
      <c r="VZ160" s="4"/>
      <c r="WA160" s="4"/>
      <c r="WB160" s="4"/>
      <c r="WC160" s="4"/>
      <c r="WD160" s="4"/>
      <c r="WE160" s="4"/>
      <c r="WF160" s="4"/>
      <c r="WG160" s="4"/>
      <c r="WH160" s="4"/>
      <c r="WI160" s="4"/>
      <c r="WJ160" s="4"/>
      <c r="WK160" s="4"/>
      <c r="WL160" s="4"/>
      <c r="WM160" s="4"/>
      <c r="WN160" s="4"/>
      <c r="WO160" s="4"/>
      <c r="WP160" s="4"/>
      <c r="WQ160" s="4"/>
      <c r="WR160" s="4"/>
      <c r="WS160" s="4"/>
      <c r="WT160" s="4"/>
      <c r="WU160" s="4"/>
      <c r="WV160" s="4"/>
      <c r="WW160" s="4"/>
      <c r="WX160" s="4"/>
      <c r="WY160" s="4"/>
      <c r="WZ160" s="4"/>
      <c r="XA160" s="4"/>
      <c r="XB160" s="4"/>
      <c r="XC160" s="4"/>
      <c r="XD160" s="4"/>
      <c r="XE160" s="4"/>
      <c r="XF160" s="4"/>
      <c r="XG160" s="4"/>
      <c r="XH160" s="4"/>
      <c r="XI160" s="4"/>
      <c r="XJ160" s="4"/>
      <c r="XK160" s="4"/>
      <c r="XL160" s="4"/>
      <c r="XM160" s="4"/>
      <c r="XN160" s="4"/>
      <c r="XO160" s="4"/>
      <c r="XP160" s="4"/>
      <c r="XQ160" s="4"/>
      <c r="XR160" s="4"/>
      <c r="XS160" s="4"/>
      <c r="XT160" s="4"/>
      <c r="XU160" s="4"/>
      <c r="XV160" s="4"/>
      <c r="XW160" s="4"/>
      <c r="XX160" s="4"/>
      <c r="XY160" s="4"/>
      <c r="XZ160" s="4"/>
      <c r="YA160" s="4"/>
      <c r="YB160" s="4"/>
      <c r="YC160" s="4"/>
      <c r="YD160" s="4"/>
      <c r="YE160" s="4"/>
      <c r="YF160" s="4"/>
      <c r="YG160" s="4"/>
      <c r="YH160" s="4"/>
      <c r="YI160" s="4"/>
      <c r="YJ160" s="4"/>
      <c r="YK160" s="4"/>
      <c r="YL160" s="4"/>
      <c r="YM160" s="4"/>
      <c r="YN160" s="4"/>
      <c r="YO160" s="4"/>
      <c r="YP160" s="4"/>
      <c r="YQ160" s="4"/>
      <c r="YR160" s="4"/>
      <c r="YS160" s="4"/>
      <c r="YT160" s="4"/>
      <c r="YU160" s="4"/>
      <c r="YV160" s="4"/>
      <c r="YW160" s="4"/>
      <c r="YX160" s="4"/>
      <c r="YY160" s="4"/>
      <c r="YZ160" s="4"/>
      <c r="ZA160" s="4"/>
      <c r="ZB160" s="4"/>
      <c r="ZC160" s="4"/>
      <c r="ZD160" s="4"/>
      <c r="ZE160" s="4"/>
      <c r="ZF160" s="4"/>
      <c r="ZG160" s="4"/>
      <c r="ZH160" s="4"/>
      <c r="ZI160" s="4"/>
      <c r="ZJ160" s="4"/>
      <c r="ZK160" s="4"/>
      <c r="ZL160" s="4"/>
      <c r="ZM160" s="4"/>
      <c r="ZN160" s="4"/>
      <c r="ZO160" s="4"/>
      <c r="ZP160" s="4"/>
      <c r="ZQ160" s="4"/>
      <c r="ZR160" s="4"/>
      <c r="ZS160" s="4"/>
      <c r="ZT160" s="4"/>
      <c r="ZU160" s="4"/>
      <c r="ZV160" s="4"/>
      <c r="ZW160" s="4"/>
      <c r="ZX160" s="4"/>
      <c r="ZY160" s="4"/>
      <c r="ZZ160" s="4"/>
      <c r="AAA160" s="4"/>
      <c r="AAB160" s="4"/>
      <c r="AAC160" s="4"/>
      <c r="AAD160" s="4"/>
      <c r="AAE160" s="4"/>
      <c r="AAF160" s="4"/>
      <c r="AAG160" s="4"/>
      <c r="AAH160" s="4"/>
      <c r="AAI160" s="4"/>
      <c r="AAJ160" s="4"/>
      <c r="AAK160" s="4"/>
      <c r="AAL160" s="4"/>
      <c r="AAM160" s="4"/>
      <c r="AAN160" s="4"/>
      <c r="AAO160" s="4"/>
      <c r="AAP160" s="4"/>
      <c r="AAQ160" s="4"/>
      <c r="AAR160" s="4"/>
      <c r="AAS160" s="4"/>
      <c r="AAT160" s="4"/>
      <c r="AAU160" s="4"/>
      <c r="AAV160" s="4"/>
      <c r="AAW160" s="4"/>
      <c r="AAX160" s="4"/>
      <c r="AAY160" s="4"/>
      <c r="AAZ160" s="4"/>
      <c r="ABA160" s="4"/>
      <c r="ABB160" s="4"/>
      <c r="ABC160" s="4"/>
      <c r="ABD160" s="4"/>
      <c r="ABE160" s="4"/>
      <c r="ABF160" s="4"/>
      <c r="ABG160" s="4"/>
      <c r="ABH160" s="4"/>
      <c r="ABI160" s="4"/>
      <c r="ABJ160" s="4"/>
      <c r="ABK160" s="4"/>
      <c r="ABL160" s="4"/>
      <c r="ABM160" s="4"/>
      <c r="ABN160" s="4"/>
      <c r="ABO160" s="4"/>
      <c r="ABP160" s="4"/>
      <c r="ABQ160" s="4"/>
      <c r="ABR160" s="4"/>
      <c r="ABS160" s="4"/>
      <c r="ABT160" s="4"/>
      <c r="ABU160" s="4"/>
      <c r="ABV160" s="4"/>
      <c r="ABW160" s="4"/>
      <c r="ABX160" s="4"/>
      <c r="ABY160" s="4"/>
      <c r="ABZ160" s="4"/>
      <c r="ACA160" s="4"/>
      <c r="ACB160" s="4"/>
      <c r="ACC160" s="4"/>
      <c r="ACD160" s="4"/>
      <c r="ACE160" s="4"/>
      <c r="ACF160" s="4"/>
      <c r="ACG160" s="4"/>
      <c r="ACH160" s="4"/>
      <c r="ACI160" s="4"/>
      <c r="ACJ160" s="4"/>
      <c r="ACK160" s="4"/>
      <c r="ACL160" s="4"/>
      <c r="ACM160" s="4"/>
      <c r="ACN160" s="4"/>
      <c r="ACO160" s="4"/>
      <c r="ACP160" s="4"/>
      <c r="ACQ160" s="4"/>
      <c r="ACR160" s="4"/>
      <c r="ACS160" s="4"/>
      <c r="ACT160" s="4"/>
      <c r="ACU160" s="4"/>
      <c r="ACV160" s="4"/>
      <c r="ACW160" s="4"/>
      <c r="ACX160" s="4"/>
      <c r="ACY160" s="4"/>
      <c r="ACZ160" s="4"/>
      <c r="ADA160" s="4"/>
      <c r="ADB160" s="4"/>
      <c r="ADC160" s="4"/>
      <c r="ADD160" s="4"/>
      <c r="ADE160" s="4"/>
      <c r="ADF160" s="4"/>
      <c r="ADG160" s="4"/>
      <c r="ADH160" s="4"/>
      <c r="ADI160" s="4"/>
      <c r="ADJ160" s="4"/>
      <c r="ADK160" s="4"/>
      <c r="ADL160" s="4"/>
      <c r="ADM160" s="4"/>
      <c r="ADN160" s="4"/>
      <c r="ADO160" s="4"/>
      <c r="ADP160" s="4"/>
      <c r="ADQ160" s="4"/>
      <c r="ADR160" s="4"/>
      <c r="ADS160" s="4"/>
      <c r="ADT160" s="4"/>
      <c r="ADU160" s="4"/>
      <c r="ADV160" s="4"/>
      <c r="ADW160" s="4"/>
      <c r="ADX160" s="4"/>
      <c r="ADY160" s="4"/>
      <c r="ADZ160" s="4"/>
      <c r="AEA160" s="4"/>
      <c r="AEB160" s="4"/>
      <c r="AEC160" s="4"/>
      <c r="AED160" s="4"/>
      <c r="AEE160" s="4"/>
      <c r="AEF160" s="4"/>
      <c r="AEG160" s="4"/>
      <c r="AEH160" s="4"/>
      <c r="AEI160" s="4"/>
      <c r="AEJ160" s="4"/>
      <c r="AEK160" s="4"/>
      <c r="AEL160" s="4"/>
      <c r="AEM160" s="4"/>
      <c r="AEN160" s="4"/>
      <c r="AEO160" s="4"/>
      <c r="AEP160" s="4"/>
      <c r="AEQ160" s="4"/>
      <c r="AER160" s="4"/>
      <c r="AES160" s="4"/>
      <c r="AET160" s="4"/>
      <c r="AEU160" s="4"/>
      <c r="AEV160" s="4"/>
      <c r="AEW160" s="4"/>
      <c r="AEX160" s="4"/>
      <c r="AEY160" s="4"/>
      <c r="AEZ160" s="4"/>
      <c r="AFA160" s="4"/>
      <c r="AFB160" s="4"/>
      <c r="AFC160" s="4"/>
      <c r="AFD160" s="4"/>
      <c r="AFE160" s="4"/>
      <c r="AFF160" s="4"/>
      <c r="AFG160" s="4"/>
      <c r="AFH160" s="4"/>
      <c r="AFI160" s="4"/>
      <c r="AFJ160" s="4"/>
      <c r="AFK160" s="4"/>
      <c r="AFL160" s="4"/>
      <c r="AFM160" s="4"/>
      <c r="AFN160" s="4"/>
      <c r="AFO160" s="4"/>
      <c r="AFP160" s="4"/>
      <c r="AFQ160" s="4"/>
      <c r="AFR160" s="4"/>
      <c r="AFS160" s="4"/>
      <c r="AFT160" s="4"/>
      <c r="AFU160" s="4"/>
      <c r="AFV160" s="4"/>
      <c r="AFW160" s="4"/>
      <c r="AFX160" s="4"/>
      <c r="AFY160" s="4"/>
      <c r="AFZ160" s="4"/>
      <c r="AGA160" s="4"/>
      <c r="AGB160" s="4"/>
      <c r="AGC160" s="4"/>
      <c r="AGD160" s="4"/>
      <c r="AGE160" s="4"/>
      <c r="AGF160" s="4"/>
      <c r="AGG160" s="4"/>
      <c r="AGH160" s="4"/>
      <c r="AGI160" s="4"/>
      <c r="AGJ160" s="4"/>
      <c r="AGK160" s="4"/>
      <c r="AGL160" s="4"/>
      <c r="AGM160" s="4"/>
      <c r="AGN160" s="4"/>
      <c r="AGO160" s="4"/>
      <c r="AGP160" s="4"/>
      <c r="AGQ160" s="4"/>
      <c r="AGR160" s="4"/>
      <c r="AGS160" s="4"/>
      <c r="AGT160" s="4"/>
      <c r="AGU160" s="4"/>
      <c r="AGV160" s="4"/>
      <c r="AGW160" s="4"/>
      <c r="AGX160" s="4"/>
      <c r="AGY160" s="4"/>
      <c r="AGZ160" s="4"/>
      <c r="AHA160" s="4"/>
      <c r="AHB160" s="4"/>
      <c r="AHC160" s="4"/>
      <c r="AHD160" s="4"/>
      <c r="AHE160" s="4"/>
      <c r="AHF160" s="4"/>
      <c r="AHG160" s="4"/>
      <c r="AHH160" s="4"/>
      <c r="AHI160" s="4"/>
      <c r="AHJ160" s="4"/>
      <c r="AHK160" s="4"/>
      <c r="AHL160" s="4"/>
      <c r="AHM160" s="4"/>
      <c r="AHN160" s="4"/>
      <c r="AHO160" s="4"/>
      <c r="AHP160" s="4"/>
      <c r="AHQ160" s="4"/>
      <c r="AHR160" s="4"/>
      <c r="AHS160" s="4"/>
      <c r="AHT160" s="4"/>
      <c r="AHU160" s="4"/>
      <c r="AHV160" s="4"/>
      <c r="AHW160" s="4"/>
      <c r="AHX160" s="4"/>
      <c r="AHY160" s="4"/>
      <c r="AHZ160" s="4"/>
      <c r="AIA160" s="4"/>
      <c r="AIB160" s="4"/>
      <c r="AIC160" s="4"/>
      <c r="AID160" s="4"/>
      <c r="AIE160" s="4"/>
      <c r="AIF160" s="4"/>
      <c r="AIG160" s="4"/>
      <c r="AIH160" s="4"/>
      <c r="AII160" s="4"/>
      <c r="AIJ160" s="4"/>
      <c r="AIK160" s="4"/>
      <c r="AIL160" s="4"/>
      <c r="AIM160" s="4"/>
      <c r="AIN160" s="4"/>
      <c r="AIO160" s="4"/>
      <c r="AIP160" s="4"/>
      <c r="AIQ160" s="4"/>
      <c r="AIR160" s="4"/>
      <c r="AIS160" s="4"/>
      <c r="AIT160" s="4"/>
      <c r="AIU160" s="4"/>
      <c r="AIV160" s="4"/>
      <c r="AIW160" s="4"/>
      <c r="AIX160" s="4"/>
      <c r="AIY160" s="4"/>
      <c r="AIZ160" s="4"/>
      <c r="AJA160" s="4"/>
      <c r="AJB160" s="4"/>
      <c r="AJC160" s="4"/>
      <c r="AJD160" s="4"/>
      <c r="AJE160" s="4"/>
      <c r="AJF160" s="4"/>
      <c r="AJG160" s="4"/>
      <c r="AJH160" s="4"/>
      <c r="AJI160" s="4"/>
      <c r="AJJ160" s="4"/>
      <c r="AJK160" s="4"/>
      <c r="AJL160" s="4"/>
      <c r="AJM160" s="4"/>
      <c r="AJN160" s="4"/>
      <c r="AJO160" s="4"/>
      <c r="AJP160" s="4"/>
      <c r="AJQ160" s="4"/>
      <c r="AJR160" s="4"/>
      <c r="AJS160" s="4"/>
      <c r="AJT160" s="4"/>
      <c r="AJU160" s="4"/>
      <c r="AJV160" s="4"/>
      <c r="AJW160" s="4"/>
      <c r="AJX160" s="4"/>
      <c r="AJY160" s="4"/>
      <c r="AJZ160" s="4"/>
      <c r="AKA160" s="4"/>
      <c r="AKB160" s="4"/>
      <c r="AKC160" s="4"/>
      <c r="AKD160" s="4"/>
      <c r="AKE160" s="4"/>
      <c r="AKF160" s="4"/>
      <c r="AKG160" s="4"/>
      <c r="AKH160" s="4"/>
      <c r="AKI160" s="4"/>
      <c r="AKJ160" s="4"/>
      <c r="AKK160" s="4"/>
      <c r="AKL160" s="4"/>
      <c r="AKM160" s="4"/>
      <c r="AKN160" s="4"/>
      <c r="AKO160" s="4"/>
      <c r="AKP160" s="4"/>
      <c r="AKQ160" s="4"/>
      <c r="AKR160" s="4"/>
      <c r="AKS160" s="4"/>
      <c r="AKT160" s="4"/>
      <c r="AKU160" s="4"/>
      <c r="AKV160" s="4"/>
      <c r="AKW160" s="4"/>
      <c r="AKX160" s="4"/>
      <c r="AKY160" s="4"/>
      <c r="AKZ160" s="4"/>
      <c r="ALA160" s="4"/>
      <c r="ALB160" s="4"/>
      <c r="ALC160" s="4"/>
      <c r="ALD160" s="4"/>
      <c r="ALE160" s="4"/>
      <c r="ALF160" s="4"/>
      <c r="ALG160" s="4"/>
      <c r="ALH160" s="4"/>
      <c r="ALI160" s="4"/>
      <c r="ALJ160" s="4"/>
      <c r="ALK160" s="4"/>
      <c r="ALL160" s="4"/>
      <c r="ALM160" s="4"/>
      <c r="ALN160" s="4"/>
      <c r="ALO160" s="4"/>
      <c r="ALP160" s="4"/>
      <c r="ALQ160" s="4"/>
      <c r="ALR160" s="4"/>
      <c r="ALS160" s="4"/>
      <c r="ALT160" s="4"/>
      <c r="ALU160" s="4"/>
      <c r="ALV160" s="4"/>
      <c r="ALW160" s="4"/>
      <c r="ALX160" s="4"/>
      <c r="ALY160" s="4"/>
      <c r="ALZ160" s="4"/>
      <c r="AMA160" s="4"/>
      <c r="AMB160" s="4"/>
      <c r="AMC160" s="4"/>
      <c r="AMD160" s="4"/>
      <c r="AME160" s="4"/>
      <c r="AMF160" s="4"/>
      <c r="AMG160" s="4"/>
      <c r="AMH160" s="4"/>
      <c r="AMI160" s="4"/>
      <c r="AMJ160" s="4"/>
      <c r="AMK160" s="4"/>
      <c r="AML160" s="4"/>
      <c r="AMM160" s="4"/>
      <c r="AMN160" s="4"/>
      <c r="AMO160" s="4"/>
      <c r="AMP160" s="4"/>
      <c r="AMQ160" s="4"/>
      <c r="AMR160" s="4"/>
      <c r="AMS160" s="4"/>
      <c r="AMT160" s="4"/>
      <c r="AMU160" s="4"/>
      <c r="AMV160" s="4"/>
      <c r="AMW160" s="4"/>
      <c r="AMX160" s="4"/>
      <c r="AMY160" s="4"/>
      <c r="AMZ160" s="4"/>
      <c r="ANA160" s="4"/>
      <c r="ANB160" s="4"/>
      <c r="ANC160" s="4"/>
      <c r="AND160" s="4"/>
      <c r="ANE160" s="4"/>
      <c r="ANF160" s="4"/>
      <c r="ANG160" s="4"/>
      <c r="ANH160" s="4"/>
      <c r="ANI160" s="4"/>
      <c r="ANJ160" s="4"/>
      <c r="ANK160" s="4"/>
      <c r="ANL160" s="4"/>
      <c r="ANM160" s="4"/>
      <c r="ANN160" s="4"/>
      <c r="ANO160" s="4"/>
      <c r="ANP160" s="4"/>
      <c r="ANQ160" s="4"/>
      <c r="ANR160" s="4"/>
      <c r="ANS160" s="4"/>
      <c r="ANT160" s="4"/>
      <c r="ANU160" s="4"/>
      <c r="ANV160" s="4"/>
      <c r="ANW160" s="4"/>
      <c r="ANX160" s="4"/>
      <c r="ANY160" s="4"/>
      <c r="ANZ160" s="4"/>
      <c r="AOA160" s="4"/>
      <c r="AOB160" s="4"/>
      <c r="AOC160" s="4"/>
      <c r="AOD160" s="4"/>
      <c r="AOE160" s="4"/>
      <c r="AOF160" s="4"/>
      <c r="AOG160" s="4"/>
      <c r="AOH160" s="4"/>
      <c r="AOI160" s="4"/>
      <c r="AOJ160" s="4"/>
      <c r="AOK160" s="4"/>
      <c r="AOL160" s="4"/>
      <c r="AOM160" s="4"/>
      <c r="AON160" s="4"/>
      <c r="AOO160" s="4"/>
      <c r="AOP160" s="4"/>
      <c r="AOQ160" s="4"/>
      <c r="AOR160" s="4"/>
      <c r="AOS160" s="4"/>
      <c r="AOT160" s="4"/>
      <c r="AOU160" s="4"/>
      <c r="AOV160" s="4"/>
      <c r="AOW160" s="4"/>
      <c r="AOX160" s="4"/>
      <c r="AOY160" s="4"/>
      <c r="AOZ160" s="4"/>
      <c r="APA160" s="4"/>
      <c r="APB160" s="4"/>
      <c r="APC160" s="4"/>
      <c r="APD160" s="4"/>
      <c r="APE160" s="4"/>
      <c r="APF160" s="4"/>
      <c r="APG160" s="4"/>
      <c r="APH160" s="4"/>
      <c r="API160" s="4"/>
      <c r="APJ160" s="4"/>
      <c r="APK160" s="4"/>
      <c r="APL160" s="4"/>
      <c r="APM160" s="4"/>
      <c r="APN160" s="4"/>
      <c r="APO160" s="4"/>
      <c r="APP160" s="4"/>
      <c r="APQ160" s="4"/>
      <c r="APR160" s="4"/>
      <c r="APS160" s="4"/>
      <c r="APT160" s="4"/>
      <c r="APU160" s="4"/>
      <c r="APV160" s="4"/>
      <c r="APW160" s="4"/>
      <c r="APX160" s="4"/>
      <c r="APY160" s="4"/>
      <c r="APZ160" s="4"/>
      <c r="AQA160" s="4"/>
      <c r="AQB160" s="4"/>
      <c r="AQC160" s="4"/>
      <c r="AQD160" s="4"/>
      <c r="AQE160" s="4"/>
      <c r="AQF160" s="4"/>
      <c r="AQG160" s="4"/>
      <c r="AQH160" s="4"/>
      <c r="AQI160" s="4"/>
      <c r="AQJ160" s="4"/>
      <c r="AQK160" s="4"/>
      <c r="AQL160" s="4"/>
      <c r="AQM160" s="4"/>
      <c r="AQN160" s="4"/>
      <c r="AQO160" s="4"/>
      <c r="AQP160" s="4"/>
      <c r="AQQ160" s="4"/>
      <c r="AQR160" s="4"/>
      <c r="AQS160" s="4"/>
      <c r="AQT160" s="4"/>
      <c r="AQU160" s="4"/>
      <c r="AQV160" s="4"/>
      <c r="AQW160" s="4"/>
      <c r="AQX160" s="4"/>
      <c r="AQY160" s="4"/>
      <c r="AQZ160" s="4"/>
      <c r="ARA160" s="4"/>
      <c r="ARB160" s="4"/>
      <c r="ARC160" s="4"/>
      <c r="ARD160" s="4"/>
      <c r="ARE160" s="4"/>
      <c r="ARF160" s="4"/>
      <c r="ARG160" s="4"/>
      <c r="ARH160" s="4"/>
      <c r="ARI160" s="4"/>
      <c r="ARJ160" s="4"/>
      <c r="ARK160" s="4"/>
      <c r="ARL160" s="4"/>
      <c r="ARM160" s="4"/>
      <c r="ARN160" s="4"/>
      <c r="ARO160" s="4"/>
      <c r="ARP160" s="4"/>
      <c r="ARQ160" s="4"/>
      <c r="ARR160" s="4"/>
      <c r="ARS160" s="4"/>
      <c r="ART160" s="4"/>
      <c r="ARU160" s="4"/>
      <c r="ARV160" s="4"/>
      <c r="ARW160" s="4"/>
      <c r="ARX160" s="4"/>
      <c r="ARY160" s="4"/>
      <c r="ARZ160" s="4"/>
      <c r="ASA160" s="4"/>
      <c r="ASB160" s="4"/>
      <c r="ASC160" s="4"/>
      <c r="ASD160" s="4"/>
      <c r="ASE160" s="4"/>
      <c r="ASF160" s="4"/>
      <c r="ASG160" s="4"/>
      <c r="ASH160" s="4"/>
      <c r="ASI160" s="4"/>
      <c r="ASJ160" s="4"/>
      <c r="ASK160" s="4"/>
      <c r="ASL160" s="4"/>
      <c r="ASM160" s="4"/>
      <c r="ASN160" s="4"/>
      <c r="ASO160" s="4"/>
      <c r="ASP160" s="4"/>
      <c r="ASQ160" s="4"/>
      <c r="ASR160" s="4"/>
      <c r="ASS160" s="4"/>
      <c r="AST160" s="4"/>
      <c r="ASU160" s="4"/>
    </row>
    <row r="161" hidden="1" spans="1:1191" x14ac:dyDescent="0.25">
      <c r="A161" s="4" t="s">
        <v>179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  <c r="UG161" s="4"/>
      <c r="UH161" s="4"/>
      <c r="UI161" s="4"/>
      <c r="UJ161" s="4"/>
      <c r="UK161" s="4"/>
      <c r="UL161" s="4"/>
      <c r="UM161" s="4"/>
      <c r="UN161" s="4"/>
      <c r="UO161" s="4"/>
      <c r="UP161" s="4"/>
      <c r="UQ161" s="4"/>
      <c r="UR161" s="4"/>
      <c r="US161" s="4"/>
      <c r="UT161" s="4"/>
      <c r="UU161" s="4"/>
      <c r="UV161" s="4"/>
      <c r="UW161" s="4"/>
      <c r="UX161" s="4"/>
      <c r="UY161" s="4"/>
      <c r="UZ161" s="4"/>
      <c r="VA161" s="4"/>
      <c r="VB161" s="4"/>
      <c r="VC161" s="4"/>
      <c r="VD161" s="4"/>
      <c r="VE161" s="4"/>
      <c r="VF161" s="4"/>
      <c r="VG161" s="4"/>
      <c r="VH161" s="4"/>
      <c r="VI161" s="4"/>
      <c r="VJ161" s="4"/>
      <c r="VK161" s="4"/>
      <c r="VL161" s="4"/>
      <c r="VM161" s="4"/>
      <c r="VN161" s="4"/>
      <c r="VO161" s="4"/>
      <c r="VP161" s="4"/>
      <c r="VQ161" s="4"/>
      <c r="VR161" s="4"/>
      <c r="VS161" s="4"/>
      <c r="VT161" s="4"/>
      <c r="VU161" s="4"/>
      <c r="VV161" s="4"/>
      <c r="VW161" s="4"/>
      <c r="VX161" s="4"/>
      <c r="VY161" s="4"/>
      <c r="VZ161" s="4"/>
      <c r="WA161" s="4"/>
      <c r="WB161" s="4"/>
      <c r="WC161" s="4"/>
      <c r="WD161" s="4"/>
      <c r="WE161" s="4"/>
      <c r="WF161" s="4"/>
      <c r="WG161" s="4"/>
      <c r="WH161" s="4"/>
      <c r="WI161" s="4"/>
      <c r="WJ161" s="4"/>
      <c r="WK161" s="4"/>
      <c r="WL161" s="4"/>
      <c r="WM161" s="4"/>
      <c r="WN161" s="4"/>
      <c r="WO161" s="4"/>
      <c r="WP161" s="4"/>
      <c r="WQ161" s="4"/>
      <c r="WR161" s="4"/>
      <c r="WS161" s="4"/>
      <c r="WT161" s="4"/>
      <c r="WU161" s="4"/>
      <c r="WV161" s="4"/>
      <c r="WW161" s="4"/>
      <c r="WX161" s="4"/>
      <c r="WY161" s="4"/>
      <c r="WZ161" s="4"/>
      <c r="XA161" s="4"/>
      <c r="XB161" s="4"/>
      <c r="XC161" s="4"/>
      <c r="XD161" s="4"/>
      <c r="XE161" s="4"/>
      <c r="XF161" s="4"/>
      <c r="XG161" s="4"/>
      <c r="XH161" s="4"/>
      <c r="XI161" s="4"/>
      <c r="XJ161" s="4"/>
      <c r="XK161" s="4"/>
      <c r="XL161" s="4"/>
      <c r="XM161" s="4"/>
      <c r="XN161" s="4"/>
      <c r="XO161" s="4"/>
      <c r="XP161" s="4"/>
      <c r="XQ161" s="4"/>
      <c r="XR161" s="4"/>
      <c r="XS161" s="4"/>
      <c r="XT161" s="4"/>
      <c r="XU161" s="4"/>
      <c r="XV161" s="4"/>
      <c r="XW161" s="4"/>
      <c r="XX161" s="4"/>
      <c r="XY161" s="4"/>
      <c r="XZ161" s="4"/>
      <c r="YA161" s="4"/>
      <c r="YB161" s="4"/>
      <c r="YC161" s="4"/>
      <c r="YD161" s="4"/>
      <c r="YE161" s="4"/>
      <c r="YF161" s="4"/>
      <c r="YG161" s="4"/>
      <c r="YH161" s="4"/>
      <c r="YI161" s="4"/>
      <c r="YJ161" s="4"/>
      <c r="YK161" s="4"/>
      <c r="YL161" s="4"/>
      <c r="YM161" s="4"/>
      <c r="YN161" s="4"/>
      <c r="YO161" s="4"/>
      <c r="YP161" s="4"/>
      <c r="YQ161" s="4"/>
      <c r="YR161" s="4"/>
      <c r="YS161" s="4"/>
      <c r="YT161" s="4"/>
      <c r="YU161" s="4"/>
      <c r="YV161" s="4"/>
      <c r="YW161" s="4"/>
      <c r="YX161" s="4"/>
      <c r="YY161" s="4"/>
      <c r="YZ161" s="4"/>
      <c r="ZA161" s="4"/>
      <c r="ZB161" s="4"/>
      <c r="ZC161" s="4"/>
      <c r="ZD161" s="4"/>
      <c r="ZE161" s="4"/>
      <c r="ZF161" s="4"/>
      <c r="ZG161" s="4"/>
      <c r="ZH161" s="4"/>
      <c r="ZI161" s="4"/>
      <c r="ZJ161" s="4"/>
      <c r="ZK161" s="4"/>
      <c r="ZL161" s="4"/>
      <c r="ZM161" s="4"/>
      <c r="ZN161" s="4"/>
      <c r="ZO161" s="4"/>
      <c r="ZP161" s="4"/>
      <c r="ZQ161" s="4"/>
      <c r="ZR161" s="4"/>
      <c r="ZS161" s="4"/>
      <c r="ZT161" s="4"/>
      <c r="ZU161" s="4"/>
      <c r="ZV161" s="4"/>
      <c r="ZW161" s="4"/>
      <c r="ZX161" s="4"/>
      <c r="ZY161" s="4"/>
      <c r="ZZ161" s="4"/>
      <c r="AAA161" s="4"/>
      <c r="AAB161" s="4"/>
      <c r="AAC161" s="4"/>
      <c r="AAD161" s="4"/>
      <c r="AAE161" s="4"/>
      <c r="AAF161" s="4"/>
      <c r="AAG161" s="4"/>
      <c r="AAH161" s="4"/>
      <c r="AAI161" s="4"/>
      <c r="AAJ161" s="4"/>
      <c r="AAK161" s="4"/>
      <c r="AAL161" s="4"/>
      <c r="AAM161" s="4"/>
      <c r="AAN161" s="4"/>
      <c r="AAO161" s="4"/>
      <c r="AAP161" s="4"/>
      <c r="AAQ161" s="4"/>
      <c r="AAR161" s="4"/>
      <c r="AAS161" s="4"/>
      <c r="AAT161" s="4"/>
      <c r="AAU161" s="4"/>
      <c r="AAV161" s="4"/>
      <c r="AAW161" s="4"/>
      <c r="AAX161" s="4"/>
      <c r="AAY161" s="4"/>
      <c r="AAZ161" s="4"/>
      <c r="ABA161" s="4"/>
      <c r="ABB161" s="4"/>
      <c r="ABC161" s="4"/>
      <c r="ABD161" s="4"/>
      <c r="ABE161" s="4"/>
      <c r="ABF161" s="4"/>
      <c r="ABG161" s="4"/>
      <c r="ABH161" s="4"/>
      <c r="ABI161" s="4"/>
      <c r="ABJ161" s="4"/>
      <c r="ABK161" s="4"/>
      <c r="ABL161" s="4"/>
      <c r="ABM161" s="4"/>
      <c r="ABN161" s="4"/>
      <c r="ABO161" s="4"/>
      <c r="ABP161" s="4"/>
      <c r="ABQ161" s="4"/>
      <c r="ABR161" s="4"/>
      <c r="ABS161" s="4"/>
      <c r="ABT161" s="4"/>
      <c r="ABU161" s="4"/>
      <c r="ABV161" s="4"/>
      <c r="ABW161" s="4"/>
      <c r="ABX161" s="4"/>
      <c r="ABY161" s="4"/>
      <c r="ABZ161" s="4"/>
      <c r="ACA161" s="4"/>
      <c r="ACB161" s="4"/>
      <c r="ACC161" s="4"/>
      <c r="ACD161" s="4"/>
      <c r="ACE161" s="4"/>
      <c r="ACF161" s="4"/>
      <c r="ACG161" s="4"/>
      <c r="ACH161" s="4"/>
      <c r="ACI161" s="4"/>
      <c r="ACJ161" s="4"/>
      <c r="ACK161" s="4"/>
      <c r="ACL161" s="4"/>
      <c r="ACM161" s="4"/>
      <c r="ACN161" s="4"/>
      <c r="ACO161" s="4"/>
      <c r="ACP161" s="4"/>
      <c r="ACQ161" s="4"/>
      <c r="ACR161" s="4"/>
      <c r="ACS161" s="4"/>
      <c r="ACT161" s="4"/>
      <c r="ACU161" s="4"/>
      <c r="ACV161" s="4"/>
      <c r="ACW161" s="4"/>
      <c r="ACX161" s="4"/>
      <c r="ACY161" s="4"/>
      <c r="ACZ161" s="4"/>
      <c r="ADA161" s="4"/>
      <c r="ADB161" s="4"/>
      <c r="ADC161" s="4"/>
      <c r="ADD161" s="4"/>
      <c r="ADE161" s="4"/>
      <c r="ADF161" s="4"/>
      <c r="ADG161" s="4"/>
      <c r="ADH161" s="4"/>
      <c r="ADI161" s="4"/>
      <c r="ADJ161" s="4"/>
      <c r="ADK161" s="4"/>
      <c r="ADL161" s="4"/>
      <c r="ADM161" s="4"/>
      <c r="ADN161" s="4"/>
      <c r="ADO161" s="4"/>
      <c r="ADP161" s="4"/>
      <c r="ADQ161" s="4"/>
      <c r="ADR161" s="4"/>
      <c r="ADS161" s="4"/>
      <c r="ADT161" s="4"/>
      <c r="ADU161" s="4"/>
      <c r="ADV161" s="4"/>
      <c r="ADW161" s="4"/>
      <c r="ADX161" s="4"/>
      <c r="ADY161" s="4"/>
      <c r="ADZ161" s="4"/>
      <c r="AEA161" s="4"/>
      <c r="AEB161" s="4"/>
      <c r="AEC161" s="4"/>
      <c r="AED161" s="4"/>
      <c r="AEE161" s="4"/>
      <c r="AEF161" s="4"/>
      <c r="AEG161" s="4"/>
      <c r="AEH161" s="4"/>
      <c r="AEI161" s="4"/>
      <c r="AEJ161" s="4"/>
      <c r="AEK161" s="4"/>
      <c r="AEL161" s="4"/>
      <c r="AEM161" s="4"/>
      <c r="AEN161" s="4"/>
      <c r="AEO161" s="4"/>
      <c r="AEP161" s="4"/>
      <c r="AEQ161" s="4"/>
      <c r="AER161" s="4"/>
      <c r="AES161" s="4"/>
      <c r="AET161" s="4"/>
      <c r="AEU161" s="4"/>
      <c r="AEV161" s="4"/>
      <c r="AEW161" s="4"/>
      <c r="AEX161" s="4"/>
      <c r="AEY161" s="4"/>
      <c r="AEZ161" s="4"/>
      <c r="AFA161" s="4"/>
      <c r="AFB161" s="4"/>
      <c r="AFC161" s="4"/>
      <c r="AFD161" s="4"/>
      <c r="AFE161" s="4"/>
      <c r="AFF161" s="4"/>
      <c r="AFG161" s="4"/>
      <c r="AFH161" s="4"/>
      <c r="AFI161" s="4"/>
      <c r="AFJ161" s="4"/>
      <c r="AFK161" s="4"/>
      <c r="AFL161" s="4"/>
      <c r="AFM161" s="4"/>
      <c r="AFN161" s="4"/>
      <c r="AFO161" s="4"/>
      <c r="AFP161" s="4"/>
      <c r="AFQ161" s="4"/>
      <c r="AFR161" s="4"/>
      <c r="AFS161" s="4"/>
      <c r="AFT161" s="4"/>
      <c r="AFU161" s="4"/>
      <c r="AFV161" s="4"/>
      <c r="AFW161" s="4"/>
      <c r="AFX161" s="4"/>
      <c r="AFY161" s="4"/>
      <c r="AFZ161" s="4"/>
      <c r="AGA161" s="4"/>
      <c r="AGB161" s="4"/>
      <c r="AGC161" s="4"/>
      <c r="AGD161" s="4"/>
      <c r="AGE161" s="4"/>
      <c r="AGF161" s="4"/>
      <c r="AGG161" s="4"/>
      <c r="AGH161" s="4"/>
      <c r="AGI161" s="4"/>
      <c r="AGJ161" s="4"/>
      <c r="AGK161" s="4"/>
      <c r="AGL161" s="4"/>
      <c r="AGM161" s="4"/>
      <c r="AGN161" s="4"/>
      <c r="AGO161" s="4"/>
      <c r="AGP161" s="4"/>
      <c r="AGQ161" s="4"/>
      <c r="AGR161" s="4"/>
      <c r="AGS161" s="4"/>
      <c r="AGT161" s="4"/>
      <c r="AGU161" s="4"/>
      <c r="AGV161" s="4"/>
      <c r="AGW161" s="4"/>
      <c r="AGX161" s="4"/>
      <c r="AGY161" s="4"/>
      <c r="AGZ161" s="4"/>
      <c r="AHA161" s="4"/>
      <c r="AHB161" s="4"/>
      <c r="AHC161" s="4"/>
      <c r="AHD161" s="4"/>
      <c r="AHE161" s="4"/>
      <c r="AHF161" s="4"/>
      <c r="AHG161" s="4"/>
      <c r="AHH161" s="4"/>
      <c r="AHI161" s="4"/>
      <c r="AHJ161" s="4"/>
      <c r="AHK161" s="4"/>
      <c r="AHL161" s="4"/>
      <c r="AHM161" s="4"/>
      <c r="AHN161" s="4"/>
      <c r="AHO161" s="4"/>
      <c r="AHP161" s="4"/>
      <c r="AHQ161" s="4"/>
      <c r="AHR161" s="4"/>
      <c r="AHS161" s="4"/>
      <c r="AHT161" s="4"/>
      <c r="AHU161" s="4"/>
      <c r="AHV161" s="4"/>
      <c r="AHW161" s="4"/>
      <c r="AHX161" s="4"/>
      <c r="AHY161" s="4"/>
      <c r="AHZ161" s="4"/>
      <c r="AIA161" s="4"/>
      <c r="AIB161" s="4"/>
      <c r="AIC161" s="4"/>
      <c r="AID161" s="4"/>
      <c r="AIE161" s="4"/>
      <c r="AIF161" s="4"/>
      <c r="AIG161" s="4"/>
      <c r="AIH161" s="4"/>
      <c r="AII161" s="4"/>
      <c r="AIJ161" s="4"/>
      <c r="AIK161" s="4"/>
      <c r="AIL161" s="4"/>
      <c r="AIM161" s="4"/>
      <c r="AIN161" s="4"/>
      <c r="AIO161" s="4"/>
      <c r="AIP161" s="4"/>
      <c r="AIQ161" s="4"/>
      <c r="AIR161" s="4"/>
      <c r="AIS161" s="4"/>
      <c r="AIT161" s="4"/>
      <c r="AIU161" s="4"/>
      <c r="AIV161" s="4"/>
      <c r="AIW161" s="4"/>
      <c r="AIX161" s="4"/>
      <c r="AIY161" s="4"/>
      <c r="AIZ161" s="4"/>
      <c r="AJA161" s="4"/>
      <c r="AJB161" s="4"/>
      <c r="AJC161" s="4"/>
      <c r="AJD161" s="4"/>
      <c r="AJE161" s="4"/>
      <c r="AJF161" s="4"/>
      <c r="AJG161" s="4"/>
      <c r="AJH161" s="4"/>
      <c r="AJI161" s="4"/>
      <c r="AJJ161" s="4"/>
      <c r="AJK161" s="4"/>
      <c r="AJL161" s="4"/>
      <c r="AJM161" s="4"/>
      <c r="AJN161" s="4"/>
      <c r="AJO161" s="4"/>
      <c r="AJP161" s="4"/>
      <c r="AJQ161" s="4"/>
      <c r="AJR161" s="4"/>
      <c r="AJS161" s="4"/>
      <c r="AJT161" s="4"/>
      <c r="AJU161" s="4"/>
      <c r="AJV161" s="4"/>
      <c r="AJW161" s="4"/>
      <c r="AJX161" s="4"/>
      <c r="AJY161" s="4"/>
      <c r="AJZ161" s="4"/>
      <c r="AKA161" s="4"/>
      <c r="AKB161" s="4"/>
      <c r="AKC161" s="4"/>
      <c r="AKD161" s="4"/>
      <c r="AKE161" s="4"/>
      <c r="AKF161" s="4"/>
      <c r="AKG161" s="4"/>
      <c r="AKH161" s="4"/>
      <c r="AKI161" s="4"/>
      <c r="AKJ161" s="4"/>
      <c r="AKK161" s="4"/>
      <c r="AKL161" s="4"/>
      <c r="AKM161" s="4"/>
      <c r="AKN161" s="4"/>
      <c r="AKO161" s="4"/>
      <c r="AKP161" s="4"/>
      <c r="AKQ161" s="4"/>
      <c r="AKR161" s="4"/>
      <c r="AKS161" s="4"/>
      <c r="AKT161" s="4"/>
      <c r="AKU161" s="4"/>
      <c r="AKV161" s="4"/>
      <c r="AKW161" s="4"/>
      <c r="AKX161" s="4"/>
      <c r="AKY161" s="4"/>
      <c r="AKZ161" s="4"/>
      <c r="ALA161" s="4"/>
      <c r="ALB161" s="4"/>
      <c r="ALC161" s="4"/>
      <c r="ALD161" s="4"/>
      <c r="ALE161" s="4"/>
      <c r="ALF161" s="4"/>
      <c r="ALG161" s="4"/>
      <c r="ALH161" s="4"/>
      <c r="ALI161" s="4"/>
      <c r="ALJ161" s="4"/>
      <c r="ALK161" s="4"/>
      <c r="ALL161" s="4"/>
      <c r="ALM161" s="4"/>
      <c r="ALN161" s="4"/>
      <c r="ALO161" s="4"/>
      <c r="ALP161" s="4"/>
      <c r="ALQ161" s="4"/>
      <c r="ALR161" s="4"/>
      <c r="ALS161" s="4"/>
      <c r="ALT161" s="4"/>
      <c r="ALU161" s="4"/>
      <c r="ALV161" s="4"/>
      <c r="ALW161" s="4"/>
      <c r="ALX161" s="4"/>
      <c r="ALY161" s="4"/>
      <c r="ALZ161" s="4"/>
      <c r="AMA161" s="4"/>
      <c r="AMB161" s="4"/>
      <c r="AMC161" s="4"/>
      <c r="AMD161" s="4"/>
      <c r="AME161" s="4"/>
      <c r="AMF161" s="4"/>
      <c r="AMG161" s="4"/>
      <c r="AMH161" s="4"/>
      <c r="AMI161" s="4"/>
      <c r="AMJ161" s="4"/>
      <c r="AMK161" s="4"/>
      <c r="AML161" s="4"/>
      <c r="AMM161" s="4"/>
      <c r="AMN161" s="4"/>
      <c r="AMO161" s="4"/>
      <c r="AMP161" s="4"/>
      <c r="AMQ161" s="4"/>
      <c r="AMR161" s="4"/>
      <c r="AMS161" s="4"/>
      <c r="AMT161" s="4"/>
      <c r="AMU161" s="4"/>
      <c r="AMV161" s="4"/>
      <c r="AMW161" s="4"/>
      <c r="AMX161" s="4"/>
      <c r="AMY161" s="4"/>
      <c r="AMZ161" s="4"/>
      <c r="ANA161" s="4"/>
      <c r="ANB161" s="4"/>
      <c r="ANC161" s="4"/>
      <c r="AND161" s="4"/>
      <c r="ANE161" s="4"/>
      <c r="ANF161" s="4"/>
      <c r="ANG161" s="4"/>
      <c r="ANH161" s="4"/>
      <c r="ANI161" s="4"/>
      <c r="ANJ161" s="4"/>
      <c r="ANK161" s="4"/>
      <c r="ANL161" s="4"/>
      <c r="ANM161" s="4"/>
      <c r="ANN161" s="4"/>
      <c r="ANO161" s="4"/>
      <c r="ANP161" s="4"/>
      <c r="ANQ161" s="4"/>
      <c r="ANR161" s="4"/>
      <c r="ANS161" s="4"/>
      <c r="ANT161" s="4"/>
      <c r="ANU161" s="4"/>
      <c r="ANV161" s="4"/>
      <c r="ANW161" s="4"/>
      <c r="ANX161" s="4"/>
      <c r="ANY161" s="4"/>
      <c r="ANZ161" s="4"/>
      <c r="AOA161" s="4"/>
      <c r="AOB161" s="4"/>
      <c r="AOC161" s="4"/>
      <c r="AOD161" s="4"/>
      <c r="AOE161" s="4"/>
      <c r="AOF161" s="4"/>
      <c r="AOG161" s="4"/>
      <c r="AOH161" s="4"/>
      <c r="AOI161" s="4"/>
      <c r="AOJ161" s="4"/>
      <c r="AOK161" s="4"/>
      <c r="AOL161" s="4"/>
      <c r="AOM161" s="4"/>
      <c r="AON161" s="4"/>
      <c r="AOO161" s="4"/>
      <c r="AOP161" s="4"/>
      <c r="AOQ161" s="4"/>
      <c r="AOR161" s="4"/>
      <c r="AOS161" s="4"/>
      <c r="AOT161" s="4"/>
      <c r="AOU161" s="4"/>
      <c r="AOV161" s="4"/>
      <c r="AOW161" s="4"/>
      <c r="AOX161" s="4"/>
      <c r="AOY161" s="4"/>
      <c r="AOZ161" s="4"/>
      <c r="APA161" s="4"/>
      <c r="APB161" s="4"/>
      <c r="APC161" s="4"/>
      <c r="APD161" s="4"/>
      <c r="APE161" s="4"/>
      <c r="APF161" s="4"/>
      <c r="APG161" s="4"/>
      <c r="APH161" s="4"/>
      <c r="API161" s="4"/>
      <c r="APJ161" s="4"/>
      <c r="APK161" s="4"/>
      <c r="APL161" s="4"/>
      <c r="APM161" s="4"/>
      <c r="APN161" s="4"/>
      <c r="APO161" s="4"/>
      <c r="APP161" s="4"/>
      <c r="APQ161" s="4"/>
      <c r="APR161" s="4"/>
      <c r="APS161" s="4"/>
      <c r="APT161" s="4"/>
      <c r="APU161" s="4"/>
      <c r="APV161" s="4"/>
      <c r="APW161" s="4"/>
      <c r="APX161" s="4"/>
      <c r="APY161" s="4"/>
      <c r="APZ161" s="4"/>
      <c r="AQA161" s="4"/>
      <c r="AQB161" s="4"/>
      <c r="AQC161" s="4"/>
      <c r="AQD161" s="4"/>
      <c r="AQE161" s="4"/>
      <c r="AQF161" s="4"/>
      <c r="AQG161" s="4"/>
      <c r="AQH161" s="4"/>
      <c r="AQI161" s="4"/>
      <c r="AQJ161" s="4"/>
      <c r="AQK161" s="4"/>
      <c r="AQL161" s="4"/>
      <c r="AQM161" s="4"/>
      <c r="AQN161" s="4"/>
      <c r="AQO161" s="4"/>
      <c r="AQP161" s="4"/>
      <c r="AQQ161" s="4"/>
      <c r="AQR161" s="4"/>
      <c r="AQS161" s="4"/>
      <c r="AQT161" s="4"/>
      <c r="AQU161" s="4"/>
      <c r="AQV161" s="4"/>
      <c r="AQW161" s="4"/>
      <c r="AQX161" s="4"/>
      <c r="AQY161" s="4"/>
      <c r="AQZ161" s="4"/>
      <c r="ARA161" s="4"/>
      <c r="ARB161" s="4"/>
      <c r="ARC161" s="4"/>
      <c r="ARD161" s="4"/>
      <c r="ARE161" s="4"/>
      <c r="ARF161" s="4"/>
      <c r="ARG161" s="4"/>
      <c r="ARH161" s="4"/>
      <c r="ARI161" s="4"/>
      <c r="ARJ161" s="4"/>
      <c r="ARK161" s="4"/>
      <c r="ARL161" s="4"/>
      <c r="ARM161" s="4"/>
      <c r="ARN161" s="4"/>
      <c r="ARO161" s="4"/>
      <c r="ARP161" s="4"/>
      <c r="ARQ161" s="4"/>
      <c r="ARR161" s="4"/>
      <c r="ARS161" s="4"/>
      <c r="ART161" s="4"/>
      <c r="ARU161" s="4"/>
      <c r="ARV161" s="4"/>
      <c r="ARW161" s="4"/>
      <c r="ARX161" s="4"/>
      <c r="ARY161" s="4"/>
      <c r="ARZ161" s="4"/>
      <c r="ASA161" s="4"/>
      <c r="ASB161" s="4"/>
      <c r="ASC161" s="4"/>
      <c r="ASD161" s="4"/>
      <c r="ASE161" s="4"/>
      <c r="ASF161" s="4"/>
      <c r="ASG161" s="4"/>
      <c r="ASH161" s="4"/>
      <c r="ASI161" s="4"/>
      <c r="ASJ161" s="4"/>
      <c r="ASK161" s="4"/>
      <c r="ASL161" s="4"/>
      <c r="ASM161" s="4"/>
      <c r="ASN161" s="4"/>
      <c r="ASO161" s="4"/>
      <c r="ASP161" s="4"/>
      <c r="ASQ161" s="4"/>
      <c r="ASR161" s="4"/>
      <c r="ASS161" s="4"/>
      <c r="AST161" s="4"/>
      <c r="ASU161" s="4"/>
    </row>
    <row r="162" hidden="1" spans="1:1191" x14ac:dyDescent="0.25">
      <c r="A162" s="4" t="s">
        <v>180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  <c r="UG162" s="4"/>
      <c r="UH162" s="4"/>
      <c r="UI162" s="4"/>
      <c r="UJ162" s="4"/>
      <c r="UK162" s="4"/>
      <c r="UL162" s="4"/>
      <c r="UM162" s="4"/>
      <c r="UN162" s="4"/>
      <c r="UO162" s="4"/>
      <c r="UP162" s="4"/>
      <c r="UQ162" s="4"/>
      <c r="UR162" s="4"/>
      <c r="US162" s="4"/>
      <c r="UT162" s="4"/>
      <c r="UU162" s="4"/>
      <c r="UV162" s="4"/>
      <c r="UW162" s="4"/>
      <c r="UX162" s="4"/>
      <c r="UY162" s="4"/>
      <c r="UZ162" s="4"/>
      <c r="VA162" s="4"/>
      <c r="VB162" s="4"/>
      <c r="VC162" s="4"/>
      <c r="VD162" s="4"/>
      <c r="VE162" s="4"/>
      <c r="VF162" s="4"/>
      <c r="VG162" s="4"/>
      <c r="VH162" s="4"/>
      <c r="VI162" s="4"/>
      <c r="VJ162" s="4"/>
      <c r="VK162" s="4"/>
      <c r="VL162" s="4"/>
      <c r="VM162" s="4"/>
      <c r="VN162" s="4"/>
      <c r="VO162" s="4"/>
      <c r="VP162" s="4"/>
      <c r="VQ162" s="4"/>
      <c r="VR162" s="4"/>
      <c r="VS162" s="4"/>
      <c r="VT162" s="4"/>
      <c r="VU162" s="4"/>
      <c r="VV162" s="4"/>
      <c r="VW162" s="4"/>
      <c r="VX162" s="4"/>
      <c r="VY162" s="4"/>
      <c r="VZ162" s="4"/>
      <c r="WA162" s="4"/>
      <c r="WB162" s="4"/>
      <c r="WC162" s="4"/>
      <c r="WD162" s="4"/>
      <c r="WE162" s="4"/>
      <c r="WF162" s="4"/>
      <c r="WG162" s="4"/>
      <c r="WH162" s="4"/>
      <c r="WI162" s="4"/>
      <c r="WJ162" s="4"/>
      <c r="WK162" s="4"/>
      <c r="WL162" s="4"/>
      <c r="WM162" s="4"/>
      <c r="WN162" s="4"/>
      <c r="WO162" s="4"/>
      <c r="WP162" s="4"/>
      <c r="WQ162" s="4"/>
      <c r="WR162" s="4"/>
      <c r="WS162" s="4"/>
      <c r="WT162" s="4"/>
      <c r="WU162" s="4"/>
      <c r="WV162" s="4"/>
      <c r="WW162" s="4"/>
      <c r="WX162" s="4"/>
      <c r="WY162" s="4"/>
      <c r="WZ162" s="4"/>
      <c r="XA162" s="4"/>
      <c r="XB162" s="4"/>
      <c r="XC162" s="4"/>
      <c r="XD162" s="4"/>
      <c r="XE162" s="4"/>
      <c r="XF162" s="4"/>
      <c r="XG162" s="4"/>
      <c r="XH162" s="4"/>
      <c r="XI162" s="4"/>
      <c r="XJ162" s="4"/>
      <c r="XK162" s="4"/>
      <c r="XL162" s="4"/>
      <c r="XM162" s="4"/>
      <c r="XN162" s="4"/>
      <c r="XO162" s="4"/>
      <c r="XP162" s="4"/>
      <c r="XQ162" s="4"/>
      <c r="XR162" s="4"/>
      <c r="XS162" s="4"/>
      <c r="XT162" s="4"/>
      <c r="XU162" s="4"/>
      <c r="XV162" s="4"/>
      <c r="XW162" s="4"/>
      <c r="XX162" s="4"/>
      <c r="XY162" s="4"/>
      <c r="XZ162" s="4"/>
      <c r="YA162" s="4"/>
      <c r="YB162" s="4"/>
      <c r="YC162" s="4"/>
      <c r="YD162" s="4"/>
      <c r="YE162" s="4"/>
      <c r="YF162" s="4"/>
      <c r="YG162" s="4"/>
      <c r="YH162" s="4"/>
      <c r="YI162" s="4"/>
      <c r="YJ162" s="4"/>
      <c r="YK162" s="4"/>
      <c r="YL162" s="4"/>
      <c r="YM162" s="4"/>
      <c r="YN162" s="4"/>
      <c r="YO162" s="4"/>
      <c r="YP162" s="4"/>
      <c r="YQ162" s="4"/>
      <c r="YR162" s="4"/>
      <c r="YS162" s="4"/>
      <c r="YT162" s="4"/>
      <c r="YU162" s="4"/>
      <c r="YV162" s="4"/>
      <c r="YW162" s="4"/>
      <c r="YX162" s="4"/>
      <c r="YY162" s="4"/>
      <c r="YZ162" s="4"/>
      <c r="ZA162" s="4"/>
      <c r="ZB162" s="4"/>
      <c r="ZC162" s="4"/>
      <c r="ZD162" s="4"/>
      <c r="ZE162" s="4"/>
      <c r="ZF162" s="4"/>
      <c r="ZG162" s="4"/>
      <c r="ZH162" s="4"/>
      <c r="ZI162" s="4"/>
      <c r="ZJ162" s="4"/>
      <c r="ZK162" s="4"/>
      <c r="ZL162" s="4"/>
      <c r="ZM162" s="4"/>
      <c r="ZN162" s="4"/>
      <c r="ZO162" s="4"/>
      <c r="ZP162" s="4"/>
      <c r="ZQ162" s="4"/>
      <c r="ZR162" s="4"/>
      <c r="ZS162" s="4"/>
      <c r="ZT162" s="4"/>
      <c r="ZU162" s="4"/>
      <c r="ZV162" s="4"/>
      <c r="ZW162" s="4"/>
      <c r="ZX162" s="4"/>
      <c r="ZY162" s="4"/>
      <c r="ZZ162" s="4"/>
      <c r="AAA162" s="4"/>
      <c r="AAB162" s="4"/>
      <c r="AAC162" s="4"/>
      <c r="AAD162" s="4"/>
      <c r="AAE162" s="4"/>
      <c r="AAF162" s="4"/>
      <c r="AAG162" s="4"/>
      <c r="AAH162" s="4"/>
      <c r="AAI162" s="4"/>
      <c r="AAJ162" s="4"/>
      <c r="AAK162" s="4"/>
      <c r="AAL162" s="4"/>
      <c r="AAM162" s="4"/>
      <c r="AAN162" s="4"/>
      <c r="AAO162" s="4"/>
      <c r="AAP162" s="4"/>
      <c r="AAQ162" s="4"/>
      <c r="AAR162" s="4"/>
      <c r="AAS162" s="4"/>
      <c r="AAT162" s="4"/>
      <c r="AAU162" s="4"/>
      <c r="AAV162" s="4"/>
      <c r="AAW162" s="4"/>
      <c r="AAX162" s="4"/>
      <c r="AAY162" s="4"/>
      <c r="AAZ162" s="4"/>
      <c r="ABA162" s="4"/>
      <c r="ABB162" s="4"/>
      <c r="ABC162" s="4"/>
      <c r="ABD162" s="4"/>
      <c r="ABE162" s="4"/>
      <c r="ABF162" s="4"/>
      <c r="ABG162" s="4"/>
      <c r="ABH162" s="4"/>
      <c r="ABI162" s="4"/>
      <c r="ABJ162" s="4"/>
      <c r="ABK162" s="4"/>
      <c r="ABL162" s="4"/>
      <c r="ABM162" s="4"/>
      <c r="ABN162" s="4"/>
      <c r="ABO162" s="4"/>
      <c r="ABP162" s="4"/>
      <c r="ABQ162" s="4"/>
      <c r="ABR162" s="4"/>
      <c r="ABS162" s="4"/>
      <c r="ABT162" s="4"/>
      <c r="ABU162" s="4"/>
      <c r="ABV162" s="4"/>
      <c r="ABW162" s="4"/>
      <c r="ABX162" s="4"/>
      <c r="ABY162" s="4"/>
      <c r="ABZ162" s="4"/>
      <c r="ACA162" s="4"/>
      <c r="ACB162" s="4"/>
      <c r="ACC162" s="4"/>
      <c r="ACD162" s="4"/>
      <c r="ACE162" s="4"/>
      <c r="ACF162" s="4"/>
      <c r="ACG162" s="4"/>
      <c r="ACH162" s="4"/>
      <c r="ACI162" s="4"/>
      <c r="ACJ162" s="4"/>
      <c r="ACK162" s="4"/>
      <c r="ACL162" s="4"/>
      <c r="ACM162" s="4"/>
      <c r="ACN162" s="4"/>
      <c r="ACO162" s="4"/>
      <c r="ACP162" s="4"/>
      <c r="ACQ162" s="4"/>
      <c r="ACR162" s="4"/>
      <c r="ACS162" s="4"/>
      <c r="ACT162" s="4"/>
      <c r="ACU162" s="4"/>
      <c r="ACV162" s="4"/>
      <c r="ACW162" s="4"/>
      <c r="ACX162" s="4"/>
      <c r="ACY162" s="4"/>
      <c r="ACZ162" s="4"/>
      <c r="ADA162" s="4"/>
      <c r="ADB162" s="4"/>
      <c r="ADC162" s="4"/>
      <c r="ADD162" s="4"/>
      <c r="ADE162" s="4"/>
      <c r="ADF162" s="4"/>
      <c r="ADG162" s="4"/>
      <c r="ADH162" s="4"/>
      <c r="ADI162" s="4"/>
      <c r="ADJ162" s="4"/>
      <c r="ADK162" s="4"/>
      <c r="ADL162" s="4"/>
      <c r="ADM162" s="4"/>
      <c r="ADN162" s="4"/>
      <c r="ADO162" s="4"/>
      <c r="ADP162" s="4"/>
      <c r="ADQ162" s="4"/>
      <c r="ADR162" s="4"/>
      <c r="ADS162" s="4"/>
      <c r="ADT162" s="4"/>
      <c r="ADU162" s="4"/>
      <c r="ADV162" s="4"/>
      <c r="ADW162" s="4"/>
      <c r="ADX162" s="4"/>
      <c r="ADY162" s="4"/>
      <c r="ADZ162" s="4"/>
      <c r="AEA162" s="4"/>
      <c r="AEB162" s="4"/>
      <c r="AEC162" s="4"/>
      <c r="AED162" s="4"/>
      <c r="AEE162" s="4"/>
      <c r="AEF162" s="4"/>
      <c r="AEG162" s="4"/>
      <c r="AEH162" s="4"/>
      <c r="AEI162" s="4"/>
      <c r="AEJ162" s="4"/>
      <c r="AEK162" s="4"/>
      <c r="AEL162" s="4"/>
      <c r="AEM162" s="4"/>
      <c r="AEN162" s="4"/>
      <c r="AEO162" s="4"/>
      <c r="AEP162" s="4"/>
      <c r="AEQ162" s="4"/>
      <c r="AER162" s="4"/>
      <c r="AES162" s="4"/>
      <c r="AET162" s="4"/>
      <c r="AEU162" s="4"/>
      <c r="AEV162" s="4"/>
      <c r="AEW162" s="4"/>
      <c r="AEX162" s="4"/>
      <c r="AEY162" s="4"/>
      <c r="AEZ162" s="4"/>
      <c r="AFA162" s="4"/>
      <c r="AFB162" s="4"/>
      <c r="AFC162" s="4"/>
      <c r="AFD162" s="4"/>
      <c r="AFE162" s="4"/>
      <c r="AFF162" s="4"/>
      <c r="AFG162" s="4"/>
      <c r="AFH162" s="4"/>
      <c r="AFI162" s="4"/>
      <c r="AFJ162" s="4"/>
      <c r="AFK162" s="4"/>
      <c r="AFL162" s="4"/>
      <c r="AFM162" s="4"/>
      <c r="AFN162" s="4"/>
      <c r="AFO162" s="4"/>
      <c r="AFP162" s="4"/>
      <c r="AFQ162" s="4"/>
      <c r="AFR162" s="4"/>
      <c r="AFS162" s="4"/>
      <c r="AFT162" s="4"/>
      <c r="AFU162" s="4"/>
      <c r="AFV162" s="4"/>
      <c r="AFW162" s="4"/>
      <c r="AFX162" s="4"/>
      <c r="AFY162" s="4"/>
      <c r="AFZ162" s="4"/>
      <c r="AGA162" s="4"/>
      <c r="AGB162" s="4"/>
      <c r="AGC162" s="4"/>
      <c r="AGD162" s="4"/>
      <c r="AGE162" s="4"/>
      <c r="AGF162" s="4"/>
      <c r="AGG162" s="4"/>
      <c r="AGH162" s="4"/>
      <c r="AGI162" s="4"/>
      <c r="AGJ162" s="4"/>
      <c r="AGK162" s="4"/>
      <c r="AGL162" s="4"/>
      <c r="AGM162" s="4"/>
      <c r="AGN162" s="4"/>
      <c r="AGO162" s="4"/>
      <c r="AGP162" s="4"/>
      <c r="AGQ162" s="4"/>
      <c r="AGR162" s="4"/>
      <c r="AGS162" s="4"/>
      <c r="AGT162" s="4"/>
      <c r="AGU162" s="4"/>
      <c r="AGV162" s="4"/>
      <c r="AGW162" s="4"/>
      <c r="AGX162" s="4"/>
      <c r="AGY162" s="4"/>
      <c r="AGZ162" s="4"/>
      <c r="AHA162" s="4"/>
      <c r="AHB162" s="4"/>
      <c r="AHC162" s="4"/>
      <c r="AHD162" s="4"/>
      <c r="AHE162" s="4"/>
      <c r="AHF162" s="4"/>
      <c r="AHG162" s="4"/>
      <c r="AHH162" s="4"/>
      <c r="AHI162" s="4"/>
      <c r="AHJ162" s="4"/>
      <c r="AHK162" s="4"/>
      <c r="AHL162" s="4"/>
      <c r="AHM162" s="4"/>
      <c r="AHN162" s="4"/>
      <c r="AHO162" s="4"/>
      <c r="AHP162" s="4"/>
      <c r="AHQ162" s="4"/>
      <c r="AHR162" s="4"/>
      <c r="AHS162" s="4"/>
      <c r="AHT162" s="4"/>
      <c r="AHU162" s="4"/>
      <c r="AHV162" s="4"/>
      <c r="AHW162" s="4"/>
      <c r="AHX162" s="4"/>
      <c r="AHY162" s="4"/>
      <c r="AHZ162" s="4"/>
      <c r="AIA162" s="4"/>
      <c r="AIB162" s="4"/>
      <c r="AIC162" s="4"/>
      <c r="AID162" s="4"/>
      <c r="AIE162" s="4"/>
      <c r="AIF162" s="4"/>
      <c r="AIG162" s="4"/>
      <c r="AIH162" s="4"/>
      <c r="AII162" s="4"/>
      <c r="AIJ162" s="4"/>
      <c r="AIK162" s="4"/>
      <c r="AIL162" s="4"/>
      <c r="AIM162" s="4"/>
      <c r="AIN162" s="4"/>
      <c r="AIO162" s="4"/>
      <c r="AIP162" s="4"/>
      <c r="AIQ162" s="4"/>
      <c r="AIR162" s="4"/>
      <c r="AIS162" s="4"/>
      <c r="AIT162" s="4"/>
      <c r="AIU162" s="4"/>
      <c r="AIV162" s="4"/>
      <c r="AIW162" s="4"/>
      <c r="AIX162" s="4"/>
      <c r="AIY162" s="4"/>
      <c r="AIZ162" s="4"/>
      <c r="AJA162" s="4"/>
      <c r="AJB162" s="4"/>
      <c r="AJC162" s="4"/>
      <c r="AJD162" s="4"/>
      <c r="AJE162" s="4"/>
      <c r="AJF162" s="4"/>
      <c r="AJG162" s="4"/>
      <c r="AJH162" s="4"/>
      <c r="AJI162" s="4"/>
      <c r="AJJ162" s="4"/>
      <c r="AJK162" s="4"/>
      <c r="AJL162" s="4"/>
      <c r="AJM162" s="4"/>
      <c r="AJN162" s="4"/>
      <c r="AJO162" s="4"/>
      <c r="AJP162" s="4"/>
      <c r="AJQ162" s="4"/>
      <c r="AJR162" s="4"/>
      <c r="AJS162" s="4"/>
      <c r="AJT162" s="4"/>
      <c r="AJU162" s="4"/>
      <c r="AJV162" s="4"/>
      <c r="AJW162" s="4"/>
      <c r="AJX162" s="4"/>
      <c r="AJY162" s="4"/>
      <c r="AJZ162" s="4"/>
      <c r="AKA162" s="4"/>
      <c r="AKB162" s="4"/>
      <c r="AKC162" s="4"/>
      <c r="AKD162" s="4"/>
      <c r="AKE162" s="4"/>
      <c r="AKF162" s="4"/>
      <c r="AKG162" s="4"/>
      <c r="AKH162" s="4"/>
      <c r="AKI162" s="4"/>
      <c r="AKJ162" s="4"/>
      <c r="AKK162" s="4"/>
      <c r="AKL162" s="4"/>
      <c r="AKM162" s="4"/>
      <c r="AKN162" s="4"/>
      <c r="AKO162" s="4"/>
      <c r="AKP162" s="4"/>
      <c r="AKQ162" s="4"/>
      <c r="AKR162" s="4"/>
      <c r="AKS162" s="4"/>
      <c r="AKT162" s="4"/>
      <c r="AKU162" s="4"/>
      <c r="AKV162" s="4"/>
      <c r="AKW162" s="4"/>
      <c r="AKX162" s="4"/>
      <c r="AKY162" s="4"/>
      <c r="AKZ162" s="4"/>
      <c r="ALA162" s="4"/>
      <c r="ALB162" s="4"/>
      <c r="ALC162" s="4"/>
      <c r="ALD162" s="4"/>
      <c r="ALE162" s="4"/>
      <c r="ALF162" s="4"/>
      <c r="ALG162" s="4"/>
      <c r="ALH162" s="4"/>
      <c r="ALI162" s="4"/>
      <c r="ALJ162" s="4"/>
      <c r="ALK162" s="4"/>
      <c r="ALL162" s="4"/>
      <c r="ALM162" s="4"/>
      <c r="ALN162" s="4"/>
      <c r="ALO162" s="4"/>
      <c r="ALP162" s="4"/>
      <c r="ALQ162" s="4"/>
      <c r="ALR162" s="4"/>
      <c r="ALS162" s="4"/>
      <c r="ALT162" s="4"/>
      <c r="ALU162" s="4"/>
      <c r="ALV162" s="4"/>
      <c r="ALW162" s="4"/>
      <c r="ALX162" s="4"/>
      <c r="ALY162" s="4"/>
      <c r="ALZ162" s="4"/>
      <c r="AMA162" s="4"/>
      <c r="AMB162" s="4"/>
      <c r="AMC162" s="4"/>
      <c r="AMD162" s="4"/>
      <c r="AME162" s="4"/>
      <c r="AMF162" s="4"/>
      <c r="AMG162" s="4"/>
      <c r="AMH162" s="4"/>
      <c r="AMI162" s="4"/>
      <c r="AMJ162" s="4"/>
      <c r="AMK162" s="4"/>
      <c r="AML162" s="4"/>
      <c r="AMM162" s="4"/>
      <c r="AMN162" s="4"/>
      <c r="AMO162" s="4"/>
      <c r="AMP162" s="4"/>
      <c r="AMQ162" s="4"/>
      <c r="AMR162" s="4"/>
      <c r="AMS162" s="4"/>
      <c r="AMT162" s="4"/>
      <c r="AMU162" s="4"/>
      <c r="AMV162" s="4"/>
      <c r="AMW162" s="4"/>
      <c r="AMX162" s="4"/>
      <c r="AMY162" s="4"/>
      <c r="AMZ162" s="4"/>
      <c r="ANA162" s="4"/>
      <c r="ANB162" s="4"/>
      <c r="ANC162" s="4"/>
      <c r="AND162" s="4"/>
      <c r="ANE162" s="4"/>
      <c r="ANF162" s="4"/>
      <c r="ANG162" s="4"/>
      <c r="ANH162" s="4"/>
      <c r="ANI162" s="4"/>
      <c r="ANJ162" s="4"/>
      <c r="ANK162" s="4"/>
      <c r="ANL162" s="4"/>
      <c r="ANM162" s="4"/>
      <c r="ANN162" s="4"/>
      <c r="ANO162" s="4"/>
      <c r="ANP162" s="4"/>
      <c r="ANQ162" s="4"/>
      <c r="ANR162" s="4"/>
      <c r="ANS162" s="4"/>
      <c r="ANT162" s="4"/>
      <c r="ANU162" s="4"/>
      <c r="ANV162" s="4"/>
      <c r="ANW162" s="4"/>
      <c r="ANX162" s="4"/>
      <c r="ANY162" s="4"/>
      <c r="ANZ162" s="4"/>
      <c r="AOA162" s="4"/>
      <c r="AOB162" s="4"/>
      <c r="AOC162" s="4"/>
      <c r="AOD162" s="4"/>
      <c r="AOE162" s="4"/>
      <c r="AOF162" s="4"/>
      <c r="AOG162" s="4"/>
      <c r="AOH162" s="4"/>
      <c r="AOI162" s="4"/>
      <c r="AOJ162" s="4"/>
      <c r="AOK162" s="4"/>
      <c r="AOL162" s="4"/>
      <c r="AOM162" s="4"/>
      <c r="AON162" s="4"/>
      <c r="AOO162" s="4"/>
      <c r="AOP162" s="4"/>
      <c r="AOQ162" s="4"/>
      <c r="AOR162" s="4"/>
      <c r="AOS162" s="4"/>
      <c r="AOT162" s="4"/>
      <c r="AOU162" s="4"/>
      <c r="AOV162" s="4"/>
      <c r="AOW162" s="4"/>
      <c r="AOX162" s="4"/>
      <c r="AOY162" s="4"/>
      <c r="AOZ162" s="4"/>
      <c r="APA162" s="4"/>
      <c r="APB162" s="4"/>
      <c r="APC162" s="4"/>
      <c r="APD162" s="4"/>
      <c r="APE162" s="4"/>
      <c r="APF162" s="4"/>
      <c r="APG162" s="4"/>
      <c r="APH162" s="4"/>
      <c r="API162" s="4"/>
      <c r="APJ162" s="4"/>
      <c r="APK162" s="4"/>
      <c r="APL162" s="4"/>
      <c r="APM162" s="4"/>
      <c r="APN162" s="4"/>
      <c r="APO162" s="4"/>
      <c r="APP162" s="4"/>
      <c r="APQ162" s="4"/>
      <c r="APR162" s="4"/>
      <c r="APS162" s="4"/>
      <c r="APT162" s="4"/>
      <c r="APU162" s="4"/>
      <c r="APV162" s="4"/>
      <c r="APW162" s="4"/>
      <c r="APX162" s="4"/>
      <c r="APY162" s="4"/>
      <c r="APZ162" s="4"/>
      <c r="AQA162" s="4"/>
      <c r="AQB162" s="4"/>
      <c r="AQC162" s="4"/>
      <c r="AQD162" s="4"/>
      <c r="AQE162" s="4"/>
      <c r="AQF162" s="4"/>
      <c r="AQG162" s="4"/>
      <c r="AQH162" s="4"/>
      <c r="AQI162" s="4"/>
      <c r="AQJ162" s="4"/>
      <c r="AQK162" s="4"/>
      <c r="AQL162" s="4"/>
      <c r="AQM162" s="4"/>
      <c r="AQN162" s="4"/>
      <c r="AQO162" s="4"/>
      <c r="AQP162" s="4"/>
      <c r="AQQ162" s="4"/>
      <c r="AQR162" s="4"/>
      <c r="AQS162" s="4"/>
      <c r="AQT162" s="4"/>
      <c r="AQU162" s="4"/>
      <c r="AQV162" s="4"/>
      <c r="AQW162" s="4"/>
      <c r="AQX162" s="4"/>
      <c r="AQY162" s="4"/>
      <c r="AQZ162" s="4"/>
      <c r="ARA162" s="4"/>
      <c r="ARB162" s="4"/>
      <c r="ARC162" s="4"/>
      <c r="ARD162" s="4"/>
      <c r="ARE162" s="4"/>
      <c r="ARF162" s="4"/>
      <c r="ARG162" s="4"/>
      <c r="ARH162" s="4"/>
      <c r="ARI162" s="4"/>
      <c r="ARJ162" s="4"/>
      <c r="ARK162" s="4"/>
      <c r="ARL162" s="4"/>
      <c r="ARM162" s="4"/>
      <c r="ARN162" s="4"/>
      <c r="ARO162" s="4"/>
      <c r="ARP162" s="4"/>
      <c r="ARQ162" s="4"/>
      <c r="ARR162" s="4"/>
      <c r="ARS162" s="4"/>
      <c r="ART162" s="4"/>
      <c r="ARU162" s="4"/>
      <c r="ARV162" s="4"/>
      <c r="ARW162" s="4"/>
      <c r="ARX162" s="4"/>
      <c r="ARY162" s="4"/>
      <c r="ARZ162" s="4"/>
      <c r="ASA162" s="4"/>
      <c r="ASB162" s="4"/>
      <c r="ASC162" s="4"/>
      <c r="ASD162" s="4"/>
      <c r="ASE162" s="4"/>
      <c r="ASF162" s="4"/>
      <c r="ASG162" s="4"/>
      <c r="ASH162" s="4"/>
      <c r="ASI162" s="4"/>
      <c r="ASJ162" s="4"/>
      <c r="ASK162" s="4"/>
      <c r="ASL162" s="4"/>
      <c r="ASM162" s="4"/>
      <c r="ASN162" s="4"/>
      <c r="ASO162" s="4"/>
      <c r="ASP162" s="4"/>
      <c r="ASQ162" s="4"/>
      <c r="ASR162" s="4"/>
      <c r="ASS162" s="4"/>
      <c r="AST162" s="4"/>
      <c r="ASU162" s="4"/>
    </row>
    <row r="163" hidden="1" spans="1:1191" x14ac:dyDescent="0.25">
      <c r="A163" s="4" t="s">
        <v>181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  <c r="UG163" s="4"/>
      <c r="UH163" s="4"/>
      <c r="UI163" s="4"/>
      <c r="UJ163" s="4"/>
      <c r="UK163" s="4"/>
      <c r="UL163" s="4"/>
      <c r="UM163" s="4"/>
      <c r="UN163" s="4"/>
      <c r="UO163" s="4"/>
      <c r="UP163" s="4"/>
      <c r="UQ163" s="4"/>
      <c r="UR163" s="4"/>
      <c r="US163" s="4"/>
      <c r="UT163" s="4"/>
      <c r="UU163" s="4"/>
      <c r="UV163" s="4"/>
      <c r="UW163" s="4"/>
      <c r="UX163" s="4"/>
      <c r="UY163" s="4"/>
      <c r="UZ163" s="4"/>
      <c r="VA163" s="4"/>
      <c r="VB163" s="4"/>
      <c r="VC163" s="4"/>
      <c r="VD163" s="4"/>
      <c r="VE163" s="4"/>
      <c r="VF163" s="4"/>
      <c r="VG163" s="4"/>
      <c r="VH163" s="4"/>
      <c r="VI163" s="4"/>
      <c r="VJ163" s="4"/>
      <c r="VK163" s="4"/>
      <c r="VL163" s="4"/>
      <c r="VM163" s="4"/>
      <c r="VN163" s="4"/>
      <c r="VO163" s="4"/>
      <c r="VP163" s="4"/>
      <c r="VQ163" s="4"/>
      <c r="VR163" s="4"/>
      <c r="VS163" s="4"/>
      <c r="VT163" s="4"/>
      <c r="VU163" s="4"/>
      <c r="VV163" s="4"/>
      <c r="VW163" s="4"/>
      <c r="VX163" s="4"/>
      <c r="VY163" s="4"/>
      <c r="VZ163" s="4"/>
      <c r="WA163" s="4"/>
      <c r="WB163" s="4"/>
      <c r="WC163" s="4"/>
      <c r="WD163" s="4"/>
      <c r="WE163" s="4"/>
      <c r="WF163" s="4"/>
      <c r="WG163" s="4"/>
      <c r="WH163" s="4"/>
      <c r="WI163" s="4"/>
      <c r="WJ163" s="4"/>
      <c r="WK163" s="4"/>
      <c r="WL163" s="4"/>
      <c r="WM163" s="4"/>
      <c r="WN163" s="4"/>
      <c r="WO163" s="4"/>
      <c r="WP163" s="4"/>
      <c r="WQ163" s="4"/>
      <c r="WR163" s="4"/>
      <c r="WS163" s="4"/>
      <c r="WT163" s="4"/>
      <c r="WU163" s="4"/>
      <c r="WV163" s="4"/>
      <c r="WW163" s="4"/>
      <c r="WX163" s="4"/>
      <c r="WY163" s="4"/>
      <c r="WZ163" s="4"/>
      <c r="XA163" s="4"/>
      <c r="XB163" s="4"/>
      <c r="XC163" s="4"/>
      <c r="XD163" s="4"/>
      <c r="XE163" s="4"/>
      <c r="XF163" s="4"/>
      <c r="XG163" s="4"/>
      <c r="XH163" s="4"/>
      <c r="XI163" s="4"/>
      <c r="XJ163" s="4"/>
      <c r="XK163" s="4"/>
      <c r="XL163" s="4"/>
      <c r="XM163" s="4"/>
      <c r="XN163" s="4"/>
      <c r="XO163" s="4"/>
      <c r="XP163" s="4"/>
      <c r="XQ163" s="4"/>
      <c r="XR163" s="4"/>
      <c r="XS163" s="4"/>
      <c r="XT163" s="4"/>
      <c r="XU163" s="4"/>
      <c r="XV163" s="4"/>
      <c r="XW163" s="4"/>
      <c r="XX163" s="4"/>
      <c r="XY163" s="4"/>
      <c r="XZ163" s="4"/>
      <c r="YA163" s="4"/>
      <c r="YB163" s="4"/>
      <c r="YC163" s="4"/>
      <c r="YD163" s="4"/>
      <c r="YE163" s="4"/>
      <c r="YF163" s="4"/>
      <c r="YG163" s="4"/>
      <c r="YH163" s="4"/>
      <c r="YI163" s="4"/>
      <c r="YJ163" s="4"/>
      <c r="YK163" s="4"/>
      <c r="YL163" s="4"/>
      <c r="YM163" s="4"/>
      <c r="YN163" s="4"/>
      <c r="YO163" s="4"/>
      <c r="YP163" s="4"/>
      <c r="YQ163" s="4"/>
      <c r="YR163" s="4"/>
      <c r="YS163" s="4"/>
      <c r="YT163" s="4"/>
      <c r="YU163" s="4"/>
      <c r="YV163" s="4"/>
      <c r="YW163" s="4"/>
      <c r="YX163" s="4"/>
      <c r="YY163" s="4"/>
      <c r="YZ163" s="4"/>
      <c r="ZA163" s="4"/>
      <c r="ZB163" s="4"/>
      <c r="ZC163" s="4"/>
      <c r="ZD163" s="4"/>
      <c r="ZE163" s="4"/>
      <c r="ZF163" s="4"/>
      <c r="ZG163" s="4"/>
      <c r="ZH163" s="4"/>
      <c r="ZI163" s="4"/>
      <c r="ZJ163" s="4"/>
      <c r="ZK163" s="4"/>
      <c r="ZL163" s="4"/>
      <c r="ZM163" s="4"/>
      <c r="ZN163" s="4"/>
      <c r="ZO163" s="4"/>
      <c r="ZP163" s="4"/>
      <c r="ZQ163" s="4"/>
      <c r="ZR163" s="4"/>
      <c r="ZS163" s="4"/>
      <c r="ZT163" s="4"/>
      <c r="ZU163" s="4"/>
      <c r="ZV163" s="4"/>
      <c r="ZW163" s="4"/>
      <c r="ZX163" s="4"/>
      <c r="ZY163" s="4"/>
      <c r="ZZ163" s="4"/>
      <c r="AAA163" s="4"/>
      <c r="AAB163" s="4"/>
      <c r="AAC163" s="4"/>
      <c r="AAD163" s="4"/>
      <c r="AAE163" s="4"/>
      <c r="AAF163" s="4"/>
      <c r="AAG163" s="4"/>
      <c r="AAH163" s="4"/>
      <c r="AAI163" s="4"/>
      <c r="AAJ163" s="4"/>
      <c r="AAK163" s="4"/>
      <c r="AAL163" s="4"/>
      <c r="AAM163" s="4"/>
      <c r="AAN163" s="4"/>
      <c r="AAO163" s="4"/>
      <c r="AAP163" s="4"/>
      <c r="AAQ163" s="4"/>
      <c r="AAR163" s="4"/>
      <c r="AAS163" s="4"/>
      <c r="AAT163" s="4"/>
      <c r="AAU163" s="4"/>
      <c r="AAV163" s="4"/>
      <c r="AAW163" s="4"/>
      <c r="AAX163" s="4"/>
      <c r="AAY163" s="4"/>
      <c r="AAZ163" s="4"/>
      <c r="ABA163" s="4"/>
      <c r="ABB163" s="4"/>
      <c r="ABC163" s="4"/>
      <c r="ABD163" s="4"/>
      <c r="ABE163" s="4"/>
      <c r="ABF163" s="4"/>
      <c r="ABG163" s="4"/>
      <c r="ABH163" s="4"/>
      <c r="ABI163" s="4"/>
      <c r="ABJ163" s="4"/>
      <c r="ABK163" s="4"/>
      <c r="ABL163" s="4"/>
      <c r="ABM163" s="4"/>
      <c r="ABN163" s="4"/>
      <c r="ABO163" s="4"/>
      <c r="ABP163" s="4"/>
      <c r="ABQ163" s="4"/>
      <c r="ABR163" s="4"/>
      <c r="ABS163" s="4"/>
      <c r="ABT163" s="4"/>
      <c r="ABU163" s="4"/>
      <c r="ABV163" s="4"/>
      <c r="ABW163" s="4"/>
      <c r="ABX163" s="4"/>
      <c r="ABY163" s="4"/>
      <c r="ABZ163" s="4"/>
      <c r="ACA163" s="4"/>
      <c r="ACB163" s="4"/>
      <c r="ACC163" s="4"/>
      <c r="ACD163" s="4"/>
      <c r="ACE163" s="4"/>
      <c r="ACF163" s="4"/>
      <c r="ACG163" s="4"/>
      <c r="ACH163" s="4"/>
      <c r="ACI163" s="4"/>
      <c r="ACJ163" s="4"/>
      <c r="ACK163" s="4"/>
      <c r="ACL163" s="4"/>
      <c r="ACM163" s="4"/>
      <c r="ACN163" s="4"/>
      <c r="ACO163" s="4"/>
      <c r="ACP163" s="4"/>
      <c r="ACQ163" s="4"/>
      <c r="ACR163" s="4"/>
      <c r="ACS163" s="4"/>
      <c r="ACT163" s="4"/>
      <c r="ACU163" s="4"/>
      <c r="ACV163" s="4"/>
      <c r="ACW163" s="4"/>
      <c r="ACX163" s="4"/>
      <c r="ACY163" s="4"/>
      <c r="ACZ163" s="4"/>
      <c r="ADA163" s="4"/>
      <c r="ADB163" s="4"/>
      <c r="ADC163" s="4"/>
      <c r="ADD163" s="4"/>
      <c r="ADE163" s="4"/>
      <c r="ADF163" s="4"/>
      <c r="ADG163" s="4"/>
      <c r="ADH163" s="4"/>
      <c r="ADI163" s="4"/>
      <c r="ADJ163" s="4"/>
      <c r="ADK163" s="4"/>
      <c r="ADL163" s="4"/>
      <c r="ADM163" s="4"/>
      <c r="ADN163" s="4"/>
      <c r="ADO163" s="4"/>
      <c r="ADP163" s="4"/>
      <c r="ADQ163" s="4"/>
      <c r="ADR163" s="4"/>
      <c r="ADS163" s="4"/>
      <c r="ADT163" s="4"/>
      <c r="ADU163" s="4"/>
      <c r="ADV163" s="4"/>
      <c r="ADW163" s="4"/>
      <c r="ADX163" s="4"/>
      <c r="ADY163" s="4"/>
      <c r="ADZ163" s="4"/>
      <c r="AEA163" s="4"/>
      <c r="AEB163" s="4"/>
      <c r="AEC163" s="4"/>
      <c r="AED163" s="4"/>
      <c r="AEE163" s="4"/>
      <c r="AEF163" s="4"/>
      <c r="AEG163" s="4"/>
      <c r="AEH163" s="4"/>
      <c r="AEI163" s="4"/>
      <c r="AEJ163" s="4"/>
      <c r="AEK163" s="4"/>
      <c r="AEL163" s="4"/>
      <c r="AEM163" s="4"/>
      <c r="AEN163" s="4"/>
      <c r="AEO163" s="4"/>
      <c r="AEP163" s="4"/>
      <c r="AEQ163" s="4"/>
      <c r="AER163" s="4"/>
      <c r="AES163" s="4"/>
      <c r="AET163" s="4"/>
      <c r="AEU163" s="4"/>
      <c r="AEV163" s="4"/>
      <c r="AEW163" s="4"/>
      <c r="AEX163" s="4"/>
      <c r="AEY163" s="4"/>
      <c r="AEZ163" s="4"/>
      <c r="AFA163" s="4"/>
      <c r="AFB163" s="4"/>
      <c r="AFC163" s="4"/>
      <c r="AFD163" s="4"/>
      <c r="AFE163" s="4"/>
      <c r="AFF163" s="4"/>
      <c r="AFG163" s="4"/>
      <c r="AFH163" s="4"/>
      <c r="AFI163" s="4"/>
      <c r="AFJ163" s="4"/>
      <c r="AFK163" s="4"/>
      <c r="AFL163" s="4"/>
      <c r="AFM163" s="4"/>
      <c r="AFN163" s="4"/>
      <c r="AFO163" s="4"/>
      <c r="AFP163" s="4"/>
      <c r="AFQ163" s="4"/>
      <c r="AFR163" s="4"/>
      <c r="AFS163" s="4"/>
      <c r="AFT163" s="4"/>
      <c r="AFU163" s="4"/>
      <c r="AFV163" s="4"/>
      <c r="AFW163" s="4"/>
      <c r="AFX163" s="4"/>
      <c r="AFY163" s="4"/>
      <c r="AFZ163" s="4"/>
      <c r="AGA163" s="4"/>
      <c r="AGB163" s="4"/>
      <c r="AGC163" s="4"/>
      <c r="AGD163" s="4"/>
      <c r="AGE163" s="4"/>
      <c r="AGF163" s="4"/>
      <c r="AGG163" s="4"/>
      <c r="AGH163" s="4"/>
      <c r="AGI163" s="4"/>
      <c r="AGJ163" s="4"/>
      <c r="AGK163" s="4"/>
      <c r="AGL163" s="4"/>
      <c r="AGM163" s="4"/>
      <c r="AGN163" s="4"/>
      <c r="AGO163" s="4"/>
      <c r="AGP163" s="4"/>
      <c r="AGQ163" s="4"/>
      <c r="AGR163" s="4"/>
      <c r="AGS163" s="4"/>
      <c r="AGT163" s="4"/>
      <c r="AGU163" s="4"/>
      <c r="AGV163" s="4"/>
      <c r="AGW163" s="4"/>
      <c r="AGX163" s="4"/>
      <c r="AGY163" s="4"/>
      <c r="AGZ163" s="4"/>
      <c r="AHA163" s="4"/>
      <c r="AHB163" s="4"/>
      <c r="AHC163" s="4"/>
      <c r="AHD163" s="4"/>
      <c r="AHE163" s="4"/>
      <c r="AHF163" s="4"/>
      <c r="AHG163" s="4"/>
      <c r="AHH163" s="4"/>
      <c r="AHI163" s="4"/>
      <c r="AHJ163" s="4"/>
      <c r="AHK163" s="4"/>
      <c r="AHL163" s="4"/>
      <c r="AHM163" s="4"/>
      <c r="AHN163" s="4"/>
      <c r="AHO163" s="4"/>
      <c r="AHP163" s="4"/>
      <c r="AHQ163" s="4"/>
      <c r="AHR163" s="4"/>
      <c r="AHS163" s="4"/>
      <c r="AHT163" s="4"/>
      <c r="AHU163" s="4"/>
      <c r="AHV163" s="4"/>
      <c r="AHW163" s="4"/>
      <c r="AHX163" s="4"/>
      <c r="AHY163" s="4"/>
      <c r="AHZ163" s="4"/>
      <c r="AIA163" s="4"/>
      <c r="AIB163" s="4"/>
      <c r="AIC163" s="4"/>
      <c r="AID163" s="4"/>
      <c r="AIE163" s="4"/>
      <c r="AIF163" s="4"/>
      <c r="AIG163" s="4"/>
      <c r="AIH163" s="4"/>
      <c r="AII163" s="4"/>
      <c r="AIJ163" s="4"/>
      <c r="AIK163" s="4"/>
      <c r="AIL163" s="4"/>
      <c r="AIM163" s="4"/>
      <c r="AIN163" s="4"/>
      <c r="AIO163" s="4"/>
      <c r="AIP163" s="4"/>
      <c r="AIQ163" s="4"/>
      <c r="AIR163" s="4"/>
      <c r="AIS163" s="4"/>
      <c r="AIT163" s="4"/>
      <c r="AIU163" s="4"/>
      <c r="AIV163" s="4"/>
      <c r="AIW163" s="4"/>
      <c r="AIX163" s="4"/>
      <c r="AIY163" s="4"/>
      <c r="AIZ163" s="4"/>
      <c r="AJA163" s="4"/>
      <c r="AJB163" s="4"/>
      <c r="AJC163" s="4"/>
      <c r="AJD163" s="4"/>
      <c r="AJE163" s="4"/>
      <c r="AJF163" s="4"/>
      <c r="AJG163" s="4"/>
      <c r="AJH163" s="4"/>
      <c r="AJI163" s="4"/>
      <c r="AJJ163" s="4"/>
      <c r="AJK163" s="4"/>
      <c r="AJL163" s="4"/>
      <c r="AJM163" s="4"/>
      <c r="AJN163" s="4"/>
      <c r="AJO163" s="4"/>
      <c r="AJP163" s="4"/>
      <c r="AJQ163" s="4"/>
      <c r="AJR163" s="4"/>
      <c r="AJS163" s="4"/>
      <c r="AJT163" s="4"/>
      <c r="AJU163" s="4"/>
      <c r="AJV163" s="4"/>
      <c r="AJW163" s="4"/>
      <c r="AJX163" s="4"/>
      <c r="AJY163" s="4"/>
      <c r="AJZ163" s="4"/>
      <c r="AKA163" s="4"/>
      <c r="AKB163" s="4"/>
      <c r="AKC163" s="4"/>
      <c r="AKD163" s="4"/>
      <c r="AKE163" s="4"/>
      <c r="AKF163" s="4"/>
      <c r="AKG163" s="4"/>
      <c r="AKH163" s="4"/>
      <c r="AKI163" s="4"/>
      <c r="AKJ163" s="4"/>
      <c r="AKK163" s="4"/>
      <c r="AKL163" s="4"/>
      <c r="AKM163" s="4"/>
      <c r="AKN163" s="4"/>
      <c r="AKO163" s="4"/>
      <c r="AKP163" s="4"/>
      <c r="AKQ163" s="4"/>
      <c r="AKR163" s="4"/>
      <c r="AKS163" s="4"/>
      <c r="AKT163" s="4"/>
      <c r="AKU163" s="4"/>
      <c r="AKV163" s="4"/>
      <c r="AKW163" s="4"/>
      <c r="AKX163" s="4"/>
      <c r="AKY163" s="4"/>
      <c r="AKZ163" s="4"/>
      <c r="ALA163" s="4"/>
      <c r="ALB163" s="4"/>
      <c r="ALC163" s="4"/>
      <c r="ALD163" s="4"/>
      <c r="ALE163" s="4"/>
      <c r="ALF163" s="4"/>
      <c r="ALG163" s="4"/>
      <c r="ALH163" s="4"/>
      <c r="ALI163" s="4"/>
      <c r="ALJ163" s="4"/>
      <c r="ALK163" s="4"/>
      <c r="ALL163" s="4"/>
      <c r="ALM163" s="4"/>
      <c r="ALN163" s="4"/>
      <c r="ALO163" s="4"/>
      <c r="ALP163" s="4"/>
      <c r="ALQ163" s="4"/>
      <c r="ALR163" s="4"/>
      <c r="ALS163" s="4"/>
      <c r="ALT163" s="4"/>
      <c r="ALU163" s="4"/>
      <c r="ALV163" s="4"/>
      <c r="ALW163" s="4"/>
      <c r="ALX163" s="4"/>
      <c r="ALY163" s="4"/>
      <c r="ALZ163" s="4"/>
      <c r="AMA163" s="4"/>
      <c r="AMB163" s="4"/>
      <c r="AMC163" s="4"/>
      <c r="AMD163" s="4"/>
      <c r="AME163" s="4"/>
      <c r="AMF163" s="4"/>
      <c r="AMG163" s="4"/>
      <c r="AMH163" s="4"/>
      <c r="AMI163" s="4"/>
      <c r="AMJ163" s="4"/>
      <c r="AMK163" s="4"/>
      <c r="AML163" s="4"/>
      <c r="AMM163" s="4"/>
      <c r="AMN163" s="4"/>
      <c r="AMO163" s="4"/>
      <c r="AMP163" s="4"/>
      <c r="AMQ163" s="4"/>
      <c r="AMR163" s="4"/>
      <c r="AMS163" s="4"/>
      <c r="AMT163" s="4"/>
      <c r="AMU163" s="4"/>
      <c r="AMV163" s="4"/>
      <c r="AMW163" s="4"/>
      <c r="AMX163" s="4"/>
      <c r="AMY163" s="4"/>
      <c r="AMZ163" s="4"/>
      <c r="ANA163" s="4"/>
      <c r="ANB163" s="4"/>
      <c r="ANC163" s="4"/>
      <c r="AND163" s="4"/>
      <c r="ANE163" s="4"/>
      <c r="ANF163" s="4"/>
      <c r="ANG163" s="4"/>
      <c r="ANH163" s="4"/>
      <c r="ANI163" s="4"/>
      <c r="ANJ163" s="4"/>
      <c r="ANK163" s="4"/>
      <c r="ANL163" s="4"/>
      <c r="ANM163" s="4"/>
      <c r="ANN163" s="4"/>
      <c r="ANO163" s="4"/>
      <c r="ANP163" s="4"/>
      <c r="ANQ163" s="4"/>
      <c r="ANR163" s="4"/>
      <c r="ANS163" s="4"/>
      <c r="ANT163" s="4"/>
      <c r="ANU163" s="4"/>
      <c r="ANV163" s="4"/>
      <c r="ANW163" s="4"/>
      <c r="ANX163" s="4"/>
      <c r="ANY163" s="4"/>
      <c r="ANZ163" s="4"/>
      <c r="AOA163" s="4"/>
      <c r="AOB163" s="4"/>
      <c r="AOC163" s="4"/>
      <c r="AOD163" s="4"/>
      <c r="AOE163" s="4"/>
      <c r="AOF163" s="4"/>
      <c r="AOG163" s="4"/>
      <c r="AOH163" s="4"/>
      <c r="AOI163" s="4"/>
      <c r="AOJ163" s="4"/>
      <c r="AOK163" s="4"/>
      <c r="AOL163" s="4"/>
      <c r="AOM163" s="4"/>
      <c r="AON163" s="4"/>
      <c r="AOO163" s="4"/>
      <c r="AOP163" s="4"/>
      <c r="AOQ163" s="4"/>
      <c r="AOR163" s="4"/>
      <c r="AOS163" s="4"/>
      <c r="AOT163" s="4"/>
      <c r="AOU163" s="4"/>
      <c r="AOV163" s="4"/>
      <c r="AOW163" s="4"/>
      <c r="AOX163" s="4"/>
      <c r="AOY163" s="4"/>
      <c r="AOZ163" s="4"/>
      <c r="APA163" s="4"/>
      <c r="APB163" s="4"/>
      <c r="APC163" s="4"/>
      <c r="APD163" s="4"/>
      <c r="APE163" s="4"/>
      <c r="APF163" s="4"/>
      <c r="APG163" s="4"/>
      <c r="APH163" s="4"/>
      <c r="API163" s="4"/>
      <c r="APJ163" s="4"/>
      <c r="APK163" s="4"/>
      <c r="APL163" s="4"/>
      <c r="APM163" s="4"/>
      <c r="APN163" s="4"/>
      <c r="APO163" s="4"/>
      <c r="APP163" s="4"/>
      <c r="APQ163" s="4"/>
      <c r="APR163" s="4"/>
      <c r="APS163" s="4"/>
      <c r="APT163" s="4"/>
      <c r="APU163" s="4"/>
      <c r="APV163" s="4"/>
      <c r="APW163" s="4"/>
      <c r="APX163" s="4"/>
      <c r="APY163" s="4"/>
      <c r="APZ163" s="4"/>
      <c r="AQA163" s="4"/>
      <c r="AQB163" s="4"/>
      <c r="AQC163" s="4"/>
      <c r="AQD163" s="4"/>
      <c r="AQE163" s="4"/>
      <c r="AQF163" s="4"/>
      <c r="AQG163" s="4"/>
      <c r="AQH163" s="4"/>
      <c r="AQI163" s="4"/>
      <c r="AQJ163" s="4"/>
      <c r="AQK163" s="4"/>
      <c r="AQL163" s="4"/>
      <c r="AQM163" s="4"/>
      <c r="AQN163" s="4"/>
      <c r="AQO163" s="4"/>
      <c r="AQP163" s="4"/>
      <c r="AQQ163" s="4"/>
      <c r="AQR163" s="4"/>
      <c r="AQS163" s="4"/>
      <c r="AQT163" s="4"/>
      <c r="AQU163" s="4"/>
      <c r="AQV163" s="4"/>
      <c r="AQW163" s="4"/>
      <c r="AQX163" s="4"/>
      <c r="AQY163" s="4"/>
      <c r="AQZ163" s="4"/>
      <c r="ARA163" s="4"/>
      <c r="ARB163" s="4"/>
      <c r="ARC163" s="4"/>
      <c r="ARD163" s="4"/>
      <c r="ARE163" s="4"/>
      <c r="ARF163" s="4"/>
      <c r="ARG163" s="4"/>
      <c r="ARH163" s="4"/>
      <c r="ARI163" s="4"/>
      <c r="ARJ163" s="4"/>
      <c r="ARK163" s="4"/>
      <c r="ARL163" s="4"/>
      <c r="ARM163" s="4"/>
      <c r="ARN163" s="4"/>
      <c r="ARO163" s="4"/>
      <c r="ARP163" s="4"/>
      <c r="ARQ163" s="4"/>
      <c r="ARR163" s="4"/>
      <c r="ARS163" s="4"/>
      <c r="ART163" s="4"/>
      <c r="ARU163" s="4"/>
      <c r="ARV163" s="4"/>
      <c r="ARW163" s="4"/>
      <c r="ARX163" s="4"/>
      <c r="ARY163" s="4"/>
      <c r="ARZ163" s="4"/>
      <c r="ASA163" s="4"/>
      <c r="ASB163" s="4"/>
      <c r="ASC163" s="4"/>
      <c r="ASD163" s="4"/>
      <c r="ASE163" s="4"/>
      <c r="ASF163" s="4"/>
      <c r="ASG163" s="4"/>
      <c r="ASH163" s="4"/>
      <c r="ASI163" s="4"/>
      <c r="ASJ163" s="4"/>
      <c r="ASK163" s="4"/>
      <c r="ASL163" s="4"/>
      <c r="ASM163" s="4"/>
      <c r="ASN163" s="4"/>
      <c r="ASO163" s="4"/>
      <c r="ASP163" s="4"/>
      <c r="ASQ163" s="4"/>
      <c r="ASR163" s="4"/>
      <c r="ASS163" s="4"/>
      <c r="AST163" s="4"/>
      <c r="ASU163" s="4"/>
    </row>
    <row r="164" hidden="1" spans="1:1191" x14ac:dyDescent="0.25">
      <c r="A164" s="4" t="s">
        <v>46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  <c r="UG164" s="4"/>
      <c r="UH164" s="4"/>
      <c r="UI164" s="4"/>
      <c r="UJ164" s="4"/>
      <c r="UK164" s="4"/>
      <c r="UL164" s="4"/>
      <c r="UM164" s="4"/>
      <c r="UN164" s="4"/>
      <c r="UO164" s="4"/>
      <c r="UP164" s="4"/>
      <c r="UQ164" s="4"/>
      <c r="UR164" s="4"/>
      <c r="US164" s="4"/>
      <c r="UT164" s="4"/>
      <c r="UU164" s="4"/>
      <c r="UV164" s="4"/>
      <c r="UW164" s="4"/>
      <c r="UX164" s="4"/>
      <c r="UY164" s="4"/>
      <c r="UZ164" s="4"/>
      <c r="VA164" s="4"/>
      <c r="VB164" s="4"/>
      <c r="VC164" s="4"/>
      <c r="VD164" s="4"/>
      <c r="VE164" s="4"/>
      <c r="VF164" s="4"/>
      <c r="VG164" s="4"/>
      <c r="VH164" s="4"/>
      <c r="VI164" s="4"/>
      <c r="VJ164" s="4"/>
      <c r="VK164" s="4"/>
      <c r="VL164" s="4"/>
      <c r="VM164" s="4"/>
      <c r="VN164" s="4"/>
      <c r="VO164" s="4"/>
      <c r="VP164" s="4"/>
      <c r="VQ164" s="4"/>
      <c r="VR164" s="4"/>
      <c r="VS164" s="4"/>
      <c r="VT164" s="4"/>
      <c r="VU164" s="4"/>
      <c r="VV164" s="4"/>
      <c r="VW164" s="4"/>
      <c r="VX164" s="4"/>
      <c r="VY164" s="4"/>
      <c r="VZ164" s="4"/>
      <c r="WA164" s="4"/>
      <c r="WB164" s="4"/>
      <c r="WC164" s="4"/>
      <c r="WD164" s="4"/>
      <c r="WE164" s="4"/>
      <c r="WF164" s="4"/>
      <c r="WG164" s="4"/>
      <c r="WH164" s="4"/>
      <c r="WI164" s="4"/>
      <c r="WJ164" s="4"/>
      <c r="WK164" s="4"/>
      <c r="WL164" s="4"/>
      <c r="WM164" s="4"/>
      <c r="WN164" s="4"/>
      <c r="WO164" s="4"/>
      <c r="WP164" s="4"/>
      <c r="WQ164" s="4"/>
      <c r="WR164" s="4"/>
      <c r="WS164" s="4"/>
      <c r="WT164" s="4"/>
      <c r="WU164" s="4"/>
      <c r="WV164" s="4"/>
      <c r="WW164" s="4"/>
      <c r="WX164" s="4"/>
      <c r="WY164" s="4"/>
      <c r="WZ164" s="4"/>
      <c r="XA164" s="4"/>
      <c r="XB164" s="4"/>
      <c r="XC164" s="4"/>
      <c r="XD164" s="4"/>
      <c r="XE164" s="4"/>
      <c r="XF164" s="4"/>
      <c r="XG164" s="4"/>
      <c r="XH164" s="4"/>
      <c r="XI164" s="4"/>
      <c r="XJ164" s="4"/>
      <c r="XK164" s="4"/>
      <c r="XL164" s="4"/>
      <c r="XM164" s="4"/>
      <c r="XN164" s="4"/>
      <c r="XO164" s="4"/>
      <c r="XP164" s="4"/>
      <c r="XQ164" s="4"/>
      <c r="XR164" s="4"/>
      <c r="XS164" s="4"/>
      <c r="XT164" s="4"/>
      <c r="XU164" s="4"/>
      <c r="XV164" s="4"/>
      <c r="XW164" s="4"/>
      <c r="XX164" s="4"/>
      <c r="XY164" s="4"/>
      <c r="XZ164" s="4"/>
      <c r="YA164" s="4"/>
      <c r="YB164" s="4"/>
      <c r="YC164" s="4"/>
      <c r="YD164" s="4"/>
      <c r="YE164" s="4"/>
      <c r="YF164" s="4"/>
      <c r="YG164" s="4"/>
      <c r="YH164" s="4"/>
      <c r="YI164" s="4"/>
      <c r="YJ164" s="4"/>
      <c r="YK164" s="4"/>
      <c r="YL164" s="4"/>
      <c r="YM164" s="4"/>
      <c r="YN164" s="4"/>
      <c r="YO164" s="4"/>
      <c r="YP164" s="4"/>
      <c r="YQ164" s="4"/>
      <c r="YR164" s="4"/>
      <c r="YS164" s="4"/>
      <c r="YT164" s="4"/>
      <c r="YU164" s="4"/>
      <c r="YV164" s="4"/>
      <c r="YW164" s="4"/>
      <c r="YX164" s="4"/>
      <c r="YY164" s="4"/>
      <c r="YZ164" s="4"/>
      <c r="ZA164" s="4"/>
      <c r="ZB164" s="4"/>
      <c r="ZC164" s="4"/>
      <c r="ZD164" s="4"/>
      <c r="ZE164" s="4"/>
      <c r="ZF164" s="4"/>
      <c r="ZG164" s="4"/>
      <c r="ZH164" s="4"/>
      <c r="ZI164" s="4"/>
      <c r="ZJ164" s="4"/>
      <c r="ZK164" s="4"/>
      <c r="ZL164" s="4"/>
      <c r="ZM164" s="4"/>
      <c r="ZN164" s="4"/>
      <c r="ZO164" s="4"/>
      <c r="ZP164" s="4"/>
      <c r="ZQ164" s="4"/>
      <c r="ZR164" s="4"/>
      <c r="ZS164" s="4"/>
      <c r="ZT164" s="4"/>
      <c r="ZU164" s="4"/>
      <c r="ZV164" s="4"/>
      <c r="ZW164" s="4"/>
      <c r="ZX164" s="4"/>
      <c r="ZY164" s="4"/>
      <c r="ZZ164" s="4"/>
      <c r="AAA164" s="4"/>
      <c r="AAB164" s="4"/>
      <c r="AAC164" s="4"/>
      <c r="AAD164" s="4"/>
      <c r="AAE164" s="4"/>
      <c r="AAF164" s="4"/>
      <c r="AAG164" s="4"/>
      <c r="AAH164" s="4"/>
      <c r="AAI164" s="4"/>
      <c r="AAJ164" s="4"/>
      <c r="AAK164" s="4"/>
      <c r="AAL164" s="4"/>
      <c r="AAM164" s="4"/>
      <c r="AAN164" s="4"/>
      <c r="AAO164" s="4"/>
      <c r="AAP164" s="4"/>
      <c r="AAQ164" s="4"/>
      <c r="AAR164" s="4"/>
      <c r="AAS164" s="4"/>
      <c r="AAT164" s="4"/>
      <c r="AAU164" s="4"/>
      <c r="AAV164" s="4"/>
      <c r="AAW164" s="4"/>
      <c r="AAX164" s="4"/>
      <c r="AAY164" s="4"/>
      <c r="AAZ164" s="4"/>
      <c r="ABA164" s="4"/>
      <c r="ABB164" s="4"/>
      <c r="ABC164" s="4"/>
      <c r="ABD164" s="4"/>
      <c r="ABE164" s="4"/>
      <c r="ABF164" s="4"/>
      <c r="ABG164" s="4"/>
      <c r="ABH164" s="4"/>
      <c r="ABI164" s="4"/>
      <c r="ABJ164" s="4"/>
      <c r="ABK164" s="4"/>
      <c r="ABL164" s="4"/>
      <c r="ABM164" s="4"/>
      <c r="ABN164" s="4"/>
      <c r="ABO164" s="4"/>
      <c r="ABP164" s="4"/>
      <c r="ABQ164" s="4"/>
      <c r="ABR164" s="4"/>
      <c r="ABS164" s="4"/>
      <c r="ABT164" s="4"/>
      <c r="ABU164" s="4"/>
      <c r="ABV164" s="4"/>
      <c r="ABW164" s="4"/>
      <c r="ABX164" s="4"/>
      <c r="ABY164" s="4"/>
      <c r="ABZ164" s="4"/>
      <c r="ACA164" s="4"/>
      <c r="ACB164" s="4"/>
      <c r="ACC164" s="4"/>
      <c r="ACD164" s="4"/>
      <c r="ACE164" s="4"/>
      <c r="ACF164" s="4"/>
      <c r="ACG164" s="4"/>
      <c r="ACH164" s="4"/>
      <c r="ACI164" s="4"/>
      <c r="ACJ164" s="4"/>
      <c r="ACK164" s="4"/>
      <c r="ACL164" s="4"/>
      <c r="ACM164" s="4"/>
      <c r="ACN164" s="4"/>
      <c r="ACO164" s="4"/>
      <c r="ACP164" s="4"/>
      <c r="ACQ164" s="4"/>
      <c r="ACR164" s="4"/>
      <c r="ACS164" s="4"/>
      <c r="ACT164" s="4"/>
      <c r="ACU164" s="4"/>
      <c r="ACV164" s="4"/>
      <c r="ACW164" s="4"/>
      <c r="ACX164" s="4"/>
      <c r="ACY164" s="4"/>
      <c r="ACZ164" s="4"/>
      <c r="ADA164" s="4"/>
      <c r="ADB164" s="4"/>
      <c r="ADC164" s="4"/>
      <c r="ADD164" s="4"/>
      <c r="ADE164" s="4"/>
      <c r="ADF164" s="4"/>
      <c r="ADG164" s="4"/>
      <c r="ADH164" s="4"/>
      <c r="ADI164" s="4"/>
      <c r="ADJ164" s="4"/>
      <c r="ADK164" s="4"/>
      <c r="ADL164" s="4"/>
      <c r="ADM164" s="4"/>
      <c r="ADN164" s="4"/>
      <c r="ADO164" s="4"/>
      <c r="ADP164" s="4"/>
      <c r="ADQ164" s="4"/>
      <c r="ADR164" s="4"/>
      <c r="ADS164" s="4"/>
      <c r="ADT164" s="4"/>
      <c r="ADU164" s="4"/>
      <c r="ADV164" s="4"/>
      <c r="ADW164" s="4"/>
      <c r="ADX164" s="4"/>
      <c r="ADY164" s="4"/>
      <c r="ADZ164" s="4"/>
      <c r="AEA164" s="4"/>
      <c r="AEB164" s="4"/>
      <c r="AEC164" s="4"/>
      <c r="AED164" s="4"/>
      <c r="AEE164" s="4"/>
      <c r="AEF164" s="4"/>
      <c r="AEG164" s="4"/>
      <c r="AEH164" s="4"/>
      <c r="AEI164" s="4"/>
      <c r="AEJ164" s="4"/>
      <c r="AEK164" s="4"/>
      <c r="AEL164" s="4"/>
      <c r="AEM164" s="4"/>
      <c r="AEN164" s="4"/>
      <c r="AEO164" s="4"/>
      <c r="AEP164" s="4"/>
      <c r="AEQ164" s="4"/>
      <c r="AER164" s="4"/>
      <c r="AES164" s="4"/>
      <c r="AET164" s="4"/>
      <c r="AEU164" s="4"/>
      <c r="AEV164" s="4"/>
      <c r="AEW164" s="4"/>
      <c r="AEX164" s="4"/>
      <c r="AEY164" s="4"/>
      <c r="AEZ164" s="4"/>
      <c r="AFA164" s="4"/>
      <c r="AFB164" s="4"/>
      <c r="AFC164" s="4"/>
      <c r="AFD164" s="4"/>
      <c r="AFE164" s="4"/>
      <c r="AFF164" s="4"/>
      <c r="AFG164" s="4"/>
      <c r="AFH164" s="4"/>
      <c r="AFI164" s="4"/>
      <c r="AFJ164" s="4"/>
      <c r="AFK164" s="4"/>
      <c r="AFL164" s="4"/>
      <c r="AFM164" s="4"/>
      <c r="AFN164" s="4"/>
      <c r="AFO164" s="4"/>
      <c r="AFP164" s="4"/>
      <c r="AFQ164" s="4"/>
      <c r="AFR164" s="4"/>
      <c r="AFS164" s="4"/>
      <c r="AFT164" s="4"/>
      <c r="AFU164" s="4"/>
      <c r="AFV164" s="4"/>
      <c r="AFW164" s="4"/>
      <c r="AFX164" s="4"/>
      <c r="AFY164" s="4"/>
      <c r="AFZ164" s="4"/>
      <c r="AGA164" s="4"/>
      <c r="AGB164" s="4"/>
      <c r="AGC164" s="4"/>
      <c r="AGD164" s="4"/>
      <c r="AGE164" s="4"/>
      <c r="AGF164" s="4"/>
      <c r="AGG164" s="4"/>
      <c r="AGH164" s="4"/>
      <c r="AGI164" s="4"/>
      <c r="AGJ164" s="4"/>
      <c r="AGK164" s="4"/>
      <c r="AGL164" s="4"/>
      <c r="AGM164" s="4"/>
      <c r="AGN164" s="4"/>
      <c r="AGO164" s="4"/>
      <c r="AGP164" s="4"/>
      <c r="AGQ164" s="4"/>
      <c r="AGR164" s="4"/>
      <c r="AGS164" s="4"/>
      <c r="AGT164" s="4"/>
      <c r="AGU164" s="4"/>
      <c r="AGV164" s="4"/>
      <c r="AGW164" s="4"/>
      <c r="AGX164" s="4"/>
      <c r="AGY164" s="4"/>
      <c r="AGZ164" s="4"/>
      <c r="AHA164" s="4"/>
      <c r="AHB164" s="4"/>
      <c r="AHC164" s="4"/>
      <c r="AHD164" s="4"/>
      <c r="AHE164" s="4"/>
      <c r="AHF164" s="4"/>
      <c r="AHG164" s="4"/>
      <c r="AHH164" s="4"/>
      <c r="AHI164" s="4"/>
      <c r="AHJ164" s="4"/>
      <c r="AHK164" s="4"/>
      <c r="AHL164" s="4"/>
      <c r="AHM164" s="4"/>
      <c r="AHN164" s="4"/>
      <c r="AHO164" s="4"/>
      <c r="AHP164" s="4"/>
      <c r="AHQ164" s="4"/>
      <c r="AHR164" s="4"/>
      <c r="AHS164" s="4"/>
      <c r="AHT164" s="4"/>
      <c r="AHU164" s="4"/>
      <c r="AHV164" s="4"/>
      <c r="AHW164" s="4"/>
      <c r="AHX164" s="4"/>
      <c r="AHY164" s="4"/>
      <c r="AHZ164" s="4"/>
      <c r="AIA164" s="4"/>
      <c r="AIB164" s="4"/>
      <c r="AIC164" s="4"/>
      <c r="AID164" s="4"/>
      <c r="AIE164" s="4"/>
      <c r="AIF164" s="4"/>
      <c r="AIG164" s="4"/>
      <c r="AIH164" s="4"/>
      <c r="AII164" s="4"/>
      <c r="AIJ164" s="4"/>
      <c r="AIK164" s="4"/>
      <c r="AIL164" s="4"/>
      <c r="AIM164" s="4"/>
      <c r="AIN164" s="4"/>
      <c r="AIO164" s="4"/>
      <c r="AIP164" s="4"/>
      <c r="AIQ164" s="4"/>
      <c r="AIR164" s="4"/>
      <c r="AIS164" s="4"/>
      <c r="AIT164" s="4"/>
      <c r="AIU164" s="4"/>
      <c r="AIV164" s="4"/>
      <c r="AIW164" s="4"/>
      <c r="AIX164" s="4"/>
      <c r="AIY164" s="4"/>
      <c r="AIZ164" s="4"/>
      <c r="AJA164" s="4"/>
      <c r="AJB164" s="4"/>
      <c r="AJC164" s="4"/>
      <c r="AJD164" s="4"/>
      <c r="AJE164" s="4"/>
      <c r="AJF164" s="4"/>
      <c r="AJG164" s="4"/>
      <c r="AJH164" s="4"/>
      <c r="AJI164" s="4"/>
      <c r="AJJ164" s="4"/>
      <c r="AJK164" s="4"/>
      <c r="AJL164" s="4"/>
      <c r="AJM164" s="4"/>
      <c r="AJN164" s="4"/>
      <c r="AJO164" s="4"/>
      <c r="AJP164" s="4"/>
      <c r="AJQ164" s="4"/>
      <c r="AJR164" s="4"/>
      <c r="AJS164" s="4"/>
      <c r="AJT164" s="4"/>
      <c r="AJU164" s="4"/>
      <c r="AJV164" s="4"/>
      <c r="AJW164" s="4"/>
      <c r="AJX164" s="4"/>
      <c r="AJY164" s="4"/>
      <c r="AJZ164" s="4"/>
      <c r="AKA164" s="4"/>
      <c r="AKB164" s="4"/>
      <c r="AKC164" s="4"/>
      <c r="AKD164" s="4"/>
      <c r="AKE164" s="4"/>
      <c r="AKF164" s="4"/>
      <c r="AKG164" s="4"/>
      <c r="AKH164" s="4"/>
      <c r="AKI164" s="4"/>
      <c r="AKJ164" s="4"/>
      <c r="AKK164" s="4"/>
      <c r="AKL164" s="4"/>
      <c r="AKM164" s="4"/>
      <c r="AKN164" s="4"/>
      <c r="AKO164" s="4"/>
      <c r="AKP164" s="4"/>
      <c r="AKQ164" s="4"/>
      <c r="AKR164" s="4"/>
      <c r="AKS164" s="4"/>
      <c r="AKT164" s="4"/>
      <c r="AKU164" s="4"/>
      <c r="AKV164" s="4"/>
      <c r="AKW164" s="4"/>
      <c r="AKX164" s="4"/>
      <c r="AKY164" s="4"/>
      <c r="AKZ164" s="4"/>
      <c r="ALA164" s="4"/>
      <c r="ALB164" s="4"/>
      <c r="ALC164" s="4"/>
      <c r="ALD164" s="4"/>
      <c r="ALE164" s="4"/>
      <c r="ALF164" s="4"/>
      <c r="ALG164" s="4"/>
      <c r="ALH164" s="4"/>
      <c r="ALI164" s="4"/>
      <c r="ALJ164" s="4"/>
      <c r="ALK164" s="4"/>
      <c r="ALL164" s="4"/>
      <c r="ALM164" s="4"/>
      <c r="ALN164" s="4"/>
      <c r="ALO164" s="4"/>
      <c r="ALP164" s="4"/>
      <c r="ALQ164" s="4"/>
      <c r="ALR164" s="4"/>
      <c r="ALS164" s="4"/>
      <c r="ALT164" s="4"/>
      <c r="ALU164" s="4"/>
      <c r="ALV164" s="4"/>
      <c r="ALW164" s="4"/>
      <c r="ALX164" s="4"/>
      <c r="ALY164" s="4"/>
      <c r="ALZ164" s="4"/>
      <c r="AMA164" s="4"/>
      <c r="AMB164" s="4"/>
      <c r="AMC164" s="4"/>
      <c r="AMD164" s="4"/>
      <c r="AME164" s="4"/>
      <c r="AMF164" s="4"/>
      <c r="AMG164" s="4"/>
      <c r="AMH164" s="4"/>
      <c r="AMI164" s="4"/>
      <c r="AMJ164" s="4"/>
      <c r="AMK164" s="4"/>
      <c r="AML164" s="4"/>
      <c r="AMM164" s="4"/>
      <c r="AMN164" s="4"/>
      <c r="AMO164" s="4"/>
      <c r="AMP164" s="4"/>
      <c r="AMQ164" s="4"/>
      <c r="AMR164" s="4"/>
      <c r="AMS164" s="4"/>
      <c r="AMT164" s="4"/>
      <c r="AMU164" s="4"/>
      <c r="AMV164" s="4"/>
      <c r="AMW164" s="4"/>
      <c r="AMX164" s="4"/>
      <c r="AMY164" s="4"/>
      <c r="AMZ164" s="4"/>
      <c r="ANA164" s="4"/>
      <c r="ANB164" s="4"/>
      <c r="ANC164" s="4"/>
      <c r="AND164" s="4"/>
      <c r="ANE164" s="4"/>
      <c r="ANF164" s="4"/>
      <c r="ANG164" s="4"/>
      <c r="ANH164" s="4"/>
      <c r="ANI164" s="4"/>
      <c r="ANJ164" s="4"/>
      <c r="ANK164" s="4"/>
      <c r="ANL164" s="4"/>
      <c r="ANM164" s="4"/>
      <c r="ANN164" s="4"/>
      <c r="ANO164" s="4"/>
      <c r="ANP164" s="4"/>
      <c r="ANQ164" s="4"/>
      <c r="ANR164" s="4"/>
      <c r="ANS164" s="4"/>
      <c r="ANT164" s="4"/>
      <c r="ANU164" s="4"/>
      <c r="ANV164" s="4"/>
      <c r="ANW164" s="4"/>
      <c r="ANX164" s="4"/>
      <c r="ANY164" s="4"/>
      <c r="ANZ164" s="4"/>
      <c r="AOA164" s="4"/>
      <c r="AOB164" s="4"/>
      <c r="AOC164" s="4"/>
      <c r="AOD164" s="4"/>
      <c r="AOE164" s="4"/>
      <c r="AOF164" s="4"/>
      <c r="AOG164" s="4"/>
      <c r="AOH164" s="4"/>
      <c r="AOI164" s="4"/>
      <c r="AOJ164" s="4"/>
      <c r="AOK164" s="4"/>
      <c r="AOL164" s="4"/>
      <c r="AOM164" s="4"/>
      <c r="AON164" s="4"/>
      <c r="AOO164" s="4"/>
      <c r="AOP164" s="4"/>
      <c r="AOQ164" s="4"/>
      <c r="AOR164" s="4"/>
      <c r="AOS164" s="4"/>
      <c r="AOT164" s="4"/>
      <c r="AOU164" s="4"/>
      <c r="AOV164" s="4"/>
      <c r="AOW164" s="4"/>
      <c r="AOX164" s="4"/>
      <c r="AOY164" s="4"/>
      <c r="AOZ164" s="4"/>
      <c r="APA164" s="4"/>
      <c r="APB164" s="4"/>
      <c r="APC164" s="4"/>
      <c r="APD164" s="4"/>
      <c r="APE164" s="4"/>
      <c r="APF164" s="4"/>
      <c r="APG164" s="4"/>
      <c r="APH164" s="4"/>
      <c r="API164" s="4"/>
      <c r="APJ164" s="4"/>
      <c r="APK164" s="4"/>
      <c r="APL164" s="4"/>
      <c r="APM164" s="4"/>
      <c r="APN164" s="4"/>
      <c r="APO164" s="4"/>
      <c r="APP164" s="4"/>
      <c r="APQ164" s="4"/>
      <c r="APR164" s="4"/>
      <c r="APS164" s="4"/>
      <c r="APT164" s="4"/>
      <c r="APU164" s="4"/>
      <c r="APV164" s="4"/>
      <c r="APW164" s="4"/>
      <c r="APX164" s="4"/>
      <c r="APY164" s="4"/>
      <c r="APZ164" s="4"/>
      <c r="AQA164" s="4"/>
      <c r="AQB164" s="4"/>
      <c r="AQC164" s="4"/>
      <c r="AQD164" s="4"/>
      <c r="AQE164" s="4"/>
      <c r="AQF164" s="4"/>
      <c r="AQG164" s="4"/>
      <c r="AQH164" s="4"/>
      <c r="AQI164" s="4"/>
      <c r="AQJ164" s="4"/>
      <c r="AQK164" s="4"/>
      <c r="AQL164" s="4"/>
      <c r="AQM164" s="4"/>
      <c r="AQN164" s="4"/>
      <c r="AQO164" s="4"/>
      <c r="AQP164" s="4"/>
      <c r="AQQ164" s="4"/>
      <c r="AQR164" s="4"/>
      <c r="AQS164" s="4"/>
      <c r="AQT164" s="4"/>
      <c r="AQU164" s="4"/>
      <c r="AQV164" s="4"/>
      <c r="AQW164" s="4"/>
      <c r="AQX164" s="4"/>
      <c r="AQY164" s="4"/>
      <c r="AQZ164" s="4"/>
      <c r="ARA164" s="4"/>
      <c r="ARB164" s="4"/>
      <c r="ARC164" s="4"/>
      <c r="ARD164" s="4"/>
      <c r="ARE164" s="4"/>
      <c r="ARF164" s="4"/>
      <c r="ARG164" s="4"/>
      <c r="ARH164" s="4"/>
      <c r="ARI164" s="4"/>
      <c r="ARJ164" s="4"/>
      <c r="ARK164" s="4"/>
      <c r="ARL164" s="4"/>
      <c r="ARM164" s="4"/>
      <c r="ARN164" s="4"/>
      <c r="ARO164" s="4"/>
      <c r="ARP164" s="4"/>
      <c r="ARQ164" s="4"/>
      <c r="ARR164" s="4"/>
      <c r="ARS164" s="4"/>
      <c r="ART164" s="4"/>
      <c r="ARU164" s="4"/>
      <c r="ARV164" s="4"/>
      <c r="ARW164" s="4"/>
      <c r="ARX164" s="4"/>
      <c r="ARY164" s="4"/>
      <c r="ARZ164" s="4"/>
      <c r="ASA164" s="4"/>
      <c r="ASB164" s="4"/>
      <c r="ASC164" s="4"/>
      <c r="ASD164" s="4"/>
      <c r="ASE164" s="4"/>
      <c r="ASF164" s="4"/>
      <c r="ASG164" s="4"/>
      <c r="ASH164" s="4"/>
      <c r="ASI164" s="4"/>
      <c r="ASJ164" s="4"/>
      <c r="ASK164" s="4"/>
      <c r="ASL164" s="4"/>
      <c r="ASM164" s="4"/>
      <c r="ASN164" s="4"/>
      <c r="ASO164" s="4"/>
      <c r="ASP164" s="4"/>
      <c r="ASQ164" s="4"/>
      <c r="ASR164" s="4"/>
      <c r="ASS164" s="4"/>
      <c r="AST164" s="4"/>
      <c r="ASU164" s="4"/>
    </row>
  </sheetData>
  <mergeCells count="2483">
    <mergeCell ref="A1:C2"/>
    <mergeCell ref="AD1:AF1"/>
    <mergeCell ref="BG1:BI1"/>
    <mergeCell ref="CJ1:CL1"/>
    <mergeCell ref="DM1:DO1"/>
    <mergeCell ref="EP1:ER1"/>
    <mergeCell ref="FS1:FU1"/>
    <mergeCell ref="GV1:GX1"/>
    <mergeCell ref="IB1:ID1"/>
    <mergeCell ref="JE1:JG1"/>
    <mergeCell ref="KH1:KJ1"/>
    <mergeCell ref="LK1:LM1"/>
    <mergeCell ref="MN1:MP1"/>
    <mergeCell ref="NQ1:NS1"/>
    <mergeCell ref="OT1:OV1"/>
    <mergeCell ref="OW1:OX1"/>
    <mergeCell ref="PZ1:QB1"/>
    <mergeCell ref="RC1:RE1"/>
    <mergeCell ref="SF1:SH1"/>
    <mergeCell ref="TI1:TK1"/>
    <mergeCell ref="UL1:UN1"/>
    <mergeCell ref="VO1:VQ1"/>
    <mergeCell ref="WR1:WT1"/>
    <mergeCell ref="XX1:XZ1"/>
    <mergeCell ref="ZA1:ZC1"/>
    <mergeCell ref="AAD1:AAF1"/>
    <mergeCell ref="ABG1:ABI1"/>
    <mergeCell ref="ACJ1:ACL1"/>
    <mergeCell ref="ADM1:ADO1"/>
    <mergeCell ref="AEP1:AER1"/>
    <mergeCell ref="AFV1:AFX1"/>
    <mergeCell ref="AGY1:AHA1"/>
    <mergeCell ref="AIB1:AID1"/>
    <mergeCell ref="AJE1:AJG1"/>
    <mergeCell ref="AKH1:AKJ1"/>
    <mergeCell ref="ALK1:ALM1"/>
    <mergeCell ref="AMN1:AMP1"/>
    <mergeCell ref="A3:C9"/>
    <mergeCell ref="D7:HA7"/>
    <mergeCell ref="HB7:OY7"/>
    <mergeCell ref="OZ7:WW7"/>
    <mergeCell ref="WX7:AEU7"/>
    <mergeCell ref="AEV7:AMS7"/>
    <mergeCell ref="D8:AF8"/>
    <mergeCell ref="AG8:BI8"/>
    <mergeCell ref="BJ8:CL8"/>
    <mergeCell ref="CM8:DO8"/>
    <mergeCell ref="DP8:ER8"/>
    <mergeCell ref="ES8:FU8"/>
    <mergeCell ref="FV8:GX8"/>
    <mergeCell ref="GY8:HA8"/>
    <mergeCell ref="HB8:ID8"/>
    <mergeCell ref="IE8:JG8"/>
    <mergeCell ref="JH8:KJ8"/>
    <mergeCell ref="KK8:LM8"/>
    <mergeCell ref="LN8:MP8"/>
    <mergeCell ref="MQ8:NS8"/>
    <mergeCell ref="NT8:OV8"/>
    <mergeCell ref="OW8:OY8"/>
    <mergeCell ref="OZ8:QB8"/>
    <mergeCell ref="QC8:RE8"/>
    <mergeCell ref="RF8:SH8"/>
    <mergeCell ref="SI8:TK8"/>
    <mergeCell ref="TL8:UN8"/>
    <mergeCell ref="UO8:VQ8"/>
    <mergeCell ref="VR8:WT8"/>
    <mergeCell ref="WU8:WW8"/>
    <mergeCell ref="WX8:XZ8"/>
    <mergeCell ref="YA8:ZC8"/>
    <mergeCell ref="ZD8:AAF8"/>
    <mergeCell ref="AAG8:ABI8"/>
    <mergeCell ref="ABJ8:ACL8"/>
    <mergeCell ref="ACM8:ADO8"/>
    <mergeCell ref="ADP8:AER8"/>
    <mergeCell ref="AES8:AEU8"/>
    <mergeCell ref="AEV8:AFX8"/>
    <mergeCell ref="AFY8:AHA8"/>
    <mergeCell ref="AHB8:AID8"/>
    <mergeCell ref="AIE8:AJG8"/>
    <mergeCell ref="AJH8:AKJ8"/>
    <mergeCell ref="AKK8:ALM8"/>
    <mergeCell ref="ALN8:AMP8"/>
    <mergeCell ref="AMQ8:AMS8"/>
    <mergeCell ref="F9:AC9"/>
    <mergeCell ref="AI9:BF9"/>
    <mergeCell ref="BL9:CI9"/>
    <mergeCell ref="CO9:DL9"/>
    <mergeCell ref="DR9:EO9"/>
    <mergeCell ref="EU9:FR9"/>
    <mergeCell ref="FX9:GU9"/>
    <mergeCell ref="HD9:IA9"/>
    <mergeCell ref="IG9:JD9"/>
    <mergeCell ref="JJ9:KG9"/>
    <mergeCell ref="KM9:LJ9"/>
    <mergeCell ref="LP9:MM9"/>
    <mergeCell ref="MS9:NP9"/>
    <mergeCell ref="NV9:OS9"/>
    <mergeCell ref="PB9:PY9"/>
    <mergeCell ref="QE9:RB9"/>
    <mergeCell ref="RH9:SE9"/>
    <mergeCell ref="SK9:TH9"/>
    <mergeCell ref="TN9:UK9"/>
    <mergeCell ref="UQ9:VN9"/>
    <mergeCell ref="VT9:WQ9"/>
    <mergeCell ref="WZ9:XW9"/>
    <mergeCell ref="YC9:YZ9"/>
    <mergeCell ref="ZF9:AAC9"/>
    <mergeCell ref="AAI9:ABF9"/>
    <mergeCell ref="ABL9:ACI9"/>
    <mergeCell ref="ACO9:ADL9"/>
    <mergeCell ref="ADR9:AEO9"/>
    <mergeCell ref="AEX9:AFU9"/>
    <mergeCell ref="AGA9:AGX9"/>
    <mergeCell ref="AHD9:AIA9"/>
    <mergeCell ref="AIG9:AJD9"/>
    <mergeCell ref="AJJ9:AKG9"/>
    <mergeCell ref="AKM9:ALJ9"/>
    <mergeCell ref="ALP9:AMM9"/>
    <mergeCell ref="A11:C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Z12:AA12"/>
    <mergeCell ref="AB12:AC12"/>
    <mergeCell ref="AI12:AJ12"/>
    <mergeCell ref="AK12:AL12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BE12:BF12"/>
    <mergeCell ref="BL12:BM12"/>
    <mergeCell ref="BN12:BO12"/>
    <mergeCell ref="BP12:BQ12"/>
    <mergeCell ref="BR12:BS12"/>
    <mergeCell ref="BT12:BU12"/>
    <mergeCell ref="BV12:BW12"/>
    <mergeCell ref="BX12:BY12"/>
    <mergeCell ref="BZ12:CA12"/>
    <mergeCell ref="CB12:CC12"/>
    <mergeCell ref="CD12:CE12"/>
    <mergeCell ref="CF12:CG12"/>
    <mergeCell ref="CH12:CI12"/>
    <mergeCell ref="CO12:CP12"/>
    <mergeCell ref="CQ12:CR12"/>
    <mergeCell ref="CS12:CT12"/>
    <mergeCell ref="CU12:CV12"/>
    <mergeCell ref="CW12:CX12"/>
    <mergeCell ref="CY12:CZ12"/>
    <mergeCell ref="DA12:DB12"/>
    <mergeCell ref="DC12:DD12"/>
    <mergeCell ref="DE12:DF12"/>
    <mergeCell ref="DG12:DH12"/>
    <mergeCell ref="DI12:DJ12"/>
    <mergeCell ref="DK12:DL12"/>
    <mergeCell ref="DR12:DS12"/>
    <mergeCell ref="DT12:DU12"/>
    <mergeCell ref="DV12:DW12"/>
    <mergeCell ref="DX12:DY12"/>
    <mergeCell ref="DZ12:EA12"/>
    <mergeCell ref="EB12:EC12"/>
    <mergeCell ref="ED12:EE12"/>
    <mergeCell ref="EF12:EG12"/>
    <mergeCell ref="EH12:EI12"/>
    <mergeCell ref="EJ12:EK12"/>
    <mergeCell ref="EL12:EM12"/>
    <mergeCell ref="EN12:EO12"/>
    <mergeCell ref="EU12:EV12"/>
    <mergeCell ref="EW12:EX12"/>
    <mergeCell ref="EY12:EZ12"/>
    <mergeCell ref="FA12:FB12"/>
    <mergeCell ref="FC12:FD12"/>
    <mergeCell ref="FE12:FF12"/>
    <mergeCell ref="FG12:FH12"/>
    <mergeCell ref="FI12:FJ12"/>
    <mergeCell ref="FK12:FL12"/>
    <mergeCell ref="FM12:FN12"/>
    <mergeCell ref="FO12:FP12"/>
    <mergeCell ref="FQ12:FR12"/>
    <mergeCell ref="FX12:FY12"/>
    <mergeCell ref="FZ12:GA12"/>
    <mergeCell ref="GB12:GC12"/>
    <mergeCell ref="GD12:GE12"/>
    <mergeCell ref="GF12:GG12"/>
    <mergeCell ref="GH12:GI12"/>
    <mergeCell ref="GJ12:GK12"/>
    <mergeCell ref="GL12:GM12"/>
    <mergeCell ref="GN12:GO12"/>
    <mergeCell ref="GP12:GQ12"/>
    <mergeCell ref="GR12:GS12"/>
    <mergeCell ref="GT12:GU12"/>
    <mergeCell ref="HD12:HE12"/>
    <mergeCell ref="HF12:HG12"/>
    <mergeCell ref="HH12:HI12"/>
    <mergeCell ref="HJ12:HK12"/>
    <mergeCell ref="HL12:HM12"/>
    <mergeCell ref="HN12:HO12"/>
    <mergeCell ref="HP12:HQ12"/>
    <mergeCell ref="HR12:HS12"/>
    <mergeCell ref="HT12:HU12"/>
    <mergeCell ref="HV12:HW12"/>
    <mergeCell ref="HX12:HY12"/>
    <mergeCell ref="HZ12:IA12"/>
    <mergeCell ref="IG12:IH12"/>
    <mergeCell ref="II12:IJ12"/>
    <mergeCell ref="IK12:IL12"/>
    <mergeCell ref="IM12:IN12"/>
    <mergeCell ref="IO12:IP12"/>
    <mergeCell ref="IQ12:IR12"/>
    <mergeCell ref="IS12:IT12"/>
    <mergeCell ref="IU12:IV12"/>
    <mergeCell ref="IW12:IX12"/>
    <mergeCell ref="IY12:IZ12"/>
    <mergeCell ref="JA12:JB12"/>
    <mergeCell ref="JC12:JD12"/>
    <mergeCell ref="JJ12:JK12"/>
    <mergeCell ref="JL12:JM12"/>
    <mergeCell ref="JN12:JO12"/>
    <mergeCell ref="JP12:JQ12"/>
    <mergeCell ref="JR12:JS12"/>
    <mergeCell ref="JT12:JU12"/>
    <mergeCell ref="JV12:JW12"/>
    <mergeCell ref="JX12:JY12"/>
    <mergeCell ref="JZ12:KA12"/>
    <mergeCell ref="KB12:KC12"/>
    <mergeCell ref="KD12:KE12"/>
    <mergeCell ref="KF12:KG12"/>
    <mergeCell ref="KM12:KN12"/>
    <mergeCell ref="KO12:KP12"/>
    <mergeCell ref="KQ12:KR12"/>
    <mergeCell ref="KS12:KT12"/>
    <mergeCell ref="KU12:KV12"/>
    <mergeCell ref="KW12:KX12"/>
    <mergeCell ref="KY12:KZ12"/>
    <mergeCell ref="LA12:LB12"/>
    <mergeCell ref="LC12:LD12"/>
    <mergeCell ref="LE12:LF12"/>
    <mergeCell ref="LG12:LH12"/>
    <mergeCell ref="LI12:LJ12"/>
    <mergeCell ref="LP12:LQ12"/>
    <mergeCell ref="LR12:LS12"/>
    <mergeCell ref="LT12:LU12"/>
    <mergeCell ref="LV12:LW12"/>
    <mergeCell ref="LX12:LY12"/>
    <mergeCell ref="LZ12:MA12"/>
    <mergeCell ref="MB12:MC12"/>
    <mergeCell ref="MD12:ME12"/>
    <mergeCell ref="MF12:MG12"/>
    <mergeCell ref="MH12:MI12"/>
    <mergeCell ref="MJ12:MK12"/>
    <mergeCell ref="ML12:MM12"/>
    <mergeCell ref="MS12:MT12"/>
    <mergeCell ref="MU12:MV12"/>
    <mergeCell ref="MW12:MX12"/>
    <mergeCell ref="MY12:MZ12"/>
    <mergeCell ref="NA12:NB12"/>
    <mergeCell ref="NC12:ND12"/>
    <mergeCell ref="NE12:NF12"/>
    <mergeCell ref="NG12:NH12"/>
    <mergeCell ref="NI12:NJ12"/>
    <mergeCell ref="NK12:NL12"/>
    <mergeCell ref="NM12:NN12"/>
    <mergeCell ref="NO12:NP12"/>
    <mergeCell ref="NV12:NW12"/>
    <mergeCell ref="NX12:NY12"/>
    <mergeCell ref="NZ12:OA12"/>
    <mergeCell ref="OB12:OC12"/>
    <mergeCell ref="OD12:OE12"/>
    <mergeCell ref="OF12:OG12"/>
    <mergeCell ref="OH12:OI12"/>
    <mergeCell ref="OJ12:OK12"/>
    <mergeCell ref="OL12:OM12"/>
    <mergeCell ref="ON12:OO12"/>
    <mergeCell ref="OP12:OQ12"/>
    <mergeCell ref="OR12:OS12"/>
    <mergeCell ref="PB12:PC12"/>
    <mergeCell ref="PD12:PE12"/>
    <mergeCell ref="PF12:PG12"/>
    <mergeCell ref="PH12:PI12"/>
    <mergeCell ref="PJ12:PK12"/>
    <mergeCell ref="PL12:PM12"/>
    <mergeCell ref="PN12:PO12"/>
    <mergeCell ref="PP12:PQ12"/>
    <mergeCell ref="PR12:PS12"/>
    <mergeCell ref="PT12:PU12"/>
    <mergeCell ref="PV12:PW12"/>
    <mergeCell ref="PX12:PY12"/>
    <mergeCell ref="QE12:QF12"/>
    <mergeCell ref="QG12:QH12"/>
    <mergeCell ref="QI12:QJ12"/>
    <mergeCell ref="QK12:QL12"/>
    <mergeCell ref="QM12:QN12"/>
    <mergeCell ref="QO12:QP12"/>
    <mergeCell ref="QQ12:QR12"/>
    <mergeCell ref="QS12:QT12"/>
    <mergeCell ref="QU12:QV12"/>
    <mergeCell ref="QW12:QX12"/>
    <mergeCell ref="QY12:QZ12"/>
    <mergeCell ref="RA12:RB12"/>
    <mergeCell ref="RH12:RI12"/>
    <mergeCell ref="RJ12:RK12"/>
    <mergeCell ref="RL12:RM12"/>
    <mergeCell ref="RN12:RO12"/>
    <mergeCell ref="RP12:RQ12"/>
    <mergeCell ref="RR12:RS12"/>
    <mergeCell ref="RT12:RU12"/>
    <mergeCell ref="RV12:RW12"/>
    <mergeCell ref="RX12:RY12"/>
    <mergeCell ref="RZ12:SA12"/>
    <mergeCell ref="SB12:SC12"/>
    <mergeCell ref="SD12:SE12"/>
    <mergeCell ref="SK12:SL12"/>
    <mergeCell ref="SM12:SN12"/>
    <mergeCell ref="SO12:SP12"/>
    <mergeCell ref="SQ12:SR12"/>
    <mergeCell ref="SS12:ST12"/>
    <mergeCell ref="SU12:SV12"/>
    <mergeCell ref="SW12:SX12"/>
    <mergeCell ref="SY12:SZ12"/>
    <mergeCell ref="TA12:TB12"/>
    <mergeCell ref="TC12:TD12"/>
    <mergeCell ref="TE12:TF12"/>
    <mergeCell ref="TG12:TH12"/>
    <mergeCell ref="TN12:TO12"/>
    <mergeCell ref="TP12:TQ12"/>
    <mergeCell ref="TR12:TS12"/>
    <mergeCell ref="TT12:TU12"/>
    <mergeCell ref="TV12:TW12"/>
    <mergeCell ref="TX12:TY12"/>
    <mergeCell ref="TZ12:UA12"/>
    <mergeCell ref="UB12:UC12"/>
    <mergeCell ref="UD12:UE12"/>
    <mergeCell ref="UF12:UG12"/>
    <mergeCell ref="UH12:UI12"/>
    <mergeCell ref="UJ12:UK12"/>
    <mergeCell ref="UQ12:UR12"/>
    <mergeCell ref="US12:UT12"/>
    <mergeCell ref="UU12:UV12"/>
    <mergeCell ref="UW12:UX12"/>
    <mergeCell ref="UY12:UZ12"/>
    <mergeCell ref="VA12:VB12"/>
    <mergeCell ref="VC12:VD12"/>
    <mergeCell ref="VE12:VF12"/>
    <mergeCell ref="VG12:VH12"/>
    <mergeCell ref="VI12:VJ12"/>
    <mergeCell ref="VK12:VL12"/>
    <mergeCell ref="VM12:VN12"/>
    <mergeCell ref="VT12:VU12"/>
    <mergeCell ref="VV12:VW12"/>
    <mergeCell ref="VX12:VY12"/>
    <mergeCell ref="VZ12:WA12"/>
    <mergeCell ref="WB12:WC12"/>
    <mergeCell ref="WD12:WE12"/>
    <mergeCell ref="WF12:WG12"/>
    <mergeCell ref="WH12:WI12"/>
    <mergeCell ref="WJ12:WK12"/>
    <mergeCell ref="WL12:WM12"/>
    <mergeCell ref="WN12:WO12"/>
    <mergeCell ref="WP12:WQ12"/>
    <mergeCell ref="WZ12:XA12"/>
    <mergeCell ref="XB12:XC12"/>
    <mergeCell ref="XD12:XE12"/>
    <mergeCell ref="XF12:XG12"/>
    <mergeCell ref="XH12:XI12"/>
    <mergeCell ref="XJ12:XK12"/>
    <mergeCell ref="XL12:XM12"/>
    <mergeCell ref="XN12:XO12"/>
    <mergeCell ref="XP12:XQ12"/>
    <mergeCell ref="XR12:XS12"/>
    <mergeCell ref="XT12:XU12"/>
    <mergeCell ref="XV12:XW12"/>
    <mergeCell ref="YC12:YD12"/>
    <mergeCell ref="YE12:YF12"/>
    <mergeCell ref="YG12:YH12"/>
    <mergeCell ref="YI12:YJ12"/>
    <mergeCell ref="YK12:YL12"/>
    <mergeCell ref="YM12:YN12"/>
    <mergeCell ref="YO12:YP12"/>
    <mergeCell ref="YQ12:YR12"/>
    <mergeCell ref="YS12:YT12"/>
    <mergeCell ref="YU12:YV12"/>
    <mergeCell ref="YW12:YX12"/>
    <mergeCell ref="YY12:YZ12"/>
    <mergeCell ref="ZF12:ZG12"/>
    <mergeCell ref="ZH12:ZI12"/>
    <mergeCell ref="ZJ12:ZK12"/>
    <mergeCell ref="ZL12:ZM12"/>
    <mergeCell ref="ZN12:ZO12"/>
    <mergeCell ref="ZP12:ZQ12"/>
    <mergeCell ref="ZR12:ZS12"/>
    <mergeCell ref="ZT12:ZU12"/>
    <mergeCell ref="ZV12:ZW12"/>
    <mergeCell ref="ZX12:ZY12"/>
    <mergeCell ref="ZZ12:AAA12"/>
    <mergeCell ref="AAB12:AAC12"/>
    <mergeCell ref="AAI12:AAJ12"/>
    <mergeCell ref="AAK12:AAL12"/>
    <mergeCell ref="AAM12:AAN12"/>
    <mergeCell ref="AAO12:AAP12"/>
    <mergeCell ref="AAQ12:AAR12"/>
    <mergeCell ref="AAS12:AAT12"/>
    <mergeCell ref="AAU12:AAV12"/>
    <mergeCell ref="AAW12:AAX12"/>
    <mergeCell ref="AAY12:AAZ12"/>
    <mergeCell ref="ABA12:ABB12"/>
    <mergeCell ref="ABC12:ABD12"/>
    <mergeCell ref="ABE12:ABF12"/>
    <mergeCell ref="ABL12:ABM12"/>
    <mergeCell ref="ABN12:ABO12"/>
    <mergeCell ref="ABP12:ABQ12"/>
    <mergeCell ref="ABR12:ABS12"/>
    <mergeCell ref="ABT12:ABU12"/>
    <mergeCell ref="ABV12:ABW12"/>
    <mergeCell ref="ABX12:ABY12"/>
    <mergeCell ref="ABZ12:ACA12"/>
    <mergeCell ref="ACB12:ACC12"/>
    <mergeCell ref="ACD12:ACE12"/>
    <mergeCell ref="ACF12:ACG12"/>
    <mergeCell ref="ACH12:ACI12"/>
    <mergeCell ref="ACO12:ACP12"/>
    <mergeCell ref="ACQ12:ACR12"/>
    <mergeCell ref="ACS12:ACT12"/>
    <mergeCell ref="ACU12:ACV12"/>
    <mergeCell ref="ACW12:ACX12"/>
    <mergeCell ref="ACY12:ACZ12"/>
    <mergeCell ref="ADA12:ADB12"/>
    <mergeCell ref="ADC12:ADD12"/>
    <mergeCell ref="ADE12:ADF12"/>
    <mergeCell ref="ADG12:ADH12"/>
    <mergeCell ref="ADI12:ADJ12"/>
    <mergeCell ref="ADK12:ADL12"/>
    <mergeCell ref="ADR12:ADS12"/>
    <mergeCell ref="ADT12:ADU12"/>
    <mergeCell ref="ADV12:ADW12"/>
    <mergeCell ref="ADX12:ADY12"/>
    <mergeCell ref="ADZ12:AEA12"/>
    <mergeCell ref="AEB12:AEC12"/>
    <mergeCell ref="AED12:AEE12"/>
    <mergeCell ref="AEF12:AEG12"/>
    <mergeCell ref="AEH12:AEI12"/>
    <mergeCell ref="AEJ12:AEK12"/>
    <mergeCell ref="AEL12:AEM12"/>
    <mergeCell ref="AEN12:AEO12"/>
    <mergeCell ref="AEX12:AEY12"/>
    <mergeCell ref="AEZ12:AFA12"/>
    <mergeCell ref="AFB12:AFC12"/>
    <mergeCell ref="AFD12:AFE12"/>
    <mergeCell ref="AFF12:AFG12"/>
    <mergeCell ref="AFH12:AFI12"/>
    <mergeCell ref="AFJ12:AFK12"/>
    <mergeCell ref="AFL12:AFM12"/>
    <mergeCell ref="AFN12:AFO12"/>
    <mergeCell ref="AFP12:AFQ12"/>
    <mergeCell ref="AFR12:AFS12"/>
    <mergeCell ref="AFT12:AFU12"/>
    <mergeCell ref="AGA12:AGB12"/>
    <mergeCell ref="AGC12:AGD12"/>
    <mergeCell ref="AGE12:AGF12"/>
    <mergeCell ref="AGG12:AGH12"/>
    <mergeCell ref="AGI12:AGJ12"/>
    <mergeCell ref="AGK12:AGL12"/>
    <mergeCell ref="AGM12:AGN12"/>
    <mergeCell ref="AGO12:AGP12"/>
    <mergeCell ref="AGQ12:AGR12"/>
    <mergeCell ref="AGS12:AGT12"/>
    <mergeCell ref="AGU12:AGV12"/>
    <mergeCell ref="AGW12:AGX12"/>
    <mergeCell ref="AHD12:AHE12"/>
    <mergeCell ref="AHF12:AHG12"/>
    <mergeCell ref="AHH12:AHI12"/>
    <mergeCell ref="AHJ12:AHK12"/>
    <mergeCell ref="AHL12:AHM12"/>
    <mergeCell ref="AHN12:AHO12"/>
    <mergeCell ref="AHP12:AHQ12"/>
    <mergeCell ref="AHR12:AHS12"/>
    <mergeCell ref="AHT12:AHU12"/>
    <mergeCell ref="AHV12:AHW12"/>
    <mergeCell ref="AHX12:AHY12"/>
    <mergeCell ref="AHZ12:AIA12"/>
    <mergeCell ref="AIG12:AIH12"/>
    <mergeCell ref="AII12:AIJ12"/>
    <mergeCell ref="AIK12:AIL12"/>
    <mergeCell ref="AIM12:AIN12"/>
    <mergeCell ref="AIO12:AIP12"/>
    <mergeCell ref="AIQ12:AIR12"/>
    <mergeCell ref="AIS12:AIT12"/>
    <mergeCell ref="AIU12:AIV12"/>
    <mergeCell ref="AIW12:AIX12"/>
    <mergeCell ref="AIY12:AIZ12"/>
    <mergeCell ref="AJA12:AJB12"/>
    <mergeCell ref="AJC12:AJD12"/>
    <mergeCell ref="AJJ12:AJK12"/>
    <mergeCell ref="AJL12:AJM12"/>
    <mergeCell ref="AJN12:AJO12"/>
    <mergeCell ref="AJP12:AJQ12"/>
    <mergeCell ref="AJR12:AJS12"/>
    <mergeCell ref="AJT12:AJU12"/>
    <mergeCell ref="AJV12:AJW12"/>
    <mergeCell ref="AJX12:AJY12"/>
    <mergeCell ref="AJZ12:AKA12"/>
    <mergeCell ref="AKB12:AKC12"/>
    <mergeCell ref="AKD12:AKE12"/>
    <mergeCell ref="AKF12:AKG12"/>
    <mergeCell ref="AKM12:AKN12"/>
    <mergeCell ref="AKO12:AKP12"/>
    <mergeCell ref="AKQ12:AKR12"/>
    <mergeCell ref="AKS12:AKT12"/>
    <mergeCell ref="AKU12:AKV12"/>
    <mergeCell ref="AKW12:AKX12"/>
    <mergeCell ref="AKY12:AKZ12"/>
    <mergeCell ref="ALA12:ALB12"/>
    <mergeCell ref="ALC12:ALD12"/>
    <mergeCell ref="ALE12:ALF12"/>
    <mergeCell ref="ALG12:ALH12"/>
    <mergeCell ref="ALI12:ALJ12"/>
    <mergeCell ref="ALP12:ALQ12"/>
    <mergeCell ref="ALR12:ALS12"/>
    <mergeCell ref="ALT12:ALU12"/>
    <mergeCell ref="ALV12:ALW12"/>
    <mergeCell ref="ALX12:ALY12"/>
    <mergeCell ref="ALZ12:AMA12"/>
    <mergeCell ref="AMB12:AMC12"/>
    <mergeCell ref="AMD12:AME12"/>
    <mergeCell ref="AMF12:AMG12"/>
    <mergeCell ref="AMH12:AMI12"/>
    <mergeCell ref="AMJ12:AMK12"/>
    <mergeCell ref="AML12:AMM12"/>
    <mergeCell ref="A13:A16"/>
    <mergeCell ref="A17:A32"/>
    <mergeCell ref="G34:H34"/>
    <mergeCell ref="I34:J34"/>
    <mergeCell ref="AJ34:AK34"/>
    <mergeCell ref="AL34:AM34"/>
    <mergeCell ref="BM34:BN34"/>
    <mergeCell ref="BO34:BP34"/>
    <mergeCell ref="CP34:CQ34"/>
    <mergeCell ref="CR34:CS34"/>
    <mergeCell ref="DS34:DT34"/>
    <mergeCell ref="DU34:DV34"/>
    <mergeCell ref="HE34:HF34"/>
    <mergeCell ref="HG34:HH34"/>
    <mergeCell ref="IH34:II34"/>
    <mergeCell ref="IJ34:IK34"/>
    <mergeCell ref="JK34:JL34"/>
    <mergeCell ref="JM34:JN34"/>
    <mergeCell ref="KN34:KO34"/>
    <mergeCell ref="KP34:KQ34"/>
    <mergeCell ref="LQ34:LR34"/>
    <mergeCell ref="LS34:LT34"/>
    <mergeCell ref="PC34:PD34"/>
    <mergeCell ref="PE34:PF34"/>
    <mergeCell ref="QF34:QG34"/>
    <mergeCell ref="QH34:QI34"/>
    <mergeCell ref="RI34:RJ34"/>
    <mergeCell ref="RK34:RL34"/>
    <mergeCell ref="SL34:SM34"/>
    <mergeCell ref="SN34:SO34"/>
    <mergeCell ref="TO34:TP34"/>
    <mergeCell ref="TQ34:TR34"/>
    <mergeCell ref="XA34:XB34"/>
    <mergeCell ref="XC34:XD34"/>
    <mergeCell ref="YD34:YE34"/>
    <mergeCell ref="YF34:YG34"/>
    <mergeCell ref="ZG34:ZH34"/>
    <mergeCell ref="ZI34:ZJ34"/>
    <mergeCell ref="AAJ34:AAK34"/>
    <mergeCell ref="AAL34:AAM34"/>
    <mergeCell ref="ABM34:ABN34"/>
    <mergeCell ref="ABO34:ABP34"/>
    <mergeCell ref="AEY34:AEZ34"/>
    <mergeCell ref="AFA34:AFC34"/>
    <mergeCell ref="AGB34:AGC34"/>
    <mergeCell ref="AGD34:AGF34"/>
    <mergeCell ref="AHE34:AHF34"/>
    <mergeCell ref="AHG34:AHH34"/>
    <mergeCell ref="AIH34:AII34"/>
    <mergeCell ref="AIJ34:AIK34"/>
    <mergeCell ref="AJK34:AJL34"/>
    <mergeCell ref="AJM34:AJN34"/>
    <mergeCell ref="A36:C36"/>
    <mergeCell ref="F37:G37"/>
    <mergeCell ref="H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AI37:AJ37"/>
    <mergeCell ref="AK37:AL37"/>
    <mergeCell ref="AM37:AN37"/>
    <mergeCell ref="AO37:AP37"/>
    <mergeCell ref="AQ37:AR37"/>
    <mergeCell ref="AS37:AT37"/>
    <mergeCell ref="AU37:AV37"/>
    <mergeCell ref="AW37:AX37"/>
    <mergeCell ref="AY37:AZ37"/>
    <mergeCell ref="BA37:BB37"/>
    <mergeCell ref="BC37:BD37"/>
    <mergeCell ref="BE37:BF37"/>
    <mergeCell ref="BL37:BM37"/>
    <mergeCell ref="BN37:BO37"/>
    <mergeCell ref="BP37:BQ37"/>
    <mergeCell ref="BR37:BS37"/>
    <mergeCell ref="BT37:BU37"/>
    <mergeCell ref="BV37:BW37"/>
    <mergeCell ref="BX37:BY37"/>
    <mergeCell ref="BZ37:CA37"/>
    <mergeCell ref="CB37:CC37"/>
    <mergeCell ref="CD37:CE37"/>
    <mergeCell ref="CF37:CG37"/>
    <mergeCell ref="CH37:CI37"/>
    <mergeCell ref="CO37:CP37"/>
    <mergeCell ref="CQ37:CR37"/>
    <mergeCell ref="CS37:CT37"/>
    <mergeCell ref="CU37:CV37"/>
    <mergeCell ref="CW37:CX37"/>
    <mergeCell ref="CY37:CZ37"/>
    <mergeCell ref="DA37:DB37"/>
    <mergeCell ref="DC37:DD37"/>
    <mergeCell ref="DE37:DF37"/>
    <mergeCell ref="DG37:DH37"/>
    <mergeCell ref="DI37:DJ37"/>
    <mergeCell ref="DK37:DL37"/>
    <mergeCell ref="DR37:DS37"/>
    <mergeCell ref="DT37:DU37"/>
    <mergeCell ref="DV37:DW37"/>
    <mergeCell ref="DX37:DY37"/>
    <mergeCell ref="DZ37:EA37"/>
    <mergeCell ref="EB37:EC37"/>
    <mergeCell ref="ED37:EE37"/>
    <mergeCell ref="EF37:EG37"/>
    <mergeCell ref="EH37:EI37"/>
    <mergeCell ref="EJ37:EK37"/>
    <mergeCell ref="EL37:EM37"/>
    <mergeCell ref="EN37:EO37"/>
    <mergeCell ref="EU37:EV37"/>
    <mergeCell ref="EW37:EX37"/>
    <mergeCell ref="EY37:EZ37"/>
    <mergeCell ref="FA37:FB37"/>
    <mergeCell ref="FC37:FD37"/>
    <mergeCell ref="FE37:FF37"/>
    <mergeCell ref="FG37:FH37"/>
    <mergeCell ref="FI37:FJ37"/>
    <mergeCell ref="FK37:FL37"/>
    <mergeCell ref="FM37:FN37"/>
    <mergeCell ref="FO37:FP37"/>
    <mergeCell ref="FQ37:FR37"/>
    <mergeCell ref="FX37:FY37"/>
    <mergeCell ref="FZ37:GA37"/>
    <mergeCell ref="GB37:GC37"/>
    <mergeCell ref="GD37:GE37"/>
    <mergeCell ref="GF37:GG37"/>
    <mergeCell ref="GH37:GI37"/>
    <mergeCell ref="GJ37:GK37"/>
    <mergeCell ref="GL37:GM37"/>
    <mergeCell ref="GN37:GO37"/>
    <mergeCell ref="GP37:GQ37"/>
    <mergeCell ref="GR37:GS37"/>
    <mergeCell ref="GT37:GU37"/>
    <mergeCell ref="HD37:HE37"/>
    <mergeCell ref="HF37:HG37"/>
    <mergeCell ref="HH37:HI37"/>
    <mergeCell ref="HJ37:HK37"/>
    <mergeCell ref="HL37:HM37"/>
    <mergeCell ref="HN37:HO37"/>
    <mergeCell ref="HP37:HQ37"/>
    <mergeCell ref="HR37:HS37"/>
    <mergeCell ref="HT37:HU37"/>
    <mergeCell ref="HV37:HW37"/>
    <mergeCell ref="HX37:HY37"/>
    <mergeCell ref="HZ37:IA37"/>
    <mergeCell ref="IG37:IH37"/>
    <mergeCell ref="II37:IJ37"/>
    <mergeCell ref="IK37:IL37"/>
    <mergeCell ref="IM37:IN37"/>
    <mergeCell ref="IO37:IP37"/>
    <mergeCell ref="IQ37:IR37"/>
    <mergeCell ref="IS37:IT37"/>
    <mergeCell ref="IU37:IV37"/>
    <mergeCell ref="IW37:IX37"/>
    <mergeCell ref="IY37:IZ37"/>
    <mergeCell ref="JA37:JB37"/>
    <mergeCell ref="JC37:JD37"/>
    <mergeCell ref="JJ37:JK37"/>
    <mergeCell ref="JL37:JM37"/>
    <mergeCell ref="JN37:JO37"/>
    <mergeCell ref="JP37:JQ37"/>
    <mergeCell ref="JR37:JS37"/>
    <mergeCell ref="JT37:JU37"/>
    <mergeCell ref="JV37:JW37"/>
    <mergeCell ref="JX37:JY37"/>
    <mergeCell ref="JZ37:KA37"/>
    <mergeCell ref="KB37:KC37"/>
    <mergeCell ref="KD37:KE37"/>
    <mergeCell ref="KF37:KG37"/>
    <mergeCell ref="KM37:KN37"/>
    <mergeCell ref="KO37:KP37"/>
    <mergeCell ref="KQ37:KR37"/>
    <mergeCell ref="KS37:KT37"/>
    <mergeCell ref="KU37:KV37"/>
    <mergeCell ref="KW37:KX37"/>
    <mergeCell ref="KY37:KZ37"/>
    <mergeCell ref="LA37:LB37"/>
    <mergeCell ref="LC37:LD37"/>
    <mergeCell ref="LE37:LF37"/>
    <mergeCell ref="LG37:LH37"/>
    <mergeCell ref="LI37:LJ37"/>
    <mergeCell ref="LP37:LQ37"/>
    <mergeCell ref="LR37:LS37"/>
    <mergeCell ref="LT37:LU37"/>
    <mergeCell ref="LV37:LW37"/>
    <mergeCell ref="LX37:LY37"/>
    <mergeCell ref="LZ37:MA37"/>
    <mergeCell ref="MB37:MC37"/>
    <mergeCell ref="MD37:ME37"/>
    <mergeCell ref="MF37:MG37"/>
    <mergeCell ref="MH37:MI37"/>
    <mergeCell ref="MJ37:MK37"/>
    <mergeCell ref="ML37:MM37"/>
    <mergeCell ref="MS37:MT37"/>
    <mergeCell ref="MU37:MV37"/>
    <mergeCell ref="MW37:MX37"/>
    <mergeCell ref="MY37:MZ37"/>
    <mergeCell ref="NA37:NB37"/>
    <mergeCell ref="NC37:ND37"/>
    <mergeCell ref="NE37:NF37"/>
    <mergeCell ref="NG37:NH37"/>
    <mergeCell ref="NI37:NJ37"/>
    <mergeCell ref="NK37:NL37"/>
    <mergeCell ref="NM37:NN37"/>
    <mergeCell ref="NO37:NP37"/>
    <mergeCell ref="NV37:NW37"/>
    <mergeCell ref="NX37:NY37"/>
    <mergeCell ref="NZ37:OA37"/>
    <mergeCell ref="OB37:OC37"/>
    <mergeCell ref="OD37:OE37"/>
    <mergeCell ref="OF37:OG37"/>
    <mergeCell ref="OH37:OI37"/>
    <mergeCell ref="OJ37:OK37"/>
    <mergeCell ref="OL37:OM37"/>
    <mergeCell ref="ON37:OO37"/>
    <mergeCell ref="OP37:OQ37"/>
    <mergeCell ref="OR37:OS37"/>
    <mergeCell ref="PB37:PC37"/>
    <mergeCell ref="PD37:PE37"/>
    <mergeCell ref="PF37:PG37"/>
    <mergeCell ref="PH37:PI37"/>
    <mergeCell ref="PJ37:PK37"/>
    <mergeCell ref="PL37:PM37"/>
    <mergeCell ref="PN37:PO37"/>
    <mergeCell ref="PP37:PQ37"/>
    <mergeCell ref="PR37:PS37"/>
    <mergeCell ref="PT37:PU37"/>
    <mergeCell ref="PV37:PW37"/>
    <mergeCell ref="PX37:PY37"/>
    <mergeCell ref="QE37:QF37"/>
    <mergeCell ref="QG37:QH37"/>
    <mergeCell ref="QI37:QJ37"/>
    <mergeCell ref="QK37:QL37"/>
    <mergeCell ref="QM37:QN37"/>
    <mergeCell ref="QO37:QP37"/>
    <mergeCell ref="QQ37:QR37"/>
    <mergeCell ref="QS37:QT37"/>
    <mergeCell ref="QU37:QV37"/>
    <mergeCell ref="QW37:QX37"/>
    <mergeCell ref="QY37:QZ37"/>
    <mergeCell ref="RA37:RB37"/>
    <mergeCell ref="RH37:RI37"/>
    <mergeCell ref="RJ37:RK37"/>
    <mergeCell ref="RL37:RM37"/>
    <mergeCell ref="RN37:RO37"/>
    <mergeCell ref="RP37:RQ37"/>
    <mergeCell ref="RR37:RS37"/>
    <mergeCell ref="RT37:RU37"/>
    <mergeCell ref="RV37:RW37"/>
    <mergeCell ref="RX37:RY37"/>
    <mergeCell ref="RZ37:SA37"/>
    <mergeCell ref="SB37:SC37"/>
    <mergeCell ref="SD37:SE37"/>
    <mergeCell ref="SK37:SL37"/>
    <mergeCell ref="SM37:SN37"/>
    <mergeCell ref="SO37:SP37"/>
    <mergeCell ref="SQ37:SR37"/>
    <mergeCell ref="SS37:ST37"/>
    <mergeCell ref="SU37:SV37"/>
    <mergeCell ref="SW37:SX37"/>
    <mergeCell ref="SY37:SZ37"/>
    <mergeCell ref="TA37:TB37"/>
    <mergeCell ref="TC37:TD37"/>
    <mergeCell ref="TE37:TF37"/>
    <mergeCell ref="TG37:TH37"/>
    <mergeCell ref="TN37:TO37"/>
    <mergeCell ref="TP37:TQ37"/>
    <mergeCell ref="TR37:TS37"/>
    <mergeCell ref="TT37:TU37"/>
    <mergeCell ref="TV37:TW37"/>
    <mergeCell ref="TX37:TY37"/>
    <mergeCell ref="TZ37:UA37"/>
    <mergeCell ref="UB37:UC37"/>
    <mergeCell ref="UD37:UE37"/>
    <mergeCell ref="UF37:UG37"/>
    <mergeCell ref="UH37:UI37"/>
    <mergeCell ref="UJ37:UK37"/>
    <mergeCell ref="UQ37:UR37"/>
    <mergeCell ref="US37:UT37"/>
    <mergeCell ref="UU37:UV37"/>
    <mergeCell ref="UW37:UX37"/>
    <mergeCell ref="UY37:UZ37"/>
    <mergeCell ref="VA37:VB37"/>
    <mergeCell ref="VC37:VD37"/>
    <mergeCell ref="VE37:VF37"/>
    <mergeCell ref="VG37:VH37"/>
    <mergeCell ref="VI37:VJ37"/>
    <mergeCell ref="VK37:VL37"/>
    <mergeCell ref="VM37:VN37"/>
    <mergeCell ref="VT37:VU37"/>
    <mergeCell ref="VV37:VW37"/>
    <mergeCell ref="VX37:VY37"/>
    <mergeCell ref="VZ37:WA37"/>
    <mergeCell ref="WB37:WC37"/>
    <mergeCell ref="WD37:WE37"/>
    <mergeCell ref="WF37:WG37"/>
    <mergeCell ref="WH37:WI37"/>
    <mergeCell ref="WJ37:WK37"/>
    <mergeCell ref="WL37:WM37"/>
    <mergeCell ref="WN37:WO37"/>
    <mergeCell ref="WP37:WQ37"/>
    <mergeCell ref="WZ37:XA37"/>
    <mergeCell ref="XB37:XC37"/>
    <mergeCell ref="XD37:XE37"/>
    <mergeCell ref="XF37:XG37"/>
    <mergeCell ref="XH37:XI37"/>
    <mergeCell ref="XJ37:XK37"/>
    <mergeCell ref="XL37:XM37"/>
    <mergeCell ref="XN37:XO37"/>
    <mergeCell ref="XP37:XQ37"/>
    <mergeCell ref="XR37:XS37"/>
    <mergeCell ref="XT37:XU37"/>
    <mergeCell ref="XV37:XW37"/>
    <mergeCell ref="YC37:YD37"/>
    <mergeCell ref="YE37:YF37"/>
    <mergeCell ref="YG37:YH37"/>
    <mergeCell ref="YI37:YJ37"/>
    <mergeCell ref="YK37:YL37"/>
    <mergeCell ref="YM37:YN37"/>
    <mergeCell ref="YO37:YP37"/>
    <mergeCell ref="YQ37:YR37"/>
    <mergeCell ref="YS37:YT37"/>
    <mergeCell ref="YU37:YV37"/>
    <mergeCell ref="YW37:YX37"/>
    <mergeCell ref="YY37:YZ37"/>
    <mergeCell ref="ZF37:ZG37"/>
    <mergeCell ref="ZH37:ZI37"/>
    <mergeCell ref="ZJ37:ZK37"/>
    <mergeCell ref="ZL37:ZM37"/>
    <mergeCell ref="ZN37:ZO37"/>
    <mergeCell ref="ZP37:ZQ37"/>
    <mergeCell ref="ZR37:ZS37"/>
    <mergeCell ref="ZT37:ZU37"/>
    <mergeCell ref="ZV37:ZW37"/>
    <mergeCell ref="ZX37:ZY37"/>
    <mergeCell ref="ZZ37:AAA37"/>
    <mergeCell ref="AAB37:AAC37"/>
    <mergeCell ref="AAI37:AAJ37"/>
    <mergeCell ref="AAK37:AAL37"/>
    <mergeCell ref="AAM37:AAN37"/>
    <mergeCell ref="AAO37:AAP37"/>
    <mergeCell ref="AAQ37:AAR37"/>
    <mergeCell ref="AAS37:AAT37"/>
    <mergeCell ref="AAU37:AAV37"/>
    <mergeCell ref="AAW37:AAX37"/>
    <mergeCell ref="AAY37:AAZ37"/>
    <mergeCell ref="ABA37:ABB37"/>
    <mergeCell ref="ABC37:ABD37"/>
    <mergeCell ref="ABE37:ABF37"/>
    <mergeCell ref="ABL37:ABM37"/>
    <mergeCell ref="ABN37:ABO37"/>
    <mergeCell ref="ABP37:ABQ37"/>
    <mergeCell ref="ABR37:ABS37"/>
    <mergeCell ref="ABT37:ABU37"/>
    <mergeCell ref="ABV37:ABW37"/>
    <mergeCell ref="ABX37:ABY37"/>
    <mergeCell ref="ABZ37:ACA37"/>
    <mergeCell ref="ACB37:ACC37"/>
    <mergeCell ref="ACD37:ACE37"/>
    <mergeCell ref="ACF37:ACG37"/>
    <mergeCell ref="ACH37:ACI37"/>
    <mergeCell ref="ACO37:ACP37"/>
    <mergeCell ref="ACQ37:ACR37"/>
    <mergeCell ref="ACS37:ACT37"/>
    <mergeCell ref="ACU37:ACV37"/>
    <mergeCell ref="ACW37:ACX37"/>
    <mergeCell ref="ACY37:ACZ37"/>
    <mergeCell ref="ADA37:ADB37"/>
    <mergeCell ref="ADC37:ADD37"/>
    <mergeCell ref="ADE37:ADF37"/>
    <mergeCell ref="ADG37:ADH37"/>
    <mergeCell ref="ADI37:ADJ37"/>
    <mergeCell ref="ADK37:ADL37"/>
    <mergeCell ref="ADR37:ADS37"/>
    <mergeCell ref="ADT37:ADU37"/>
    <mergeCell ref="ADV37:ADW37"/>
    <mergeCell ref="ADX37:ADY37"/>
    <mergeCell ref="ADZ37:AEA37"/>
    <mergeCell ref="AEB37:AEC37"/>
    <mergeCell ref="AED37:AEE37"/>
    <mergeCell ref="AEF37:AEG37"/>
    <mergeCell ref="AEH37:AEI37"/>
    <mergeCell ref="AEJ37:AEK37"/>
    <mergeCell ref="AEL37:AEM37"/>
    <mergeCell ref="AEN37:AEO37"/>
    <mergeCell ref="AEX37:AEY37"/>
    <mergeCell ref="AEZ37:AFA37"/>
    <mergeCell ref="AFB37:AFC37"/>
    <mergeCell ref="AFD37:AFE37"/>
    <mergeCell ref="AFF37:AFG37"/>
    <mergeCell ref="AFH37:AFI37"/>
    <mergeCell ref="AFJ37:AFK37"/>
    <mergeCell ref="AFL37:AFM37"/>
    <mergeCell ref="AFN37:AFO37"/>
    <mergeCell ref="AFP37:AFQ37"/>
    <mergeCell ref="AFR37:AFS37"/>
    <mergeCell ref="AFT37:AFU37"/>
    <mergeCell ref="AGA37:AGB37"/>
    <mergeCell ref="AGC37:AGD37"/>
    <mergeCell ref="AGE37:AGF37"/>
    <mergeCell ref="AGG37:AGH37"/>
    <mergeCell ref="AGI37:AGJ37"/>
    <mergeCell ref="AGK37:AGL37"/>
    <mergeCell ref="AGM37:AGN37"/>
    <mergeCell ref="AGO37:AGP37"/>
    <mergeCell ref="AGQ37:AGR37"/>
    <mergeCell ref="AGS37:AGT37"/>
    <mergeCell ref="AGU37:AGV37"/>
    <mergeCell ref="AGW37:AGX37"/>
    <mergeCell ref="AHD37:AHE37"/>
    <mergeCell ref="AHF37:AHG37"/>
    <mergeCell ref="AHH37:AHI37"/>
    <mergeCell ref="AHJ37:AHK37"/>
    <mergeCell ref="AHL37:AHM37"/>
    <mergeCell ref="AHN37:AHO37"/>
    <mergeCell ref="AHP37:AHQ37"/>
    <mergeCell ref="AHR37:AHS37"/>
    <mergeCell ref="AHT37:AHU37"/>
    <mergeCell ref="AHV37:AHW37"/>
    <mergeCell ref="AHX37:AHY37"/>
    <mergeCell ref="AHZ37:AIA37"/>
    <mergeCell ref="AIG37:AIH37"/>
    <mergeCell ref="AII37:AIJ37"/>
    <mergeCell ref="AIK37:AIL37"/>
    <mergeCell ref="AIM37:AIN37"/>
    <mergeCell ref="AIO37:AIP37"/>
    <mergeCell ref="AIQ37:AIR37"/>
    <mergeCell ref="AIS37:AIT37"/>
    <mergeCell ref="AIU37:AIV37"/>
    <mergeCell ref="AIW37:AIX37"/>
    <mergeCell ref="AIY37:AIZ37"/>
    <mergeCell ref="AJA37:AJB37"/>
    <mergeCell ref="AJC37:AJD37"/>
    <mergeCell ref="AJJ37:AJK37"/>
    <mergeCell ref="AJL37:AJM37"/>
    <mergeCell ref="AJN37:AJO37"/>
    <mergeCell ref="AJP37:AJQ37"/>
    <mergeCell ref="AJR37:AJS37"/>
    <mergeCell ref="AJT37:AJU37"/>
    <mergeCell ref="AJV37:AJW37"/>
    <mergeCell ref="AJX37:AJY37"/>
    <mergeCell ref="AJZ37:AKA37"/>
    <mergeCell ref="AKB37:AKC37"/>
    <mergeCell ref="AKD37:AKE37"/>
    <mergeCell ref="AKF37:AKG37"/>
    <mergeCell ref="AKM37:AKN37"/>
    <mergeCell ref="AKO37:AKP37"/>
    <mergeCell ref="AKQ37:AKR37"/>
    <mergeCell ref="AKS37:AKT37"/>
    <mergeCell ref="AKU37:AKV37"/>
    <mergeCell ref="AKW37:AKX37"/>
    <mergeCell ref="AKY37:AKZ37"/>
    <mergeCell ref="ALA37:ALB37"/>
    <mergeCell ref="ALC37:ALD37"/>
    <mergeCell ref="ALE37:ALF37"/>
    <mergeCell ref="ALG37:ALH37"/>
    <mergeCell ref="ALI37:ALJ37"/>
    <mergeCell ref="ALP37:ALQ37"/>
    <mergeCell ref="ALR37:ALS37"/>
    <mergeCell ref="ALT37:ALU37"/>
    <mergeCell ref="ALV37:ALW37"/>
    <mergeCell ref="ALX37:ALY37"/>
    <mergeCell ref="ALZ37:AMA37"/>
    <mergeCell ref="AMB37:AMC37"/>
    <mergeCell ref="AMD37:AME37"/>
    <mergeCell ref="AMF37:AMG37"/>
    <mergeCell ref="AMH37:AMI37"/>
    <mergeCell ref="AMJ37:AMK37"/>
    <mergeCell ref="AML37:AMM37"/>
    <mergeCell ref="A38:A51"/>
    <mergeCell ref="G53:H53"/>
    <mergeCell ref="I53:J53"/>
    <mergeCell ref="AJ53:AK53"/>
    <mergeCell ref="AL53:AM53"/>
    <mergeCell ref="BM53:BN53"/>
    <mergeCell ref="BO53:BP53"/>
    <mergeCell ref="CP53:CQ53"/>
    <mergeCell ref="CR53:CS53"/>
    <mergeCell ref="DS53:DT53"/>
    <mergeCell ref="DU53:DV53"/>
    <mergeCell ref="HE53:HF53"/>
    <mergeCell ref="HG53:HH53"/>
    <mergeCell ref="IH53:II53"/>
    <mergeCell ref="IJ53:IK53"/>
    <mergeCell ref="JK53:JL53"/>
    <mergeCell ref="JM53:JN53"/>
    <mergeCell ref="KN53:KO53"/>
    <mergeCell ref="KP53:KQ53"/>
    <mergeCell ref="LQ53:LR53"/>
    <mergeCell ref="LS53:LT53"/>
    <mergeCell ref="PC53:PD53"/>
    <mergeCell ref="PE53:PF53"/>
    <mergeCell ref="QF53:QG53"/>
    <mergeCell ref="QH53:QI53"/>
    <mergeCell ref="RI53:RJ53"/>
    <mergeCell ref="RK53:RL53"/>
    <mergeCell ref="SL53:SM53"/>
    <mergeCell ref="SN53:SO53"/>
    <mergeCell ref="TO53:TP53"/>
    <mergeCell ref="TQ53:TR53"/>
    <mergeCell ref="XA53:XB53"/>
    <mergeCell ref="XC53:XD53"/>
    <mergeCell ref="YD53:YE53"/>
    <mergeCell ref="YF53:YG53"/>
    <mergeCell ref="ZG53:ZH53"/>
    <mergeCell ref="ZI53:ZJ53"/>
    <mergeCell ref="AAJ53:AAK53"/>
    <mergeCell ref="AAL53:AAM53"/>
    <mergeCell ref="ABM53:ABN53"/>
    <mergeCell ref="ABO53:ABP53"/>
    <mergeCell ref="AEY53:AEZ53"/>
    <mergeCell ref="AFA53:AFB53"/>
    <mergeCell ref="AGB53:AGC53"/>
    <mergeCell ref="AGD53:AGE53"/>
    <mergeCell ref="AHE53:AHF53"/>
    <mergeCell ref="AHG53:AHH53"/>
    <mergeCell ref="AIH53:AII53"/>
    <mergeCell ref="AIJ53:AIK53"/>
    <mergeCell ref="AJK53:AJL53"/>
    <mergeCell ref="AJM53:AJN53"/>
    <mergeCell ref="A55:C55"/>
    <mergeCell ref="F56:G56"/>
    <mergeCell ref="H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6:AA56"/>
    <mergeCell ref="AB56:AC56"/>
    <mergeCell ref="AI56:AJ56"/>
    <mergeCell ref="AK56:AL56"/>
    <mergeCell ref="AM56:AN56"/>
    <mergeCell ref="AO56:AP56"/>
    <mergeCell ref="AQ56:AR56"/>
    <mergeCell ref="AS56:AT56"/>
    <mergeCell ref="AU56:AV56"/>
    <mergeCell ref="AW56:AX56"/>
    <mergeCell ref="AY56:AZ56"/>
    <mergeCell ref="BA56:BB56"/>
    <mergeCell ref="BC56:BD56"/>
    <mergeCell ref="BE56:BF56"/>
    <mergeCell ref="BL56:BM56"/>
    <mergeCell ref="BN56:BO56"/>
    <mergeCell ref="BP56:BQ56"/>
    <mergeCell ref="BR56:BS56"/>
    <mergeCell ref="BT56:BU56"/>
    <mergeCell ref="BV56:BW56"/>
    <mergeCell ref="BX56:BY56"/>
    <mergeCell ref="BZ56:CA56"/>
    <mergeCell ref="CB56:CC56"/>
    <mergeCell ref="CD56:CE56"/>
    <mergeCell ref="CF56:CG56"/>
    <mergeCell ref="CH56:CI56"/>
    <mergeCell ref="CO56:CP56"/>
    <mergeCell ref="CQ56:CR56"/>
    <mergeCell ref="CS56:CT56"/>
    <mergeCell ref="CU56:CV56"/>
    <mergeCell ref="CW56:CX56"/>
    <mergeCell ref="CY56:CZ56"/>
    <mergeCell ref="DA56:DB56"/>
    <mergeCell ref="DC56:DD56"/>
    <mergeCell ref="DE56:DF56"/>
    <mergeCell ref="DG56:DH56"/>
    <mergeCell ref="DI56:DJ56"/>
    <mergeCell ref="DK56:DL56"/>
    <mergeCell ref="DR56:DS56"/>
    <mergeCell ref="DT56:DU56"/>
    <mergeCell ref="DV56:DW56"/>
    <mergeCell ref="DX56:DY56"/>
    <mergeCell ref="DZ56:EA56"/>
    <mergeCell ref="EB56:EC56"/>
    <mergeCell ref="ED56:EE56"/>
    <mergeCell ref="EF56:EG56"/>
    <mergeCell ref="EH56:EI56"/>
    <mergeCell ref="EJ56:EK56"/>
    <mergeCell ref="EL56:EM56"/>
    <mergeCell ref="EN56:EO56"/>
    <mergeCell ref="EU56:EV56"/>
    <mergeCell ref="EW56:EX56"/>
    <mergeCell ref="EY56:EZ56"/>
    <mergeCell ref="FA56:FB56"/>
    <mergeCell ref="FC56:FD56"/>
    <mergeCell ref="FE56:FF56"/>
    <mergeCell ref="FG56:FH56"/>
    <mergeCell ref="FI56:FJ56"/>
    <mergeCell ref="FK56:FL56"/>
    <mergeCell ref="FM56:FN56"/>
    <mergeCell ref="FO56:FP56"/>
    <mergeCell ref="FQ56:FR56"/>
    <mergeCell ref="FX56:FY56"/>
    <mergeCell ref="FZ56:GA56"/>
    <mergeCell ref="GB56:GC56"/>
    <mergeCell ref="GD56:GE56"/>
    <mergeCell ref="GF56:GG56"/>
    <mergeCell ref="GH56:GI56"/>
    <mergeCell ref="GJ56:GK56"/>
    <mergeCell ref="GL56:GM56"/>
    <mergeCell ref="GN56:GO56"/>
    <mergeCell ref="GP56:GQ56"/>
    <mergeCell ref="GR56:GS56"/>
    <mergeCell ref="GT56:GU56"/>
    <mergeCell ref="HD56:HE56"/>
    <mergeCell ref="HF56:HG56"/>
    <mergeCell ref="HH56:HI56"/>
    <mergeCell ref="HJ56:HK56"/>
    <mergeCell ref="HL56:HM56"/>
    <mergeCell ref="HN56:HO56"/>
    <mergeCell ref="HP56:HQ56"/>
    <mergeCell ref="HR56:HS56"/>
    <mergeCell ref="HT56:HU56"/>
    <mergeCell ref="HV56:HW56"/>
    <mergeCell ref="HX56:HY56"/>
    <mergeCell ref="HZ56:IA56"/>
    <mergeCell ref="IG56:IH56"/>
    <mergeCell ref="II56:IJ56"/>
    <mergeCell ref="IK56:IL56"/>
    <mergeCell ref="IM56:IN56"/>
    <mergeCell ref="IO56:IP56"/>
    <mergeCell ref="IQ56:IR56"/>
    <mergeCell ref="IS56:IT56"/>
    <mergeCell ref="IU56:IV56"/>
    <mergeCell ref="IW56:IX56"/>
    <mergeCell ref="IY56:IZ56"/>
    <mergeCell ref="JA56:JB56"/>
    <mergeCell ref="JC56:JD56"/>
    <mergeCell ref="JJ56:JK56"/>
    <mergeCell ref="JL56:JM56"/>
    <mergeCell ref="JN56:JO56"/>
    <mergeCell ref="JP56:JQ56"/>
    <mergeCell ref="JR56:JS56"/>
    <mergeCell ref="JT56:JU56"/>
    <mergeCell ref="JV56:JW56"/>
    <mergeCell ref="JX56:JY56"/>
    <mergeCell ref="JZ56:KA56"/>
    <mergeCell ref="KB56:KC56"/>
    <mergeCell ref="KD56:KE56"/>
    <mergeCell ref="KF56:KG56"/>
    <mergeCell ref="KM56:KN56"/>
    <mergeCell ref="KO56:KP56"/>
    <mergeCell ref="KQ56:KR56"/>
    <mergeCell ref="KS56:KT56"/>
    <mergeCell ref="KU56:KV56"/>
    <mergeCell ref="KW56:KX56"/>
    <mergeCell ref="KY56:KZ56"/>
    <mergeCell ref="LA56:LB56"/>
    <mergeCell ref="LC56:LD56"/>
    <mergeCell ref="LE56:LF56"/>
    <mergeCell ref="LG56:LH56"/>
    <mergeCell ref="LI56:LJ56"/>
    <mergeCell ref="LP56:LQ56"/>
    <mergeCell ref="LR56:LS56"/>
    <mergeCell ref="LT56:LU56"/>
    <mergeCell ref="LV56:LW56"/>
    <mergeCell ref="LX56:LY56"/>
    <mergeCell ref="LZ56:MA56"/>
    <mergeCell ref="MB56:MC56"/>
    <mergeCell ref="MD56:ME56"/>
    <mergeCell ref="MF56:MG56"/>
    <mergeCell ref="MH56:MI56"/>
    <mergeCell ref="MJ56:MK56"/>
    <mergeCell ref="ML56:MM56"/>
    <mergeCell ref="MS56:MT56"/>
    <mergeCell ref="MU56:MV56"/>
    <mergeCell ref="MW56:MX56"/>
    <mergeCell ref="MY56:MZ56"/>
    <mergeCell ref="NA56:NB56"/>
    <mergeCell ref="NC56:ND56"/>
    <mergeCell ref="NE56:NF56"/>
    <mergeCell ref="NG56:NH56"/>
    <mergeCell ref="NI56:NJ56"/>
    <mergeCell ref="NK56:NL56"/>
    <mergeCell ref="NM56:NN56"/>
    <mergeCell ref="NO56:NP56"/>
    <mergeCell ref="NV56:NW56"/>
    <mergeCell ref="NX56:NY56"/>
    <mergeCell ref="NZ56:OA56"/>
    <mergeCell ref="OB56:OC56"/>
    <mergeCell ref="OD56:OE56"/>
    <mergeCell ref="OF56:OG56"/>
    <mergeCell ref="OH56:OI56"/>
    <mergeCell ref="OJ56:OK56"/>
    <mergeCell ref="OL56:OM56"/>
    <mergeCell ref="ON56:OO56"/>
    <mergeCell ref="OP56:OQ56"/>
    <mergeCell ref="OR56:OS56"/>
    <mergeCell ref="PB56:PC56"/>
    <mergeCell ref="PD56:PE56"/>
    <mergeCell ref="PF56:PG56"/>
    <mergeCell ref="PH56:PI56"/>
    <mergeCell ref="PJ56:PK56"/>
    <mergeCell ref="PL56:PM56"/>
    <mergeCell ref="PN56:PO56"/>
    <mergeCell ref="PP56:PQ56"/>
    <mergeCell ref="PR56:PS56"/>
    <mergeCell ref="PT56:PU56"/>
    <mergeCell ref="PV56:PW56"/>
    <mergeCell ref="PX56:PY56"/>
    <mergeCell ref="QE56:QF56"/>
    <mergeCell ref="QG56:QH56"/>
    <mergeCell ref="QI56:QJ56"/>
    <mergeCell ref="QK56:QL56"/>
    <mergeCell ref="QM56:QN56"/>
    <mergeCell ref="QO56:QP56"/>
    <mergeCell ref="QQ56:QR56"/>
    <mergeCell ref="QS56:QT56"/>
    <mergeCell ref="QU56:QV56"/>
    <mergeCell ref="QW56:QX56"/>
    <mergeCell ref="QY56:QZ56"/>
    <mergeCell ref="RA56:RB56"/>
    <mergeCell ref="RH56:RI56"/>
    <mergeCell ref="RJ56:RK56"/>
    <mergeCell ref="RL56:RM56"/>
    <mergeCell ref="RN56:RO56"/>
    <mergeCell ref="RP56:RQ56"/>
    <mergeCell ref="RR56:RS56"/>
    <mergeCell ref="RT56:RU56"/>
    <mergeCell ref="RV56:RW56"/>
    <mergeCell ref="RX56:RY56"/>
    <mergeCell ref="RZ56:SA56"/>
    <mergeCell ref="SB56:SC56"/>
    <mergeCell ref="SD56:SE56"/>
    <mergeCell ref="SK56:SL56"/>
    <mergeCell ref="SM56:SN56"/>
    <mergeCell ref="SO56:SP56"/>
    <mergeCell ref="SQ56:SR56"/>
    <mergeCell ref="SS56:ST56"/>
    <mergeCell ref="SU56:SV56"/>
    <mergeCell ref="SW56:SX56"/>
    <mergeCell ref="SY56:SZ56"/>
    <mergeCell ref="TA56:TB56"/>
    <mergeCell ref="TC56:TD56"/>
    <mergeCell ref="TE56:TF56"/>
    <mergeCell ref="TG56:TH56"/>
    <mergeCell ref="TN56:TO56"/>
    <mergeCell ref="TP56:TQ56"/>
    <mergeCell ref="TR56:TS56"/>
    <mergeCell ref="TT56:TU56"/>
    <mergeCell ref="TV56:TW56"/>
    <mergeCell ref="TX56:TY56"/>
    <mergeCell ref="TZ56:UA56"/>
    <mergeCell ref="UB56:UC56"/>
    <mergeCell ref="UD56:UE56"/>
    <mergeCell ref="UF56:UG56"/>
    <mergeCell ref="UH56:UI56"/>
    <mergeCell ref="UJ56:UK56"/>
    <mergeCell ref="UQ56:UR56"/>
    <mergeCell ref="US56:UT56"/>
    <mergeCell ref="UU56:UV56"/>
    <mergeCell ref="UW56:UX56"/>
    <mergeCell ref="UY56:UZ56"/>
    <mergeCell ref="VA56:VB56"/>
    <mergeCell ref="VC56:VD56"/>
    <mergeCell ref="VE56:VF56"/>
    <mergeCell ref="VG56:VH56"/>
    <mergeCell ref="VI56:VJ56"/>
    <mergeCell ref="VK56:VL56"/>
    <mergeCell ref="VM56:VN56"/>
    <mergeCell ref="VT56:VU56"/>
    <mergeCell ref="VV56:VW56"/>
    <mergeCell ref="VX56:VY56"/>
    <mergeCell ref="VZ56:WA56"/>
    <mergeCell ref="WB56:WC56"/>
    <mergeCell ref="WD56:WE56"/>
    <mergeCell ref="WF56:WG56"/>
    <mergeCell ref="WH56:WI56"/>
    <mergeCell ref="WJ56:WK56"/>
    <mergeCell ref="WL56:WM56"/>
    <mergeCell ref="WN56:WO56"/>
    <mergeCell ref="WP56:WQ56"/>
    <mergeCell ref="WZ56:XA56"/>
    <mergeCell ref="XB56:XC56"/>
    <mergeCell ref="XD56:XE56"/>
    <mergeCell ref="XF56:XG56"/>
    <mergeCell ref="XH56:XI56"/>
    <mergeCell ref="XJ56:XK56"/>
    <mergeCell ref="XL56:XM56"/>
    <mergeCell ref="XN56:XO56"/>
    <mergeCell ref="XP56:XQ56"/>
    <mergeCell ref="XR56:XS56"/>
    <mergeCell ref="XT56:XU56"/>
    <mergeCell ref="XV56:XW56"/>
    <mergeCell ref="YC56:YD56"/>
    <mergeCell ref="YE56:YF56"/>
    <mergeCell ref="YG56:YH56"/>
    <mergeCell ref="YI56:YJ56"/>
    <mergeCell ref="YK56:YL56"/>
    <mergeCell ref="YM56:YN56"/>
    <mergeCell ref="YO56:YP56"/>
    <mergeCell ref="YQ56:YR56"/>
    <mergeCell ref="YS56:YT56"/>
    <mergeCell ref="YU56:YV56"/>
    <mergeCell ref="YW56:YX56"/>
    <mergeCell ref="YY56:YZ56"/>
    <mergeCell ref="ZF56:ZG56"/>
    <mergeCell ref="ZH56:ZI56"/>
    <mergeCell ref="ZJ56:ZK56"/>
    <mergeCell ref="ZL56:ZM56"/>
    <mergeCell ref="ZN56:ZO56"/>
    <mergeCell ref="ZP56:ZQ56"/>
    <mergeCell ref="ZR56:ZS56"/>
    <mergeCell ref="ZT56:ZU56"/>
    <mergeCell ref="ZV56:ZW56"/>
    <mergeCell ref="ZX56:ZY56"/>
    <mergeCell ref="ZZ56:AAA56"/>
    <mergeCell ref="AAB56:AAC56"/>
    <mergeCell ref="AAI56:AAJ56"/>
    <mergeCell ref="AAK56:AAL56"/>
    <mergeCell ref="AAM56:AAN56"/>
    <mergeCell ref="AAO56:AAP56"/>
    <mergeCell ref="AAQ56:AAR56"/>
    <mergeCell ref="AAS56:AAT56"/>
    <mergeCell ref="AAU56:AAV56"/>
    <mergeCell ref="AAW56:AAX56"/>
    <mergeCell ref="AAY56:AAZ56"/>
    <mergeCell ref="ABA56:ABB56"/>
    <mergeCell ref="ABC56:ABD56"/>
    <mergeCell ref="ABE56:ABF56"/>
    <mergeCell ref="ABL56:ABM56"/>
    <mergeCell ref="ABN56:ABO56"/>
    <mergeCell ref="ABP56:ABQ56"/>
    <mergeCell ref="ABR56:ABS56"/>
    <mergeCell ref="ABT56:ABU56"/>
    <mergeCell ref="ABV56:ABW56"/>
    <mergeCell ref="ABX56:ABY56"/>
    <mergeCell ref="ABZ56:ACA56"/>
    <mergeCell ref="ACB56:ACC56"/>
    <mergeCell ref="ACD56:ACE56"/>
    <mergeCell ref="ACF56:ACG56"/>
    <mergeCell ref="ACH56:ACI56"/>
    <mergeCell ref="ACO56:ACP56"/>
    <mergeCell ref="ACQ56:ACR56"/>
    <mergeCell ref="ACS56:ACT56"/>
    <mergeCell ref="ACU56:ACV56"/>
    <mergeCell ref="ACW56:ACX56"/>
    <mergeCell ref="ACY56:ACZ56"/>
    <mergeCell ref="ADA56:ADB56"/>
    <mergeCell ref="ADC56:ADD56"/>
    <mergeCell ref="ADE56:ADF56"/>
    <mergeCell ref="ADG56:ADH56"/>
    <mergeCell ref="ADI56:ADJ56"/>
    <mergeCell ref="ADK56:ADL56"/>
    <mergeCell ref="ADR56:ADS56"/>
    <mergeCell ref="ADT56:ADU56"/>
    <mergeCell ref="ADV56:ADW56"/>
    <mergeCell ref="ADX56:ADY56"/>
    <mergeCell ref="ADZ56:AEA56"/>
    <mergeCell ref="AEB56:AEC56"/>
    <mergeCell ref="AED56:AEE56"/>
    <mergeCell ref="AEF56:AEG56"/>
    <mergeCell ref="AEH56:AEI56"/>
    <mergeCell ref="AEJ56:AEK56"/>
    <mergeCell ref="AEL56:AEM56"/>
    <mergeCell ref="AEN56:AEO56"/>
    <mergeCell ref="AEX56:AEY56"/>
    <mergeCell ref="AEZ56:AFA56"/>
    <mergeCell ref="AFB56:AFC56"/>
    <mergeCell ref="AFD56:AFE56"/>
    <mergeCell ref="AFF56:AFG56"/>
    <mergeCell ref="AFH56:AFI56"/>
    <mergeCell ref="AFJ56:AFK56"/>
    <mergeCell ref="AFL56:AFM56"/>
    <mergeCell ref="AFN56:AFO56"/>
    <mergeCell ref="AFP56:AFQ56"/>
    <mergeCell ref="AFR56:AFS56"/>
    <mergeCell ref="AFT56:AFU56"/>
    <mergeCell ref="AGA56:AGB56"/>
    <mergeCell ref="AGC56:AGD56"/>
    <mergeCell ref="AGE56:AGF56"/>
    <mergeCell ref="AGG56:AGH56"/>
    <mergeCell ref="AGI56:AGJ56"/>
    <mergeCell ref="AGK56:AGL56"/>
    <mergeCell ref="AGM56:AGN56"/>
    <mergeCell ref="AGO56:AGP56"/>
    <mergeCell ref="AGQ56:AGR56"/>
    <mergeCell ref="AGS56:AGT56"/>
    <mergeCell ref="AGU56:AGV56"/>
    <mergeCell ref="AGW56:AGX56"/>
    <mergeCell ref="AHD56:AHE56"/>
    <mergeCell ref="AHF56:AHG56"/>
    <mergeCell ref="AHH56:AHI56"/>
    <mergeCell ref="AHJ56:AHK56"/>
    <mergeCell ref="AHL56:AHM56"/>
    <mergeCell ref="AHN56:AHO56"/>
    <mergeCell ref="AHP56:AHQ56"/>
    <mergeCell ref="AHR56:AHS56"/>
    <mergeCell ref="AHT56:AHU56"/>
    <mergeCell ref="AHV56:AHW56"/>
    <mergeCell ref="AHX56:AHY56"/>
    <mergeCell ref="AHZ56:AIA56"/>
    <mergeCell ref="AIG56:AIH56"/>
    <mergeCell ref="AII56:AIJ56"/>
    <mergeCell ref="AIK56:AIL56"/>
    <mergeCell ref="AIM56:AIN56"/>
    <mergeCell ref="AIO56:AIP56"/>
    <mergeCell ref="AIQ56:AIR56"/>
    <mergeCell ref="AIS56:AIT56"/>
    <mergeCell ref="AIU56:AIV56"/>
    <mergeCell ref="AIW56:AIX56"/>
    <mergeCell ref="AIY56:AIZ56"/>
    <mergeCell ref="AJA56:AJB56"/>
    <mergeCell ref="AJC56:AJD56"/>
    <mergeCell ref="AJJ56:AJK56"/>
    <mergeCell ref="AJL56:AJM56"/>
    <mergeCell ref="AJN56:AJO56"/>
    <mergeCell ref="AJP56:AJQ56"/>
    <mergeCell ref="AJR56:AJS56"/>
    <mergeCell ref="AJT56:AJU56"/>
    <mergeCell ref="AJV56:AJW56"/>
    <mergeCell ref="AJX56:AJY56"/>
    <mergeCell ref="AJZ56:AKA56"/>
    <mergeCell ref="AKB56:AKC56"/>
    <mergeCell ref="AKD56:AKE56"/>
    <mergeCell ref="AKF56:AKG56"/>
    <mergeCell ref="AKM56:AKN56"/>
    <mergeCell ref="AKO56:AKP56"/>
    <mergeCell ref="AKQ56:AKR56"/>
    <mergeCell ref="AKS56:AKT56"/>
    <mergeCell ref="AKU56:AKV56"/>
    <mergeCell ref="AKW56:AKX56"/>
    <mergeCell ref="AKY56:AKZ56"/>
    <mergeCell ref="ALA56:ALB56"/>
    <mergeCell ref="ALC56:ALD56"/>
    <mergeCell ref="ALE56:ALF56"/>
    <mergeCell ref="ALG56:ALH56"/>
    <mergeCell ref="ALI56:ALJ56"/>
    <mergeCell ref="ALP56:ALQ56"/>
    <mergeCell ref="ALR56:ALS56"/>
    <mergeCell ref="ALT56:ALU56"/>
    <mergeCell ref="ALV56:ALW56"/>
    <mergeCell ref="ALX56:ALY56"/>
    <mergeCell ref="ALZ56:AMA56"/>
    <mergeCell ref="AMB56:AMC56"/>
    <mergeCell ref="AMD56:AME56"/>
    <mergeCell ref="AMF56:AMG56"/>
    <mergeCell ref="AMH56:AMI56"/>
    <mergeCell ref="AMJ56:AMK56"/>
    <mergeCell ref="AML56:AMM56"/>
    <mergeCell ref="A57:A84"/>
    <mergeCell ref="A86:A95"/>
    <mergeCell ref="A96:A98"/>
    <mergeCell ref="G100:H100"/>
    <mergeCell ref="I100:J100"/>
    <mergeCell ref="AJ100:AK100"/>
    <mergeCell ref="AL100:AM100"/>
    <mergeCell ref="BM100:BN100"/>
    <mergeCell ref="BO100:BP100"/>
    <mergeCell ref="CP100:CQ100"/>
    <mergeCell ref="CR100:CS100"/>
    <mergeCell ref="DS100:DT100"/>
    <mergeCell ref="DU100:DV100"/>
    <mergeCell ref="HE100:HF100"/>
    <mergeCell ref="HG100:HH100"/>
    <mergeCell ref="IH100:II100"/>
    <mergeCell ref="IJ100:IK100"/>
    <mergeCell ref="JK100:JL100"/>
    <mergeCell ref="JM100:JN100"/>
    <mergeCell ref="KN100:KO100"/>
    <mergeCell ref="KP100:KQ100"/>
    <mergeCell ref="LQ100:LR100"/>
    <mergeCell ref="LS100:LT100"/>
    <mergeCell ref="PC100:PD100"/>
    <mergeCell ref="PE100:PF100"/>
    <mergeCell ref="QF100:QG100"/>
    <mergeCell ref="QH100:QI100"/>
    <mergeCell ref="RI100:RJ100"/>
    <mergeCell ref="RK100:RL100"/>
    <mergeCell ref="SL100:SM100"/>
    <mergeCell ref="SN100:SO100"/>
    <mergeCell ref="TO100:TP100"/>
    <mergeCell ref="TQ100:TR100"/>
    <mergeCell ref="XA100:XB100"/>
    <mergeCell ref="XC100:XD100"/>
    <mergeCell ref="YD100:YE100"/>
    <mergeCell ref="YF100:YG100"/>
    <mergeCell ref="ZG100:ZH100"/>
    <mergeCell ref="ZI100:ZJ100"/>
    <mergeCell ref="AAJ100:AAK100"/>
    <mergeCell ref="AAL100:AAM100"/>
    <mergeCell ref="ABM100:ABN100"/>
    <mergeCell ref="ABO100:ABP100"/>
    <mergeCell ref="AEY100:AEZ100"/>
    <mergeCell ref="AFA100:AFB100"/>
    <mergeCell ref="AGB100:AGC100"/>
    <mergeCell ref="AGD100:AGE100"/>
    <mergeCell ref="AHE100:AHF100"/>
    <mergeCell ref="AHG100:AHH100"/>
    <mergeCell ref="AIH100:AII100"/>
    <mergeCell ref="AIJ100:AIK100"/>
    <mergeCell ref="AJK100:AJL100"/>
    <mergeCell ref="AJM100:AJN100"/>
    <mergeCell ref="A102:C102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X103:Y103"/>
    <mergeCell ref="Z103:AA103"/>
    <mergeCell ref="AB103:AC103"/>
    <mergeCell ref="AI103:AJ103"/>
    <mergeCell ref="AK103:AL103"/>
    <mergeCell ref="AM103:AN103"/>
    <mergeCell ref="AO103:AP103"/>
    <mergeCell ref="AQ103:AR103"/>
    <mergeCell ref="AS103:AT103"/>
    <mergeCell ref="AU103:AV103"/>
    <mergeCell ref="AW103:AX103"/>
    <mergeCell ref="AY103:AZ103"/>
    <mergeCell ref="BA103:BB103"/>
    <mergeCell ref="BC103:BD103"/>
    <mergeCell ref="BE103:BF103"/>
    <mergeCell ref="BL103:BM103"/>
    <mergeCell ref="BN103:BO103"/>
    <mergeCell ref="BP103:BQ103"/>
    <mergeCell ref="BR103:BS103"/>
    <mergeCell ref="BT103:BU103"/>
    <mergeCell ref="BV103:BW103"/>
    <mergeCell ref="BX103:BY103"/>
    <mergeCell ref="BZ103:CA103"/>
    <mergeCell ref="CB103:CC103"/>
    <mergeCell ref="CD103:CE103"/>
    <mergeCell ref="CF103:CG103"/>
    <mergeCell ref="CH103:CI103"/>
    <mergeCell ref="CO103:CP103"/>
    <mergeCell ref="CQ103:CR103"/>
    <mergeCell ref="CS103:CT103"/>
    <mergeCell ref="CU103:CV103"/>
    <mergeCell ref="CW103:CX103"/>
    <mergeCell ref="CY103:CZ103"/>
    <mergeCell ref="DA103:DB103"/>
    <mergeCell ref="DC103:DD103"/>
    <mergeCell ref="DE103:DF103"/>
    <mergeCell ref="DG103:DH103"/>
    <mergeCell ref="DI103:DJ103"/>
    <mergeCell ref="DK103:DL103"/>
    <mergeCell ref="DR103:DS103"/>
    <mergeCell ref="DT103:DU103"/>
    <mergeCell ref="DV103:DW103"/>
    <mergeCell ref="DX103:DY103"/>
    <mergeCell ref="DZ103:EA103"/>
    <mergeCell ref="EB103:EC103"/>
    <mergeCell ref="ED103:EE103"/>
    <mergeCell ref="EF103:EG103"/>
    <mergeCell ref="EH103:EI103"/>
    <mergeCell ref="EJ103:EK103"/>
    <mergeCell ref="EL103:EM103"/>
    <mergeCell ref="EN103:EO103"/>
    <mergeCell ref="EU103:EV103"/>
    <mergeCell ref="EW103:EX103"/>
    <mergeCell ref="EY103:EZ103"/>
    <mergeCell ref="FA103:FB103"/>
    <mergeCell ref="FC103:FD103"/>
    <mergeCell ref="FE103:FF103"/>
    <mergeCell ref="FG103:FH103"/>
    <mergeCell ref="FI103:FJ103"/>
    <mergeCell ref="FK103:FL103"/>
    <mergeCell ref="FM103:FN103"/>
    <mergeCell ref="FO103:FP103"/>
    <mergeCell ref="FQ103:FR103"/>
    <mergeCell ref="FX103:FY103"/>
    <mergeCell ref="FZ103:GA103"/>
    <mergeCell ref="GB103:GC103"/>
    <mergeCell ref="GD103:GE103"/>
    <mergeCell ref="GF103:GG103"/>
    <mergeCell ref="GH103:GI103"/>
    <mergeCell ref="GJ103:GK103"/>
    <mergeCell ref="GL103:GM103"/>
    <mergeCell ref="GN103:GO103"/>
    <mergeCell ref="GP103:GQ103"/>
    <mergeCell ref="GR103:GS103"/>
    <mergeCell ref="GT103:GU103"/>
    <mergeCell ref="HD103:HE103"/>
    <mergeCell ref="HF103:HG103"/>
    <mergeCell ref="HH103:HI103"/>
    <mergeCell ref="HJ103:HK103"/>
    <mergeCell ref="HL103:HM103"/>
    <mergeCell ref="HN103:HO103"/>
    <mergeCell ref="HP103:HQ103"/>
    <mergeCell ref="HR103:HS103"/>
    <mergeCell ref="HT103:HU103"/>
    <mergeCell ref="HV103:HW103"/>
    <mergeCell ref="HX103:HY103"/>
    <mergeCell ref="HZ103:IA103"/>
    <mergeCell ref="IG103:IH103"/>
    <mergeCell ref="II103:IJ103"/>
    <mergeCell ref="IK103:IL103"/>
    <mergeCell ref="IM103:IN103"/>
    <mergeCell ref="IO103:IP103"/>
    <mergeCell ref="IQ103:IR103"/>
    <mergeCell ref="IS103:IT103"/>
    <mergeCell ref="IU103:IV103"/>
    <mergeCell ref="IW103:IX103"/>
    <mergeCell ref="IY103:IZ103"/>
    <mergeCell ref="JA103:JB103"/>
    <mergeCell ref="JC103:JD103"/>
    <mergeCell ref="JJ103:JK103"/>
    <mergeCell ref="JL103:JM103"/>
    <mergeCell ref="JN103:JO103"/>
    <mergeCell ref="JP103:JQ103"/>
    <mergeCell ref="JR103:JS103"/>
    <mergeCell ref="JT103:JU103"/>
    <mergeCell ref="JV103:JW103"/>
    <mergeCell ref="JX103:JY103"/>
    <mergeCell ref="JZ103:KA103"/>
    <mergeCell ref="KB103:KC103"/>
    <mergeCell ref="KD103:KE103"/>
    <mergeCell ref="KF103:KG103"/>
    <mergeCell ref="KM103:KN103"/>
    <mergeCell ref="KO103:KP103"/>
    <mergeCell ref="KQ103:KR103"/>
    <mergeCell ref="KS103:KT103"/>
    <mergeCell ref="KU103:KV103"/>
    <mergeCell ref="KW103:KX103"/>
    <mergeCell ref="KY103:KZ103"/>
    <mergeCell ref="LA103:LB103"/>
    <mergeCell ref="LC103:LD103"/>
    <mergeCell ref="LE103:LF103"/>
    <mergeCell ref="LG103:LH103"/>
    <mergeCell ref="LI103:LJ103"/>
    <mergeCell ref="LP103:LQ103"/>
    <mergeCell ref="LR103:LS103"/>
    <mergeCell ref="LT103:LU103"/>
    <mergeCell ref="LV103:LW103"/>
    <mergeCell ref="LX103:LY103"/>
    <mergeCell ref="LZ103:MA103"/>
    <mergeCell ref="MB103:MC103"/>
    <mergeCell ref="MD103:ME103"/>
    <mergeCell ref="MF103:MG103"/>
    <mergeCell ref="MH103:MI103"/>
    <mergeCell ref="MJ103:MK103"/>
    <mergeCell ref="ML103:MM103"/>
    <mergeCell ref="MS103:MT103"/>
    <mergeCell ref="MU103:MV103"/>
    <mergeCell ref="MW103:MX103"/>
    <mergeCell ref="MY103:MZ103"/>
    <mergeCell ref="NA103:NB103"/>
    <mergeCell ref="NC103:ND103"/>
    <mergeCell ref="NE103:NF103"/>
    <mergeCell ref="NG103:NH103"/>
    <mergeCell ref="NI103:NJ103"/>
    <mergeCell ref="NK103:NL103"/>
    <mergeCell ref="NM103:NN103"/>
    <mergeCell ref="NO103:NP103"/>
    <mergeCell ref="NV103:NW103"/>
    <mergeCell ref="NX103:NY103"/>
    <mergeCell ref="NZ103:OA103"/>
    <mergeCell ref="OB103:OC103"/>
    <mergeCell ref="OD103:OE103"/>
    <mergeCell ref="OF103:OG103"/>
    <mergeCell ref="OH103:OI103"/>
    <mergeCell ref="OJ103:OK103"/>
    <mergeCell ref="OL103:OM103"/>
    <mergeCell ref="ON103:OO103"/>
    <mergeCell ref="OP103:OQ103"/>
    <mergeCell ref="OR103:OS103"/>
    <mergeCell ref="PB103:PC103"/>
    <mergeCell ref="PD103:PE103"/>
    <mergeCell ref="PF103:PG103"/>
    <mergeCell ref="PH103:PI103"/>
    <mergeCell ref="PJ103:PK103"/>
    <mergeCell ref="PL103:PM103"/>
    <mergeCell ref="PN103:PO103"/>
    <mergeCell ref="PP103:PQ103"/>
    <mergeCell ref="PR103:PS103"/>
    <mergeCell ref="PT103:PU103"/>
    <mergeCell ref="PV103:PW103"/>
    <mergeCell ref="PX103:PY103"/>
    <mergeCell ref="QE103:QF103"/>
    <mergeCell ref="QG103:QH103"/>
    <mergeCell ref="QI103:QJ103"/>
    <mergeCell ref="QK103:QL103"/>
    <mergeCell ref="QM103:QN103"/>
    <mergeCell ref="QO103:QP103"/>
    <mergeCell ref="QQ103:QR103"/>
    <mergeCell ref="QS103:QT103"/>
    <mergeCell ref="QU103:QV103"/>
    <mergeCell ref="QW103:QX103"/>
    <mergeCell ref="QY103:QZ103"/>
    <mergeCell ref="RA103:RB103"/>
    <mergeCell ref="RH103:RI103"/>
    <mergeCell ref="RJ103:RK103"/>
    <mergeCell ref="RL103:RM103"/>
    <mergeCell ref="RN103:RO103"/>
    <mergeCell ref="RP103:RQ103"/>
    <mergeCell ref="RR103:RS103"/>
    <mergeCell ref="RT103:RU103"/>
    <mergeCell ref="RV103:RW103"/>
    <mergeCell ref="RX103:RY103"/>
    <mergeCell ref="RZ103:SA103"/>
    <mergeCell ref="SB103:SC103"/>
    <mergeCell ref="SD103:SE103"/>
    <mergeCell ref="SK103:SL103"/>
    <mergeCell ref="SM103:SN103"/>
    <mergeCell ref="SO103:SP103"/>
    <mergeCell ref="SQ103:SR103"/>
    <mergeCell ref="SS103:ST103"/>
    <mergeCell ref="SU103:SV103"/>
    <mergeCell ref="SW103:SX103"/>
    <mergeCell ref="SY103:SZ103"/>
    <mergeCell ref="TA103:TB103"/>
    <mergeCell ref="TC103:TD103"/>
    <mergeCell ref="TE103:TF103"/>
    <mergeCell ref="TG103:TH103"/>
    <mergeCell ref="TN103:TO103"/>
    <mergeCell ref="TP103:TQ103"/>
    <mergeCell ref="TR103:TS103"/>
    <mergeCell ref="TT103:TU103"/>
    <mergeCell ref="TV103:TW103"/>
    <mergeCell ref="TX103:TY103"/>
    <mergeCell ref="TZ103:UA103"/>
    <mergeCell ref="UB103:UC103"/>
    <mergeCell ref="UD103:UE103"/>
    <mergeCell ref="UF103:UG103"/>
    <mergeCell ref="UH103:UI103"/>
    <mergeCell ref="UJ103:UK103"/>
    <mergeCell ref="UQ103:UR103"/>
    <mergeCell ref="US103:UT103"/>
    <mergeCell ref="UU103:UV103"/>
    <mergeCell ref="UW103:UX103"/>
    <mergeCell ref="UY103:UZ103"/>
    <mergeCell ref="VA103:VB103"/>
    <mergeCell ref="VC103:VD103"/>
    <mergeCell ref="VE103:VF103"/>
    <mergeCell ref="VG103:VH103"/>
    <mergeCell ref="VI103:VJ103"/>
    <mergeCell ref="VK103:VL103"/>
    <mergeCell ref="VM103:VN103"/>
    <mergeCell ref="VT103:VU103"/>
    <mergeCell ref="VV103:VW103"/>
    <mergeCell ref="VX103:VY103"/>
    <mergeCell ref="VZ103:WA103"/>
    <mergeCell ref="WB103:WC103"/>
    <mergeCell ref="WD103:WE103"/>
    <mergeCell ref="WF103:WG103"/>
    <mergeCell ref="WH103:WI103"/>
    <mergeCell ref="WJ103:WK103"/>
    <mergeCell ref="WL103:WM103"/>
    <mergeCell ref="WN103:WO103"/>
    <mergeCell ref="WP103:WQ103"/>
    <mergeCell ref="WZ103:XA103"/>
    <mergeCell ref="XB103:XC103"/>
    <mergeCell ref="XD103:XE103"/>
    <mergeCell ref="XF103:XG103"/>
    <mergeCell ref="XH103:XI103"/>
    <mergeCell ref="XJ103:XK103"/>
    <mergeCell ref="XL103:XM103"/>
    <mergeCell ref="XN103:XO103"/>
    <mergeCell ref="XP103:XQ103"/>
    <mergeCell ref="XR103:XS103"/>
    <mergeCell ref="XT103:XU103"/>
    <mergeCell ref="XV103:XW103"/>
    <mergeCell ref="YC103:YD103"/>
    <mergeCell ref="YE103:YF103"/>
    <mergeCell ref="YG103:YH103"/>
    <mergeCell ref="YI103:YJ103"/>
    <mergeCell ref="YK103:YL103"/>
    <mergeCell ref="YM103:YN103"/>
    <mergeCell ref="YO103:YP103"/>
    <mergeCell ref="YQ103:YR103"/>
    <mergeCell ref="YS103:YT103"/>
    <mergeCell ref="YU103:YV103"/>
    <mergeCell ref="YW103:YX103"/>
    <mergeCell ref="YY103:YZ103"/>
    <mergeCell ref="ZF103:ZG103"/>
    <mergeCell ref="ZH103:ZI103"/>
    <mergeCell ref="ZJ103:ZK103"/>
    <mergeCell ref="ZL103:ZM103"/>
    <mergeCell ref="ZN103:ZO103"/>
    <mergeCell ref="ZP103:ZQ103"/>
    <mergeCell ref="ZR103:ZS103"/>
    <mergeCell ref="ZT103:ZU103"/>
    <mergeCell ref="ZV103:ZW103"/>
    <mergeCell ref="ZX103:ZY103"/>
    <mergeCell ref="ZZ103:AAA103"/>
    <mergeCell ref="AAB103:AAC103"/>
    <mergeCell ref="AAI103:AAJ103"/>
    <mergeCell ref="AAK103:AAL103"/>
    <mergeCell ref="AAM103:AAN103"/>
    <mergeCell ref="AAO103:AAP103"/>
    <mergeCell ref="AAQ103:AAR103"/>
    <mergeCell ref="AAS103:AAT103"/>
    <mergeCell ref="AAU103:AAV103"/>
    <mergeCell ref="AAW103:AAX103"/>
    <mergeCell ref="AAY103:AAZ103"/>
    <mergeCell ref="ABA103:ABB103"/>
    <mergeCell ref="ABC103:ABD103"/>
    <mergeCell ref="ABE103:ABF103"/>
    <mergeCell ref="ABL103:ABM103"/>
    <mergeCell ref="ABN103:ABO103"/>
    <mergeCell ref="ABP103:ABQ103"/>
    <mergeCell ref="ABR103:ABS103"/>
    <mergeCell ref="ABT103:ABU103"/>
    <mergeCell ref="ABV103:ABW103"/>
    <mergeCell ref="ABX103:ABY103"/>
    <mergeCell ref="ABZ103:ACA103"/>
    <mergeCell ref="ACB103:ACC103"/>
    <mergeCell ref="ACD103:ACE103"/>
    <mergeCell ref="ACF103:ACG103"/>
    <mergeCell ref="ACH103:ACI103"/>
    <mergeCell ref="ACO103:ACP103"/>
    <mergeCell ref="ACQ103:ACR103"/>
    <mergeCell ref="ACS103:ACT103"/>
    <mergeCell ref="ACU103:ACV103"/>
    <mergeCell ref="ACW103:ACX103"/>
    <mergeCell ref="ACY103:ACZ103"/>
    <mergeCell ref="ADA103:ADB103"/>
    <mergeCell ref="ADC103:ADD103"/>
    <mergeCell ref="ADE103:ADF103"/>
    <mergeCell ref="ADG103:ADH103"/>
    <mergeCell ref="ADI103:ADJ103"/>
    <mergeCell ref="ADK103:ADL103"/>
    <mergeCell ref="ADR103:ADS103"/>
    <mergeCell ref="ADT103:ADU103"/>
    <mergeCell ref="ADV103:ADW103"/>
    <mergeCell ref="ADX103:ADY103"/>
    <mergeCell ref="ADZ103:AEA103"/>
    <mergeCell ref="AEB103:AEC103"/>
    <mergeCell ref="AED103:AEE103"/>
    <mergeCell ref="AEF103:AEG103"/>
    <mergeCell ref="AEH103:AEI103"/>
    <mergeCell ref="AEJ103:AEK103"/>
    <mergeCell ref="AEL103:AEM103"/>
    <mergeCell ref="AEN103:AEO103"/>
    <mergeCell ref="AEX103:AEY103"/>
    <mergeCell ref="AEZ103:AFA103"/>
    <mergeCell ref="AFB103:AFC103"/>
    <mergeCell ref="AFD103:AFE103"/>
    <mergeCell ref="AFF103:AFG103"/>
    <mergeCell ref="AFH103:AFI103"/>
    <mergeCell ref="AFJ103:AFK103"/>
    <mergeCell ref="AFL103:AFM103"/>
    <mergeCell ref="AFN103:AFO103"/>
    <mergeCell ref="AFP103:AFQ103"/>
    <mergeCell ref="AFR103:AFS103"/>
    <mergeCell ref="AFT103:AFU103"/>
    <mergeCell ref="AGA103:AGB103"/>
    <mergeCell ref="AGC103:AGD103"/>
    <mergeCell ref="AGE103:AGF103"/>
    <mergeCell ref="AGG103:AGH103"/>
    <mergeCell ref="AGI103:AGJ103"/>
    <mergeCell ref="AGK103:AGL103"/>
    <mergeCell ref="AGM103:AGN103"/>
    <mergeCell ref="AGO103:AGP103"/>
    <mergeCell ref="AGQ103:AGR103"/>
    <mergeCell ref="AGS103:AGT103"/>
    <mergeCell ref="AGU103:AGV103"/>
    <mergeCell ref="AGW103:AGX103"/>
    <mergeCell ref="AHD103:AHE103"/>
    <mergeCell ref="AHF103:AHG103"/>
    <mergeCell ref="AHH103:AHI103"/>
    <mergeCell ref="AHJ103:AHK103"/>
    <mergeCell ref="AHL103:AHM103"/>
    <mergeCell ref="AHN103:AHO103"/>
    <mergeCell ref="AHP103:AHQ103"/>
    <mergeCell ref="AHR103:AHS103"/>
    <mergeCell ref="AHT103:AHU103"/>
    <mergeCell ref="AHV103:AHW103"/>
    <mergeCell ref="AHX103:AHY103"/>
    <mergeCell ref="AHZ103:AIA103"/>
    <mergeCell ref="AIG103:AIH103"/>
    <mergeCell ref="AII103:AIJ103"/>
    <mergeCell ref="AIK103:AIL103"/>
    <mergeCell ref="AIM103:AIN103"/>
    <mergeCell ref="AIO103:AIP103"/>
    <mergeCell ref="AIQ103:AIR103"/>
    <mergeCell ref="AIS103:AIT103"/>
    <mergeCell ref="AIU103:AIV103"/>
    <mergeCell ref="AIW103:AIX103"/>
    <mergeCell ref="AIY103:AIZ103"/>
    <mergeCell ref="AJA103:AJB103"/>
    <mergeCell ref="AJC103:AJD103"/>
    <mergeCell ref="AJJ103:AJK103"/>
    <mergeCell ref="AJL103:AJM103"/>
    <mergeCell ref="AJN103:AJO103"/>
    <mergeCell ref="AJP103:AJQ103"/>
    <mergeCell ref="AJR103:AJS103"/>
    <mergeCell ref="AJT103:AJU103"/>
    <mergeCell ref="AJV103:AJW103"/>
    <mergeCell ref="AJX103:AJY103"/>
    <mergeCell ref="AJZ103:AKA103"/>
    <mergeCell ref="AKB103:AKC103"/>
    <mergeCell ref="AKD103:AKE103"/>
    <mergeCell ref="AKF103:AKG103"/>
    <mergeCell ref="AKM103:AKN103"/>
    <mergeCell ref="AKO103:AKP103"/>
    <mergeCell ref="AKQ103:AKR103"/>
    <mergeCell ref="AKS103:AKT103"/>
    <mergeCell ref="AKU103:AKV103"/>
    <mergeCell ref="AKW103:AKX103"/>
    <mergeCell ref="AKY103:AKZ103"/>
    <mergeCell ref="ALA103:ALB103"/>
    <mergeCell ref="ALC103:ALD103"/>
    <mergeCell ref="ALE103:ALF103"/>
    <mergeCell ref="ALG103:ALH103"/>
    <mergeCell ref="ALI103:ALJ103"/>
    <mergeCell ref="ALP103:ALQ103"/>
    <mergeCell ref="ALR103:ALS103"/>
    <mergeCell ref="ALT103:ALU103"/>
    <mergeCell ref="ALV103:ALW103"/>
    <mergeCell ref="ALX103:ALY103"/>
    <mergeCell ref="ALZ103:AMA103"/>
    <mergeCell ref="AMB103:AMC103"/>
    <mergeCell ref="AMD103:AME103"/>
    <mergeCell ref="AMF103:AMG103"/>
    <mergeCell ref="AMH103:AMI103"/>
    <mergeCell ref="AMJ103:AMK103"/>
    <mergeCell ref="AML103:AMM103"/>
    <mergeCell ref="A104:A111"/>
    <mergeCell ref="A112:A113"/>
    <mergeCell ref="A114:A115"/>
    <mergeCell ref="G117:H117"/>
    <mergeCell ref="I117:J117"/>
    <mergeCell ref="AJ117:AK117"/>
    <mergeCell ref="AL117:AM117"/>
    <mergeCell ref="BM117:BN117"/>
    <mergeCell ref="BO117:BP117"/>
    <mergeCell ref="CP117:CQ117"/>
    <mergeCell ref="CR117:CS117"/>
    <mergeCell ref="DS117:DT117"/>
    <mergeCell ref="DU117:DV117"/>
    <mergeCell ref="HE117:HF117"/>
    <mergeCell ref="HG117:HH117"/>
    <mergeCell ref="IH117:II117"/>
    <mergeCell ref="IJ117:IK117"/>
    <mergeCell ref="JK117:JL117"/>
    <mergeCell ref="JM117:JN117"/>
    <mergeCell ref="KN117:KO117"/>
    <mergeCell ref="KP117:KQ117"/>
    <mergeCell ref="LQ117:LR117"/>
    <mergeCell ref="LS117:LT117"/>
    <mergeCell ref="PC117:PD117"/>
    <mergeCell ref="PE117:PF117"/>
    <mergeCell ref="QF117:QG117"/>
    <mergeCell ref="QH117:QI117"/>
    <mergeCell ref="RI117:RJ117"/>
    <mergeCell ref="RK117:RL117"/>
    <mergeCell ref="SL117:SM117"/>
    <mergeCell ref="SN117:SO117"/>
    <mergeCell ref="TO117:TP117"/>
    <mergeCell ref="TQ117:TR117"/>
    <mergeCell ref="XA117:XB117"/>
    <mergeCell ref="XC117:XD117"/>
    <mergeCell ref="YD117:YE117"/>
    <mergeCell ref="YF117:YG117"/>
    <mergeCell ref="ZG117:ZH117"/>
    <mergeCell ref="ZI117:ZJ117"/>
    <mergeCell ref="AAJ117:AAK117"/>
    <mergeCell ref="AAL117:AAM117"/>
    <mergeCell ref="ABM117:ABN117"/>
    <mergeCell ref="ABO117:ABP117"/>
    <mergeCell ref="AEY117:AEZ117"/>
    <mergeCell ref="AFA117:AFB117"/>
    <mergeCell ref="AGB117:AGC117"/>
    <mergeCell ref="AGD117:AGE117"/>
    <mergeCell ref="AHE117:AHF117"/>
    <mergeCell ref="AHG117:AHH117"/>
    <mergeCell ref="AIH117:AII117"/>
    <mergeCell ref="AIJ117:AIK117"/>
    <mergeCell ref="AJK117:AJL117"/>
    <mergeCell ref="AJM117:AJN117"/>
    <mergeCell ref="A119:C119"/>
    <mergeCell ref="F120:G120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Z120:AA120"/>
    <mergeCell ref="AB120:AC120"/>
    <mergeCell ref="AI120:AJ120"/>
    <mergeCell ref="AK120:AL120"/>
    <mergeCell ref="AM120:AN120"/>
    <mergeCell ref="AO120:AP120"/>
    <mergeCell ref="AQ120:AR120"/>
    <mergeCell ref="AS120:AT120"/>
    <mergeCell ref="AU120:AV120"/>
    <mergeCell ref="AW120:AX120"/>
    <mergeCell ref="AY120:AZ120"/>
    <mergeCell ref="BA120:BB120"/>
    <mergeCell ref="BC120:BD120"/>
    <mergeCell ref="BE120:BF120"/>
    <mergeCell ref="BL120:BM120"/>
    <mergeCell ref="BN120:BO120"/>
    <mergeCell ref="BP120:BQ120"/>
    <mergeCell ref="BR120:BS120"/>
    <mergeCell ref="BT120:BU120"/>
    <mergeCell ref="BV120:BW120"/>
    <mergeCell ref="BX120:BY120"/>
    <mergeCell ref="BZ120:CA120"/>
    <mergeCell ref="CB120:CC120"/>
    <mergeCell ref="CD120:CE120"/>
    <mergeCell ref="CF120:CG120"/>
    <mergeCell ref="CH120:CI120"/>
    <mergeCell ref="CO120:CP120"/>
    <mergeCell ref="CQ120:CR120"/>
    <mergeCell ref="CS120:CT120"/>
    <mergeCell ref="CU120:CV120"/>
    <mergeCell ref="CW120:CX120"/>
    <mergeCell ref="CY120:CZ120"/>
    <mergeCell ref="DA120:DB120"/>
    <mergeCell ref="DC120:DD120"/>
    <mergeCell ref="DE120:DF120"/>
    <mergeCell ref="DG120:DH120"/>
    <mergeCell ref="DI120:DJ120"/>
    <mergeCell ref="DK120:DL120"/>
    <mergeCell ref="DR120:DS120"/>
    <mergeCell ref="DT120:DU120"/>
    <mergeCell ref="DV120:DW120"/>
    <mergeCell ref="DX120:DY120"/>
    <mergeCell ref="DZ120:EA120"/>
    <mergeCell ref="EB120:EC120"/>
    <mergeCell ref="ED120:EE120"/>
    <mergeCell ref="EF120:EG120"/>
    <mergeCell ref="EH120:EI120"/>
    <mergeCell ref="EJ120:EK120"/>
    <mergeCell ref="EL120:EM120"/>
    <mergeCell ref="EN120:EO120"/>
    <mergeCell ref="EU120:EV120"/>
    <mergeCell ref="EW120:EX120"/>
    <mergeCell ref="EY120:EZ120"/>
    <mergeCell ref="FA120:FB120"/>
    <mergeCell ref="FC120:FD120"/>
    <mergeCell ref="FE120:FF120"/>
    <mergeCell ref="FG120:FH120"/>
    <mergeCell ref="FI120:FJ120"/>
    <mergeCell ref="FK120:FL120"/>
    <mergeCell ref="FM120:FN120"/>
    <mergeCell ref="FO120:FP120"/>
    <mergeCell ref="FQ120:FR120"/>
    <mergeCell ref="FX120:FY120"/>
    <mergeCell ref="FZ120:GA120"/>
    <mergeCell ref="GB120:GC120"/>
    <mergeCell ref="GD120:GE120"/>
    <mergeCell ref="GF120:GG120"/>
    <mergeCell ref="GH120:GI120"/>
    <mergeCell ref="GJ120:GK120"/>
    <mergeCell ref="GL120:GM120"/>
    <mergeCell ref="GN120:GO120"/>
    <mergeCell ref="GP120:GQ120"/>
    <mergeCell ref="GR120:GS120"/>
    <mergeCell ref="GT120:GU120"/>
    <mergeCell ref="HD120:HE120"/>
    <mergeCell ref="HF120:HG120"/>
    <mergeCell ref="HH120:HI120"/>
    <mergeCell ref="HJ120:HK120"/>
    <mergeCell ref="HL120:HM120"/>
    <mergeCell ref="HN120:HO120"/>
    <mergeCell ref="HP120:HQ120"/>
    <mergeCell ref="HR120:HS120"/>
    <mergeCell ref="HT120:HU120"/>
    <mergeCell ref="HV120:HW120"/>
    <mergeCell ref="HX120:HY120"/>
    <mergeCell ref="HZ120:IA120"/>
    <mergeCell ref="IG120:IH120"/>
    <mergeCell ref="II120:IJ120"/>
    <mergeCell ref="IK120:IL120"/>
    <mergeCell ref="IM120:IN120"/>
    <mergeCell ref="IO120:IP120"/>
    <mergeCell ref="IQ120:IR120"/>
    <mergeCell ref="IS120:IT120"/>
    <mergeCell ref="IU120:IV120"/>
    <mergeCell ref="IW120:IX120"/>
    <mergeCell ref="IY120:IZ120"/>
    <mergeCell ref="JA120:JB120"/>
    <mergeCell ref="JC120:JD120"/>
    <mergeCell ref="JJ120:JK120"/>
    <mergeCell ref="JL120:JM120"/>
    <mergeCell ref="JN120:JO120"/>
    <mergeCell ref="JP120:JQ120"/>
    <mergeCell ref="JR120:JS120"/>
    <mergeCell ref="JT120:JU120"/>
    <mergeCell ref="JV120:JW120"/>
    <mergeCell ref="JX120:JY120"/>
    <mergeCell ref="JZ120:KA120"/>
    <mergeCell ref="KB120:KC120"/>
    <mergeCell ref="KD120:KE120"/>
    <mergeCell ref="KF120:KG120"/>
    <mergeCell ref="KM120:KN120"/>
    <mergeCell ref="KO120:KP120"/>
    <mergeCell ref="KQ120:KR120"/>
    <mergeCell ref="KS120:KT120"/>
    <mergeCell ref="KU120:KV120"/>
    <mergeCell ref="KW120:KX120"/>
    <mergeCell ref="KY120:KZ120"/>
    <mergeCell ref="LA120:LB120"/>
    <mergeCell ref="LC120:LD120"/>
    <mergeCell ref="LE120:LF120"/>
    <mergeCell ref="LG120:LH120"/>
    <mergeCell ref="LI120:LJ120"/>
    <mergeCell ref="LP120:LQ120"/>
    <mergeCell ref="LR120:LS120"/>
    <mergeCell ref="LT120:LU120"/>
    <mergeCell ref="LV120:LW120"/>
    <mergeCell ref="LX120:LY120"/>
    <mergeCell ref="LZ120:MA120"/>
    <mergeCell ref="MB120:MC120"/>
    <mergeCell ref="MD120:ME120"/>
    <mergeCell ref="MF120:MG120"/>
    <mergeCell ref="MH120:MI120"/>
    <mergeCell ref="MJ120:MK120"/>
    <mergeCell ref="ML120:MM120"/>
    <mergeCell ref="MS120:MT120"/>
    <mergeCell ref="MU120:MV120"/>
    <mergeCell ref="MW120:MX120"/>
    <mergeCell ref="MY120:MZ120"/>
    <mergeCell ref="NA120:NB120"/>
    <mergeCell ref="NC120:ND120"/>
    <mergeCell ref="NE120:NF120"/>
    <mergeCell ref="NG120:NH120"/>
    <mergeCell ref="NI120:NJ120"/>
    <mergeCell ref="NK120:NL120"/>
    <mergeCell ref="NM120:NN120"/>
    <mergeCell ref="NO120:NP120"/>
    <mergeCell ref="NV120:NW120"/>
    <mergeCell ref="NX120:NY120"/>
    <mergeCell ref="NZ120:OA120"/>
    <mergeCell ref="OB120:OC120"/>
    <mergeCell ref="OD120:OE120"/>
    <mergeCell ref="OF120:OG120"/>
    <mergeCell ref="OH120:OI120"/>
    <mergeCell ref="OJ120:OK120"/>
    <mergeCell ref="OL120:OM120"/>
    <mergeCell ref="ON120:OO120"/>
    <mergeCell ref="OP120:OQ120"/>
    <mergeCell ref="OR120:OS120"/>
    <mergeCell ref="PB120:PC120"/>
    <mergeCell ref="PD120:PE120"/>
    <mergeCell ref="PF120:PG120"/>
    <mergeCell ref="PH120:PI120"/>
    <mergeCell ref="PJ120:PK120"/>
    <mergeCell ref="PL120:PM120"/>
    <mergeCell ref="PN120:PO120"/>
    <mergeCell ref="PP120:PQ120"/>
    <mergeCell ref="PR120:PS120"/>
    <mergeCell ref="PT120:PU120"/>
    <mergeCell ref="PV120:PW120"/>
    <mergeCell ref="PX120:PY120"/>
    <mergeCell ref="QE120:QF120"/>
    <mergeCell ref="QG120:QH120"/>
    <mergeCell ref="QI120:QJ120"/>
    <mergeCell ref="QK120:QL120"/>
    <mergeCell ref="QM120:QN120"/>
    <mergeCell ref="QO120:QP120"/>
    <mergeCell ref="QQ120:QR120"/>
    <mergeCell ref="QS120:QT120"/>
    <mergeCell ref="QU120:QV120"/>
    <mergeCell ref="QW120:QX120"/>
    <mergeCell ref="QY120:QZ120"/>
    <mergeCell ref="RA120:RB120"/>
    <mergeCell ref="RH120:RI120"/>
    <mergeCell ref="RJ120:RK120"/>
    <mergeCell ref="RL120:RM120"/>
    <mergeCell ref="RN120:RO120"/>
    <mergeCell ref="RP120:RQ120"/>
    <mergeCell ref="RR120:RS120"/>
    <mergeCell ref="RT120:RU120"/>
    <mergeCell ref="RV120:RW120"/>
    <mergeCell ref="RX120:RY120"/>
    <mergeCell ref="RZ120:SA120"/>
    <mergeCell ref="SB120:SC120"/>
    <mergeCell ref="SD120:SE120"/>
    <mergeCell ref="SK120:SL120"/>
    <mergeCell ref="SM120:SN120"/>
    <mergeCell ref="SO120:SP120"/>
    <mergeCell ref="SQ120:SR120"/>
    <mergeCell ref="SS120:ST120"/>
    <mergeCell ref="SU120:SV120"/>
    <mergeCell ref="SW120:SX120"/>
    <mergeCell ref="SY120:SZ120"/>
    <mergeCell ref="TA120:TB120"/>
    <mergeCell ref="TC120:TD120"/>
    <mergeCell ref="TE120:TF120"/>
    <mergeCell ref="TG120:TH120"/>
    <mergeCell ref="TN120:TO120"/>
    <mergeCell ref="TP120:TQ120"/>
    <mergeCell ref="TR120:TS120"/>
    <mergeCell ref="TT120:TU120"/>
    <mergeCell ref="TV120:TW120"/>
    <mergeCell ref="TX120:TY120"/>
    <mergeCell ref="TZ120:UA120"/>
    <mergeCell ref="UB120:UC120"/>
    <mergeCell ref="UD120:UE120"/>
    <mergeCell ref="UF120:UG120"/>
    <mergeCell ref="UH120:UI120"/>
    <mergeCell ref="UJ120:UK120"/>
    <mergeCell ref="UQ120:UR120"/>
    <mergeCell ref="US120:UT120"/>
    <mergeCell ref="UU120:UV120"/>
    <mergeCell ref="UW120:UX120"/>
    <mergeCell ref="UY120:UZ120"/>
    <mergeCell ref="VA120:VB120"/>
    <mergeCell ref="VC120:VD120"/>
    <mergeCell ref="VE120:VF120"/>
    <mergeCell ref="VG120:VH120"/>
    <mergeCell ref="VI120:VJ120"/>
    <mergeCell ref="VK120:VL120"/>
    <mergeCell ref="VM120:VN120"/>
    <mergeCell ref="VT120:VU120"/>
    <mergeCell ref="VV120:VW120"/>
    <mergeCell ref="VX120:VY120"/>
    <mergeCell ref="VZ120:WA120"/>
    <mergeCell ref="WB120:WC120"/>
    <mergeCell ref="WD120:WE120"/>
    <mergeCell ref="WF120:WG120"/>
    <mergeCell ref="WH120:WI120"/>
    <mergeCell ref="WJ120:WK120"/>
    <mergeCell ref="WL120:WM120"/>
    <mergeCell ref="WN120:WO120"/>
    <mergeCell ref="WP120:WQ120"/>
    <mergeCell ref="WZ120:XA120"/>
    <mergeCell ref="XB120:XC120"/>
    <mergeCell ref="XD120:XE120"/>
    <mergeCell ref="XF120:XG120"/>
    <mergeCell ref="XH120:XI120"/>
    <mergeCell ref="XJ120:XK120"/>
    <mergeCell ref="XL120:XM120"/>
    <mergeCell ref="XN120:XO120"/>
    <mergeCell ref="XP120:XQ120"/>
    <mergeCell ref="XR120:XS120"/>
    <mergeCell ref="XT120:XU120"/>
    <mergeCell ref="XV120:XW120"/>
    <mergeCell ref="YC120:YD120"/>
    <mergeCell ref="YE120:YF120"/>
    <mergeCell ref="YG120:YH120"/>
    <mergeCell ref="YI120:YJ120"/>
    <mergeCell ref="YK120:YL120"/>
    <mergeCell ref="YM120:YN120"/>
    <mergeCell ref="YO120:YP120"/>
    <mergeCell ref="YQ120:YR120"/>
    <mergeCell ref="YS120:YT120"/>
    <mergeCell ref="YU120:YV120"/>
    <mergeCell ref="YW120:YX120"/>
    <mergeCell ref="YY120:YZ120"/>
    <mergeCell ref="ZF120:ZG120"/>
    <mergeCell ref="ZH120:ZI120"/>
    <mergeCell ref="ZJ120:ZK120"/>
    <mergeCell ref="ZL120:ZM120"/>
    <mergeCell ref="ZN120:ZO120"/>
    <mergeCell ref="ZP120:ZQ120"/>
    <mergeCell ref="ZR120:ZS120"/>
    <mergeCell ref="ZT120:ZU120"/>
    <mergeCell ref="ZV120:ZW120"/>
    <mergeCell ref="ZX120:ZY120"/>
    <mergeCell ref="ZZ120:AAA120"/>
    <mergeCell ref="AAB120:AAC120"/>
    <mergeCell ref="AAI120:AAJ120"/>
    <mergeCell ref="AAK120:AAL120"/>
    <mergeCell ref="AAM120:AAN120"/>
    <mergeCell ref="AAO120:AAP120"/>
    <mergeCell ref="AAQ120:AAR120"/>
    <mergeCell ref="AAS120:AAT120"/>
    <mergeCell ref="AAU120:AAV120"/>
    <mergeCell ref="AAW120:AAX120"/>
    <mergeCell ref="AAY120:AAZ120"/>
    <mergeCell ref="ABA120:ABB120"/>
    <mergeCell ref="ABC120:ABD120"/>
    <mergeCell ref="ABE120:ABF120"/>
    <mergeCell ref="ABL120:ABM120"/>
    <mergeCell ref="ABN120:ABO120"/>
    <mergeCell ref="ABP120:ABQ120"/>
    <mergeCell ref="ABR120:ABS120"/>
    <mergeCell ref="ABT120:ABU120"/>
    <mergeCell ref="ABV120:ABW120"/>
    <mergeCell ref="ABX120:ABY120"/>
    <mergeCell ref="ABZ120:ACA120"/>
    <mergeCell ref="ACB120:ACC120"/>
    <mergeCell ref="ACD120:ACE120"/>
    <mergeCell ref="ACF120:ACG120"/>
    <mergeCell ref="ACH120:ACI120"/>
    <mergeCell ref="ACO120:ACP120"/>
    <mergeCell ref="ACQ120:ACR120"/>
    <mergeCell ref="ACS120:ACT120"/>
    <mergeCell ref="ACU120:ACV120"/>
    <mergeCell ref="ACW120:ACX120"/>
    <mergeCell ref="ACY120:ACZ120"/>
    <mergeCell ref="ADA120:ADB120"/>
    <mergeCell ref="ADC120:ADD120"/>
    <mergeCell ref="ADE120:ADF120"/>
    <mergeCell ref="ADG120:ADH120"/>
    <mergeCell ref="ADI120:ADJ120"/>
    <mergeCell ref="ADK120:ADL120"/>
    <mergeCell ref="ADR120:ADS120"/>
    <mergeCell ref="ADT120:ADU120"/>
    <mergeCell ref="ADV120:ADW120"/>
    <mergeCell ref="ADX120:ADY120"/>
    <mergeCell ref="ADZ120:AEA120"/>
    <mergeCell ref="AEB120:AEC120"/>
    <mergeCell ref="AED120:AEE120"/>
    <mergeCell ref="AEF120:AEG120"/>
    <mergeCell ref="AEH120:AEI120"/>
    <mergeCell ref="AEJ120:AEK120"/>
    <mergeCell ref="AEL120:AEM120"/>
    <mergeCell ref="AEN120:AEO120"/>
    <mergeCell ref="AEX120:AEY120"/>
    <mergeCell ref="AEZ120:AFA120"/>
    <mergeCell ref="AFB120:AFC120"/>
    <mergeCell ref="AFD120:AFE120"/>
    <mergeCell ref="AFF120:AFG120"/>
    <mergeCell ref="AFH120:AFI120"/>
    <mergeCell ref="AFJ120:AFK120"/>
    <mergeCell ref="AFL120:AFM120"/>
    <mergeCell ref="AFN120:AFO120"/>
    <mergeCell ref="AFP120:AFQ120"/>
    <mergeCell ref="AFR120:AFS120"/>
    <mergeCell ref="AFT120:AFU120"/>
    <mergeCell ref="AGA120:AGB120"/>
    <mergeCell ref="AGC120:AGD120"/>
    <mergeCell ref="AGE120:AGF120"/>
    <mergeCell ref="AGG120:AGH120"/>
    <mergeCell ref="AGI120:AGJ120"/>
    <mergeCell ref="AGK120:AGL120"/>
    <mergeCell ref="AGM120:AGN120"/>
    <mergeCell ref="AGO120:AGP120"/>
    <mergeCell ref="AGQ120:AGR120"/>
    <mergeCell ref="AGS120:AGT120"/>
    <mergeCell ref="AGU120:AGV120"/>
    <mergeCell ref="AGW120:AGX120"/>
    <mergeCell ref="AHD120:AHE120"/>
    <mergeCell ref="AHF120:AHG120"/>
    <mergeCell ref="AHH120:AHI120"/>
    <mergeCell ref="AHJ120:AHK120"/>
    <mergeCell ref="AHL120:AHM120"/>
    <mergeCell ref="AHN120:AHO120"/>
    <mergeCell ref="AHP120:AHQ120"/>
    <mergeCell ref="AHR120:AHS120"/>
    <mergeCell ref="AHT120:AHU120"/>
    <mergeCell ref="AHV120:AHW120"/>
    <mergeCell ref="AHX120:AHY120"/>
    <mergeCell ref="AHZ120:AIA120"/>
    <mergeCell ref="AIG120:AIH120"/>
    <mergeCell ref="AII120:AIJ120"/>
    <mergeCell ref="AIK120:AIL120"/>
    <mergeCell ref="AIM120:AIN120"/>
    <mergeCell ref="AIO120:AIP120"/>
    <mergeCell ref="AIQ120:AIR120"/>
    <mergeCell ref="AIS120:AIT120"/>
    <mergeCell ref="AIU120:AIV120"/>
    <mergeCell ref="AIW120:AIX120"/>
    <mergeCell ref="AIY120:AIZ120"/>
    <mergeCell ref="AJA120:AJB120"/>
    <mergeCell ref="AJC120:AJD120"/>
    <mergeCell ref="AJJ120:AJK120"/>
    <mergeCell ref="AJL120:AJM120"/>
    <mergeCell ref="AJN120:AJO120"/>
    <mergeCell ref="AJP120:AJQ120"/>
    <mergeCell ref="AJR120:AJS120"/>
    <mergeCell ref="AJT120:AJU120"/>
    <mergeCell ref="AJV120:AJW120"/>
    <mergeCell ref="AJX120:AJY120"/>
    <mergeCell ref="AJZ120:AKA120"/>
    <mergeCell ref="AKB120:AKC120"/>
    <mergeCell ref="AKD120:AKE120"/>
    <mergeCell ref="AKF120:AKG120"/>
    <mergeCell ref="AKM120:AKN120"/>
    <mergeCell ref="AKO120:AKP120"/>
    <mergeCell ref="AKQ120:AKR120"/>
    <mergeCell ref="AKS120:AKT120"/>
    <mergeCell ref="AKU120:AKV120"/>
    <mergeCell ref="AKW120:AKX120"/>
    <mergeCell ref="AKY120:AKZ120"/>
    <mergeCell ref="ALA120:ALB120"/>
    <mergeCell ref="ALC120:ALD120"/>
    <mergeCell ref="ALE120:ALF120"/>
    <mergeCell ref="ALG120:ALH120"/>
    <mergeCell ref="ALI120:ALJ120"/>
    <mergeCell ref="ALP120:ALQ120"/>
    <mergeCell ref="ALR120:ALS120"/>
    <mergeCell ref="ALT120:ALU120"/>
    <mergeCell ref="ALV120:ALW120"/>
    <mergeCell ref="ALX120:ALY120"/>
    <mergeCell ref="ALZ120:AMA120"/>
    <mergeCell ref="AMB120:AMC120"/>
    <mergeCell ref="AMD120:AME120"/>
    <mergeCell ref="AMF120:AMG120"/>
    <mergeCell ref="AMH120:AMI120"/>
    <mergeCell ref="AMJ120:AMK120"/>
    <mergeCell ref="AML120:AMM120"/>
    <mergeCell ref="A121:A129"/>
    <mergeCell ref="G132:H132"/>
    <mergeCell ref="I132:J132"/>
    <mergeCell ref="AJ132:AK132"/>
    <mergeCell ref="AL132:AM132"/>
    <mergeCell ref="BM132:BN132"/>
    <mergeCell ref="BO132:BP132"/>
    <mergeCell ref="CP132:CQ132"/>
    <mergeCell ref="CR132:CS132"/>
    <mergeCell ref="DS132:DT132"/>
    <mergeCell ref="DU132:DV132"/>
    <mergeCell ref="HE132:HF132"/>
    <mergeCell ref="HG132:HH132"/>
    <mergeCell ref="IH132:II132"/>
    <mergeCell ref="IJ132:IK132"/>
    <mergeCell ref="JK132:JL132"/>
    <mergeCell ref="JM132:JN132"/>
    <mergeCell ref="KN132:KO132"/>
    <mergeCell ref="KP132:KQ132"/>
    <mergeCell ref="LQ132:LR132"/>
    <mergeCell ref="LS132:LT132"/>
    <mergeCell ref="PC132:PD132"/>
    <mergeCell ref="PE132:PF132"/>
    <mergeCell ref="QF132:QG132"/>
    <mergeCell ref="QH132:QI132"/>
    <mergeCell ref="RI132:RJ132"/>
    <mergeCell ref="RK132:RL132"/>
    <mergeCell ref="SL132:SM132"/>
    <mergeCell ref="SN132:SO132"/>
    <mergeCell ref="TO132:TP132"/>
    <mergeCell ref="TQ132:TR132"/>
    <mergeCell ref="XA132:XB132"/>
    <mergeCell ref="XC132:XD132"/>
    <mergeCell ref="YD132:YE132"/>
    <mergeCell ref="YF132:YG132"/>
    <mergeCell ref="ZG132:ZH132"/>
    <mergeCell ref="ZI132:ZJ132"/>
    <mergeCell ref="AAJ132:AAK132"/>
    <mergeCell ref="AAL132:AAM132"/>
    <mergeCell ref="ABM132:ABN132"/>
    <mergeCell ref="ABO132:ABP132"/>
    <mergeCell ref="AEY132:AEZ132"/>
    <mergeCell ref="AFA132:AFB132"/>
    <mergeCell ref="AGB132:AGC132"/>
    <mergeCell ref="AGD132:AGE132"/>
    <mergeCell ref="AHE132:AHF132"/>
    <mergeCell ref="AHG132:AHH132"/>
    <mergeCell ref="AIH132:AII132"/>
    <mergeCell ref="AIJ132:AIK132"/>
    <mergeCell ref="AJK132:AJL132"/>
    <mergeCell ref="AJM132:AJN132"/>
  </mergeCells>
  <conditionalFormatting sqref="HA13:HA14 HA16 HA19 HA32 OY14 OY16 OY19 OY32 WW14 WW16 WW19 WW27:WW29 WW32 AEU14 AEU16 AEU19 AEU27:AEU29 AEU32 AMS14 AMS16 AMS19 AMS32">
    <cfRule type="cellIs" dxfId="0" priority="266157" operator="greaterThan">
      <formula>0</formula>
    </cfRule>
  </conditionalFormatting>
  <conditionalFormatting sqref="GZ13:GZ14 GZ16 GZ19 GZ32">
    <cfRule type="cellIs" dxfId="1" priority="266156" operator="greaterThan">
      <formula>0</formula>
    </cfRule>
  </conditionalFormatting>
  <conditionalFormatting sqref="GY13:GY14 GY16 GY19 GY32 OW14 OW16 OW19 OW32 WU14 WU16 WU19 WU27:WU29 WU32 AES14 AES16 AES19 AES27:AES29 AES32 AMQ14 AMQ16 AMQ19 AMQ32">
    <cfRule type="cellIs" dxfId="2" priority="266155" operator="greaterThan">
      <formula>0</formula>
    </cfRule>
  </conditionalFormatting>
  <conditionalFormatting sqref="GY13:GZ14 GY16:GZ16 GY19:GZ19 GY32:GZ32 OW14 OW16 OW19 OW32 WU14 WU16 WU19 WU27:WU29 WU32 AES14 AES16 AES19 AES27:AES29 AES32 AMQ14 AMQ16 AMQ19 AMQ32">
    <cfRule type="cellIs" dxfId="3" priority="258205" operator="equal">
      <formula>0</formula>
    </cfRule>
  </conditionalFormatting>
  <conditionalFormatting sqref="D7:AG7 AI7:BJ7 BL7:CM7 CO7:DP7 DR7:ER7 GY7:HB7 HD7:IE7 IG7:JH7 JJ7:KK7 KM7:LN7 LP7:MP7 OW7:OZ7 PB7:QC7 QE7:RF7 RH7:SI7 SK7:TL7 TN7:UN7 WU7:WX7 WZ7:YA7 YC7:ZD7 ZF7:AAG7 AAI7:ABJ7 ABL7:ACL7 AES7:AEV7 AEX7:AFY7 AGA7:AHB7 AHD7:AIE7 AIG7:AJH7 AJJ7:AKG7 AKJ7 AMQ7:AMS7">
    <cfRule type="cellIs" dxfId="4" priority="227808" operator="equal">
      <formula>"Pre-session"</formula>
    </cfRule>
    <cfRule type="cellIs" dxfId="5" priority="227809" operator="equal">
      <formula>"Session"</formula>
    </cfRule>
  </conditionalFormatting>
  <conditionalFormatting sqref="KJ9:KK10">
    <cfRule type="cellIs" dxfId="6" priority="204989" operator="equal">
      <formula>0</formula>
    </cfRule>
  </conditionalFormatting>
  <conditionalFormatting sqref="JG9:JH10">
    <cfRule type="cellIs" dxfId="7" priority="204988" operator="equal">
      <formula>0</formula>
    </cfRule>
  </conditionalFormatting>
  <conditionalFormatting sqref="ID9:IE10">
    <cfRule type="cellIs" dxfId="8" priority="204987" operator="equal">
      <formula>0</formula>
    </cfRule>
  </conditionalFormatting>
  <conditionalFormatting sqref="ER9:ER10">
    <cfRule type="cellIs" dxfId="9" priority="204986" operator="equal">
      <formula>0</formula>
    </cfRule>
  </conditionalFormatting>
  <conditionalFormatting sqref="DO9:DP10">
    <cfRule type="cellIs" dxfId="10" priority="204985" operator="equal">
      <formula>0</formula>
    </cfRule>
  </conditionalFormatting>
  <conditionalFormatting sqref="CL9:CM10">
    <cfRule type="cellIs" dxfId="11" priority="204984" operator="equal">
      <formula>0</formula>
    </cfRule>
  </conditionalFormatting>
  <conditionalFormatting sqref="BI9:BJ10">
    <cfRule type="cellIs" dxfId="12" priority="204983" operator="equal">
      <formula>0</formula>
    </cfRule>
  </conditionalFormatting>
  <conditionalFormatting sqref="AF9:AG10">
    <cfRule type="cellIs" dxfId="13" priority="204982" operator="equal">
      <formula>0</formula>
    </cfRule>
  </conditionalFormatting>
  <conditionalFormatting sqref="LM9:LN10">
    <cfRule type="cellIs" dxfId="14" priority="204981" operator="equal">
      <formula>0</formula>
    </cfRule>
  </conditionalFormatting>
  <conditionalFormatting sqref="MP9:MP10">
    <cfRule type="cellIs" dxfId="15" priority="204979" operator="equal">
      <formula>0</formula>
    </cfRule>
  </conditionalFormatting>
  <conditionalFormatting sqref="QB9:QC10">
    <cfRule type="cellIs" dxfId="16" priority="204978" operator="equal">
      <formula>0</formula>
    </cfRule>
  </conditionalFormatting>
  <conditionalFormatting sqref="RE9:RF10">
    <cfRule type="cellIs" dxfId="17" priority="204977" operator="equal">
      <formula>0</formula>
    </cfRule>
  </conditionalFormatting>
  <conditionalFormatting sqref="SH9:SI10">
    <cfRule type="cellIs" dxfId="18" priority="204976" operator="equal">
      <formula>0</formula>
    </cfRule>
  </conditionalFormatting>
  <conditionalFormatting sqref="TK9:TL10">
    <cfRule type="cellIs" dxfId="19" priority="204975" operator="equal">
      <formula>0</formula>
    </cfRule>
  </conditionalFormatting>
  <conditionalFormatting sqref="UN9:UN10">
    <cfRule type="cellIs" dxfId="20" priority="204974" operator="equal">
      <formula>0</formula>
    </cfRule>
  </conditionalFormatting>
  <conditionalFormatting sqref="XZ9:YA10">
    <cfRule type="cellIs" dxfId="21" priority="204973" operator="equal">
      <formula>0</formula>
    </cfRule>
  </conditionalFormatting>
  <conditionalFormatting sqref="ZC9:ZD10">
    <cfRule type="cellIs" dxfId="22" priority="204972" operator="equal">
      <formula>0</formula>
    </cfRule>
  </conditionalFormatting>
  <conditionalFormatting sqref="AAF9:AAG10">
    <cfRule type="cellIs" dxfId="23" priority="204971" operator="equal">
      <formula>0</formula>
    </cfRule>
  </conditionalFormatting>
  <conditionalFormatting sqref="ABI9:ABJ10">
    <cfRule type="cellIs" dxfId="24" priority="204970" operator="equal">
      <formula>0</formula>
    </cfRule>
  </conditionalFormatting>
  <conditionalFormatting sqref="ACL9:ACL10">
    <cfRule type="cellIs" dxfId="25" priority="204969" operator="equal">
      <formula>0</formula>
    </cfRule>
  </conditionalFormatting>
  <conditionalFormatting sqref="AFX9:AFY10 AHA9:AHB10 AID9:AIE10 AJG9:AJH10 AKJ9:AKJ10">
    <cfRule type="cellIs" dxfId="26" priority="204968" operator="equal">
      <formula>0</formula>
    </cfRule>
  </conditionalFormatting>
  <conditionalFormatting sqref="AKH7:AKI7">
    <cfRule type="cellIs" dxfId="27" priority="151432" operator="equal">
      <formula>"Pre-session"</formula>
    </cfRule>
    <cfRule type="cellIs" dxfId="28" priority="151433" operator="equal">
      <formula>"Session"</formula>
    </cfRule>
  </conditionalFormatting>
  <conditionalFormatting sqref="AH7">
    <cfRule type="cellIs" dxfId="29" priority="148288" operator="equal">
      <formula>"Pre-session"</formula>
    </cfRule>
    <cfRule type="cellIs" dxfId="30" priority="148289" operator="equal">
      <formula>"Session"</formula>
    </cfRule>
  </conditionalFormatting>
  <conditionalFormatting sqref="BK7">
    <cfRule type="cellIs" dxfId="31" priority="148286" operator="equal">
      <formula>"Pre-session"</formula>
    </cfRule>
    <cfRule type="cellIs" dxfId="32" priority="148287" operator="equal">
      <formula>"Session"</formula>
    </cfRule>
  </conditionalFormatting>
  <conditionalFormatting sqref="CN7">
    <cfRule type="cellIs" dxfId="33" priority="148284" operator="equal">
      <formula>"Pre-session"</formula>
    </cfRule>
    <cfRule type="cellIs" dxfId="34" priority="148285" operator="equal">
      <formula>"Session"</formula>
    </cfRule>
  </conditionalFormatting>
  <conditionalFormatting sqref="DQ7">
    <cfRule type="cellIs" dxfId="35" priority="148282" operator="equal">
      <formula>"Pre-session"</formula>
    </cfRule>
    <cfRule type="cellIs" dxfId="36" priority="148283" operator="equal">
      <formula>"Session"</formula>
    </cfRule>
  </conditionalFormatting>
  <conditionalFormatting sqref="HC7">
    <cfRule type="cellIs" dxfId="37" priority="148280" operator="equal">
      <formula>"Pre-session"</formula>
    </cfRule>
    <cfRule type="cellIs" dxfId="38" priority="148281" operator="equal">
      <formula>"Session"</formula>
    </cfRule>
  </conditionalFormatting>
  <conditionalFormatting sqref="IF7">
    <cfRule type="cellIs" dxfId="39" priority="148278" operator="equal">
      <formula>"Pre-session"</formula>
    </cfRule>
    <cfRule type="cellIs" dxfId="40" priority="148279" operator="equal">
      <formula>"Session"</formula>
    </cfRule>
  </conditionalFormatting>
  <conditionalFormatting sqref="JI7">
    <cfRule type="cellIs" dxfId="41" priority="148276" operator="equal">
      <formula>"Pre-session"</formula>
    </cfRule>
    <cfRule type="cellIs" dxfId="42" priority="148277" operator="equal">
      <formula>"Session"</formula>
    </cfRule>
  </conditionalFormatting>
  <conditionalFormatting sqref="KL7">
    <cfRule type="cellIs" dxfId="43" priority="148274" operator="equal">
      <formula>"Pre-session"</formula>
    </cfRule>
    <cfRule type="cellIs" dxfId="44" priority="148275" operator="equal">
      <formula>"Session"</formula>
    </cfRule>
  </conditionalFormatting>
  <conditionalFormatting sqref="LO7">
    <cfRule type="cellIs" dxfId="45" priority="148272" operator="equal">
      <formula>"Pre-session"</formula>
    </cfRule>
    <cfRule type="cellIs" dxfId="46" priority="148273" operator="equal">
      <formula>"Session"</formula>
    </cfRule>
  </conditionalFormatting>
  <conditionalFormatting sqref="PA7">
    <cfRule type="cellIs" dxfId="47" priority="148270" operator="equal">
      <formula>"Pre-session"</formula>
    </cfRule>
    <cfRule type="cellIs" dxfId="48" priority="148271" operator="equal">
      <formula>"Session"</formula>
    </cfRule>
  </conditionalFormatting>
  <conditionalFormatting sqref="QD7">
    <cfRule type="cellIs" dxfId="49" priority="148268" operator="equal">
      <formula>"Pre-session"</formula>
    </cfRule>
    <cfRule type="cellIs" dxfId="50" priority="148269" operator="equal">
      <formula>"Session"</formula>
    </cfRule>
  </conditionalFormatting>
  <conditionalFormatting sqref="RG7">
    <cfRule type="cellIs" dxfId="51" priority="148266" operator="equal">
      <formula>"Pre-session"</formula>
    </cfRule>
    <cfRule type="cellIs" dxfId="52" priority="148267" operator="equal">
      <formula>"Session"</formula>
    </cfRule>
  </conditionalFormatting>
  <conditionalFormatting sqref="SJ7">
    <cfRule type="cellIs" dxfId="53" priority="148264" operator="equal">
      <formula>"Pre-session"</formula>
    </cfRule>
    <cfRule type="cellIs" dxfId="54" priority="148265" operator="equal">
      <formula>"Session"</formula>
    </cfRule>
  </conditionalFormatting>
  <conditionalFormatting sqref="TM7">
    <cfRule type="cellIs" dxfId="55" priority="148262" operator="equal">
      <formula>"Pre-session"</formula>
    </cfRule>
    <cfRule type="cellIs" dxfId="56" priority="148263" operator="equal">
      <formula>"Session"</formula>
    </cfRule>
  </conditionalFormatting>
  <conditionalFormatting sqref="WY7">
    <cfRule type="cellIs" dxfId="57" priority="148260" operator="equal">
      <formula>"Pre-session"</formula>
    </cfRule>
    <cfRule type="cellIs" dxfId="58" priority="148261" operator="equal">
      <formula>"Session"</formula>
    </cfRule>
  </conditionalFormatting>
  <conditionalFormatting sqref="YB7">
    <cfRule type="cellIs" dxfId="59" priority="148258" operator="equal">
      <formula>"Pre-session"</formula>
    </cfRule>
    <cfRule type="cellIs" dxfId="60" priority="148259" operator="equal">
      <formula>"Session"</formula>
    </cfRule>
  </conditionalFormatting>
  <conditionalFormatting sqref="ZE7">
    <cfRule type="cellIs" dxfId="61" priority="148256" operator="equal">
      <formula>"Pre-session"</formula>
    </cfRule>
    <cfRule type="cellIs" dxfId="62" priority="148257" operator="equal">
      <formula>"Session"</formula>
    </cfRule>
  </conditionalFormatting>
  <conditionalFormatting sqref="AAH7">
    <cfRule type="cellIs" dxfId="63" priority="148254" operator="equal">
      <formula>"Pre-session"</formula>
    </cfRule>
    <cfRule type="cellIs" dxfId="64" priority="148255" operator="equal">
      <formula>"Session"</formula>
    </cfRule>
  </conditionalFormatting>
  <conditionalFormatting sqref="ABK7">
    <cfRule type="cellIs" dxfId="65" priority="148252" operator="equal">
      <formula>"Pre-session"</formula>
    </cfRule>
    <cfRule type="cellIs" dxfId="66" priority="148253" operator="equal">
      <formula>"Session"</formula>
    </cfRule>
  </conditionalFormatting>
  <conditionalFormatting sqref="AEW7">
    <cfRule type="cellIs" dxfId="67" priority="148250" operator="equal">
      <formula>"Pre-session"</formula>
    </cfRule>
    <cfRule type="cellIs" dxfId="68" priority="148251" operator="equal">
      <formula>"Session"</formula>
    </cfRule>
  </conditionalFormatting>
  <conditionalFormatting sqref="AFZ7">
    <cfRule type="cellIs" dxfId="69" priority="148248" operator="equal">
      <formula>"Pre-session"</formula>
    </cfRule>
    <cfRule type="cellIs" dxfId="70" priority="148249" operator="equal">
      <formula>"Session"</formula>
    </cfRule>
  </conditionalFormatting>
  <conditionalFormatting sqref="AHC7">
    <cfRule type="cellIs" dxfId="71" priority="148246" operator="equal">
      <formula>"Pre-session"</formula>
    </cfRule>
    <cfRule type="cellIs" dxfId="72" priority="148247" operator="equal">
      <formula>"Session"</formula>
    </cfRule>
  </conditionalFormatting>
  <conditionalFormatting sqref="AIF7">
    <cfRule type="cellIs" dxfId="73" priority="148244" operator="equal">
      <formula>"Pre-session"</formula>
    </cfRule>
    <cfRule type="cellIs" dxfId="74" priority="148245" operator="equal">
      <formula>"Session"</formula>
    </cfRule>
  </conditionalFormatting>
  <conditionalFormatting sqref="AJI7">
    <cfRule type="cellIs" dxfId="75" priority="148242" operator="equal">
      <formula>"Pre-session"</formula>
    </cfRule>
    <cfRule type="cellIs" dxfId="76" priority="148243" operator="equal">
      <formula>"Session"</formula>
    </cfRule>
  </conditionalFormatting>
  <conditionalFormatting sqref="ES9:ES10">
    <cfRule type="cellIs" dxfId="77" priority="147411" operator="equal">
      <formula>0</formula>
    </cfRule>
  </conditionalFormatting>
  <conditionalFormatting sqref="WW13">
    <cfRule type="cellIs" dxfId="78" priority="147778" operator="greaterThan">
      <formula>0</formula>
    </cfRule>
  </conditionalFormatting>
  <conditionalFormatting sqref="WU13">
    <cfRule type="cellIs" dxfId="79" priority="147776" operator="greaterThan">
      <formula>0</formula>
    </cfRule>
    <cfRule type="cellIs" dxfId="80" priority="147775" operator="equal">
      <formula>0</formula>
    </cfRule>
  </conditionalFormatting>
  <conditionalFormatting sqref="AEU13">
    <cfRule type="cellIs" dxfId="81" priority="147738" operator="greaterThan">
      <formula>0</formula>
    </cfRule>
  </conditionalFormatting>
  <conditionalFormatting sqref="AES13">
    <cfRule type="cellIs" dxfId="82" priority="147736" operator="greaterThan">
      <formula>0</formula>
    </cfRule>
    <cfRule type="cellIs" dxfId="83" priority="147735" operator="equal">
      <formula>0</formula>
    </cfRule>
  </conditionalFormatting>
  <conditionalFormatting sqref="AMS13">
    <cfRule type="cellIs" dxfId="84" priority="147690" operator="greaterThan">
      <formula>0</formula>
    </cfRule>
  </conditionalFormatting>
  <conditionalFormatting sqref="AMQ13">
    <cfRule type="cellIs" dxfId="85" priority="147688" operator="greaterThan">
      <formula>0</formula>
    </cfRule>
    <cfRule type="cellIs" dxfId="86" priority="147687" operator="equal">
      <formula>0</formula>
    </cfRule>
  </conditionalFormatting>
  <conditionalFormatting sqref="OY13">
    <cfRule type="cellIs" dxfId="87" priority="147478" operator="greaterThan">
      <formula>0</formula>
    </cfRule>
  </conditionalFormatting>
  <conditionalFormatting sqref="OW13">
    <cfRule type="cellIs" dxfId="88" priority="147476" operator="greaterThan">
      <formula>0</formula>
    </cfRule>
    <cfRule type="cellIs" dxfId="89" priority="147475" operator="equal">
      <formula>0</formula>
    </cfRule>
  </conditionalFormatting>
  <conditionalFormatting sqref="ES7 EU7:FU7">
    <cfRule type="cellIs" dxfId="90" priority="147413" operator="equal">
      <formula>"Pre-session"</formula>
    </cfRule>
    <cfRule type="cellIs" dxfId="91" priority="147414" operator="equal">
      <formula>"Session"</formula>
    </cfRule>
  </conditionalFormatting>
  <conditionalFormatting sqref="FU9:FU10">
    <cfRule type="cellIs" dxfId="92" priority="147412" operator="equal">
      <formula>0</formula>
    </cfRule>
  </conditionalFormatting>
  <conditionalFormatting sqref="ET7">
    <cfRule type="cellIs" dxfId="93" priority="147357" operator="equal">
      <formula>"Pre-session"</formula>
    </cfRule>
    <cfRule type="cellIs" dxfId="94" priority="147358" operator="equal">
      <formula>"Session"</formula>
    </cfRule>
  </conditionalFormatting>
  <conditionalFormatting sqref="FV7 FX7:GX7">
    <cfRule type="cellIs" dxfId="95" priority="147335" operator="equal">
      <formula>"Pre-session"</formula>
    </cfRule>
    <cfRule type="cellIs" dxfId="96" priority="147336" operator="equal">
      <formula>"Session"</formula>
    </cfRule>
  </conditionalFormatting>
  <conditionalFormatting sqref="GX9:GX10">
    <cfRule type="cellIs" dxfId="97" priority="147334" operator="equal">
      <formula>0</formula>
    </cfRule>
  </conditionalFormatting>
  <conditionalFormatting sqref="FV9:FV10">
    <cfRule type="cellIs" dxfId="98" priority="147333" operator="equal">
      <formula>0</formula>
    </cfRule>
  </conditionalFormatting>
  <conditionalFormatting sqref="FW7">
    <cfRule type="cellIs" dxfId="99" priority="147279" operator="equal">
      <formula>"Pre-session"</formula>
    </cfRule>
    <cfRule type="cellIs" dxfId="100" priority="147280" operator="equal">
      <formula>"Session"</formula>
    </cfRule>
  </conditionalFormatting>
  <conditionalFormatting sqref="MQ7 MS7:NS7">
    <cfRule type="cellIs" dxfId="101" priority="147241" operator="equal">
      <formula>"Pre-session"</formula>
    </cfRule>
    <cfRule type="cellIs" dxfId="102" priority="147242" operator="equal">
      <formula>"Session"</formula>
    </cfRule>
  </conditionalFormatting>
  <conditionalFormatting sqref="NS9:NS10">
    <cfRule type="cellIs" dxfId="103" priority="147240" operator="equal">
      <formula>0</formula>
    </cfRule>
  </conditionalFormatting>
  <conditionalFormatting sqref="MQ9:MQ10">
    <cfRule type="cellIs" dxfId="104" priority="147239" operator="equal">
      <formula>0</formula>
    </cfRule>
  </conditionalFormatting>
  <conditionalFormatting sqref="MR7">
    <cfRule type="cellIs" dxfId="105" priority="147185" operator="equal">
      <formula>"Pre-session"</formula>
    </cfRule>
    <cfRule type="cellIs" dxfId="106" priority="147186" operator="equal">
      <formula>"Session"</formula>
    </cfRule>
  </conditionalFormatting>
  <conditionalFormatting sqref="NT7 NV7:OV7">
    <cfRule type="cellIs" dxfId="107" priority="147163" operator="equal">
      <formula>"Pre-session"</formula>
    </cfRule>
    <cfRule type="cellIs" dxfId="108" priority="147164" operator="equal">
      <formula>"Session"</formula>
    </cfRule>
  </conditionalFormatting>
  <conditionalFormatting sqref="OV9:OV10">
    <cfRule type="cellIs" dxfId="109" priority="147162" operator="equal">
      <formula>0</formula>
    </cfRule>
  </conditionalFormatting>
  <conditionalFormatting sqref="NT9:NT10">
    <cfRule type="cellIs" dxfId="110" priority="147161" operator="equal">
      <formula>0</formula>
    </cfRule>
  </conditionalFormatting>
  <conditionalFormatting sqref="NU7">
    <cfRule type="cellIs" dxfId="111" priority="147107" operator="equal">
      <formula>"Pre-session"</formula>
    </cfRule>
    <cfRule type="cellIs" dxfId="112" priority="147108" operator="equal">
      <formula>"Session"</formula>
    </cfRule>
  </conditionalFormatting>
  <conditionalFormatting sqref="UO7 UQ7:VQ7">
    <cfRule type="cellIs" dxfId="113" priority="147061" operator="equal">
      <formula>"Pre-session"</formula>
    </cfRule>
    <cfRule type="cellIs" dxfId="114" priority="147062" operator="equal">
      <formula>"Session"</formula>
    </cfRule>
  </conditionalFormatting>
  <conditionalFormatting sqref="VQ9:VQ10">
    <cfRule type="cellIs" dxfId="115" priority="147060" operator="equal">
      <formula>0</formula>
    </cfRule>
  </conditionalFormatting>
  <conditionalFormatting sqref="UO9:UO10">
    <cfRule type="cellIs" dxfId="116" priority="147059" operator="equal">
      <formula>0</formula>
    </cfRule>
  </conditionalFormatting>
  <conditionalFormatting sqref="UP7">
    <cfRule type="cellIs" dxfId="117" priority="147005" operator="equal">
      <formula>"Pre-session"</formula>
    </cfRule>
    <cfRule type="cellIs" dxfId="118" priority="147006" operator="equal">
      <formula>"Session"</formula>
    </cfRule>
  </conditionalFormatting>
  <conditionalFormatting sqref="VR7 VT7:WT7">
    <cfRule type="cellIs" dxfId="119" priority="146983" operator="equal">
      <formula>"Pre-session"</formula>
    </cfRule>
    <cfRule type="cellIs" dxfId="120" priority="146984" operator="equal">
      <formula>"Session"</formula>
    </cfRule>
  </conditionalFormatting>
  <conditionalFormatting sqref="WT9:WT10">
    <cfRule type="cellIs" dxfId="121" priority="146982" operator="equal">
      <formula>0</formula>
    </cfRule>
  </conditionalFormatting>
  <conditionalFormatting sqref="VR9:VR10">
    <cfRule type="cellIs" dxfId="122" priority="146981" operator="equal">
      <formula>0</formula>
    </cfRule>
  </conditionalFormatting>
  <conditionalFormatting sqref="VS7">
    <cfRule type="cellIs" dxfId="123" priority="146927" operator="equal">
      <formula>"Pre-session"</formula>
    </cfRule>
    <cfRule type="cellIs" dxfId="124" priority="146928" operator="equal">
      <formula>"Session"</formula>
    </cfRule>
  </conditionalFormatting>
  <conditionalFormatting sqref="ACM7 ACO7:ADO7">
    <cfRule type="cellIs" dxfId="125" priority="146873" operator="equal">
      <formula>"Pre-session"</formula>
    </cfRule>
    <cfRule type="cellIs" dxfId="126" priority="146874" operator="equal">
      <formula>"Session"</formula>
    </cfRule>
  </conditionalFormatting>
  <conditionalFormatting sqref="ADO9:ADO10">
    <cfRule type="cellIs" dxfId="127" priority="146872" operator="equal">
      <formula>0</formula>
    </cfRule>
  </conditionalFormatting>
  <conditionalFormatting sqref="ACM9:ACM10">
    <cfRule type="cellIs" dxfId="128" priority="146871" operator="equal">
      <formula>0</formula>
    </cfRule>
  </conditionalFormatting>
  <conditionalFormatting sqref="ACN7">
    <cfRule type="cellIs" dxfId="129" priority="146817" operator="equal">
      <formula>"Pre-session"</formula>
    </cfRule>
    <cfRule type="cellIs" dxfId="130" priority="146818" operator="equal">
      <formula>"Session"</formula>
    </cfRule>
  </conditionalFormatting>
  <conditionalFormatting sqref="ADP7 ADR7:AER7">
    <cfRule type="cellIs" dxfId="131" priority="146795" operator="equal">
      <formula>"Pre-session"</formula>
    </cfRule>
    <cfRule type="cellIs" dxfId="132" priority="146796" operator="equal">
      <formula>"Session"</formula>
    </cfRule>
  </conditionalFormatting>
  <conditionalFormatting sqref="AER9:AER10">
    <cfRule type="cellIs" dxfId="133" priority="146794" operator="equal">
      <formula>0</formula>
    </cfRule>
  </conditionalFormatting>
  <conditionalFormatting sqref="ADP9:ADP10">
    <cfRule type="cellIs" dxfId="134" priority="146793" operator="equal">
      <formula>0</formula>
    </cfRule>
  </conditionalFormatting>
  <conditionalFormatting sqref="ADQ7">
    <cfRule type="cellIs" dxfId="135" priority="146739" operator="equal">
      <formula>"Pre-session"</formula>
    </cfRule>
    <cfRule type="cellIs" dxfId="136" priority="146740" operator="equal">
      <formula>"Session"</formula>
    </cfRule>
  </conditionalFormatting>
  <conditionalFormatting sqref="AKK9:AKK10">
    <cfRule type="cellIs" dxfId="137" priority="146691" operator="equal">
      <formula>0</formula>
    </cfRule>
  </conditionalFormatting>
  <conditionalFormatting sqref="AKK7 AKM7:ALM7">
    <cfRule type="cellIs" dxfId="138" priority="146693" operator="equal">
      <formula>"Pre-session"</formula>
    </cfRule>
    <cfRule type="cellIs" dxfId="139" priority="146694" operator="equal">
      <formula>"Session"</formula>
    </cfRule>
  </conditionalFormatting>
  <conditionalFormatting sqref="ALM9:ALM10">
    <cfRule type="cellIs" dxfId="140" priority="146692" operator="equal">
      <formula>0</formula>
    </cfRule>
  </conditionalFormatting>
  <conditionalFormatting sqref="AKL7">
    <cfRule type="cellIs" dxfId="141" priority="146637" operator="equal">
      <formula>"Pre-session"</formula>
    </cfRule>
    <cfRule type="cellIs" dxfId="142" priority="146638" operator="equal">
      <formula>"Session"</formula>
    </cfRule>
  </conditionalFormatting>
  <conditionalFormatting sqref="ALN7 ALP7:AMP7">
    <cfRule type="cellIs" dxfId="143" priority="146615" operator="equal">
      <formula>"Pre-session"</formula>
    </cfRule>
    <cfRule type="cellIs" dxfId="144" priority="146616" operator="equal">
      <formula>"Session"</formula>
    </cfRule>
  </conditionalFormatting>
  <conditionalFormatting sqref="AMP9:AMP10">
    <cfRule type="cellIs" dxfId="145" priority="146614" operator="equal">
      <formula>0</formula>
    </cfRule>
  </conditionalFormatting>
  <conditionalFormatting sqref="ALN9:ALN10">
    <cfRule type="cellIs" dxfId="146" priority="146613" operator="equal">
      <formula>0</formula>
    </cfRule>
  </conditionalFormatting>
  <conditionalFormatting sqref="ALO7">
    <cfRule type="cellIs" dxfId="147" priority="146559" operator="equal">
      <formula>"Pre-session"</formula>
    </cfRule>
    <cfRule type="cellIs" dxfId="148" priority="146560" operator="equal">
      <formula>"Session"</formula>
    </cfRule>
  </conditionalFormatting>
  <conditionalFormatting sqref="NS14 NS16 NS19 NS32 OV14 OV16 OV19 OV32 VQ14 VQ16 VQ19 VQ32 WT14 WT16 WT19 WT27:WT29 WT32 ADO14 ADO16 ADO19 ADO32 AER14 AER16 AER19 AER27:AER29 AER32 ALM14 ALM16 ALM19 ALM32 AMP14 AMP16 AMP19 AMP32">
    <cfRule type="cellIs" dxfId="149" priority="146235" operator="equal">
      <formula>0</formula>
    </cfRule>
    <cfRule type="cellIs" dxfId="150" priority="146236" operator="equal">
      <formula>8</formula>
    </cfRule>
    <cfRule type="cellIs" dxfId="151" priority="146237" operator="greaterThan">
      <formula>8</formula>
    </cfRule>
    <cfRule type="cellIs" dxfId="152" priority="146238" operator="lessThan">
      <formula>8</formula>
    </cfRule>
  </conditionalFormatting>
  <conditionalFormatting sqref="NS13">
    <cfRule type="cellIs" dxfId="153" priority="146179" operator="equal">
      <formula>0</formula>
    </cfRule>
    <cfRule type="cellIs" dxfId="154" priority="146180" operator="equal">
      <formula>8</formula>
    </cfRule>
    <cfRule type="cellIs" dxfId="155" priority="146181" operator="greaterThan">
      <formula>8</formula>
    </cfRule>
    <cfRule type="cellIs" dxfId="156" priority="146182" operator="lessThan">
      <formula>8</formula>
    </cfRule>
  </conditionalFormatting>
  <conditionalFormatting sqref="OV13">
    <cfRule type="cellIs" dxfId="157" priority="146175" operator="equal">
      <formula>0</formula>
    </cfRule>
    <cfRule type="cellIs" dxfId="158" priority="146176" operator="equal">
      <formula>8</formula>
    </cfRule>
    <cfRule type="cellIs" dxfId="159" priority="146177" operator="greaterThan">
      <formula>8</formula>
    </cfRule>
    <cfRule type="cellIs" dxfId="160" priority="146178" operator="lessThan">
      <formula>8</formula>
    </cfRule>
  </conditionalFormatting>
  <conditionalFormatting sqref="QI35">
    <cfRule type="cellIs" dxfId="161" priority="146159" operator="equal">
      <formula>0</formula>
    </cfRule>
    <cfRule type="cellIs" dxfId="162" priority="146160" operator="equal">
      <formula>8</formula>
    </cfRule>
    <cfRule type="cellIs" dxfId="163" priority="146161" operator="greaterThan">
      <formula>8</formula>
    </cfRule>
    <cfRule type="cellIs" dxfId="164" priority="146162" operator="lessThan">
      <formula>8</formula>
    </cfRule>
  </conditionalFormatting>
  <conditionalFormatting sqref="VQ13">
    <cfRule type="cellIs" dxfId="165" priority="146143" operator="equal">
      <formula>0</formula>
    </cfRule>
    <cfRule type="cellIs" dxfId="166" priority="146144" operator="equal">
      <formula>8</formula>
    </cfRule>
    <cfRule type="cellIs" dxfId="167" priority="146145" operator="greaterThan">
      <formula>8</formula>
    </cfRule>
    <cfRule type="cellIs" dxfId="168" priority="146146" operator="lessThan">
      <formula>8</formula>
    </cfRule>
  </conditionalFormatting>
  <conditionalFormatting sqref="WT13">
    <cfRule type="cellIs" dxfId="169" priority="146139" operator="equal">
      <formula>0</formula>
    </cfRule>
    <cfRule type="cellIs" dxfId="170" priority="146140" operator="equal">
      <formula>8</formula>
    </cfRule>
    <cfRule type="cellIs" dxfId="171" priority="146141" operator="greaterThan">
      <formula>8</formula>
    </cfRule>
    <cfRule type="cellIs" dxfId="172" priority="146142" operator="lessThan">
      <formula>8</formula>
    </cfRule>
  </conditionalFormatting>
  <conditionalFormatting sqref="ADO13">
    <cfRule type="cellIs" dxfId="173" priority="146107" operator="equal">
      <formula>0</formula>
    </cfRule>
    <cfRule type="cellIs" dxfId="174" priority="146108" operator="equal">
      <formula>8</formula>
    </cfRule>
    <cfRule type="cellIs" dxfId="175" priority="146109" operator="greaterThan">
      <formula>8</formula>
    </cfRule>
    <cfRule type="cellIs" dxfId="176" priority="146110" operator="lessThan">
      <formula>8</formula>
    </cfRule>
  </conditionalFormatting>
  <conditionalFormatting sqref="AER13">
    <cfRule type="cellIs" dxfId="177" priority="146103" operator="equal">
      <formula>0</formula>
    </cfRule>
    <cfRule type="cellIs" dxfId="178" priority="146104" operator="equal">
      <formula>8</formula>
    </cfRule>
    <cfRule type="cellIs" dxfId="179" priority="146105" operator="greaterThan">
      <formula>8</formula>
    </cfRule>
    <cfRule type="cellIs" dxfId="180" priority="146106" operator="lessThan">
      <formula>8</formula>
    </cfRule>
  </conditionalFormatting>
  <conditionalFormatting sqref="ALM13">
    <cfRule type="cellIs" dxfId="181" priority="146071" operator="equal">
      <formula>0</formula>
    </cfRule>
    <cfRule type="cellIs" dxfId="182" priority="146072" operator="equal">
      <formula>8</formula>
    </cfRule>
    <cfRule type="cellIs" dxfId="183" priority="146073" operator="greaterThan">
      <formula>8</formula>
    </cfRule>
    <cfRule type="cellIs" dxfId="184" priority="146074" operator="lessThan">
      <formula>8</formula>
    </cfRule>
  </conditionalFormatting>
  <conditionalFormatting sqref="AMP13">
    <cfRule type="cellIs" dxfId="185" priority="146067" operator="equal">
      <formula>0</formula>
    </cfRule>
    <cfRule type="cellIs" dxfId="186" priority="146068" operator="equal">
      <formula>8</formula>
    </cfRule>
    <cfRule type="cellIs" dxfId="187" priority="146069" operator="greaterThan">
      <formula>8</formula>
    </cfRule>
    <cfRule type="cellIs" dxfId="188" priority="146070" operator="lessThan">
      <formula>8</formula>
    </cfRule>
  </conditionalFormatting>
  <conditionalFormatting sqref="HA20">
    <cfRule type="cellIs" dxfId="189" priority="127198" operator="greaterThan">
      <formula>0</formula>
    </cfRule>
  </conditionalFormatting>
  <conditionalFormatting sqref="GZ20">
    <cfRule type="cellIs" dxfId="190" priority="127197" operator="greaterThan">
      <formula>0</formula>
    </cfRule>
  </conditionalFormatting>
  <conditionalFormatting sqref="GY20">
    <cfRule type="cellIs" dxfId="191" priority="127196" operator="greaterThan">
      <formula>0</formula>
    </cfRule>
  </conditionalFormatting>
  <conditionalFormatting sqref="GY20:GZ20">
    <cfRule type="cellIs" dxfId="192" priority="127195" operator="equal">
      <formula>0</formula>
    </cfRule>
  </conditionalFormatting>
  <conditionalFormatting sqref="NS20">
    <cfRule type="cellIs" dxfId="193" priority="127183" operator="equal">
      <formula>0</formula>
    </cfRule>
    <cfRule type="cellIs" dxfId="194" priority="127184" operator="equal">
      <formula>8</formula>
    </cfRule>
    <cfRule type="cellIs" dxfId="195" priority="127185" operator="greaterThan">
      <formula>8</formula>
    </cfRule>
    <cfRule type="cellIs" dxfId="196" priority="127186" operator="lessThan">
      <formula>8</formula>
    </cfRule>
  </conditionalFormatting>
  <conditionalFormatting sqref="OV20">
    <cfRule type="cellIs" dxfId="197" priority="127179" operator="equal">
      <formula>0</formula>
    </cfRule>
    <cfRule type="cellIs" dxfId="198" priority="127180" operator="equal">
      <formula>8</formula>
    </cfRule>
    <cfRule type="cellIs" dxfId="199" priority="127181" operator="greaterThan">
      <formula>8</formula>
    </cfRule>
    <cfRule type="cellIs" dxfId="200" priority="127182" operator="lessThan">
      <formula>8</formula>
    </cfRule>
  </conditionalFormatting>
  <conditionalFormatting sqref="OY20">
    <cfRule type="cellIs" dxfId="201" priority="127178" operator="greaterThan">
      <formula>0</formula>
    </cfRule>
  </conditionalFormatting>
  <conditionalFormatting sqref="OW20">
    <cfRule type="cellIs" dxfId="202" priority="127176" operator="greaterThan">
      <formula>0</formula>
    </cfRule>
    <cfRule type="cellIs" dxfId="203" priority="127175" operator="equal">
      <formula>0</formula>
    </cfRule>
  </conditionalFormatting>
  <conditionalFormatting sqref="VQ20">
    <cfRule type="cellIs" dxfId="204" priority="127171" operator="equal">
      <formula>0</formula>
    </cfRule>
    <cfRule type="cellIs" dxfId="205" priority="127172" operator="equal">
      <formula>8</formula>
    </cfRule>
    <cfRule type="cellIs" dxfId="206" priority="127173" operator="greaterThan">
      <formula>8</formula>
    </cfRule>
    <cfRule type="cellIs" dxfId="207" priority="127174" operator="lessThan">
      <formula>8</formula>
    </cfRule>
  </conditionalFormatting>
  <conditionalFormatting sqref="WT20">
    <cfRule type="cellIs" dxfId="208" priority="127167" operator="equal">
      <formula>0</formula>
    </cfRule>
    <cfRule type="cellIs" dxfId="209" priority="127168" operator="equal">
      <formula>8</formula>
    </cfRule>
    <cfRule type="cellIs" dxfId="210" priority="127169" operator="greaterThan">
      <formula>8</formula>
    </cfRule>
    <cfRule type="cellIs" dxfId="211" priority="127170" operator="lessThan">
      <formula>8</formula>
    </cfRule>
  </conditionalFormatting>
  <conditionalFormatting sqref="WW20">
    <cfRule type="cellIs" dxfId="212" priority="127166" operator="greaterThan">
      <formula>0</formula>
    </cfRule>
  </conditionalFormatting>
  <conditionalFormatting sqref="WU20">
    <cfRule type="cellIs" dxfId="213" priority="127164" operator="greaterThan">
      <formula>0</formula>
    </cfRule>
    <cfRule type="cellIs" dxfId="214" priority="127163" operator="equal">
      <formula>0</formula>
    </cfRule>
  </conditionalFormatting>
  <conditionalFormatting sqref="ADO20">
    <cfRule type="cellIs" dxfId="215" priority="127159" operator="equal">
      <formula>0</formula>
    </cfRule>
    <cfRule type="cellIs" dxfId="216" priority="127160" operator="equal">
      <formula>8</formula>
    </cfRule>
    <cfRule type="cellIs" dxfId="217" priority="127161" operator="greaterThan">
      <formula>8</formula>
    </cfRule>
    <cfRule type="cellIs" dxfId="218" priority="127162" operator="lessThan">
      <formula>8</formula>
    </cfRule>
  </conditionalFormatting>
  <conditionalFormatting sqref="AER20">
    <cfRule type="cellIs" dxfId="219" priority="127155" operator="equal">
      <formula>0</formula>
    </cfRule>
    <cfRule type="cellIs" dxfId="220" priority="127156" operator="equal">
      <formula>8</formula>
    </cfRule>
    <cfRule type="cellIs" dxfId="221" priority="127157" operator="greaterThan">
      <formula>8</formula>
    </cfRule>
    <cfRule type="cellIs" dxfId="222" priority="127158" operator="lessThan">
      <formula>8</formula>
    </cfRule>
  </conditionalFormatting>
  <conditionalFormatting sqref="AEU20">
    <cfRule type="cellIs" dxfId="223" priority="127154" operator="greaterThan">
      <formula>0</formula>
    </cfRule>
  </conditionalFormatting>
  <conditionalFormatting sqref="AES20">
    <cfRule type="cellIs" dxfId="224" priority="127152" operator="greaterThan">
      <formula>0</formula>
    </cfRule>
    <cfRule type="cellIs" dxfId="225" priority="127151" operator="equal">
      <formula>0</formula>
    </cfRule>
  </conditionalFormatting>
  <conditionalFormatting sqref="ALM20">
    <cfRule type="cellIs" dxfId="226" priority="127147" operator="equal">
      <formula>0</formula>
    </cfRule>
    <cfRule type="cellIs" dxfId="227" priority="127148" operator="equal">
      <formula>8</formula>
    </cfRule>
    <cfRule type="cellIs" dxfId="228" priority="127149" operator="greaterThan">
      <formula>8</formula>
    </cfRule>
    <cfRule type="cellIs" dxfId="229" priority="127150" operator="lessThan">
      <formula>8</formula>
    </cfRule>
  </conditionalFormatting>
  <conditionalFormatting sqref="AMP20">
    <cfRule type="cellIs" dxfId="230" priority="127143" operator="equal">
      <formula>0</formula>
    </cfRule>
    <cfRule type="cellIs" dxfId="231" priority="127144" operator="equal">
      <formula>8</formula>
    </cfRule>
    <cfRule type="cellIs" dxfId="232" priority="127145" operator="greaterThan">
      <formula>8</formula>
    </cfRule>
    <cfRule type="cellIs" dxfId="233" priority="127146" operator="lessThan">
      <formula>8</formula>
    </cfRule>
  </conditionalFormatting>
  <conditionalFormatting sqref="AMS20">
    <cfRule type="cellIs" dxfId="234" priority="127142" operator="greaterThan">
      <formula>0</formula>
    </cfRule>
  </conditionalFormatting>
  <conditionalFormatting sqref="AMQ20">
    <cfRule type="cellIs" dxfId="235" priority="127140" operator="greaterThan">
      <formula>0</formula>
    </cfRule>
    <cfRule type="cellIs" dxfId="236" priority="127139" operator="equal">
      <formula>0</formula>
    </cfRule>
  </conditionalFormatting>
  <conditionalFormatting sqref="HA23 OY23 WW23 AEU23 AMS23">
    <cfRule type="cellIs" dxfId="237" priority="124344" operator="greaterThan">
      <formula>0</formula>
    </cfRule>
  </conditionalFormatting>
  <conditionalFormatting sqref="GZ23">
    <cfRule type="cellIs" dxfId="238" priority="124343" operator="greaterThan">
      <formula>0</formula>
    </cfRule>
  </conditionalFormatting>
  <conditionalFormatting sqref="GY23 OW23 WU23 AES23 AMQ23">
    <cfRule type="cellIs" dxfId="239" priority="124342" operator="greaterThan">
      <formula>0</formula>
    </cfRule>
  </conditionalFormatting>
  <conditionalFormatting sqref="GY23:GZ23 OW23 WU23 AES23 AMQ23">
    <cfRule type="cellIs" dxfId="240" priority="124341" operator="equal">
      <formula>0</formula>
    </cfRule>
  </conditionalFormatting>
  <conditionalFormatting sqref="NS23 OV23 VQ23 WT23 ADO23 AER23 ALM23 AMP23">
    <cfRule type="cellIs" dxfId="241" priority="124337" operator="equal">
      <formula>0</formula>
    </cfRule>
    <cfRule type="cellIs" dxfId="242" priority="124338" operator="equal">
      <formula>8</formula>
    </cfRule>
    <cfRule type="cellIs" dxfId="243" priority="124339" operator="greaterThan">
      <formula>8</formula>
    </cfRule>
    <cfRule type="cellIs" dxfId="244" priority="124340" operator="lessThan">
      <formula>8</formula>
    </cfRule>
  </conditionalFormatting>
  <conditionalFormatting sqref="QI54">
    <cfRule type="cellIs" dxfId="245" priority="122421" operator="equal">
      <formula>0</formula>
    </cfRule>
    <cfRule type="cellIs" dxfId="246" priority="122422" operator="equal">
      <formula>8</formula>
    </cfRule>
    <cfRule type="cellIs" dxfId="247" priority="122423" operator="greaterThan">
      <formula>8</formula>
    </cfRule>
    <cfRule type="cellIs" dxfId="248" priority="122424" operator="lessThan">
      <formula>8</formula>
    </cfRule>
  </conditionalFormatting>
  <conditionalFormatting sqref="HA22 OY22 WW22 AEU22 AMS22">
    <cfRule type="cellIs" dxfId="249" priority="42892" operator="greaterThan">
      <formula>0</formula>
    </cfRule>
  </conditionalFormatting>
  <conditionalFormatting sqref="GZ22">
    <cfRule type="cellIs" dxfId="250" priority="42891" operator="greaterThan">
      <formula>0</formula>
    </cfRule>
  </conditionalFormatting>
  <conditionalFormatting sqref="GY22 OW22 WU22 AES22 AMQ22">
    <cfRule type="cellIs" dxfId="251" priority="42890" operator="greaterThan">
      <formula>0</formula>
    </cfRule>
  </conditionalFormatting>
  <conditionalFormatting sqref="GY22:GZ22 OW22 WU22 AES22 AMQ22">
    <cfRule type="cellIs" dxfId="252" priority="42889" operator="equal">
      <formula>0</formula>
    </cfRule>
  </conditionalFormatting>
  <conditionalFormatting sqref="NS22 OV22 VQ22 WT22 ADO22 AER22 ALM22 AMP22">
    <cfRule type="cellIs" dxfId="253" priority="42885" operator="equal">
      <formula>0</formula>
    </cfRule>
    <cfRule type="cellIs" dxfId="254" priority="42886" operator="equal">
      <formula>8</formula>
    </cfRule>
    <cfRule type="cellIs" dxfId="255" priority="42887" operator="greaterThan">
      <formula>8</formula>
    </cfRule>
    <cfRule type="cellIs" dxfId="256" priority="42888" operator="lessThan">
      <formula>8</formula>
    </cfRule>
  </conditionalFormatting>
  <conditionalFormatting sqref="HA17">
    <cfRule type="cellIs" dxfId="257" priority="42832" operator="greaterThan">
      <formula>0</formula>
    </cfRule>
  </conditionalFormatting>
  <conditionalFormatting sqref="GZ17">
    <cfRule type="cellIs" dxfId="258" priority="42831" operator="greaterThan">
      <formula>0</formula>
    </cfRule>
  </conditionalFormatting>
  <conditionalFormatting sqref="GY17">
    <cfRule type="cellIs" dxfId="259" priority="42830" operator="greaterThan">
      <formula>0</formula>
    </cfRule>
  </conditionalFormatting>
  <conditionalFormatting sqref="GY17:GZ17">
    <cfRule type="cellIs" dxfId="260" priority="42829" operator="equal">
      <formula>0</formula>
    </cfRule>
  </conditionalFormatting>
  <conditionalFormatting sqref="WW17">
    <cfRule type="cellIs" dxfId="261" priority="42828" operator="greaterThan">
      <formula>0</formula>
    </cfRule>
  </conditionalFormatting>
  <conditionalFormatting sqref="WU17">
    <cfRule type="cellIs" dxfId="262" priority="42826" operator="greaterThan">
      <formula>0</formula>
    </cfRule>
    <cfRule type="cellIs" dxfId="263" priority="42825" operator="equal">
      <formula>0</formula>
    </cfRule>
  </conditionalFormatting>
  <conditionalFormatting sqref="AEU17">
    <cfRule type="cellIs" dxfId="264" priority="42824" operator="greaterThan">
      <formula>0</formula>
    </cfRule>
  </conditionalFormatting>
  <conditionalFormatting sqref="AES17">
    <cfRule type="cellIs" dxfId="265" priority="42822" operator="greaterThan">
      <formula>0</formula>
    </cfRule>
    <cfRule type="cellIs" dxfId="266" priority="42821" operator="equal">
      <formula>0</formula>
    </cfRule>
  </conditionalFormatting>
  <conditionalFormatting sqref="AMS17">
    <cfRule type="cellIs" dxfId="267" priority="42820" operator="greaterThan">
      <formula>0</formula>
    </cfRule>
  </conditionalFormatting>
  <conditionalFormatting sqref="AMQ17">
    <cfRule type="cellIs" dxfId="268" priority="42818" operator="greaterThan">
      <formula>0</formula>
    </cfRule>
    <cfRule type="cellIs" dxfId="269" priority="42817" operator="equal">
      <formula>0</formula>
    </cfRule>
  </conditionalFormatting>
  <conditionalFormatting sqref="OY17">
    <cfRule type="cellIs" dxfId="270" priority="42816" operator="greaterThan">
      <formula>0</formula>
    </cfRule>
  </conditionalFormatting>
  <conditionalFormatting sqref="OW17">
    <cfRule type="cellIs" dxfId="271" priority="42814" operator="greaterThan">
      <formula>0</formula>
    </cfRule>
    <cfRule type="cellIs" dxfId="272" priority="42813" operator="equal">
      <formula>0</formula>
    </cfRule>
  </conditionalFormatting>
  <conditionalFormatting sqref="NS17">
    <cfRule type="cellIs" dxfId="273" priority="42809" operator="equal">
      <formula>0</formula>
    </cfRule>
    <cfRule type="cellIs" dxfId="274" priority="42810" operator="equal">
      <formula>8</formula>
    </cfRule>
    <cfRule type="cellIs" dxfId="275" priority="42811" operator="greaterThan">
      <formula>8</formula>
    </cfRule>
    <cfRule type="cellIs" dxfId="276" priority="42812" operator="lessThan">
      <formula>8</formula>
    </cfRule>
  </conditionalFormatting>
  <conditionalFormatting sqref="OV17">
    <cfRule type="cellIs" dxfId="277" priority="42805" operator="equal">
      <formula>0</formula>
    </cfRule>
    <cfRule type="cellIs" dxfId="278" priority="42806" operator="equal">
      <formula>8</formula>
    </cfRule>
    <cfRule type="cellIs" dxfId="279" priority="42807" operator="greaterThan">
      <formula>8</formula>
    </cfRule>
    <cfRule type="cellIs" dxfId="280" priority="42808" operator="lessThan">
      <formula>8</formula>
    </cfRule>
  </conditionalFormatting>
  <conditionalFormatting sqref="VQ17">
    <cfRule type="cellIs" dxfId="281" priority="42801" operator="equal">
      <formula>0</formula>
    </cfRule>
    <cfRule type="cellIs" dxfId="282" priority="42802" operator="equal">
      <formula>8</formula>
    </cfRule>
    <cfRule type="cellIs" dxfId="283" priority="42803" operator="greaterThan">
      <formula>8</formula>
    </cfRule>
    <cfRule type="cellIs" dxfId="284" priority="42804" operator="lessThan">
      <formula>8</formula>
    </cfRule>
  </conditionalFormatting>
  <conditionalFormatting sqref="WT17">
    <cfRule type="cellIs" dxfId="285" priority="42797" operator="equal">
      <formula>0</formula>
    </cfRule>
    <cfRule type="cellIs" dxfId="286" priority="42798" operator="equal">
      <formula>8</formula>
    </cfRule>
    <cfRule type="cellIs" dxfId="287" priority="42799" operator="greaterThan">
      <formula>8</formula>
    </cfRule>
    <cfRule type="cellIs" dxfId="288" priority="42800" operator="lessThan">
      <formula>8</formula>
    </cfRule>
  </conditionalFormatting>
  <conditionalFormatting sqref="ADO17">
    <cfRule type="cellIs" dxfId="289" priority="42793" operator="equal">
      <formula>0</formula>
    </cfRule>
    <cfRule type="cellIs" dxfId="290" priority="42794" operator="equal">
      <formula>8</formula>
    </cfRule>
    <cfRule type="cellIs" dxfId="291" priority="42795" operator="greaterThan">
      <formula>8</formula>
    </cfRule>
    <cfRule type="cellIs" dxfId="292" priority="42796" operator="lessThan">
      <formula>8</formula>
    </cfRule>
  </conditionalFormatting>
  <conditionalFormatting sqref="AER17">
    <cfRule type="cellIs" dxfId="293" priority="42789" operator="equal">
      <formula>0</formula>
    </cfRule>
    <cfRule type="cellIs" dxfId="294" priority="42790" operator="equal">
      <formula>8</formula>
    </cfRule>
    <cfRule type="cellIs" dxfId="295" priority="42791" operator="greaterThan">
      <formula>8</formula>
    </cfRule>
    <cfRule type="cellIs" dxfId="296" priority="42792" operator="lessThan">
      <formula>8</formula>
    </cfRule>
  </conditionalFormatting>
  <conditionalFormatting sqref="ALM17">
    <cfRule type="cellIs" dxfId="297" priority="42785" operator="equal">
      <formula>0</formula>
    </cfRule>
    <cfRule type="cellIs" dxfId="298" priority="42786" operator="equal">
      <formula>8</formula>
    </cfRule>
    <cfRule type="cellIs" dxfId="299" priority="42787" operator="greaterThan">
      <formula>8</formula>
    </cfRule>
    <cfRule type="cellIs" dxfId="300" priority="42788" operator="lessThan">
      <formula>8</formula>
    </cfRule>
  </conditionalFormatting>
  <conditionalFormatting sqref="AMP17">
    <cfRule type="cellIs" dxfId="301" priority="42781" operator="equal">
      <formula>0</formula>
    </cfRule>
    <cfRule type="cellIs" dxfId="302" priority="42782" operator="equal">
      <formula>8</formula>
    </cfRule>
    <cfRule type="cellIs" dxfId="303" priority="42783" operator="greaterThan">
      <formula>8</formula>
    </cfRule>
    <cfRule type="cellIs" dxfId="304" priority="42784" operator="lessThan">
      <formula>8</formula>
    </cfRule>
  </conditionalFormatting>
  <conditionalFormatting sqref="NS27:NS29 OV27:OV29 VQ27:VQ29 ADO27:ADO29 ALM27:ALM29 AMP27:AMP29">
    <cfRule type="cellIs" dxfId="305" priority="42713" operator="equal">
      <formula>0</formula>
    </cfRule>
    <cfRule type="cellIs" dxfId="306" priority="42714" operator="equal">
      <formula>8</formula>
    </cfRule>
    <cfRule type="cellIs" dxfId="307" priority="42715" operator="greaterThan">
      <formula>8</formula>
    </cfRule>
    <cfRule type="cellIs" dxfId="308" priority="42716" operator="lessThan">
      <formula>8</formula>
    </cfRule>
  </conditionalFormatting>
  <conditionalFormatting sqref="HA27:HA29 OY27:OY29 AMS27:AMS29">
    <cfRule type="cellIs" dxfId="309" priority="42720" operator="greaterThan">
      <formula>0</formula>
    </cfRule>
  </conditionalFormatting>
  <conditionalFormatting sqref="GZ27:GZ29">
    <cfRule type="cellIs" dxfId="310" priority="42719" operator="greaterThan">
      <formula>0</formula>
    </cfRule>
  </conditionalFormatting>
  <conditionalFormatting sqref="GY27:GY29 OW27:OW29 AMQ27:AMQ29">
    <cfRule type="cellIs" dxfId="311" priority="42718" operator="greaterThan">
      <formula>0</formula>
    </cfRule>
  </conditionalFormatting>
  <conditionalFormatting sqref="GY27:GZ29 OW27:OW29 AMQ27:AMQ29">
    <cfRule type="cellIs" dxfId="312" priority="42717" operator="equal">
      <formula>0</formula>
    </cfRule>
  </conditionalFormatting>
  <conditionalFormatting sqref="HA31">
    <cfRule type="cellIs" dxfId="313" priority="42624" operator="greaterThan">
      <formula>0</formula>
    </cfRule>
  </conditionalFormatting>
  <conditionalFormatting sqref="GZ31">
    <cfRule type="cellIs" dxfId="314" priority="42623" operator="greaterThan">
      <formula>0</formula>
    </cfRule>
  </conditionalFormatting>
  <conditionalFormatting sqref="GY31">
    <cfRule type="cellIs" dxfId="315" priority="42622" operator="greaterThan">
      <formula>0</formula>
    </cfRule>
  </conditionalFormatting>
  <conditionalFormatting sqref="GY31:GZ31">
    <cfRule type="cellIs" dxfId="316" priority="42621" operator="equal">
      <formula>0</formula>
    </cfRule>
  </conditionalFormatting>
  <conditionalFormatting sqref="OY31">
    <cfRule type="cellIs" dxfId="317" priority="42612" operator="greaterThan">
      <formula>0</formula>
    </cfRule>
  </conditionalFormatting>
  <conditionalFormatting sqref="OW31">
    <cfRule type="cellIs" dxfId="318" priority="42610" operator="greaterThan">
      <formula>0</formula>
    </cfRule>
    <cfRule type="cellIs" dxfId="319" priority="42609" operator="equal">
      <formula>0</formula>
    </cfRule>
  </conditionalFormatting>
  <conditionalFormatting sqref="NS31 OV31">
    <cfRule type="cellIs" dxfId="320" priority="42605" operator="equal">
      <formula>0</formula>
    </cfRule>
    <cfRule type="cellIs" dxfId="321" priority="42606" operator="equal">
      <formula>8</formula>
    </cfRule>
    <cfRule type="cellIs" dxfId="322" priority="42607" operator="greaterThan">
      <formula>8</formula>
    </cfRule>
    <cfRule type="cellIs" dxfId="323" priority="42608" operator="lessThan">
      <formula>8</formula>
    </cfRule>
  </conditionalFormatting>
  <conditionalFormatting sqref="WW31">
    <cfRule type="cellIs" dxfId="324" priority="42600" operator="greaterThan">
      <formula>0</formula>
    </cfRule>
  </conditionalFormatting>
  <conditionalFormatting sqref="WU31">
    <cfRule type="cellIs" dxfId="325" priority="42598" operator="greaterThan">
      <formula>0</formula>
    </cfRule>
    <cfRule type="cellIs" dxfId="326" priority="42597" operator="equal">
      <formula>0</formula>
    </cfRule>
  </conditionalFormatting>
  <conditionalFormatting sqref="VQ31 WT31">
    <cfRule type="cellIs" dxfId="327" priority="42593" operator="equal">
      <formula>0</formula>
    </cfRule>
    <cfRule type="cellIs" dxfId="328" priority="42594" operator="equal">
      <formula>8</formula>
    </cfRule>
    <cfRule type="cellIs" dxfId="329" priority="42595" operator="greaterThan">
      <formula>8</formula>
    </cfRule>
    <cfRule type="cellIs" dxfId="330" priority="42596" operator="lessThan">
      <formula>8</formula>
    </cfRule>
  </conditionalFormatting>
  <conditionalFormatting sqref="AEU31">
    <cfRule type="cellIs" dxfId="331" priority="42588" operator="greaterThan">
      <formula>0</formula>
    </cfRule>
  </conditionalFormatting>
  <conditionalFormatting sqref="AES31">
    <cfRule type="cellIs" dxfId="332" priority="42586" operator="greaterThan">
      <formula>0</formula>
    </cfRule>
    <cfRule type="cellIs" dxfId="333" priority="42585" operator="equal">
      <formula>0</formula>
    </cfRule>
  </conditionalFormatting>
  <conditionalFormatting sqref="ADO31 AER31">
    <cfRule type="cellIs" dxfId="334" priority="42581" operator="equal">
      <formula>0</formula>
    </cfRule>
    <cfRule type="cellIs" dxfId="335" priority="42582" operator="equal">
      <formula>8</formula>
    </cfRule>
    <cfRule type="cellIs" dxfId="336" priority="42583" operator="greaterThan">
      <formula>8</formula>
    </cfRule>
    <cfRule type="cellIs" dxfId="337" priority="42584" operator="lessThan">
      <formula>8</formula>
    </cfRule>
  </conditionalFormatting>
  <conditionalFormatting sqref="AMS31">
    <cfRule type="cellIs" dxfId="338" priority="42576" operator="greaterThan">
      <formula>0</formula>
    </cfRule>
  </conditionalFormatting>
  <conditionalFormatting sqref="AMQ31">
    <cfRule type="cellIs" dxfId="339" priority="42574" operator="greaterThan">
      <formula>0</formula>
    </cfRule>
    <cfRule type="cellIs" dxfId="340" priority="42573" operator="equal">
      <formula>0</formula>
    </cfRule>
  </conditionalFormatting>
  <conditionalFormatting sqref="ALM31 AMP31">
    <cfRule type="cellIs" dxfId="341" priority="42569" operator="equal">
      <formula>0</formula>
    </cfRule>
    <cfRule type="cellIs" dxfId="342" priority="42570" operator="equal">
      <formula>8</formula>
    </cfRule>
    <cfRule type="cellIs" dxfId="343" priority="42571" operator="greaterThan">
      <formula>8</formula>
    </cfRule>
    <cfRule type="cellIs" dxfId="344" priority="42572" operator="lessThan">
      <formula>8</formula>
    </cfRule>
  </conditionalFormatting>
  <conditionalFormatting sqref="HA21">
    <cfRule type="cellIs" dxfId="345" priority="42564" operator="greaterThan">
      <formula>0</formula>
    </cfRule>
  </conditionalFormatting>
  <conditionalFormatting sqref="GZ21">
    <cfRule type="cellIs" dxfId="346" priority="42563" operator="greaterThan">
      <formula>0</formula>
    </cfRule>
  </conditionalFormatting>
  <conditionalFormatting sqref="GY21">
    <cfRule type="cellIs" dxfId="347" priority="42562" operator="greaterThan">
      <formula>0</formula>
    </cfRule>
  </conditionalFormatting>
  <conditionalFormatting sqref="GY21:GZ21">
    <cfRule type="cellIs" dxfId="348" priority="42561" operator="equal">
      <formula>0</formula>
    </cfRule>
  </conditionalFormatting>
  <conditionalFormatting sqref="OY21">
    <cfRule type="cellIs" dxfId="349" priority="42552" operator="greaterThan">
      <formula>0</formula>
    </cfRule>
  </conditionalFormatting>
  <conditionalFormatting sqref="OW21">
    <cfRule type="cellIs" dxfId="350" priority="42550" operator="greaterThan">
      <formula>0</formula>
    </cfRule>
    <cfRule type="cellIs" dxfId="351" priority="42549" operator="equal">
      <formula>0</formula>
    </cfRule>
  </conditionalFormatting>
  <conditionalFormatting sqref="NS21 OV21">
    <cfRule type="cellIs" dxfId="352" priority="42545" operator="equal">
      <formula>0</formula>
    </cfRule>
    <cfRule type="cellIs" dxfId="353" priority="42546" operator="equal">
      <formula>8</formula>
    </cfRule>
    <cfRule type="cellIs" dxfId="354" priority="42547" operator="greaterThan">
      <formula>8</formula>
    </cfRule>
    <cfRule type="cellIs" dxfId="355" priority="42548" operator="lessThan">
      <formula>8</formula>
    </cfRule>
  </conditionalFormatting>
  <conditionalFormatting sqref="WW21">
    <cfRule type="cellIs" dxfId="356" priority="42540" operator="greaterThan">
      <formula>0</formula>
    </cfRule>
  </conditionalFormatting>
  <conditionalFormatting sqref="WU21">
    <cfRule type="cellIs" dxfId="357" priority="42538" operator="greaterThan">
      <formula>0</formula>
    </cfRule>
    <cfRule type="cellIs" dxfId="358" priority="42537" operator="equal">
      <formula>0</formula>
    </cfRule>
  </conditionalFormatting>
  <conditionalFormatting sqref="VQ21 WT21">
    <cfRule type="cellIs" dxfId="359" priority="42533" operator="equal">
      <formula>0</formula>
    </cfRule>
    <cfRule type="cellIs" dxfId="360" priority="42534" operator="equal">
      <formula>8</formula>
    </cfRule>
    <cfRule type="cellIs" dxfId="361" priority="42535" operator="greaterThan">
      <formula>8</formula>
    </cfRule>
    <cfRule type="cellIs" dxfId="362" priority="42536" operator="lessThan">
      <formula>8</formula>
    </cfRule>
  </conditionalFormatting>
  <conditionalFormatting sqref="AEU21">
    <cfRule type="cellIs" dxfId="363" priority="42528" operator="greaterThan">
      <formula>0</formula>
    </cfRule>
  </conditionalFormatting>
  <conditionalFormatting sqref="AES21">
    <cfRule type="cellIs" dxfId="364" priority="42526" operator="greaterThan">
      <formula>0</formula>
    </cfRule>
    <cfRule type="cellIs" dxfId="365" priority="42525" operator="equal">
      <formula>0</formula>
    </cfRule>
  </conditionalFormatting>
  <conditionalFormatting sqref="ADO21 AER21">
    <cfRule type="cellIs" dxfId="366" priority="42521" operator="equal">
      <formula>0</formula>
    </cfRule>
    <cfRule type="cellIs" dxfId="367" priority="42522" operator="equal">
      <formula>8</formula>
    </cfRule>
    <cfRule type="cellIs" dxfId="368" priority="42523" operator="greaterThan">
      <formula>8</formula>
    </cfRule>
    <cfRule type="cellIs" dxfId="369" priority="42524" operator="lessThan">
      <formula>8</formula>
    </cfRule>
  </conditionalFormatting>
  <conditionalFormatting sqref="AMS21">
    <cfRule type="cellIs" dxfId="370" priority="42516" operator="greaterThan">
      <formula>0</formula>
    </cfRule>
  </conditionalFormatting>
  <conditionalFormatting sqref="AMQ21">
    <cfRule type="cellIs" dxfId="371" priority="42514" operator="greaterThan">
      <formula>0</formula>
    </cfRule>
    <cfRule type="cellIs" dxfId="372" priority="42513" operator="equal">
      <formula>0</formula>
    </cfRule>
  </conditionalFormatting>
  <conditionalFormatting sqref="ALM21 AMP21">
    <cfRule type="cellIs" dxfId="373" priority="42509" operator="equal">
      <formula>0</formula>
    </cfRule>
    <cfRule type="cellIs" dxfId="374" priority="42510" operator="equal">
      <formula>8</formula>
    </cfRule>
    <cfRule type="cellIs" dxfId="375" priority="42511" operator="greaterThan">
      <formula>8</formula>
    </cfRule>
    <cfRule type="cellIs" dxfId="376" priority="42512" operator="lessThan">
      <formula>8</formula>
    </cfRule>
  </conditionalFormatting>
  <conditionalFormatting sqref="WW24:WW26 AEU24:AEU26">
    <cfRule type="cellIs" dxfId="377" priority="27304" operator="greaterThan">
      <formula>0</formula>
    </cfRule>
  </conditionalFormatting>
  <conditionalFormatting sqref="WU24:WU26 AES24:AES26">
    <cfRule type="cellIs" dxfId="378" priority="27302" operator="greaterThan">
      <formula>0</formula>
    </cfRule>
    <cfRule type="cellIs" dxfId="379" priority="27301" operator="equal">
      <formula>0</formula>
    </cfRule>
  </conditionalFormatting>
  <conditionalFormatting sqref="WT24:WT26 AER24:AER26">
    <cfRule type="cellIs" dxfId="380" priority="27297" operator="equal">
      <formula>0</formula>
    </cfRule>
    <cfRule type="cellIs" dxfId="381" priority="27298" operator="equal">
      <formula>8</formula>
    </cfRule>
    <cfRule type="cellIs" dxfId="382" priority="27299" operator="greaterThan">
      <formula>8</formula>
    </cfRule>
    <cfRule type="cellIs" dxfId="383" priority="27300" operator="lessThan">
      <formula>8</formula>
    </cfRule>
  </conditionalFormatting>
  <conditionalFormatting sqref="NS24:NS26 OV24:OV26 VQ24:VQ26 ADO24:ADO26 ALM24:ALM26 AMP24:AMP26">
    <cfRule type="cellIs" dxfId="384" priority="27293" operator="equal">
      <formula>0</formula>
    </cfRule>
    <cfRule type="cellIs" dxfId="385" priority="27294" operator="equal">
      <formula>8</formula>
    </cfRule>
    <cfRule type="cellIs" dxfId="386" priority="27295" operator="greaterThan">
      <formula>8</formula>
    </cfRule>
    <cfRule type="cellIs" dxfId="387" priority="27296" operator="lessThan">
      <formula>8</formula>
    </cfRule>
  </conditionalFormatting>
  <conditionalFormatting sqref="HA24:HA26 OY24:OY26 AMS24:AMS26">
    <cfRule type="cellIs" dxfId="388" priority="27292" operator="greaterThan">
      <formula>0</formula>
    </cfRule>
  </conditionalFormatting>
  <conditionalFormatting sqref="GZ24:GZ26">
    <cfRule type="cellIs" dxfId="389" priority="27291" operator="greaterThan">
      <formula>0</formula>
    </cfRule>
  </conditionalFormatting>
  <conditionalFormatting sqref="GY24:GY26 OW24:OW26 AMQ24:AMQ26">
    <cfRule type="cellIs" dxfId="390" priority="27290" operator="greaterThan">
      <formula>0</formula>
    </cfRule>
  </conditionalFormatting>
  <conditionalFormatting sqref="GY24:GZ26 OW24:OW26 AMQ24:AMQ26">
    <cfRule type="cellIs" dxfId="391" priority="27289" operator="equal">
      <formula>0</formula>
    </cfRule>
  </conditionalFormatting>
  <conditionalFormatting sqref="WW18 AEU18">
    <cfRule type="cellIs" dxfId="392" priority="27264" operator="greaterThan">
      <formula>0</formula>
    </cfRule>
  </conditionalFormatting>
  <conditionalFormatting sqref="WU18 AES18">
    <cfRule type="cellIs" dxfId="393" priority="27262" operator="greaterThan">
      <formula>0</formula>
    </cfRule>
    <cfRule type="cellIs" dxfId="394" priority="27261" operator="equal">
      <formula>0</formula>
    </cfRule>
  </conditionalFormatting>
  <conditionalFormatting sqref="WT18 AER18">
    <cfRule type="cellIs" dxfId="395" priority="27257" operator="equal">
      <formula>0</formula>
    </cfRule>
    <cfRule type="cellIs" dxfId="396" priority="27258" operator="equal">
      <formula>8</formula>
    </cfRule>
    <cfRule type="cellIs" dxfId="397" priority="27259" operator="greaterThan">
      <formula>8</formula>
    </cfRule>
    <cfRule type="cellIs" dxfId="398" priority="27260" operator="lessThan">
      <formula>8</formula>
    </cfRule>
  </conditionalFormatting>
  <conditionalFormatting sqref="NS18 OV18 VQ18 ADO18 ALM18 AMP18">
    <cfRule type="cellIs" dxfId="399" priority="27253" operator="equal">
      <formula>0</formula>
    </cfRule>
    <cfRule type="cellIs" dxfId="400" priority="27254" operator="equal">
      <formula>8</formula>
    </cfRule>
    <cfRule type="cellIs" dxfId="401" priority="27255" operator="greaterThan">
      <formula>8</formula>
    </cfRule>
    <cfRule type="cellIs" dxfId="402" priority="27256" operator="lessThan">
      <formula>8</formula>
    </cfRule>
  </conditionalFormatting>
  <conditionalFormatting sqref="HA18 OY18 AMS18">
    <cfRule type="cellIs" dxfId="403" priority="27252" operator="greaterThan">
      <formula>0</formula>
    </cfRule>
  </conditionalFormatting>
  <conditionalFormatting sqref="GZ18">
    <cfRule type="cellIs" dxfId="404" priority="27251" operator="greaterThan">
      <formula>0</formula>
    </cfRule>
  </conditionalFormatting>
  <conditionalFormatting sqref="GY18 OW18 AMQ18">
    <cfRule type="cellIs" dxfId="405" priority="27250" operator="greaterThan">
      <formula>0</formula>
    </cfRule>
  </conditionalFormatting>
  <conditionalFormatting sqref="GY18:GZ18 OW18 AMQ18">
    <cfRule type="cellIs" dxfId="406" priority="27249" operator="equal">
      <formula>0</formula>
    </cfRule>
  </conditionalFormatting>
  <conditionalFormatting sqref="FU14 FU16 FU19 FU32 GX14 GX16 GX19 GX32">
    <cfRule type="cellIs" dxfId="407" priority="23525" operator="equal">
      <formula>0</formula>
    </cfRule>
    <cfRule type="cellIs" dxfId="408" priority="23526" operator="equal">
      <formula>8</formula>
    </cfRule>
    <cfRule type="cellIs" dxfId="409" priority="23527" operator="greaterThan">
      <formula>8</formula>
    </cfRule>
    <cfRule type="cellIs" dxfId="410" priority="23528" operator="lessThan">
      <formula>8</formula>
    </cfRule>
  </conditionalFormatting>
  <conditionalFormatting sqref="FU13">
    <cfRule type="cellIs" dxfId="411" priority="23521" operator="equal">
      <formula>0</formula>
    </cfRule>
    <cfRule type="cellIs" dxfId="412" priority="23522" operator="equal">
      <formula>8</formula>
    </cfRule>
    <cfRule type="cellIs" dxfId="413" priority="23523" operator="greaterThan">
      <formula>8</formula>
    </cfRule>
    <cfRule type="cellIs" dxfId="414" priority="23524" operator="lessThan">
      <formula>8</formula>
    </cfRule>
  </conditionalFormatting>
  <conditionalFormatting sqref="GX13">
    <cfRule type="cellIs" dxfId="415" priority="23517" operator="equal">
      <formula>0</formula>
    </cfRule>
    <cfRule type="cellIs" dxfId="416" priority="23518" operator="equal">
      <formula>8</formula>
    </cfRule>
    <cfRule type="cellIs" dxfId="417" priority="23519" operator="greaterThan">
      <formula>8</formula>
    </cfRule>
    <cfRule type="cellIs" dxfId="418" priority="23520" operator="lessThan">
      <formula>8</formula>
    </cfRule>
  </conditionalFormatting>
  <conditionalFormatting sqref="FU20">
    <cfRule type="cellIs" dxfId="419" priority="23501" operator="equal">
      <formula>0</formula>
    </cfRule>
    <cfRule type="cellIs" dxfId="420" priority="23502" operator="equal">
      <formula>8</formula>
    </cfRule>
    <cfRule type="cellIs" dxfId="421" priority="23503" operator="greaterThan">
      <formula>8</formula>
    </cfRule>
    <cfRule type="cellIs" dxfId="422" priority="23504" operator="lessThan">
      <formula>8</formula>
    </cfRule>
  </conditionalFormatting>
  <conditionalFormatting sqref="GX20">
    <cfRule type="cellIs" dxfId="423" priority="23497" operator="equal">
      <formula>0</formula>
    </cfRule>
    <cfRule type="cellIs" dxfId="424" priority="23498" operator="equal">
      <formula>8</formula>
    </cfRule>
    <cfRule type="cellIs" dxfId="425" priority="23499" operator="greaterThan">
      <formula>8</formula>
    </cfRule>
    <cfRule type="cellIs" dxfId="426" priority="23500" operator="lessThan">
      <formula>8</formula>
    </cfRule>
  </conditionalFormatting>
  <conditionalFormatting sqref="FU23 GX23">
    <cfRule type="cellIs" dxfId="427" priority="23493" operator="equal">
      <formula>0</formula>
    </cfRule>
    <cfRule type="cellIs" dxfId="428" priority="23494" operator="equal">
      <formula>8</formula>
    </cfRule>
    <cfRule type="cellIs" dxfId="429" priority="23495" operator="greaterThan">
      <formula>8</formula>
    </cfRule>
    <cfRule type="cellIs" dxfId="430" priority="23496" operator="lessThan">
      <formula>8</formula>
    </cfRule>
  </conditionalFormatting>
  <conditionalFormatting sqref="FU22 GX22">
    <cfRule type="cellIs" dxfId="431" priority="23489" operator="equal">
      <formula>0</formula>
    </cfRule>
    <cfRule type="cellIs" dxfId="432" priority="23490" operator="equal">
      <formula>8</formula>
    </cfRule>
    <cfRule type="cellIs" dxfId="433" priority="23491" operator="greaterThan">
      <formula>8</formula>
    </cfRule>
    <cfRule type="cellIs" dxfId="434" priority="23492" operator="lessThan">
      <formula>8</formula>
    </cfRule>
  </conditionalFormatting>
  <conditionalFormatting sqref="FU17">
    <cfRule type="cellIs" dxfId="435" priority="23485" operator="equal">
      <formula>0</formula>
    </cfRule>
    <cfRule type="cellIs" dxfId="436" priority="23486" operator="equal">
      <formula>8</formula>
    </cfRule>
    <cfRule type="cellIs" dxfId="437" priority="23487" operator="greaterThan">
      <formula>8</formula>
    </cfRule>
    <cfRule type="cellIs" dxfId="438" priority="23488" operator="lessThan">
      <formula>8</formula>
    </cfRule>
  </conditionalFormatting>
  <conditionalFormatting sqref="GX17">
    <cfRule type="cellIs" dxfId="439" priority="23481" operator="equal">
      <formula>0</formula>
    </cfRule>
    <cfRule type="cellIs" dxfId="440" priority="23482" operator="equal">
      <formula>8</formula>
    </cfRule>
    <cfRule type="cellIs" dxfId="441" priority="23483" operator="greaterThan">
      <formula>8</formula>
    </cfRule>
    <cfRule type="cellIs" dxfId="442" priority="23484" operator="lessThan">
      <formula>8</formula>
    </cfRule>
  </conditionalFormatting>
  <conditionalFormatting sqref="FU27:FU29 GX27:GX29">
    <cfRule type="cellIs" dxfId="443" priority="23477" operator="equal">
      <formula>0</formula>
    </cfRule>
    <cfRule type="cellIs" dxfId="444" priority="23478" operator="equal">
      <formula>8</formula>
    </cfRule>
    <cfRule type="cellIs" dxfId="445" priority="23479" operator="greaterThan">
      <formula>8</formula>
    </cfRule>
    <cfRule type="cellIs" dxfId="446" priority="23480" operator="lessThan">
      <formula>8</formula>
    </cfRule>
  </conditionalFormatting>
  <conditionalFormatting sqref="FU31 GX31">
    <cfRule type="cellIs" dxfId="447" priority="23473" operator="equal">
      <formula>0</formula>
    </cfRule>
    <cfRule type="cellIs" dxfId="448" priority="23474" operator="equal">
      <formula>8</formula>
    </cfRule>
    <cfRule type="cellIs" dxfId="449" priority="23475" operator="greaterThan">
      <formula>8</formula>
    </cfRule>
    <cfRule type="cellIs" dxfId="450" priority="23476" operator="lessThan">
      <formula>8</formula>
    </cfRule>
  </conditionalFormatting>
  <conditionalFormatting sqref="FU21 GX21">
    <cfRule type="cellIs" dxfId="451" priority="23469" operator="equal">
      <formula>0</formula>
    </cfRule>
    <cfRule type="cellIs" dxfId="452" priority="23470" operator="equal">
      <formula>8</formula>
    </cfRule>
    <cfRule type="cellIs" dxfId="453" priority="23471" operator="greaterThan">
      <formula>8</formula>
    </cfRule>
    <cfRule type="cellIs" dxfId="454" priority="23472" operator="lessThan">
      <formula>8</formula>
    </cfRule>
  </conditionalFormatting>
  <conditionalFormatting sqref="FU24:FU26 GX24:GX26">
    <cfRule type="cellIs" dxfId="455" priority="23465" operator="equal">
      <formula>0</formula>
    </cfRule>
    <cfRule type="cellIs" dxfId="456" priority="23466" operator="equal">
      <formula>8</formula>
    </cfRule>
    <cfRule type="cellIs" dxfId="457" priority="23467" operator="greaterThan">
      <formula>8</formula>
    </cfRule>
    <cfRule type="cellIs" dxfId="458" priority="23468" operator="lessThan">
      <formula>8</formula>
    </cfRule>
  </conditionalFormatting>
  <conditionalFormatting sqref="FU18 GX18">
    <cfRule type="cellIs" dxfId="459" priority="23461" operator="equal">
      <formula>0</formula>
    </cfRule>
    <cfRule type="cellIs" dxfId="460" priority="23462" operator="equal">
      <formula>8</formula>
    </cfRule>
    <cfRule type="cellIs" dxfId="461" priority="23463" operator="greaterThan">
      <formula>8</formula>
    </cfRule>
    <cfRule type="cellIs" dxfId="462" priority="23464" operator="lessThan">
      <formula>8</formula>
    </cfRule>
  </conditionalFormatting>
  <conditionalFormatting sqref="HA30">
    <cfRule type="cellIs" dxfId="463" priority="22740" operator="greaterThan">
      <formula>0</formula>
    </cfRule>
  </conditionalFormatting>
  <conditionalFormatting sqref="GZ30">
    <cfRule type="cellIs" dxfId="464" priority="22739" operator="greaterThan">
      <formula>0</formula>
    </cfRule>
  </conditionalFormatting>
  <conditionalFormatting sqref="GY30">
    <cfRule type="cellIs" dxfId="465" priority="22738" operator="greaterThan">
      <formula>0</formula>
    </cfRule>
  </conditionalFormatting>
  <conditionalFormatting sqref="GY30:GZ30">
    <cfRule type="cellIs" dxfId="466" priority="22737" operator="equal">
      <formula>0</formula>
    </cfRule>
  </conditionalFormatting>
  <conditionalFormatting sqref="OY30">
    <cfRule type="cellIs" dxfId="467" priority="22736" operator="greaterThan">
      <formula>0</formula>
    </cfRule>
  </conditionalFormatting>
  <conditionalFormatting sqref="OW30">
    <cfRule type="cellIs" dxfId="468" priority="22734" operator="greaterThan">
      <formula>0</formula>
    </cfRule>
    <cfRule type="cellIs" dxfId="469" priority="22733" operator="equal">
      <formula>0</formula>
    </cfRule>
  </conditionalFormatting>
  <conditionalFormatting sqref="NS30 OV30">
    <cfRule type="cellIs" dxfId="470" priority="22729" operator="equal">
      <formula>0</formula>
    </cfRule>
    <cfRule type="cellIs" dxfId="471" priority="22730" operator="equal">
      <formula>8</formula>
    </cfRule>
    <cfRule type="cellIs" dxfId="472" priority="22731" operator="greaterThan">
      <formula>8</formula>
    </cfRule>
    <cfRule type="cellIs" dxfId="473" priority="22732" operator="lessThan">
      <formula>8</formula>
    </cfRule>
  </conditionalFormatting>
  <conditionalFormatting sqref="WW30">
    <cfRule type="cellIs" dxfId="474" priority="22728" operator="greaterThan">
      <formula>0</formula>
    </cfRule>
  </conditionalFormatting>
  <conditionalFormatting sqref="WU30">
    <cfRule type="cellIs" dxfId="475" priority="22726" operator="greaterThan">
      <formula>0</formula>
    </cfRule>
    <cfRule type="cellIs" dxfId="476" priority="22725" operator="equal">
      <formula>0</formula>
    </cfRule>
  </conditionalFormatting>
  <conditionalFormatting sqref="VQ30 WT30">
    <cfRule type="cellIs" dxfId="477" priority="22721" operator="equal">
      <formula>0</formula>
    </cfRule>
    <cfRule type="cellIs" dxfId="478" priority="22722" operator="equal">
      <formula>8</formula>
    </cfRule>
    <cfRule type="cellIs" dxfId="479" priority="22723" operator="greaterThan">
      <formula>8</formula>
    </cfRule>
    <cfRule type="cellIs" dxfId="480" priority="22724" operator="lessThan">
      <formula>8</formula>
    </cfRule>
  </conditionalFormatting>
  <conditionalFormatting sqref="AEU30">
    <cfRule type="cellIs" dxfId="481" priority="22720" operator="greaterThan">
      <formula>0</formula>
    </cfRule>
  </conditionalFormatting>
  <conditionalFormatting sqref="AES30">
    <cfRule type="cellIs" dxfId="482" priority="22718" operator="greaterThan">
      <formula>0</formula>
    </cfRule>
    <cfRule type="cellIs" dxfId="483" priority="22717" operator="equal">
      <formula>0</formula>
    </cfRule>
  </conditionalFormatting>
  <conditionalFormatting sqref="ADO30 AER30">
    <cfRule type="cellIs" dxfId="484" priority="22713" operator="equal">
      <formula>0</formula>
    </cfRule>
    <cfRule type="cellIs" dxfId="485" priority="22714" operator="equal">
      <formula>8</formula>
    </cfRule>
    <cfRule type="cellIs" dxfId="486" priority="22715" operator="greaterThan">
      <formula>8</formula>
    </cfRule>
    <cfRule type="cellIs" dxfId="487" priority="22716" operator="lessThan">
      <formula>8</formula>
    </cfRule>
  </conditionalFormatting>
  <conditionalFormatting sqref="AMS30">
    <cfRule type="cellIs" dxfId="488" priority="22712" operator="greaterThan">
      <formula>0</formula>
    </cfRule>
  </conditionalFormatting>
  <conditionalFormatting sqref="AMQ30">
    <cfRule type="cellIs" dxfId="489" priority="22710" operator="greaterThan">
      <formula>0</formula>
    </cfRule>
    <cfRule type="cellIs" dxfId="490" priority="22709" operator="equal">
      <formula>0</formula>
    </cfRule>
  </conditionalFormatting>
  <conditionalFormatting sqref="ALM30 AMP30">
    <cfRule type="cellIs" dxfId="491" priority="22705" operator="equal">
      <formula>0</formula>
    </cfRule>
    <cfRule type="cellIs" dxfId="492" priority="22706" operator="equal">
      <formula>8</formula>
    </cfRule>
    <cfRule type="cellIs" dxfId="493" priority="22707" operator="greaterThan">
      <formula>8</formula>
    </cfRule>
    <cfRule type="cellIs" dxfId="494" priority="22708" operator="lessThan">
      <formula>8</formula>
    </cfRule>
  </conditionalFormatting>
  <conditionalFormatting sqref="FU30 GX30">
    <cfRule type="cellIs" dxfId="495" priority="22685" operator="equal">
      <formula>0</formula>
    </cfRule>
    <cfRule type="cellIs" dxfId="496" priority="22686" operator="equal">
      <formula>8</formula>
    </cfRule>
    <cfRule type="cellIs" dxfId="497" priority="22687" operator="greaterThan">
      <formula>8</formula>
    </cfRule>
    <cfRule type="cellIs" dxfId="498" priority="22688" operator="lessThan">
      <formula>8</formula>
    </cfRule>
  </conditionalFormatting>
  <conditionalFormatting sqref="OX13:OX14 OX16 OX19 OX32">
    <cfRule type="cellIs" dxfId="499" priority="22116" operator="greaterThan">
      <formula>0</formula>
    </cfRule>
    <cfRule type="cellIs" dxfId="500" priority="22115" operator="equal">
      <formula>0</formula>
    </cfRule>
  </conditionalFormatting>
  <conditionalFormatting sqref="OX20">
    <cfRule type="cellIs" dxfId="501" priority="22114" operator="greaterThan">
      <formula>0</formula>
    </cfRule>
    <cfRule type="cellIs" dxfId="502" priority="22113" operator="equal">
      <formula>0</formula>
    </cfRule>
  </conditionalFormatting>
  <conditionalFormatting sqref="OX23">
    <cfRule type="cellIs" dxfId="503" priority="22112" operator="greaterThan">
      <formula>0</formula>
    </cfRule>
    <cfRule type="cellIs" dxfId="504" priority="22111" operator="equal">
      <formula>0</formula>
    </cfRule>
  </conditionalFormatting>
  <conditionalFormatting sqref="OX22">
    <cfRule type="cellIs" dxfId="505" priority="22110" operator="greaterThan">
      <formula>0</formula>
    </cfRule>
    <cfRule type="cellIs" dxfId="506" priority="22109" operator="equal">
      <formula>0</formula>
    </cfRule>
  </conditionalFormatting>
  <conditionalFormatting sqref="OX17">
    <cfRule type="cellIs" dxfId="507" priority="22108" operator="greaterThan">
      <formula>0</formula>
    </cfRule>
    <cfRule type="cellIs" dxfId="508" priority="22107" operator="equal">
      <formula>0</formula>
    </cfRule>
  </conditionalFormatting>
  <conditionalFormatting sqref="OX27:OX29">
    <cfRule type="cellIs" dxfId="509" priority="22106" operator="greaterThan">
      <formula>0</formula>
    </cfRule>
    <cfRule type="cellIs" dxfId="510" priority="22105" operator="equal">
      <formula>0</formula>
    </cfRule>
  </conditionalFormatting>
  <conditionalFormatting sqref="OX31">
    <cfRule type="cellIs" dxfId="511" priority="22104" operator="greaterThan">
      <formula>0</formula>
    </cfRule>
    <cfRule type="cellIs" dxfId="512" priority="22103" operator="equal">
      <formula>0</formula>
    </cfRule>
  </conditionalFormatting>
  <conditionalFormatting sqref="OX21">
    <cfRule type="cellIs" dxfId="513" priority="22102" operator="greaterThan">
      <formula>0</formula>
    </cfRule>
    <cfRule type="cellIs" dxfId="514" priority="22101" operator="equal">
      <formula>0</formula>
    </cfRule>
  </conditionalFormatting>
  <conditionalFormatting sqref="OX24:OX26">
    <cfRule type="cellIs" dxfId="515" priority="22100" operator="greaterThan">
      <formula>0</formula>
    </cfRule>
    <cfRule type="cellIs" dxfId="516" priority="22099" operator="equal">
      <formula>0</formula>
    </cfRule>
  </conditionalFormatting>
  <conditionalFormatting sqref="OX18">
    <cfRule type="cellIs" dxfId="517" priority="22098" operator="greaterThan">
      <formula>0</formula>
    </cfRule>
    <cfRule type="cellIs" dxfId="518" priority="22097" operator="equal">
      <formula>0</formula>
    </cfRule>
  </conditionalFormatting>
  <conditionalFormatting sqref="OX30">
    <cfRule type="cellIs" dxfId="519" priority="22096" operator="greaterThan">
      <formula>0</formula>
    </cfRule>
    <cfRule type="cellIs" dxfId="520" priority="22095" operator="equal">
      <formula>0</formula>
    </cfRule>
  </conditionalFormatting>
  <conditionalFormatting sqref="WV13:WV14 WV16 WV19 WV32">
    <cfRule type="cellIs" dxfId="521" priority="22094" operator="greaterThan">
      <formula>0</formula>
    </cfRule>
    <cfRule type="cellIs" dxfId="522" priority="22093" operator="equal">
      <formula>0</formula>
    </cfRule>
  </conditionalFormatting>
  <conditionalFormatting sqref="WV20">
    <cfRule type="cellIs" dxfId="523" priority="22092" operator="greaterThan">
      <formula>0</formula>
    </cfRule>
    <cfRule type="cellIs" dxfId="524" priority="22091" operator="equal">
      <formula>0</formula>
    </cfRule>
  </conditionalFormatting>
  <conditionalFormatting sqref="WV23">
    <cfRule type="cellIs" dxfId="525" priority="22090" operator="greaterThan">
      <formula>0</formula>
    </cfRule>
    <cfRule type="cellIs" dxfId="526" priority="22089" operator="equal">
      <formula>0</formula>
    </cfRule>
  </conditionalFormatting>
  <conditionalFormatting sqref="WV22">
    <cfRule type="cellIs" dxfId="527" priority="22088" operator="greaterThan">
      <formula>0</formula>
    </cfRule>
    <cfRule type="cellIs" dxfId="528" priority="22087" operator="equal">
      <formula>0</formula>
    </cfRule>
  </conditionalFormatting>
  <conditionalFormatting sqref="WV17">
    <cfRule type="cellIs" dxfId="529" priority="22086" operator="greaterThan">
      <formula>0</formula>
    </cfRule>
    <cfRule type="cellIs" dxfId="530" priority="22085" operator="equal">
      <formula>0</formula>
    </cfRule>
  </conditionalFormatting>
  <conditionalFormatting sqref="WV27:WV29">
    <cfRule type="cellIs" dxfId="531" priority="22084" operator="greaterThan">
      <formula>0</formula>
    </cfRule>
    <cfRule type="cellIs" dxfId="532" priority="22083" operator="equal">
      <formula>0</formula>
    </cfRule>
  </conditionalFormatting>
  <conditionalFormatting sqref="WV31">
    <cfRule type="cellIs" dxfId="533" priority="22082" operator="greaterThan">
      <formula>0</formula>
    </cfRule>
    <cfRule type="cellIs" dxfId="534" priority="22081" operator="equal">
      <formula>0</formula>
    </cfRule>
  </conditionalFormatting>
  <conditionalFormatting sqref="WV21">
    <cfRule type="cellIs" dxfId="535" priority="22080" operator="greaterThan">
      <formula>0</formula>
    </cfRule>
    <cfRule type="cellIs" dxfId="536" priority="22079" operator="equal">
      <formula>0</formula>
    </cfRule>
  </conditionalFormatting>
  <conditionalFormatting sqref="WV24:WV26">
    <cfRule type="cellIs" dxfId="537" priority="22078" operator="greaterThan">
      <formula>0</formula>
    </cfRule>
    <cfRule type="cellIs" dxfId="538" priority="22077" operator="equal">
      <formula>0</formula>
    </cfRule>
  </conditionalFormatting>
  <conditionalFormatting sqref="WV18">
    <cfRule type="cellIs" dxfId="539" priority="22076" operator="greaterThan">
      <formula>0</formula>
    </cfRule>
    <cfRule type="cellIs" dxfId="540" priority="22075" operator="equal">
      <formula>0</formula>
    </cfRule>
  </conditionalFormatting>
  <conditionalFormatting sqref="WV30">
    <cfRule type="cellIs" dxfId="541" priority="22074" operator="greaterThan">
      <formula>0</formula>
    </cfRule>
    <cfRule type="cellIs" dxfId="542" priority="22073" operator="equal">
      <formula>0</formula>
    </cfRule>
  </conditionalFormatting>
  <conditionalFormatting sqref="AET13:AET14 AET16 AET19 AET32">
    <cfRule type="cellIs" dxfId="543" priority="22072" operator="greaterThan">
      <formula>0</formula>
    </cfRule>
    <cfRule type="cellIs" dxfId="544" priority="22071" operator="equal">
      <formula>0</formula>
    </cfRule>
  </conditionalFormatting>
  <conditionalFormatting sqref="AET20">
    <cfRule type="cellIs" dxfId="545" priority="22070" operator="greaterThan">
      <formula>0</formula>
    </cfRule>
    <cfRule type="cellIs" dxfId="546" priority="22069" operator="equal">
      <formula>0</formula>
    </cfRule>
  </conditionalFormatting>
  <conditionalFormatting sqref="AET23">
    <cfRule type="cellIs" dxfId="547" priority="22068" operator="greaterThan">
      <formula>0</formula>
    </cfRule>
    <cfRule type="cellIs" dxfId="548" priority="22067" operator="equal">
      <formula>0</formula>
    </cfRule>
  </conditionalFormatting>
  <conditionalFormatting sqref="AET22">
    <cfRule type="cellIs" dxfId="549" priority="22066" operator="greaterThan">
      <formula>0</formula>
    </cfRule>
    <cfRule type="cellIs" dxfId="550" priority="22065" operator="equal">
      <formula>0</formula>
    </cfRule>
  </conditionalFormatting>
  <conditionalFormatting sqref="AET17">
    <cfRule type="cellIs" dxfId="551" priority="22064" operator="greaterThan">
      <formula>0</formula>
    </cfRule>
    <cfRule type="cellIs" dxfId="552" priority="22063" operator="equal">
      <formula>0</formula>
    </cfRule>
  </conditionalFormatting>
  <conditionalFormatting sqref="AET27:AET29">
    <cfRule type="cellIs" dxfId="553" priority="22062" operator="greaterThan">
      <formula>0</formula>
    </cfRule>
    <cfRule type="cellIs" dxfId="554" priority="22061" operator="equal">
      <formula>0</formula>
    </cfRule>
  </conditionalFormatting>
  <conditionalFormatting sqref="AET31">
    <cfRule type="cellIs" dxfId="555" priority="22060" operator="greaterThan">
      <formula>0</formula>
    </cfRule>
    <cfRule type="cellIs" dxfId="556" priority="22059" operator="equal">
      <formula>0</formula>
    </cfRule>
  </conditionalFormatting>
  <conditionalFormatting sqref="AET21">
    <cfRule type="cellIs" dxfId="557" priority="22058" operator="greaterThan">
      <formula>0</formula>
    </cfRule>
    <cfRule type="cellIs" dxfId="558" priority="22057" operator="equal">
      <formula>0</formula>
    </cfRule>
  </conditionalFormatting>
  <conditionalFormatting sqref="AET24:AET26">
    <cfRule type="cellIs" dxfId="559" priority="22056" operator="greaterThan">
      <formula>0</formula>
    </cfRule>
    <cfRule type="cellIs" dxfId="560" priority="22055" operator="equal">
      <formula>0</formula>
    </cfRule>
  </conditionalFormatting>
  <conditionalFormatting sqref="AET18">
    <cfRule type="cellIs" dxfId="561" priority="22054" operator="greaterThan">
      <formula>0</formula>
    </cfRule>
    <cfRule type="cellIs" dxfId="562" priority="22053" operator="equal">
      <formula>0</formula>
    </cfRule>
  </conditionalFormatting>
  <conditionalFormatting sqref="AET30">
    <cfRule type="cellIs" dxfId="563" priority="22052" operator="greaterThan">
      <formula>0</formula>
    </cfRule>
    <cfRule type="cellIs" dxfId="564" priority="22051" operator="equal">
      <formula>0</formula>
    </cfRule>
  </conditionalFormatting>
  <conditionalFormatting sqref="AMR13:AMR14 AMR16 AMR19 AMR32">
    <cfRule type="cellIs" dxfId="565" priority="22050" operator="greaterThan">
      <formula>0</formula>
    </cfRule>
    <cfRule type="cellIs" dxfId="566" priority="22049" operator="equal">
      <formula>0</formula>
    </cfRule>
  </conditionalFormatting>
  <conditionalFormatting sqref="AMR20">
    <cfRule type="cellIs" dxfId="567" priority="22048" operator="greaterThan">
      <formula>0</formula>
    </cfRule>
    <cfRule type="cellIs" dxfId="568" priority="22047" operator="equal">
      <formula>0</formula>
    </cfRule>
  </conditionalFormatting>
  <conditionalFormatting sqref="AMR23">
    <cfRule type="cellIs" dxfId="569" priority="22046" operator="greaterThan">
      <formula>0</formula>
    </cfRule>
    <cfRule type="cellIs" dxfId="570" priority="22045" operator="equal">
      <formula>0</formula>
    </cfRule>
  </conditionalFormatting>
  <conditionalFormatting sqref="AMR22">
    <cfRule type="cellIs" dxfId="571" priority="22044" operator="greaterThan">
      <formula>0</formula>
    </cfRule>
    <cfRule type="cellIs" dxfId="572" priority="22043" operator="equal">
      <formula>0</formula>
    </cfRule>
  </conditionalFormatting>
  <conditionalFormatting sqref="AMR17">
    <cfRule type="cellIs" dxfId="573" priority="22042" operator="greaterThan">
      <formula>0</formula>
    </cfRule>
    <cfRule type="cellIs" dxfId="574" priority="22041" operator="equal">
      <formula>0</formula>
    </cfRule>
  </conditionalFormatting>
  <conditionalFormatting sqref="AMR27:AMR29">
    <cfRule type="cellIs" dxfId="575" priority="22040" operator="greaterThan">
      <formula>0</formula>
    </cfRule>
    <cfRule type="cellIs" dxfId="576" priority="22039" operator="equal">
      <formula>0</formula>
    </cfRule>
  </conditionalFormatting>
  <conditionalFormatting sqref="AMR31">
    <cfRule type="cellIs" dxfId="577" priority="22038" operator="greaterThan">
      <formula>0</formula>
    </cfRule>
    <cfRule type="cellIs" dxfId="578" priority="22037" operator="equal">
      <formula>0</formula>
    </cfRule>
  </conditionalFormatting>
  <conditionalFormatting sqref="AMR21">
    <cfRule type="cellIs" dxfId="579" priority="22036" operator="greaterThan">
      <formula>0</formula>
    </cfRule>
    <cfRule type="cellIs" dxfId="580" priority="22035" operator="equal">
      <formula>0</formula>
    </cfRule>
  </conditionalFormatting>
  <conditionalFormatting sqref="AMR24:AMR26">
    <cfRule type="cellIs" dxfId="581" priority="22034" operator="greaterThan">
      <formula>0</formula>
    </cfRule>
    <cfRule type="cellIs" dxfId="582" priority="22033" operator="equal">
      <formula>0</formula>
    </cfRule>
  </conditionalFormatting>
  <conditionalFormatting sqref="AMR18">
    <cfRule type="cellIs" dxfId="583" priority="22032" operator="greaterThan">
      <formula>0</formula>
    </cfRule>
    <cfRule type="cellIs" dxfId="584" priority="22031" operator="equal">
      <formula>0</formula>
    </cfRule>
  </conditionalFormatting>
  <conditionalFormatting sqref="AMR30">
    <cfRule type="cellIs" dxfId="585" priority="22030" operator="greaterThan">
      <formula>0</formula>
    </cfRule>
    <cfRule type="cellIs" dxfId="586" priority="22029" operator="equal">
      <formula>0</formula>
    </cfRule>
  </conditionalFormatting>
  <conditionalFormatting sqref="HA57:HA58 HA60 HA62:HA64 HA68:HA82 OY60 OY62:OY64 OY68 OY70:OY82 WW60 WW62:WW64 WW68 WW70:WW82 AEU57:AEU58 AEU60 AEU62:AEU64 AEU68:AEU82 AMS60 AMS62:AMS64 AMS68 AMS70:AMS82">
    <cfRule type="cellIs" dxfId="587" priority="7546" operator="greaterThan">
      <formula>0</formula>
    </cfRule>
  </conditionalFormatting>
  <conditionalFormatting sqref="GZ57:GZ58 GZ60 GZ62:GZ64 GZ68:GZ82 OX57:OX58 OX60 OX62:OX64 OX68:OX82 WV57:WV58 WV60 WV62:WV64 WV68:WV82 AET57:AET58 AET60 AET62:AET64 AET68:AET82 AMR57:AMR58 AMR60 AMR62:AMR64 AMR68:AMR82">
    <cfRule type="cellIs" dxfId="588" priority="7545" operator="greaterThan">
      <formula>0</formula>
    </cfRule>
  </conditionalFormatting>
  <conditionalFormatting sqref="GY57:GY58 GY60 GY62:GY64 GY68:GY82 OW60 OW62:OW64 OW68 OW70:OW82 WU60 WU62:WU64 WU68 WU70:WU82 AES57:AES58 AES60 AES62:AES64 AES68:AES82 AMQ60 AMQ62:AMQ64 AMQ68 AMQ70:AMQ82">
    <cfRule type="cellIs" dxfId="589" priority="7544" operator="greaterThan">
      <formula>0</formula>
    </cfRule>
  </conditionalFormatting>
  <conditionalFormatting sqref="GY57:GZ58 GY60:GZ60 GY62:GZ64 GY68:GZ82 OW60:OX60 OW62:OX64 OW68:OX68 OW70:OW72 OW73:OX82 OX57:OX58 OX69:OX72 WU60:WV60 WU62:WV64 WU68:WV68 WU70:WU72 WU73:WV82 WV57:WV58 WV69:WV72 AES57:AET58 AES60:AET60 AES62:AET64 AES68:AET82 AMQ60:AMR60 AMQ62:AMR64 AMQ68:AMR68 AMQ70:AMQ72 AMQ73:AMR82 AMR57:AMR58 AMR69:AMR72">
    <cfRule type="cellIs" dxfId="590" priority="7543" operator="equal">
      <formula>0</formula>
    </cfRule>
  </conditionalFormatting>
  <conditionalFormatting sqref="AF78 AF81 BI78 BI81 CL78 CL81 DO78 DO81 ER78 ER81 FU57:FU58 FU60 FU62:FU64 FU68:FU82 GX57:GX58 GX60 GX62:GX64 GX68:GX82 ID78 JG78 KJ78 LM78 MP78 NS57:NS58 NS60 NS62:NS64 NS68:NS82 OV60 OV62:OV64 OV68 OV70:OV82 QB78 QB81 RE78 RE81 SH78 SH81 TK78 TK81 UN78 UN81 VQ57:VQ58 VQ60 VQ62:VQ64 VQ68:VQ82 WT60 WT62:WT64 WT68 WT70:WT82 XZ78 XZ81 ZC62:ZC64 ZC78:ZC79 ZC81:ZC82 AAF62:AAF64 AAF78:AAF79 AAF81:AAF82 ABI62:ABI64 ABI78:ABI79 ABI81:ABI82 ACL62:ACL64 ACL78:ACL79 ACL81:ACL82 ADO57:ADO58 ADO60 ADO62:ADO64 ADO68:ADO82 AER57:AER58 AER60 AER62:AER64 AER68:AER82 AFX62:AFX64 AFX78:AFX79 AFX81:AFX82 AHA62:AHA64 AHA78:AHA79 AHA81:AHA82 AID62:AID64 AID78:AID79 AID81:AID82 AJG62:AJG64 AJG78:AJG79 AJG81:AJG82 AKJ62:AKJ64 AKJ78:AKJ79 AKJ81:AKJ82 ALM57:ALM58 ALM60 ALM62:ALM64 ALM68:ALM82 AMP57:AMP58 AMP60 AMP62:AMP64 AMP68:AMP82">
    <cfRule type="cellIs" dxfId="591" priority="7539" operator="equal">
      <formula>0</formula>
    </cfRule>
    <cfRule type="cellIs" dxfId="592" priority="7540" operator="equal">
      <formula>8</formula>
    </cfRule>
    <cfRule type="cellIs" dxfId="593" priority="7541" operator="greaterThan">
      <formula>8</formula>
    </cfRule>
    <cfRule type="cellIs" dxfId="594" priority="7542" operator="lessThan">
      <formula>8</formula>
    </cfRule>
  </conditionalFormatting>
  <conditionalFormatting sqref="AMS57:AMS58">
    <cfRule type="cellIs" dxfId="595" priority="7538" operator="greaterThan">
      <formula>0</formula>
    </cfRule>
  </conditionalFormatting>
  <conditionalFormatting sqref="AMQ57:AMQ58">
    <cfRule type="cellIs" dxfId="596" priority="7537" operator="greaterThan">
      <formula>0</formula>
    </cfRule>
    <cfRule type="cellIs" dxfId="597" priority="7536" operator="equal">
      <formula>0</formula>
    </cfRule>
  </conditionalFormatting>
  <conditionalFormatting sqref="AMS58">
    <cfRule type="cellIs" dxfId="598" priority="7535" operator="greaterThan">
      <formula>0</formula>
    </cfRule>
  </conditionalFormatting>
  <conditionalFormatting sqref="AMQ58">
    <cfRule type="cellIs" dxfId="599" priority="7534" operator="greaterThan">
      <formula>0</formula>
    </cfRule>
    <cfRule type="cellIs" dxfId="600" priority="7533" operator="equal">
      <formula>0</formula>
    </cfRule>
  </conditionalFormatting>
  <conditionalFormatting sqref="OY57:OY58 WW57:WW58">
    <cfRule type="cellIs" dxfId="601" priority="7532" operator="greaterThan">
      <formula>0</formula>
    </cfRule>
  </conditionalFormatting>
  <conditionalFormatting sqref="OW57:OW58 WU57:WU58">
    <cfRule type="cellIs" dxfId="602" priority="7531" operator="greaterThan">
      <formula>0</formula>
    </cfRule>
    <cfRule type="cellIs" dxfId="603" priority="7530" operator="equal">
      <formula>0</formula>
    </cfRule>
  </conditionalFormatting>
  <conditionalFormatting sqref="OV57:OV58 WT57:WT58">
    <cfRule type="cellIs" dxfId="604" priority="7526" operator="equal">
      <formula>0</formula>
    </cfRule>
    <cfRule type="cellIs" dxfId="605" priority="7527" operator="equal">
      <formula>8</formula>
    </cfRule>
    <cfRule type="cellIs" dxfId="606" priority="7528" operator="greaterThan">
      <formula>8</formula>
    </cfRule>
    <cfRule type="cellIs" dxfId="607" priority="7529" operator="lessThan">
      <formula>8</formula>
    </cfRule>
  </conditionalFormatting>
  <conditionalFormatting sqref="WT58">
    <cfRule type="cellIs" dxfId="608" priority="7522" operator="equal">
      <formula>0</formula>
    </cfRule>
    <cfRule type="cellIs" dxfId="609" priority="7523" operator="equal">
      <formula>8</formula>
    </cfRule>
    <cfRule type="cellIs" dxfId="610" priority="7524" operator="greaterThan">
      <formula>8</formula>
    </cfRule>
    <cfRule type="cellIs" dxfId="611" priority="7525" operator="lessThan">
      <formula>8</formula>
    </cfRule>
  </conditionalFormatting>
  <conditionalFormatting sqref="WW58">
    <cfRule type="cellIs" dxfId="612" priority="7521" operator="greaterThan">
      <formula>0</formula>
    </cfRule>
  </conditionalFormatting>
  <conditionalFormatting sqref="WU58">
    <cfRule type="cellIs" dxfId="613" priority="7520" operator="greaterThan">
      <formula>0</formula>
    </cfRule>
    <cfRule type="cellIs" dxfId="614" priority="7519" operator="equal">
      <formula>0</formula>
    </cfRule>
  </conditionalFormatting>
  <conditionalFormatting sqref="OV58">
    <cfRule type="cellIs" dxfId="615" priority="7515" operator="equal">
      <formula>0</formula>
    </cfRule>
    <cfRule type="cellIs" dxfId="616" priority="7516" operator="equal">
      <formula>8</formula>
    </cfRule>
    <cfRule type="cellIs" dxfId="617" priority="7517" operator="greaterThan">
      <formula>8</formula>
    </cfRule>
    <cfRule type="cellIs" dxfId="618" priority="7518" operator="lessThan">
      <formula>8</formula>
    </cfRule>
  </conditionalFormatting>
  <conditionalFormatting sqref="OY58">
    <cfRule type="cellIs" dxfId="619" priority="7514" operator="greaterThan">
      <formula>0</formula>
    </cfRule>
  </conditionalFormatting>
  <conditionalFormatting sqref="OW58">
    <cfRule type="cellIs" dxfId="620" priority="7513" operator="greaterThan">
      <formula>0</formula>
    </cfRule>
    <cfRule type="cellIs" dxfId="621" priority="7512" operator="equal">
      <formula>0</formula>
    </cfRule>
  </conditionalFormatting>
  <conditionalFormatting sqref="ID58 JG58 KJ58 LM58 MP58">
    <cfRule type="cellIs" dxfId="622" priority="7508" operator="equal">
      <formula>0</formula>
    </cfRule>
    <cfRule type="cellIs" dxfId="623" priority="7509" operator="equal">
      <formula>8</formula>
    </cfRule>
    <cfRule type="cellIs" dxfId="624" priority="7510" operator="greaterThan">
      <formula>8</formula>
    </cfRule>
    <cfRule type="cellIs" dxfId="625" priority="7511" operator="lessThan">
      <formula>8</formula>
    </cfRule>
  </conditionalFormatting>
  <conditionalFormatting sqref="ID77 JG77 KJ77 LM77 MP77">
    <cfRule type="cellIs" dxfId="626" priority="7504" operator="equal">
      <formula>0</formula>
    </cfRule>
    <cfRule type="cellIs" dxfId="627" priority="7505" operator="equal">
      <formula>8</formula>
    </cfRule>
    <cfRule type="cellIs" dxfId="628" priority="7506" operator="greaterThan">
      <formula>8</formula>
    </cfRule>
    <cfRule type="cellIs" dxfId="629" priority="7507" operator="lessThan">
      <formula>8</formula>
    </cfRule>
  </conditionalFormatting>
  <conditionalFormatting sqref="ID58 JG57:JG58 KJ57:KJ58 LM57:LM58 MP57:MP58">
    <cfRule type="cellIs" dxfId="630" priority="7500" operator="equal">
      <formula>0</formula>
    </cfRule>
    <cfRule type="cellIs" dxfId="631" priority="7501" operator="equal">
      <formula>8</formula>
    </cfRule>
    <cfRule type="cellIs" dxfId="632" priority="7502" operator="greaterThan">
      <formula>8</formula>
    </cfRule>
    <cfRule type="cellIs" dxfId="633" priority="7503" operator="lessThan">
      <formula>8</formula>
    </cfRule>
  </conditionalFormatting>
  <conditionalFormatting sqref="ID68 JG68 KJ68 LM68 MP68">
    <cfRule type="cellIs" dxfId="634" priority="7496" operator="equal">
      <formula>0</formula>
    </cfRule>
    <cfRule type="cellIs" dxfId="635" priority="7497" operator="equal">
      <formula>8</formula>
    </cfRule>
    <cfRule type="cellIs" dxfId="636" priority="7498" operator="greaterThan">
      <formula>8</formula>
    </cfRule>
    <cfRule type="cellIs" dxfId="637" priority="7499" operator="lessThan">
      <formula>8</formula>
    </cfRule>
  </conditionalFormatting>
  <conditionalFormatting sqref="QB57:QB58 RE58 SH57:SH58 TK57:TK58 UN57:UN58">
    <cfRule type="cellIs" dxfId="638" priority="7492" operator="equal">
      <formula>0</formula>
    </cfRule>
    <cfRule type="cellIs" dxfId="639" priority="7493" operator="equal">
      <formula>8</formula>
    </cfRule>
    <cfRule type="cellIs" dxfId="640" priority="7494" operator="greaterThan">
      <formula>8</formula>
    </cfRule>
    <cfRule type="cellIs" dxfId="641" priority="7495" operator="lessThan">
      <formula>8</formula>
    </cfRule>
  </conditionalFormatting>
  <conditionalFormatting sqref="QB58 RE58 SH58 TK58 UN58">
    <cfRule type="cellIs" dxfId="642" priority="7488" operator="equal">
      <formula>0</formula>
    </cfRule>
    <cfRule type="cellIs" dxfId="643" priority="7489" operator="equal">
      <formula>8</formula>
    </cfRule>
    <cfRule type="cellIs" dxfId="644" priority="7490" operator="greaterThan">
      <formula>8</formula>
    </cfRule>
    <cfRule type="cellIs" dxfId="645" priority="7491" operator="lessThan">
      <formula>8</formula>
    </cfRule>
  </conditionalFormatting>
  <conditionalFormatting sqref="QB60 RE60 SH60 TK60 UN60">
    <cfRule type="cellIs" dxfId="646" priority="7484" operator="equal">
      <formula>0</formula>
    </cfRule>
    <cfRule type="cellIs" dxfId="647" priority="7485" operator="equal">
      <formula>8</formula>
    </cfRule>
    <cfRule type="cellIs" dxfId="648" priority="7486" operator="greaterThan">
      <formula>8</formula>
    </cfRule>
    <cfRule type="cellIs" dxfId="649" priority="7487" operator="lessThan">
      <formula>8</formula>
    </cfRule>
  </conditionalFormatting>
  <conditionalFormatting sqref="QB68 RE68 SH68 TK68 UN68">
    <cfRule type="cellIs" dxfId="650" priority="7480" operator="equal">
      <formula>0</formula>
    </cfRule>
    <cfRule type="cellIs" dxfId="651" priority="7481" operator="equal">
      <formula>8</formula>
    </cfRule>
    <cfRule type="cellIs" dxfId="652" priority="7482" operator="greaterThan">
      <formula>8</formula>
    </cfRule>
    <cfRule type="cellIs" dxfId="653" priority="7483" operator="lessThan">
      <formula>8</formula>
    </cfRule>
  </conditionalFormatting>
  <conditionalFormatting sqref="QB72:QB74 QB77:QB78 RE72:RE74 RE77:RE78 SH72:SH75 SH77:SH78 TK72:TK75 TK77:TK78 UN72 UN74 UN77:UN78">
    <cfRule type="cellIs" dxfId="654" priority="7476" operator="equal">
      <formula>0</formula>
    </cfRule>
    <cfRule type="cellIs" dxfId="655" priority="7477" operator="equal">
      <formula>8</formula>
    </cfRule>
    <cfRule type="cellIs" dxfId="656" priority="7478" operator="greaterThan">
      <formula>8</formula>
    </cfRule>
    <cfRule type="cellIs" dxfId="657" priority="7479" operator="lessThan">
      <formula>8</formula>
    </cfRule>
  </conditionalFormatting>
  <conditionalFormatting sqref="QB74 RE74 SH74 TK74 UN74">
    <cfRule type="cellIs" dxfId="658" priority="7472" operator="equal">
      <formula>0</formula>
    </cfRule>
    <cfRule type="cellIs" dxfId="659" priority="7473" operator="equal">
      <formula>8</formula>
    </cfRule>
    <cfRule type="cellIs" dxfId="660" priority="7474" operator="greaterThan">
      <formula>8</formula>
    </cfRule>
    <cfRule type="cellIs" dxfId="661" priority="7475" operator="lessThan">
      <formula>8</formula>
    </cfRule>
  </conditionalFormatting>
  <conditionalFormatting sqref="QB77 RE77 SH77 TK77 UN77">
    <cfRule type="cellIs" dxfId="662" priority="7468" operator="equal">
      <formula>0</formula>
    </cfRule>
    <cfRule type="cellIs" dxfId="663" priority="7469" operator="equal">
      <formula>8</formula>
    </cfRule>
    <cfRule type="cellIs" dxfId="664" priority="7470" operator="greaterThan">
      <formula>8</formula>
    </cfRule>
    <cfRule type="cellIs" dxfId="665" priority="7471" operator="lessThan">
      <formula>8</formula>
    </cfRule>
  </conditionalFormatting>
  <conditionalFormatting sqref="XZ57:XZ58 ZC57:ZC58 AAF57:AAF58 ABI57:ABI58 ACL57:ACL58">
    <cfRule type="cellIs" dxfId="666" priority="7464" operator="equal">
      <formula>0</formula>
    </cfRule>
    <cfRule type="cellIs" dxfId="667" priority="7465" operator="equal">
      <formula>8</formula>
    </cfRule>
    <cfRule type="cellIs" dxfId="668" priority="7466" operator="greaterThan">
      <formula>8</formula>
    </cfRule>
    <cfRule type="cellIs" dxfId="669" priority="7467" operator="lessThan">
      <formula>8</formula>
    </cfRule>
  </conditionalFormatting>
  <conditionalFormatting sqref="XZ58 ZC58 AAF58 ABI58 ACL58">
    <cfRule type="cellIs" dxfId="670" priority="7460" operator="equal">
      <formula>0</formula>
    </cfRule>
    <cfRule type="cellIs" dxfId="671" priority="7461" operator="equal">
      <formula>8</formula>
    </cfRule>
    <cfRule type="cellIs" dxfId="672" priority="7462" operator="greaterThan">
      <formula>8</formula>
    </cfRule>
    <cfRule type="cellIs" dxfId="673" priority="7463" operator="lessThan">
      <formula>8</formula>
    </cfRule>
  </conditionalFormatting>
  <conditionalFormatting sqref="XZ60 ZC60 AAF60">
    <cfRule type="cellIs" dxfId="674" priority="7456" operator="equal">
      <formula>0</formula>
    </cfRule>
    <cfRule type="cellIs" dxfId="675" priority="7457" operator="equal">
      <formula>8</formula>
    </cfRule>
    <cfRule type="cellIs" dxfId="676" priority="7458" operator="greaterThan">
      <formula>8</formula>
    </cfRule>
    <cfRule type="cellIs" dxfId="677" priority="7459" operator="lessThan">
      <formula>8</formula>
    </cfRule>
  </conditionalFormatting>
  <conditionalFormatting sqref="XZ68 ZC68 AAF68 ABI68 ACL68">
    <cfRule type="cellIs" dxfId="678" priority="7452" operator="equal">
      <formula>0</formula>
    </cfRule>
    <cfRule type="cellIs" dxfId="679" priority="7453" operator="equal">
      <formula>8</formula>
    </cfRule>
    <cfRule type="cellIs" dxfId="680" priority="7454" operator="greaterThan">
      <formula>8</formula>
    </cfRule>
    <cfRule type="cellIs" dxfId="681" priority="7455" operator="lessThan">
      <formula>8</formula>
    </cfRule>
  </conditionalFormatting>
  <conditionalFormatting sqref="XZ73:XZ75 XZ77:XZ78 ZC72:ZC75 ZC77:ZC78 AAF72:AAF75 AAF77:AAF78 ABI72:ABI75 ABI77:ABI78 ACL72:ACL75 ACL77:ACL78">
    <cfRule type="cellIs" dxfId="682" priority="7448" operator="equal">
      <formula>0</formula>
    </cfRule>
    <cfRule type="cellIs" dxfId="683" priority="7449" operator="equal">
      <formula>8</formula>
    </cfRule>
    <cfRule type="cellIs" dxfId="684" priority="7450" operator="greaterThan">
      <formula>8</formula>
    </cfRule>
    <cfRule type="cellIs" dxfId="685" priority="7451" operator="lessThan">
      <formula>8</formula>
    </cfRule>
  </conditionalFormatting>
  <conditionalFormatting sqref="XZ74 ZC74 AAF74 ABI74 ACL74">
    <cfRule type="cellIs" dxfId="686" priority="7444" operator="equal">
      <formula>0</formula>
    </cfRule>
    <cfRule type="cellIs" dxfId="687" priority="7445" operator="equal">
      <formula>8</formula>
    </cfRule>
    <cfRule type="cellIs" dxfId="688" priority="7446" operator="greaterThan">
      <formula>8</formula>
    </cfRule>
    <cfRule type="cellIs" dxfId="689" priority="7447" operator="lessThan">
      <formula>8</formula>
    </cfRule>
  </conditionalFormatting>
  <conditionalFormatting sqref="XZ77 ZC77 AAF77 ABI77 ACL77">
    <cfRule type="cellIs" dxfId="690" priority="7440" operator="equal">
      <formula>0</formula>
    </cfRule>
    <cfRule type="cellIs" dxfId="691" priority="7441" operator="equal">
      <formula>8</formula>
    </cfRule>
    <cfRule type="cellIs" dxfId="692" priority="7442" operator="greaterThan">
      <formula>8</formula>
    </cfRule>
    <cfRule type="cellIs" dxfId="693" priority="7443" operator="lessThan">
      <formula>8</formula>
    </cfRule>
  </conditionalFormatting>
  <conditionalFormatting sqref="AFX57 AHA57:AHA58 AJG57:AJG58 AKJ57:AKJ58">
    <cfRule type="cellIs" dxfId="694" priority="7436" operator="equal">
      <formula>0</formula>
    </cfRule>
    <cfRule type="cellIs" dxfId="695" priority="7437" operator="equal">
      <formula>8</formula>
    </cfRule>
    <cfRule type="cellIs" dxfId="696" priority="7438" operator="greaterThan">
      <formula>8</formula>
    </cfRule>
    <cfRule type="cellIs" dxfId="697" priority="7439" operator="lessThan">
      <formula>8</formula>
    </cfRule>
  </conditionalFormatting>
  <conditionalFormatting sqref="AFX72:AFX75 AFX77:AFX78 AHA72:AHA75 AHA77:AHA78 AID72:AID75 AID77:AID78 AJG72:AJG75 AJG77:AJG78 AKJ72:AKJ75 AKJ77:AKJ78">
    <cfRule type="cellIs" dxfId="698" priority="7432" operator="equal">
      <formula>0</formula>
    </cfRule>
    <cfRule type="cellIs" dxfId="699" priority="7433" operator="equal">
      <formula>8</formula>
    </cfRule>
    <cfRule type="cellIs" dxfId="700" priority="7434" operator="greaterThan">
      <formula>8</formula>
    </cfRule>
    <cfRule type="cellIs" dxfId="701" priority="7435" operator="lessThan">
      <formula>8</formula>
    </cfRule>
  </conditionalFormatting>
  <conditionalFormatting sqref="AHA58 AID58 AJG58 AKJ58">
    <cfRule type="cellIs" dxfId="702" priority="7428" operator="equal">
      <formula>0</formula>
    </cfRule>
    <cfRule type="cellIs" dxfId="703" priority="7429" operator="equal">
      <formula>8</formula>
    </cfRule>
    <cfRule type="cellIs" dxfId="704" priority="7430" operator="greaterThan">
      <formula>8</formula>
    </cfRule>
    <cfRule type="cellIs" dxfId="705" priority="7431" operator="lessThan">
      <formula>8</formula>
    </cfRule>
  </conditionalFormatting>
  <conditionalFormatting sqref="AFX60 AHA60 AID60 AJG60 AKJ60">
    <cfRule type="cellIs" dxfId="706" priority="7424" operator="equal">
      <formula>0</formula>
    </cfRule>
    <cfRule type="cellIs" dxfId="707" priority="7425" operator="equal">
      <formula>8</formula>
    </cfRule>
    <cfRule type="cellIs" dxfId="708" priority="7426" operator="greaterThan">
      <formula>8</formula>
    </cfRule>
    <cfRule type="cellIs" dxfId="709" priority="7427" operator="lessThan">
      <formula>8</formula>
    </cfRule>
  </conditionalFormatting>
  <conditionalFormatting sqref="AFX68 AHA68 AID68 AJG68 AKJ68">
    <cfRule type="cellIs" dxfId="710" priority="7420" operator="equal">
      <formula>0</formula>
    </cfRule>
    <cfRule type="cellIs" dxfId="711" priority="7421" operator="equal">
      <formula>8</formula>
    </cfRule>
    <cfRule type="cellIs" dxfId="712" priority="7422" operator="greaterThan">
      <formula>8</formula>
    </cfRule>
    <cfRule type="cellIs" dxfId="713" priority="7423" operator="lessThan">
      <formula>8</formula>
    </cfRule>
  </conditionalFormatting>
  <conditionalFormatting sqref="AFX74 AHA74 AID74 AJG74">
    <cfRule type="cellIs" dxfId="714" priority="7416" operator="equal">
      <formula>0</formula>
    </cfRule>
    <cfRule type="cellIs" dxfId="715" priority="7417" operator="equal">
      <formula>8</formula>
    </cfRule>
    <cfRule type="cellIs" dxfId="716" priority="7418" operator="greaterThan">
      <formula>8</formula>
    </cfRule>
    <cfRule type="cellIs" dxfId="717" priority="7419" operator="lessThan">
      <formula>8</formula>
    </cfRule>
  </conditionalFormatting>
  <conditionalFormatting sqref="AFX77 AHA77">
    <cfRule type="cellIs" dxfId="718" priority="7412" operator="equal">
      <formula>0</formula>
    </cfRule>
    <cfRule type="cellIs" dxfId="719" priority="7413" operator="equal">
      <formula>8</formula>
    </cfRule>
    <cfRule type="cellIs" dxfId="720" priority="7414" operator="greaterThan">
      <formula>8</formula>
    </cfRule>
    <cfRule type="cellIs" dxfId="721" priority="7415" operator="lessThan">
      <formula>8</formula>
    </cfRule>
  </conditionalFormatting>
  <conditionalFormatting sqref="ID60 JG60 KJ60 LM60 MP60">
    <cfRule type="cellIs" dxfId="722" priority="7408" operator="equal">
      <formula>0</formula>
    </cfRule>
    <cfRule type="cellIs" dxfId="723" priority="7409" operator="equal">
      <formula>8</formula>
    </cfRule>
    <cfRule type="cellIs" dxfId="724" priority="7410" operator="greaterThan">
      <formula>8</formula>
    </cfRule>
    <cfRule type="cellIs" dxfId="725" priority="7411" operator="lessThan">
      <formula>8</formula>
    </cfRule>
  </conditionalFormatting>
  <conditionalFormatting sqref="ID72:ID75 ID77:ID78 JG72:JG75 JG77:JG78 KJ72:KJ75 KJ77:KJ78 LM72:LM74 LM77:LM78 MP72:MP74 MP77:MP78">
    <cfRule type="cellIs" dxfId="726" priority="7404" operator="equal">
      <formula>0</formula>
    </cfRule>
    <cfRule type="cellIs" dxfId="727" priority="7405" operator="equal">
      <formula>8</formula>
    </cfRule>
    <cfRule type="cellIs" dxfId="728" priority="7406" operator="greaterThan">
      <formula>8</formula>
    </cfRule>
    <cfRule type="cellIs" dxfId="729" priority="7407" operator="lessThan">
      <formula>8</formula>
    </cfRule>
  </conditionalFormatting>
  <conditionalFormatting sqref="ID74 JG74 KJ74 LM74 MP74">
    <cfRule type="cellIs" dxfId="730" priority="7400" operator="equal">
      <formula>0</formula>
    </cfRule>
    <cfRule type="cellIs" dxfId="731" priority="7401" operator="equal">
      <formula>8</formula>
    </cfRule>
    <cfRule type="cellIs" dxfId="732" priority="7402" operator="greaterThan">
      <formula>8</formula>
    </cfRule>
    <cfRule type="cellIs" dxfId="733" priority="7403" operator="lessThan">
      <formula>8</formula>
    </cfRule>
  </conditionalFormatting>
  <conditionalFormatting sqref="ALM73">
    <cfRule type="cellIs" dxfId="734" priority="7396" operator="equal">
      <formula>0</formula>
    </cfRule>
    <cfRule type="cellIs" dxfId="735" priority="7397" operator="equal">
      <formula>8</formula>
    </cfRule>
    <cfRule type="cellIs" dxfId="736" priority="7398" operator="greaterThan">
      <formula>8</formula>
    </cfRule>
    <cfRule type="cellIs" dxfId="737" priority="7399" operator="lessThan">
      <formula>8</formula>
    </cfRule>
  </conditionalFormatting>
  <conditionalFormatting sqref="ALM66 AMP66">
    <cfRule type="cellIs" dxfId="738" priority="7392" operator="equal">
      <formula>0</formula>
    </cfRule>
    <cfRule type="cellIs" dxfId="739" priority="7393" operator="equal">
      <formula>8</formula>
    </cfRule>
    <cfRule type="cellIs" dxfId="740" priority="7394" operator="greaterThan">
      <formula>8</formula>
    </cfRule>
    <cfRule type="cellIs" dxfId="741" priority="7395" operator="lessThan">
      <formula>8</formula>
    </cfRule>
  </conditionalFormatting>
  <conditionalFormatting sqref="NS66 VQ66 ADO66 AER66">
    <cfRule type="cellIs" dxfId="742" priority="7388" operator="equal">
      <formula>0</formula>
    </cfRule>
    <cfRule type="cellIs" dxfId="743" priority="7389" operator="equal">
      <formula>8</formula>
    </cfRule>
    <cfRule type="cellIs" dxfId="744" priority="7390" operator="greaterThan">
      <formula>8</formula>
    </cfRule>
    <cfRule type="cellIs" dxfId="745" priority="7391" operator="lessThan">
      <formula>8</formula>
    </cfRule>
  </conditionalFormatting>
  <conditionalFormatting sqref="HA66">
    <cfRule type="cellIs" dxfId="746" priority="7387" operator="greaterThan">
      <formula>0</formula>
    </cfRule>
  </conditionalFormatting>
  <conditionalFormatting sqref="GZ66">
    <cfRule type="cellIs" dxfId="747" priority="7386" operator="greaterThan">
      <formula>0</formula>
    </cfRule>
  </conditionalFormatting>
  <conditionalFormatting sqref="GY66">
    <cfRule type="cellIs" dxfId="748" priority="7385" operator="greaterThan">
      <formula>0</formula>
    </cfRule>
  </conditionalFormatting>
  <conditionalFormatting sqref="GY66:GZ66">
    <cfRule type="cellIs" dxfId="749" priority="7384" operator="equal">
      <formula>0</formula>
    </cfRule>
  </conditionalFormatting>
  <conditionalFormatting sqref="AMS66">
    <cfRule type="cellIs" dxfId="750" priority="7383" operator="greaterThan">
      <formula>0</formula>
    </cfRule>
  </conditionalFormatting>
  <conditionalFormatting sqref="AMQ66">
    <cfRule type="cellIs" dxfId="751" priority="7382" operator="greaterThan">
      <formula>0</formula>
    </cfRule>
    <cfRule type="cellIs" dxfId="752" priority="7381" operator="equal">
      <formula>0</formula>
    </cfRule>
  </conditionalFormatting>
  <conditionalFormatting sqref="AKJ66">
    <cfRule type="cellIs" dxfId="753" priority="7377" operator="equal">
      <formula>0</formula>
    </cfRule>
    <cfRule type="cellIs" dxfId="754" priority="7378" operator="equal">
      <formula>8</formula>
    </cfRule>
    <cfRule type="cellIs" dxfId="755" priority="7379" operator="greaterThan">
      <formula>8</formula>
    </cfRule>
    <cfRule type="cellIs" dxfId="756" priority="7380" operator="lessThan">
      <formula>8</formula>
    </cfRule>
  </conditionalFormatting>
  <conditionalFormatting sqref="AKJ73">
    <cfRule type="cellIs" dxfId="757" priority="7373" operator="equal">
      <formula>0</formula>
    </cfRule>
    <cfRule type="cellIs" dxfId="758" priority="7374" operator="equal">
      <formula>8</formula>
    </cfRule>
    <cfRule type="cellIs" dxfId="759" priority="7375" operator="greaterThan">
      <formula>8</formula>
    </cfRule>
    <cfRule type="cellIs" dxfId="760" priority="7376" operator="lessThan">
      <formula>8</formula>
    </cfRule>
  </conditionalFormatting>
  <conditionalFormatting sqref="AEU66">
    <cfRule type="cellIs" dxfId="761" priority="7372" operator="greaterThan">
      <formula>0</formula>
    </cfRule>
  </conditionalFormatting>
  <conditionalFormatting sqref="AES66">
    <cfRule type="cellIs" dxfId="762" priority="7371" operator="greaterThan">
      <formula>0</formula>
    </cfRule>
    <cfRule type="cellIs" dxfId="763" priority="7370" operator="equal">
      <formula>0</formula>
    </cfRule>
  </conditionalFormatting>
  <conditionalFormatting sqref="OY66">
    <cfRule type="cellIs" dxfId="764" priority="7369" operator="greaterThan">
      <formula>0</formula>
    </cfRule>
  </conditionalFormatting>
  <conditionalFormatting sqref="OW66">
    <cfRule type="cellIs" dxfId="765" priority="7368" operator="greaterThan">
      <formula>0</formula>
    </cfRule>
    <cfRule type="cellIs" dxfId="766" priority="7367" operator="equal">
      <formula>0</formula>
    </cfRule>
  </conditionalFormatting>
  <conditionalFormatting sqref="WT66">
    <cfRule type="cellIs" dxfId="767" priority="7363" operator="equal">
      <formula>0</formula>
    </cfRule>
    <cfRule type="cellIs" dxfId="768" priority="7364" operator="equal">
      <formula>8</formula>
    </cfRule>
    <cfRule type="cellIs" dxfId="769" priority="7365" operator="greaterThan">
      <formula>8</formula>
    </cfRule>
    <cfRule type="cellIs" dxfId="770" priority="7366" operator="lessThan">
      <formula>8</formula>
    </cfRule>
  </conditionalFormatting>
  <conditionalFormatting sqref="NS73">
    <cfRule type="cellIs" dxfId="771" priority="7359" operator="equal">
      <formula>0</formula>
    </cfRule>
    <cfRule type="cellIs" dxfId="772" priority="7360" operator="equal">
      <formula>8</formula>
    </cfRule>
    <cfRule type="cellIs" dxfId="773" priority="7361" operator="greaterThan">
      <formula>8</formula>
    </cfRule>
    <cfRule type="cellIs" dxfId="774" priority="7362" operator="lessThan">
      <formula>8</formula>
    </cfRule>
  </conditionalFormatting>
  <conditionalFormatting sqref="VQ73">
    <cfRule type="cellIs" dxfId="775" priority="7355" operator="equal">
      <formula>0</formula>
    </cfRule>
    <cfRule type="cellIs" dxfId="776" priority="7356" operator="equal">
      <formula>8</formula>
    </cfRule>
    <cfRule type="cellIs" dxfId="777" priority="7357" operator="greaterThan">
      <formula>8</formula>
    </cfRule>
    <cfRule type="cellIs" dxfId="778" priority="7358" operator="lessThan">
      <formula>8</formula>
    </cfRule>
  </conditionalFormatting>
  <conditionalFormatting sqref="ADO73">
    <cfRule type="cellIs" dxfId="779" priority="7351" operator="equal">
      <formula>0</formula>
    </cfRule>
    <cfRule type="cellIs" dxfId="780" priority="7352" operator="equal">
      <formula>8</formula>
    </cfRule>
    <cfRule type="cellIs" dxfId="781" priority="7353" operator="greaterThan">
      <formula>8</formula>
    </cfRule>
    <cfRule type="cellIs" dxfId="782" priority="7354" operator="lessThan">
      <formula>8</formula>
    </cfRule>
  </conditionalFormatting>
  <conditionalFormatting sqref="OV66">
    <cfRule type="cellIs" dxfId="783" priority="7347" operator="equal">
      <formula>0</formula>
    </cfRule>
    <cfRule type="cellIs" dxfId="784" priority="7348" operator="equal">
      <formula>8</formula>
    </cfRule>
    <cfRule type="cellIs" dxfId="785" priority="7349" operator="greaterThan">
      <formula>8</formula>
    </cfRule>
    <cfRule type="cellIs" dxfId="786" priority="7350" operator="lessThan">
      <formula>8</formula>
    </cfRule>
  </conditionalFormatting>
  <conditionalFormatting sqref="WW66">
    <cfRule type="cellIs" dxfId="787" priority="7346" operator="greaterThan">
      <formula>0</formula>
    </cfRule>
  </conditionalFormatting>
  <conditionalFormatting sqref="WU66">
    <cfRule type="cellIs" dxfId="788" priority="7345" operator="greaterThan">
      <formula>0</formula>
    </cfRule>
    <cfRule type="cellIs" dxfId="789" priority="7344" operator="equal">
      <formula>0</formula>
    </cfRule>
  </conditionalFormatting>
  <conditionalFormatting sqref="QB66:QB67 RE66 SH66 TK66">
    <cfRule type="cellIs" dxfId="790" priority="7340" operator="equal">
      <formula>0</formula>
    </cfRule>
    <cfRule type="cellIs" dxfId="791" priority="7341" operator="equal">
      <formula>8</formula>
    </cfRule>
    <cfRule type="cellIs" dxfId="792" priority="7342" operator="greaterThan">
      <formula>8</formula>
    </cfRule>
    <cfRule type="cellIs" dxfId="793" priority="7343" operator="lessThan">
      <formula>8</formula>
    </cfRule>
  </conditionalFormatting>
  <conditionalFormatting sqref="XZ66 ZC66 AAF66 ABI66 ACL66">
    <cfRule type="cellIs" dxfId="794" priority="7336" operator="equal">
      <formula>0</formula>
    </cfRule>
    <cfRule type="cellIs" dxfId="795" priority="7337" operator="equal">
      <formula>8</formula>
    </cfRule>
    <cfRule type="cellIs" dxfId="796" priority="7338" operator="greaterThan">
      <formula>8</formula>
    </cfRule>
    <cfRule type="cellIs" dxfId="797" priority="7339" operator="lessThan">
      <formula>8</formula>
    </cfRule>
  </conditionalFormatting>
  <conditionalFormatting sqref="ZC73 AAF73 ABI73 ACL73">
    <cfRule type="cellIs" dxfId="798" priority="7332" operator="equal">
      <formula>0</formula>
    </cfRule>
    <cfRule type="cellIs" dxfId="799" priority="7333" operator="equal">
      <formula>8</formula>
    </cfRule>
    <cfRule type="cellIs" dxfId="800" priority="7334" operator="greaterThan">
      <formula>8</formula>
    </cfRule>
    <cfRule type="cellIs" dxfId="801" priority="7335" operator="lessThan">
      <formula>8</formula>
    </cfRule>
  </conditionalFormatting>
  <conditionalFormatting sqref="AFX66 AHA66 AID66 AJG66">
    <cfRule type="cellIs" dxfId="802" priority="7328" operator="equal">
      <formula>0</formula>
    </cfRule>
    <cfRule type="cellIs" dxfId="803" priority="7329" operator="equal">
      <formula>8</formula>
    </cfRule>
    <cfRule type="cellIs" dxfId="804" priority="7330" operator="greaterThan">
      <formula>8</formula>
    </cfRule>
    <cfRule type="cellIs" dxfId="805" priority="7331" operator="lessThan">
      <formula>8</formula>
    </cfRule>
  </conditionalFormatting>
  <conditionalFormatting sqref="AID73 AJG73">
    <cfRule type="cellIs" dxfId="806" priority="7324" operator="equal">
      <formula>0</formula>
    </cfRule>
    <cfRule type="cellIs" dxfId="807" priority="7325" operator="equal">
      <formula>8</formula>
    </cfRule>
    <cfRule type="cellIs" dxfId="808" priority="7326" operator="greaterThan">
      <formula>8</formula>
    </cfRule>
    <cfRule type="cellIs" dxfId="809" priority="7327" operator="lessThan">
      <formula>8</formula>
    </cfRule>
  </conditionalFormatting>
  <conditionalFormatting sqref="ID73 JG73 KJ73 LM73">
    <cfRule type="cellIs" dxfId="810" priority="7320" operator="equal">
      <formula>0</formula>
    </cfRule>
    <cfRule type="cellIs" dxfId="811" priority="7321" operator="equal">
      <formula>8</formula>
    </cfRule>
    <cfRule type="cellIs" dxfId="812" priority="7322" operator="greaterThan">
      <formula>8</formula>
    </cfRule>
    <cfRule type="cellIs" dxfId="813" priority="7323" operator="lessThan">
      <formula>8</formula>
    </cfRule>
  </conditionalFormatting>
  <conditionalFormatting sqref="UN66">
    <cfRule type="cellIs" dxfId="814" priority="7316" operator="equal">
      <formula>0</formula>
    </cfRule>
    <cfRule type="cellIs" dxfId="815" priority="7317" operator="equal">
      <formula>8</formula>
    </cfRule>
    <cfRule type="cellIs" dxfId="816" priority="7318" operator="greaterThan">
      <formula>8</formula>
    </cfRule>
    <cfRule type="cellIs" dxfId="817" priority="7319" operator="lessThan">
      <formula>8</formula>
    </cfRule>
  </conditionalFormatting>
  <conditionalFormatting sqref="AFX73">
    <cfRule type="cellIs" dxfId="818" priority="7312" operator="equal">
      <formula>0</formula>
    </cfRule>
    <cfRule type="cellIs" dxfId="819" priority="7313" operator="equal">
      <formula>8</formula>
    </cfRule>
    <cfRule type="cellIs" dxfId="820" priority="7314" operator="greaterThan">
      <formula>8</formula>
    </cfRule>
    <cfRule type="cellIs" dxfId="821" priority="7315" operator="lessThan">
      <formula>8</formula>
    </cfRule>
  </conditionalFormatting>
  <conditionalFormatting sqref="AHA73">
    <cfRule type="cellIs" dxfId="822" priority="7308" operator="equal">
      <formula>0</formula>
    </cfRule>
    <cfRule type="cellIs" dxfId="823" priority="7309" operator="equal">
      <formula>8</formula>
    </cfRule>
    <cfRule type="cellIs" dxfId="824" priority="7310" operator="greaterThan">
      <formula>8</formula>
    </cfRule>
    <cfRule type="cellIs" dxfId="825" priority="7311" operator="lessThan">
      <formula>8</formula>
    </cfRule>
  </conditionalFormatting>
  <conditionalFormatting sqref="XZ73">
    <cfRule type="cellIs" dxfId="826" priority="7304" operator="equal">
      <formula>0</formula>
    </cfRule>
    <cfRule type="cellIs" dxfId="827" priority="7305" operator="equal">
      <formula>8</formula>
    </cfRule>
    <cfRule type="cellIs" dxfId="828" priority="7306" operator="greaterThan">
      <formula>8</formula>
    </cfRule>
    <cfRule type="cellIs" dxfId="829" priority="7307" operator="lessThan">
      <formula>8</formula>
    </cfRule>
  </conditionalFormatting>
  <conditionalFormatting sqref="FU73">
    <cfRule type="cellIs" dxfId="830" priority="7300" operator="equal">
      <formula>0</formula>
    </cfRule>
    <cfRule type="cellIs" dxfId="831" priority="7301" operator="equal">
      <formula>8</formula>
    </cfRule>
    <cfRule type="cellIs" dxfId="832" priority="7302" operator="greaterThan">
      <formula>8</formula>
    </cfRule>
    <cfRule type="cellIs" dxfId="833" priority="7303" operator="lessThan">
      <formula>8</formula>
    </cfRule>
  </conditionalFormatting>
  <conditionalFormatting sqref="FU66 GX66">
    <cfRule type="cellIs" dxfId="834" priority="7296" operator="equal">
      <formula>0</formula>
    </cfRule>
    <cfRule type="cellIs" dxfId="835" priority="7297" operator="equal">
      <formula>8</formula>
    </cfRule>
    <cfRule type="cellIs" dxfId="836" priority="7298" operator="greaterThan">
      <formula>8</formula>
    </cfRule>
    <cfRule type="cellIs" dxfId="837" priority="7299" operator="lessThan">
      <formula>8</formula>
    </cfRule>
  </conditionalFormatting>
  <conditionalFormatting sqref="OX66">
    <cfRule type="cellIs" dxfId="838" priority="7295" operator="greaterThan">
      <formula>0</formula>
    </cfRule>
    <cfRule type="cellIs" dxfId="839" priority="7294" operator="equal">
      <formula>0</formula>
    </cfRule>
  </conditionalFormatting>
  <conditionalFormatting sqref="WV66">
    <cfRule type="cellIs" dxfId="840" priority="7293" operator="greaterThan">
      <formula>0</formula>
    </cfRule>
    <cfRule type="cellIs" dxfId="841" priority="7292" operator="equal">
      <formula>0</formula>
    </cfRule>
  </conditionalFormatting>
  <conditionalFormatting sqref="AET66">
    <cfRule type="cellIs" dxfId="842" priority="7291" operator="greaterThan">
      <formula>0</formula>
    </cfRule>
    <cfRule type="cellIs" dxfId="843" priority="7290" operator="equal">
      <formula>0</formula>
    </cfRule>
  </conditionalFormatting>
  <conditionalFormatting sqref="AMR66">
    <cfRule type="cellIs" dxfId="844" priority="7289" operator="greaterThan">
      <formula>0</formula>
    </cfRule>
    <cfRule type="cellIs" dxfId="845" priority="7288" operator="equal">
      <formula>0</formula>
    </cfRule>
  </conditionalFormatting>
  <conditionalFormatting sqref="MP73">
    <cfRule type="cellIs" dxfId="846" priority="7284" operator="equal">
      <formula>0</formula>
    </cfRule>
    <cfRule type="cellIs" dxfId="847" priority="7285" operator="equal">
      <formula>8</formula>
    </cfRule>
    <cfRule type="cellIs" dxfId="848" priority="7286" operator="greaterThan">
      <formula>8</formula>
    </cfRule>
    <cfRule type="cellIs" dxfId="849" priority="7287" operator="lessThan">
      <formula>8</formula>
    </cfRule>
  </conditionalFormatting>
  <conditionalFormatting sqref="QB73 RE73 SH73 TK73">
    <cfRule type="cellIs" dxfId="850" priority="7280" operator="equal">
      <formula>0</formula>
    </cfRule>
    <cfRule type="cellIs" dxfId="851" priority="7281" operator="equal">
      <formula>8</formula>
    </cfRule>
    <cfRule type="cellIs" dxfId="852" priority="7282" operator="greaterThan">
      <formula>8</formula>
    </cfRule>
    <cfRule type="cellIs" dxfId="853" priority="7283" operator="lessThan">
      <formula>8</formula>
    </cfRule>
  </conditionalFormatting>
  <conditionalFormatting sqref="ID66 JG66 KJ66 LM66 MP66">
    <cfRule type="cellIs" dxfId="854" priority="7276" operator="equal">
      <formula>0</formula>
    </cfRule>
    <cfRule type="cellIs" dxfId="855" priority="7277" operator="equal">
      <formula>8</formula>
    </cfRule>
    <cfRule type="cellIs" dxfId="856" priority="7278" operator="greaterThan">
      <formula>8</formula>
    </cfRule>
    <cfRule type="cellIs" dxfId="857" priority="7279" operator="lessThan">
      <formula>8</formula>
    </cfRule>
  </conditionalFormatting>
  <conditionalFormatting sqref="HA84 AMS69">
    <cfRule type="cellIs" dxfId="858" priority="7275" operator="greaterThan">
      <formula>0</formula>
    </cfRule>
  </conditionalFormatting>
  <conditionalFormatting sqref="GZ84">
    <cfRule type="cellIs" dxfId="859" priority="7274" operator="greaterThan">
      <formula>0</formula>
    </cfRule>
  </conditionalFormatting>
  <conditionalFormatting sqref="GY84 AMQ69">
    <cfRule type="cellIs" dxfId="860" priority="7273" operator="greaterThan">
      <formula>0</formula>
    </cfRule>
  </conditionalFormatting>
  <conditionalFormatting sqref="GY84:GZ84 AMQ69">
    <cfRule type="cellIs" dxfId="861" priority="7272" operator="equal">
      <formula>0</formula>
    </cfRule>
  </conditionalFormatting>
  <conditionalFormatting sqref="HA61:HA64 HA67:HA68 AMS61:AMS64 AMS67:AMS68">
    <cfRule type="cellIs" dxfId="862" priority="7271" operator="greaterThan">
      <formula>0</formula>
    </cfRule>
  </conditionalFormatting>
  <conditionalFormatting sqref="GZ61:GZ64 GZ67:GZ68">
    <cfRule type="cellIs" dxfId="863" priority="7270" operator="greaterThan">
      <formula>0</formula>
    </cfRule>
  </conditionalFormatting>
  <conditionalFormatting sqref="GY61:GY64 GY67:GY68 AMQ61:AMQ64 AMQ67:AMQ68">
    <cfRule type="cellIs" dxfId="864" priority="7269" operator="greaterThan">
      <formula>0</formula>
    </cfRule>
  </conditionalFormatting>
  <conditionalFormatting sqref="GY61:GZ64 GY67:GZ68 AMQ61:AMQ64 AMQ67:AMQ68">
    <cfRule type="cellIs" dxfId="865" priority="7268" operator="equal">
      <formula>0</formula>
    </cfRule>
  </conditionalFormatting>
  <conditionalFormatting sqref="ALM61:ALM64 ALM67:ALM68 AMP61:AMP64 AMP67:AMP68">
    <cfRule type="cellIs" dxfId="866" priority="7264" operator="equal">
      <formula>0</formula>
    </cfRule>
    <cfRule type="cellIs" dxfId="867" priority="7265" operator="equal">
      <formula>8</formula>
    </cfRule>
    <cfRule type="cellIs" dxfId="868" priority="7266" operator="greaterThan">
      <formula>8</formula>
    </cfRule>
    <cfRule type="cellIs" dxfId="869" priority="7267" operator="lessThan">
      <formula>8</formula>
    </cfRule>
  </conditionalFormatting>
  <conditionalFormatting sqref="HA59:HA60 AMS59:AMS60">
    <cfRule type="cellIs" dxfId="870" priority="7263" operator="greaterThan">
      <formula>0</formula>
    </cfRule>
  </conditionalFormatting>
  <conditionalFormatting sqref="GZ59:GZ60">
    <cfRule type="cellIs" dxfId="871" priority="7262" operator="greaterThan">
      <formula>0</formula>
    </cfRule>
  </conditionalFormatting>
  <conditionalFormatting sqref="GY59:GY60 AMQ59:AMQ60">
    <cfRule type="cellIs" dxfId="872" priority="7261" operator="greaterThan">
      <formula>0</formula>
    </cfRule>
  </conditionalFormatting>
  <conditionalFormatting sqref="GY59:GZ60 AMQ59:AMQ60">
    <cfRule type="cellIs" dxfId="873" priority="7260" operator="equal">
      <formula>0</formula>
    </cfRule>
  </conditionalFormatting>
  <conditionalFormatting sqref="ALM59:ALM60 AMP59:AMP60">
    <cfRule type="cellIs" dxfId="874" priority="7256" operator="equal">
      <formula>0</formula>
    </cfRule>
    <cfRule type="cellIs" dxfId="875" priority="7257" operator="equal">
      <formula>8</formula>
    </cfRule>
    <cfRule type="cellIs" dxfId="876" priority="7258" operator="greaterThan">
      <formula>8</formula>
    </cfRule>
    <cfRule type="cellIs" dxfId="877" priority="7259" operator="lessThan">
      <formula>8</formula>
    </cfRule>
  </conditionalFormatting>
  <conditionalFormatting sqref="OY69 WW69">
    <cfRule type="cellIs" dxfId="878" priority="7255" operator="greaterThan">
      <formula>0</formula>
    </cfRule>
  </conditionalFormatting>
  <conditionalFormatting sqref="OW69 WU69">
    <cfRule type="cellIs" dxfId="879" priority="7254" operator="greaterThan">
      <formula>0</formula>
    </cfRule>
    <cfRule type="cellIs" dxfId="880" priority="7253" operator="equal">
      <formula>0</formula>
    </cfRule>
  </conditionalFormatting>
  <conditionalFormatting sqref="OV69 WT69">
    <cfRule type="cellIs" dxfId="881" priority="7249" operator="equal">
      <formula>0</formula>
    </cfRule>
    <cfRule type="cellIs" dxfId="882" priority="7250" operator="equal">
      <formula>8</formula>
    </cfRule>
    <cfRule type="cellIs" dxfId="883" priority="7251" operator="greaterThan">
      <formula>8</formula>
    </cfRule>
    <cfRule type="cellIs" dxfId="884" priority="7252" operator="lessThan">
      <formula>8</formula>
    </cfRule>
  </conditionalFormatting>
  <conditionalFormatting sqref="OY61:OY64 OY67:OY68 WW61:WW64 WW67:WW68 AEU61:AEU64 AEU67:AEU68">
    <cfRule type="cellIs" dxfId="885" priority="7248" operator="greaterThan">
      <formula>0</formula>
    </cfRule>
  </conditionalFormatting>
  <conditionalFormatting sqref="OW61:OW64 OW67:OW68 WU61:WU64 WU67:WU68 AES61:AES64 AES67:AES68">
    <cfRule type="cellIs" dxfId="886" priority="7247" operator="greaterThan">
      <formula>0</formula>
    </cfRule>
    <cfRule type="cellIs" dxfId="887" priority="7246" operator="equal">
      <formula>0</formula>
    </cfRule>
  </conditionalFormatting>
  <conditionalFormatting sqref="NS61:NS64 NS67:NS68 OV61:OV64 OV67:OV68 VQ61:VQ64 VQ67:VQ68 WT61:WT64 WT67:WT68 ADO61:ADO64 ADO67:ADO68 AER61:AER64 AER67:AER68">
    <cfRule type="cellIs" dxfId="888" priority="7242" operator="equal">
      <formula>0</formula>
    </cfRule>
    <cfRule type="cellIs" dxfId="889" priority="7243" operator="equal">
      <formula>8</formula>
    </cfRule>
    <cfRule type="cellIs" dxfId="890" priority="7244" operator="greaterThan">
      <formula>8</formula>
    </cfRule>
    <cfRule type="cellIs" dxfId="891" priority="7245" operator="lessThan">
      <formula>8</formula>
    </cfRule>
  </conditionalFormatting>
  <conditionalFormatting sqref="AKJ67:AKJ68">
    <cfRule type="cellIs" dxfId="892" priority="7238" operator="equal">
      <formula>0</formula>
    </cfRule>
    <cfRule type="cellIs" dxfId="893" priority="7239" operator="equal">
      <formula>8</formula>
    </cfRule>
    <cfRule type="cellIs" dxfId="894" priority="7240" operator="greaterThan">
      <formula>8</formula>
    </cfRule>
    <cfRule type="cellIs" dxfId="895" priority="7241" operator="lessThan">
      <formula>8</formula>
    </cfRule>
  </conditionalFormatting>
  <conditionalFormatting sqref="AJG67:AJG68">
    <cfRule type="cellIs" dxfId="896" priority="7234" operator="equal">
      <formula>0</formula>
    </cfRule>
    <cfRule type="cellIs" dxfId="897" priority="7235" operator="equal">
      <formula>8</formula>
    </cfRule>
    <cfRule type="cellIs" dxfId="898" priority="7236" operator="greaterThan">
      <formula>8</formula>
    </cfRule>
    <cfRule type="cellIs" dxfId="899" priority="7237" operator="lessThan">
      <formula>8</formula>
    </cfRule>
  </conditionalFormatting>
  <conditionalFormatting sqref="JG67:JG68 KJ67:KJ68 LM67:LM68 MP67:MP68">
    <cfRule type="cellIs" dxfId="900" priority="7230" operator="equal">
      <formula>0</formula>
    </cfRule>
    <cfRule type="cellIs" dxfId="901" priority="7231" operator="equal">
      <formula>8</formula>
    </cfRule>
    <cfRule type="cellIs" dxfId="902" priority="7232" operator="greaterThan">
      <formula>8</formula>
    </cfRule>
    <cfRule type="cellIs" dxfId="903" priority="7233" operator="lessThan">
      <formula>8</formula>
    </cfRule>
  </conditionalFormatting>
  <conditionalFormatting sqref="JG69 KJ69 MP69">
    <cfRule type="cellIs" dxfId="904" priority="7226" operator="equal">
      <formula>0</formula>
    </cfRule>
    <cfRule type="cellIs" dxfId="905" priority="7227" operator="equal">
      <formula>8</formula>
    </cfRule>
    <cfRule type="cellIs" dxfId="906" priority="7228" operator="greaterThan">
      <formula>8</formula>
    </cfRule>
    <cfRule type="cellIs" dxfId="907" priority="7229" operator="lessThan">
      <formula>8</formula>
    </cfRule>
  </conditionalFormatting>
  <conditionalFormatting sqref="JG71:JG75 JG77:JG78 KJ71:KJ75 KJ77:KJ78 LM71:LM74 LM77:LM78 MP71:MP74 MP77:MP78">
    <cfRule type="cellIs" dxfId="908" priority="7222" operator="equal">
      <formula>0</formula>
    </cfRule>
    <cfRule type="cellIs" dxfId="909" priority="7223" operator="equal">
      <formula>8</formula>
    </cfRule>
    <cfRule type="cellIs" dxfId="910" priority="7224" operator="greaterThan">
      <formula>8</formula>
    </cfRule>
    <cfRule type="cellIs" dxfId="911" priority="7225" operator="lessThan">
      <formula>8</formula>
    </cfRule>
  </conditionalFormatting>
  <conditionalFormatting sqref="LM80 MP80">
    <cfRule type="cellIs" dxfId="912" priority="7218" operator="equal">
      <formula>0</formula>
    </cfRule>
    <cfRule type="cellIs" dxfId="913" priority="7219" operator="equal">
      <formula>8</formula>
    </cfRule>
    <cfRule type="cellIs" dxfId="914" priority="7220" operator="greaterThan">
      <formula>8</formula>
    </cfRule>
    <cfRule type="cellIs" dxfId="915" priority="7221" operator="lessThan">
      <formula>8</formula>
    </cfRule>
  </conditionalFormatting>
  <conditionalFormatting sqref="ID62:ID64 JG62:JG64 KJ62:KJ64 MP62:MP64">
    <cfRule type="cellIs" dxfId="916" priority="7214" operator="equal">
      <formula>0</formula>
    </cfRule>
    <cfRule type="cellIs" dxfId="917" priority="7215" operator="equal">
      <formula>8</formula>
    </cfRule>
    <cfRule type="cellIs" dxfId="918" priority="7216" operator="greaterThan">
      <formula>8</formula>
    </cfRule>
    <cfRule type="cellIs" dxfId="919" priority="7217" operator="lessThan">
      <formula>8</formula>
    </cfRule>
  </conditionalFormatting>
  <conditionalFormatting sqref="QB62:QB64 RE62:RE64 SH62:SH64 TK62:TK64 UN62:UN64">
    <cfRule type="cellIs" dxfId="920" priority="7210" operator="equal">
      <formula>0</formula>
    </cfRule>
    <cfRule type="cellIs" dxfId="921" priority="7211" operator="equal">
      <formula>8</formula>
    </cfRule>
    <cfRule type="cellIs" dxfId="922" priority="7212" operator="greaterThan">
      <formula>8</formula>
    </cfRule>
    <cfRule type="cellIs" dxfId="923" priority="7213" operator="lessThan">
      <formula>8</formula>
    </cfRule>
  </conditionalFormatting>
  <conditionalFormatting sqref="QB71:QB74 QB77:QB78 RE71:RE74 RE77:RE78 SH71:SH75 SH77:SH78 TK71:TK75 TK77:TK78 UN71:UN72 UN74 UN77:UN78">
    <cfRule type="cellIs" dxfId="924" priority="7206" operator="equal">
      <formula>0</formula>
    </cfRule>
    <cfRule type="cellIs" dxfId="925" priority="7207" operator="equal">
      <formula>8</formula>
    </cfRule>
    <cfRule type="cellIs" dxfId="926" priority="7208" operator="greaterThan">
      <formula>8</formula>
    </cfRule>
    <cfRule type="cellIs" dxfId="927" priority="7209" operator="lessThan">
      <formula>8</formula>
    </cfRule>
  </conditionalFormatting>
  <conditionalFormatting sqref="QB70 RE70 SH70 TK70 UN70">
    <cfRule type="cellIs" dxfId="928" priority="7202" operator="equal">
      <formula>0</formula>
    </cfRule>
    <cfRule type="cellIs" dxfId="929" priority="7203" operator="equal">
      <formula>8</formula>
    </cfRule>
    <cfRule type="cellIs" dxfId="930" priority="7204" operator="greaterThan">
      <formula>8</formula>
    </cfRule>
    <cfRule type="cellIs" dxfId="931" priority="7205" operator="lessThan">
      <formula>8</formula>
    </cfRule>
  </conditionalFormatting>
  <conditionalFormatting sqref="QB80:QB81 RE80:RE81 SH80:SH81 TK80:TK81 UN81">
    <cfRule type="cellIs" dxfId="932" priority="7198" operator="equal">
      <formula>0</formula>
    </cfRule>
    <cfRule type="cellIs" dxfId="933" priority="7199" operator="equal">
      <formula>8</formula>
    </cfRule>
    <cfRule type="cellIs" dxfId="934" priority="7200" operator="greaterThan">
      <formula>8</formula>
    </cfRule>
    <cfRule type="cellIs" dxfId="935" priority="7201" operator="lessThan">
      <formula>8</formula>
    </cfRule>
  </conditionalFormatting>
  <conditionalFormatting sqref="QB61:QB64 RE61:RE64 SH61:SH64 TK61:TK64 UN61:UN64">
    <cfRule type="cellIs" dxfId="936" priority="7194" operator="equal">
      <formula>0</formula>
    </cfRule>
    <cfRule type="cellIs" dxfId="937" priority="7195" operator="equal">
      <formula>8</formula>
    </cfRule>
    <cfRule type="cellIs" dxfId="938" priority="7196" operator="greaterThan">
      <formula>8</formula>
    </cfRule>
    <cfRule type="cellIs" dxfId="939" priority="7197" operator="lessThan">
      <formula>8</formula>
    </cfRule>
  </conditionalFormatting>
  <conditionalFormatting sqref="QB68 RE67:RE68 SH67:SH68 TK67:TK68 UN67:UN68">
    <cfRule type="cellIs" dxfId="940" priority="7190" operator="equal">
      <formula>0</formula>
    </cfRule>
    <cfRule type="cellIs" dxfId="941" priority="7191" operator="equal">
      <formula>8</formula>
    </cfRule>
    <cfRule type="cellIs" dxfId="942" priority="7192" operator="greaterThan">
      <formula>8</formula>
    </cfRule>
    <cfRule type="cellIs" dxfId="943" priority="7193" operator="lessThan">
      <formula>8</formula>
    </cfRule>
  </conditionalFormatting>
  <conditionalFormatting sqref="QB69 RE69 SH69">
    <cfRule type="cellIs" dxfId="944" priority="7186" operator="equal">
      <formula>0</formula>
    </cfRule>
    <cfRule type="cellIs" dxfId="945" priority="7187" operator="equal">
      <formula>8</formula>
    </cfRule>
    <cfRule type="cellIs" dxfId="946" priority="7188" operator="greaterThan">
      <formula>8</formula>
    </cfRule>
    <cfRule type="cellIs" dxfId="947" priority="7189" operator="lessThan">
      <formula>8</formula>
    </cfRule>
  </conditionalFormatting>
  <conditionalFormatting sqref="XZ61:XZ64 ZC61:ZC64 AAF61:AAF64 ABI61:ABI64 ACL61:ACL64">
    <cfRule type="cellIs" dxfId="948" priority="7182" operator="equal">
      <formula>0</formula>
    </cfRule>
    <cfRule type="cellIs" dxfId="949" priority="7183" operator="equal">
      <formula>8</formula>
    </cfRule>
    <cfRule type="cellIs" dxfId="950" priority="7184" operator="greaterThan">
      <formula>8</formula>
    </cfRule>
    <cfRule type="cellIs" dxfId="951" priority="7185" operator="lessThan">
      <formula>8</formula>
    </cfRule>
  </conditionalFormatting>
  <conditionalFormatting sqref="XZ67:XZ68 ZC67:ZC68 AAF67:AAF68 ABI67:ABI68 ACL67:ACL68">
    <cfRule type="cellIs" dxfId="952" priority="7178" operator="equal">
      <formula>0</formula>
    </cfRule>
    <cfRule type="cellIs" dxfId="953" priority="7179" operator="equal">
      <formula>8</formula>
    </cfRule>
    <cfRule type="cellIs" dxfId="954" priority="7180" operator="greaterThan">
      <formula>8</formula>
    </cfRule>
    <cfRule type="cellIs" dxfId="955" priority="7181" operator="lessThan">
      <formula>8</formula>
    </cfRule>
  </conditionalFormatting>
  <conditionalFormatting sqref="XZ70 ZC70 AAF70 ABI70 ACL70">
    <cfRule type="cellIs" dxfId="956" priority="7174" operator="equal">
      <formula>0</formula>
    </cfRule>
    <cfRule type="cellIs" dxfId="957" priority="7175" operator="equal">
      <formula>8</formula>
    </cfRule>
    <cfRule type="cellIs" dxfId="958" priority="7176" operator="greaterThan">
      <formula>8</formula>
    </cfRule>
    <cfRule type="cellIs" dxfId="959" priority="7177" operator="lessThan">
      <formula>8</formula>
    </cfRule>
  </conditionalFormatting>
  <conditionalFormatting sqref="XZ71 XZ73:XZ75 XZ77:XZ78 ZC71:ZC75 ZC77:ZC78 AAF71:AAF75 AAF77:AAF78 ABI71:ABI75 ABI77:ABI78 ACL71:ACL75 ACL77:ACL78">
    <cfRule type="cellIs" dxfId="960" priority="7170" operator="equal">
      <formula>0</formula>
    </cfRule>
    <cfRule type="cellIs" dxfId="961" priority="7171" operator="equal">
      <formula>8</formula>
    </cfRule>
    <cfRule type="cellIs" dxfId="962" priority="7172" operator="greaterThan">
      <formula>8</formula>
    </cfRule>
    <cfRule type="cellIs" dxfId="963" priority="7173" operator="lessThan">
      <formula>8</formula>
    </cfRule>
  </conditionalFormatting>
  <conditionalFormatting sqref="XZ81 ZC81 AAF80:AAF81 ABI80:ABI81 ACL80:ACL81">
    <cfRule type="cellIs" dxfId="964" priority="7166" operator="equal">
      <formula>0</formula>
    </cfRule>
    <cfRule type="cellIs" dxfId="965" priority="7167" operator="equal">
      <formula>8</formula>
    </cfRule>
    <cfRule type="cellIs" dxfId="966" priority="7168" operator="greaterThan">
      <formula>8</formula>
    </cfRule>
    <cfRule type="cellIs" dxfId="967" priority="7169" operator="lessThan">
      <formula>8</formula>
    </cfRule>
  </conditionalFormatting>
  <conditionalFormatting sqref="XZ62:XZ64">
    <cfRule type="cellIs" dxfId="968" priority="7162" operator="equal">
      <formula>0</formula>
    </cfRule>
    <cfRule type="cellIs" dxfId="969" priority="7163" operator="equal">
      <formula>8</formula>
    </cfRule>
    <cfRule type="cellIs" dxfId="970" priority="7164" operator="greaterThan">
      <formula>8</formula>
    </cfRule>
    <cfRule type="cellIs" dxfId="971" priority="7165" operator="lessThan">
      <formula>8</formula>
    </cfRule>
  </conditionalFormatting>
  <conditionalFormatting sqref="ID80">
    <cfRule type="cellIs" dxfId="972" priority="7158" operator="equal">
      <formula>0</formula>
    </cfRule>
    <cfRule type="cellIs" dxfId="973" priority="7159" operator="equal">
      <formula>8</formula>
    </cfRule>
    <cfRule type="cellIs" dxfId="974" priority="7160" operator="greaterThan">
      <formula>8</formula>
    </cfRule>
    <cfRule type="cellIs" dxfId="975" priority="7161" operator="lessThan">
      <formula>8</formula>
    </cfRule>
  </conditionalFormatting>
  <conditionalFormatting sqref="JG80">
    <cfRule type="cellIs" dxfId="976" priority="7154" operator="equal">
      <formula>0</formula>
    </cfRule>
    <cfRule type="cellIs" dxfId="977" priority="7155" operator="equal">
      <formula>8</formula>
    </cfRule>
    <cfRule type="cellIs" dxfId="978" priority="7156" operator="greaterThan">
      <formula>8</formula>
    </cfRule>
    <cfRule type="cellIs" dxfId="979" priority="7157" operator="lessThan">
      <formula>8</formula>
    </cfRule>
  </conditionalFormatting>
  <conditionalFormatting sqref="KJ80">
    <cfRule type="cellIs" dxfId="980" priority="7150" operator="equal">
      <formula>0</formula>
    </cfRule>
    <cfRule type="cellIs" dxfId="981" priority="7151" operator="equal">
      <formula>8</formula>
    </cfRule>
    <cfRule type="cellIs" dxfId="982" priority="7152" operator="greaterThan">
      <formula>8</formula>
    </cfRule>
    <cfRule type="cellIs" dxfId="983" priority="7153" operator="lessThan">
      <formula>8</formula>
    </cfRule>
  </conditionalFormatting>
  <conditionalFormatting sqref="AFX80:AFX81 AID80:AID81 AJG80:AJG81 AKJ80:AKJ81">
    <cfRule type="cellIs" dxfId="984" priority="7146" operator="equal">
      <formula>0</formula>
    </cfRule>
    <cfRule type="cellIs" dxfId="985" priority="7147" operator="equal">
      <formula>8</formula>
    </cfRule>
    <cfRule type="cellIs" dxfId="986" priority="7148" operator="greaterThan">
      <formula>8</formula>
    </cfRule>
    <cfRule type="cellIs" dxfId="987" priority="7149" operator="lessThan">
      <formula>8</formula>
    </cfRule>
  </conditionalFormatting>
  <conditionalFormatting sqref="AFX61:AFX64 AID61:AID64 AJG61:AJG64 AKJ61:AKJ64">
    <cfRule type="cellIs" dxfId="988" priority="7142" operator="equal">
      <formula>0</formula>
    </cfRule>
    <cfRule type="cellIs" dxfId="989" priority="7143" operator="equal">
      <formula>8</formula>
    </cfRule>
    <cfRule type="cellIs" dxfId="990" priority="7144" operator="greaterThan">
      <formula>8</formula>
    </cfRule>
    <cfRule type="cellIs" dxfId="991" priority="7145" operator="lessThan">
      <formula>8</formula>
    </cfRule>
  </conditionalFormatting>
  <conditionalFormatting sqref="AID69 AJG69 AKJ69">
    <cfRule type="cellIs" dxfId="992" priority="7138" operator="equal">
      <formula>0</formula>
    </cfRule>
    <cfRule type="cellIs" dxfId="993" priority="7139" operator="equal">
      <formula>8</formula>
    </cfRule>
    <cfRule type="cellIs" dxfId="994" priority="7140" operator="greaterThan">
      <formula>8</formula>
    </cfRule>
    <cfRule type="cellIs" dxfId="995" priority="7141" operator="lessThan">
      <formula>8</formula>
    </cfRule>
  </conditionalFormatting>
  <conditionalFormatting sqref="AFX70 AID70 AJG70 AKJ70">
    <cfRule type="cellIs" dxfId="996" priority="7134" operator="equal">
      <formula>0</formula>
    </cfRule>
    <cfRule type="cellIs" dxfId="997" priority="7135" operator="equal">
      <formula>8</formula>
    </cfRule>
    <cfRule type="cellIs" dxfId="998" priority="7136" operator="greaterThan">
      <formula>8</formula>
    </cfRule>
    <cfRule type="cellIs" dxfId="999" priority="7137" operator="lessThan">
      <formula>8</formula>
    </cfRule>
  </conditionalFormatting>
  <conditionalFormatting sqref="AHA61:AHA64">
    <cfRule type="cellIs" dxfId="1000" priority="7130" operator="equal">
      <formula>0</formula>
    </cfRule>
    <cfRule type="cellIs" dxfId="1001" priority="7131" operator="equal">
      <formula>8</formula>
    </cfRule>
    <cfRule type="cellIs" dxfId="1002" priority="7132" operator="greaterThan">
      <formula>8</formula>
    </cfRule>
    <cfRule type="cellIs" dxfId="1003" priority="7133" operator="lessThan">
      <formula>8</formula>
    </cfRule>
  </conditionalFormatting>
  <conditionalFormatting sqref="AHA70">
    <cfRule type="cellIs" dxfId="1004" priority="7126" operator="equal">
      <formula>0</formula>
    </cfRule>
    <cfRule type="cellIs" dxfId="1005" priority="7127" operator="equal">
      <formula>8</formula>
    </cfRule>
    <cfRule type="cellIs" dxfId="1006" priority="7128" operator="greaterThan">
      <formula>8</formula>
    </cfRule>
    <cfRule type="cellIs" dxfId="1007" priority="7129" operator="lessThan">
      <formula>8</formula>
    </cfRule>
  </conditionalFormatting>
  <conditionalFormatting sqref="AHA69">
    <cfRule type="cellIs" dxfId="1008" priority="7122" operator="equal">
      <formula>0</formula>
    </cfRule>
    <cfRule type="cellIs" dxfId="1009" priority="7123" operator="equal">
      <formula>8</formula>
    </cfRule>
    <cfRule type="cellIs" dxfId="1010" priority="7124" operator="greaterThan">
      <formula>8</formula>
    </cfRule>
    <cfRule type="cellIs" dxfId="1011" priority="7125" operator="lessThan">
      <formula>8</formula>
    </cfRule>
  </conditionalFormatting>
  <conditionalFormatting sqref="AHA80:AHA81">
    <cfRule type="cellIs" dxfId="1012" priority="7118" operator="equal">
      <formula>0</formula>
    </cfRule>
    <cfRule type="cellIs" dxfId="1013" priority="7119" operator="equal">
      <formula>8</formula>
    </cfRule>
    <cfRule type="cellIs" dxfId="1014" priority="7120" operator="greaterThan">
      <formula>8</formula>
    </cfRule>
    <cfRule type="cellIs" dxfId="1015" priority="7121" operator="lessThan">
      <formula>8</formula>
    </cfRule>
  </conditionalFormatting>
  <conditionalFormatting sqref="ID69">
    <cfRule type="cellIs" dxfId="1016" priority="7114" operator="equal">
      <formula>0</formula>
    </cfRule>
    <cfRule type="cellIs" dxfId="1017" priority="7115" operator="equal">
      <formula>8</formula>
    </cfRule>
    <cfRule type="cellIs" dxfId="1018" priority="7116" operator="greaterThan">
      <formula>8</formula>
    </cfRule>
    <cfRule type="cellIs" dxfId="1019" priority="7117" operator="lessThan">
      <formula>8</formula>
    </cfRule>
  </conditionalFormatting>
  <conditionalFormatting sqref="ID71:ID75 ID77:ID78">
    <cfRule type="cellIs" dxfId="1020" priority="7110" operator="equal">
      <formula>0</formula>
    </cfRule>
    <cfRule type="cellIs" dxfId="1021" priority="7111" operator="equal">
      <formula>8</formula>
    </cfRule>
    <cfRule type="cellIs" dxfId="1022" priority="7112" operator="greaterThan">
      <formula>8</formula>
    </cfRule>
    <cfRule type="cellIs" dxfId="1023" priority="7113" operator="lessThan">
      <formula>8</formula>
    </cfRule>
  </conditionalFormatting>
  <conditionalFormatting sqref="LM69">
    <cfRule type="cellIs" dxfId="1024" priority="7106" operator="equal">
      <formula>0</formula>
    </cfRule>
    <cfRule type="cellIs" dxfId="1025" priority="7107" operator="equal">
      <formula>8</formula>
    </cfRule>
    <cfRule type="cellIs" dxfId="1026" priority="7108" operator="greaterThan">
      <formula>8</formula>
    </cfRule>
    <cfRule type="cellIs" dxfId="1027" priority="7109" operator="lessThan">
      <formula>8</formula>
    </cfRule>
  </conditionalFormatting>
  <conditionalFormatting sqref="ID68">
    <cfRule type="cellIs" dxfId="1028" priority="7102" operator="equal">
      <formula>0</formula>
    </cfRule>
    <cfRule type="cellIs" dxfId="1029" priority="7103" operator="equal">
      <formula>8</formula>
    </cfRule>
    <cfRule type="cellIs" dxfId="1030" priority="7104" operator="greaterThan">
      <formula>8</formula>
    </cfRule>
    <cfRule type="cellIs" dxfId="1031" priority="7105" operator="lessThan">
      <formula>8</formula>
    </cfRule>
  </conditionalFormatting>
  <conditionalFormatting sqref="OY59:OY60 WW59:WW60 AEU59:AEU60">
    <cfRule type="cellIs" dxfId="1032" priority="7101" operator="greaterThan">
      <formula>0</formula>
    </cfRule>
  </conditionalFormatting>
  <conditionalFormatting sqref="OW59:OW60 WU59:WU60 AES59:AES60">
    <cfRule type="cellIs" dxfId="1033" priority="7100" operator="greaterThan">
      <formula>0</formula>
    </cfRule>
    <cfRule type="cellIs" dxfId="1034" priority="7099" operator="equal">
      <formula>0</formula>
    </cfRule>
  </conditionalFormatting>
  <conditionalFormatting sqref="NS59:NS60 OV59:OV60 VQ59:VQ60 WT59:WT60 ADO59:ADO60 AER59:AER60">
    <cfRule type="cellIs" dxfId="1035" priority="7095" operator="equal">
      <formula>0</formula>
    </cfRule>
    <cfRule type="cellIs" dxfId="1036" priority="7096" operator="equal">
      <formula>8</formula>
    </cfRule>
    <cfRule type="cellIs" dxfId="1037" priority="7097" operator="greaterThan">
      <formula>8</formula>
    </cfRule>
    <cfRule type="cellIs" dxfId="1038" priority="7098" operator="lessThan">
      <formula>8</formula>
    </cfRule>
  </conditionalFormatting>
  <conditionalFormatting sqref="ID59:ID60 JG59:JG60 KJ59:KJ60 LM59:LM60 MP59:MP60">
    <cfRule type="cellIs" dxfId="1039" priority="7091" operator="equal">
      <formula>0</formula>
    </cfRule>
    <cfRule type="cellIs" dxfId="1040" priority="7092" operator="equal">
      <formula>8</formula>
    </cfRule>
    <cfRule type="cellIs" dxfId="1041" priority="7093" operator="greaterThan">
      <formula>8</formula>
    </cfRule>
    <cfRule type="cellIs" dxfId="1042" priority="7094" operator="lessThan">
      <formula>8</formula>
    </cfRule>
  </conditionalFormatting>
  <conditionalFormatting sqref="QB60 RE59:RE60 SH59:SH60 TK59:TK60 UN59:UN60">
    <cfRule type="cellIs" dxfId="1043" priority="7087" operator="equal">
      <formula>0</formula>
    </cfRule>
    <cfRule type="cellIs" dxfId="1044" priority="7088" operator="equal">
      <formula>8</formula>
    </cfRule>
    <cfRule type="cellIs" dxfId="1045" priority="7089" operator="greaterThan">
      <formula>8</formula>
    </cfRule>
    <cfRule type="cellIs" dxfId="1046" priority="7090" operator="lessThan">
      <formula>8</formula>
    </cfRule>
  </conditionalFormatting>
  <conditionalFormatting sqref="XZ59:XZ60 ZC59:ZC60 AAF59:AAF60 ABI59 ACL59">
    <cfRule type="cellIs" dxfId="1047" priority="7083" operator="equal">
      <formula>0</formula>
    </cfRule>
    <cfRule type="cellIs" dxfId="1048" priority="7084" operator="equal">
      <formula>8</formula>
    </cfRule>
    <cfRule type="cellIs" dxfId="1049" priority="7085" operator="greaterThan">
      <formula>8</formula>
    </cfRule>
    <cfRule type="cellIs" dxfId="1050" priority="7086" operator="lessThan">
      <formula>8</formula>
    </cfRule>
  </conditionalFormatting>
  <conditionalFormatting sqref="AFX59:AFX60 AID59:AID60 AJG59:AJG60 AKJ59:AKJ60">
    <cfRule type="cellIs" dxfId="1051" priority="7079" operator="equal">
      <formula>0</formula>
    </cfRule>
    <cfRule type="cellIs" dxfId="1052" priority="7080" operator="equal">
      <formula>8</formula>
    </cfRule>
    <cfRule type="cellIs" dxfId="1053" priority="7081" operator="greaterThan">
      <formula>8</formula>
    </cfRule>
    <cfRule type="cellIs" dxfId="1054" priority="7082" operator="lessThan">
      <formula>8</formula>
    </cfRule>
  </conditionalFormatting>
  <conditionalFormatting sqref="AHA59:AHA60">
    <cfRule type="cellIs" dxfId="1055" priority="7075" operator="equal">
      <formula>0</formula>
    </cfRule>
    <cfRule type="cellIs" dxfId="1056" priority="7076" operator="equal">
      <formula>8</formula>
    </cfRule>
    <cfRule type="cellIs" dxfId="1057" priority="7077" operator="greaterThan">
      <formula>8</formula>
    </cfRule>
    <cfRule type="cellIs" dxfId="1058" priority="7078" operator="lessThan">
      <formula>8</formula>
    </cfRule>
  </conditionalFormatting>
  <conditionalFormatting sqref="HA82">
    <cfRule type="cellIs" dxfId="1059" priority="7074" operator="greaterThan">
      <formula>0</formula>
    </cfRule>
  </conditionalFormatting>
  <conditionalFormatting sqref="GZ82">
    <cfRule type="cellIs" dxfId="1060" priority="7073" operator="greaterThan">
      <formula>0</formula>
    </cfRule>
  </conditionalFormatting>
  <conditionalFormatting sqref="GY82">
    <cfRule type="cellIs" dxfId="1061" priority="7072" operator="greaterThan">
      <formula>0</formula>
    </cfRule>
  </conditionalFormatting>
  <conditionalFormatting sqref="GY82:GZ82">
    <cfRule type="cellIs" dxfId="1062" priority="7071" operator="equal">
      <formula>0</formula>
    </cfRule>
  </conditionalFormatting>
  <conditionalFormatting sqref="ALM82 AMP82">
    <cfRule type="cellIs" dxfId="1063" priority="7067" operator="equal">
      <formula>0</formula>
    </cfRule>
    <cfRule type="cellIs" dxfId="1064" priority="7068" operator="equal">
      <formula>8</formula>
    </cfRule>
    <cfRule type="cellIs" dxfId="1065" priority="7069" operator="greaterThan">
      <formula>8</formula>
    </cfRule>
    <cfRule type="cellIs" dxfId="1066" priority="7070" operator="lessThan">
      <formula>8</formula>
    </cfRule>
  </conditionalFormatting>
  <conditionalFormatting sqref="AMS82">
    <cfRule type="cellIs" dxfId="1067" priority="7066" operator="greaterThan">
      <formula>0</formula>
    </cfRule>
  </conditionalFormatting>
  <conditionalFormatting sqref="AMQ82">
    <cfRule type="cellIs" dxfId="1068" priority="7065" operator="greaterThan">
      <formula>0</formula>
    </cfRule>
    <cfRule type="cellIs" dxfId="1069" priority="7064" operator="equal">
      <formula>0</formula>
    </cfRule>
  </conditionalFormatting>
  <conditionalFormatting sqref="AEU82">
    <cfRule type="cellIs" dxfId="1070" priority="7063" operator="greaterThan">
      <formula>0</formula>
    </cfRule>
  </conditionalFormatting>
  <conditionalFormatting sqref="AES82">
    <cfRule type="cellIs" dxfId="1071" priority="7062" operator="greaterThan">
      <formula>0</formula>
    </cfRule>
    <cfRule type="cellIs" dxfId="1072" priority="7061" operator="equal">
      <formula>0</formula>
    </cfRule>
  </conditionalFormatting>
  <conditionalFormatting sqref="NS82 VQ82 ADO82 AER82">
    <cfRule type="cellIs" dxfId="1073" priority="7057" operator="equal">
      <formula>0</formula>
    </cfRule>
    <cfRule type="cellIs" dxfId="1074" priority="7058" operator="equal">
      <formula>8</formula>
    </cfRule>
    <cfRule type="cellIs" dxfId="1075" priority="7059" operator="greaterThan">
      <formula>8</formula>
    </cfRule>
    <cfRule type="cellIs" dxfId="1076" priority="7060" operator="lessThan">
      <formula>8</formula>
    </cfRule>
  </conditionalFormatting>
  <conditionalFormatting sqref="OY82 WW82">
    <cfRule type="cellIs" dxfId="1077" priority="7056" operator="greaterThan">
      <formula>0</formula>
    </cfRule>
  </conditionalFormatting>
  <conditionalFormatting sqref="OW82 WU82">
    <cfRule type="cellIs" dxfId="1078" priority="7055" operator="greaterThan">
      <formula>0</formula>
    </cfRule>
    <cfRule type="cellIs" dxfId="1079" priority="7054" operator="equal">
      <formula>0</formula>
    </cfRule>
  </conditionalFormatting>
  <conditionalFormatting sqref="OV82 WT82">
    <cfRule type="cellIs" dxfId="1080" priority="7050" operator="equal">
      <formula>0</formula>
    </cfRule>
    <cfRule type="cellIs" dxfId="1081" priority="7051" operator="equal">
      <formula>8</formula>
    </cfRule>
    <cfRule type="cellIs" dxfId="1082" priority="7052" operator="greaterThan">
      <formula>8</formula>
    </cfRule>
    <cfRule type="cellIs" dxfId="1083" priority="7053" operator="lessThan">
      <formula>8</formula>
    </cfRule>
  </conditionalFormatting>
  <conditionalFormatting sqref="ZC82 AAF82 ABI82 ACL82">
    <cfRule type="cellIs" dxfId="1084" priority="7046" operator="equal">
      <formula>0</formula>
    </cfRule>
    <cfRule type="cellIs" dxfId="1085" priority="7047" operator="equal">
      <formula>8</formula>
    </cfRule>
    <cfRule type="cellIs" dxfId="1086" priority="7048" operator="greaterThan">
      <formula>8</formula>
    </cfRule>
    <cfRule type="cellIs" dxfId="1087" priority="7049" operator="lessThan">
      <formula>8</formula>
    </cfRule>
  </conditionalFormatting>
  <conditionalFormatting sqref="AFX82 AID82 AJG82 AKJ82">
    <cfRule type="cellIs" dxfId="1088" priority="7042" operator="equal">
      <formula>0</formula>
    </cfRule>
    <cfRule type="cellIs" dxfId="1089" priority="7043" operator="equal">
      <formula>8</formula>
    </cfRule>
    <cfRule type="cellIs" dxfId="1090" priority="7044" operator="greaterThan">
      <formula>8</formula>
    </cfRule>
    <cfRule type="cellIs" dxfId="1091" priority="7045" operator="lessThan">
      <formula>8</formula>
    </cfRule>
  </conditionalFormatting>
  <conditionalFormatting sqref="AHA82">
    <cfRule type="cellIs" dxfId="1092" priority="7038" operator="equal">
      <formula>0</formula>
    </cfRule>
    <cfRule type="cellIs" dxfId="1093" priority="7039" operator="equal">
      <formula>8</formula>
    </cfRule>
    <cfRule type="cellIs" dxfId="1094" priority="7040" operator="greaterThan">
      <formula>8</formula>
    </cfRule>
    <cfRule type="cellIs" dxfId="1095" priority="7041" operator="lessThan">
      <formula>8</formula>
    </cfRule>
  </conditionalFormatting>
  <conditionalFormatting sqref="HA65:HA66 AMS65:AMS66">
    <cfRule type="cellIs" dxfId="1096" priority="7037" operator="greaterThan">
      <formula>0</formula>
    </cfRule>
  </conditionalFormatting>
  <conditionalFormatting sqref="GZ65:GZ66">
    <cfRule type="cellIs" dxfId="1097" priority="7036" operator="greaterThan">
      <formula>0</formula>
    </cfRule>
  </conditionalFormatting>
  <conditionalFormatting sqref="GY65:GY66 AMQ65:AMQ66">
    <cfRule type="cellIs" dxfId="1098" priority="7035" operator="greaterThan">
      <formula>0</formula>
    </cfRule>
  </conditionalFormatting>
  <conditionalFormatting sqref="GY65:GZ66 AMQ65:AMQ66">
    <cfRule type="cellIs" dxfId="1099" priority="7034" operator="equal">
      <formula>0</formula>
    </cfRule>
  </conditionalFormatting>
  <conditionalFormatting sqref="ALM65:ALM66 AMP65:AMP66">
    <cfRule type="cellIs" dxfId="1100" priority="7030" operator="equal">
      <formula>0</formula>
    </cfRule>
    <cfRule type="cellIs" dxfId="1101" priority="7031" operator="equal">
      <formula>8</formula>
    </cfRule>
    <cfRule type="cellIs" dxfId="1102" priority="7032" operator="greaterThan">
      <formula>8</formula>
    </cfRule>
    <cfRule type="cellIs" dxfId="1103" priority="7033" operator="lessThan">
      <formula>8</formula>
    </cfRule>
  </conditionalFormatting>
  <conditionalFormatting sqref="OY65:OY66 WW65:WW66 AEU65:AEU66">
    <cfRule type="cellIs" dxfId="1104" priority="7029" operator="greaterThan">
      <formula>0</formula>
    </cfRule>
  </conditionalFormatting>
  <conditionalFormatting sqref="OW65:OW66 WU65:WU66 AES65:AES66">
    <cfRule type="cellIs" dxfId="1105" priority="7028" operator="greaterThan">
      <formula>0</formula>
    </cfRule>
    <cfRule type="cellIs" dxfId="1106" priority="7027" operator="equal">
      <formula>0</formula>
    </cfRule>
  </conditionalFormatting>
  <conditionalFormatting sqref="NS65:NS66 OV65:OV66 VQ65:VQ66 WT65:WT66 ADO65:ADO66 AER65:AER66">
    <cfRule type="cellIs" dxfId="1107" priority="7023" operator="equal">
      <formula>0</formula>
    </cfRule>
    <cfRule type="cellIs" dxfId="1108" priority="7024" operator="equal">
      <formula>8</formula>
    </cfRule>
    <cfRule type="cellIs" dxfId="1109" priority="7025" operator="greaterThan">
      <formula>8</formula>
    </cfRule>
    <cfRule type="cellIs" dxfId="1110" priority="7026" operator="lessThan">
      <formula>8</formula>
    </cfRule>
  </conditionalFormatting>
  <conditionalFormatting sqref="AKJ65:AKJ66">
    <cfRule type="cellIs" dxfId="1111" priority="7019" operator="equal">
      <formula>0</formula>
    </cfRule>
    <cfRule type="cellIs" dxfId="1112" priority="7020" operator="equal">
      <formula>8</formula>
    </cfRule>
    <cfRule type="cellIs" dxfId="1113" priority="7021" operator="greaterThan">
      <formula>8</formula>
    </cfRule>
    <cfRule type="cellIs" dxfId="1114" priority="7022" operator="lessThan">
      <formula>8</formula>
    </cfRule>
  </conditionalFormatting>
  <conditionalFormatting sqref="AJG65:AJG66">
    <cfRule type="cellIs" dxfId="1115" priority="7015" operator="equal">
      <formula>0</formula>
    </cfRule>
    <cfRule type="cellIs" dxfId="1116" priority="7016" operator="equal">
      <formula>8</formula>
    </cfRule>
    <cfRule type="cellIs" dxfId="1117" priority="7017" operator="greaterThan">
      <formula>8</formula>
    </cfRule>
    <cfRule type="cellIs" dxfId="1118" priority="7018" operator="lessThan">
      <formula>8</formula>
    </cfRule>
  </conditionalFormatting>
  <conditionalFormatting sqref="KJ65:KJ66 LM65:LM66 MP65:MP66">
    <cfRule type="cellIs" dxfId="1119" priority="7011" operator="equal">
      <formula>0</formula>
    </cfRule>
    <cfRule type="cellIs" dxfId="1120" priority="7012" operator="equal">
      <formula>8</formula>
    </cfRule>
    <cfRule type="cellIs" dxfId="1121" priority="7013" operator="greaterThan">
      <formula>8</formula>
    </cfRule>
    <cfRule type="cellIs" dxfId="1122" priority="7014" operator="lessThan">
      <formula>8</formula>
    </cfRule>
  </conditionalFormatting>
  <conditionalFormatting sqref="XZ65:XZ66 ZC65:ZC66 AAF65:AAF66 ABI65:ABI66 ACL65:ACL66">
    <cfRule type="cellIs" dxfId="1123" priority="7007" operator="equal">
      <formula>0</formula>
    </cfRule>
    <cfRule type="cellIs" dxfId="1124" priority="7008" operator="equal">
      <formula>8</formula>
    </cfRule>
    <cfRule type="cellIs" dxfId="1125" priority="7009" operator="greaterThan">
      <formula>8</formula>
    </cfRule>
    <cfRule type="cellIs" dxfId="1126" priority="7010" operator="lessThan">
      <formula>8</formula>
    </cfRule>
  </conditionalFormatting>
  <conditionalFormatting sqref="AFX65:AFX66">
    <cfRule type="cellIs" dxfId="1127" priority="7003" operator="equal">
      <formula>0</formula>
    </cfRule>
    <cfRule type="cellIs" dxfId="1128" priority="7004" operator="equal">
      <formula>8</formula>
    </cfRule>
    <cfRule type="cellIs" dxfId="1129" priority="7005" operator="greaterThan">
      <formula>8</formula>
    </cfRule>
    <cfRule type="cellIs" dxfId="1130" priority="7006" operator="lessThan">
      <formula>8</formula>
    </cfRule>
  </conditionalFormatting>
  <conditionalFormatting sqref="AID65:AID66">
    <cfRule type="cellIs" dxfId="1131" priority="6999" operator="equal">
      <formula>0</formula>
    </cfRule>
    <cfRule type="cellIs" dxfId="1132" priority="7000" operator="equal">
      <formula>8</formula>
    </cfRule>
    <cfRule type="cellIs" dxfId="1133" priority="7001" operator="greaterThan">
      <formula>8</formula>
    </cfRule>
    <cfRule type="cellIs" dxfId="1134" priority="7002" operator="lessThan">
      <formula>8</formula>
    </cfRule>
  </conditionalFormatting>
  <conditionalFormatting sqref="AHA65:AHA66">
    <cfRule type="cellIs" dxfId="1135" priority="6995" operator="equal">
      <formula>0</formula>
    </cfRule>
    <cfRule type="cellIs" dxfId="1136" priority="6996" operator="equal">
      <formula>8</formula>
    </cfRule>
    <cfRule type="cellIs" dxfId="1137" priority="6997" operator="greaterThan">
      <formula>8</formula>
    </cfRule>
    <cfRule type="cellIs" dxfId="1138" priority="6998" operator="lessThan">
      <formula>8</formula>
    </cfRule>
  </conditionalFormatting>
  <conditionalFormatting sqref="ID65:ID66">
    <cfRule type="cellIs" dxfId="1139" priority="6991" operator="equal">
      <formula>0</formula>
    </cfRule>
    <cfRule type="cellIs" dxfId="1140" priority="6992" operator="equal">
      <formula>8</formula>
    </cfRule>
    <cfRule type="cellIs" dxfId="1141" priority="6993" operator="greaterThan">
      <formula>8</formula>
    </cfRule>
    <cfRule type="cellIs" dxfId="1142" priority="6994" operator="lessThan">
      <formula>8</formula>
    </cfRule>
  </conditionalFormatting>
  <conditionalFormatting sqref="HA83">
    <cfRule type="cellIs" dxfId="1143" priority="6990" operator="greaterThan">
      <formula>0</formula>
    </cfRule>
  </conditionalFormatting>
  <conditionalFormatting sqref="GZ83">
    <cfRule type="cellIs" dxfId="1144" priority="6989" operator="greaterThan">
      <formula>0</formula>
    </cfRule>
  </conditionalFormatting>
  <conditionalFormatting sqref="GY83">
    <cfRule type="cellIs" dxfId="1145" priority="6988" operator="greaterThan">
      <formula>0</formula>
    </cfRule>
  </conditionalFormatting>
  <conditionalFormatting sqref="GY83:GZ83">
    <cfRule type="cellIs" dxfId="1146" priority="6987" operator="equal">
      <formula>0</formula>
    </cfRule>
  </conditionalFormatting>
  <conditionalFormatting sqref="ALM83:ALM84 AMP83:AMP84">
    <cfRule type="cellIs" dxfId="1147" priority="6983" operator="equal">
      <formula>0</formula>
    </cfRule>
    <cfRule type="cellIs" dxfId="1148" priority="6984" operator="equal">
      <formula>8</formula>
    </cfRule>
    <cfRule type="cellIs" dxfId="1149" priority="6985" operator="greaterThan">
      <formula>8</formula>
    </cfRule>
    <cfRule type="cellIs" dxfId="1150" priority="6986" operator="lessThan">
      <formula>8</formula>
    </cfRule>
  </conditionalFormatting>
  <conditionalFormatting sqref="AMS83:AMS84">
    <cfRule type="cellIs" dxfId="1151" priority="6982" operator="greaterThan">
      <formula>0</formula>
    </cfRule>
  </conditionalFormatting>
  <conditionalFormatting sqref="AMQ83:AMQ84">
    <cfRule type="cellIs" dxfId="1152" priority="6981" operator="greaterThan">
      <formula>0</formula>
    </cfRule>
    <cfRule type="cellIs" dxfId="1153" priority="6980" operator="equal">
      <formula>0</formula>
    </cfRule>
  </conditionalFormatting>
  <conditionalFormatting sqref="AEU83:AEU84">
    <cfRule type="cellIs" dxfId="1154" priority="6979" operator="greaterThan">
      <formula>0</formula>
    </cfRule>
  </conditionalFormatting>
  <conditionalFormatting sqref="AES83:AES84">
    <cfRule type="cellIs" dxfId="1155" priority="6978" operator="greaterThan">
      <formula>0</formula>
    </cfRule>
    <cfRule type="cellIs" dxfId="1156" priority="6977" operator="equal">
      <formula>0</formula>
    </cfRule>
  </conditionalFormatting>
  <conditionalFormatting sqref="NS83:NS84 VQ83:VQ84 ADO83:ADO84 AER83:AER84">
    <cfRule type="cellIs" dxfId="1157" priority="6973" operator="equal">
      <formula>0</formula>
    </cfRule>
    <cfRule type="cellIs" dxfId="1158" priority="6974" operator="equal">
      <formula>8</formula>
    </cfRule>
    <cfRule type="cellIs" dxfId="1159" priority="6975" operator="greaterThan">
      <formula>8</formula>
    </cfRule>
    <cfRule type="cellIs" dxfId="1160" priority="6976" operator="lessThan">
      <formula>8</formula>
    </cfRule>
  </conditionalFormatting>
  <conditionalFormatting sqref="OY83:OY84 WW83:WW84">
    <cfRule type="cellIs" dxfId="1161" priority="6972" operator="greaterThan">
      <formula>0</formula>
    </cfRule>
  </conditionalFormatting>
  <conditionalFormatting sqref="OW83:OW84 WU83:WU84">
    <cfRule type="cellIs" dxfId="1162" priority="6971" operator="greaterThan">
      <formula>0</formula>
    </cfRule>
    <cfRule type="cellIs" dxfId="1163" priority="6970" operator="equal">
      <formula>0</formula>
    </cfRule>
  </conditionalFormatting>
  <conditionalFormatting sqref="OV83:OV84 WT83:WT84">
    <cfRule type="cellIs" dxfId="1164" priority="6966" operator="equal">
      <formula>0</formula>
    </cfRule>
    <cfRule type="cellIs" dxfId="1165" priority="6967" operator="equal">
      <formula>8</formula>
    </cfRule>
    <cfRule type="cellIs" dxfId="1166" priority="6968" operator="greaterThan">
      <formula>8</formula>
    </cfRule>
    <cfRule type="cellIs" dxfId="1167" priority="6969" operator="lessThan">
      <formula>8</formula>
    </cfRule>
  </conditionalFormatting>
  <conditionalFormatting sqref="ID83:ID84 JG83:JG84 KJ83:KJ84 LM83:LM84 MP83:MP84">
    <cfRule type="cellIs" dxfId="1168" priority="6962" operator="equal">
      <formula>0</formula>
    </cfRule>
    <cfRule type="cellIs" dxfId="1169" priority="6963" operator="equal">
      <formula>8</formula>
    </cfRule>
    <cfRule type="cellIs" dxfId="1170" priority="6964" operator="greaterThan">
      <formula>8</formula>
    </cfRule>
    <cfRule type="cellIs" dxfId="1171" priority="6965" operator="lessThan">
      <formula>8</formula>
    </cfRule>
  </conditionalFormatting>
  <conditionalFormatting sqref="QB83:QB84 RE83:RE84 SH83:SH84 TK83:TK84 UN83:UN84">
    <cfRule type="cellIs" dxfId="1172" priority="6958" operator="equal">
      <formula>0</formula>
    </cfRule>
    <cfRule type="cellIs" dxfId="1173" priority="6959" operator="equal">
      <formula>8</formula>
    </cfRule>
    <cfRule type="cellIs" dxfId="1174" priority="6960" operator="greaterThan">
      <formula>8</formula>
    </cfRule>
    <cfRule type="cellIs" dxfId="1175" priority="6961" operator="lessThan">
      <formula>8</formula>
    </cfRule>
  </conditionalFormatting>
  <conditionalFormatting sqref="XZ83:XZ84 ZC83:ZC84 AAF83:AAF84 ABI83 ACL83:ACL84">
    <cfRule type="cellIs" dxfId="1176" priority="6954" operator="equal">
      <formula>0</formula>
    </cfRule>
    <cfRule type="cellIs" dxfId="1177" priority="6955" operator="equal">
      <formula>8</formula>
    </cfRule>
    <cfRule type="cellIs" dxfId="1178" priority="6956" operator="greaterThan">
      <formula>8</formula>
    </cfRule>
    <cfRule type="cellIs" dxfId="1179" priority="6957" operator="lessThan">
      <formula>8</formula>
    </cfRule>
  </conditionalFormatting>
  <conditionalFormatting sqref="AFX83:AFX84 AID83:AID84 AJG83:AJG84 AKJ83:AKJ84">
    <cfRule type="cellIs" dxfId="1180" priority="6950" operator="equal">
      <formula>0</formula>
    </cfRule>
    <cfRule type="cellIs" dxfId="1181" priority="6951" operator="equal">
      <formula>8</formula>
    </cfRule>
    <cfRule type="cellIs" dxfId="1182" priority="6952" operator="greaterThan">
      <formula>8</formula>
    </cfRule>
    <cfRule type="cellIs" dxfId="1183" priority="6953" operator="lessThan">
      <formula>8</formula>
    </cfRule>
  </conditionalFormatting>
  <conditionalFormatting sqref="AHA83:AHA84">
    <cfRule type="cellIs" dxfId="1184" priority="6946" operator="equal">
      <formula>0</formula>
    </cfRule>
    <cfRule type="cellIs" dxfId="1185" priority="6947" operator="equal">
      <formula>8</formula>
    </cfRule>
    <cfRule type="cellIs" dxfId="1186" priority="6948" operator="greaterThan">
      <formula>8</formula>
    </cfRule>
    <cfRule type="cellIs" dxfId="1187" priority="6949" operator="lessThan">
      <formula>8</formula>
    </cfRule>
  </conditionalFormatting>
  <conditionalFormatting sqref="QB65:QB67 RE65:RE66 SH65:SH66 TK65:TK66 UN65:UN66">
    <cfRule type="cellIs" dxfId="1188" priority="6942" operator="equal">
      <formula>0</formula>
    </cfRule>
    <cfRule type="cellIs" dxfId="1189" priority="6943" operator="equal">
      <formula>8</formula>
    </cfRule>
    <cfRule type="cellIs" dxfId="1190" priority="6944" operator="greaterThan">
      <formula>8</formula>
    </cfRule>
    <cfRule type="cellIs" dxfId="1191" priority="6945" operator="lessThan">
      <formula>8</formula>
    </cfRule>
  </conditionalFormatting>
  <conditionalFormatting sqref="AFX67:AFX68">
    <cfRule type="cellIs" dxfId="1192" priority="6938" operator="equal">
      <formula>0</formula>
    </cfRule>
    <cfRule type="cellIs" dxfId="1193" priority="6939" operator="equal">
      <formula>8</formula>
    </cfRule>
    <cfRule type="cellIs" dxfId="1194" priority="6940" operator="greaterThan">
      <formula>8</formula>
    </cfRule>
    <cfRule type="cellIs" dxfId="1195" priority="6941" operator="lessThan">
      <formula>8</formula>
    </cfRule>
  </conditionalFormatting>
  <conditionalFormatting sqref="AHA67:AHA68">
    <cfRule type="cellIs" dxfId="1196" priority="6934" operator="equal">
      <formula>0</formula>
    </cfRule>
    <cfRule type="cellIs" dxfId="1197" priority="6935" operator="equal">
      <formula>8</formula>
    </cfRule>
    <cfRule type="cellIs" dxfId="1198" priority="6936" operator="greaterThan">
      <formula>8</formula>
    </cfRule>
    <cfRule type="cellIs" dxfId="1199" priority="6937" operator="lessThan">
      <formula>8</formula>
    </cfRule>
  </conditionalFormatting>
  <conditionalFormatting sqref="AID67:AID68">
    <cfRule type="cellIs" dxfId="1200" priority="6930" operator="equal">
      <formula>0</formula>
    </cfRule>
    <cfRule type="cellIs" dxfId="1201" priority="6931" operator="equal">
      <formula>8</formula>
    </cfRule>
    <cfRule type="cellIs" dxfId="1202" priority="6932" operator="greaterThan">
      <formula>8</formula>
    </cfRule>
    <cfRule type="cellIs" dxfId="1203" priority="6933" operator="lessThan">
      <formula>8</formula>
    </cfRule>
  </conditionalFormatting>
  <conditionalFormatting sqref="ID61:ID64 JG61:JG64 KJ61:KJ64 LM61:LM64 MP61:MP64">
    <cfRule type="cellIs" dxfId="1204" priority="6926" operator="equal">
      <formula>0</formula>
    </cfRule>
    <cfRule type="cellIs" dxfId="1205" priority="6927" operator="equal">
      <formula>8</formula>
    </cfRule>
    <cfRule type="cellIs" dxfId="1206" priority="6928" operator="greaterThan">
      <formula>8</formula>
    </cfRule>
    <cfRule type="cellIs" dxfId="1207" priority="6929" operator="lessThan">
      <formula>8</formula>
    </cfRule>
  </conditionalFormatting>
  <conditionalFormatting sqref="XZ69 ZC69 AAF69 ABI69 ACL69">
    <cfRule type="cellIs" dxfId="1208" priority="6922" operator="equal">
      <formula>0</formula>
    </cfRule>
    <cfRule type="cellIs" dxfId="1209" priority="6923" operator="equal">
      <formula>8</formula>
    </cfRule>
    <cfRule type="cellIs" dxfId="1210" priority="6924" operator="greaterThan">
      <formula>8</formula>
    </cfRule>
    <cfRule type="cellIs" dxfId="1211" priority="6925" operator="lessThan">
      <formula>8</formula>
    </cfRule>
  </conditionalFormatting>
  <conditionalFormatting sqref="AFX69">
    <cfRule type="cellIs" dxfId="1212" priority="6918" operator="equal">
      <formula>0</formula>
    </cfRule>
    <cfRule type="cellIs" dxfId="1213" priority="6919" operator="equal">
      <formula>8</formula>
    </cfRule>
    <cfRule type="cellIs" dxfId="1214" priority="6920" operator="greaterThan">
      <formula>8</formula>
    </cfRule>
    <cfRule type="cellIs" dxfId="1215" priority="6921" operator="lessThan">
      <formula>8</formula>
    </cfRule>
  </conditionalFormatting>
  <conditionalFormatting sqref="LM62:LM64">
    <cfRule type="cellIs" dxfId="1216" priority="6914" operator="equal">
      <formula>0</formula>
    </cfRule>
    <cfRule type="cellIs" dxfId="1217" priority="6915" operator="equal">
      <formula>8</formula>
    </cfRule>
    <cfRule type="cellIs" dxfId="1218" priority="6916" operator="greaterThan">
      <formula>8</formula>
    </cfRule>
    <cfRule type="cellIs" dxfId="1219" priority="6917" operator="lessThan">
      <formula>8</formula>
    </cfRule>
  </conditionalFormatting>
  <conditionalFormatting sqref="JG65:JG66">
    <cfRule type="cellIs" dxfId="1220" priority="6910" operator="equal">
      <formula>0</formula>
    </cfRule>
    <cfRule type="cellIs" dxfId="1221" priority="6911" operator="equal">
      <formula>8</formula>
    </cfRule>
    <cfRule type="cellIs" dxfId="1222" priority="6912" operator="greaterThan">
      <formula>8</formula>
    </cfRule>
    <cfRule type="cellIs" dxfId="1223" priority="6913" operator="lessThan">
      <formula>8</formula>
    </cfRule>
  </conditionalFormatting>
  <conditionalFormatting sqref="TK69">
    <cfRule type="cellIs" dxfId="1224" priority="6906" operator="equal">
      <formula>0</formula>
    </cfRule>
    <cfRule type="cellIs" dxfId="1225" priority="6907" operator="equal">
      <formula>8</formula>
    </cfRule>
    <cfRule type="cellIs" dxfId="1226" priority="6908" operator="greaterThan">
      <formula>8</formula>
    </cfRule>
    <cfRule type="cellIs" dxfId="1227" priority="6909" operator="lessThan">
      <formula>8</formula>
    </cfRule>
  </conditionalFormatting>
  <conditionalFormatting sqref="UN69">
    <cfRule type="cellIs" dxfId="1228" priority="6902" operator="equal">
      <formula>0</formula>
    </cfRule>
    <cfRule type="cellIs" dxfId="1229" priority="6903" operator="equal">
      <formula>8</formula>
    </cfRule>
    <cfRule type="cellIs" dxfId="1230" priority="6904" operator="greaterThan">
      <formula>8</formula>
    </cfRule>
    <cfRule type="cellIs" dxfId="1231" priority="6905" operator="lessThan">
      <formula>8</formula>
    </cfRule>
  </conditionalFormatting>
  <conditionalFormatting sqref="FU84 GX84">
    <cfRule type="cellIs" dxfId="1232" priority="6898" operator="equal">
      <formula>0</formula>
    </cfRule>
    <cfRule type="cellIs" dxfId="1233" priority="6899" operator="equal">
      <formula>8</formula>
    </cfRule>
    <cfRule type="cellIs" dxfId="1234" priority="6900" operator="greaterThan">
      <formula>8</formula>
    </cfRule>
    <cfRule type="cellIs" dxfId="1235" priority="6901" operator="lessThan">
      <formula>8</formula>
    </cfRule>
  </conditionalFormatting>
  <conditionalFormatting sqref="FU61:FU64 FU67:FU68 GX61:GX64 GX67:GX68">
    <cfRule type="cellIs" dxfId="1236" priority="6894" operator="equal">
      <formula>0</formula>
    </cfRule>
    <cfRule type="cellIs" dxfId="1237" priority="6895" operator="equal">
      <formula>8</formula>
    </cfRule>
    <cfRule type="cellIs" dxfId="1238" priority="6896" operator="greaterThan">
      <formula>8</formula>
    </cfRule>
    <cfRule type="cellIs" dxfId="1239" priority="6897" operator="lessThan">
      <formula>8</formula>
    </cfRule>
  </conditionalFormatting>
  <conditionalFormatting sqref="FU59:FU60 GX59:GX60">
    <cfRule type="cellIs" dxfId="1240" priority="6890" operator="equal">
      <formula>0</formula>
    </cfRule>
    <cfRule type="cellIs" dxfId="1241" priority="6891" operator="equal">
      <formula>8</formula>
    </cfRule>
    <cfRule type="cellIs" dxfId="1242" priority="6892" operator="greaterThan">
      <formula>8</formula>
    </cfRule>
    <cfRule type="cellIs" dxfId="1243" priority="6893" operator="lessThan">
      <formula>8</formula>
    </cfRule>
  </conditionalFormatting>
  <conditionalFormatting sqref="FU82 GX82">
    <cfRule type="cellIs" dxfId="1244" priority="6886" operator="equal">
      <formula>0</formula>
    </cfRule>
    <cfRule type="cellIs" dxfId="1245" priority="6887" operator="equal">
      <formula>8</formula>
    </cfRule>
    <cfRule type="cellIs" dxfId="1246" priority="6888" operator="greaterThan">
      <formula>8</formula>
    </cfRule>
    <cfRule type="cellIs" dxfId="1247" priority="6889" operator="lessThan">
      <formula>8</formula>
    </cfRule>
  </conditionalFormatting>
  <conditionalFormatting sqref="FU65:FU66 GX65:GX66">
    <cfRule type="cellIs" dxfId="1248" priority="6882" operator="equal">
      <formula>0</formula>
    </cfRule>
    <cfRule type="cellIs" dxfId="1249" priority="6883" operator="equal">
      <formula>8</formula>
    </cfRule>
    <cfRule type="cellIs" dxfId="1250" priority="6884" operator="greaterThan">
      <formula>8</formula>
    </cfRule>
    <cfRule type="cellIs" dxfId="1251" priority="6885" operator="lessThan">
      <formula>8</formula>
    </cfRule>
  </conditionalFormatting>
  <conditionalFormatting sqref="FU83 GX83">
    <cfRule type="cellIs" dxfId="1252" priority="6878" operator="equal">
      <formula>0</formula>
    </cfRule>
    <cfRule type="cellIs" dxfId="1253" priority="6879" operator="equal">
      <formula>8</formula>
    </cfRule>
    <cfRule type="cellIs" dxfId="1254" priority="6880" operator="greaterThan">
      <formula>8</formula>
    </cfRule>
    <cfRule type="cellIs" dxfId="1255" priority="6881" operator="lessThan">
      <formula>8</formula>
    </cfRule>
  </conditionalFormatting>
  <conditionalFormatting sqref="OX61:OX64 OX67:OX68">
    <cfRule type="cellIs" dxfId="1256" priority="6877" operator="greaterThan">
      <formula>0</formula>
    </cfRule>
    <cfRule type="cellIs" dxfId="1257" priority="6876" operator="equal">
      <formula>0</formula>
    </cfRule>
  </conditionalFormatting>
  <conditionalFormatting sqref="OX59:OX60">
    <cfRule type="cellIs" dxfId="1258" priority="6875" operator="greaterThan">
      <formula>0</formula>
    </cfRule>
    <cfRule type="cellIs" dxfId="1259" priority="6874" operator="equal">
      <formula>0</formula>
    </cfRule>
  </conditionalFormatting>
  <conditionalFormatting sqref="OX82">
    <cfRule type="cellIs" dxfId="1260" priority="6873" operator="greaterThan">
      <formula>0</formula>
    </cfRule>
    <cfRule type="cellIs" dxfId="1261" priority="6872" operator="equal">
      <formula>0</formula>
    </cfRule>
  </conditionalFormatting>
  <conditionalFormatting sqref="OX65:OX66">
    <cfRule type="cellIs" dxfId="1262" priority="6871" operator="greaterThan">
      <formula>0</formula>
    </cfRule>
    <cfRule type="cellIs" dxfId="1263" priority="6870" operator="equal">
      <formula>0</formula>
    </cfRule>
  </conditionalFormatting>
  <conditionalFormatting sqref="OX83:OX84">
    <cfRule type="cellIs" dxfId="1264" priority="6869" operator="greaterThan">
      <formula>0</formula>
    </cfRule>
    <cfRule type="cellIs" dxfId="1265" priority="6868" operator="equal">
      <formula>0</formula>
    </cfRule>
  </conditionalFormatting>
  <conditionalFormatting sqref="WV61:WV64 WV67:WV68">
    <cfRule type="cellIs" dxfId="1266" priority="6867" operator="greaterThan">
      <formula>0</formula>
    </cfRule>
    <cfRule type="cellIs" dxfId="1267" priority="6866" operator="equal">
      <formula>0</formula>
    </cfRule>
  </conditionalFormatting>
  <conditionalFormatting sqref="WV59:WV60">
    <cfRule type="cellIs" dxfId="1268" priority="6865" operator="greaterThan">
      <formula>0</formula>
    </cfRule>
    <cfRule type="cellIs" dxfId="1269" priority="6864" operator="equal">
      <formula>0</formula>
    </cfRule>
  </conditionalFormatting>
  <conditionalFormatting sqref="WV82">
    <cfRule type="cellIs" dxfId="1270" priority="6863" operator="greaterThan">
      <formula>0</formula>
    </cfRule>
    <cfRule type="cellIs" dxfId="1271" priority="6862" operator="equal">
      <formula>0</formula>
    </cfRule>
  </conditionalFormatting>
  <conditionalFormatting sqref="WV65:WV66">
    <cfRule type="cellIs" dxfId="1272" priority="6861" operator="greaterThan">
      <formula>0</formula>
    </cfRule>
    <cfRule type="cellIs" dxfId="1273" priority="6860" operator="equal">
      <formula>0</formula>
    </cfRule>
  </conditionalFormatting>
  <conditionalFormatting sqref="WV83:WV84">
    <cfRule type="cellIs" dxfId="1274" priority="6859" operator="greaterThan">
      <formula>0</formula>
    </cfRule>
    <cfRule type="cellIs" dxfId="1275" priority="6858" operator="equal">
      <formula>0</formula>
    </cfRule>
  </conditionalFormatting>
  <conditionalFormatting sqref="AET61:AET64 AET67:AET68">
    <cfRule type="cellIs" dxfId="1276" priority="6857" operator="greaterThan">
      <formula>0</formula>
    </cfRule>
    <cfRule type="cellIs" dxfId="1277" priority="6856" operator="equal">
      <formula>0</formula>
    </cfRule>
  </conditionalFormatting>
  <conditionalFormatting sqref="AET59:AET60">
    <cfRule type="cellIs" dxfId="1278" priority="6855" operator="greaterThan">
      <formula>0</formula>
    </cfRule>
    <cfRule type="cellIs" dxfId="1279" priority="6854" operator="equal">
      <formula>0</formula>
    </cfRule>
  </conditionalFormatting>
  <conditionalFormatting sqref="AET82">
    <cfRule type="cellIs" dxfId="1280" priority="6853" operator="greaterThan">
      <formula>0</formula>
    </cfRule>
    <cfRule type="cellIs" dxfId="1281" priority="6852" operator="equal">
      <formula>0</formula>
    </cfRule>
  </conditionalFormatting>
  <conditionalFormatting sqref="AET65:AET66">
    <cfRule type="cellIs" dxfId="1282" priority="6851" operator="greaterThan">
      <formula>0</formula>
    </cfRule>
    <cfRule type="cellIs" dxfId="1283" priority="6850" operator="equal">
      <formula>0</formula>
    </cfRule>
  </conditionalFormatting>
  <conditionalFormatting sqref="AET83:AET84">
    <cfRule type="cellIs" dxfId="1284" priority="6849" operator="greaterThan">
      <formula>0</formula>
    </cfRule>
    <cfRule type="cellIs" dxfId="1285" priority="6848" operator="equal">
      <formula>0</formula>
    </cfRule>
  </conditionalFormatting>
  <conditionalFormatting sqref="AMR61:AMR64 AMR67:AMR68">
    <cfRule type="cellIs" dxfId="1286" priority="6847" operator="greaterThan">
      <formula>0</formula>
    </cfRule>
    <cfRule type="cellIs" dxfId="1287" priority="6846" operator="equal">
      <formula>0</formula>
    </cfRule>
  </conditionalFormatting>
  <conditionalFormatting sqref="AMR59:AMR60">
    <cfRule type="cellIs" dxfId="1288" priority="6845" operator="greaterThan">
      <formula>0</formula>
    </cfRule>
    <cfRule type="cellIs" dxfId="1289" priority="6844" operator="equal">
      <formula>0</formula>
    </cfRule>
  </conditionalFormatting>
  <conditionalFormatting sqref="AMR82">
    <cfRule type="cellIs" dxfId="1290" priority="6843" operator="greaterThan">
      <formula>0</formula>
    </cfRule>
    <cfRule type="cellIs" dxfId="1291" priority="6842" operator="equal">
      <formula>0</formula>
    </cfRule>
  </conditionalFormatting>
  <conditionalFormatting sqref="AMR65:AMR66">
    <cfRule type="cellIs" dxfId="1292" priority="6841" operator="greaterThan">
      <formula>0</formula>
    </cfRule>
    <cfRule type="cellIs" dxfId="1293" priority="6840" operator="equal">
      <formula>0</formula>
    </cfRule>
  </conditionalFormatting>
  <conditionalFormatting sqref="AMR83:AMR84">
    <cfRule type="cellIs" dxfId="1294" priority="6839" operator="greaterThan">
      <formula>0</formula>
    </cfRule>
    <cfRule type="cellIs" dxfId="1295" priority="6838" operator="equal">
      <formula>0</formula>
    </cfRule>
  </conditionalFormatting>
  <conditionalFormatting sqref="QB82 RE82 SH82 TK82 UN82">
    <cfRule type="cellIs" dxfId="1296" priority="6834" operator="equal">
      <formula>0</formula>
    </cfRule>
    <cfRule type="cellIs" dxfId="1297" priority="6835" operator="equal">
      <formula>8</formula>
    </cfRule>
    <cfRule type="cellIs" dxfId="1298" priority="6836" operator="greaterThan">
      <formula>8</formula>
    </cfRule>
    <cfRule type="cellIs" dxfId="1299" priority="6837" operator="lessThan">
      <formula>8</formula>
    </cfRule>
  </conditionalFormatting>
  <conditionalFormatting sqref="XZ82">
    <cfRule type="cellIs" dxfId="1300" priority="6830" operator="equal">
      <formula>0</formula>
    </cfRule>
    <cfRule type="cellIs" dxfId="1301" priority="6831" operator="equal">
      <formula>8</formula>
    </cfRule>
    <cfRule type="cellIs" dxfId="1302" priority="6832" operator="greaterThan">
      <formula>8</formula>
    </cfRule>
    <cfRule type="cellIs" dxfId="1303" priority="6833" operator="lessThan">
      <formula>8</formula>
    </cfRule>
  </conditionalFormatting>
  <conditionalFormatting sqref="ABI84">
    <cfRule type="cellIs" dxfId="1304" priority="6826" operator="equal">
      <formula>0</formula>
    </cfRule>
    <cfRule type="cellIs" dxfId="1305" priority="6827" operator="equal">
      <formula>8</formula>
    </cfRule>
    <cfRule type="cellIs" dxfId="1306" priority="6828" operator="greaterThan">
      <formula>8</formula>
    </cfRule>
    <cfRule type="cellIs" dxfId="1307" priority="6829" operator="lessThan">
      <formula>8</formula>
    </cfRule>
  </conditionalFormatting>
  <conditionalFormatting sqref="ID82 JG82 KJ82 LM82 MP82">
    <cfRule type="cellIs" dxfId="1308" priority="6822" operator="equal">
      <formula>0</formula>
    </cfRule>
    <cfRule type="cellIs" dxfId="1309" priority="6823" operator="equal">
      <formula>8</formula>
    </cfRule>
    <cfRule type="cellIs" dxfId="1310" priority="6824" operator="greaterThan">
      <formula>8</formula>
    </cfRule>
    <cfRule type="cellIs" dxfId="1311" priority="6825" operator="lessThan">
      <formula>8</formula>
    </cfRule>
  </conditionalFormatting>
  <conditionalFormatting sqref="MP70">
    <cfRule type="cellIs" dxfId="1312" priority="6818" operator="equal">
      <formula>0</formula>
    </cfRule>
    <cfRule type="cellIs" dxfId="1313" priority="6819" operator="equal">
      <formula>8</formula>
    </cfRule>
    <cfRule type="cellIs" dxfId="1314" priority="6820" operator="greaterThan">
      <formula>8</formula>
    </cfRule>
    <cfRule type="cellIs" dxfId="1315" priority="6821" operator="lessThan">
      <formula>8</formula>
    </cfRule>
  </conditionalFormatting>
  <conditionalFormatting sqref="AFX71:AFX75 AFX77:AFX78 AHA71:AHA75 AHA77:AHA78 AID71:AID75 AID77:AID78 AJG71:AJG75 AJG77:AJG78 AKJ71:AKJ75 AKJ77:AKJ78">
    <cfRule type="cellIs" dxfId="1316" priority="6814" operator="equal">
      <formula>0</formula>
    </cfRule>
    <cfRule type="cellIs" dxfId="1317" priority="6815" operator="equal">
      <formula>8</formula>
    </cfRule>
    <cfRule type="cellIs" dxfId="1318" priority="6816" operator="greaterThan">
      <formula>8</formula>
    </cfRule>
    <cfRule type="cellIs" dxfId="1319" priority="6817" operator="lessThan">
      <formula>8</formula>
    </cfRule>
  </conditionalFormatting>
  <conditionalFormatting sqref="AID77">
    <cfRule type="cellIs" dxfId="1320" priority="6810" operator="equal">
      <formula>0</formula>
    </cfRule>
    <cfRule type="cellIs" dxfId="1321" priority="6811" operator="equal">
      <formula>8</formula>
    </cfRule>
    <cfRule type="cellIs" dxfId="1322" priority="6812" operator="greaterThan">
      <formula>8</formula>
    </cfRule>
    <cfRule type="cellIs" dxfId="1323" priority="6813" operator="lessThan">
      <formula>8</formula>
    </cfRule>
  </conditionalFormatting>
  <conditionalFormatting sqref="AJG77">
    <cfRule type="cellIs" dxfId="1324" priority="6806" operator="equal">
      <formula>0</formula>
    </cfRule>
    <cfRule type="cellIs" dxfId="1325" priority="6807" operator="equal">
      <formula>8</formula>
    </cfRule>
    <cfRule type="cellIs" dxfId="1326" priority="6808" operator="greaterThan">
      <formula>8</formula>
    </cfRule>
    <cfRule type="cellIs" dxfId="1327" priority="6809" operator="lessThan">
      <formula>8</formula>
    </cfRule>
  </conditionalFormatting>
  <conditionalFormatting sqref="AKJ77">
    <cfRule type="cellIs" dxfId="1328" priority="6802" operator="equal">
      <formula>0</formula>
    </cfRule>
    <cfRule type="cellIs" dxfId="1329" priority="6803" operator="equal">
      <formula>8</formula>
    </cfRule>
    <cfRule type="cellIs" dxfId="1330" priority="6804" operator="greaterThan">
      <formula>8</formula>
    </cfRule>
    <cfRule type="cellIs" dxfId="1331" priority="6805" operator="lessThan">
      <formula>8</formula>
    </cfRule>
  </conditionalFormatting>
  <conditionalFormatting sqref="HA75 OY75 WW75 AEU75 AMS75">
    <cfRule type="cellIs" dxfId="1332" priority="6801" operator="greaterThan">
      <formula>0</formula>
    </cfRule>
  </conditionalFormatting>
  <conditionalFormatting sqref="GZ75 OX75 WV75 AET75 AMR75">
    <cfRule type="cellIs" dxfId="1333" priority="6800" operator="greaterThan">
      <formula>0</formula>
    </cfRule>
  </conditionalFormatting>
  <conditionalFormatting sqref="GY75 OW75 WU75 AES75 AMQ75">
    <cfRule type="cellIs" dxfId="1334" priority="6799" operator="greaterThan">
      <formula>0</formula>
    </cfRule>
  </conditionalFormatting>
  <conditionalFormatting sqref="GY75:GZ75 OW75:OX75 WU75:WV75 AES75:AET75 AMQ75:AMR75">
    <cfRule type="cellIs" dxfId="1335" priority="6798" operator="equal">
      <formula>0</formula>
    </cfRule>
  </conditionalFormatting>
  <conditionalFormatting sqref="FU75 GX75 NS75 OV75 VQ75 WT75 ZC75 AAF75 ABI75 ACL75 ADO75 AER75 AFX75 AHA75 AID75 AJG75 AKJ75 ALM75 AMP75">
    <cfRule type="cellIs" dxfId="1336" priority="6794" operator="equal">
      <formula>0</formula>
    </cfRule>
    <cfRule type="cellIs" dxfId="1337" priority="6795" operator="equal">
      <formula>8</formula>
    </cfRule>
    <cfRule type="cellIs" dxfId="1338" priority="6796" operator="greaterThan">
      <formula>8</formula>
    </cfRule>
    <cfRule type="cellIs" dxfId="1339" priority="6797" operator="lessThan">
      <formula>8</formula>
    </cfRule>
  </conditionalFormatting>
  <conditionalFormatting sqref="HA75 AMS75">
    <cfRule type="cellIs" dxfId="1340" priority="6793" operator="greaterThan">
      <formula>0</formula>
    </cfRule>
  </conditionalFormatting>
  <conditionalFormatting sqref="GZ75">
    <cfRule type="cellIs" dxfId="1341" priority="6792" operator="greaterThan">
      <formula>0</formula>
    </cfRule>
  </conditionalFormatting>
  <conditionalFormatting sqref="GY75 AMQ75">
    <cfRule type="cellIs" dxfId="1342" priority="6791" operator="greaterThan">
      <formula>0</formula>
    </cfRule>
  </conditionalFormatting>
  <conditionalFormatting sqref="GY75:GZ75 AMQ75">
    <cfRule type="cellIs" dxfId="1343" priority="6790" operator="equal">
      <formula>0</formula>
    </cfRule>
  </conditionalFormatting>
  <conditionalFormatting sqref="ALM75 AMP75">
    <cfRule type="cellIs" dxfId="1344" priority="6786" operator="equal">
      <formula>0</formula>
    </cfRule>
    <cfRule type="cellIs" dxfId="1345" priority="6787" operator="equal">
      <formula>8</formula>
    </cfRule>
    <cfRule type="cellIs" dxfId="1346" priority="6788" operator="greaterThan">
      <formula>8</formula>
    </cfRule>
    <cfRule type="cellIs" dxfId="1347" priority="6789" operator="lessThan">
      <formula>8</formula>
    </cfRule>
  </conditionalFormatting>
  <conditionalFormatting sqref="OY75 WW75 AEU75">
    <cfRule type="cellIs" dxfId="1348" priority="6785" operator="greaterThan">
      <formula>0</formula>
    </cfRule>
  </conditionalFormatting>
  <conditionalFormatting sqref="OW75 WU75 AES75">
    <cfRule type="cellIs" dxfId="1349" priority="6784" operator="greaterThan">
      <formula>0</formula>
    </cfRule>
    <cfRule type="cellIs" dxfId="1350" priority="6783" operator="equal">
      <formula>0</formula>
    </cfRule>
  </conditionalFormatting>
  <conditionalFormatting sqref="NS75 OV75 VQ75 WT75 ADO75 AER75">
    <cfRule type="cellIs" dxfId="1351" priority="6779" operator="equal">
      <formula>0</formula>
    </cfRule>
    <cfRule type="cellIs" dxfId="1352" priority="6780" operator="equal">
      <formula>8</formula>
    </cfRule>
    <cfRule type="cellIs" dxfId="1353" priority="6781" operator="greaterThan">
      <formula>8</formula>
    </cfRule>
    <cfRule type="cellIs" dxfId="1354" priority="6782" operator="lessThan">
      <formula>8</formula>
    </cfRule>
  </conditionalFormatting>
  <conditionalFormatting sqref="ID75 JG75 KJ75">
    <cfRule type="cellIs" dxfId="1355" priority="6775" operator="equal">
      <formula>0</formula>
    </cfRule>
    <cfRule type="cellIs" dxfId="1356" priority="6776" operator="equal">
      <formula>8</formula>
    </cfRule>
    <cfRule type="cellIs" dxfId="1357" priority="6777" operator="greaterThan">
      <formula>8</formula>
    </cfRule>
    <cfRule type="cellIs" dxfId="1358" priority="6778" operator="lessThan">
      <formula>8</formula>
    </cfRule>
    <cfRule type="cellIs" dxfId="1359" priority="6747" operator="equal">
      <formula>0</formula>
    </cfRule>
    <cfRule type="cellIs" dxfId="1360" priority="6748" operator="equal">
      <formula>8</formula>
    </cfRule>
    <cfRule type="cellIs" dxfId="1361" priority="6749" operator="greaterThan">
      <formula>8</formula>
    </cfRule>
    <cfRule type="cellIs" dxfId="1362" priority="6750" operator="lessThan">
      <formula>8</formula>
    </cfRule>
  </conditionalFormatting>
  <conditionalFormatting sqref="SH75 TK75">
    <cfRule type="cellIs" dxfId="1363" priority="6771" operator="equal">
      <formula>0</formula>
    </cfRule>
    <cfRule type="cellIs" dxfId="1364" priority="6772" operator="equal">
      <formula>8</formula>
    </cfRule>
    <cfRule type="cellIs" dxfId="1365" priority="6773" operator="greaterThan">
      <formula>8</formula>
    </cfRule>
    <cfRule type="cellIs" dxfId="1366" priority="6774" operator="lessThan">
      <formula>8</formula>
    </cfRule>
    <cfRule type="cellIs" dxfId="1367" priority="6767" operator="equal">
      <formula>0</formula>
    </cfRule>
    <cfRule type="cellIs" dxfId="1368" priority="6768" operator="equal">
      <formula>8</formula>
    </cfRule>
    <cfRule type="cellIs" dxfId="1369" priority="6769" operator="greaterThan">
      <formula>8</formula>
    </cfRule>
    <cfRule type="cellIs" dxfId="1370" priority="6770" operator="lessThan">
      <formula>8</formula>
    </cfRule>
  </conditionalFormatting>
  <conditionalFormatting sqref="XZ75 ZC75 AAF75 ABI75 ACL75">
    <cfRule type="cellIs" dxfId="1371" priority="6763" operator="equal">
      <formula>0</formula>
    </cfRule>
    <cfRule type="cellIs" dxfId="1372" priority="6764" operator="equal">
      <formula>8</formula>
    </cfRule>
    <cfRule type="cellIs" dxfId="1373" priority="6765" operator="greaterThan">
      <formula>8</formula>
    </cfRule>
    <cfRule type="cellIs" dxfId="1374" priority="6766" operator="lessThan">
      <formula>8</formula>
    </cfRule>
  </conditionalFormatting>
  <conditionalFormatting sqref="XZ75">
    <cfRule type="cellIs" dxfId="1375" priority="6759" operator="equal">
      <formula>0</formula>
    </cfRule>
    <cfRule type="cellIs" dxfId="1376" priority="6760" operator="equal">
      <formula>8</formula>
    </cfRule>
    <cfRule type="cellIs" dxfId="1377" priority="6761" operator="greaterThan">
      <formula>8</formula>
    </cfRule>
    <cfRule type="cellIs" dxfId="1378" priority="6762" operator="lessThan">
      <formula>8</formula>
    </cfRule>
  </conditionalFormatting>
  <conditionalFormatting sqref="AFX75 AID75 AJG75 AKJ75">
    <cfRule type="cellIs" dxfId="1379" priority="6755" operator="equal">
      <formula>0</formula>
    </cfRule>
    <cfRule type="cellIs" dxfId="1380" priority="6756" operator="equal">
      <formula>8</formula>
    </cfRule>
    <cfRule type="cellIs" dxfId="1381" priority="6757" operator="greaterThan">
      <formula>8</formula>
    </cfRule>
    <cfRule type="cellIs" dxfId="1382" priority="6758" operator="lessThan">
      <formula>8</formula>
    </cfRule>
  </conditionalFormatting>
  <conditionalFormatting sqref="AHA75">
    <cfRule type="cellIs" dxfId="1383" priority="6751" operator="equal">
      <formula>0</formula>
    </cfRule>
    <cfRule type="cellIs" dxfId="1384" priority="6752" operator="equal">
      <formula>8</formula>
    </cfRule>
    <cfRule type="cellIs" dxfId="1385" priority="6753" operator="greaterThan">
      <formula>8</formula>
    </cfRule>
    <cfRule type="cellIs" dxfId="1386" priority="6754" operator="lessThan">
      <formula>8</formula>
    </cfRule>
  </conditionalFormatting>
  <conditionalFormatting sqref="FU75 GX75">
    <cfRule type="cellIs" dxfId="1387" priority="6739" operator="equal">
      <formula>0</formula>
    </cfRule>
    <cfRule type="cellIs" dxfId="1388" priority="6740" operator="equal">
      <formula>8</formula>
    </cfRule>
    <cfRule type="cellIs" dxfId="1389" priority="6741" operator="greaterThan">
      <formula>8</formula>
    </cfRule>
    <cfRule type="cellIs" dxfId="1390" priority="6742" operator="lessThan">
      <formula>8</formula>
    </cfRule>
  </conditionalFormatting>
  <conditionalFormatting sqref="OX75">
    <cfRule type="cellIs" dxfId="1391" priority="6738" operator="greaterThan">
      <formula>0</formula>
    </cfRule>
    <cfRule type="cellIs" dxfId="1392" priority="6737" operator="equal">
      <formula>0</formula>
    </cfRule>
  </conditionalFormatting>
  <conditionalFormatting sqref="WV75">
    <cfRule type="cellIs" dxfId="1393" priority="6736" operator="greaterThan">
      <formula>0</formula>
    </cfRule>
    <cfRule type="cellIs" dxfId="1394" priority="6735" operator="equal">
      <formula>0</formula>
    </cfRule>
  </conditionalFormatting>
  <conditionalFormatting sqref="AET75">
    <cfRule type="cellIs" dxfId="1395" priority="6734" operator="greaterThan">
      <formula>0</formula>
    </cfRule>
    <cfRule type="cellIs" dxfId="1396" priority="6733" operator="equal">
      <formula>0</formula>
    </cfRule>
  </conditionalFormatting>
  <conditionalFormatting sqref="AMR75">
    <cfRule type="cellIs" dxfId="1397" priority="6732" operator="greaterThan">
      <formula>0</formula>
    </cfRule>
    <cfRule type="cellIs" dxfId="1398" priority="6731" operator="equal">
      <formula>0</formula>
    </cfRule>
  </conditionalFormatting>
  <conditionalFormatting sqref="AKJ74">
    <cfRule type="cellIs" dxfId="1399" priority="6727" operator="equal">
      <formula>0</formula>
    </cfRule>
    <cfRule type="cellIs" dxfId="1400" priority="6728" operator="equal">
      <formula>8</formula>
    </cfRule>
    <cfRule type="cellIs" dxfId="1401" priority="6729" operator="greaterThan">
      <formula>8</formula>
    </cfRule>
    <cfRule type="cellIs" dxfId="1402" priority="6730" operator="lessThan">
      <formula>8</formula>
    </cfRule>
  </conditionalFormatting>
  <conditionalFormatting sqref="AID57:AID58">
    <cfRule type="cellIs" dxfId="1403" priority="6723" operator="equal">
      <formula>0</formula>
    </cfRule>
    <cfRule type="cellIs" dxfId="1404" priority="6724" operator="equal">
      <formula>8</formula>
    </cfRule>
    <cfRule type="cellIs" dxfId="1405" priority="6725" operator="greaterThan">
      <formula>8</formula>
    </cfRule>
    <cfRule type="cellIs" dxfId="1406" priority="6726" operator="lessThan">
      <formula>8</formula>
    </cfRule>
  </conditionalFormatting>
  <conditionalFormatting sqref="AF62:AF64 AF82 BI62:BI64 BI82 CL62:CL64 CL82 DO62:DO64 DO82 ER62:ER64 ER82">
    <cfRule type="cellIs" dxfId="1407" priority="6719" operator="equal">
      <formula>0</formula>
    </cfRule>
    <cfRule type="cellIs" dxfId="1408" priority="6720" operator="equal">
      <formula>8</formula>
    </cfRule>
    <cfRule type="cellIs" dxfId="1409" priority="6721" operator="greaterThan">
      <formula>8</formula>
    </cfRule>
    <cfRule type="cellIs" dxfId="1410" priority="6722" operator="lessThan">
      <formula>8</formula>
    </cfRule>
  </conditionalFormatting>
  <conditionalFormatting sqref="ER67:ER68">
    <cfRule type="cellIs" dxfId="1411" priority="6715" operator="equal">
      <formula>0</formula>
    </cfRule>
    <cfRule type="cellIs" dxfId="1412" priority="6716" operator="equal">
      <formula>8</formula>
    </cfRule>
    <cfRule type="cellIs" dxfId="1413" priority="6717" operator="greaterThan">
      <formula>8</formula>
    </cfRule>
    <cfRule type="cellIs" dxfId="1414" priority="6718" operator="lessThan">
      <formula>8</formula>
    </cfRule>
  </conditionalFormatting>
  <conditionalFormatting sqref="DO67:DO68">
    <cfRule type="cellIs" dxfId="1415" priority="6711" operator="equal">
      <formula>0</formula>
    </cfRule>
    <cfRule type="cellIs" dxfId="1416" priority="6712" operator="equal">
      <formula>8</formula>
    </cfRule>
    <cfRule type="cellIs" dxfId="1417" priority="6713" operator="greaterThan">
      <formula>8</formula>
    </cfRule>
    <cfRule type="cellIs" dxfId="1418" priority="6714" operator="lessThan">
      <formula>8</formula>
    </cfRule>
  </conditionalFormatting>
  <conditionalFormatting sqref="AF80:AF81 CL80:CL81 DO81 ER80:ER81">
    <cfRule type="cellIs" dxfId="1419" priority="6707" operator="equal">
      <formula>0</formula>
    </cfRule>
    <cfRule type="cellIs" dxfId="1420" priority="6708" operator="equal">
      <formula>8</formula>
    </cfRule>
    <cfRule type="cellIs" dxfId="1421" priority="6709" operator="greaterThan">
      <formula>8</formula>
    </cfRule>
    <cfRule type="cellIs" dxfId="1422" priority="6710" operator="lessThan">
      <formula>8</formula>
    </cfRule>
  </conditionalFormatting>
  <conditionalFormatting sqref="AF61:AF64 CL61:CL64 DO61:DO64 ER61:ER64">
    <cfRule type="cellIs" dxfId="1423" priority="6703" operator="equal">
      <formula>0</formula>
    </cfRule>
    <cfRule type="cellIs" dxfId="1424" priority="6704" operator="equal">
      <formula>8</formula>
    </cfRule>
    <cfRule type="cellIs" dxfId="1425" priority="6705" operator="greaterThan">
      <formula>8</formula>
    </cfRule>
    <cfRule type="cellIs" dxfId="1426" priority="6706" operator="lessThan">
      <formula>8</formula>
    </cfRule>
  </conditionalFormatting>
  <conditionalFormatting sqref="CL69 DO69 ER69">
    <cfRule type="cellIs" dxfId="1427" priority="6699" operator="equal">
      <formula>0</formula>
    </cfRule>
    <cfRule type="cellIs" dxfId="1428" priority="6700" operator="equal">
      <formula>8</formula>
    </cfRule>
    <cfRule type="cellIs" dxfId="1429" priority="6701" operator="greaterThan">
      <formula>8</formula>
    </cfRule>
    <cfRule type="cellIs" dxfId="1430" priority="6702" operator="lessThan">
      <formula>8</formula>
    </cfRule>
  </conditionalFormatting>
  <conditionalFormatting sqref="AF70 CL70 DO70 ER70">
    <cfRule type="cellIs" dxfId="1431" priority="6695" operator="equal">
      <formula>0</formula>
    </cfRule>
    <cfRule type="cellIs" dxfId="1432" priority="6696" operator="equal">
      <formula>8</formula>
    </cfRule>
    <cfRule type="cellIs" dxfId="1433" priority="6697" operator="greaterThan">
      <formula>8</formula>
    </cfRule>
    <cfRule type="cellIs" dxfId="1434" priority="6698" operator="lessThan">
      <formula>8</formula>
    </cfRule>
  </conditionalFormatting>
  <conditionalFormatting sqref="BI61:BI64">
    <cfRule type="cellIs" dxfId="1435" priority="6691" operator="equal">
      <formula>0</formula>
    </cfRule>
    <cfRule type="cellIs" dxfId="1436" priority="6692" operator="equal">
      <formula>8</formula>
    </cfRule>
    <cfRule type="cellIs" dxfId="1437" priority="6693" operator="greaterThan">
      <formula>8</formula>
    </cfRule>
    <cfRule type="cellIs" dxfId="1438" priority="6694" operator="lessThan">
      <formula>8</formula>
    </cfRule>
  </conditionalFormatting>
  <conditionalFormatting sqref="BI70">
    <cfRule type="cellIs" dxfId="1439" priority="6687" operator="equal">
      <formula>0</formula>
    </cfRule>
    <cfRule type="cellIs" dxfId="1440" priority="6688" operator="equal">
      <formula>8</formula>
    </cfRule>
    <cfRule type="cellIs" dxfId="1441" priority="6689" operator="greaterThan">
      <formula>8</formula>
    </cfRule>
    <cfRule type="cellIs" dxfId="1442" priority="6690" operator="lessThan">
      <formula>8</formula>
    </cfRule>
  </conditionalFormatting>
  <conditionalFormatting sqref="BI69">
    <cfRule type="cellIs" dxfId="1443" priority="6683" operator="equal">
      <formula>0</formula>
    </cfRule>
    <cfRule type="cellIs" dxfId="1444" priority="6684" operator="equal">
      <formula>8</formula>
    </cfRule>
    <cfRule type="cellIs" dxfId="1445" priority="6685" operator="greaterThan">
      <formula>8</formula>
    </cfRule>
    <cfRule type="cellIs" dxfId="1446" priority="6686" operator="lessThan">
      <formula>8</formula>
    </cfRule>
  </conditionalFormatting>
  <conditionalFormatting sqref="BI80:BI81">
    <cfRule type="cellIs" dxfId="1447" priority="6679" operator="equal">
      <formula>0</formula>
    </cfRule>
    <cfRule type="cellIs" dxfId="1448" priority="6680" operator="equal">
      <formula>8</formula>
    </cfRule>
    <cfRule type="cellIs" dxfId="1449" priority="6681" operator="greaterThan">
      <formula>8</formula>
    </cfRule>
    <cfRule type="cellIs" dxfId="1450" priority="6682" operator="lessThan">
      <formula>8</formula>
    </cfRule>
  </conditionalFormatting>
  <conditionalFormatting sqref="AF59:AF60 CL59:CL60 DO59:DO60 ER59:ER60">
    <cfRule type="cellIs" dxfId="1451" priority="6675" operator="equal">
      <formula>0</formula>
    </cfRule>
    <cfRule type="cellIs" dxfId="1452" priority="6676" operator="equal">
      <formula>8</formula>
    </cfRule>
    <cfRule type="cellIs" dxfId="1453" priority="6677" operator="greaterThan">
      <formula>8</formula>
    </cfRule>
    <cfRule type="cellIs" dxfId="1454" priority="6678" operator="lessThan">
      <formula>8</formula>
    </cfRule>
  </conditionalFormatting>
  <conditionalFormatting sqref="BI59:BI60">
    <cfRule type="cellIs" dxfId="1455" priority="6671" operator="equal">
      <formula>0</formula>
    </cfRule>
    <cfRule type="cellIs" dxfId="1456" priority="6672" operator="equal">
      <formula>8</formula>
    </cfRule>
    <cfRule type="cellIs" dxfId="1457" priority="6673" operator="greaterThan">
      <formula>8</formula>
    </cfRule>
    <cfRule type="cellIs" dxfId="1458" priority="6674" operator="lessThan">
      <formula>8</formula>
    </cfRule>
  </conditionalFormatting>
  <conditionalFormatting sqref="AF82 CL82 DO82 ER82">
    <cfRule type="cellIs" dxfId="1459" priority="6667" operator="equal">
      <formula>0</formula>
    </cfRule>
    <cfRule type="cellIs" dxfId="1460" priority="6668" operator="equal">
      <formula>8</formula>
    </cfRule>
    <cfRule type="cellIs" dxfId="1461" priority="6669" operator="greaterThan">
      <formula>8</formula>
    </cfRule>
    <cfRule type="cellIs" dxfId="1462" priority="6670" operator="lessThan">
      <formula>8</formula>
    </cfRule>
  </conditionalFormatting>
  <conditionalFormatting sqref="BI82">
    <cfRule type="cellIs" dxfId="1463" priority="6663" operator="equal">
      <formula>0</formula>
    </cfRule>
    <cfRule type="cellIs" dxfId="1464" priority="6664" operator="equal">
      <formula>8</formula>
    </cfRule>
    <cfRule type="cellIs" dxfId="1465" priority="6665" operator="greaterThan">
      <formula>8</formula>
    </cfRule>
    <cfRule type="cellIs" dxfId="1466" priority="6666" operator="lessThan">
      <formula>8</formula>
    </cfRule>
  </conditionalFormatting>
  <conditionalFormatting sqref="ER65:ER66">
    <cfRule type="cellIs" dxfId="1467" priority="6659" operator="equal">
      <formula>0</formula>
    </cfRule>
    <cfRule type="cellIs" dxfId="1468" priority="6660" operator="equal">
      <formula>8</formula>
    </cfRule>
    <cfRule type="cellIs" dxfId="1469" priority="6661" operator="greaterThan">
      <formula>8</formula>
    </cfRule>
    <cfRule type="cellIs" dxfId="1470" priority="6662" operator="lessThan">
      <formula>8</formula>
    </cfRule>
  </conditionalFormatting>
  <conditionalFormatting sqref="DO65:DO66">
    <cfRule type="cellIs" dxfId="1471" priority="6655" operator="equal">
      <formula>0</formula>
    </cfRule>
    <cfRule type="cellIs" dxfId="1472" priority="6656" operator="equal">
      <formula>8</formula>
    </cfRule>
    <cfRule type="cellIs" dxfId="1473" priority="6657" operator="greaterThan">
      <formula>8</formula>
    </cfRule>
    <cfRule type="cellIs" dxfId="1474" priority="6658" operator="lessThan">
      <formula>8</formula>
    </cfRule>
  </conditionalFormatting>
  <conditionalFormatting sqref="AF65:AF66">
    <cfRule type="cellIs" dxfId="1475" priority="6651" operator="equal">
      <formula>0</formula>
    </cfRule>
    <cfRule type="cellIs" dxfId="1476" priority="6652" operator="equal">
      <formula>8</formula>
    </cfRule>
    <cfRule type="cellIs" dxfId="1477" priority="6653" operator="greaterThan">
      <formula>8</formula>
    </cfRule>
    <cfRule type="cellIs" dxfId="1478" priority="6654" operator="lessThan">
      <formula>8</formula>
    </cfRule>
  </conditionalFormatting>
  <conditionalFormatting sqref="CL65:CL66">
    <cfRule type="cellIs" dxfId="1479" priority="6647" operator="equal">
      <formula>0</formula>
    </cfRule>
    <cfRule type="cellIs" dxfId="1480" priority="6648" operator="equal">
      <formula>8</formula>
    </cfRule>
    <cfRule type="cellIs" dxfId="1481" priority="6649" operator="greaterThan">
      <formula>8</formula>
    </cfRule>
    <cfRule type="cellIs" dxfId="1482" priority="6650" operator="lessThan">
      <formula>8</formula>
    </cfRule>
  </conditionalFormatting>
  <conditionalFormatting sqref="BI65:BI66">
    <cfRule type="cellIs" dxfId="1483" priority="6643" operator="equal">
      <formula>0</formula>
    </cfRule>
    <cfRule type="cellIs" dxfId="1484" priority="6644" operator="equal">
      <formula>8</formula>
    </cfRule>
    <cfRule type="cellIs" dxfId="1485" priority="6645" operator="greaterThan">
      <formula>8</formula>
    </cfRule>
    <cfRule type="cellIs" dxfId="1486" priority="6646" operator="lessThan">
      <formula>8</formula>
    </cfRule>
  </conditionalFormatting>
  <conditionalFormatting sqref="AF83:AF84 CL83:CL84 DO83:DO84 ER83:ER84">
    <cfRule type="cellIs" dxfId="1487" priority="6639" operator="equal">
      <formula>0</formula>
    </cfRule>
    <cfRule type="cellIs" dxfId="1488" priority="6640" operator="equal">
      <formula>8</formula>
    </cfRule>
    <cfRule type="cellIs" dxfId="1489" priority="6641" operator="greaterThan">
      <formula>8</formula>
    </cfRule>
    <cfRule type="cellIs" dxfId="1490" priority="6642" operator="lessThan">
      <formula>8</formula>
    </cfRule>
  </conditionalFormatting>
  <conditionalFormatting sqref="BI83:BI84">
    <cfRule type="cellIs" dxfId="1491" priority="6635" operator="equal">
      <formula>0</formula>
    </cfRule>
    <cfRule type="cellIs" dxfId="1492" priority="6636" operator="equal">
      <formula>8</formula>
    </cfRule>
    <cfRule type="cellIs" dxfId="1493" priority="6637" operator="greaterThan">
      <formula>8</formula>
    </cfRule>
    <cfRule type="cellIs" dxfId="1494" priority="6638" operator="lessThan">
      <formula>8</formula>
    </cfRule>
  </conditionalFormatting>
  <conditionalFormatting sqref="AF67:AF68">
    <cfRule type="cellIs" dxfId="1495" priority="6631" operator="equal">
      <formula>0</formula>
    </cfRule>
    <cfRule type="cellIs" dxfId="1496" priority="6632" operator="equal">
      <formula>8</formula>
    </cfRule>
    <cfRule type="cellIs" dxfId="1497" priority="6633" operator="greaterThan">
      <formula>8</formula>
    </cfRule>
    <cfRule type="cellIs" dxfId="1498" priority="6634" operator="lessThan">
      <formula>8</formula>
    </cfRule>
  </conditionalFormatting>
  <conditionalFormatting sqref="BI67:BI68">
    <cfRule type="cellIs" dxfId="1499" priority="6627" operator="equal">
      <formula>0</formula>
    </cfRule>
    <cfRule type="cellIs" dxfId="1500" priority="6628" operator="equal">
      <formula>8</formula>
    </cfRule>
    <cfRule type="cellIs" dxfId="1501" priority="6629" operator="greaterThan">
      <formula>8</formula>
    </cfRule>
    <cfRule type="cellIs" dxfId="1502" priority="6630" operator="lessThan">
      <formula>8</formula>
    </cfRule>
  </conditionalFormatting>
  <conditionalFormatting sqref="CL67:CL68">
    <cfRule type="cellIs" dxfId="1503" priority="6623" operator="equal">
      <formula>0</formula>
    </cfRule>
    <cfRule type="cellIs" dxfId="1504" priority="6624" operator="equal">
      <formula>8</formula>
    </cfRule>
    <cfRule type="cellIs" dxfId="1505" priority="6625" operator="greaterThan">
      <formula>8</formula>
    </cfRule>
    <cfRule type="cellIs" dxfId="1506" priority="6626" operator="lessThan">
      <formula>8</formula>
    </cfRule>
  </conditionalFormatting>
  <conditionalFormatting sqref="AF69">
    <cfRule type="cellIs" dxfId="1507" priority="6619" operator="equal">
      <formula>0</formula>
    </cfRule>
    <cfRule type="cellIs" dxfId="1508" priority="6620" operator="equal">
      <formula>8</formula>
    </cfRule>
    <cfRule type="cellIs" dxfId="1509" priority="6621" operator="greaterThan">
      <formula>8</formula>
    </cfRule>
    <cfRule type="cellIs" dxfId="1510" priority="6622" operator="lessThan">
      <formula>8</formula>
    </cfRule>
  </conditionalFormatting>
  <conditionalFormatting sqref="AF71:AF72 AF74:AF75 AF77:AF78 BI71:BI75 BI77:BI78 CL71:CL75 CL77:CL78 DO71:DO75 DO77:DO78 ER71:ER75 ER77:ER78">
    <cfRule type="cellIs" dxfId="1511" priority="6615" operator="equal">
      <formula>0</formula>
    </cfRule>
    <cfRule type="cellIs" dxfId="1512" priority="6616" operator="equal">
      <formula>8</formula>
    </cfRule>
    <cfRule type="cellIs" dxfId="1513" priority="6617" operator="greaterThan">
      <formula>8</formula>
    </cfRule>
    <cfRule type="cellIs" dxfId="1514" priority="6618" operator="lessThan">
      <formula>8</formula>
    </cfRule>
  </conditionalFormatting>
  <conditionalFormatting sqref="AF57:AF58 BI57 DO57:DO58 ER57:ER58">
    <cfRule type="cellIs" dxfId="1515" priority="6611" operator="equal">
      <formula>0</formula>
    </cfRule>
    <cfRule type="cellIs" dxfId="1516" priority="6612" operator="equal">
      <formula>8</formula>
    </cfRule>
    <cfRule type="cellIs" dxfId="1517" priority="6613" operator="greaterThan">
      <formula>8</formula>
    </cfRule>
    <cfRule type="cellIs" dxfId="1518" priority="6614" operator="lessThan">
      <formula>8</formula>
    </cfRule>
  </conditionalFormatting>
  <conditionalFormatting sqref="AF72 AF74:AF75 AF77:AF78 BI72:BI75 BI77:BI78 CL72:CL75 CL77:CL78 DO72:DO75 DO77:DO78 ER72:ER75 ER77:ER78">
    <cfRule type="cellIs" dxfId="1519" priority="6607" operator="equal">
      <formula>0</formula>
    </cfRule>
    <cfRule type="cellIs" dxfId="1520" priority="6608" operator="equal">
      <formula>8</formula>
    </cfRule>
    <cfRule type="cellIs" dxfId="1521" priority="6609" operator="greaterThan">
      <formula>8</formula>
    </cfRule>
    <cfRule type="cellIs" dxfId="1522" priority="6610" operator="lessThan">
      <formula>8</formula>
    </cfRule>
  </conditionalFormatting>
  <conditionalFormatting sqref="AF58 CL58 DO58 ER58">
    <cfRule type="cellIs" dxfId="1523" priority="6603" operator="equal">
      <formula>0</formula>
    </cfRule>
    <cfRule type="cellIs" dxfId="1524" priority="6604" operator="equal">
      <formula>8</formula>
    </cfRule>
    <cfRule type="cellIs" dxfId="1525" priority="6605" operator="greaterThan">
      <formula>8</formula>
    </cfRule>
    <cfRule type="cellIs" dxfId="1526" priority="6606" operator="lessThan">
      <formula>8</formula>
    </cfRule>
  </conditionalFormatting>
  <conditionalFormatting sqref="AF60 BI60 CL60 DO60 ER60">
    <cfRule type="cellIs" dxfId="1527" priority="6599" operator="equal">
      <formula>0</formula>
    </cfRule>
    <cfRule type="cellIs" dxfId="1528" priority="6600" operator="equal">
      <formula>8</formula>
    </cfRule>
    <cfRule type="cellIs" dxfId="1529" priority="6601" operator="greaterThan">
      <formula>8</formula>
    </cfRule>
    <cfRule type="cellIs" dxfId="1530" priority="6602" operator="lessThan">
      <formula>8</formula>
    </cfRule>
  </conditionalFormatting>
  <conditionalFormatting sqref="AF68 BI68 CL68 DO68 ER68">
    <cfRule type="cellIs" dxfId="1531" priority="6595" operator="equal">
      <formula>0</formula>
    </cfRule>
    <cfRule type="cellIs" dxfId="1532" priority="6596" operator="equal">
      <formula>8</formula>
    </cfRule>
    <cfRule type="cellIs" dxfId="1533" priority="6597" operator="greaterThan">
      <formula>8</formula>
    </cfRule>
    <cfRule type="cellIs" dxfId="1534" priority="6598" operator="lessThan">
      <formula>8</formula>
    </cfRule>
  </conditionalFormatting>
  <conditionalFormatting sqref="AF74 BI74 CL74 DO74">
    <cfRule type="cellIs" dxfId="1535" priority="6591" operator="equal">
      <formula>0</formula>
    </cfRule>
    <cfRule type="cellIs" dxfId="1536" priority="6592" operator="equal">
      <formula>8</formula>
    </cfRule>
    <cfRule type="cellIs" dxfId="1537" priority="6593" operator="greaterThan">
      <formula>8</formula>
    </cfRule>
    <cfRule type="cellIs" dxfId="1538" priority="6594" operator="lessThan">
      <formula>8</formula>
    </cfRule>
  </conditionalFormatting>
  <conditionalFormatting sqref="AF77 BI77">
    <cfRule type="cellIs" dxfId="1539" priority="6587" operator="equal">
      <formula>0</formula>
    </cfRule>
    <cfRule type="cellIs" dxfId="1540" priority="6588" operator="equal">
      <formula>8</formula>
    </cfRule>
    <cfRule type="cellIs" dxfId="1541" priority="6589" operator="greaterThan">
      <formula>8</formula>
    </cfRule>
    <cfRule type="cellIs" dxfId="1542" priority="6590" operator="lessThan">
      <formula>8</formula>
    </cfRule>
  </conditionalFormatting>
  <conditionalFormatting sqref="CL77">
    <cfRule type="cellIs" dxfId="1543" priority="6583" operator="equal">
      <formula>0</formula>
    </cfRule>
    <cfRule type="cellIs" dxfId="1544" priority="6584" operator="equal">
      <formula>8</formula>
    </cfRule>
    <cfRule type="cellIs" dxfId="1545" priority="6585" operator="greaterThan">
      <formula>8</formula>
    </cfRule>
    <cfRule type="cellIs" dxfId="1546" priority="6586" operator="lessThan">
      <formula>8</formula>
    </cfRule>
  </conditionalFormatting>
  <conditionalFormatting sqref="DO77">
    <cfRule type="cellIs" dxfId="1547" priority="6579" operator="equal">
      <formula>0</formula>
    </cfRule>
    <cfRule type="cellIs" dxfId="1548" priority="6580" operator="equal">
      <formula>8</formula>
    </cfRule>
    <cfRule type="cellIs" dxfId="1549" priority="6581" operator="greaterThan">
      <formula>8</formula>
    </cfRule>
    <cfRule type="cellIs" dxfId="1550" priority="6582" operator="lessThan">
      <formula>8</formula>
    </cfRule>
  </conditionalFormatting>
  <conditionalFormatting sqref="ER77">
    <cfRule type="cellIs" dxfId="1551" priority="6575" operator="equal">
      <formula>0</formula>
    </cfRule>
    <cfRule type="cellIs" dxfId="1552" priority="6576" operator="equal">
      <formula>8</formula>
    </cfRule>
    <cfRule type="cellIs" dxfId="1553" priority="6577" operator="greaterThan">
      <formula>8</formula>
    </cfRule>
    <cfRule type="cellIs" dxfId="1554" priority="6578" operator="lessThan">
      <formula>8</formula>
    </cfRule>
  </conditionalFormatting>
  <conditionalFormatting sqref="AF75 BI75 CL75 DO75 ER75">
    <cfRule type="cellIs" dxfId="1555" priority="6571" operator="equal">
      <formula>0</formula>
    </cfRule>
    <cfRule type="cellIs" dxfId="1556" priority="6572" operator="equal">
      <formula>8</formula>
    </cfRule>
    <cfRule type="cellIs" dxfId="1557" priority="6573" operator="greaterThan">
      <formula>8</formula>
    </cfRule>
    <cfRule type="cellIs" dxfId="1558" priority="6574" operator="lessThan">
      <formula>8</formula>
    </cfRule>
  </conditionalFormatting>
  <conditionalFormatting sqref="AF75 CL75 DO75 ER75">
    <cfRule type="cellIs" dxfId="1559" priority="6567" operator="equal">
      <formula>0</formula>
    </cfRule>
    <cfRule type="cellIs" dxfId="1560" priority="6568" operator="equal">
      <formula>8</formula>
    </cfRule>
    <cfRule type="cellIs" dxfId="1561" priority="6569" operator="greaterThan">
      <formula>8</formula>
    </cfRule>
    <cfRule type="cellIs" dxfId="1562" priority="6570" operator="lessThan">
      <formula>8</formula>
    </cfRule>
  </conditionalFormatting>
  <conditionalFormatting sqref="BI75">
    <cfRule type="cellIs" dxfId="1563" priority="6563" operator="equal">
      <formula>0</formula>
    </cfRule>
    <cfRule type="cellIs" dxfId="1564" priority="6564" operator="equal">
      <formula>8</formula>
    </cfRule>
    <cfRule type="cellIs" dxfId="1565" priority="6565" operator="greaterThan">
      <formula>8</formula>
    </cfRule>
    <cfRule type="cellIs" dxfId="1566" priority="6566" operator="lessThan">
      <formula>8</formula>
    </cfRule>
  </conditionalFormatting>
  <conditionalFormatting sqref="ER74">
    <cfRule type="cellIs" dxfId="1567" priority="6559" operator="equal">
      <formula>0</formula>
    </cfRule>
    <cfRule type="cellIs" dxfId="1568" priority="6560" operator="equal">
      <formula>8</formula>
    </cfRule>
    <cfRule type="cellIs" dxfId="1569" priority="6561" operator="greaterThan">
      <formula>8</formula>
    </cfRule>
    <cfRule type="cellIs" dxfId="1570" priority="6562" operator="lessThan">
      <formula>8</formula>
    </cfRule>
  </conditionalFormatting>
  <conditionalFormatting sqref="CL57:CL58">
    <cfRule type="cellIs" dxfId="1571" priority="6555" operator="equal">
      <formula>0</formula>
    </cfRule>
    <cfRule type="cellIs" dxfId="1572" priority="6556" operator="equal">
      <formula>8</formula>
    </cfRule>
    <cfRule type="cellIs" dxfId="1573" priority="6557" operator="greaterThan">
      <formula>8</formula>
    </cfRule>
    <cfRule type="cellIs" dxfId="1574" priority="6558" operator="lessThan">
      <formula>8</formula>
    </cfRule>
  </conditionalFormatting>
  <conditionalFormatting sqref="ER66">
    <cfRule type="cellIs" dxfId="1575" priority="6551" operator="equal">
      <formula>0</formula>
    </cfRule>
    <cfRule type="cellIs" dxfId="1576" priority="6552" operator="equal">
      <formula>8</formula>
    </cfRule>
    <cfRule type="cellIs" dxfId="1577" priority="6553" operator="greaterThan">
      <formula>8</formula>
    </cfRule>
    <cfRule type="cellIs" dxfId="1578" priority="6554" operator="lessThan">
      <formula>8</formula>
    </cfRule>
  </conditionalFormatting>
  <conditionalFormatting sqref="ER73">
    <cfRule type="cellIs" dxfId="1579" priority="6547" operator="equal">
      <formula>0</formula>
    </cfRule>
    <cfRule type="cellIs" dxfId="1580" priority="6548" operator="equal">
      <formula>8</formula>
    </cfRule>
    <cfRule type="cellIs" dxfId="1581" priority="6549" operator="greaterThan">
      <formula>8</formula>
    </cfRule>
    <cfRule type="cellIs" dxfId="1582" priority="6550" operator="lessThan">
      <formula>8</formula>
    </cfRule>
  </conditionalFormatting>
  <conditionalFormatting sqref="AF66 BI66 CL66 DO66">
    <cfRule type="cellIs" dxfId="1583" priority="6543" operator="equal">
      <formula>0</formula>
    </cfRule>
    <cfRule type="cellIs" dxfId="1584" priority="6544" operator="equal">
      <formula>8</formula>
    </cfRule>
    <cfRule type="cellIs" dxfId="1585" priority="6545" operator="greaterThan">
      <formula>8</formula>
    </cfRule>
    <cfRule type="cellIs" dxfId="1586" priority="6546" operator="lessThan">
      <formula>8</formula>
    </cfRule>
  </conditionalFormatting>
  <conditionalFormatting sqref="CL73 DO73">
    <cfRule type="cellIs" dxfId="1587" priority="6539" operator="equal">
      <formula>0</formula>
    </cfRule>
    <cfRule type="cellIs" dxfId="1588" priority="6540" operator="equal">
      <formula>8</formula>
    </cfRule>
    <cfRule type="cellIs" dxfId="1589" priority="6541" operator="greaterThan">
      <formula>8</formula>
    </cfRule>
    <cfRule type="cellIs" dxfId="1590" priority="6542" operator="lessThan">
      <formula>8</formula>
    </cfRule>
  </conditionalFormatting>
  <conditionalFormatting sqref="BI73">
    <cfRule type="cellIs" dxfId="1591" priority="6531" operator="equal">
      <formula>0</formula>
    </cfRule>
    <cfRule type="cellIs" dxfId="1592" priority="6532" operator="equal">
      <formula>8</formula>
    </cfRule>
    <cfRule type="cellIs" dxfId="1593" priority="6533" operator="greaterThan">
      <formula>8</formula>
    </cfRule>
    <cfRule type="cellIs" dxfId="1594" priority="6534" operator="lessThan">
      <formula>8</formula>
    </cfRule>
  </conditionalFormatting>
  <conditionalFormatting sqref="QB76 RE76 SH76 TK76 UN76">
    <cfRule type="cellIs" dxfId="1595" priority="6147" operator="equal">
      <formula>0</formula>
    </cfRule>
    <cfRule type="cellIs" dxfId="1596" priority="6148" operator="equal">
      <formula>8</formula>
    </cfRule>
    <cfRule type="cellIs" dxfId="1597" priority="6149" operator="greaterThan">
      <formula>8</formula>
    </cfRule>
    <cfRule type="cellIs" dxfId="1598" priority="6150" operator="lessThan">
      <formula>8</formula>
    </cfRule>
    <cfRule type="cellIs" dxfId="1599" priority="6112" operator="equal">
      <formula>0</formula>
    </cfRule>
    <cfRule type="cellIs" dxfId="1600" priority="6113" operator="equal">
      <formula>8</formula>
    </cfRule>
    <cfRule type="cellIs" dxfId="1601" priority="6114" operator="greaterThan">
      <formula>8</formula>
    </cfRule>
    <cfRule type="cellIs" dxfId="1602" priority="6115" operator="lessThan">
      <formula>8</formula>
    </cfRule>
  </conditionalFormatting>
  <conditionalFormatting sqref="XZ76 ZC76 AAF76 ABI76 ACL76">
    <cfRule type="cellIs" dxfId="1603" priority="6143" operator="equal">
      <formula>0</formula>
    </cfRule>
    <cfRule type="cellIs" dxfId="1604" priority="6144" operator="equal">
      <formula>8</formula>
    </cfRule>
    <cfRule type="cellIs" dxfId="1605" priority="6145" operator="greaterThan">
      <formula>8</formula>
    </cfRule>
    <cfRule type="cellIs" dxfId="1606" priority="6146" operator="lessThan">
      <formula>8</formula>
    </cfRule>
    <cfRule type="cellIs" dxfId="1607" priority="6108" operator="equal">
      <formula>0</formula>
    </cfRule>
    <cfRule type="cellIs" dxfId="1608" priority="6109" operator="equal">
      <formula>8</formula>
    </cfRule>
    <cfRule type="cellIs" dxfId="1609" priority="6110" operator="greaterThan">
      <formula>8</formula>
    </cfRule>
    <cfRule type="cellIs" dxfId="1610" priority="6111" operator="lessThan">
      <formula>8</formula>
    </cfRule>
  </conditionalFormatting>
  <conditionalFormatting sqref="ID76 JG76 KJ76 LM76 MP76">
    <cfRule type="cellIs" dxfId="1611" priority="6135" operator="equal">
      <formula>0</formula>
    </cfRule>
    <cfRule type="cellIs" dxfId="1612" priority="6136" operator="equal">
      <formula>8</formula>
    </cfRule>
    <cfRule type="cellIs" dxfId="1613" priority="6137" operator="greaterThan">
      <formula>8</formula>
    </cfRule>
    <cfRule type="cellIs" dxfId="1614" priority="6138" operator="lessThan">
      <formula>8</formula>
    </cfRule>
    <cfRule type="cellIs" dxfId="1615" priority="6116" operator="equal">
      <formula>0</formula>
    </cfRule>
    <cfRule type="cellIs" dxfId="1616" priority="6117" operator="equal">
      <formula>8</formula>
    </cfRule>
    <cfRule type="cellIs" dxfId="1617" priority="6118" operator="greaterThan">
      <formula>8</formula>
    </cfRule>
    <cfRule type="cellIs" dxfId="1618" priority="6119" operator="lessThan">
      <formula>8</formula>
    </cfRule>
  </conditionalFormatting>
  <conditionalFormatting sqref="HA76 AMS76">
    <cfRule type="cellIs" dxfId="1619" priority="6134" operator="greaterThan">
      <formula>0</formula>
    </cfRule>
  </conditionalFormatting>
  <conditionalFormatting sqref="GZ76">
    <cfRule type="cellIs" dxfId="1620" priority="6133" operator="greaterThan">
      <formula>0</formula>
    </cfRule>
  </conditionalFormatting>
  <conditionalFormatting sqref="GY76 AMQ76">
    <cfRule type="cellIs" dxfId="1621" priority="6132" operator="greaterThan">
      <formula>0</formula>
    </cfRule>
  </conditionalFormatting>
  <conditionalFormatting sqref="GY76:GZ76 AMQ76">
    <cfRule type="cellIs" dxfId="1622" priority="6131" operator="equal">
      <formula>0</formula>
    </cfRule>
  </conditionalFormatting>
  <conditionalFormatting sqref="ALM76 AMP76">
    <cfRule type="cellIs" dxfId="1623" priority="6127" operator="equal">
      <formula>0</formula>
    </cfRule>
    <cfRule type="cellIs" dxfId="1624" priority="6128" operator="equal">
      <formula>8</formula>
    </cfRule>
    <cfRule type="cellIs" dxfId="1625" priority="6129" operator="greaterThan">
      <formula>8</formula>
    </cfRule>
    <cfRule type="cellIs" dxfId="1626" priority="6130" operator="lessThan">
      <formula>8</formula>
    </cfRule>
  </conditionalFormatting>
  <conditionalFormatting sqref="OY76 WW76 AEU76">
    <cfRule type="cellIs" dxfId="1627" priority="6126" operator="greaterThan">
      <formula>0</formula>
    </cfRule>
  </conditionalFormatting>
  <conditionalFormatting sqref="OW76 WU76 AES76">
    <cfRule type="cellIs" dxfId="1628" priority="6125" operator="greaterThan">
      <formula>0</formula>
    </cfRule>
    <cfRule type="cellIs" dxfId="1629" priority="6124" operator="equal">
      <formula>0</formula>
    </cfRule>
  </conditionalFormatting>
  <conditionalFormatting sqref="NS76 OV76 VQ76 WT76 ADO76 AER76">
    <cfRule type="cellIs" dxfId="1630" priority="6120" operator="equal">
      <formula>0</formula>
    </cfRule>
    <cfRule type="cellIs" dxfId="1631" priority="6121" operator="equal">
      <formula>8</formula>
    </cfRule>
    <cfRule type="cellIs" dxfId="1632" priority="6122" operator="greaterThan">
      <formula>8</formula>
    </cfRule>
    <cfRule type="cellIs" dxfId="1633" priority="6123" operator="lessThan">
      <formula>8</formula>
    </cfRule>
  </conditionalFormatting>
  <conditionalFormatting sqref="FU76 GX76">
    <cfRule type="cellIs" dxfId="1634" priority="6096" operator="equal">
      <formula>0</formula>
    </cfRule>
    <cfRule type="cellIs" dxfId="1635" priority="6097" operator="equal">
      <formula>8</formula>
    </cfRule>
    <cfRule type="cellIs" dxfId="1636" priority="6098" operator="greaterThan">
      <formula>8</formula>
    </cfRule>
    <cfRule type="cellIs" dxfId="1637" priority="6099" operator="lessThan">
      <formula>8</formula>
    </cfRule>
  </conditionalFormatting>
  <conditionalFormatting sqref="OX76">
    <cfRule type="cellIs" dxfId="1638" priority="6095" operator="greaterThan">
      <formula>0</formula>
    </cfRule>
    <cfRule type="cellIs" dxfId="1639" priority="6094" operator="equal">
      <formula>0</formula>
    </cfRule>
  </conditionalFormatting>
  <conditionalFormatting sqref="WV76">
    <cfRule type="cellIs" dxfId="1640" priority="6093" operator="greaterThan">
      <formula>0</formula>
    </cfRule>
    <cfRule type="cellIs" dxfId="1641" priority="6092" operator="equal">
      <formula>0</formula>
    </cfRule>
  </conditionalFormatting>
  <conditionalFormatting sqref="AET76">
    <cfRule type="cellIs" dxfId="1642" priority="6091" operator="greaterThan">
      <formula>0</formula>
    </cfRule>
    <cfRule type="cellIs" dxfId="1643" priority="6090" operator="equal">
      <formula>0</formula>
    </cfRule>
  </conditionalFormatting>
  <conditionalFormatting sqref="AMR76">
    <cfRule type="cellIs" dxfId="1644" priority="6089" operator="greaterThan">
      <formula>0</formula>
    </cfRule>
    <cfRule type="cellIs" dxfId="1645" priority="6088" operator="equal">
      <formula>0</formula>
    </cfRule>
  </conditionalFormatting>
  <conditionalFormatting sqref="AF76 CL76 DO76 ER76">
    <cfRule type="cellIs" dxfId="1646" priority="6084" operator="equal">
      <formula>0</formula>
    </cfRule>
    <cfRule type="cellIs" dxfId="1647" priority="6085" operator="equal">
      <formula>8</formula>
    </cfRule>
    <cfRule type="cellIs" dxfId="1648" priority="6086" operator="greaterThan">
      <formula>8</formula>
    </cfRule>
    <cfRule type="cellIs" dxfId="1649" priority="6087" operator="lessThan">
      <formula>8</formula>
    </cfRule>
  </conditionalFormatting>
  <conditionalFormatting sqref="BI76">
    <cfRule type="cellIs" dxfId="1650" priority="6080" operator="equal">
      <formula>0</formula>
    </cfRule>
    <cfRule type="cellIs" dxfId="1651" priority="6081" operator="equal">
      <formula>8</formula>
    </cfRule>
    <cfRule type="cellIs" dxfId="1652" priority="6082" operator="greaterThan">
      <formula>8</formula>
    </cfRule>
    <cfRule type="cellIs" dxfId="1653" priority="6083" operator="lessThan">
      <formula>8</formula>
    </cfRule>
  </conditionalFormatting>
  <conditionalFormatting sqref="AF76 BI76 CL76 DO76 ER76">
    <cfRule type="cellIs" dxfId="1654" priority="6076" operator="equal">
      <formula>0</formula>
    </cfRule>
    <cfRule type="cellIs" dxfId="1655" priority="6077" operator="equal">
      <formula>8</formula>
    </cfRule>
    <cfRule type="cellIs" dxfId="1656" priority="6078" operator="greaterThan">
      <formula>8</formula>
    </cfRule>
    <cfRule type="cellIs" dxfId="1657" priority="6079" operator="lessThan">
      <formula>8</formula>
    </cfRule>
  </conditionalFormatting>
  <conditionalFormatting sqref="ID70">
    <cfRule type="cellIs" dxfId="1658" priority="6072" operator="equal">
      <formula>0</formula>
    </cfRule>
    <cfRule type="cellIs" dxfId="1659" priority="6073" operator="equal">
      <formula>8</formula>
    </cfRule>
    <cfRule type="cellIs" dxfId="1660" priority="6074" operator="greaterThan">
      <formula>8</formula>
    </cfRule>
    <cfRule type="cellIs" dxfId="1661" priority="6075" operator="lessThan">
      <formula>8</formula>
    </cfRule>
  </conditionalFormatting>
  <conditionalFormatting sqref="JG70">
    <cfRule type="cellIs" dxfId="1662" priority="6068" operator="equal">
      <formula>0</formula>
    </cfRule>
    <cfRule type="cellIs" dxfId="1663" priority="6069" operator="equal">
      <formula>8</formula>
    </cfRule>
    <cfRule type="cellIs" dxfId="1664" priority="6070" operator="greaterThan">
      <formula>8</formula>
    </cfRule>
    <cfRule type="cellIs" dxfId="1665" priority="6071" operator="lessThan">
      <formula>8</formula>
    </cfRule>
  </conditionalFormatting>
  <conditionalFormatting sqref="KJ70">
    <cfRule type="cellIs" dxfId="1666" priority="6064" operator="equal">
      <formula>0</formula>
    </cfRule>
    <cfRule type="cellIs" dxfId="1667" priority="6065" operator="equal">
      <formula>8</formula>
    </cfRule>
    <cfRule type="cellIs" dxfId="1668" priority="6066" operator="greaterThan">
      <formula>8</formula>
    </cfRule>
    <cfRule type="cellIs" dxfId="1669" priority="6067" operator="lessThan">
      <formula>8</formula>
    </cfRule>
  </conditionalFormatting>
  <conditionalFormatting sqref="LM70">
    <cfRule type="cellIs" dxfId="1670" priority="6060" operator="equal">
      <formula>0</formula>
    </cfRule>
    <cfRule type="cellIs" dxfId="1671" priority="6061" operator="equal">
      <formula>8</formula>
    </cfRule>
    <cfRule type="cellIs" dxfId="1672" priority="6062" operator="greaterThan">
      <formula>8</formula>
    </cfRule>
    <cfRule type="cellIs" dxfId="1673" priority="6063" operator="lessThan">
      <formula>8</formula>
    </cfRule>
  </conditionalFormatting>
  <conditionalFormatting sqref="ABI60">
    <cfRule type="cellIs" dxfId="1674" priority="6056" operator="equal">
      <formula>0</formula>
    </cfRule>
    <cfRule type="cellIs" dxfId="1675" priority="6057" operator="equal">
      <formula>8</formula>
    </cfRule>
    <cfRule type="cellIs" dxfId="1676" priority="6058" operator="greaterThan">
      <formula>8</formula>
    </cfRule>
    <cfRule type="cellIs" dxfId="1677" priority="6059" operator="lessThan">
      <formula>8</formula>
    </cfRule>
  </conditionalFormatting>
  <conditionalFormatting sqref="ACL60">
    <cfRule type="cellIs" dxfId="1678" priority="6052" operator="equal">
      <formula>0</formula>
    </cfRule>
    <cfRule type="cellIs" dxfId="1679" priority="6053" operator="equal">
      <formula>8</formula>
    </cfRule>
    <cfRule type="cellIs" dxfId="1680" priority="6054" operator="greaterThan">
      <formula>8</formula>
    </cfRule>
    <cfRule type="cellIs" dxfId="1681" priority="6055" operator="lessThan">
      <formula>8</formula>
    </cfRule>
  </conditionalFormatting>
  <conditionalFormatting sqref="CL13 DO13 ER13">
    <cfRule type="cellIs" dxfId="1682" priority="5632" operator="equal">
      <formula>0</formula>
    </cfRule>
    <cfRule type="cellIs" dxfId="1683" priority="5633" operator="equal">
      <formula>8</formula>
    </cfRule>
    <cfRule type="cellIs" dxfId="1684" priority="5634" operator="greaterThan">
      <formula>8</formula>
    </cfRule>
    <cfRule type="cellIs" dxfId="1685" priority="5635" operator="lessThan">
      <formula>8</formula>
    </cfRule>
  </conditionalFormatting>
  <conditionalFormatting sqref="AF16 BI16 CL16 DO16 ER16">
    <cfRule type="cellIs" dxfId="1686" priority="5628" operator="equal">
      <formula>0</formula>
    </cfRule>
    <cfRule type="cellIs" dxfId="1687" priority="5629" operator="equal">
      <formula>8</formula>
    </cfRule>
    <cfRule type="cellIs" dxfId="1688" priority="5630" operator="greaterThan">
      <formula>8</formula>
    </cfRule>
    <cfRule type="cellIs" dxfId="1689" priority="5631" operator="lessThan">
      <formula>8</formula>
    </cfRule>
  </conditionalFormatting>
  <conditionalFormatting sqref="AF17 DO17 ER17">
    <cfRule type="cellIs" dxfId="1690" priority="5624" operator="equal">
      <formula>0</formula>
    </cfRule>
    <cfRule type="cellIs" dxfId="1691" priority="5625" operator="equal">
      <formula>8</formula>
    </cfRule>
    <cfRule type="cellIs" dxfId="1692" priority="5626" operator="greaterThan">
      <formula>8</formula>
    </cfRule>
    <cfRule type="cellIs" dxfId="1693" priority="5627" operator="lessThan">
      <formula>8</formula>
    </cfRule>
  </conditionalFormatting>
  <conditionalFormatting sqref="AF19 BI19 CL19 DO19 ER19">
    <cfRule type="cellIs" dxfId="1694" priority="5616" operator="equal">
      <formula>0</formula>
    </cfRule>
    <cfRule type="cellIs" dxfId="1695" priority="5617" operator="equal">
      <formula>8</formula>
    </cfRule>
    <cfRule type="cellIs" dxfId="1696" priority="5618" operator="greaterThan">
      <formula>8</formula>
    </cfRule>
    <cfRule type="cellIs" dxfId="1697" priority="5619" operator="lessThan">
      <formula>8</formula>
    </cfRule>
  </conditionalFormatting>
  <conditionalFormatting sqref="AF21 DO21 ER21">
    <cfRule type="cellIs" dxfId="1698" priority="5608" operator="equal">
      <formula>0</formula>
    </cfRule>
    <cfRule type="cellIs" dxfId="1699" priority="5609" operator="equal">
      <formula>8</formula>
    </cfRule>
    <cfRule type="cellIs" dxfId="1700" priority="5610" operator="greaterThan">
      <formula>8</formula>
    </cfRule>
    <cfRule type="cellIs" dxfId="1701" priority="5611" operator="lessThan">
      <formula>8</formula>
    </cfRule>
  </conditionalFormatting>
  <conditionalFormatting sqref="AF22 BI22 CL22 DO22 ER22">
    <cfRule type="cellIs" dxfId="1702" priority="5604" operator="equal">
      <formula>0</formula>
    </cfRule>
    <cfRule type="cellIs" dxfId="1703" priority="5605" operator="equal">
      <formula>8</formula>
    </cfRule>
    <cfRule type="cellIs" dxfId="1704" priority="5606" operator="greaterThan">
      <formula>8</formula>
    </cfRule>
    <cfRule type="cellIs" dxfId="1705" priority="5607" operator="lessThan">
      <formula>8</formula>
    </cfRule>
  </conditionalFormatting>
  <conditionalFormatting sqref="AF23 BI23 CL23 DO23 ER23">
    <cfRule type="cellIs" dxfId="1706" priority="5600" operator="equal">
      <formula>0</formula>
    </cfRule>
    <cfRule type="cellIs" dxfId="1707" priority="5601" operator="equal">
      <formula>8</formula>
    </cfRule>
    <cfRule type="cellIs" dxfId="1708" priority="5602" operator="greaterThan">
      <formula>8</formula>
    </cfRule>
    <cfRule type="cellIs" dxfId="1709" priority="5603" operator="lessThan">
      <formula>8</formula>
    </cfRule>
  </conditionalFormatting>
  <conditionalFormatting sqref="AF24 BI24 CL24 DO24 ER24">
    <cfRule type="cellIs" dxfId="1710" priority="5596" operator="equal">
      <formula>0</formula>
    </cfRule>
    <cfRule type="cellIs" dxfId="1711" priority="5597" operator="equal">
      <formula>8</formula>
    </cfRule>
    <cfRule type="cellIs" dxfId="1712" priority="5598" operator="greaterThan">
      <formula>8</formula>
    </cfRule>
    <cfRule type="cellIs" dxfId="1713" priority="5599" operator="lessThan">
      <formula>8</formula>
    </cfRule>
  </conditionalFormatting>
  <conditionalFormatting sqref="AF25 BI25 CL25 DO25 ER25">
    <cfRule type="cellIs" dxfId="1714" priority="5592" operator="equal">
      <formula>0</formula>
    </cfRule>
    <cfRule type="cellIs" dxfId="1715" priority="5593" operator="equal">
      <formula>8</formula>
    </cfRule>
    <cfRule type="cellIs" dxfId="1716" priority="5594" operator="greaterThan">
      <formula>8</formula>
    </cfRule>
    <cfRule type="cellIs" dxfId="1717" priority="5595" operator="lessThan">
      <formula>8</formula>
    </cfRule>
  </conditionalFormatting>
  <conditionalFormatting sqref="AF26 BI26 CL26 DO26 ER26">
    <cfRule type="cellIs" dxfId="1718" priority="5588" operator="equal">
      <formula>0</formula>
    </cfRule>
    <cfRule type="cellIs" dxfId="1719" priority="5589" operator="equal">
      <formula>8</formula>
    </cfRule>
    <cfRule type="cellIs" dxfId="1720" priority="5590" operator="greaterThan">
      <formula>8</formula>
    </cfRule>
    <cfRule type="cellIs" dxfId="1721" priority="5591" operator="lessThan">
      <formula>8</formula>
    </cfRule>
  </conditionalFormatting>
  <conditionalFormatting sqref="AF27 BI27 CL27 DO27 ER27">
    <cfRule type="cellIs" dxfId="1722" priority="5584" operator="equal">
      <formula>0</formula>
    </cfRule>
    <cfRule type="cellIs" dxfId="1723" priority="5585" operator="equal">
      <formula>8</formula>
    </cfRule>
    <cfRule type="cellIs" dxfId="1724" priority="5586" operator="greaterThan">
      <formula>8</formula>
    </cfRule>
    <cfRule type="cellIs" dxfId="1725" priority="5587" operator="lessThan">
      <formula>8</formula>
    </cfRule>
  </conditionalFormatting>
  <conditionalFormatting sqref="AF28 BI28 CL28 DO28 ER28">
    <cfRule type="cellIs" dxfId="1726" priority="5580" operator="equal">
      <formula>0</formula>
    </cfRule>
    <cfRule type="cellIs" dxfId="1727" priority="5581" operator="equal">
      <formula>8</formula>
    </cfRule>
    <cfRule type="cellIs" dxfId="1728" priority="5582" operator="greaterThan">
      <formula>8</formula>
    </cfRule>
    <cfRule type="cellIs" dxfId="1729" priority="5583" operator="lessThan">
      <formula>8</formula>
    </cfRule>
  </conditionalFormatting>
  <conditionalFormatting sqref="DO29 ER29">
    <cfRule type="cellIs" dxfId="1730" priority="5576" operator="equal">
      <formula>0</formula>
    </cfRule>
    <cfRule type="cellIs" dxfId="1731" priority="5577" operator="equal">
      <formula>8</formula>
    </cfRule>
    <cfRule type="cellIs" dxfId="1732" priority="5578" operator="greaterThan">
      <formula>8</formula>
    </cfRule>
    <cfRule type="cellIs" dxfId="1733" priority="5579" operator="lessThan">
      <formula>8</formula>
    </cfRule>
  </conditionalFormatting>
  <conditionalFormatting sqref="AF30 BI30 CL30 DO30 ER30">
    <cfRule type="cellIs" dxfId="1734" priority="5572" operator="equal">
      <formula>0</formula>
    </cfRule>
    <cfRule type="cellIs" dxfId="1735" priority="5573" operator="equal">
      <formula>8</formula>
    </cfRule>
    <cfRule type="cellIs" dxfId="1736" priority="5574" operator="greaterThan">
      <formula>8</formula>
    </cfRule>
    <cfRule type="cellIs" dxfId="1737" priority="5575" operator="lessThan">
      <formula>8</formula>
    </cfRule>
  </conditionalFormatting>
  <conditionalFormatting sqref="AF31 BI31 CL31 DO31 ER31">
    <cfRule type="cellIs" dxfId="1738" priority="5568" operator="equal">
      <formula>0</formula>
    </cfRule>
    <cfRule type="cellIs" dxfId="1739" priority="5569" operator="equal">
      <formula>8</formula>
    </cfRule>
    <cfRule type="cellIs" dxfId="1740" priority="5570" operator="greaterThan">
      <formula>8</formula>
    </cfRule>
    <cfRule type="cellIs" dxfId="1741" priority="5571" operator="lessThan">
      <formula>8</formula>
    </cfRule>
  </conditionalFormatting>
  <conditionalFormatting sqref="AF32 BI32 CL32 DO32 ER32">
    <cfRule type="cellIs" dxfId="1742" priority="5564" operator="equal">
      <formula>0</formula>
    </cfRule>
    <cfRule type="cellIs" dxfId="1743" priority="5565" operator="equal">
      <formula>8</formula>
    </cfRule>
    <cfRule type="cellIs" dxfId="1744" priority="5566" operator="greaterThan">
      <formula>8</formula>
    </cfRule>
    <cfRule type="cellIs" dxfId="1745" priority="5567" operator="lessThan">
      <formula>8</formula>
    </cfRule>
  </conditionalFormatting>
  <conditionalFormatting sqref="UN80">
    <cfRule type="cellIs" dxfId="1746" priority="3090" operator="equal">
      <formula>0</formula>
    </cfRule>
    <cfRule type="cellIs" dxfId="1747" priority="3091" operator="equal">
      <formula>8</formula>
    </cfRule>
    <cfRule type="cellIs" dxfId="1748" priority="3092" operator="greaterThan">
      <formula>8</formula>
    </cfRule>
    <cfRule type="cellIs" dxfId="1749" priority="3093" operator="lessThan">
      <formula>8</formula>
    </cfRule>
  </conditionalFormatting>
  <conditionalFormatting sqref="XZ80">
    <cfRule type="cellIs" dxfId="1750" priority="3086" operator="equal">
      <formula>0</formula>
    </cfRule>
    <cfRule type="cellIs" dxfId="1751" priority="3087" operator="equal">
      <formula>8</formula>
    </cfRule>
    <cfRule type="cellIs" dxfId="1752" priority="3088" operator="greaterThan">
      <formula>8</formula>
    </cfRule>
    <cfRule type="cellIs" dxfId="1753" priority="3089" operator="lessThan">
      <formula>8</formula>
    </cfRule>
  </conditionalFormatting>
  <conditionalFormatting sqref="ZC80">
    <cfRule type="cellIs" dxfId="1754" priority="3082" operator="equal">
      <formula>0</formula>
    </cfRule>
    <cfRule type="cellIs" dxfId="1755" priority="3083" operator="equal">
      <formula>8</formula>
    </cfRule>
    <cfRule type="cellIs" dxfId="1756" priority="3084" operator="greaterThan">
      <formula>8</formula>
    </cfRule>
    <cfRule type="cellIs" dxfId="1757" priority="3085" operator="lessThan">
      <formula>8</formula>
    </cfRule>
  </conditionalFormatting>
  <conditionalFormatting sqref="DO80">
    <cfRule type="cellIs" dxfId="1758" priority="3034" operator="equal">
      <formula>0</formula>
    </cfRule>
    <cfRule type="cellIs" dxfId="1759" priority="3035" operator="equal">
      <formula>8</formula>
    </cfRule>
    <cfRule type="cellIs" dxfId="1760" priority="3036" operator="greaterThan">
      <formula>8</formula>
    </cfRule>
    <cfRule type="cellIs" dxfId="1761" priority="3037" operator="lessThan">
      <formula>8</formula>
    </cfRule>
  </conditionalFormatting>
  <conditionalFormatting sqref="AF73">
    <cfRule type="cellIs" dxfId="1762" priority="3030" operator="equal">
      <formula>0</formula>
    </cfRule>
    <cfRule type="cellIs" dxfId="1763" priority="3031" operator="equal">
      <formula>8</formula>
    </cfRule>
    <cfRule type="cellIs" dxfId="1764" priority="3032" operator="greaterThan">
      <formula>8</formula>
    </cfRule>
    <cfRule type="cellIs" dxfId="1765" priority="3033" operator="lessThan">
      <formula>8</formula>
    </cfRule>
  </conditionalFormatting>
  <conditionalFormatting sqref="BI58">
    <cfRule type="cellIs" dxfId="1766" priority="3018" operator="equal">
      <formula>0</formula>
    </cfRule>
    <cfRule type="cellIs" dxfId="1767" priority="3019" operator="equal">
      <formula>8</formula>
    </cfRule>
    <cfRule type="cellIs" dxfId="1768" priority="3020" operator="greaterThan">
      <formula>8</formula>
    </cfRule>
    <cfRule type="cellIs" dxfId="1769" priority="3021" operator="lessThan">
      <formula>8</formula>
    </cfRule>
  </conditionalFormatting>
  <conditionalFormatting sqref="HA15">
    <cfRule type="cellIs" dxfId="1770" priority="2961" operator="greaterThan">
      <formula>0</formula>
    </cfRule>
  </conditionalFormatting>
  <conditionalFormatting sqref="GZ15">
    <cfRule type="cellIs" dxfId="1771" priority="2960" operator="greaterThan">
      <formula>0</formula>
    </cfRule>
  </conditionalFormatting>
  <conditionalFormatting sqref="GY15">
    <cfRule type="cellIs" dxfId="1772" priority="2959" operator="greaterThan">
      <formula>0</formula>
    </cfRule>
  </conditionalFormatting>
  <conditionalFormatting sqref="GY15:GZ15">
    <cfRule type="cellIs" dxfId="1773" priority="2958" operator="equal">
      <formula>0</formula>
    </cfRule>
  </conditionalFormatting>
  <conditionalFormatting sqref="FU15">
    <cfRule type="cellIs" dxfId="1774" priority="2954" operator="equal">
      <formula>0</formula>
    </cfRule>
    <cfRule type="cellIs" dxfId="1775" priority="2955" operator="equal">
      <formula>8</formula>
    </cfRule>
    <cfRule type="cellIs" dxfId="1776" priority="2956" operator="greaterThan">
      <formula>8</formula>
    </cfRule>
    <cfRule type="cellIs" dxfId="1777" priority="2957" operator="lessThan">
      <formula>8</formula>
    </cfRule>
  </conditionalFormatting>
  <conditionalFormatting sqref="GX15">
    <cfRule type="cellIs" dxfId="1778" priority="2950" operator="equal">
      <formula>0</formula>
    </cfRule>
    <cfRule type="cellIs" dxfId="1779" priority="2951" operator="equal">
      <formula>8</formula>
    </cfRule>
    <cfRule type="cellIs" dxfId="1780" priority="2952" operator="greaterThan">
      <formula>8</formula>
    </cfRule>
    <cfRule type="cellIs" dxfId="1781" priority="2953" operator="lessThan">
      <formula>8</formula>
    </cfRule>
  </conditionalFormatting>
  <conditionalFormatting sqref="NS15">
    <cfRule type="cellIs" dxfId="1782" priority="2938" operator="equal">
      <formula>0</formula>
    </cfRule>
    <cfRule type="cellIs" dxfId="1783" priority="2939" operator="equal">
      <formula>8</formula>
    </cfRule>
    <cfRule type="cellIs" dxfId="1784" priority="2940" operator="greaterThan">
      <formula>8</formula>
    </cfRule>
    <cfRule type="cellIs" dxfId="1785" priority="2941" operator="lessThan">
      <formula>8</formula>
    </cfRule>
  </conditionalFormatting>
  <conditionalFormatting sqref="OV15">
    <cfRule type="cellIs" dxfId="1786" priority="2934" operator="equal">
      <formula>0</formula>
    </cfRule>
    <cfRule type="cellIs" dxfId="1787" priority="2935" operator="equal">
      <formula>8</formula>
    </cfRule>
    <cfRule type="cellIs" dxfId="1788" priority="2936" operator="greaterThan">
      <formula>8</formula>
    </cfRule>
    <cfRule type="cellIs" dxfId="1789" priority="2937" operator="lessThan">
      <formula>8</formula>
    </cfRule>
  </conditionalFormatting>
  <conditionalFormatting sqref="OY15">
    <cfRule type="cellIs" dxfId="1790" priority="2933" operator="greaterThan">
      <formula>0</formula>
    </cfRule>
  </conditionalFormatting>
  <conditionalFormatting sqref="OW15">
    <cfRule type="cellIs" dxfId="1791" priority="2932" operator="greaterThan">
      <formula>0</formula>
    </cfRule>
    <cfRule type="cellIs" dxfId="1792" priority="2931" operator="equal">
      <formula>0</formula>
    </cfRule>
  </conditionalFormatting>
  <conditionalFormatting sqref="VQ15">
    <cfRule type="cellIs" dxfId="1793" priority="2927" operator="equal">
      <formula>0</formula>
    </cfRule>
    <cfRule type="cellIs" dxfId="1794" priority="2928" operator="equal">
      <formula>8</formula>
    </cfRule>
    <cfRule type="cellIs" dxfId="1795" priority="2929" operator="greaterThan">
      <formula>8</formula>
    </cfRule>
    <cfRule type="cellIs" dxfId="1796" priority="2930" operator="lessThan">
      <formula>8</formula>
    </cfRule>
  </conditionalFormatting>
  <conditionalFormatting sqref="WT15">
    <cfRule type="cellIs" dxfId="1797" priority="2923" operator="equal">
      <formula>0</formula>
    </cfRule>
    <cfRule type="cellIs" dxfId="1798" priority="2924" operator="equal">
      <formula>8</formula>
    </cfRule>
    <cfRule type="cellIs" dxfId="1799" priority="2925" operator="greaterThan">
      <formula>8</formula>
    </cfRule>
    <cfRule type="cellIs" dxfId="1800" priority="2926" operator="lessThan">
      <formula>8</formula>
    </cfRule>
  </conditionalFormatting>
  <conditionalFormatting sqref="WW15">
    <cfRule type="cellIs" dxfId="1801" priority="2922" operator="greaterThan">
      <formula>0</formula>
    </cfRule>
  </conditionalFormatting>
  <conditionalFormatting sqref="WU15">
    <cfRule type="cellIs" dxfId="1802" priority="2921" operator="greaterThan">
      <formula>0</formula>
    </cfRule>
    <cfRule type="cellIs" dxfId="1803" priority="2920" operator="equal">
      <formula>0</formula>
    </cfRule>
  </conditionalFormatting>
  <conditionalFormatting sqref="ADO15">
    <cfRule type="cellIs" dxfId="1804" priority="2916" operator="equal">
      <formula>0</formula>
    </cfRule>
    <cfRule type="cellIs" dxfId="1805" priority="2917" operator="equal">
      <formula>8</formula>
    </cfRule>
    <cfRule type="cellIs" dxfId="1806" priority="2918" operator="greaterThan">
      <formula>8</formula>
    </cfRule>
    <cfRule type="cellIs" dxfId="1807" priority="2919" operator="lessThan">
      <formula>8</formula>
    </cfRule>
  </conditionalFormatting>
  <conditionalFormatting sqref="AER15">
    <cfRule type="cellIs" dxfId="1808" priority="2912" operator="equal">
      <formula>0</formula>
    </cfRule>
    <cfRule type="cellIs" dxfId="1809" priority="2913" operator="equal">
      <formula>8</formula>
    </cfRule>
    <cfRule type="cellIs" dxfId="1810" priority="2914" operator="greaterThan">
      <formula>8</formula>
    </cfRule>
    <cfRule type="cellIs" dxfId="1811" priority="2915" operator="lessThan">
      <formula>8</formula>
    </cfRule>
  </conditionalFormatting>
  <conditionalFormatting sqref="AEU15">
    <cfRule type="cellIs" dxfId="1812" priority="2911" operator="greaterThan">
      <formula>0</formula>
    </cfRule>
  </conditionalFormatting>
  <conditionalFormatting sqref="AES15">
    <cfRule type="cellIs" dxfId="1813" priority="2910" operator="greaterThan">
      <formula>0</formula>
    </cfRule>
    <cfRule type="cellIs" dxfId="1814" priority="2909" operator="equal">
      <formula>0</formula>
    </cfRule>
  </conditionalFormatting>
  <conditionalFormatting sqref="ALM15">
    <cfRule type="cellIs" dxfId="1815" priority="2905" operator="equal">
      <formula>0</formula>
    </cfRule>
    <cfRule type="cellIs" dxfId="1816" priority="2906" operator="equal">
      <formula>8</formula>
    </cfRule>
    <cfRule type="cellIs" dxfId="1817" priority="2907" operator="greaterThan">
      <formula>8</formula>
    </cfRule>
    <cfRule type="cellIs" dxfId="1818" priority="2908" operator="lessThan">
      <formula>8</formula>
    </cfRule>
  </conditionalFormatting>
  <conditionalFormatting sqref="AMP15">
    <cfRule type="cellIs" dxfId="1819" priority="2901" operator="equal">
      <formula>0</formula>
    </cfRule>
    <cfRule type="cellIs" dxfId="1820" priority="2902" operator="equal">
      <formula>8</formula>
    </cfRule>
    <cfRule type="cellIs" dxfId="1821" priority="2903" operator="greaterThan">
      <formula>8</formula>
    </cfRule>
    <cfRule type="cellIs" dxfId="1822" priority="2904" operator="lessThan">
      <formula>8</formula>
    </cfRule>
  </conditionalFormatting>
  <conditionalFormatting sqref="AMS15">
    <cfRule type="cellIs" dxfId="1823" priority="2900" operator="greaterThan">
      <formula>0</formula>
    </cfRule>
  </conditionalFormatting>
  <conditionalFormatting sqref="AMQ15">
    <cfRule type="cellIs" dxfId="1824" priority="2899" operator="greaterThan">
      <formula>0</formula>
    </cfRule>
    <cfRule type="cellIs" dxfId="1825" priority="2898" operator="equal">
      <formula>0</formula>
    </cfRule>
  </conditionalFormatting>
  <conditionalFormatting sqref="OX15">
    <cfRule type="cellIs" dxfId="1826" priority="2897" operator="greaterThan">
      <formula>0</formula>
    </cfRule>
    <cfRule type="cellIs" dxfId="1827" priority="2896" operator="equal">
      <formula>0</formula>
    </cfRule>
  </conditionalFormatting>
  <conditionalFormatting sqref="WV15">
    <cfRule type="cellIs" dxfId="1828" priority="2895" operator="greaterThan">
      <formula>0</formula>
    </cfRule>
    <cfRule type="cellIs" dxfId="1829" priority="2894" operator="equal">
      <formula>0</formula>
    </cfRule>
  </conditionalFormatting>
  <conditionalFormatting sqref="AET15">
    <cfRule type="cellIs" dxfId="1830" priority="2893" operator="greaterThan">
      <formula>0</formula>
    </cfRule>
    <cfRule type="cellIs" dxfId="1831" priority="2892" operator="equal">
      <formula>0</formula>
    </cfRule>
  </conditionalFormatting>
  <conditionalFormatting sqref="AMR15">
    <cfRule type="cellIs" dxfId="1832" priority="2891" operator="greaterThan">
      <formula>0</formula>
    </cfRule>
    <cfRule type="cellIs" dxfId="1833" priority="2890" operator="equal">
      <formula>0</formula>
    </cfRule>
  </conditionalFormatting>
  <conditionalFormatting sqref="LM75">
    <cfRule type="cellIs" dxfId="1834" priority="2774" operator="equal">
      <formula>0</formula>
    </cfRule>
    <cfRule type="cellIs" dxfId="1835" priority="2775" operator="equal">
      <formula>8</formula>
    </cfRule>
    <cfRule type="cellIs" dxfId="1836" priority="2776" operator="greaterThan">
      <formula>8</formula>
    </cfRule>
    <cfRule type="cellIs" dxfId="1837" priority="2777" operator="lessThan">
      <formula>8</formula>
    </cfRule>
  </conditionalFormatting>
  <conditionalFormatting sqref="MP75">
    <cfRule type="cellIs" dxfId="1838" priority="2770" operator="equal">
      <formula>0</formula>
    </cfRule>
    <cfRule type="cellIs" dxfId="1839" priority="2771" operator="equal">
      <formula>8</formula>
    </cfRule>
    <cfRule type="cellIs" dxfId="1840" priority="2772" operator="greaterThan">
      <formula>8</formula>
    </cfRule>
    <cfRule type="cellIs" dxfId="1841" priority="2773" operator="lessThan">
      <formula>8</formula>
    </cfRule>
  </conditionalFormatting>
  <conditionalFormatting sqref="UN75">
    <cfRule type="cellIs" dxfId="1842" priority="2766" operator="equal">
      <formula>0</formula>
    </cfRule>
    <cfRule type="cellIs" dxfId="1843" priority="2767" operator="equal">
      <formula>8</formula>
    </cfRule>
    <cfRule type="cellIs" dxfId="1844" priority="2768" operator="greaterThan">
      <formula>8</formula>
    </cfRule>
    <cfRule type="cellIs" dxfId="1845" priority="2769" operator="lessThan">
      <formula>8</formula>
    </cfRule>
  </conditionalFormatting>
  <conditionalFormatting sqref="QB75">
    <cfRule type="cellIs" dxfId="1846" priority="2762" operator="equal">
      <formula>0</formula>
    </cfRule>
    <cfRule type="cellIs" dxfId="1847" priority="2763" operator="equal">
      <formula>8</formula>
    </cfRule>
    <cfRule type="cellIs" dxfId="1848" priority="2764" operator="greaterThan">
      <formula>8</formula>
    </cfRule>
    <cfRule type="cellIs" dxfId="1849" priority="2765" operator="lessThan">
      <formula>8</formula>
    </cfRule>
  </conditionalFormatting>
  <conditionalFormatting sqref="RE75">
    <cfRule type="cellIs" dxfId="1850" priority="2758" operator="equal">
      <formula>0</formula>
    </cfRule>
    <cfRule type="cellIs" dxfId="1851" priority="2759" operator="equal">
      <formula>8</formula>
    </cfRule>
    <cfRule type="cellIs" dxfId="1852" priority="2760" operator="greaterThan">
      <formula>8</formula>
    </cfRule>
    <cfRule type="cellIs" dxfId="1853" priority="2761" operator="lessThan">
      <formula>8</formula>
    </cfRule>
  </conditionalFormatting>
  <conditionalFormatting sqref="ID81 JG81 KJ81 LM81 MP81">
    <cfRule type="cellIs" dxfId="1854" priority="2734" operator="equal">
      <formula>0</formula>
    </cfRule>
    <cfRule type="cellIs" dxfId="1855" priority="2735" operator="equal">
      <formula>8</formula>
    </cfRule>
    <cfRule type="cellIs" dxfId="1856" priority="2736" operator="greaterThan">
      <formula>8</formula>
    </cfRule>
    <cfRule type="cellIs" dxfId="1857" priority="2737" operator="lessThan">
      <formula>8</formula>
    </cfRule>
  </conditionalFormatting>
  <conditionalFormatting sqref="AF14 BI14 CL14 DO14 ER14">
    <cfRule type="cellIs" dxfId="1858" priority="2730" operator="equal">
      <formula>0</formula>
    </cfRule>
    <cfRule type="cellIs" dxfId="1859" priority="2731" operator="equal">
      <formula>8</formula>
    </cfRule>
    <cfRule type="cellIs" dxfId="1860" priority="2732" operator="greaterThan">
      <formula>8</formula>
    </cfRule>
    <cfRule type="cellIs" dxfId="1861" priority="2733" operator="lessThan">
      <formula>8</formula>
    </cfRule>
  </conditionalFormatting>
  <conditionalFormatting sqref="AF15 BI15 CL15 DO15 ER15">
    <cfRule type="cellIs" dxfId="1862" priority="2726" operator="equal">
      <formula>0</formula>
    </cfRule>
    <cfRule type="cellIs" dxfId="1863" priority="2727" operator="equal">
      <formula>8</formula>
    </cfRule>
    <cfRule type="cellIs" dxfId="1864" priority="2728" operator="greaterThan">
      <formula>8</formula>
    </cfRule>
    <cfRule type="cellIs" dxfId="1865" priority="2729" operator="lessThan">
      <formula>8</formula>
    </cfRule>
  </conditionalFormatting>
  <conditionalFormatting sqref="AF13">
    <cfRule type="cellIs" dxfId="1866" priority="2722" operator="equal">
      <formula>0</formula>
    </cfRule>
    <cfRule type="cellIs" dxfId="1867" priority="2723" operator="equal">
      <formula>8</formula>
    </cfRule>
    <cfRule type="cellIs" dxfId="1868" priority="2724" operator="greaterThan">
      <formula>8</formula>
    </cfRule>
    <cfRule type="cellIs" dxfId="1869" priority="2725" operator="lessThan">
      <formula>8</formula>
    </cfRule>
  </conditionalFormatting>
  <conditionalFormatting sqref="BI13">
    <cfRule type="cellIs" dxfId="1870" priority="2718" operator="equal">
      <formula>0</formula>
    </cfRule>
    <cfRule type="cellIs" dxfId="1871" priority="2719" operator="equal">
      <formula>8</formula>
    </cfRule>
    <cfRule type="cellIs" dxfId="1872" priority="2720" operator="greaterThan">
      <formula>8</formula>
    </cfRule>
    <cfRule type="cellIs" dxfId="1873" priority="2721" operator="lessThan">
      <formula>8</formula>
    </cfRule>
  </conditionalFormatting>
  <conditionalFormatting sqref="AF20 BI20 CL20 DO20 ER20">
    <cfRule type="cellIs" dxfId="1874" priority="2702" operator="equal">
      <formula>0</formula>
    </cfRule>
    <cfRule type="cellIs" dxfId="1875" priority="2703" operator="equal">
      <formula>8</formula>
    </cfRule>
    <cfRule type="cellIs" dxfId="1876" priority="2704" operator="greaterThan">
      <formula>8</formula>
    </cfRule>
    <cfRule type="cellIs" dxfId="1877" priority="2705" operator="lessThan">
      <formula>8</formula>
    </cfRule>
  </conditionalFormatting>
  <conditionalFormatting sqref="AF18 BI18 CL18 DO18 ER18">
    <cfRule type="cellIs" dxfId="1878" priority="2698" operator="equal">
      <formula>0</formula>
    </cfRule>
    <cfRule type="cellIs" dxfId="1879" priority="2699" operator="equal">
      <formula>8</formula>
    </cfRule>
    <cfRule type="cellIs" dxfId="1880" priority="2700" operator="greaterThan">
      <formula>8</formula>
    </cfRule>
    <cfRule type="cellIs" dxfId="1881" priority="2701" operator="lessThan">
      <formula>8</formula>
    </cfRule>
  </conditionalFormatting>
  <conditionalFormatting sqref="AF29">
    <cfRule type="cellIs" dxfId="1882" priority="2694" operator="equal">
      <formula>0</formula>
    </cfRule>
    <cfRule type="cellIs" dxfId="1883" priority="2695" operator="equal">
      <formula>8</formula>
    </cfRule>
    <cfRule type="cellIs" dxfId="1884" priority="2696" operator="greaterThan">
      <formula>8</formula>
    </cfRule>
    <cfRule type="cellIs" dxfId="1885" priority="2697" operator="lessThan">
      <formula>8</formula>
    </cfRule>
  </conditionalFormatting>
  <conditionalFormatting sqref="BI17">
    <cfRule type="cellIs" dxfId="1886" priority="2690" operator="equal">
      <formula>0</formula>
    </cfRule>
    <cfRule type="cellIs" dxfId="1887" priority="2691" operator="equal">
      <formula>8</formula>
    </cfRule>
    <cfRule type="cellIs" dxfId="1888" priority="2692" operator="greaterThan">
      <formula>8</formula>
    </cfRule>
    <cfRule type="cellIs" dxfId="1889" priority="2693" operator="lessThan">
      <formula>8</formula>
    </cfRule>
  </conditionalFormatting>
  <conditionalFormatting sqref="BI21">
    <cfRule type="cellIs" dxfId="1890" priority="2686" operator="equal">
      <formula>0</formula>
    </cfRule>
    <cfRule type="cellIs" dxfId="1891" priority="2687" operator="equal">
      <formula>8</formula>
    </cfRule>
    <cfRule type="cellIs" dxfId="1892" priority="2688" operator="greaterThan">
      <formula>8</formula>
    </cfRule>
    <cfRule type="cellIs" dxfId="1893" priority="2689" operator="lessThan">
      <formula>8</formula>
    </cfRule>
  </conditionalFormatting>
  <conditionalFormatting sqref="BI29">
    <cfRule type="cellIs" dxfId="1894" priority="2682" operator="equal">
      <formula>0</formula>
    </cfRule>
    <cfRule type="cellIs" dxfId="1895" priority="2683" operator="equal">
      <formula>8</formula>
    </cfRule>
    <cfRule type="cellIs" dxfId="1896" priority="2684" operator="greaterThan">
      <formula>8</formula>
    </cfRule>
    <cfRule type="cellIs" dxfId="1897" priority="2685" operator="lessThan">
      <formula>8</formula>
    </cfRule>
  </conditionalFormatting>
  <conditionalFormatting sqref="CL17">
    <cfRule type="cellIs" dxfId="1898" priority="2678" operator="equal">
      <formula>0</formula>
    </cfRule>
    <cfRule type="cellIs" dxfId="1899" priority="2679" operator="equal">
      <formula>8</formula>
    </cfRule>
    <cfRule type="cellIs" dxfId="1900" priority="2680" operator="greaterThan">
      <formula>8</formula>
    </cfRule>
    <cfRule type="cellIs" dxfId="1901" priority="2681" operator="lessThan">
      <formula>8</formula>
    </cfRule>
  </conditionalFormatting>
  <conditionalFormatting sqref="CL21">
    <cfRule type="cellIs" dxfId="1902" priority="2674" operator="equal">
      <formula>0</formula>
    </cfRule>
    <cfRule type="cellIs" dxfId="1903" priority="2675" operator="equal">
      <formula>8</formula>
    </cfRule>
    <cfRule type="cellIs" dxfId="1904" priority="2676" operator="greaterThan">
      <formula>8</formula>
    </cfRule>
    <cfRule type="cellIs" dxfId="1905" priority="2677" operator="lessThan">
      <formula>8</formula>
    </cfRule>
  </conditionalFormatting>
  <conditionalFormatting sqref="CL29">
    <cfRule type="cellIs" dxfId="1906" priority="2670" operator="equal">
      <formula>0</formula>
    </cfRule>
    <cfRule type="cellIs" dxfId="1907" priority="2671" operator="equal">
      <formula>8</formula>
    </cfRule>
    <cfRule type="cellIs" dxfId="1908" priority="2672" operator="greaterThan">
      <formula>8</formula>
    </cfRule>
    <cfRule type="cellIs" dxfId="1909" priority="2673" operator="lessThan">
      <formula>8</formula>
    </cfRule>
  </conditionalFormatting>
  <conditionalFormatting sqref="AMS121 AMS123">
    <cfRule type="cellIs" dxfId="1910" priority="2669" operator="greaterThan">
      <formula>0</formula>
    </cfRule>
  </conditionalFormatting>
  <conditionalFormatting sqref="AMS126:AMS130">
    <cfRule type="cellIs" dxfId="1911" priority="2668" operator="greaterThan">
      <formula>0</formula>
    </cfRule>
  </conditionalFormatting>
  <conditionalFormatting sqref="AMS125">
    <cfRule type="cellIs" dxfId="1912" priority="2667" operator="greaterThan">
      <formula>0</formula>
    </cfRule>
  </conditionalFormatting>
  <conditionalFormatting sqref="AMS124">
    <cfRule type="cellIs" dxfId="1913" priority="2666" operator="greaterThan">
      <formula>0</formula>
    </cfRule>
  </conditionalFormatting>
  <conditionalFormatting sqref="AMQ121 AMQ123">
    <cfRule type="cellIs" dxfId="1914" priority="2665" operator="greaterThan">
      <formula>0</formula>
    </cfRule>
    <cfRule type="cellIs" dxfId="1915" priority="2664" operator="equal">
      <formula>0</formula>
    </cfRule>
  </conditionalFormatting>
  <conditionalFormatting sqref="ALM121 ALM123 AMP121 AMP123">
    <cfRule type="cellIs" dxfId="1916" priority="2660" operator="equal">
      <formula>0</formula>
    </cfRule>
    <cfRule type="cellIs" dxfId="1917" priority="2661" operator="equal">
      <formula>8</formula>
    </cfRule>
    <cfRule type="cellIs" dxfId="1918" priority="2662" operator="greaterThan">
      <formula>8</formula>
    </cfRule>
    <cfRule type="cellIs" dxfId="1919" priority="2663" operator="lessThan">
      <formula>8</formula>
    </cfRule>
  </conditionalFormatting>
  <conditionalFormatting sqref="AMQ126:AMQ130">
    <cfRule type="cellIs" dxfId="1920" priority="2659" operator="greaterThan">
      <formula>0</formula>
    </cfRule>
    <cfRule type="cellIs" dxfId="1921" priority="2658" operator="equal">
      <formula>0</formula>
    </cfRule>
  </conditionalFormatting>
  <conditionalFormatting sqref="ALM126:ALM130 AMP126:AMP130">
    <cfRule type="cellIs" dxfId="1922" priority="2654" operator="equal">
      <formula>0</formula>
    </cfRule>
    <cfRule type="cellIs" dxfId="1923" priority="2655" operator="equal">
      <formula>8</formula>
    </cfRule>
    <cfRule type="cellIs" dxfId="1924" priority="2656" operator="greaterThan">
      <formula>8</formula>
    </cfRule>
    <cfRule type="cellIs" dxfId="1925" priority="2657" operator="lessThan">
      <formula>8</formula>
    </cfRule>
  </conditionalFormatting>
  <conditionalFormatting sqref="AMQ125">
    <cfRule type="cellIs" dxfId="1926" priority="2653" operator="greaterThan">
      <formula>0</formula>
    </cfRule>
    <cfRule type="cellIs" dxfId="1927" priority="2652" operator="equal">
      <formula>0</formula>
    </cfRule>
  </conditionalFormatting>
  <conditionalFormatting sqref="ALM125 AMP125">
    <cfRule type="cellIs" dxfId="1928" priority="2648" operator="equal">
      <formula>0</formula>
    </cfRule>
    <cfRule type="cellIs" dxfId="1929" priority="2649" operator="equal">
      <formula>8</formula>
    </cfRule>
    <cfRule type="cellIs" dxfId="1930" priority="2650" operator="greaterThan">
      <formula>8</formula>
    </cfRule>
    <cfRule type="cellIs" dxfId="1931" priority="2651" operator="lessThan">
      <formula>8</formula>
    </cfRule>
  </conditionalFormatting>
  <conditionalFormatting sqref="AMQ124">
    <cfRule type="cellIs" dxfId="1932" priority="2647" operator="greaterThan">
      <formula>0</formula>
    </cfRule>
    <cfRule type="cellIs" dxfId="1933" priority="2646" operator="equal">
      <formula>0</formula>
    </cfRule>
  </conditionalFormatting>
  <conditionalFormatting sqref="ALM124 AMP124">
    <cfRule type="cellIs" dxfId="1934" priority="2642" operator="equal">
      <formula>0</formula>
    </cfRule>
    <cfRule type="cellIs" dxfId="1935" priority="2643" operator="equal">
      <formula>8</formula>
    </cfRule>
    <cfRule type="cellIs" dxfId="1936" priority="2644" operator="greaterThan">
      <formula>8</formula>
    </cfRule>
    <cfRule type="cellIs" dxfId="1937" priority="2645" operator="lessThan">
      <formula>8</formula>
    </cfRule>
  </conditionalFormatting>
  <conditionalFormatting sqref="HA121 HA123 OY121 OY123 WW121 WW123 AEU121 AEU123">
    <cfRule type="cellIs" dxfId="1938" priority="2641" operator="greaterThan">
      <formula>0</formula>
    </cfRule>
  </conditionalFormatting>
  <conditionalFormatting sqref="GZ121 GZ123">
    <cfRule type="cellIs" dxfId="1939" priority="2640" operator="greaterThan">
      <formula>0</formula>
    </cfRule>
  </conditionalFormatting>
  <conditionalFormatting sqref="GY121 GY123 OW121 OW123 WU121 WU123 AES121 AES123">
    <cfRule type="cellIs" dxfId="1940" priority="2639" operator="greaterThan">
      <formula>0</formula>
    </cfRule>
  </conditionalFormatting>
  <conditionalFormatting sqref="GY121:GZ121 GY123:GZ123 OW121 OW123 WU121 WU123 AES121 AES123">
    <cfRule type="cellIs" dxfId="1941" priority="2638" operator="equal">
      <formula>0</formula>
    </cfRule>
  </conditionalFormatting>
  <conditionalFormatting sqref="NS121 NS123 OV121 OV123 VQ121 VQ123 AER121 AER123">
    <cfRule type="cellIs" dxfId="1942" priority="2634" operator="equal">
      <formula>0</formula>
    </cfRule>
    <cfRule type="cellIs" dxfId="1943" priority="2635" operator="equal">
      <formula>8</formula>
    </cfRule>
    <cfRule type="cellIs" dxfId="1944" priority="2636" operator="greaterThan">
      <formula>8</formula>
    </cfRule>
    <cfRule type="cellIs" dxfId="1945" priority="2637" operator="lessThan">
      <formula>8</formula>
    </cfRule>
  </conditionalFormatting>
  <conditionalFormatting sqref="HA126:HA130 OY126:OY130 WW126:WW130 AEU126:AEU130">
    <cfRule type="cellIs" dxfId="1946" priority="2633" operator="greaterThan">
      <formula>0</formula>
    </cfRule>
  </conditionalFormatting>
  <conditionalFormatting sqref="GZ126:GZ130">
    <cfRule type="cellIs" dxfId="1947" priority="2632" operator="greaterThan">
      <formula>0</formula>
    </cfRule>
  </conditionalFormatting>
  <conditionalFormatting sqref="GY126:GY130 OW126:OW130 WU126:WU130 AES126:AES130">
    <cfRule type="cellIs" dxfId="1948" priority="2631" operator="greaterThan">
      <formula>0</formula>
    </cfRule>
  </conditionalFormatting>
  <conditionalFormatting sqref="GY126:GZ130 OW126:OW130 WU126:WU130 AES126:AES130">
    <cfRule type="cellIs" dxfId="1949" priority="2630" operator="equal">
      <formula>0</formula>
    </cfRule>
  </conditionalFormatting>
  <conditionalFormatting sqref="NS126:NS130 OV126:OV130 VQ126:VQ130 AER126:AER130">
    <cfRule type="cellIs" dxfId="1950" priority="2626" operator="equal">
      <formula>0</formula>
    </cfRule>
    <cfRule type="cellIs" dxfId="1951" priority="2627" operator="equal">
      <formula>8</formula>
    </cfRule>
    <cfRule type="cellIs" dxfId="1952" priority="2628" operator="greaterThan">
      <formula>8</formula>
    </cfRule>
    <cfRule type="cellIs" dxfId="1953" priority="2629" operator="lessThan">
      <formula>8</formula>
    </cfRule>
  </conditionalFormatting>
  <conditionalFormatting sqref="HA125 OY125 WW125 AEU125">
    <cfRule type="cellIs" dxfId="1954" priority="2625" operator="greaterThan">
      <formula>0</formula>
    </cfRule>
  </conditionalFormatting>
  <conditionalFormatting sqref="GZ125">
    <cfRule type="cellIs" dxfId="1955" priority="2624" operator="greaterThan">
      <formula>0</formula>
    </cfRule>
  </conditionalFormatting>
  <conditionalFormatting sqref="GY125 OW125 WU125 AES125">
    <cfRule type="cellIs" dxfId="1956" priority="2623" operator="greaterThan">
      <formula>0</formula>
    </cfRule>
  </conditionalFormatting>
  <conditionalFormatting sqref="GY125:GZ125 OW125 WU125 AES125">
    <cfRule type="cellIs" dxfId="1957" priority="2622" operator="equal">
      <formula>0</formula>
    </cfRule>
  </conditionalFormatting>
  <conditionalFormatting sqref="NS125 OV125 VQ125 AER125">
    <cfRule type="cellIs" dxfId="1958" priority="2618" operator="equal">
      <formula>0</formula>
    </cfRule>
    <cfRule type="cellIs" dxfId="1959" priority="2619" operator="equal">
      <formula>8</formula>
    </cfRule>
    <cfRule type="cellIs" dxfId="1960" priority="2620" operator="greaterThan">
      <formula>8</formula>
    </cfRule>
    <cfRule type="cellIs" dxfId="1961" priority="2621" operator="lessThan">
      <formula>8</formula>
    </cfRule>
  </conditionalFormatting>
  <conditionalFormatting sqref="HA124 OY124 WW124 AEU124">
    <cfRule type="cellIs" dxfId="1962" priority="2617" operator="greaterThan">
      <formula>0</formula>
    </cfRule>
  </conditionalFormatting>
  <conditionalFormatting sqref="GZ124">
    <cfRule type="cellIs" dxfId="1963" priority="2616" operator="greaterThan">
      <formula>0</formula>
    </cfRule>
  </conditionalFormatting>
  <conditionalFormatting sqref="GY124 OW124 WU124 AES124">
    <cfRule type="cellIs" dxfId="1964" priority="2615" operator="greaterThan">
      <formula>0</formula>
    </cfRule>
  </conditionalFormatting>
  <conditionalFormatting sqref="GY124:GZ124 OW124 WU124 AES124">
    <cfRule type="cellIs" dxfId="1965" priority="2614" operator="equal">
      <formula>0</formula>
    </cfRule>
  </conditionalFormatting>
  <conditionalFormatting sqref="NS124 OV124 VQ124 AER124">
    <cfRule type="cellIs" dxfId="1966" priority="2610" operator="equal">
      <formula>0</formula>
    </cfRule>
    <cfRule type="cellIs" dxfId="1967" priority="2611" operator="equal">
      <formula>8</formula>
    </cfRule>
    <cfRule type="cellIs" dxfId="1968" priority="2612" operator="greaterThan">
      <formula>8</formula>
    </cfRule>
    <cfRule type="cellIs" dxfId="1969" priority="2613" operator="lessThan">
      <formula>8</formula>
    </cfRule>
  </conditionalFormatting>
  <conditionalFormatting sqref="ADO124">
    <cfRule type="cellIs" dxfId="1970" priority="2590" operator="equal">
      <formula>0</formula>
    </cfRule>
    <cfRule type="cellIs" dxfId="1971" priority="2591" operator="equal">
      <formula>8</formula>
    </cfRule>
    <cfRule type="cellIs" dxfId="1972" priority="2592" operator="greaterThan">
      <formula>8</formula>
    </cfRule>
    <cfRule type="cellIs" dxfId="1973" priority="2593" operator="lessThan">
      <formula>8</formula>
    </cfRule>
  </conditionalFormatting>
  <conditionalFormatting sqref="ADO121 ADO127:ADO129">
    <cfRule type="cellIs" dxfId="1974" priority="2606" operator="equal">
      <formula>0</formula>
    </cfRule>
    <cfRule type="cellIs" dxfId="1975" priority="2607" operator="equal">
      <formula>8</formula>
    </cfRule>
    <cfRule type="cellIs" dxfId="1976" priority="2608" operator="greaterThan">
      <formula>8</formula>
    </cfRule>
    <cfRule type="cellIs" dxfId="1977" priority="2609" operator="lessThan">
      <formula>8</formula>
    </cfRule>
  </conditionalFormatting>
  <conditionalFormatting sqref="ADO130">
    <cfRule type="cellIs" dxfId="1978" priority="2602" operator="equal">
      <formula>0</formula>
    </cfRule>
    <cfRule type="cellIs" dxfId="1979" priority="2603" operator="equal">
      <formula>8</formula>
    </cfRule>
    <cfRule type="cellIs" dxfId="1980" priority="2604" operator="greaterThan">
      <formula>8</formula>
    </cfRule>
    <cfRule type="cellIs" dxfId="1981" priority="2605" operator="lessThan">
      <formula>8</formula>
    </cfRule>
  </conditionalFormatting>
  <conditionalFormatting sqref="ADO123">
    <cfRule type="cellIs" dxfId="1982" priority="2598" operator="equal">
      <formula>0</formula>
    </cfRule>
    <cfRule type="cellIs" dxfId="1983" priority="2599" operator="equal">
      <formula>8</formula>
    </cfRule>
    <cfRule type="cellIs" dxfId="1984" priority="2600" operator="greaterThan">
      <formula>8</formula>
    </cfRule>
    <cfRule type="cellIs" dxfId="1985" priority="2601" operator="lessThan">
      <formula>8</formula>
    </cfRule>
  </conditionalFormatting>
  <conditionalFormatting sqref="ADO126">
    <cfRule type="cellIs" dxfId="1986" priority="2594" operator="equal">
      <formula>0</formula>
    </cfRule>
    <cfRule type="cellIs" dxfId="1987" priority="2595" operator="equal">
      <formula>8</formula>
    </cfRule>
    <cfRule type="cellIs" dxfId="1988" priority="2596" operator="greaterThan">
      <formula>8</formula>
    </cfRule>
    <cfRule type="cellIs" dxfId="1989" priority="2597" operator="lessThan">
      <formula>8</formula>
    </cfRule>
  </conditionalFormatting>
  <conditionalFormatting sqref="ADO125">
    <cfRule type="cellIs" dxfId="1990" priority="2586" operator="equal">
      <formula>0</formula>
    </cfRule>
    <cfRule type="cellIs" dxfId="1991" priority="2587" operator="equal">
      <formula>8</formula>
    </cfRule>
    <cfRule type="cellIs" dxfId="1992" priority="2588" operator="greaterThan">
      <formula>8</formula>
    </cfRule>
    <cfRule type="cellIs" dxfId="1993" priority="2589" operator="lessThan">
      <formula>8</formula>
    </cfRule>
  </conditionalFormatting>
  <conditionalFormatting sqref="AMS122">
    <cfRule type="cellIs" dxfId="1994" priority="2585" operator="greaterThan">
      <formula>0</formula>
    </cfRule>
  </conditionalFormatting>
  <conditionalFormatting sqref="AMQ122">
    <cfRule type="cellIs" dxfId="1995" priority="2584" operator="greaterThan">
      <formula>0</formula>
    </cfRule>
    <cfRule type="cellIs" dxfId="1996" priority="2583" operator="equal">
      <formula>0</formula>
    </cfRule>
  </conditionalFormatting>
  <conditionalFormatting sqref="ALM122 AMP122">
    <cfRule type="cellIs" dxfId="1997" priority="2579" operator="equal">
      <formula>0</formula>
    </cfRule>
    <cfRule type="cellIs" dxfId="1998" priority="2580" operator="equal">
      <formula>8</formula>
    </cfRule>
    <cfRule type="cellIs" dxfId="1999" priority="2581" operator="greaterThan">
      <formula>8</formula>
    </cfRule>
    <cfRule type="cellIs" dxfId="2000" priority="2582" operator="lessThan">
      <formula>8</formula>
    </cfRule>
  </conditionalFormatting>
  <conditionalFormatting sqref="HA122 OY122 WW122 AEU122">
    <cfRule type="cellIs" dxfId="2001" priority="2578" operator="greaterThan">
      <formula>0</formula>
    </cfRule>
  </conditionalFormatting>
  <conditionalFormatting sqref="GZ122">
    <cfRule type="cellIs" dxfId="2002" priority="2577" operator="greaterThan">
      <formula>0</formula>
    </cfRule>
  </conditionalFormatting>
  <conditionalFormatting sqref="GY122 OW122 WU122 AES122">
    <cfRule type="cellIs" dxfId="2003" priority="2576" operator="greaterThan">
      <formula>0</formula>
    </cfRule>
  </conditionalFormatting>
  <conditionalFormatting sqref="GY122:GZ122 OW122 WU122 AES122">
    <cfRule type="cellIs" dxfId="2004" priority="2575" operator="equal">
      <formula>0</formula>
    </cfRule>
  </conditionalFormatting>
  <conditionalFormatting sqref="NS122 OV122 VQ122 AER122">
    <cfRule type="cellIs" dxfId="2005" priority="2571" operator="equal">
      <formula>0</formula>
    </cfRule>
    <cfRule type="cellIs" dxfId="2006" priority="2572" operator="equal">
      <formula>8</formula>
    </cfRule>
    <cfRule type="cellIs" dxfId="2007" priority="2573" operator="greaterThan">
      <formula>8</formula>
    </cfRule>
    <cfRule type="cellIs" dxfId="2008" priority="2574" operator="lessThan">
      <formula>8</formula>
    </cfRule>
  </conditionalFormatting>
  <conditionalFormatting sqref="ADO122">
    <cfRule type="cellIs" dxfId="2009" priority="2567" operator="equal">
      <formula>0</formula>
    </cfRule>
    <cfRule type="cellIs" dxfId="2010" priority="2568" operator="equal">
      <formula>8</formula>
    </cfRule>
    <cfRule type="cellIs" dxfId="2011" priority="2569" operator="greaterThan">
      <formula>8</formula>
    </cfRule>
    <cfRule type="cellIs" dxfId="2012" priority="2570" operator="lessThan">
      <formula>8</formula>
    </cfRule>
  </conditionalFormatting>
  <conditionalFormatting sqref="FU121 FU123 GX121 GX123">
    <cfRule type="cellIs" dxfId="2013" priority="2563" operator="equal">
      <formula>0</formula>
    </cfRule>
    <cfRule type="cellIs" dxfId="2014" priority="2564" operator="equal">
      <formula>8</formula>
    </cfRule>
    <cfRule type="cellIs" dxfId="2015" priority="2565" operator="greaterThan">
      <formula>8</formula>
    </cfRule>
    <cfRule type="cellIs" dxfId="2016" priority="2566" operator="lessThan">
      <formula>8</formula>
    </cfRule>
  </conditionalFormatting>
  <conditionalFormatting sqref="FU126:FU130 GX126:GX130">
    <cfRule type="cellIs" dxfId="2017" priority="2559" operator="equal">
      <formula>0</formula>
    </cfRule>
    <cfRule type="cellIs" dxfId="2018" priority="2560" operator="equal">
      <formula>8</formula>
    </cfRule>
    <cfRule type="cellIs" dxfId="2019" priority="2561" operator="greaterThan">
      <formula>8</formula>
    </cfRule>
    <cfRule type="cellIs" dxfId="2020" priority="2562" operator="lessThan">
      <formula>8</formula>
    </cfRule>
  </conditionalFormatting>
  <conditionalFormatting sqref="FU125 GX125">
    <cfRule type="cellIs" dxfId="2021" priority="2555" operator="equal">
      <formula>0</formula>
    </cfRule>
    <cfRule type="cellIs" dxfId="2022" priority="2556" operator="equal">
      <formula>8</formula>
    </cfRule>
    <cfRule type="cellIs" dxfId="2023" priority="2557" operator="greaterThan">
      <formula>8</formula>
    </cfRule>
    <cfRule type="cellIs" dxfId="2024" priority="2558" operator="lessThan">
      <formula>8</formula>
    </cfRule>
  </conditionalFormatting>
  <conditionalFormatting sqref="FU124 GX124">
    <cfRule type="cellIs" dxfId="2025" priority="2551" operator="equal">
      <formula>0</formula>
    </cfRule>
    <cfRule type="cellIs" dxfId="2026" priority="2552" operator="equal">
      <formula>8</formula>
    </cfRule>
    <cfRule type="cellIs" dxfId="2027" priority="2553" operator="greaterThan">
      <formula>8</formula>
    </cfRule>
    <cfRule type="cellIs" dxfId="2028" priority="2554" operator="lessThan">
      <formula>8</formula>
    </cfRule>
  </conditionalFormatting>
  <conditionalFormatting sqref="FU122 GX122">
    <cfRule type="cellIs" dxfId="2029" priority="2547" operator="equal">
      <formula>0</formula>
    </cfRule>
    <cfRule type="cellIs" dxfId="2030" priority="2548" operator="equal">
      <formula>8</formula>
    </cfRule>
    <cfRule type="cellIs" dxfId="2031" priority="2549" operator="greaterThan">
      <formula>8</formula>
    </cfRule>
    <cfRule type="cellIs" dxfId="2032" priority="2550" operator="lessThan">
      <formula>8</formula>
    </cfRule>
  </conditionalFormatting>
  <conditionalFormatting sqref="OX121 OX123">
    <cfRule type="cellIs" dxfId="2033" priority="2546" operator="greaterThan">
      <formula>0</formula>
    </cfRule>
    <cfRule type="cellIs" dxfId="2034" priority="2545" operator="equal">
      <formula>0</formula>
    </cfRule>
  </conditionalFormatting>
  <conditionalFormatting sqref="OX126:OX130">
    <cfRule type="cellIs" dxfId="2035" priority="2544" operator="greaterThan">
      <formula>0</formula>
    </cfRule>
    <cfRule type="cellIs" dxfId="2036" priority="2543" operator="equal">
      <formula>0</formula>
    </cfRule>
  </conditionalFormatting>
  <conditionalFormatting sqref="OX125">
    <cfRule type="cellIs" dxfId="2037" priority="2542" operator="greaterThan">
      <formula>0</formula>
    </cfRule>
    <cfRule type="cellIs" dxfId="2038" priority="2541" operator="equal">
      <formula>0</formula>
    </cfRule>
  </conditionalFormatting>
  <conditionalFormatting sqref="OX124">
    <cfRule type="cellIs" dxfId="2039" priority="2540" operator="greaterThan">
      <formula>0</formula>
    </cfRule>
    <cfRule type="cellIs" dxfId="2040" priority="2539" operator="equal">
      <formula>0</formula>
    </cfRule>
  </conditionalFormatting>
  <conditionalFormatting sqref="OX122">
    <cfRule type="cellIs" dxfId="2041" priority="2538" operator="greaterThan">
      <formula>0</formula>
    </cfRule>
    <cfRule type="cellIs" dxfId="2042" priority="2537" operator="equal">
      <formula>0</formula>
    </cfRule>
  </conditionalFormatting>
  <conditionalFormatting sqref="WV121 WV123">
    <cfRule type="cellIs" dxfId="2043" priority="2536" operator="greaterThan">
      <formula>0</formula>
    </cfRule>
    <cfRule type="cellIs" dxfId="2044" priority="2535" operator="equal">
      <formula>0</formula>
    </cfRule>
  </conditionalFormatting>
  <conditionalFormatting sqref="WV126:WV130">
    <cfRule type="cellIs" dxfId="2045" priority="2534" operator="greaterThan">
      <formula>0</formula>
    </cfRule>
    <cfRule type="cellIs" dxfId="2046" priority="2533" operator="equal">
      <formula>0</formula>
    </cfRule>
  </conditionalFormatting>
  <conditionalFormatting sqref="WV125">
    <cfRule type="cellIs" dxfId="2047" priority="2532" operator="greaterThan">
      <formula>0</formula>
    </cfRule>
    <cfRule type="cellIs" dxfId="2048" priority="2531" operator="equal">
      <formula>0</formula>
    </cfRule>
  </conditionalFormatting>
  <conditionalFormatting sqref="WV124">
    <cfRule type="cellIs" dxfId="2049" priority="2530" operator="greaterThan">
      <formula>0</formula>
    </cfRule>
    <cfRule type="cellIs" dxfId="2050" priority="2529" operator="equal">
      <formula>0</formula>
    </cfRule>
  </conditionalFormatting>
  <conditionalFormatting sqref="WV122">
    <cfRule type="cellIs" dxfId="2051" priority="2528" operator="greaterThan">
      <formula>0</formula>
    </cfRule>
    <cfRule type="cellIs" dxfId="2052" priority="2527" operator="equal">
      <formula>0</formula>
    </cfRule>
  </conditionalFormatting>
  <conditionalFormatting sqref="AET121 AET123">
    <cfRule type="cellIs" dxfId="2053" priority="2526" operator="greaterThan">
      <formula>0</formula>
    </cfRule>
    <cfRule type="cellIs" dxfId="2054" priority="2525" operator="equal">
      <formula>0</formula>
    </cfRule>
  </conditionalFormatting>
  <conditionalFormatting sqref="AET126:AET130">
    <cfRule type="cellIs" dxfId="2055" priority="2524" operator="greaterThan">
      <formula>0</formula>
    </cfRule>
    <cfRule type="cellIs" dxfId="2056" priority="2523" operator="equal">
      <formula>0</formula>
    </cfRule>
  </conditionalFormatting>
  <conditionalFormatting sqref="AET125">
    <cfRule type="cellIs" dxfId="2057" priority="2522" operator="greaterThan">
      <formula>0</formula>
    </cfRule>
    <cfRule type="cellIs" dxfId="2058" priority="2521" operator="equal">
      <formula>0</formula>
    </cfRule>
  </conditionalFormatting>
  <conditionalFormatting sqref="AET124">
    <cfRule type="cellIs" dxfId="2059" priority="2520" operator="greaterThan">
      <formula>0</formula>
    </cfRule>
    <cfRule type="cellIs" dxfId="2060" priority="2519" operator="equal">
      <formula>0</formula>
    </cfRule>
  </conditionalFormatting>
  <conditionalFormatting sqref="AET122">
    <cfRule type="cellIs" dxfId="2061" priority="2518" operator="greaterThan">
      <formula>0</formula>
    </cfRule>
    <cfRule type="cellIs" dxfId="2062" priority="2517" operator="equal">
      <formula>0</formula>
    </cfRule>
  </conditionalFormatting>
  <conditionalFormatting sqref="AMR121 AMR123">
    <cfRule type="cellIs" dxfId="2063" priority="2516" operator="greaterThan">
      <formula>0</formula>
    </cfRule>
    <cfRule type="cellIs" dxfId="2064" priority="2515" operator="equal">
      <formula>0</formula>
    </cfRule>
  </conditionalFormatting>
  <conditionalFormatting sqref="AMR126:AMR130">
    <cfRule type="cellIs" dxfId="2065" priority="2514" operator="greaterThan">
      <formula>0</formula>
    </cfRule>
    <cfRule type="cellIs" dxfId="2066" priority="2513" operator="equal">
      <formula>0</formula>
    </cfRule>
  </conditionalFormatting>
  <conditionalFormatting sqref="AMR125">
    <cfRule type="cellIs" dxfId="2067" priority="2512" operator="greaterThan">
      <formula>0</formula>
    </cfRule>
    <cfRule type="cellIs" dxfId="2068" priority="2511" operator="equal">
      <formula>0</formula>
    </cfRule>
  </conditionalFormatting>
  <conditionalFormatting sqref="AMR124">
    <cfRule type="cellIs" dxfId="2069" priority="2510" operator="greaterThan">
      <formula>0</formula>
    </cfRule>
    <cfRule type="cellIs" dxfId="2070" priority="2509" operator="equal">
      <formula>0</formula>
    </cfRule>
  </conditionalFormatting>
  <conditionalFormatting sqref="AMR122">
    <cfRule type="cellIs" dxfId="2071" priority="2508" operator="greaterThan">
      <formula>0</formula>
    </cfRule>
    <cfRule type="cellIs" dxfId="2072" priority="2507" operator="equal">
      <formula>0</formula>
    </cfRule>
  </conditionalFormatting>
  <conditionalFormatting sqref="ER123">
    <cfRule type="cellIs" dxfId="2073" priority="2503" operator="equal">
      <formula>0</formula>
    </cfRule>
    <cfRule type="cellIs" dxfId="2074" priority="2504" operator="equal">
      <formula>8</formula>
    </cfRule>
    <cfRule type="cellIs" dxfId="2075" priority="2505" operator="greaterThan">
      <formula>8</formula>
    </cfRule>
    <cfRule type="cellIs" dxfId="2076" priority="2506" operator="lessThan">
      <formula>8</formula>
    </cfRule>
  </conditionalFormatting>
  <conditionalFormatting sqref="ER126">
    <cfRule type="cellIs" dxfId="2077" priority="2499" operator="equal">
      <formula>0</formula>
    </cfRule>
    <cfRule type="cellIs" dxfId="2078" priority="2500" operator="equal">
      <formula>8</formula>
    </cfRule>
    <cfRule type="cellIs" dxfId="2079" priority="2501" operator="greaterThan">
      <formula>8</formula>
    </cfRule>
    <cfRule type="cellIs" dxfId="2080" priority="2502" operator="lessThan">
      <formula>8</formula>
    </cfRule>
  </conditionalFormatting>
  <conditionalFormatting sqref="ER129">
    <cfRule type="cellIs" dxfId="2081" priority="2495" operator="equal">
      <formula>0</formula>
    </cfRule>
    <cfRule type="cellIs" dxfId="2082" priority="2496" operator="equal">
      <formula>8</formula>
    </cfRule>
    <cfRule type="cellIs" dxfId="2083" priority="2497" operator="greaterThan">
      <formula>8</formula>
    </cfRule>
    <cfRule type="cellIs" dxfId="2084" priority="2498" operator="lessThan">
      <formula>8</formula>
    </cfRule>
  </conditionalFormatting>
  <conditionalFormatting sqref="ER130">
    <cfRule type="cellIs" dxfId="2085" priority="2491" operator="equal">
      <formula>0</formula>
    </cfRule>
    <cfRule type="cellIs" dxfId="2086" priority="2492" operator="equal">
      <formula>8</formula>
    </cfRule>
    <cfRule type="cellIs" dxfId="2087" priority="2493" operator="greaterThan">
      <formula>8</formula>
    </cfRule>
    <cfRule type="cellIs" dxfId="2088" priority="2494" operator="lessThan">
      <formula>8</formula>
    </cfRule>
  </conditionalFormatting>
  <conditionalFormatting sqref="ER121">
    <cfRule type="cellIs" dxfId="2089" priority="2487" operator="equal">
      <formula>0</formula>
    </cfRule>
    <cfRule type="cellIs" dxfId="2090" priority="2488" operator="equal">
      <formula>8</formula>
    </cfRule>
    <cfRule type="cellIs" dxfId="2091" priority="2489" operator="greaterThan">
      <formula>8</formula>
    </cfRule>
    <cfRule type="cellIs" dxfId="2092" priority="2490" operator="lessThan">
      <formula>8</formula>
    </cfRule>
  </conditionalFormatting>
  <conditionalFormatting sqref="ER125">
    <cfRule type="cellIs" dxfId="2093" priority="2483" operator="equal">
      <formula>0</formula>
    </cfRule>
    <cfRule type="cellIs" dxfId="2094" priority="2484" operator="equal">
      <formula>8</formula>
    </cfRule>
    <cfRule type="cellIs" dxfId="2095" priority="2485" operator="greaterThan">
      <formula>8</formula>
    </cfRule>
    <cfRule type="cellIs" dxfId="2096" priority="2486" operator="lessThan">
      <formula>8</formula>
    </cfRule>
  </conditionalFormatting>
  <conditionalFormatting sqref="ER127">
    <cfRule type="cellIs" dxfId="2097" priority="2479" operator="equal">
      <formula>0</formula>
    </cfRule>
    <cfRule type="cellIs" dxfId="2098" priority="2480" operator="equal">
      <formula>8</formula>
    </cfRule>
    <cfRule type="cellIs" dxfId="2099" priority="2481" operator="greaterThan">
      <formula>8</formula>
    </cfRule>
    <cfRule type="cellIs" dxfId="2100" priority="2482" operator="lessThan">
      <formula>8</formula>
    </cfRule>
  </conditionalFormatting>
  <conditionalFormatting sqref="ER128">
    <cfRule type="cellIs" dxfId="2101" priority="2475" operator="equal">
      <formula>0</formula>
    </cfRule>
    <cfRule type="cellIs" dxfId="2102" priority="2476" operator="equal">
      <formula>8</formula>
    </cfRule>
    <cfRule type="cellIs" dxfId="2103" priority="2477" operator="greaterThan">
      <formula>8</formula>
    </cfRule>
    <cfRule type="cellIs" dxfId="2104" priority="2478" operator="lessThan">
      <formula>8</formula>
    </cfRule>
  </conditionalFormatting>
  <conditionalFormatting sqref="ER124">
    <cfRule type="cellIs" dxfId="2105" priority="2471" operator="equal">
      <formula>0</formula>
    </cfRule>
    <cfRule type="cellIs" dxfId="2106" priority="2472" operator="equal">
      <formula>8</formula>
    </cfRule>
    <cfRule type="cellIs" dxfId="2107" priority="2473" operator="greaterThan">
      <formula>8</formula>
    </cfRule>
    <cfRule type="cellIs" dxfId="2108" priority="2474" operator="lessThan">
      <formula>8</formula>
    </cfRule>
  </conditionalFormatting>
  <conditionalFormatting sqref="ER122">
    <cfRule type="cellIs" dxfId="2109" priority="2467" operator="equal">
      <formula>0</formula>
    </cfRule>
    <cfRule type="cellIs" dxfId="2110" priority="2468" operator="equal">
      <formula>8</formula>
    </cfRule>
    <cfRule type="cellIs" dxfId="2111" priority="2469" operator="greaterThan">
      <formula>8</formula>
    </cfRule>
    <cfRule type="cellIs" dxfId="2112" priority="2470" operator="lessThan">
      <formula>8</formula>
    </cfRule>
  </conditionalFormatting>
  <conditionalFormatting sqref="MP123">
    <cfRule type="cellIs" dxfId="2113" priority="2463" operator="equal">
      <formula>0</formula>
    </cfRule>
    <cfRule type="cellIs" dxfId="2114" priority="2464" operator="equal">
      <formula>8</formula>
    </cfRule>
    <cfRule type="cellIs" dxfId="2115" priority="2465" operator="greaterThan">
      <formula>8</formula>
    </cfRule>
    <cfRule type="cellIs" dxfId="2116" priority="2466" operator="lessThan">
      <formula>8</formula>
    </cfRule>
  </conditionalFormatting>
  <conditionalFormatting sqref="MP126">
    <cfRule type="cellIs" dxfId="2117" priority="2459" operator="equal">
      <formula>0</formula>
    </cfRule>
    <cfRule type="cellIs" dxfId="2118" priority="2460" operator="equal">
      <formula>8</formula>
    </cfRule>
    <cfRule type="cellIs" dxfId="2119" priority="2461" operator="greaterThan">
      <formula>8</formula>
    </cfRule>
    <cfRule type="cellIs" dxfId="2120" priority="2462" operator="lessThan">
      <formula>8</formula>
    </cfRule>
  </conditionalFormatting>
  <conditionalFormatting sqref="MP129">
    <cfRule type="cellIs" dxfId="2121" priority="2455" operator="equal">
      <formula>0</formula>
    </cfRule>
    <cfRule type="cellIs" dxfId="2122" priority="2456" operator="equal">
      <formula>8</formula>
    </cfRule>
    <cfRule type="cellIs" dxfId="2123" priority="2457" operator="greaterThan">
      <formula>8</formula>
    </cfRule>
    <cfRule type="cellIs" dxfId="2124" priority="2458" operator="lessThan">
      <formula>8</formula>
    </cfRule>
  </conditionalFormatting>
  <conditionalFormatting sqref="MP130">
    <cfRule type="cellIs" dxfId="2125" priority="2451" operator="equal">
      <formula>0</formula>
    </cfRule>
    <cfRule type="cellIs" dxfId="2126" priority="2452" operator="equal">
      <formula>8</formula>
    </cfRule>
    <cfRule type="cellIs" dxfId="2127" priority="2453" operator="greaterThan">
      <formula>8</formula>
    </cfRule>
    <cfRule type="cellIs" dxfId="2128" priority="2454" operator="lessThan">
      <formula>8</formula>
    </cfRule>
  </conditionalFormatting>
  <conditionalFormatting sqref="MP125">
    <cfRule type="cellIs" dxfId="2129" priority="2447" operator="equal">
      <formula>0</formula>
    </cfRule>
    <cfRule type="cellIs" dxfId="2130" priority="2448" operator="equal">
      <formula>8</formula>
    </cfRule>
    <cfRule type="cellIs" dxfId="2131" priority="2449" operator="greaterThan">
      <formula>8</formula>
    </cfRule>
    <cfRule type="cellIs" dxfId="2132" priority="2450" operator="lessThan">
      <formula>8</formula>
    </cfRule>
  </conditionalFormatting>
  <conditionalFormatting sqref="MP124">
    <cfRule type="cellIs" dxfId="2133" priority="2443" operator="equal">
      <formula>0</formula>
    </cfRule>
    <cfRule type="cellIs" dxfId="2134" priority="2444" operator="equal">
      <formula>8</formula>
    </cfRule>
    <cfRule type="cellIs" dxfId="2135" priority="2445" operator="greaterThan">
      <formula>8</formula>
    </cfRule>
    <cfRule type="cellIs" dxfId="2136" priority="2446" operator="lessThan">
      <formula>8</formula>
    </cfRule>
  </conditionalFormatting>
  <conditionalFormatting sqref="UN123">
    <cfRule type="cellIs" dxfId="2137" priority="2439" operator="equal">
      <formula>0</formula>
    </cfRule>
    <cfRule type="cellIs" dxfId="2138" priority="2440" operator="equal">
      <formula>8</formula>
    </cfRule>
    <cfRule type="cellIs" dxfId="2139" priority="2441" operator="greaterThan">
      <formula>8</formula>
    </cfRule>
    <cfRule type="cellIs" dxfId="2140" priority="2442" operator="lessThan">
      <formula>8</formula>
    </cfRule>
  </conditionalFormatting>
  <conditionalFormatting sqref="UN126">
    <cfRule type="cellIs" dxfId="2141" priority="2435" operator="equal">
      <formula>0</formula>
    </cfRule>
    <cfRule type="cellIs" dxfId="2142" priority="2436" operator="equal">
      <formula>8</formula>
    </cfRule>
    <cfRule type="cellIs" dxfId="2143" priority="2437" operator="greaterThan">
      <formula>8</formula>
    </cfRule>
    <cfRule type="cellIs" dxfId="2144" priority="2438" operator="lessThan">
      <formula>8</formula>
    </cfRule>
  </conditionalFormatting>
  <conditionalFormatting sqref="UN125">
    <cfRule type="cellIs" dxfId="2145" priority="2431" operator="equal">
      <formula>0</formula>
    </cfRule>
    <cfRule type="cellIs" dxfId="2146" priority="2432" operator="equal">
      <formula>8</formula>
    </cfRule>
    <cfRule type="cellIs" dxfId="2147" priority="2433" operator="greaterThan">
      <formula>8</formula>
    </cfRule>
    <cfRule type="cellIs" dxfId="2148" priority="2434" operator="lessThan">
      <formula>8</formula>
    </cfRule>
  </conditionalFormatting>
  <conditionalFormatting sqref="UN128">
    <cfRule type="cellIs" dxfId="2149" priority="2427" operator="equal">
      <formula>0</formula>
    </cfRule>
    <cfRule type="cellIs" dxfId="2150" priority="2428" operator="equal">
      <formula>8</formula>
    </cfRule>
    <cfRule type="cellIs" dxfId="2151" priority="2429" operator="greaterThan">
      <formula>8</formula>
    </cfRule>
    <cfRule type="cellIs" dxfId="2152" priority="2430" operator="lessThan">
      <formula>8</formula>
    </cfRule>
  </conditionalFormatting>
  <conditionalFormatting sqref="UN124">
    <cfRule type="cellIs" dxfId="2153" priority="2423" operator="equal">
      <formula>0</formula>
    </cfRule>
    <cfRule type="cellIs" dxfId="2154" priority="2424" operator="equal">
      <formula>8</formula>
    </cfRule>
    <cfRule type="cellIs" dxfId="2155" priority="2425" operator="greaterThan">
      <formula>8</formula>
    </cfRule>
    <cfRule type="cellIs" dxfId="2156" priority="2426" operator="lessThan">
      <formula>8</formula>
    </cfRule>
  </conditionalFormatting>
  <conditionalFormatting sqref="AKJ123">
    <cfRule type="cellIs" dxfId="2157" priority="2415" operator="equal">
      <formula>0</formula>
    </cfRule>
    <cfRule type="cellIs" dxfId="2158" priority="2416" operator="equal">
      <formula>8</formula>
    </cfRule>
    <cfRule type="cellIs" dxfId="2159" priority="2417" operator="greaterThan">
      <formula>8</formula>
    </cfRule>
    <cfRule type="cellIs" dxfId="2160" priority="2418" operator="lessThan">
      <formula>8</formula>
    </cfRule>
  </conditionalFormatting>
  <conditionalFormatting sqref="AKJ126">
    <cfRule type="cellIs" dxfId="2161" priority="2411" operator="equal">
      <formula>0</formula>
    </cfRule>
    <cfRule type="cellIs" dxfId="2162" priority="2412" operator="equal">
      <formula>8</formula>
    </cfRule>
    <cfRule type="cellIs" dxfId="2163" priority="2413" operator="greaterThan">
      <formula>8</formula>
    </cfRule>
    <cfRule type="cellIs" dxfId="2164" priority="2414" operator="lessThan">
      <formula>8</formula>
    </cfRule>
  </conditionalFormatting>
  <conditionalFormatting sqref="AKJ129">
    <cfRule type="cellIs" dxfId="2165" priority="2407" operator="equal">
      <formula>0</formula>
    </cfRule>
    <cfRule type="cellIs" dxfId="2166" priority="2408" operator="equal">
      <formula>8</formula>
    </cfRule>
    <cfRule type="cellIs" dxfId="2167" priority="2409" operator="greaterThan">
      <formula>8</formula>
    </cfRule>
    <cfRule type="cellIs" dxfId="2168" priority="2410" operator="lessThan">
      <formula>8</formula>
    </cfRule>
  </conditionalFormatting>
  <conditionalFormatting sqref="AKJ130">
    <cfRule type="cellIs" dxfId="2169" priority="2403" operator="equal">
      <formula>0</formula>
    </cfRule>
    <cfRule type="cellIs" dxfId="2170" priority="2404" operator="equal">
      <formula>8</formula>
    </cfRule>
    <cfRule type="cellIs" dxfId="2171" priority="2405" operator="greaterThan">
      <formula>8</formula>
    </cfRule>
    <cfRule type="cellIs" dxfId="2172" priority="2406" operator="lessThan">
      <formula>8</formula>
    </cfRule>
  </conditionalFormatting>
  <conditionalFormatting sqref="AKJ121">
    <cfRule type="cellIs" dxfId="2173" priority="2399" operator="equal">
      <formula>0</formula>
    </cfRule>
    <cfRule type="cellIs" dxfId="2174" priority="2400" operator="equal">
      <formula>8</formula>
    </cfRule>
    <cfRule type="cellIs" dxfId="2175" priority="2401" operator="greaterThan">
      <formula>8</formula>
    </cfRule>
    <cfRule type="cellIs" dxfId="2176" priority="2402" operator="lessThan">
      <formula>8</formula>
    </cfRule>
  </conditionalFormatting>
  <conditionalFormatting sqref="AKJ125">
    <cfRule type="cellIs" dxfId="2177" priority="2395" operator="equal">
      <formula>0</formula>
    </cfRule>
    <cfRule type="cellIs" dxfId="2178" priority="2396" operator="equal">
      <formula>8</formula>
    </cfRule>
    <cfRule type="cellIs" dxfId="2179" priority="2397" operator="greaterThan">
      <formula>8</formula>
    </cfRule>
    <cfRule type="cellIs" dxfId="2180" priority="2398" operator="lessThan">
      <formula>8</formula>
    </cfRule>
  </conditionalFormatting>
  <conditionalFormatting sqref="AKJ127">
    <cfRule type="cellIs" dxfId="2181" priority="2391" operator="equal">
      <formula>0</formula>
    </cfRule>
    <cfRule type="cellIs" dxfId="2182" priority="2392" operator="equal">
      <formula>8</formula>
    </cfRule>
    <cfRule type="cellIs" dxfId="2183" priority="2393" operator="greaterThan">
      <formula>8</formula>
    </cfRule>
    <cfRule type="cellIs" dxfId="2184" priority="2394" operator="lessThan">
      <formula>8</formula>
    </cfRule>
  </conditionalFormatting>
  <conditionalFormatting sqref="AKJ128">
    <cfRule type="cellIs" dxfId="2185" priority="2387" operator="equal">
      <formula>0</formula>
    </cfRule>
    <cfRule type="cellIs" dxfId="2186" priority="2388" operator="equal">
      <formula>8</formula>
    </cfRule>
    <cfRule type="cellIs" dxfId="2187" priority="2389" operator="greaterThan">
      <formula>8</formula>
    </cfRule>
    <cfRule type="cellIs" dxfId="2188" priority="2390" operator="lessThan">
      <formula>8</formula>
    </cfRule>
  </conditionalFormatting>
  <conditionalFormatting sqref="AKJ124">
    <cfRule type="cellIs" dxfId="2189" priority="2383" operator="equal">
      <formula>0</formula>
    </cfRule>
    <cfRule type="cellIs" dxfId="2190" priority="2384" operator="equal">
      <formula>8</formula>
    </cfRule>
    <cfRule type="cellIs" dxfId="2191" priority="2385" operator="greaterThan">
      <formula>8</formula>
    </cfRule>
    <cfRule type="cellIs" dxfId="2192" priority="2386" operator="lessThan">
      <formula>8</formula>
    </cfRule>
  </conditionalFormatting>
  <conditionalFormatting sqref="ACL125">
    <cfRule type="cellIs" dxfId="2193" priority="2379" operator="equal">
      <formula>0</formula>
    </cfRule>
    <cfRule type="cellIs" dxfId="2194" priority="2380" operator="equal">
      <formula>8</formula>
    </cfRule>
    <cfRule type="cellIs" dxfId="2195" priority="2381" operator="greaterThan">
      <formula>8</formula>
    </cfRule>
    <cfRule type="cellIs" dxfId="2196" priority="2382" operator="lessThan">
      <formula>8</formula>
    </cfRule>
  </conditionalFormatting>
  <conditionalFormatting sqref="ACL126">
    <cfRule type="cellIs" dxfId="2197" priority="2375" operator="equal">
      <formula>0</formula>
    </cfRule>
    <cfRule type="cellIs" dxfId="2198" priority="2376" operator="equal">
      <formula>8</formula>
    </cfRule>
    <cfRule type="cellIs" dxfId="2199" priority="2377" operator="greaterThan">
      <formula>8</formula>
    </cfRule>
    <cfRule type="cellIs" dxfId="2200" priority="2378" operator="lessThan">
      <formula>8</formula>
    </cfRule>
  </conditionalFormatting>
  <conditionalFormatting sqref="ACL123">
    <cfRule type="cellIs" dxfId="2201" priority="2371" operator="equal">
      <formula>0</formula>
    </cfRule>
    <cfRule type="cellIs" dxfId="2202" priority="2372" operator="equal">
      <formula>8</formula>
    </cfRule>
    <cfRule type="cellIs" dxfId="2203" priority="2373" operator="greaterThan">
      <formula>8</formula>
    </cfRule>
    <cfRule type="cellIs" dxfId="2204" priority="2374" operator="lessThan">
      <formula>8</formula>
    </cfRule>
  </conditionalFormatting>
  <conditionalFormatting sqref="ACL128">
    <cfRule type="cellIs" dxfId="2205" priority="2367" operator="equal">
      <formula>0</formula>
    </cfRule>
    <cfRule type="cellIs" dxfId="2206" priority="2368" operator="equal">
      <formula>8</formula>
    </cfRule>
    <cfRule type="cellIs" dxfId="2207" priority="2369" operator="greaterThan">
      <formula>8</formula>
    </cfRule>
    <cfRule type="cellIs" dxfId="2208" priority="2370" operator="lessThan">
      <formula>8</formula>
    </cfRule>
  </conditionalFormatting>
  <conditionalFormatting sqref="ACL130">
    <cfRule type="cellIs" dxfId="2209" priority="2363" operator="equal">
      <formula>0</formula>
    </cfRule>
    <cfRule type="cellIs" dxfId="2210" priority="2364" operator="equal">
      <formula>8</formula>
    </cfRule>
    <cfRule type="cellIs" dxfId="2211" priority="2365" operator="greaterThan">
      <formula>8</formula>
    </cfRule>
    <cfRule type="cellIs" dxfId="2212" priority="2366" operator="lessThan">
      <formula>8</formula>
    </cfRule>
  </conditionalFormatting>
  <conditionalFormatting sqref="ACL129">
    <cfRule type="cellIs" dxfId="2213" priority="2359" operator="equal">
      <formula>0</formula>
    </cfRule>
    <cfRule type="cellIs" dxfId="2214" priority="2360" operator="equal">
      <formula>8</formula>
    </cfRule>
    <cfRule type="cellIs" dxfId="2215" priority="2361" operator="greaterThan">
      <formula>8</formula>
    </cfRule>
    <cfRule type="cellIs" dxfId="2216" priority="2362" operator="lessThan">
      <formula>8</formula>
    </cfRule>
  </conditionalFormatting>
  <conditionalFormatting sqref="ACL121">
    <cfRule type="cellIs" dxfId="2217" priority="2355" operator="equal">
      <formula>0</formula>
    </cfRule>
    <cfRule type="cellIs" dxfId="2218" priority="2356" operator="equal">
      <formula>8</formula>
    </cfRule>
    <cfRule type="cellIs" dxfId="2219" priority="2357" operator="greaterThan">
      <formula>8</formula>
    </cfRule>
    <cfRule type="cellIs" dxfId="2220" priority="2358" operator="lessThan">
      <formula>8</formula>
    </cfRule>
  </conditionalFormatting>
  <conditionalFormatting sqref="ACL124">
    <cfRule type="cellIs" dxfId="2221" priority="2351" operator="equal">
      <formula>0</formula>
    </cfRule>
    <cfRule type="cellIs" dxfId="2222" priority="2352" operator="equal">
      <formula>8</formula>
    </cfRule>
    <cfRule type="cellIs" dxfId="2223" priority="2353" operator="greaterThan">
      <formula>8</formula>
    </cfRule>
    <cfRule type="cellIs" dxfId="2224" priority="2354" operator="lessThan">
      <formula>8</formula>
    </cfRule>
  </conditionalFormatting>
  <conditionalFormatting sqref="UN129">
    <cfRule type="cellIs" dxfId="2225" priority="2347" operator="equal">
      <formula>0</formula>
    </cfRule>
    <cfRule type="cellIs" dxfId="2226" priority="2348" operator="equal">
      <formula>8</formula>
    </cfRule>
    <cfRule type="cellIs" dxfId="2227" priority="2349" operator="greaterThan">
      <formula>8</formula>
    </cfRule>
    <cfRule type="cellIs" dxfId="2228" priority="2350" operator="lessThan">
      <formula>8</formula>
    </cfRule>
  </conditionalFormatting>
  <conditionalFormatting sqref="AF122 BI122 CL122">
    <cfRule type="cellIs" dxfId="2229" priority="2343" operator="equal">
      <formula>0</formula>
    </cfRule>
    <cfRule type="cellIs" dxfId="2230" priority="2344" operator="equal">
      <formula>8</formula>
    </cfRule>
    <cfRule type="cellIs" dxfId="2231" priority="2345" operator="greaterThan">
      <formula>8</formula>
    </cfRule>
    <cfRule type="cellIs" dxfId="2232" priority="2346" operator="lessThan">
      <formula>8</formula>
    </cfRule>
  </conditionalFormatting>
  <conditionalFormatting sqref="AF123 BI123 CL123 DO123">
    <cfRule type="cellIs" dxfId="2233" priority="2339" operator="equal">
      <formula>0</formula>
    </cfRule>
    <cfRule type="cellIs" dxfId="2234" priority="2340" operator="equal">
      <formula>8</formula>
    </cfRule>
    <cfRule type="cellIs" dxfId="2235" priority="2341" operator="greaterThan">
      <formula>8</formula>
    </cfRule>
    <cfRule type="cellIs" dxfId="2236" priority="2342" operator="lessThan">
      <formula>8</formula>
    </cfRule>
  </conditionalFormatting>
  <conditionalFormatting sqref="AF126 BI126 CL126 DO126">
    <cfRule type="cellIs" dxfId="2237" priority="2335" operator="equal">
      <formula>0</formula>
    </cfRule>
    <cfRule type="cellIs" dxfId="2238" priority="2336" operator="equal">
      <formula>8</formula>
    </cfRule>
    <cfRule type="cellIs" dxfId="2239" priority="2337" operator="greaterThan">
      <formula>8</formula>
    </cfRule>
    <cfRule type="cellIs" dxfId="2240" priority="2338" operator="lessThan">
      <formula>8</formula>
    </cfRule>
  </conditionalFormatting>
  <conditionalFormatting sqref="AF127 BI127 CL127 DO127">
    <cfRule type="cellIs" dxfId="2241" priority="2331" operator="equal">
      <formula>0</formula>
    </cfRule>
    <cfRule type="cellIs" dxfId="2242" priority="2332" operator="equal">
      <formula>8</formula>
    </cfRule>
    <cfRule type="cellIs" dxfId="2243" priority="2333" operator="greaterThan">
      <formula>8</formula>
    </cfRule>
    <cfRule type="cellIs" dxfId="2244" priority="2334" operator="lessThan">
      <formula>8</formula>
    </cfRule>
  </conditionalFormatting>
  <conditionalFormatting sqref="AF125 BI125 CL125 DO125">
    <cfRule type="cellIs" dxfId="2245" priority="2327" operator="equal">
      <formula>0</formula>
    </cfRule>
    <cfRule type="cellIs" dxfId="2246" priority="2328" operator="equal">
      <formula>8</formula>
    </cfRule>
    <cfRule type="cellIs" dxfId="2247" priority="2329" operator="greaterThan">
      <formula>8</formula>
    </cfRule>
    <cfRule type="cellIs" dxfId="2248" priority="2330" operator="lessThan">
      <formula>8</formula>
    </cfRule>
  </conditionalFormatting>
  <conditionalFormatting sqref="AF130 BI130 CL130 DO130">
    <cfRule type="cellIs" dxfId="2249" priority="2323" operator="equal">
      <formula>0</formula>
    </cfRule>
    <cfRule type="cellIs" dxfId="2250" priority="2324" operator="equal">
      <formula>8</formula>
    </cfRule>
    <cfRule type="cellIs" dxfId="2251" priority="2325" operator="greaterThan">
      <formula>8</formula>
    </cfRule>
    <cfRule type="cellIs" dxfId="2252" priority="2326" operator="lessThan">
      <formula>8</formula>
    </cfRule>
  </conditionalFormatting>
  <conditionalFormatting sqref="DO129">
    <cfRule type="cellIs" dxfId="2253" priority="2319" operator="equal">
      <formula>0</formula>
    </cfRule>
    <cfRule type="cellIs" dxfId="2254" priority="2320" operator="equal">
      <formula>8</formula>
    </cfRule>
    <cfRule type="cellIs" dxfId="2255" priority="2321" operator="greaterThan">
      <formula>8</formula>
    </cfRule>
    <cfRule type="cellIs" dxfId="2256" priority="2322" operator="lessThan">
      <formula>8</formula>
    </cfRule>
  </conditionalFormatting>
  <conditionalFormatting sqref="AF129 BI129 CL129">
    <cfRule type="cellIs" dxfId="2257" priority="2315" operator="equal">
      <formula>0</formula>
    </cfRule>
    <cfRule type="cellIs" dxfId="2258" priority="2316" operator="equal">
      <formula>8</formula>
    </cfRule>
    <cfRule type="cellIs" dxfId="2259" priority="2317" operator="greaterThan">
      <formula>8</formula>
    </cfRule>
    <cfRule type="cellIs" dxfId="2260" priority="2318" operator="lessThan">
      <formula>8</formula>
    </cfRule>
  </conditionalFormatting>
  <conditionalFormatting sqref="AF128 BI128 CL128 DO128">
    <cfRule type="cellIs" dxfId="2261" priority="2311" operator="equal">
      <formula>0</formula>
    </cfRule>
    <cfRule type="cellIs" dxfId="2262" priority="2312" operator="equal">
      <formula>8</formula>
    </cfRule>
    <cfRule type="cellIs" dxfId="2263" priority="2313" operator="greaterThan">
      <formula>8</formula>
    </cfRule>
    <cfRule type="cellIs" dxfId="2264" priority="2314" operator="lessThan">
      <formula>8</formula>
    </cfRule>
  </conditionalFormatting>
  <conditionalFormatting sqref="AF121 BI121 CL121 DO121">
    <cfRule type="cellIs" dxfId="2265" priority="2307" operator="equal">
      <formula>0</formula>
    </cfRule>
    <cfRule type="cellIs" dxfId="2266" priority="2308" operator="equal">
      <formula>8</formula>
    </cfRule>
    <cfRule type="cellIs" dxfId="2267" priority="2309" operator="greaterThan">
      <formula>8</formula>
    </cfRule>
    <cfRule type="cellIs" dxfId="2268" priority="2310" operator="lessThan">
      <formula>8</formula>
    </cfRule>
  </conditionalFormatting>
  <conditionalFormatting sqref="AF124 BI124 CL124 DO124">
    <cfRule type="cellIs" dxfId="2269" priority="2303" operator="equal">
      <formula>0</formula>
    </cfRule>
    <cfRule type="cellIs" dxfId="2270" priority="2304" operator="equal">
      <formula>8</formula>
    </cfRule>
    <cfRule type="cellIs" dxfId="2271" priority="2305" operator="greaterThan">
      <formula>8</formula>
    </cfRule>
    <cfRule type="cellIs" dxfId="2272" priority="2306" operator="lessThan">
      <formula>8</formula>
    </cfRule>
  </conditionalFormatting>
  <conditionalFormatting sqref="DO122">
    <cfRule type="cellIs" dxfId="2273" priority="2299" operator="equal">
      <formula>0</formula>
    </cfRule>
    <cfRule type="cellIs" dxfId="2274" priority="2300" operator="equal">
      <formula>8</formula>
    </cfRule>
    <cfRule type="cellIs" dxfId="2275" priority="2301" operator="greaterThan">
      <formula>8</formula>
    </cfRule>
    <cfRule type="cellIs" dxfId="2276" priority="2302" operator="lessThan">
      <formula>8</formula>
    </cfRule>
  </conditionalFormatting>
  <conditionalFormatting sqref="UN121">
    <cfRule type="cellIs" dxfId="2277" priority="2295" operator="equal">
      <formula>0</formula>
    </cfRule>
    <cfRule type="cellIs" dxfId="2278" priority="2296" operator="equal">
      <formula>8</formula>
    </cfRule>
    <cfRule type="cellIs" dxfId="2279" priority="2297" operator="greaterThan">
      <formula>8</formula>
    </cfRule>
    <cfRule type="cellIs" dxfId="2280" priority="2298" operator="lessThan">
      <formula>8</formula>
    </cfRule>
  </conditionalFormatting>
  <conditionalFormatting sqref="MP128">
    <cfRule type="cellIs" dxfId="2281" priority="2291" operator="equal">
      <formula>0</formula>
    </cfRule>
    <cfRule type="cellIs" dxfId="2282" priority="2292" operator="equal">
      <formula>8</formula>
    </cfRule>
    <cfRule type="cellIs" dxfId="2283" priority="2293" operator="greaterThan">
      <formula>8</formula>
    </cfRule>
    <cfRule type="cellIs" dxfId="2284" priority="2294" operator="lessThan">
      <formula>8</formula>
    </cfRule>
  </conditionalFormatting>
  <conditionalFormatting sqref="UN130">
    <cfRule type="cellIs" dxfId="2285" priority="2287" operator="equal">
      <formula>0</formula>
    </cfRule>
    <cfRule type="cellIs" dxfId="2286" priority="2288" operator="equal">
      <formula>8</formula>
    </cfRule>
    <cfRule type="cellIs" dxfId="2287" priority="2289" operator="greaterThan">
      <formula>8</formula>
    </cfRule>
    <cfRule type="cellIs" dxfId="2288" priority="2290" operator="lessThan">
      <formula>8</formula>
    </cfRule>
  </conditionalFormatting>
  <conditionalFormatting sqref="UN127">
    <cfRule type="cellIs" dxfId="2289" priority="2279" operator="equal">
      <formula>0</formula>
    </cfRule>
    <cfRule type="cellIs" dxfId="2290" priority="2280" operator="equal">
      <formula>8</formula>
    </cfRule>
    <cfRule type="cellIs" dxfId="2291" priority="2281" operator="greaterThan">
      <formula>8</formula>
    </cfRule>
    <cfRule type="cellIs" dxfId="2292" priority="2282" operator="lessThan">
      <formula>8</formula>
    </cfRule>
  </conditionalFormatting>
  <conditionalFormatting sqref="ACL127">
    <cfRule type="cellIs" dxfId="2293" priority="2275" operator="equal">
      <formula>0</formula>
    </cfRule>
    <cfRule type="cellIs" dxfId="2294" priority="2276" operator="equal">
      <formula>8</formula>
    </cfRule>
    <cfRule type="cellIs" dxfId="2295" priority="2277" operator="greaterThan">
      <formula>8</formula>
    </cfRule>
    <cfRule type="cellIs" dxfId="2296" priority="2278" operator="lessThan">
      <formula>8</formula>
    </cfRule>
  </conditionalFormatting>
  <conditionalFormatting sqref="MP121">
    <cfRule type="cellIs" dxfId="2297" priority="2271" operator="equal">
      <formula>0</formula>
    </cfRule>
    <cfRule type="cellIs" dxfId="2298" priority="2272" operator="equal">
      <formula>8</formula>
    </cfRule>
    <cfRule type="cellIs" dxfId="2299" priority="2273" operator="greaterThan">
      <formula>8</formula>
    </cfRule>
    <cfRule type="cellIs" dxfId="2300" priority="2274" operator="lessThan">
      <formula>8</formula>
    </cfRule>
  </conditionalFormatting>
  <conditionalFormatting sqref="ID123 JG123 KJ123 LM123">
    <cfRule type="cellIs" dxfId="2301" priority="2267" operator="equal">
      <formula>0</formula>
    </cfRule>
    <cfRule type="cellIs" dxfId="2302" priority="2268" operator="equal">
      <formula>8</formula>
    </cfRule>
    <cfRule type="cellIs" dxfId="2303" priority="2269" operator="greaterThan">
      <formula>8</formula>
    </cfRule>
    <cfRule type="cellIs" dxfId="2304" priority="2270" operator="lessThan">
      <formula>8</formula>
    </cfRule>
  </conditionalFormatting>
  <conditionalFormatting sqref="ID126 JG126 KJ126 LM126">
    <cfRule type="cellIs" dxfId="2305" priority="2263" operator="equal">
      <formula>0</formula>
    </cfRule>
    <cfRule type="cellIs" dxfId="2306" priority="2264" operator="equal">
      <formula>8</formula>
    </cfRule>
    <cfRule type="cellIs" dxfId="2307" priority="2265" operator="greaterThan">
      <formula>8</formula>
    </cfRule>
    <cfRule type="cellIs" dxfId="2308" priority="2266" operator="lessThan">
      <formula>8</formula>
    </cfRule>
  </conditionalFormatting>
  <conditionalFormatting sqref="ID125 JG125 KJ125 LM125">
    <cfRule type="cellIs" dxfId="2309" priority="2255" operator="equal">
      <formula>0</formula>
    </cfRule>
    <cfRule type="cellIs" dxfId="2310" priority="2256" operator="equal">
      <formula>8</formula>
    </cfRule>
    <cfRule type="cellIs" dxfId="2311" priority="2257" operator="greaterThan">
      <formula>8</formula>
    </cfRule>
    <cfRule type="cellIs" dxfId="2312" priority="2258" operator="lessThan">
      <formula>8</formula>
    </cfRule>
  </conditionalFormatting>
  <conditionalFormatting sqref="ID130 JG130 KJ130 LM130">
    <cfRule type="cellIs" dxfId="2313" priority="2251" operator="equal">
      <formula>0</formula>
    </cfRule>
    <cfRule type="cellIs" dxfId="2314" priority="2252" operator="equal">
      <formula>8</formula>
    </cfRule>
    <cfRule type="cellIs" dxfId="2315" priority="2253" operator="greaterThan">
      <formula>8</formula>
    </cfRule>
    <cfRule type="cellIs" dxfId="2316" priority="2254" operator="lessThan">
      <formula>8</formula>
    </cfRule>
  </conditionalFormatting>
  <conditionalFormatting sqref="LM129">
    <cfRule type="cellIs" dxfId="2317" priority="2247" operator="equal">
      <formula>0</formula>
    </cfRule>
    <cfRule type="cellIs" dxfId="2318" priority="2248" operator="equal">
      <formula>8</formula>
    </cfRule>
    <cfRule type="cellIs" dxfId="2319" priority="2249" operator="greaterThan">
      <formula>8</formula>
    </cfRule>
    <cfRule type="cellIs" dxfId="2320" priority="2250" operator="lessThan">
      <formula>8</formula>
    </cfRule>
  </conditionalFormatting>
  <conditionalFormatting sqref="ID129 JG129 KJ129">
    <cfRule type="cellIs" dxfId="2321" priority="2243" operator="equal">
      <formula>0</formula>
    </cfRule>
    <cfRule type="cellIs" dxfId="2322" priority="2244" operator="equal">
      <formula>8</formula>
    </cfRule>
    <cfRule type="cellIs" dxfId="2323" priority="2245" operator="greaterThan">
      <formula>8</formula>
    </cfRule>
    <cfRule type="cellIs" dxfId="2324" priority="2246" operator="lessThan">
      <formula>8</formula>
    </cfRule>
  </conditionalFormatting>
  <conditionalFormatting sqref="ID128 JG128 KJ128 LM128">
    <cfRule type="cellIs" dxfId="2325" priority="2239" operator="equal">
      <formula>0</formula>
    </cfRule>
    <cfRule type="cellIs" dxfId="2326" priority="2240" operator="equal">
      <formula>8</formula>
    </cfRule>
    <cfRule type="cellIs" dxfId="2327" priority="2241" operator="greaterThan">
      <formula>8</formula>
    </cfRule>
    <cfRule type="cellIs" dxfId="2328" priority="2242" operator="lessThan">
      <formula>8</formula>
    </cfRule>
  </conditionalFormatting>
  <conditionalFormatting sqref="ID121 JG121 KJ121 LM121">
    <cfRule type="cellIs" dxfId="2329" priority="2235" operator="equal">
      <formula>0</formula>
    </cfRule>
    <cfRule type="cellIs" dxfId="2330" priority="2236" operator="equal">
      <formula>8</formula>
    </cfRule>
    <cfRule type="cellIs" dxfId="2331" priority="2237" operator="greaterThan">
      <formula>8</formula>
    </cfRule>
    <cfRule type="cellIs" dxfId="2332" priority="2238" operator="lessThan">
      <formula>8</formula>
    </cfRule>
  </conditionalFormatting>
  <conditionalFormatting sqref="ID124 JG124 KJ124 LM124">
    <cfRule type="cellIs" dxfId="2333" priority="2231" operator="equal">
      <formula>0</formula>
    </cfRule>
    <cfRule type="cellIs" dxfId="2334" priority="2232" operator="equal">
      <formula>8</formula>
    </cfRule>
    <cfRule type="cellIs" dxfId="2335" priority="2233" operator="greaterThan">
      <formula>8</formula>
    </cfRule>
    <cfRule type="cellIs" dxfId="2336" priority="2234" operator="lessThan">
      <formula>8</formula>
    </cfRule>
  </conditionalFormatting>
  <conditionalFormatting sqref="XZ123 ZC123 AAF123 ABI123">
    <cfRule type="cellIs" dxfId="2337" priority="2227" operator="equal">
      <formula>0</formula>
    </cfRule>
    <cfRule type="cellIs" dxfId="2338" priority="2228" operator="equal">
      <formula>8</formula>
    </cfRule>
    <cfRule type="cellIs" dxfId="2339" priority="2229" operator="greaterThan">
      <formula>8</formula>
    </cfRule>
    <cfRule type="cellIs" dxfId="2340" priority="2230" operator="lessThan">
      <formula>8</formula>
    </cfRule>
  </conditionalFormatting>
  <conditionalFormatting sqref="XZ126 ZC126 AAF126 ABI126">
    <cfRule type="cellIs" dxfId="2341" priority="2223" operator="equal">
      <formula>0</formula>
    </cfRule>
    <cfRule type="cellIs" dxfId="2342" priority="2224" operator="equal">
      <formula>8</formula>
    </cfRule>
    <cfRule type="cellIs" dxfId="2343" priority="2225" operator="greaterThan">
      <formula>8</formula>
    </cfRule>
    <cfRule type="cellIs" dxfId="2344" priority="2226" operator="lessThan">
      <formula>8</formula>
    </cfRule>
  </conditionalFormatting>
  <conditionalFormatting sqref="XZ127 ZC127 AAF127 ABI127">
    <cfRule type="cellIs" dxfId="2345" priority="2219" operator="equal">
      <formula>0</formula>
    </cfRule>
    <cfRule type="cellIs" dxfId="2346" priority="2220" operator="equal">
      <formula>8</formula>
    </cfRule>
    <cfRule type="cellIs" dxfId="2347" priority="2221" operator="greaterThan">
      <formula>8</formula>
    </cfRule>
    <cfRule type="cellIs" dxfId="2348" priority="2222" operator="lessThan">
      <formula>8</formula>
    </cfRule>
  </conditionalFormatting>
  <conditionalFormatting sqref="XZ125 ZC125 AAF125 ABI125">
    <cfRule type="cellIs" dxfId="2349" priority="2215" operator="equal">
      <formula>0</formula>
    </cfRule>
    <cfRule type="cellIs" dxfId="2350" priority="2216" operator="equal">
      <formula>8</formula>
    </cfRule>
    <cfRule type="cellIs" dxfId="2351" priority="2217" operator="greaterThan">
      <formula>8</formula>
    </cfRule>
    <cfRule type="cellIs" dxfId="2352" priority="2218" operator="lessThan">
      <formula>8</formula>
    </cfRule>
  </conditionalFormatting>
  <conditionalFormatting sqref="XZ130 ZC130 AAF130 ABI130">
    <cfRule type="cellIs" dxfId="2353" priority="2211" operator="equal">
      <formula>0</formula>
    </cfRule>
    <cfRule type="cellIs" dxfId="2354" priority="2212" operator="equal">
      <formula>8</formula>
    </cfRule>
    <cfRule type="cellIs" dxfId="2355" priority="2213" operator="greaterThan">
      <formula>8</formula>
    </cfRule>
    <cfRule type="cellIs" dxfId="2356" priority="2214" operator="lessThan">
      <formula>8</formula>
    </cfRule>
  </conditionalFormatting>
  <conditionalFormatting sqref="ABI129">
    <cfRule type="cellIs" dxfId="2357" priority="2207" operator="equal">
      <formula>0</formula>
    </cfRule>
    <cfRule type="cellIs" dxfId="2358" priority="2208" operator="equal">
      <formula>8</formula>
    </cfRule>
    <cfRule type="cellIs" dxfId="2359" priority="2209" operator="greaterThan">
      <formula>8</formula>
    </cfRule>
    <cfRule type="cellIs" dxfId="2360" priority="2210" operator="lessThan">
      <formula>8</formula>
    </cfRule>
  </conditionalFormatting>
  <conditionalFormatting sqref="XZ129 ZC129 AAF129">
    <cfRule type="cellIs" dxfId="2361" priority="2203" operator="equal">
      <formula>0</formula>
    </cfRule>
    <cfRule type="cellIs" dxfId="2362" priority="2204" operator="equal">
      <formula>8</formula>
    </cfRule>
    <cfRule type="cellIs" dxfId="2363" priority="2205" operator="greaterThan">
      <formula>8</formula>
    </cfRule>
    <cfRule type="cellIs" dxfId="2364" priority="2206" operator="lessThan">
      <formula>8</formula>
    </cfRule>
  </conditionalFormatting>
  <conditionalFormatting sqref="XZ128 ZC128 AAF128 ABI128">
    <cfRule type="cellIs" dxfId="2365" priority="2199" operator="equal">
      <formula>0</formula>
    </cfRule>
    <cfRule type="cellIs" dxfId="2366" priority="2200" operator="equal">
      <formula>8</formula>
    </cfRule>
    <cfRule type="cellIs" dxfId="2367" priority="2201" operator="greaterThan">
      <formula>8</formula>
    </cfRule>
    <cfRule type="cellIs" dxfId="2368" priority="2202" operator="lessThan">
      <formula>8</formula>
    </cfRule>
  </conditionalFormatting>
  <conditionalFormatting sqref="XZ121 ZC121 AAF121 ABI121">
    <cfRule type="cellIs" dxfId="2369" priority="2195" operator="equal">
      <formula>0</formula>
    </cfRule>
    <cfRule type="cellIs" dxfId="2370" priority="2196" operator="equal">
      <formula>8</formula>
    </cfRule>
    <cfRule type="cellIs" dxfId="2371" priority="2197" operator="greaterThan">
      <formula>8</formula>
    </cfRule>
    <cfRule type="cellIs" dxfId="2372" priority="2198" operator="lessThan">
      <formula>8</formula>
    </cfRule>
  </conditionalFormatting>
  <conditionalFormatting sqref="XZ124 ZC124 AAF124 ABI124">
    <cfRule type="cellIs" dxfId="2373" priority="2191" operator="equal">
      <formula>0</formula>
    </cfRule>
    <cfRule type="cellIs" dxfId="2374" priority="2192" operator="equal">
      <formula>8</formula>
    </cfRule>
    <cfRule type="cellIs" dxfId="2375" priority="2193" operator="greaterThan">
      <formula>8</formula>
    </cfRule>
    <cfRule type="cellIs" dxfId="2376" priority="2194" operator="lessThan">
      <formula>8</formula>
    </cfRule>
  </conditionalFormatting>
  <conditionalFormatting sqref="AFX123 AHA123 AID123 AJG123">
    <cfRule type="cellIs" dxfId="2377" priority="2187" operator="equal">
      <formula>0</formula>
    </cfRule>
    <cfRule type="cellIs" dxfId="2378" priority="2188" operator="equal">
      <formula>8</formula>
    </cfRule>
    <cfRule type="cellIs" dxfId="2379" priority="2189" operator="greaterThan">
      <formula>8</formula>
    </cfRule>
    <cfRule type="cellIs" dxfId="2380" priority="2190" operator="lessThan">
      <formula>8</formula>
    </cfRule>
  </conditionalFormatting>
  <conditionalFormatting sqref="AFX126 AHA126 AID126 AJG126">
    <cfRule type="cellIs" dxfId="2381" priority="2183" operator="equal">
      <formula>0</formula>
    </cfRule>
    <cfRule type="cellIs" dxfId="2382" priority="2184" operator="equal">
      <formula>8</formula>
    </cfRule>
    <cfRule type="cellIs" dxfId="2383" priority="2185" operator="greaterThan">
      <formula>8</formula>
    </cfRule>
    <cfRule type="cellIs" dxfId="2384" priority="2186" operator="lessThan">
      <formula>8</formula>
    </cfRule>
  </conditionalFormatting>
  <conditionalFormatting sqref="AFX127 AHA127 AID127 AJG127">
    <cfRule type="cellIs" dxfId="2385" priority="2179" operator="equal">
      <formula>0</formula>
    </cfRule>
    <cfRule type="cellIs" dxfId="2386" priority="2180" operator="equal">
      <formula>8</formula>
    </cfRule>
    <cfRule type="cellIs" dxfId="2387" priority="2181" operator="greaterThan">
      <formula>8</formula>
    </cfRule>
    <cfRule type="cellIs" dxfId="2388" priority="2182" operator="lessThan">
      <formula>8</formula>
    </cfRule>
  </conditionalFormatting>
  <conditionalFormatting sqref="AFX125 AHA125 AID125 AJG125">
    <cfRule type="cellIs" dxfId="2389" priority="2175" operator="equal">
      <formula>0</formula>
    </cfRule>
    <cfRule type="cellIs" dxfId="2390" priority="2176" operator="equal">
      <formula>8</formula>
    </cfRule>
    <cfRule type="cellIs" dxfId="2391" priority="2177" operator="greaterThan">
      <formula>8</formula>
    </cfRule>
    <cfRule type="cellIs" dxfId="2392" priority="2178" operator="lessThan">
      <formula>8</formula>
    </cfRule>
  </conditionalFormatting>
  <conditionalFormatting sqref="AFX130 AHA130 AID130 AJG130">
    <cfRule type="cellIs" dxfId="2393" priority="2171" operator="equal">
      <formula>0</formula>
    </cfRule>
    <cfRule type="cellIs" dxfId="2394" priority="2172" operator="equal">
      <formula>8</formula>
    </cfRule>
    <cfRule type="cellIs" dxfId="2395" priority="2173" operator="greaterThan">
      <formula>8</formula>
    </cfRule>
    <cfRule type="cellIs" dxfId="2396" priority="2174" operator="lessThan">
      <formula>8</formula>
    </cfRule>
  </conditionalFormatting>
  <conditionalFormatting sqref="AJG129">
    <cfRule type="cellIs" dxfId="2397" priority="2167" operator="equal">
      <formula>0</formula>
    </cfRule>
    <cfRule type="cellIs" dxfId="2398" priority="2168" operator="equal">
      <formula>8</formula>
    </cfRule>
    <cfRule type="cellIs" dxfId="2399" priority="2169" operator="greaterThan">
      <formula>8</formula>
    </cfRule>
    <cfRule type="cellIs" dxfId="2400" priority="2170" operator="lessThan">
      <formula>8</formula>
    </cfRule>
  </conditionalFormatting>
  <conditionalFormatting sqref="AFX129 AHA129 AID129">
    <cfRule type="cellIs" dxfId="2401" priority="2163" operator="equal">
      <formula>0</formula>
    </cfRule>
    <cfRule type="cellIs" dxfId="2402" priority="2164" operator="equal">
      <formula>8</formula>
    </cfRule>
    <cfRule type="cellIs" dxfId="2403" priority="2165" operator="greaterThan">
      <formula>8</formula>
    </cfRule>
    <cfRule type="cellIs" dxfId="2404" priority="2166" operator="lessThan">
      <formula>8</formula>
    </cfRule>
  </conditionalFormatting>
  <conditionalFormatting sqref="AFX128 AHA128 AID128 AJG128">
    <cfRule type="cellIs" dxfId="2405" priority="2159" operator="equal">
      <formula>0</formula>
    </cfRule>
    <cfRule type="cellIs" dxfId="2406" priority="2160" operator="equal">
      <formula>8</formula>
    </cfRule>
    <cfRule type="cellIs" dxfId="2407" priority="2161" operator="greaterThan">
      <formula>8</formula>
    </cfRule>
    <cfRule type="cellIs" dxfId="2408" priority="2162" operator="lessThan">
      <formula>8</formula>
    </cfRule>
  </conditionalFormatting>
  <conditionalFormatting sqref="AFX121 AHA121 AID121 AJG121">
    <cfRule type="cellIs" dxfId="2409" priority="2155" operator="equal">
      <formula>0</formula>
    </cfRule>
    <cfRule type="cellIs" dxfId="2410" priority="2156" operator="equal">
      <formula>8</formula>
    </cfRule>
    <cfRule type="cellIs" dxfId="2411" priority="2157" operator="greaterThan">
      <formula>8</formula>
    </cfRule>
    <cfRule type="cellIs" dxfId="2412" priority="2158" operator="lessThan">
      <formula>8</formula>
    </cfRule>
  </conditionalFormatting>
  <conditionalFormatting sqref="AFX124 AHA124 AID124 AJG124">
    <cfRule type="cellIs" dxfId="2413" priority="2151" operator="equal">
      <formula>0</formula>
    </cfRule>
    <cfRule type="cellIs" dxfId="2414" priority="2152" operator="equal">
      <formula>8</formula>
    </cfRule>
    <cfRule type="cellIs" dxfId="2415" priority="2153" operator="greaterThan">
      <formula>8</formula>
    </cfRule>
    <cfRule type="cellIs" dxfId="2416" priority="2154" operator="lessThan">
      <formula>8</formula>
    </cfRule>
  </conditionalFormatting>
  <conditionalFormatting sqref="AFX122 AHA122 AID122 AJG122 AKJ122">
    <cfRule type="cellIs" dxfId="2417" priority="2147" operator="equal">
      <formula>0</formula>
    </cfRule>
    <cfRule type="cellIs" dxfId="2418" priority="2148" operator="equal">
      <formula>8</formula>
    </cfRule>
    <cfRule type="cellIs" dxfId="2419" priority="2149" operator="greaterThan">
      <formula>8</formula>
    </cfRule>
    <cfRule type="cellIs" dxfId="2420" priority="2150" operator="lessThan">
      <formula>8</formula>
    </cfRule>
  </conditionalFormatting>
  <conditionalFormatting sqref="XZ122 ZC122 AAF122 ABI122 ACL122">
    <cfRule type="cellIs" dxfId="2421" priority="2143" operator="equal">
      <formula>0</formula>
    </cfRule>
    <cfRule type="cellIs" dxfId="2422" priority="2144" operator="equal">
      <formula>8</formula>
    </cfRule>
    <cfRule type="cellIs" dxfId="2423" priority="2145" operator="greaterThan">
      <formula>8</formula>
    </cfRule>
    <cfRule type="cellIs" dxfId="2424" priority="2146" operator="lessThan">
      <formula>8</formula>
    </cfRule>
  </conditionalFormatting>
  <conditionalFormatting sqref="ID122 JG122 KJ122 LM122 MP122">
    <cfRule type="cellIs" dxfId="2425" priority="2139" operator="equal">
      <formula>0</formula>
    </cfRule>
    <cfRule type="cellIs" dxfId="2426" priority="2140" operator="equal">
      <formula>8</formula>
    </cfRule>
    <cfRule type="cellIs" dxfId="2427" priority="2141" operator="greaterThan">
      <formula>8</formula>
    </cfRule>
    <cfRule type="cellIs" dxfId="2428" priority="2142" operator="lessThan">
      <formula>8</formula>
    </cfRule>
  </conditionalFormatting>
  <conditionalFormatting sqref="QB123 RE123 SH123 TK123">
    <cfRule type="cellIs" dxfId="2429" priority="2131" operator="equal">
      <formula>0</formula>
    </cfRule>
    <cfRule type="cellIs" dxfId="2430" priority="2132" operator="equal">
      <formula>8</formula>
    </cfRule>
    <cfRule type="cellIs" dxfId="2431" priority="2133" operator="greaterThan">
      <formula>8</formula>
    </cfRule>
    <cfRule type="cellIs" dxfId="2432" priority="2134" operator="lessThan">
      <formula>8</formula>
    </cfRule>
  </conditionalFormatting>
  <conditionalFormatting sqref="SH126 TK126">
    <cfRule type="cellIs" dxfId="2433" priority="2127" operator="equal">
      <formula>0</formula>
    </cfRule>
    <cfRule type="cellIs" dxfId="2434" priority="2128" operator="equal">
      <formula>8</formula>
    </cfRule>
    <cfRule type="cellIs" dxfId="2435" priority="2129" operator="greaterThan">
      <formula>8</formula>
    </cfRule>
    <cfRule type="cellIs" dxfId="2436" priority="2130" operator="lessThan">
      <formula>8</formula>
    </cfRule>
  </conditionalFormatting>
  <conditionalFormatting sqref="QB127 RE127 SH127 TK127">
    <cfRule type="cellIs" dxfId="2437" priority="2123" operator="equal">
      <formula>0</formula>
    </cfRule>
    <cfRule type="cellIs" dxfId="2438" priority="2124" operator="equal">
      <formula>8</formula>
    </cfRule>
    <cfRule type="cellIs" dxfId="2439" priority="2125" operator="greaterThan">
      <formula>8</formula>
    </cfRule>
    <cfRule type="cellIs" dxfId="2440" priority="2126" operator="lessThan">
      <formula>8</formula>
    </cfRule>
  </conditionalFormatting>
  <conditionalFormatting sqref="QB125 RE125 SH125 TK125">
    <cfRule type="cellIs" dxfId="2441" priority="2119" operator="equal">
      <formula>0</formula>
    </cfRule>
    <cfRule type="cellIs" dxfId="2442" priority="2120" operator="equal">
      <formula>8</formula>
    </cfRule>
    <cfRule type="cellIs" dxfId="2443" priority="2121" operator="greaterThan">
      <formula>8</formula>
    </cfRule>
    <cfRule type="cellIs" dxfId="2444" priority="2122" operator="lessThan">
      <formula>8</formula>
    </cfRule>
  </conditionalFormatting>
  <conditionalFormatting sqref="SH130 TK130">
    <cfRule type="cellIs" dxfId="2445" priority="2115" operator="equal">
      <formula>0</formula>
    </cfRule>
    <cfRule type="cellIs" dxfId="2446" priority="2116" operator="equal">
      <formula>8</formula>
    </cfRule>
    <cfRule type="cellIs" dxfId="2447" priority="2117" operator="greaterThan">
      <formula>8</formula>
    </cfRule>
    <cfRule type="cellIs" dxfId="2448" priority="2118" operator="lessThan">
      <formula>8</formula>
    </cfRule>
  </conditionalFormatting>
  <conditionalFormatting sqref="TK129">
    <cfRule type="cellIs" dxfId="2449" priority="2111" operator="equal">
      <formula>0</formula>
    </cfRule>
    <cfRule type="cellIs" dxfId="2450" priority="2112" operator="equal">
      <formula>8</formula>
    </cfRule>
    <cfRule type="cellIs" dxfId="2451" priority="2113" operator="greaterThan">
      <formula>8</formula>
    </cfRule>
    <cfRule type="cellIs" dxfId="2452" priority="2114" operator="lessThan">
      <formula>8</formula>
    </cfRule>
  </conditionalFormatting>
  <conditionalFormatting sqref="QB129 RE129 SH129">
    <cfRule type="cellIs" dxfId="2453" priority="2107" operator="equal">
      <formula>0</formula>
    </cfRule>
    <cfRule type="cellIs" dxfId="2454" priority="2108" operator="equal">
      <formula>8</formula>
    </cfRule>
    <cfRule type="cellIs" dxfId="2455" priority="2109" operator="greaterThan">
      <formula>8</formula>
    </cfRule>
    <cfRule type="cellIs" dxfId="2456" priority="2110" operator="lessThan">
      <formula>8</formula>
    </cfRule>
  </conditionalFormatting>
  <conditionalFormatting sqref="RE128 SH128 TK128">
    <cfRule type="cellIs" dxfId="2457" priority="2103" operator="equal">
      <formula>0</formula>
    </cfRule>
    <cfRule type="cellIs" dxfId="2458" priority="2104" operator="equal">
      <formula>8</formula>
    </cfRule>
    <cfRule type="cellIs" dxfId="2459" priority="2105" operator="greaterThan">
      <formula>8</formula>
    </cfRule>
    <cfRule type="cellIs" dxfId="2460" priority="2106" operator="lessThan">
      <formula>8</formula>
    </cfRule>
  </conditionalFormatting>
  <conditionalFormatting sqref="QB121 RE121 SH121 TK121">
    <cfRule type="cellIs" dxfId="2461" priority="2099" operator="equal">
      <formula>0</formula>
    </cfRule>
    <cfRule type="cellIs" dxfId="2462" priority="2100" operator="equal">
      <formula>8</formula>
    </cfRule>
    <cfRule type="cellIs" dxfId="2463" priority="2101" operator="greaterThan">
      <formula>8</formula>
    </cfRule>
    <cfRule type="cellIs" dxfId="2464" priority="2102" operator="lessThan">
      <formula>8</formula>
    </cfRule>
  </conditionalFormatting>
  <conditionalFormatting sqref="QB124 RE124 SH124 TK124">
    <cfRule type="cellIs" dxfId="2465" priority="2095" operator="equal">
      <formula>0</formula>
    </cfRule>
    <cfRule type="cellIs" dxfId="2466" priority="2096" operator="equal">
      <formula>8</formula>
    </cfRule>
    <cfRule type="cellIs" dxfId="2467" priority="2097" operator="greaterThan">
      <formula>8</formula>
    </cfRule>
    <cfRule type="cellIs" dxfId="2468" priority="2098" operator="lessThan">
      <formula>8</formula>
    </cfRule>
  </conditionalFormatting>
  <conditionalFormatting sqref="QB128">
    <cfRule type="cellIs" dxfId="2469" priority="2087" operator="equal">
      <formula>0</formula>
    </cfRule>
    <cfRule type="cellIs" dxfId="2470" priority="2088" operator="equal">
      <formula>8</formula>
    </cfRule>
    <cfRule type="cellIs" dxfId="2471" priority="2089" operator="greaterThan">
      <formula>8</formula>
    </cfRule>
    <cfRule type="cellIs" dxfId="2472" priority="2090" operator="lessThan">
      <formula>8</formula>
    </cfRule>
  </conditionalFormatting>
  <conditionalFormatting sqref="QB122 RE122 SH122 TK122 UN122">
    <cfRule type="cellIs" dxfId="2473" priority="2083" operator="equal">
      <formula>0</formula>
    </cfRule>
    <cfRule type="cellIs" dxfId="2474" priority="2084" operator="equal">
      <formula>8</formula>
    </cfRule>
    <cfRule type="cellIs" dxfId="2475" priority="2085" operator="greaterThan">
      <formula>8</formula>
    </cfRule>
    <cfRule type="cellIs" dxfId="2476" priority="2086" operator="lessThan">
      <formula>8</formula>
    </cfRule>
  </conditionalFormatting>
  <conditionalFormatting sqref="RE130">
    <cfRule type="cellIs" dxfId="2477" priority="2079" operator="equal">
      <formula>0</formula>
    </cfRule>
    <cfRule type="cellIs" dxfId="2478" priority="2080" operator="equal">
      <formula>8</formula>
    </cfRule>
    <cfRule type="cellIs" dxfId="2479" priority="2081" operator="greaterThan">
      <formula>8</formula>
    </cfRule>
    <cfRule type="cellIs" dxfId="2480" priority="2082" operator="lessThan">
      <formula>8</formula>
    </cfRule>
  </conditionalFormatting>
  <conditionalFormatting sqref="QB130">
    <cfRule type="cellIs" dxfId="2481" priority="2075" operator="equal">
      <formula>0</formula>
    </cfRule>
    <cfRule type="cellIs" dxfId="2482" priority="2076" operator="equal">
      <formula>8</formula>
    </cfRule>
    <cfRule type="cellIs" dxfId="2483" priority="2077" operator="greaterThan">
      <formula>8</formula>
    </cfRule>
    <cfRule type="cellIs" dxfId="2484" priority="2078" operator="lessThan">
      <formula>8</formula>
    </cfRule>
  </conditionalFormatting>
  <conditionalFormatting sqref="QB126 RE126">
    <cfRule type="cellIs" dxfId="2485" priority="2071" operator="equal">
      <formula>0</formula>
    </cfRule>
    <cfRule type="cellIs" dxfId="2486" priority="2072" operator="equal">
      <formula>8</formula>
    </cfRule>
    <cfRule type="cellIs" dxfId="2487" priority="2073" operator="greaterThan">
      <formula>8</formula>
    </cfRule>
    <cfRule type="cellIs" dxfId="2488" priority="2074" operator="lessThan">
      <formula>8</formula>
    </cfRule>
  </conditionalFormatting>
  <conditionalFormatting sqref="ID13 JG13 KJ13 LM13 MP13">
    <cfRule type="cellIs" dxfId="2489" priority="2067" operator="equal">
      <formula>0</formula>
    </cfRule>
    <cfRule type="cellIs" dxfId="2490" priority="2068" operator="equal">
      <formula>8</formula>
    </cfRule>
    <cfRule type="cellIs" dxfId="2491" priority="2069" operator="greaterThan">
      <formula>8</formula>
    </cfRule>
    <cfRule type="cellIs" dxfId="2492" priority="2070" operator="lessThan">
      <formula>8</formula>
    </cfRule>
  </conditionalFormatting>
  <conditionalFormatting sqref="ID14 JG14 KJ14 LM14 MP14">
    <cfRule type="cellIs" dxfId="2493" priority="2063" operator="equal">
      <formula>0</formula>
    </cfRule>
    <cfRule type="cellIs" dxfId="2494" priority="2064" operator="equal">
      <formula>8</formula>
    </cfRule>
    <cfRule type="cellIs" dxfId="2495" priority="2065" operator="greaterThan">
      <formula>8</formula>
    </cfRule>
    <cfRule type="cellIs" dxfId="2496" priority="2066" operator="lessThan">
      <formula>8</formula>
    </cfRule>
  </conditionalFormatting>
  <conditionalFormatting sqref="ID15 JG15 KJ15 LM15 MP15">
    <cfRule type="cellIs" dxfId="2497" priority="2059" operator="equal">
      <formula>0</formula>
    </cfRule>
    <cfRule type="cellIs" dxfId="2498" priority="2060" operator="equal">
      <formula>8</formula>
    </cfRule>
    <cfRule type="cellIs" dxfId="2499" priority="2061" operator="greaterThan">
      <formula>8</formula>
    </cfRule>
    <cfRule type="cellIs" dxfId="2500" priority="2062" operator="lessThan">
      <formula>8</formula>
    </cfRule>
  </conditionalFormatting>
  <conditionalFormatting sqref="ID16 JG16 KJ16 LM16 MP16">
    <cfRule type="cellIs" dxfId="2501" priority="2055" operator="equal">
      <formula>0</formula>
    </cfRule>
    <cfRule type="cellIs" dxfId="2502" priority="2056" operator="equal">
      <formula>8</formula>
    </cfRule>
    <cfRule type="cellIs" dxfId="2503" priority="2057" operator="greaterThan">
      <formula>8</formula>
    </cfRule>
    <cfRule type="cellIs" dxfId="2504" priority="2058" operator="lessThan">
      <formula>8</formula>
    </cfRule>
  </conditionalFormatting>
  <conditionalFormatting sqref="ID17 JG17 KJ17 LM17 MP17">
    <cfRule type="cellIs" dxfId="2505" priority="2051" operator="equal">
      <formula>0</formula>
    </cfRule>
    <cfRule type="cellIs" dxfId="2506" priority="2052" operator="equal">
      <formula>8</formula>
    </cfRule>
    <cfRule type="cellIs" dxfId="2507" priority="2053" operator="greaterThan">
      <formula>8</formula>
    </cfRule>
    <cfRule type="cellIs" dxfId="2508" priority="2054" operator="lessThan">
      <formula>8</formula>
    </cfRule>
  </conditionalFormatting>
  <conditionalFormatting sqref="ID18 JG18 KJ18 LM18 MP18">
    <cfRule type="cellIs" dxfId="2509" priority="2047" operator="equal">
      <formula>0</formula>
    </cfRule>
    <cfRule type="cellIs" dxfId="2510" priority="2048" operator="equal">
      <formula>8</formula>
    </cfRule>
    <cfRule type="cellIs" dxfId="2511" priority="2049" operator="greaterThan">
      <formula>8</formula>
    </cfRule>
    <cfRule type="cellIs" dxfId="2512" priority="2050" operator="lessThan">
      <formula>8</formula>
    </cfRule>
  </conditionalFormatting>
  <conditionalFormatting sqref="ID19 JG19 KJ19 LM19 MP19">
    <cfRule type="cellIs" dxfId="2513" priority="2043" operator="equal">
      <formula>0</formula>
    </cfRule>
    <cfRule type="cellIs" dxfId="2514" priority="2044" operator="equal">
      <formula>8</formula>
    </cfRule>
    <cfRule type="cellIs" dxfId="2515" priority="2045" operator="greaterThan">
      <formula>8</formula>
    </cfRule>
    <cfRule type="cellIs" dxfId="2516" priority="2046" operator="lessThan">
      <formula>8</formula>
    </cfRule>
  </conditionalFormatting>
  <conditionalFormatting sqref="ID20 JG20 KJ20 LM20 MP20">
    <cfRule type="cellIs" dxfId="2517" priority="2039" operator="equal">
      <formula>0</formula>
    </cfRule>
    <cfRule type="cellIs" dxfId="2518" priority="2040" operator="equal">
      <formula>8</formula>
    </cfRule>
    <cfRule type="cellIs" dxfId="2519" priority="2041" operator="greaterThan">
      <formula>8</formula>
    </cfRule>
    <cfRule type="cellIs" dxfId="2520" priority="2042" operator="lessThan">
      <formula>8</formula>
    </cfRule>
  </conditionalFormatting>
  <conditionalFormatting sqref="ID21 JG21 KJ21 LM21 MP21">
    <cfRule type="cellIs" dxfId="2521" priority="2035" operator="equal">
      <formula>0</formula>
    </cfRule>
    <cfRule type="cellIs" dxfId="2522" priority="2036" operator="equal">
      <formula>8</formula>
    </cfRule>
    <cfRule type="cellIs" dxfId="2523" priority="2037" operator="greaterThan">
      <formula>8</formula>
    </cfRule>
    <cfRule type="cellIs" dxfId="2524" priority="2038" operator="lessThan">
      <formula>8</formula>
    </cfRule>
  </conditionalFormatting>
  <conditionalFormatting sqref="ID22 JG22 KJ22 LM22 MP22">
    <cfRule type="cellIs" dxfId="2525" priority="2031" operator="equal">
      <formula>0</formula>
    </cfRule>
    <cfRule type="cellIs" dxfId="2526" priority="2032" operator="equal">
      <formula>8</formula>
    </cfRule>
    <cfRule type="cellIs" dxfId="2527" priority="2033" operator="greaterThan">
      <formula>8</formula>
    </cfRule>
    <cfRule type="cellIs" dxfId="2528" priority="2034" operator="lessThan">
      <formula>8</formula>
    </cfRule>
  </conditionalFormatting>
  <conditionalFormatting sqref="ID23 JG23 KJ23 LM23 MP23">
    <cfRule type="cellIs" dxfId="2529" priority="2027" operator="equal">
      <formula>0</formula>
    </cfRule>
    <cfRule type="cellIs" dxfId="2530" priority="2028" operator="equal">
      <formula>8</formula>
    </cfRule>
    <cfRule type="cellIs" dxfId="2531" priority="2029" operator="greaterThan">
      <formula>8</formula>
    </cfRule>
    <cfRule type="cellIs" dxfId="2532" priority="2030" operator="lessThan">
      <formula>8</formula>
    </cfRule>
  </conditionalFormatting>
  <conditionalFormatting sqref="ID24 JG24 KJ24 LM24 MP24">
    <cfRule type="cellIs" dxfId="2533" priority="2023" operator="equal">
      <formula>0</formula>
    </cfRule>
    <cfRule type="cellIs" dxfId="2534" priority="2024" operator="equal">
      <formula>8</formula>
    </cfRule>
    <cfRule type="cellIs" dxfId="2535" priority="2025" operator="greaterThan">
      <formula>8</formula>
    </cfRule>
    <cfRule type="cellIs" dxfId="2536" priority="2026" operator="lessThan">
      <formula>8</formula>
    </cfRule>
  </conditionalFormatting>
  <conditionalFormatting sqref="ID25 JG25 KJ25 LM25 MP25">
    <cfRule type="cellIs" dxfId="2537" priority="2019" operator="equal">
      <formula>0</formula>
    </cfRule>
    <cfRule type="cellIs" dxfId="2538" priority="2020" operator="equal">
      <formula>8</formula>
    </cfRule>
    <cfRule type="cellIs" dxfId="2539" priority="2021" operator="greaterThan">
      <formula>8</formula>
    </cfRule>
    <cfRule type="cellIs" dxfId="2540" priority="2022" operator="lessThan">
      <formula>8</formula>
    </cfRule>
  </conditionalFormatting>
  <conditionalFormatting sqref="ID26 JG26 KJ26 LM26 MP26">
    <cfRule type="cellIs" dxfId="2541" priority="2015" operator="equal">
      <formula>0</formula>
    </cfRule>
    <cfRule type="cellIs" dxfId="2542" priority="2016" operator="equal">
      <formula>8</formula>
    </cfRule>
    <cfRule type="cellIs" dxfId="2543" priority="2017" operator="greaterThan">
      <formula>8</formula>
    </cfRule>
    <cfRule type="cellIs" dxfId="2544" priority="2018" operator="lessThan">
      <formula>8</formula>
    </cfRule>
  </conditionalFormatting>
  <conditionalFormatting sqref="ID27 JG27 KJ27 LM27 MP27">
    <cfRule type="cellIs" dxfId="2545" priority="2011" operator="equal">
      <formula>0</formula>
    </cfRule>
    <cfRule type="cellIs" dxfId="2546" priority="2012" operator="equal">
      <formula>8</formula>
    </cfRule>
    <cfRule type="cellIs" dxfId="2547" priority="2013" operator="greaterThan">
      <formula>8</formula>
    </cfRule>
    <cfRule type="cellIs" dxfId="2548" priority="2014" operator="lessThan">
      <formula>8</formula>
    </cfRule>
  </conditionalFormatting>
  <conditionalFormatting sqref="ID28 JG28 KJ28 LM28 MP28">
    <cfRule type="cellIs" dxfId="2549" priority="2007" operator="equal">
      <formula>0</formula>
    </cfRule>
    <cfRule type="cellIs" dxfId="2550" priority="2008" operator="equal">
      <formula>8</formula>
    </cfRule>
    <cfRule type="cellIs" dxfId="2551" priority="2009" operator="greaterThan">
      <formula>8</formula>
    </cfRule>
    <cfRule type="cellIs" dxfId="2552" priority="2010" operator="lessThan">
      <formula>8</formula>
    </cfRule>
  </conditionalFormatting>
  <conditionalFormatting sqref="ID29 JG29 KJ29 LM29 MP29">
    <cfRule type="cellIs" dxfId="2553" priority="2003" operator="equal">
      <formula>0</formula>
    </cfRule>
    <cfRule type="cellIs" dxfId="2554" priority="2004" operator="equal">
      <formula>8</formula>
    </cfRule>
    <cfRule type="cellIs" dxfId="2555" priority="2005" operator="greaterThan">
      <formula>8</formula>
    </cfRule>
    <cfRule type="cellIs" dxfId="2556" priority="2006" operator="lessThan">
      <formula>8</formula>
    </cfRule>
  </conditionalFormatting>
  <conditionalFormatting sqref="ID30 JG30 KJ30 LM30 MP30">
    <cfRule type="cellIs" dxfId="2557" priority="1999" operator="equal">
      <formula>0</formula>
    </cfRule>
    <cfRule type="cellIs" dxfId="2558" priority="2000" operator="equal">
      <formula>8</formula>
    </cfRule>
    <cfRule type="cellIs" dxfId="2559" priority="2001" operator="greaterThan">
      <formula>8</formula>
    </cfRule>
    <cfRule type="cellIs" dxfId="2560" priority="2002" operator="lessThan">
      <formula>8</formula>
    </cfRule>
  </conditionalFormatting>
  <conditionalFormatting sqref="ID31 JG31 KJ31 LM31 MP31">
    <cfRule type="cellIs" dxfId="2561" priority="1995" operator="equal">
      <formula>0</formula>
    </cfRule>
    <cfRule type="cellIs" dxfId="2562" priority="1996" operator="equal">
      <formula>8</formula>
    </cfRule>
    <cfRule type="cellIs" dxfId="2563" priority="1997" operator="greaterThan">
      <formula>8</formula>
    </cfRule>
    <cfRule type="cellIs" dxfId="2564" priority="1998" operator="lessThan">
      <formula>8</formula>
    </cfRule>
  </conditionalFormatting>
  <conditionalFormatting sqref="ID32 JG32 KJ32 LM32 MP32">
    <cfRule type="cellIs" dxfId="2565" priority="1991" operator="equal">
      <formula>0</formula>
    </cfRule>
    <cfRule type="cellIs" dxfId="2566" priority="1992" operator="equal">
      <formula>8</formula>
    </cfRule>
    <cfRule type="cellIs" dxfId="2567" priority="1993" operator="greaterThan">
      <formula>8</formula>
    </cfRule>
    <cfRule type="cellIs" dxfId="2568" priority="1994" operator="lessThan">
      <formula>8</formula>
    </cfRule>
  </conditionalFormatting>
  <conditionalFormatting sqref="QB13 RE13 SH13 TK13 UN13">
    <cfRule type="cellIs" dxfId="2569" priority="1987" operator="equal">
      <formula>0</formula>
    </cfRule>
    <cfRule type="cellIs" dxfId="2570" priority="1988" operator="equal">
      <formula>8</formula>
    </cfRule>
    <cfRule type="cellIs" dxfId="2571" priority="1989" operator="greaterThan">
      <formula>8</formula>
    </cfRule>
    <cfRule type="cellIs" dxfId="2572" priority="1990" operator="lessThan">
      <formula>8</formula>
    </cfRule>
  </conditionalFormatting>
  <conditionalFormatting sqref="QB14 RE14 SH14 TK14 UN14">
    <cfRule type="cellIs" dxfId="2573" priority="1983" operator="equal">
      <formula>0</formula>
    </cfRule>
    <cfRule type="cellIs" dxfId="2574" priority="1984" operator="equal">
      <formula>8</formula>
    </cfRule>
    <cfRule type="cellIs" dxfId="2575" priority="1985" operator="greaterThan">
      <formula>8</formula>
    </cfRule>
    <cfRule type="cellIs" dxfId="2576" priority="1986" operator="lessThan">
      <formula>8</formula>
    </cfRule>
  </conditionalFormatting>
  <conditionalFormatting sqref="QB15 RE15 SH15 TK15 UN15">
    <cfRule type="cellIs" dxfId="2577" priority="1979" operator="equal">
      <formula>0</formula>
    </cfRule>
    <cfRule type="cellIs" dxfId="2578" priority="1980" operator="equal">
      <formula>8</formula>
    </cfRule>
    <cfRule type="cellIs" dxfId="2579" priority="1981" operator="greaterThan">
      <formula>8</formula>
    </cfRule>
    <cfRule type="cellIs" dxfId="2580" priority="1982" operator="lessThan">
      <formula>8</formula>
    </cfRule>
  </conditionalFormatting>
  <conditionalFormatting sqref="QB16 RE16 SH16 TK16 UN16">
    <cfRule type="cellIs" dxfId="2581" priority="1975" operator="equal">
      <formula>0</formula>
    </cfRule>
    <cfRule type="cellIs" dxfId="2582" priority="1976" operator="equal">
      <formula>8</formula>
    </cfRule>
    <cfRule type="cellIs" dxfId="2583" priority="1977" operator="greaterThan">
      <formula>8</formula>
    </cfRule>
    <cfRule type="cellIs" dxfId="2584" priority="1978" operator="lessThan">
      <formula>8</formula>
    </cfRule>
  </conditionalFormatting>
  <conditionalFormatting sqref="QB17 RE17 SH17 TK17 UN17">
    <cfRule type="cellIs" dxfId="2585" priority="1971" operator="equal">
      <formula>0</formula>
    </cfRule>
    <cfRule type="cellIs" dxfId="2586" priority="1972" operator="equal">
      <formula>8</formula>
    </cfRule>
    <cfRule type="cellIs" dxfId="2587" priority="1973" operator="greaterThan">
      <formula>8</formula>
    </cfRule>
    <cfRule type="cellIs" dxfId="2588" priority="1974" operator="lessThan">
      <formula>8</formula>
    </cfRule>
  </conditionalFormatting>
  <conditionalFormatting sqref="QB18 RE18 SH18 TK18 UN18">
    <cfRule type="cellIs" dxfId="2589" priority="1967" operator="equal">
      <formula>0</formula>
    </cfRule>
    <cfRule type="cellIs" dxfId="2590" priority="1968" operator="equal">
      <formula>8</formula>
    </cfRule>
    <cfRule type="cellIs" dxfId="2591" priority="1969" operator="greaterThan">
      <formula>8</formula>
    </cfRule>
    <cfRule type="cellIs" dxfId="2592" priority="1970" operator="lessThan">
      <formula>8</formula>
    </cfRule>
  </conditionalFormatting>
  <conditionalFormatting sqref="QB19 RE19 SH19 TK19 UN19">
    <cfRule type="cellIs" dxfId="2593" priority="1963" operator="equal">
      <formula>0</formula>
    </cfRule>
    <cfRule type="cellIs" dxfId="2594" priority="1964" operator="equal">
      <formula>8</formula>
    </cfRule>
    <cfRule type="cellIs" dxfId="2595" priority="1965" operator="greaterThan">
      <formula>8</formula>
    </cfRule>
    <cfRule type="cellIs" dxfId="2596" priority="1966" operator="lessThan">
      <formula>8</formula>
    </cfRule>
  </conditionalFormatting>
  <conditionalFormatting sqref="QB20 RE20 SH20 TK20 UN20">
    <cfRule type="cellIs" dxfId="2597" priority="1959" operator="equal">
      <formula>0</formula>
    </cfRule>
    <cfRule type="cellIs" dxfId="2598" priority="1960" operator="equal">
      <formula>8</formula>
    </cfRule>
    <cfRule type="cellIs" dxfId="2599" priority="1961" operator="greaterThan">
      <formula>8</formula>
    </cfRule>
    <cfRule type="cellIs" dxfId="2600" priority="1962" operator="lessThan">
      <formula>8</formula>
    </cfRule>
  </conditionalFormatting>
  <conditionalFormatting sqref="QB21 RE21 SH21 TK21 UN21">
    <cfRule type="cellIs" dxfId="2601" priority="1955" operator="equal">
      <formula>0</formula>
    </cfRule>
    <cfRule type="cellIs" dxfId="2602" priority="1956" operator="equal">
      <formula>8</formula>
    </cfRule>
    <cfRule type="cellIs" dxfId="2603" priority="1957" operator="greaterThan">
      <formula>8</formula>
    </cfRule>
    <cfRule type="cellIs" dxfId="2604" priority="1958" operator="lessThan">
      <formula>8</formula>
    </cfRule>
  </conditionalFormatting>
  <conditionalFormatting sqref="QB22 RE22 SH22 TK22 UN22">
    <cfRule type="cellIs" dxfId="2605" priority="1951" operator="equal">
      <formula>0</formula>
    </cfRule>
    <cfRule type="cellIs" dxfId="2606" priority="1952" operator="equal">
      <formula>8</formula>
    </cfRule>
    <cfRule type="cellIs" dxfId="2607" priority="1953" operator="greaterThan">
      <formula>8</formula>
    </cfRule>
    <cfRule type="cellIs" dxfId="2608" priority="1954" operator="lessThan">
      <formula>8</formula>
    </cfRule>
  </conditionalFormatting>
  <conditionalFormatting sqref="QB23 RE23 SH23 TK23 UN23">
    <cfRule type="cellIs" dxfId="2609" priority="1947" operator="equal">
      <formula>0</formula>
    </cfRule>
    <cfRule type="cellIs" dxfId="2610" priority="1948" operator="equal">
      <formula>8</formula>
    </cfRule>
    <cfRule type="cellIs" dxfId="2611" priority="1949" operator="greaterThan">
      <formula>8</formula>
    </cfRule>
    <cfRule type="cellIs" dxfId="2612" priority="1950" operator="lessThan">
      <formula>8</formula>
    </cfRule>
  </conditionalFormatting>
  <conditionalFormatting sqref="QB24 RE24 SH24 TK24 UN24">
    <cfRule type="cellIs" dxfId="2613" priority="1943" operator="equal">
      <formula>0</formula>
    </cfRule>
    <cfRule type="cellIs" dxfId="2614" priority="1944" operator="equal">
      <formula>8</formula>
    </cfRule>
    <cfRule type="cellIs" dxfId="2615" priority="1945" operator="greaterThan">
      <formula>8</formula>
    </cfRule>
    <cfRule type="cellIs" dxfId="2616" priority="1946" operator="lessThan">
      <formula>8</formula>
    </cfRule>
  </conditionalFormatting>
  <conditionalFormatting sqref="QB25 RE25 SH25 TK25 UN25">
    <cfRule type="cellIs" dxfId="2617" priority="1939" operator="equal">
      <formula>0</formula>
    </cfRule>
    <cfRule type="cellIs" dxfId="2618" priority="1940" operator="equal">
      <formula>8</formula>
    </cfRule>
    <cfRule type="cellIs" dxfId="2619" priority="1941" operator="greaterThan">
      <formula>8</formula>
    </cfRule>
    <cfRule type="cellIs" dxfId="2620" priority="1942" operator="lessThan">
      <formula>8</formula>
    </cfRule>
  </conditionalFormatting>
  <conditionalFormatting sqref="QB26 RE26 SH26 TK26 UN26">
    <cfRule type="cellIs" dxfId="2621" priority="1935" operator="equal">
      <formula>0</formula>
    </cfRule>
    <cfRule type="cellIs" dxfId="2622" priority="1936" operator="equal">
      <formula>8</formula>
    </cfRule>
    <cfRule type="cellIs" dxfId="2623" priority="1937" operator="greaterThan">
      <formula>8</formula>
    </cfRule>
    <cfRule type="cellIs" dxfId="2624" priority="1938" operator="lessThan">
      <formula>8</formula>
    </cfRule>
  </conditionalFormatting>
  <conditionalFormatting sqref="QB27 RE27 SH27 TK27 UN27">
    <cfRule type="cellIs" dxfId="2625" priority="1931" operator="equal">
      <formula>0</formula>
    </cfRule>
    <cfRule type="cellIs" dxfId="2626" priority="1932" operator="equal">
      <formula>8</formula>
    </cfRule>
    <cfRule type="cellIs" dxfId="2627" priority="1933" operator="greaterThan">
      <formula>8</formula>
    </cfRule>
    <cfRule type="cellIs" dxfId="2628" priority="1934" operator="lessThan">
      <formula>8</formula>
    </cfRule>
  </conditionalFormatting>
  <conditionalFormatting sqref="QB28 RE28 SH28 TK28 UN28">
    <cfRule type="cellIs" dxfId="2629" priority="1927" operator="equal">
      <formula>0</formula>
    </cfRule>
    <cfRule type="cellIs" dxfId="2630" priority="1928" operator="equal">
      <formula>8</formula>
    </cfRule>
    <cfRule type="cellIs" dxfId="2631" priority="1929" operator="greaterThan">
      <formula>8</formula>
    </cfRule>
    <cfRule type="cellIs" dxfId="2632" priority="1930" operator="lessThan">
      <formula>8</formula>
    </cfRule>
  </conditionalFormatting>
  <conditionalFormatting sqref="QB29 RE29 SH29 TK29 UN29">
    <cfRule type="cellIs" dxfId="2633" priority="1923" operator="equal">
      <formula>0</formula>
    </cfRule>
    <cfRule type="cellIs" dxfId="2634" priority="1924" operator="equal">
      <formula>8</formula>
    </cfRule>
    <cfRule type="cellIs" dxfId="2635" priority="1925" operator="greaterThan">
      <formula>8</formula>
    </cfRule>
    <cfRule type="cellIs" dxfId="2636" priority="1926" operator="lessThan">
      <formula>8</formula>
    </cfRule>
  </conditionalFormatting>
  <conditionalFormatting sqref="QB30 RE30 SH30 TK30 UN30">
    <cfRule type="cellIs" dxfId="2637" priority="1919" operator="equal">
      <formula>0</formula>
    </cfRule>
    <cfRule type="cellIs" dxfId="2638" priority="1920" operator="equal">
      <formula>8</formula>
    </cfRule>
    <cfRule type="cellIs" dxfId="2639" priority="1921" operator="greaterThan">
      <formula>8</formula>
    </cfRule>
    <cfRule type="cellIs" dxfId="2640" priority="1922" operator="lessThan">
      <formula>8</formula>
    </cfRule>
  </conditionalFormatting>
  <conditionalFormatting sqref="QB31 RE31 SH31 TK31 UN31">
    <cfRule type="cellIs" dxfId="2641" priority="1915" operator="equal">
      <formula>0</formula>
    </cfRule>
    <cfRule type="cellIs" dxfId="2642" priority="1916" operator="equal">
      <formula>8</formula>
    </cfRule>
    <cfRule type="cellIs" dxfId="2643" priority="1917" operator="greaterThan">
      <formula>8</formula>
    </cfRule>
    <cfRule type="cellIs" dxfId="2644" priority="1918" operator="lessThan">
      <formula>8</formula>
    </cfRule>
  </conditionalFormatting>
  <conditionalFormatting sqref="QB32 RE32 SH32 TK32 UN32">
    <cfRule type="cellIs" dxfId="2645" priority="1911" operator="equal">
      <formula>0</formula>
    </cfRule>
    <cfRule type="cellIs" dxfId="2646" priority="1912" operator="equal">
      <formula>8</formula>
    </cfRule>
    <cfRule type="cellIs" dxfId="2647" priority="1913" operator="greaterThan">
      <formula>8</formula>
    </cfRule>
    <cfRule type="cellIs" dxfId="2648" priority="1914" operator="lessThan">
      <formula>8</formula>
    </cfRule>
  </conditionalFormatting>
  <conditionalFormatting sqref="XZ13 ZC13 AAF13 ABI13 ACL13">
    <cfRule type="cellIs" dxfId="2649" priority="1907" operator="equal">
      <formula>0</formula>
    </cfRule>
    <cfRule type="cellIs" dxfId="2650" priority="1908" operator="equal">
      <formula>8</formula>
    </cfRule>
    <cfRule type="cellIs" dxfId="2651" priority="1909" operator="greaterThan">
      <formula>8</formula>
    </cfRule>
    <cfRule type="cellIs" dxfId="2652" priority="1910" operator="lessThan">
      <formula>8</formula>
    </cfRule>
  </conditionalFormatting>
  <conditionalFormatting sqref="XZ14 ZC14 AAF14 ABI14 ACL14">
    <cfRule type="cellIs" dxfId="2653" priority="1903" operator="equal">
      <formula>0</formula>
    </cfRule>
    <cfRule type="cellIs" dxfId="2654" priority="1904" operator="equal">
      <formula>8</formula>
    </cfRule>
    <cfRule type="cellIs" dxfId="2655" priority="1905" operator="greaterThan">
      <formula>8</formula>
    </cfRule>
    <cfRule type="cellIs" dxfId="2656" priority="1906" operator="lessThan">
      <formula>8</formula>
    </cfRule>
  </conditionalFormatting>
  <conditionalFormatting sqref="XZ15 ZC15 AAF15 ABI15 ACL15">
    <cfRule type="cellIs" dxfId="2657" priority="1899" operator="equal">
      <formula>0</formula>
    </cfRule>
    <cfRule type="cellIs" dxfId="2658" priority="1900" operator="equal">
      <formula>8</formula>
    </cfRule>
    <cfRule type="cellIs" dxfId="2659" priority="1901" operator="greaterThan">
      <formula>8</formula>
    </cfRule>
    <cfRule type="cellIs" dxfId="2660" priority="1902" operator="lessThan">
      <formula>8</formula>
    </cfRule>
  </conditionalFormatting>
  <conditionalFormatting sqref="XZ16 ZC16 AAF16 ABI16 ACL16">
    <cfRule type="cellIs" dxfId="2661" priority="1895" operator="equal">
      <formula>0</formula>
    </cfRule>
    <cfRule type="cellIs" dxfId="2662" priority="1896" operator="equal">
      <formula>8</formula>
    </cfRule>
    <cfRule type="cellIs" dxfId="2663" priority="1897" operator="greaterThan">
      <formula>8</formula>
    </cfRule>
    <cfRule type="cellIs" dxfId="2664" priority="1898" operator="lessThan">
      <formula>8</formula>
    </cfRule>
  </conditionalFormatting>
  <conditionalFormatting sqref="XZ17 ZC17 AAF17 ABI17 ACL17">
    <cfRule type="cellIs" dxfId="2665" priority="1891" operator="equal">
      <formula>0</formula>
    </cfRule>
    <cfRule type="cellIs" dxfId="2666" priority="1892" operator="equal">
      <formula>8</formula>
    </cfRule>
    <cfRule type="cellIs" dxfId="2667" priority="1893" operator="greaterThan">
      <formula>8</formula>
    </cfRule>
    <cfRule type="cellIs" dxfId="2668" priority="1894" operator="lessThan">
      <formula>8</formula>
    </cfRule>
  </conditionalFormatting>
  <conditionalFormatting sqref="XZ18 ZC18 AAF18 ABI18 ACL18">
    <cfRule type="cellIs" dxfId="2669" priority="1887" operator="equal">
      <formula>0</formula>
    </cfRule>
    <cfRule type="cellIs" dxfId="2670" priority="1888" operator="equal">
      <formula>8</formula>
    </cfRule>
    <cfRule type="cellIs" dxfId="2671" priority="1889" operator="greaterThan">
      <formula>8</formula>
    </cfRule>
    <cfRule type="cellIs" dxfId="2672" priority="1890" operator="lessThan">
      <formula>8</formula>
    </cfRule>
  </conditionalFormatting>
  <conditionalFormatting sqref="XZ19 ZC19 AAF19 ABI19 ACL19">
    <cfRule type="cellIs" dxfId="2673" priority="1883" operator="equal">
      <formula>0</formula>
    </cfRule>
    <cfRule type="cellIs" dxfId="2674" priority="1884" operator="equal">
      <formula>8</formula>
    </cfRule>
    <cfRule type="cellIs" dxfId="2675" priority="1885" operator="greaterThan">
      <formula>8</formula>
    </cfRule>
    <cfRule type="cellIs" dxfId="2676" priority="1886" operator="lessThan">
      <formula>8</formula>
    </cfRule>
  </conditionalFormatting>
  <conditionalFormatting sqref="XZ20 ZC20 AAF20 ABI20 ACL20">
    <cfRule type="cellIs" dxfId="2677" priority="1879" operator="equal">
      <formula>0</formula>
    </cfRule>
    <cfRule type="cellIs" dxfId="2678" priority="1880" operator="equal">
      <formula>8</formula>
    </cfRule>
    <cfRule type="cellIs" dxfId="2679" priority="1881" operator="greaterThan">
      <formula>8</formula>
    </cfRule>
    <cfRule type="cellIs" dxfId="2680" priority="1882" operator="lessThan">
      <formula>8</formula>
    </cfRule>
  </conditionalFormatting>
  <conditionalFormatting sqref="XZ21 ZC21 AAF21 ABI21 ACL21">
    <cfRule type="cellIs" dxfId="2681" priority="1875" operator="equal">
      <formula>0</formula>
    </cfRule>
    <cfRule type="cellIs" dxfId="2682" priority="1876" operator="equal">
      <formula>8</formula>
    </cfRule>
    <cfRule type="cellIs" dxfId="2683" priority="1877" operator="greaterThan">
      <formula>8</formula>
    </cfRule>
    <cfRule type="cellIs" dxfId="2684" priority="1878" operator="lessThan">
      <formula>8</formula>
    </cfRule>
  </conditionalFormatting>
  <conditionalFormatting sqref="XZ22 ZC22 AAF22 ABI22 ACL22">
    <cfRule type="cellIs" dxfId="2685" priority="1871" operator="equal">
      <formula>0</formula>
    </cfRule>
    <cfRule type="cellIs" dxfId="2686" priority="1872" operator="equal">
      <formula>8</formula>
    </cfRule>
    <cfRule type="cellIs" dxfId="2687" priority="1873" operator="greaterThan">
      <formula>8</formula>
    </cfRule>
    <cfRule type="cellIs" dxfId="2688" priority="1874" operator="lessThan">
      <formula>8</formula>
    </cfRule>
  </conditionalFormatting>
  <conditionalFormatting sqref="XZ23 ZC23 AAF23 ABI23 ACL23">
    <cfRule type="cellIs" dxfId="2689" priority="1867" operator="equal">
      <formula>0</formula>
    </cfRule>
    <cfRule type="cellIs" dxfId="2690" priority="1868" operator="equal">
      <formula>8</formula>
    </cfRule>
    <cfRule type="cellIs" dxfId="2691" priority="1869" operator="greaterThan">
      <formula>8</formula>
    </cfRule>
    <cfRule type="cellIs" dxfId="2692" priority="1870" operator="lessThan">
      <formula>8</formula>
    </cfRule>
  </conditionalFormatting>
  <conditionalFormatting sqref="XZ24 ZC24 AAF24 ABI24 ACL24">
    <cfRule type="cellIs" dxfId="2693" priority="1863" operator="equal">
      <formula>0</formula>
    </cfRule>
    <cfRule type="cellIs" dxfId="2694" priority="1864" operator="equal">
      <formula>8</formula>
    </cfRule>
    <cfRule type="cellIs" dxfId="2695" priority="1865" operator="greaterThan">
      <formula>8</formula>
    </cfRule>
    <cfRule type="cellIs" dxfId="2696" priority="1866" operator="lessThan">
      <formula>8</formula>
    </cfRule>
  </conditionalFormatting>
  <conditionalFormatting sqref="XZ25 ZC25 AAF25 ABI25 ACL25">
    <cfRule type="cellIs" dxfId="2697" priority="1859" operator="equal">
      <formula>0</formula>
    </cfRule>
    <cfRule type="cellIs" dxfId="2698" priority="1860" operator="equal">
      <formula>8</formula>
    </cfRule>
    <cfRule type="cellIs" dxfId="2699" priority="1861" operator="greaterThan">
      <formula>8</formula>
    </cfRule>
    <cfRule type="cellIs" dxfId="2700" priority="1862" operator="lessThan">
      <formula>8</formula>
    </cfRule>
  </conditionalFormatting>
  <conditionalFormatting sqref="XZ26 ZC26 AAF26 ABI26 ACL26">
    <cfRule type="cellIs" dxfId="2701" priority="1855" operator="equal">
      <formula>0</formula>
    </cfRule>
    <cfRule type="cellIs" dxfId="2702" priority="1856" operator="equal">
      <formula>8</formula>
    </cfRule>
    <cfRule type="cellIs" dxfId="2703" priority="1857" operator="greaterThan">
      <formula>8</formula>
    </cfRule>
    <cfRule type="cellIs" dxfId="2704" priority="1858" operator="lessThan">
      <formula>8</formula>
    </cfRule>
  </conditionalFormatting>
  <conditionalFormatting sqref="XZ27 ZC27 AAF27 ABI27 ACL27">
    <cfRule type="cellIs" dxfId="2705" priority="1847" operator="equal">
      <formula>0</formula>
    </cfRule>
    <cfRule type="cellIs" dxfId="2706" priority="1848" operator="equal">
      <formula>8</formula>
    </cfRule>
    <cfRule type="cellIs" dxfId="2707" priority="1849" operator="greaterThan">
      <formula>8</formula>
    </cfRule>
    <cfRule type="cellIs" dxfId="2708" priority="1850" operator="lessThan">
      <formula>8</formula>
    </cfRule>
  </conditionalFormatting>
  <conditionalFormatting sqref="XZ28 ZC28 AAF28 ABI28 ACL28">
    <cfRule type="cellIs" dxfId="2709" priority="1843" operator="equal">
      <formula>0</formula>
    </cfRule>
    <cfRule type="cellIs" dxfId="2710" priority="1844" operator="equal">
      <formula>8</formula>
    </cfRule>
    <cfRule type="cellIs" dxfId="2711" priority="1845" operator="greaterThan">
      <formula>8</formula>
    </cfRule>
    <cfRule type="cellIs" dxfId="2712" priority="1846" operator="lessThan">
      <formula>8</formula>
    </cfRule>
  </conditionalFormatting>
  <conditionalFormatting sqref="XZ29 ZC29 AAF29 ABI29 ACL29">
    <cfRule type="cellIs" dxfId="2713" priority="1839" operator="equal">
      <formula>0</formula>
    </cfRule>
    <cfRule type="cellIs" dxfId="2714" priority="1840" operator="equal">
      <formula>8</formula>
    </cfRule>
    <cfRule type="cellIs" dxfId="2715" priority="1841" operator="greaterThan">
      <formula>8</formula>
    </cfRule>
    <cfRule type="cellIs" dxfId="2716" priority="1842" operator="lessThan">
      <formula>8</formula>
    </cfRule>
  </conditionalFormatting>
  <conditionalFormatting sqref="XZ30 ZC30 AAF30 ABI30 ACL30">
    <cfRule type="cellIs" dxfId="2717" priority="1835" operator="equal">
      <formula>0</formula>
    </cfRule>
    <cfRule type="cellIs" dxfId="2718" priority="1836" operator="equal">
      <formula>8</formula>
    </cfRule>
    <cfRule type="cellIs" dxfId="2719" priority="1837" operator="greaterThan">
      <formula>8</formula>
    </cfRule>
    <cfRule type="cellIs" dxfId="2720" priority="1838" operator="lessThan">
      <formula>8</formula>
    </cfRule>
  </conditionalFormatting>
  <conditionalFormatting sqref="XZ31 ZC31 AAF31 ABI31 ACL31">
    <cfRule type="cellIs" dxfId="2721" priority="1831" operator="equal">
      <formula>0</formula>
    </cfRule>
    <cfRule type="cellIs" dxfId="2722" priority="1832" operator="equal">
      <formula>8</formula>
    </cfRule>
    <cfRule type="cellIs" dxfId="2723" priority="1833" operator="greaterThan">
      <formula>8</formula>
    </cfRule>
    <cfRule type="cellIs" dxfId="2724" priority="1834" operator="lessThan">
      <formula>8</formula>
    </cfRule>
  </conditionalFormatting>
  <conditionalFormatting sqref="XZ32 ZC32 AAF32 ABI32 ACL32">
    <cfRule type="cellIs" dxfId="2725" priority="1827" operator="equal">
      <formula>0</formula>
    </cfRule>
    <cfRule type="cellIs" dxfId="2726" priority="1828" operator="equal">
      <formula>8</formula>
    </cfRule>
    <cfRule type="cellIs" dxfId="2727" priority="1829" operator="greaterThan">
      <formula>8</formula>
    </cfRule>
    <cfRule type="cellIs" dxfId="2728" priority="1830" operator="lessThan">
      <formula>8</formula>
    </cfRule>
  </conditionalFormatting>
  <conditionalFormatting sqref="AFX13 AHA13 AID13 AJG13 AKJ13">
    <cfRule type="cellIs" dxfId="2729" priority="1823" operator="equal">
      <formula>0</formula>
    </cfRule>
    <cfRule type="cellIs" dxfId="2730" priority="1824" operator="equal">
      <formula>8</formula>
    </cfRule>
    <cfRule type="cellIs" dxfId="2731" priority="1825" operator="greaterThan">
      <formula>8</formula>
    </cfRule>
    <cfRule type="cellIs" dxfId="2732" priority="1826" operator="lessThan">
      <formula>8</formula>
    </cfRule>
  </conditionalFormatting>
  <conditionalFormatting sqref="AFX14 AHA14 AID14 AJG14 AKJ14">
    <cfRule type="cellIs" dxfId="2733" priority="1819" operator="equal">
      <formula>0</formula>
    </cfRule>
    <cfRule type="cellIs" dxfId="2734" priority="1820" operator="equal">
      <formula>8</formula>
    </cfRule>
    <cfRule type="cellIs" dxfId="2735" priority="1821" operator="greaterThan">
      <formula>8</formula>
    </cfRule>
    <cfRule type="cellIs" dxfId="2736" priority="1822" operator="lessThan">
      <formula>8</formula>
    </cfRule>
  </conditionalFormatting>
  <conditionalFormatting sqref="AFX15 AHA15 AID15 AJG15 AKJ15">
    <cfRule type="cellIs" dxfId="2737" priority="1815" operator="equal">
      <formula>0</formula>
    </cfRule>
    <cfRule type="cellIs" dxfId="2738" priority="1816" operator="equal">
      <formula>8</formula>
    </cfRule>
    <cfRule type="cellIs" dxfId="2739" priority="1817" operator="greaterThan">
      <formula>8</formula>
    </cfRule>
    <cfRule type="cellIs" dxfId="2740" priority="1818" operator="lessThan">
      <formula>8</formula>
    </cfRule>
  </conditionalFormatting>
  <conditionalFormatting sqref="AFX16 AHA16 AID16 AJG16 AKJ16">
    <cfRule type="cellIs" dxfId="2741" priority="1811" operator="equal">
      <formula>0</formula>
    </cfRule>
    <cfRule type="cellIs" dxfId="2742" priority="1812" operator="equal">
      <formula>8</formula>
    </cfRule>
    <cfRule type="cellIs" dxfId="2743" priority="1813" operator="greaterThan">
      <formula>8</formula>
    </cfRule>
    <cfRule type="cellIs" dxfId="2744" priority="1814" operator="lessThan">
      <formula>8</formula>
    </cfRule>
  </conditionalFormatting>
  <conditionalFormatting sqref="AFX17 AHA17 AID17 AJG17 AKJ17">
    <cfRule type="cellIs" dxfId="2745" priority="1807" operator="equal">
      <formula>0</formula>
    </cfRule>
    <cfRule type="cellIs" dxfId="2746" priority="1808" operator="equal">
      <formula>8</formula>
    </cfRule>
    <cfRule type="cellIs" dxfId="2747" priority="1809" operator="greaterThan">
      <formula>8</formula>
    </cfRule>
    <cfRule type="cellIs" dxfId="2748" priority="1810" operator="lessThan">
      <formula>8</formula>
    </cfRule>
  </conditionalFormatting>
  <conditionalFormatting sqref="AFX18 AHA18 AID18 AJG18 AKJ18">
    <cfRule type="cellIs" dxfId="2749" priority="1803" operator="equal">
      <formula>0</formula>
    </cfRule>
    <cfRule type="cellIs" dxfId="2750" priority="1804" operator="equal">
      <formula>8</formula>
    </cfRule>
    <cfRule type="cellIs" dxfId="2751" priority="1805" operator="greaterThan">
      <formula>8</formula>
    </cfRule>
    <cfRule type="cellIs" dxfId="2752" priority="1806" operator="lessThan">
      <formula>8</formula>
    </cfRule>
  </conditionalFormatting>
  <conditionalFormatting sqref="AFX19 AHA19 AID19 AJG19 AKJ19">
    <cfRule type="cellIs" dxfId="2753" priority="1799" operator="equal">
      <formula>0</formula>
    </cfRule>
    <cfRule type="cellIs" dxfId="2754" priority="1800" operator="equal">
      <formula>8</formula>
    </cfRule>
    <cfRule type="cellIs" dxfId="2755" priority="1801" operator="greaterThan">
      <formula>8</formula>
    </cfRule>
    <cfRule type="cellIs" dxfId="2756" priority="1802" operator="lessThan">
      <formula>8</formula>
    </cfRule>
  </conditionalFormatting>
  <conditionalFormatting sqref="AFX20 AHA20 AID20 AJG20 AKJ20">
    <cfRule type="cellIs" dxfId="2757" priority="1795" operator="equal">
      <formula>0</formula>
    </cfRule>
    <cfRule type="cellIs" dxfId="2758" priority="1796" operator="equal">
      <formula>8</formula>
    </cfRule>
    <cfRule type="cellIs" dxfId="2759" priority="1797" operator="greaterThan">
      <formula>8</formula>
    </cfRule>
    <cfRule type="cellIs" dxfId="2760" priority="1798" operator="lessThan">
      <formula>8</formula>
    </cfRule>
  </conditionalFormatting>
  <conditionalFormatting sqref="AFX21 AHA21 AID21 AJG21 AKJ21">
    <cfRule type="cellIs" dxfId="2761" priority="1791" operator="equal">
      <formula>0</formula>
    </cfRule>
    <cfRule type="cellIs" dxfId="2762" priority="1792" operator="equal">
      <formula>8</formula>
    </cfRule>
    <cfRule type="cellIs" dxfId="2763" priority="1793" operator="greaterThan">
      <formula>8</formula>
    </cfRule>
    <cfRule type="cellIs" dxfId="2764" priority="1794" operator="lessThan">
      <formula>8</formula>
    </cfRule>
  </conditionalFormatting>
  <conditionalFormatting sqref="AFX22 AHA22 AID22 AJG22 AKJ22">
    <cfRule type="cellIs" dxfId="2765" priority="1787" operator="equal">
      <formula>0</formula>
    </cfRule>
    <cfRule type="cellIs" dxfId="2766" priority="1788" operator="equal">
      <formula>8</formula>
    </cfRule>
    <cfRule type="cellIs" dxfId="2767" priority="1789" operator="greaterThan">
      <formula>8</formula>
    </cfRule>
    <cfRule type="cellIs" dxfId="2768" priority="1790" operator="lessThan">
      <formula>8</formula>
    </cfRule>
  </conditionalFormatting>
  <conditionalFormatting sqref="AFX23 AHA23 AID23 AJG23 AKJ23">
    <cfRule type="cellIs" dxfId="2769" priority="1783" operator="equal">
      <formula>0</formula>
    </cfRule>
    <cfRule type="cellIs" dxfId="2770" priority="1784" operator="equal">
      <formula>8</formula>
    </cfRule>
    <cfRule type="cellIs" dxfId="2771" priority="1785" operator="greaterThan">
      <formula>8</formula>
    </cfRule>
    <cfRule type="cellIs" dxfId="2772" priority="1786" operator="lessThan">
      <formula>8</formula>
    </cfRule>
  </conditionalFormatting>
  <conditionalFormatting sqref="AFX24 AHA24 AID24 AJG24 AKJ24">
    <cfRule type="cellIs" dxfId="2773" priority="1779" operator="equal">
      <formula>0</formula>
    </cfRule>
    <cfRule type="cellIs" dxfId="2774" priority="1780" operator="equal">
      <formula>8</formula>
    </cfRule>
    <cfRule type="cellIs" dxfId="2775" priority="1781" operator="greaterThan">
      <formula>8</formula>
    </cfRule>
    <cfRule type="cellIs" dxfId="2776" priority="1782" operator="lessThan">
      <formula>8</formula>
    </cfRule>
  </conditionalFormatting>
  <conditionalFormatting sqref="AFX25 AHA25 AID25 AJG25 AKJ25">
    <cfRule type="cellIs" dxfId="2777" priority="1775" operator="equal">
      <formula>0</formula>
    </cfRule>
    <cfRule type="cellIs" dxfId="2778" priority="1776" operator="equal">
      <formula>8</formula>
    </cfRule>
    <cfRule type="cellIs" dxfId="2779" priority="1777" operator="greaterThan">
      <formula>8</formula>
    </cfRule>
    <cfRule type="cellIs" dxfId="2780" priority="1778" operator="lessThan">
      <formula>8</formula>
    </cfRule>
  </conditionalFormatting>
  <conditionalFormatting sqref="AFX26 AHA26 AID26 AJG26 AKJ26">
    <cfRule type="cellIs" dxfId="2781" priority="1771" operator="equal">
      <formula>0</formula>
    </cfRule>
    <cfRule type="cellIs" dxfId="2782" priority="1772" operator="equal">
      <formula>8</formula>
    </cfRule>
    <cfRule type="cellIs" dxfId="2783" priority="1773" operator="greaterThan">
      <formula>8</formula>
    </cfRule>
    <cfRule type="cellIs" dxfId="2784" priority="1774" operator="lessThan">
      <formula>8</formula>
    </cfRule>
  </conditionalFormatting>
  <conditionalFormatting sqref="AFX27 AHA27 AID27 AJG27 AKJ27">
    <cfRule type="cellIs" dxfId="2785" priority="1767" operator="equal">
      <formula>0</formula>
    </cfRule>
    <cfRule type="cellIs" dxfId="2786" priority="1768" operator="equal">
      <formula>8</formula>
    </cfRule>
    <cfRule type="cellIs" dxfId="2787" priority="1769" operator="greaterThan">
      <formula>8</formula>
    </cfRule>
    <cfRule type="cellIs" dxfId="2788" priority="1770" operator="lessThan">
      <formula>8</formula>
    </cfRule>
  </conditionalFormatting>
  <conditionalFormatting sqref="AFX28 AHA28 AID28 AJG28 AKJ28">
    <cfRule type="cellIs" dxfId="2789" priority="1763" operator="equal">
      <formula>0</formula>
    </cfRule>
    <cfRule type="cellIs" dxfId="2790" priority="1764" operator="equal">
      <formula>8</formula>
    </cfRule>
    <cfRule type="cellIs" dxfId="2791" priority="1765" operator="greaterThan">
      <formula>8</formula>
    </cfRule>
    <cfRule type="cellIs" dxfId="2792" priority="1766" operator="lessThan">
      <formula>8</formula>
    </cfRule>
  </conditionalFormatting>
  <conditionalFormatting sqref="AFX29 AHA29 AID29 AJG29 AKJ29">
    <cfRule type="cellIs" dxfId="2793" priority="1759" operator="equal">
      <formula>0</formula>
    </cfRule>
    <cfRule type="cellIs" dxfId="2794" priority="1760" operator="equal">
      <formula>8</formula>
    </cfRule>
    <cfRule type="cellIs" dxfId="2795" priority="1761" operator="greaterThan">
      <formula>8</formula>
    </cfRule>
    <cfRule type="cellIs" dxfId="2796" priority="1762" operator="lessThan">
      <formula>8</formula>
    </cfRule>
  </conditionalFormatting>
  <conditionalFormatting sqref="AFX30 AHA30 AID30 AJG30 AKJ30">
    <cfRule type="cellIs" dxfId="2797" priority="1755" operator="equal">
      <formula>0</formula>
    </cfRule>
    <cfRule type="cellIs" dxfId="2798" priority="1756" operator="equal">
      <formula>8</formula>
    </cfRule>
    <cfRule type="cellIs" dxfId="2799" priority="1757" operator="greaterThan">
      <formula>8</formula>
    </cfRule>
    <cfRule type="cellIs" dxfId="2800" priority="1758" operator="lessThan">
      <formula>8</formula>
    </cfRule>
  </conditionalFormatting>
  <conditionalFormatting sqref="AFX31 AHA31 AID31 AJG31 AKJ31">
    <cfRule type="cellIs" dxfId="2801" priority="1751" operator="equal">
      <formula>0</formula>
    </cfRule>
    <cfRule type="cellIs" dxfId="2802" priority="1752" operator="equal">
      <formula>8</formula>
    </cfRule>
    <cfRule type="cellIs" dxfId="2803" priority="1753" operator="greaterThan">
      <formula>8</formula>
    </cfRule>
    <cfRule type="cellIs" dxfId="2804" priority="1754" operator="lessThan">
      <formula>8</formula>
    </cfRule>
  </conditionalFormatting>
  <conditionalFormatting sqref="AFX32 AHA32 AID32 AJG32 AKJ32">
    <cfRule type="cellIs" dxfId="2805" priority="1747" operator="equal">
      <formula>0</formula>
    </cfRule>
    <cfRule type="cellIs" dxfId="2806" priority="1748" operator="equal">
      <formula>8</formula>
    </cfRule>
    <cfRule type="cellIs" dxfId="2807" priority="1749" operator="greaterThan">
      <formula>8</formula>
    </cfRule>
    <cfRule type="cellIs" dxfId="2808" priority="1750" operator="lessThan">
      <formula>8</formula>
    </cfRule>
  </conditionalFormatting>
  <conditionalFormatting sqref="NS112:NS113 VQ112:VQ113 ADO112:ADO113 ALM112:ALM113">
    <cfRule type="cellIs" dxfId="2809" priority="1743" operator="equal">
      <formula>0</formula>
    </cfRule>
    <cfRule type="cellIs" dxfId="2810" priority="1744" operator="equal">
      <formula>8</formula>
    </cfRule>
    <cfRule type="cellIs" dxfId="2811" priority="1745" operator="greaterThan">
      <formula>8</formula>
    </cfRule>
    <cfRule type="cellIs" dxfId="2812" priority="1746" operator="lessThan">
      <formula>8</formula>
    </cfRule>
  </conditionalFormatting>
  <conditionalFormatting sqref="AER112">
    <cfRule type="cellIs" dxfId="2813" priority="1739" operator="equal">
      <formula>0</formula>
    </cfRule>
    <cfRule type="cellIs" dxfId="2814" priority="1740" operator="equal">
      <formula>8</formula>
    </cfRule>
    <cfRule type="cellIs" dxfId="2815" priority="1741" operator="greaterThan">
      <formula>8</formula>
    </cfRule>
    <cfRule type="cellIs" dxfId="2816" priority="1742" operator="lessThan">
      <formula>8</formula>
    </cfRule>
  </conditionalFormatting>
  <conditionalFormatting sqref="AMP112">
    <cfRule type="cellIs" dxfId="2817" priority="1735" operator="equal">
      <formula>0</formula>
    </cfRule>
    <cfRule type="cellIs" dxfId="2818" priority="1736" operator="equal">
      <formula>8</formula>
    </cfRule>
    <cfRule type="cellIs" dxfId="2819" priority="1737" operator="greaterThan">
      <formula>8</formula>
    </cfRule>
    <cfRule type="cellIs" dxfId="2820" priority="1738" operator="lessThan">
      <formula>8</formula>
    </cfRule>
  </conditionalFormatting>
  <conditionalFormatting sqref="WT113">
    <cfRule type="cellIs" dxfId="2821" priority="1731" operator="equal">
      <formula>0</formula>
    </cfRule>
    <cfRule type="cellIs" dxfId="2822" priority="1732" operator="equal">
      <formula>8</formula>
    </cfRule>
    <cfRule type="cellIs" dxfId="2823" priority="1733" operator="greaterThan">
      <formula>8</formula>
    </cfRule>
    <cfRule type="cellIs" dxfId="2824" priority="1734" operator="lessThan">
      <formula>8</formula>
    </cfRule>
  </conditionalFormatting>
  <conditionalFormatting sqref="AER113">
    <cfRule type="cellIs" dxfId="2825" priority="1727" operator="equal">
      <formula>0</formula>
    </cfRule>
    <cfRule type="cellIs" dxfId="2826" priority="1728" operator="equal">
      <formula>8</formula>
    </cfRule>
    <cfRule type="cellIs" dxfId="2827" priority="1729" operator="greaterThan">
      <formula>8</formula>
    </cfRule>
    <cfRule type="cellIs" dxfId="2828" priority="1730" operator="lessThan">
      <formula>8</formula>
    </cfRule>
  </conditionalFormatting>
  <conditionalFormatting sqref="AEU113">
    <cfRule type="cellIs" dxfId="2829" priority="1726" operator="greaterThan">
      <formula>0</formula>
    </cfRule>
  </conditionalFormatting>
  <conditionalFormatting sqref="AES113">
    <cfRule type="cellIs" dxfId="2830" priority="1725" operator="greaterThan">
      <formula>0</formula>
    </cfRule>
    <cfRule type="cellIs" dxfId="2831" priority="1724" operator="equal">
      <formula>0</formula>
    </cfRule>
  </conditionalFormatting>
  <conditionalFormatting sqref="AMP113">
    <cfRule type="cellIs" dxfId="2832" priority="1720" operator="equal">
      <formula>0</formula>
    </cfRule>
    <cfRule type="cellIs" dxfId="2833" priority="1721" operator="equal">
      <formula>8</formula>
    </cfRule>
    <cfRule type="cellIs" dxfId="2834" priority="1722" operator="greaterThan">
      <formula>8</formula>
    </cfRule>
    <cfRule type="cellIs" dxfId="2835" priority="1723" operator="lessThan">
      <formula>8</formula>
    </cfRule>
  </conditionalFormatting>
  <conditionalFormatting sqref="AMS113">
    <cfRule type="cellIs" dxfId="2836" priority="1719" operator="greaterThan">
      <formula>0</formula>
    </cfRule>
  </conditionalFormatting>
  <conditionalFormatting sqref="AMQ113">
    <cfRule type="cellIs" dxfId="2837" priority="1718" operator="greaterThan">
      <formula>0</formula>
    </cfRule>
    <cfRule type="cellIs" dxfId="2838" priority="1717" operator="equal">
      <formula>0</formula>
    </cfRule>
  </conditionalFormatting>
  <conditionalFormatting sqref="AEU112">
    <cfRule type="cellIs" dxfId="2839" priority="1716" operator="greaterThan">
      <formula>0</formula>
    </cfRule>
  </conditionalFormatting>
  <conditionalFormatting sqref="AES112">
    <cfRule type="cellIs" dxfId="2840" priority="1715" operator="greaterThan">
      <formula>0</formula>
    </cfRule>
    <cfRule type="cellIs" dxfId="2841" priority="1714" operator="equal">
      <formula>0</formula>
    </cfRule>
  </conditionalFormatting>
  <conditionalFormatting sqref="AMS112">
    <cfRule type="cellIs" dxfId="2842" priority="1713" operator="greaterThan">
      <formula>0</formula>
    </cfRule>
  </conditionalFormatting>
  <conditionalFormatting sqref="AMQ112">
    <cfRule type="cellIs" dxfId="2843" priority="1712" operator="greaterThan">
      <formula>0</formula>
    </cfRule>
    <cfRule type="cellIs" dxfId="2844" priority="1711" operator="equal">
      <formula>0</formula>
    </cfRule>
  </conditionalFormatting>
  <conditionalFormatting sqref="HA113">
    <cfRule type="cellIs" dxfId="2845" priority="1710" operator="greaterThan">
      <formula>0</formula>
    </cfRule>
  </conditionalFormatting>
  <conditionalFormatting sqref="GZ113">
    <cfRule type="cellIs" dxfId="2846" priority="1709" operator="greaterThan">
      <formula>0</formula>
    </cfRule>
  </conditionalFormatting>
  <conditionalFormatting sqref="GY113">
    <cfRule type="cellIs" dxfId="2847" priority="1708" operator="greaterThan">
      <formula>0</formula>
    </cfRule>
  </conditionalFormatting>
  <conditionalFormatting sqref="GY113:GZ113">
    <cfRule type="cellIs" dxfId="2848" priority="1707" operator="equal">
      <formula>0</formula>
    </cfRule>
  </conditionalFormatting>
  <conditionalFormatting sqref="OV113">
    <cfRule type="cellIs" dxfId="2849" priority="1703" operator="equal">
      <formula>0</formula>
    </cfRule>
    <cfRule type="cellIs" dxfId="2850" priority="1704" operator="equal">
      <formula>8</formula>
    </cfRule>
    <cfRule type="cellIs" dxfId="2851" priority="1705" operator="greaterThan">
      <formula>8</formula>
    </cfRule>
    <cfRule type="cellIs" dxfId="2852" priority="1706" operator="lessThan">
      <formula>8</formula>
    </cfRule>
  </conditionalFormatting>
  <conditionalFormatting sqref="OY113">
    <cfRule type="cellIs" dxfId="2853" priority="1702" operator="greaterThan">
      <formula>0</formula>
    </cfRule>
  </conditionalFormatting>
  <conditionalFormatting sqref="OW113">
    <cfRule type="cellIs" dxfId="2854" priority="1701" operator="greaterThan">
      <formula>0</formula>
    </cfRule>
    <cfRule type="cellIs" dxfId="2855" priority="1700" operator="equal">
      <formula>0</formula>
    </cfRule>
  </conditionalFormatting>
  <conditionalFormatting sqref="WW113">
    <cfRule type="cellIs" dxfId="2856" priority="1699" operator="greaterThan">
      <formula>0</formula>
    </cfRule>
  </conditionalFormatting>
  <conditionalFormatting sqref="WU113">
    <cfRule type="cellIs" dxfId="2857" priority="1698" operator="greaterThan">
      <formula>0</formula>
    </cfRule>
    <cfRule type="cellIs" dxfId="2858" priority="1697" operator="equal">
      <formula>0</formula>
    </cfRule>
  </conditionalFormatting>
  <conditionalFormatting sqref="HA112">
    <cfRule type="cellIs" dxfId="2859" priority="1696" operator="greaterThan">
      <formula>0</formula>
    </cfRule>
  </conditionalFormatting>
  <conditionalFormatting sqref="GZ112">
    <cfRule type="cellIs" dxfId="2860" priority="1695" operator="greaterThan">
      <formula>0</formula>
    </cfRule>
  </conditionalFormatting>
  <conditionalFormatting sqref="GY112">
    <cfRule type="cellIs" dxfId="2861" priority="1694" operator="greaterThan">
      <formula>0</formula>
    </cfRule>
  </conditionalFormatting>
  <conditionalFormatting sqref="GY112:GZ112">
    <cfRule type="cellIs" dxfId="2862" priority="1693" operator="equal">
      <formula>0</formula>
    </cfRule>
  </conditionalFormatting>
  <conditionalFormatting sqref="OV112">
    <cfRule type="cellIs" dxfId="2863" priority="1689" operator="equal">
      <formula>0</formula>
    </cfRule>
    <cfRule type="cellIs" dxfId="2864" priority="1690" operator="equal">
      <formula>8</formula>
    </cfRule>
    <cfRule type="cellIs" dxfId="2865" priority="1691" operator="greaterThan">
      <formula>8</formula>
    </cfRule>
    <cfRule type="cellIs" dxfId="2866" priority="1692" operator="lessThan">
      <formula>8</formula>
    </cfRule>
  </conditionalFormatting>
  <conditionalFormatting sqref="OY112">
    <cfRule type="cellIs" dxfId="2867" priority="1688" operator="greaterThan">
      <formula>0</formula>
    </cfRule>
  </conditionalFormatting>
  <conditionalFormatting sqref="OW112">
    <cfRule type="cellIs" dxfId="2868" priority="1687" operator="greaterThan">
      <formula>0</formula>
    </cfRule>
    <cfRule type="cellIs" dxfId="2869" priority="1686" operator="equal">
      <formula>0</formula>
    </cfRule>
  </conditionalFormatting>
  <conditionalFormatting sqref="WT112">
    <cfRule type="cellIs" dxfId="2870" priority="1682" operator="equal">
      <formula>0</formula>
    </cfRule>
    <cfRule type="cellIs" dxfId="2871" priority="1683" operator="equal">
      <formula>8</formula>
    </cfRule>
    <cfRule type="cellIs" dxfId="2872" priority="1684" operator="greaterThan">
      <formula>8</formula>
    </cfRule>
    <cfRule type="cellIs" dxfId="2873" priority="1685" operator="lessThan">
      <formula>8</formula>
    </cfRule>
  </conditionalFormatting>
  <conditionalFormatting sqref="WW112">
    <cfRule type="cellIs" dxfId="2874" priority="1681" operator="greaterThan">
      <formula>0</formula>
    </cfRule>
  </conditionalFormatting>
  <conditionalFormatting sqref="WU112">
    <cfRule type="cellIs" dxfId="2875" priority="1680" operator="greaterThan">
      <formula>0</formula>
    </cfRule>
    <cfRule type="cellIs" dxfId="2876" priority="1679" operator="equal">
      <formula>0</formula>
    </cfRule>
  </conditionalFormatting>
  <conditionalFormatting sqref="MP112">
    <cfRule type="cellIs" dxfId="2877" priority="1675" operator="equal">
      <formula>0</formula>
    </cfRule>
    <cfRule type="cellIs" dxfId="2878" priority="1676" operator="equal">
      <formula>8</formula>
    </cfRule>
    <cfRule type="cellIs" dxfId="2879" priority="1677" operator="greaterThan">
      <formula>8</formula>
    </cfRule>
    <cfRule type="cellIs" dxfId="2880" priority="1678" operator="lessThan">
      <formula>8</formula>
    </cfRule>
  </conditionalFormatting>
  <conditionalFormatting sqref="MP113">
    <cfRule type="cellIs" dxfId="2881" priority="1671" operator="equal">
      <formula>0</formula>
    </cfRule>
    <cfRule type="cellIs" dxfId="2882" priority="1672" operator="equal">
      <formula>8</formula>
    </cfRule>
    <cfRule type="cellIs" dxfId="2883" priority="1673" operator="greaterThan">
      <formula>8</formula>
    </cfRule>
    <cfRule type="cellIs" dxfId="2884" priority="1674" operator="lessThan">
      <formula>8</formula>
    </cfRule>
  </conditionalFormatting>
  <conditionalFormatting sqref="AKJ113">
    <cfRule type="cellIs" dxfId="2885" priority="1667" operator="equal">
      <formula>0</formula>
    </cfRule>
    <cfRule type="cellIs" dxfId="2886" priority="1668" operator="equal">
      <formula>8</formula>
    </cfRule>
    <cfRule type="cellIs" dxfId="2887" priority="1669" operator="greaterThan">
      <formula>8</formula>
    </cfRule>
    <cfRule type="cellIs" dxfId="2888" priority="1670" operator="lessThan">
      <formula>8</formula>
    </cfRule>
  </conditionalFormatting>
  <conditionalFormatting sqref="AKJ112">
    <cfRule type="cellIs" dxfId="2889" priority="1663" operator="equal">
      <formula>0</formula>
    </cfRule>
    <cfRule type="cellIs" dxfId="2890" priority="1664" operator="equal">
      <formula>8</formula>
    </cfRule>
    <cfRule type="cellIs" dxfId="2891" priority="1665" operator="greaterThan">
      <formula>8</formula>
    </cfRule>
    <cfRule type="cellIs" dxfId="2892" priority="1666" operator="lessThan">
      <formula>8</formula>
    </cfRule>
  </conditionalFormatting>
  <conditionalFormatting sqref="NS114 VQ114 ADO114 ALM114">
    <cfRule type="cellIs" dxfId="2893" priority="1659" operator="equal">
      <formula>0</formula>
    </cfRule>
    <cfRule type="cellIs" dxfId="2894" priority="1660" operator="equal">
      <formula>8</formula>
    </cfRule>
    <cfRule type="cellIs" dxfId="2895" priority="1661" operator="greaterThan">
      <formula>8</formula>
    </cfRule>
    <cfRule type="cellIs" dxfId="2896" priority="1662" operator="lessThan">
      <formula>8</formula>
    </cfRule>
  </conditionalFormatting>
  <conditionalFormatting sqref="HA104:HA105 HA108 OY104:OY105 OY108 WW104:WW105 WW108 AEU104:AEU105 AEU108 AMS104:AMS105 AMS108">
    <cfRule type="cellIs" dxfId="2897" priority="1658" operator="greaterThan">
      <formula>0</formula>
    </cfRule>
  </conditionalFormatting>
  <conditionalFormatting sqref="GZ104:GZ105 GZ108">
    <cfRule type="cellIs" dxfId="2898" priority="1657" operator="greaterThan">
      <formula>0</formula>
    </cfRule>
  </conditionalFormatting>
  <conditionalFormatting sqref="GY104:GY105 GY108 OW104:OW105 OW108 WU104:WU105 WU108 AES104:AES105 AES108 AMQ104:AMQ105 AMQ108">
    <cfRule type="cellIs" dxfId="2899" priority="1656" operator="greaterThan">
      <formula>0</formula>
    </cfRule>
  </conditionalFormatting>
  <conditionalFormatting sqref="GY104:GZ105 GY108:GZ108 OW104:OW105 OW108 WU104:WU105 WU108 AES104:AES105 AES108 AMQ104:AMQ105 AMQ108">
    <cfRule type="cellIs" dxfId="2900" priority="1655" operator="equal">
      <formula>0</formula>
    </cfRule>
  </conditionalFormatting>
  <conditionalFormatting sqref="NS104:NS105 NS108 OV104:OV105 OV108 VQ104:VQ105 VQ108 WT104:WT105 WT108 ADO104:ADO105 ADO108 AER104:AER105 AER108 ALM104:ALM105 ALM108 AMP104:AMP105 AMP108">
    <cfRule type="cellIs" dxfId="2901" priority="1651" operator="equal">
      <formula>0</formula>
    </cfRule>
    <cfRule type="cellIs" dxfId="2902" priority="1652" operator="equal">
      <formula>8</formula>
    </cfRule>
    <cfRule type="cellIs" dxfId="2903" priority="1653" operator="greaterThan">
      <formula>8</formula>
    </cfRule>
    <cfRule type="cellIs" dxfId="2904" priority="1654" operator="lessThan">
      <formula>8</formula>
    </cfRule>
  </conditionalFormatting>
  <conditionalFormatting sqref="HA106:HA107 HA109 HA111 OY106:OY107 OY109 OY111 WW106:WW107 WW109 WW111 AEU106:AEU107 AEU109 AEU111 AMS106:AMS107 AMS109 AMS111">
    <cfRule type="cellIs" dxfId="2905" priority="1650" operator="greaterThan">
      <formula>0</formula>
    </cfRule>
  </conditionalFormatting>
  <conditionalFormatting sqref="GZ106:GZ107 GZ109 GZ111">
    <cfRule type="cellIs" dxfId="2906" priority="1649" operator="greaterThan">
      <formula>0</formula>
    </cfRule>
  </conditionalFormatting>
  <conditionalFormatting sqref="GY106:GY107 GY109 GY111 OW106:OW107 OW109 OW111 WU106:WU107 WU109 WU111 AES106:AES107 AES109 AES111 AMQ106:AMQ107 AMQ109 AMQ111">
    <cfRule type="cellIs" dxfId="2907" priority="1648" operator="greaterThan">
      <formula>0</formula>
    </cfRule>
  </conditionalFormatting>
  <conditionalFormatting sqref="GY106:GZ107 GY109:GZ109 GY111:GZ111 OW106:OW107 OW109 OW111 WU106:WU107 WU109 WU111 AES106:AES107 AES109 AES111 AMQ106:AMQ107 AMQ109 AMQ111">
    <cfRule type="cellIs" dxfId="2908" priority="1647" operator="equal">
      <formula>0</formula>
    </cfRule>
  </conditionalFormatting>
  <conditionalFormatting sqref="NS106:NS107 NS109 NS111 OV106:OV107 OV109 OV111 VQ106:VQ107 VQ109 VQ111 WT106:WT107 WT109 WT111 ADO106:ADO107 ADO109 ADO111 AER106:AER107 AER109 AER111 ALM106:ALM107 ALM109 ALM111 AMP106:AMP107 AMP109 AMP111">
    <cfRule type="cellIs" dxfId="2909" priority="1643" operator="equal">
      <formula>0</formula>
    </cfRule>
    <cfRule type="cellIs" dxfId="2910" priority="1644" operator="equal">
      <formula>8</formula>
    </cfRule>
    <cfRule type="cellIs" dxfId="2911" priority="1645" operator="greaterThan">
      <formula>8</formula>
    </cfRule>
    <cfRule type="cellIs" dxfId="2912" priority="1646" operator="lessThan">
      <formula>8</formula>
    </cfRule>
  </conditionalFormatting>
  <conditionalFormatting sqref="OV114 WT114">
    <cfRule type="cellIs" dxfId="2913" priority="1639" operator="equal">
      <formula>0</formula>
    </cfRule>
    <cfRule type="cellIs" dxfId="2914" priority="1640" operator="equal">
      <formula>8</formula>
    </cfRule>
    <cfRule type="cellIs" dxfId="2915" priority="1641" operator="greaterThan">
      <formula>8</formula>
    </cfRule>
    <cfRule type="cellIs" dxfId="2916" priority="1642" operator="lessThan">
      <formula>8</formula>
    </cfRule>
  </conditionalFormatting>
  <conditionalFormatting sqref="WT115">
    <cfRule type="cellIs" dxfId="2917" priority="1635" operator="equal">
      <formula>0</formula>
    </cfRule>
    <cfRule type="cellIs" dxfId="2918" priority="1636" operator="equal">
      <formula>8</formula>
    </cfRule>
    <cfRule type="cellIs" dxfId="2919" priority="1637" operator="greaterThan">
      <formula>8</formula>
    </cfRule>
    <cfRule type="cellIs" dxfId="2920" priority="1638" operator="lessThan">
      <formula>8</formula>
    </cfRule>
  </conditionalFormatting>
  <conditionalFormatting sqref="AEU114 AMS114">
    <cfRule type="cellIs" dxfId="2921" priority="1634" operator="greaterThan">
      <formula>0</formula>
    </cfRule>
  </conditionalFormatting>
  <conditionalFormatting sqref="AES114 AMQ114">
    <cfRule type="cellIs" dxfId="2922" priority="1633" operator="greaterThan">
      <formula>0</formula>
    </cfRule>
    <cfRule type="cellIs" dxfId="2923" priority="1632" operator="equal">
      <formula>0</formula>
    </cfRule>
  </conditionalFormatting>
  <conditionalFormatting sqref="AER114 AMP114">
    <cfRule type="cellIs" dxfId="2924" priority="1628" operator="equal">
      <formula>0</formula>
    </cfRule>
    <cfRule type="cellIs" dxfId="2925" priority="1629" operator="equal">
      <formula>8</formula>
    </cfRule>
    <cfRule type="cellIs" dxfId="2926" priority="1630" operator="greaterThan">
      <formula>8</formula>
    </cfRule>
    <cfRule type="cellIs" dxfId="2927" priority="1631" operator="lessThan">
      <formula>8</formula>
    </cfRule>
  </conditionalFormatting>
  <conditionalFormatting sqref="AER115">
    <cfRule type="cellIs" dxfId="2928" priority="1624" operator="equal">
      <formula>0</formula>
    </cfRule>
    <cfRule type="cellIs" dxfId="2929" priority="1625" operator="equal">
      <formula>8</formula>
    </cfRule>
    <cfRule type="cellIs" dxfId="2930" priority="1626" operator="greaterThan">
      <formula>8</formula>
    </cfRule>
    <cfRule type="cellIs" dxfId="2931" priority="1627" operator="lessThan">
      <formula>8</formula>
    </cfRule>
  </conditionalFormatting>
  <conditionalFormatting sqref="AEU115">
    <cfRule type="cellIs" dxfId="2932" priority="1623" operator="greaterThan">
      <formula>0</formula>
    </cfRule>
  </conditionalFormatting>
  <conditionalFormatting sqref="AES115">
    <cfRule type="cellIs" dxfId="2933" priority="1622" operator="greaterThan">
      <formula>0</formula>
    </cfRule>
    <cfRule type="cellIs" dxfId="2934" priority="1621" operator="equal">
      <formula>0</formula>
    </cfRule>
  </conditionalFormatting>
  <conditionalFormatting sqref="ALM115">
    <cfRule type="cellIs" dxfId="2935" priority="1617" operator="equal">
      <formula>0</formula>
    </cfRule>
    <cfRule type="cellIs" dxfId="2936" priority="1618" operator="equal">
      <formula>8</formula>
    </cfRule>
    <cfRule type="cellIs" dxfId="2937" priority="1619" operator="greaterThan">
      <formula>8</formula>
    </cfRule>
    <cfRule type="cellIs" dxfId="2938" priority="1620" operator="lessThan">
      <formula>8</formula>
    </cfRule>
  </conditionalFormatting>
  <conditionalFormatting sqref="AMP115">
    <cfRule type="cellIs" dxfId="2939" priority="1613" operator="equal">
      <formula>0</formula>
    </cfRule>
    <cfRule type="cellIs" dxfId="2940" priority="1614" operator="equal">
      <formula>8</formula>
    </cfRule>
    <cfRule type="cellIs" dxfId="2941" priority="1615" operator="greaterThan">
      <formula>8</formula>
    </cfRule>
    <cfRule type="cellIs" dxfId="2942" priority="1616" operator="lessThan">
      <formula>8</formula>
    </cfRule>
  </conditionalFormatting>
  <conditionalFormatting sqref="AMS115">
    <cfRule type="cellIs" dxfId="2943" priority="1612" operator="greaterThan">
      <formula>0</formula>
    </cfRule>
  </conditionalFormatting>
  <conditionalFormatting sqref="AMQ115">
    <cfRule type="cellIs" dxfId="2944" priority="1611" operator="greaterThan">
      <formula>0</formula>
    </cfRule>
    <cfRule type="cellIs" dxfId="2945" priority="1610" operator="equal">
      <formula>0</formula>
    </cfRule>
  </conditionalFormatting>
  <conditionalFormatting sqref="HA114 OY114 WW114">
    <cfRule type="cellIs" dxfId="2946" priority="1609" operator="greaterThan">
      <formula>0</formula>
    </cfRule>
  </conditionalFormatting>
  <conditionalFormatting sqref="GZ114">
    <cfRule type="cellIs" dxfId="2947" priority="1608" operator="greaterThan">
      <formula>0</formula>
    </cfRule>
  </conditionalFormatting>
  <conditionalFormatting sqref="GY114 OW114 WU114">
    <cfRule type="cellIs" dxfId="2948" priority="1607" operator="greaterThan">
      <formula>0</formula>
    </cfRule>
  </conditionalFormatting>
  <conditionalFormatting sqref="GY114:GZ114 OW114 WU114">
    <cfRule type="cellIs" dxfId="2949" priority="1606" operator="equal">
      <formula>0</formula>
    </cfRule>
  </conditionalFormatting>
  <conditionalFormatting sqref="HA115">
    <cfRule type="cellIs" dxfId="2950" priority="1605" operator="greaterThan">
      <formula>0</formula>
    </cfRule>
  </conditionalFormatting>
  <conditionalFormatting sqref="GZ115">
    <cfRule type="cellIs" dxfId="2951" priority="1604" operator="greaterThan">
      <formula>0</formula>
    </cfRule>
  </conditionalFormatting>
  <conditionalFormatting sqref="GY115">
    <cfRule type="cellIs" dxfId="2952" priority="1603" operator="greaterThan">
      <formula>0</formula>
    </cfRule>
  </conditionalFormatting>
  <conditionalFormatting sqref="GY115:GZ115">
    <cfRule type="cellIs" dxfId="2953" priority="1602" operator="equal">
      <formula>0</formula>
    </cfRule>
  </conditionalFormatting>
  <conditionalFormatting sqref="NS115">
    <cfRule type="cellIs" dxfId="2954" priority="1598" operator="equal">
      <formula>0</formula>
    </cfRule>
    <cfRule type="cellIs" dxfId="2955" priority="1599" operator="equal">
      <formula>8</formula>
    </cfRule>
    <cfRule type="cellIs" dxfId="2956" priority="1600" operator="greaterThan">
      <formula>8</formula>
    </cfRule>
    <cfRule type="cellIs" dxfId="2957" priority="1601" operator="lessThan">
      <formula>8</formula>
    </cfRule>
  </conditionalFormatting>
  <conditionalFormatting sqref="OV115">
    <cfRule type="cellIs" dxfId="2958" priority="1594" operator="equal">
      <formula>0</formula>
    </cfRule>
    <cfRule type="cellIs" dxfId="2959" priority="1595" operator="equal">
      <formula>8</formula>
    </cfRule>
    <cfRule type="cellIs" dxfId="2960" priority="1596" operator="greaterThan">
      <formula>8</formula>
    </cfRule>
    <cfRule type="cellIs" dxfId="2961" priority="1597" operator="lessThan">
      <formula>8</formula>
    </cfRule>
  </conditionalFormatting>
  <conditionalFormatting sqref="OY115">
    <cfRule type="cellIs" dxfId="2962" priority="1593" operator="greaterThan">
      <formula>0</formula>
    </cfRule>
  </conditionalFormatting>
  <conditionalFormatting sqref="OW115">
    <cfRule type="cellIs" dxfId="2963" priority="1592" operator="greaterThan">
      <formula>0</formula>
    </cfRule>
    <cfRule type="cellIs" dxfId="2964" priority="1591" operator="equal">
      <formula>0</formula>
    </cfRule>
  </conditionalFormatting>
  <conditionalFormatting sqref="VQ115">
    <cfRule type="cellIs" dxfId="2965" priority="1587" operator="equal">
      <formula>0</formula>
    </cfRule>
    <cfRule type="cellIs" dxfId="2966" priority="1588" operator="equal">
      <formula>8</formula>
    </cfRule>
    <cfRule type="cellIs" dxfId="2967" priority="1589" operator="greaterThan">
      <formula>8</formula>
    </cfRule>
    <cfRule type="cellIs" dxfId="2968" priority="1590" operator="lessThan">
      <formula>8</formula>
    </cfRule>
  </conditionalFormatting>
  <conditionalFormatting sqref="WW115">
    <cfRule type="cellIs" dxfId="2969" priority="1586" operator="greaterThan">
      <formula>0</formula>
    </cfRule>
  </conditionalFormatting>
  <conditionalFormatting sqref="WU115">
    <cfRule type="cellIs" dxfId="2970" priority="1585" operator="greaterThan">
      <formula>0</formula>
    </cfRule>
    <cfRule type="cellIs" dxfId="2971" priority="1584" operator="equal">
      <formula>0</formula>
    </cfRule>
  </conditionalFormatting>
  <conditionalFormatting sqref="ADO115">
    <cfRule type="cellIs" dxfId="2972" priority="1580" operator="equal">
      <formula>0</formula>
    </cfRule>
    <cfRule type="cellIs" dxfId="2973" priority="1581" operator="equal">
      <formula>8</formula>
    </cfRule>
    <cfRule type="cellIs" dxfId="2974" priority="1582" operator="greaterThan">
      <formula>8</formula>
    </cfRule>
    <cfRule type="cellIs" dxfId="2975" priority="1583" operator="lessThan">
      <formula>8</formula>
    </cfRule>
  </conditionalFormatting>
  <conditionalFormatting sqref="HA110">
    <cfRule type="cellIs" dxfId="2976" priority="1579" operator="greaterThan">
      <formula>0</formula>
    </cfRule>
  </conditionalFormatting>
  <conditionalFormatting sqref="GZ110">
    <cfRule type="cellIs" dxfId="2977" priority="1578" operator="greaterThan">
      <formula>0</formula>
    </cfRule>
  </conditionalFormatting>
  <conditionalFormatting sqref="GY110">
    <cfRule type="cellIs" dxfId="2978" priority="1577" operator="greaterThan">
      <formula>0</formula>
    </cfRule>
  </conditionalFormatting>
  <conditionalFormatting sqref="GY110:GZ110">
    <cfRule type="cellIs" dxfId="2979" priority="1576" operator="equal">
      <formula>0</formula>
    </cfRule>
  </conditionalFormatting>
  <conditionalFormatting sqref="NS110">
    <cfRule type="cellIs" dxfId="2980" priority="1572" operator="equal">
      <formula>0</formula>
    </cfRule>
    <cfRule type="cellIs" dxfId="2981" priority="1573" operator="equal">
      <formula>8</formula>
    </cfRule>
    <cfRule type="cellIs" dxfId="2982" priority="1574" operator="greaterThan">
      <formula>8</formula>
    </cfRule>
    <cfRule type="cellIs" dxfId="2983" priority="1575" operator="lessThan">
      <formula>8</formula>
    </cfRule>
  </conditionalFormatting>
  <conditionalFormatting sqref="OV110">
    <cfRule type="cellIs" dxfId="2984" priority="1568" operator="equal">
      <formula>0</formula>
    </cfRule>
    <cfRule type="cellIs" dxfId="2985" priority="1569" operator="equal">
      <formula>8</formula>
    </cfRule>
    <cfRule type="cellIs" dxfId="2986" priority="1570" operator="greaterThan">
      <formula>8</formula>
    </cfRule>
    <cfRule type="cellIs" dxfId="2987" priority="1571" operator="lessThan">
      <formula>8</formula>
    </cfRule>
  </conditionalFormatting>
  <conditionalFormatting sqref="OY110">
    <cfRule type="cellIs" dxfId="2988" priority="1567" operator="greaterThan">
      <formula>0</formula>
    </cfRule>
  </conditionalFormatting>
  <conditionalFormatting sqref="OW110">
    <cfRule type="cellIs" dxfId="2989" priority="1566" operator="greaterThan">
      <formula>0</formula>
    </cfRule>
    <cfRule type="cellIs" dxfId="2990" priority="1565" operator="equal">
      <formula>0</formula>
    </cfRule>
  </conditionalFormatting>
  <conditionalFormatting sqref="VQ110">
    <cfRule type="cellIs" dxfId="2991" priority="1561" operator="equal">
      <formula>0</formula>
    </cfRule>
    <cfRule type="cellIs" dxfId="2992" priority="1562" operator="equal">
      <formula>8</formula>
    </cfRule>
    <cfRule type="cellIs" dxfId="2993" priority="1563" operator="greaterThan">
      <formula>8</formula>
    </cfRule>
    <cfRule type="cellIs" dxfId="2994" priority="1564" operator="lessThan">
      <formula>8</formula>
    </cfRule>
  </conditionalFormatting>
  <conditionalFormatting sqref="WT110">
    <cfRule type="cellIs" dxfId="2995" priority="1557" operator="equal">
      <formula>0</formula>
    </cfRule>
    <cfRule type="cellIs" dxfId="2996" priority="1558" operator="equal">
      <formula>8</formula>
    </cfRule>
    <cfRule type="cellIs" dxfId="2997" priority="1559" operator="greaterThan">
      <formula>8</formula>
    </cfRule>
    <cfRule type="cellIs" dxfId="2998" priority="1560" operator="lessThan">
      <formula>8</formula>
    </cfRule>
  </conditionalFormatting>
  <conditionalFormatting sqref="WW110">
    <cfRule type="cellIs" dxfId="2999" priority="1556" operator="greaterThan">
      <formula>0</formula>
    </cfRule>
  </conditionalFormatting>
  <conditionalFormatting sqref="WU110">
    <cfRule type="cellIs" dxfId="3000" priority="1555" operator="greaterThan">
      <formula>0</formula>
    </cfRule>
    <cfRule type="cellIs" dxfId="3001" priority="1554" operator="equal">
      <formula>0</formula>
    </cfRule>
  </conditionalFormatting>
  <conditionalFormatting sqref="AER110">
    <cfRule type="cellIs" dxfId="3002" priority="1550" operator="equal">
      <formula>0</formula>
    </cfRule>
    <cfRule type="cellIs" dxfId="3003" priority="1551" operator="equal">
      <formula>8</formula>
    </cfRule>
    <cfRule type="cellIs" dxfId="3004" priority="1552" operator="greaterThan">
      <formula>8</formula>
    </cfRule>
    <cfRule type="cellIs" dxfId="3005" priority="1553" operator="lessThan">
      <formula>8</formula>
    </cfRule>
  </conditionalFormatting>
  <conditionalFormatting sqref="ADO110">
    <cfRule type="cellIs" dxfId="3006" priority="1546" operator="equal">
      <formula>0</formula>
    </cfRule>
    <cfRule type="cellIs" dxfId="3007" priority="1547" operator="equal">
      <formula>8</formula>
    </cfRule>
    <cfRule type="cellIs" dxfId="3008" priority="1548" operator="greaterThan">
      <formula>8</formula>
    </cfRule>
    <cfRule type="cellIs" dxfId="3009" priority="1549" operator="lessThan">
      <formula>8</formula>
    </cfRule>
  </conditionalFormatting>
  <conditionalFormatting sqref="AEU110">
    <cfRule type="cellIs" dxfId="3010" priority="1545" operator="greaterThan">
      <formula>0</formula>
    </cfRule>
  </conditionalFormatting>
  <conditionalFormatting sqref="AES110">
    <cfRule type="cellIs" dxfId="3011" priority="1544" operator="greaterThan">
      <formula>0</formula>
    </cfRule>
    <cfRule type="cellIs" dxfId="3012" priority="1543" operator="equal">
      <formula>0</formula>
    </cfRule>
  </conditionalFormatting>
  <conditionalFormatting sqref="ALM110">
    <cfRule type="cellIs" dxfId="3013" priority="1539" operator="equal">
      <formula>0</formula>
    </cfRule>
    <cfRule type="cellIs" dxfId="3014" priority="1540" operator="equal">
      <formula>8</formula>
    </cfRule>
    <cfRule type="cellIs" dxfId="3015" priority="1541" operator="greaterThan">
      <formula>8</formula>
    </cfRule>
    <cfRule type="cellIs" dxfId="3016" priority="1542" operator="lessThan">
      <formula>8</formula>
    </cfRule>
  </conditionalFormatting>
  <conditionalFormatting sqref="AMP110">
    <cfRule type="cellIs" dxfId="3017" priority="1535" operator="equal">
      <formula>0</formula>
    </cfRule>
    <cfRule type="cellIs" dxfId="3018" priority="1536" operator="equal">
      <formula>8</formula>
    </cfRule>
    <cfRule type="cellIs" dxfId="3019" priority="1537" operator="greaterThan">
      <formula>8</formula>
    </cfRule>
    <cfRule type="cellIs" dxfId="3020" priority="1538" operator="lessThan">
      <formula>8</formula>
    </cfRule>
  </conditionalFormatting>
  <conditionalFormatting sqref="AMS110">
    <cfRule type="cellIs" dxfId="3021" priority="1534" operator="greaterThan">
      <formula>0</formula>
    </cfRule>
  </conditionalFormatting>
  <conditionalFormatting sqref="AMQ110">
    <cfRule type="cellIs" dxfId="3022" priority="1533" operator="greaterThan">
      <formula>0</formula>
    </cfRule>
    <cfRule type="cellIs" dxfId="3023" priority="1532" operator="equal">
      <formula>0</formula>
    </cfRule>
  </conditionalFormatting>
  <conditionalFormatting sqref="MP105">
    <cfRule type="cellIs" dxfId="3024" priority="1528" operator="equal">
      <formula>0</formula>
    </cfRule>
    <cfRule type="cellIs" dxfId="3025" priority="1529" operator="equal">
      <formula>8</formula>
    </cfRule>
    <cfRule type="cellIs" dxfId="3026" priority="1530" operator="greaterThan">
      <formula>8</formula>
    </cfRule>
    <cfRule type="cellIs" dxfId="3027" priority="1531" operator="lessThan">
      <formula>8</formula>
    </cfRule>
  </conditionalFormatting>
  <conditionalFormatting sqref="MP107 MP109">
    <cfRule type="cellIs" dxfId="3028" priority="1524" operator="equal">
      <formula>0</formula>
    </cfRule>
    <cfRule type="cellIs" dxfId="3029" priority="1525" operator="equal">
      <formula>8</formula>
    </cfRule>
    <cfRule type="cellIs" dxfId="3030" priority="1526" operator="greaterThan">
      <formula>8</formula>
    </cfRule>
    <cfRule type="cellIs" dxfId="3031" priority="1527" operator="lessThan">
      <formula>8</formula>
    </cfRule>
  </conditionalFormatting>
  <conditionalFormatting sqref="MP115">
    <cfRule type="cellIs" dxfId="3032" priority="1520" operator="equal">
      <formula>0</formula>
    </cfRule>
    <cfRule type="cellIs" dxfId="3033" priority="1521" operator="equal">
      <formula>8</formula>
    </cfRule>
    <cfRule type="cellIs" dxfId="3034" priority="1522" operator="greaterThan">
      <formula>8</formula>
    </cfRule>
    <cfRule type="cellIs" dxfId="3035" priority="1523" operator="lessThan">
      <formula>8</formula>
    </cfRule>
  </conditionalFormatting>
  <conditionalFormatting sqref="MP110">
    <cfRule type="cellIs" dxfId="3036" priority="1516" operator="equal">
      <formula>0</formula>
    </cfRule>
    <cfRule type="cellIs" dxfId="3037" priority="1517" operator="equal">
      <formula>8</formula>
    </cfRule>
    <cfRule type="cellIs" dxfId="3038" priority="1518" operator="greaterThan">
      <formula>8</formula>
    </cfRule>
    <cfRule type="cellIs" dxfId="3039" priority="1519" operator="lessThan">
      <formula>8</formula>
    </cfRule>
  </conditionalFormatting>
  <conditionalFormatting sqref="MP108">
    <cfRule type="cellIs" dxfId="3040" priority="1512" operator="equal">
      <formula>0</formula>
    </cfRule>
    <cfRule type="cellIs" dxfId="3041" priority="1513" operator="equal">
      <formula>8</formula>
    </cfRule>
    <cfRule type="cellIs" dxfId="3042" priority="1514" operator="greaterThan">
      <formula>8</formula>
    </cfRule>
    <cfRule type="cellIs" dxfId="3043" priority="1515" operator="lessThan">
      <formula>8</formula>
    </cfRule>
  </conditionalFormatting>
  <conditionalFormatting sqref="AKJ105">
    <cfRule type="cellIs" dxfId="3044" priority="1508" operator="equal">
      <formula>0</formula>
    </cfRule>
    <cfRule type="cellIs" dxfId="3045" priority="1509" operator="equal">
      <formula>8</formula>
    </cfRule>
    <cfRule type="cellIs" dxfId="3046" priority="1510" operator="greaterThan">
      <formula>8</formula>
    </cfRule>
    <cfRule type="cellIs" dxfId="3047" priority="1511" operator="lessThan">
      <formula>8</formula>
    </cfRule>
  </conditionalFormatting>
  <conditionalFormatting sqref="AKJ104">
    <cfRule type="cellIs" dxfId="3048" priority="1504" operator="equal">
      <formula>0</formula>
    </cfRule>
    <cfRule type="cellIs" dxfId="3049" priority="1505" operator="equal">
      <formula>8</formula>
    </cfRule>
    <cfRule type="cellIs" dxfId="3050" priority="1506" operator="greaterThan">
      <formula>8</formula>
    </cfRule>
    <cfRule type="cellIs" dxfId="3051" priority="1507" operator="lessThan">
      <formula>8</formula>
    </cfRule>
  </conditionalFormatting>
  <conditionalFormatting sqref="AKJ109">
    <cfRule type="cellIs" dxfId="3052" priority="1500" operator="equal">
      <formula>0</formula>
    </cfRule>
    <cfRule type="cellIs" dxfId="3053" priority="1501" operator="equal">
      <formula>8</formula>
    </cfRule>
    <cfRule type="cellIs" dxfId="3054" priority="1502" operator="greaterThan">
      <formula>8</formula>
    </cfRule>
    <cfRule type="cellIs" dxfId="3055" priority="1503" operator="lessThan">
      <formula>8</formula>
    </cfRule>
  </conditionalFormatting>
  <conditionalFormatting sqref="AKJ111">
    <cfRule type="cellIs" dxfId="3056" priority="1496" operator="equal">
      <formula>0</formula>
    </cfRule>
    <cfRule type="cellIs" dxfId="3057" priority="1497" operator="equal">
      <formula>8</formula>
    </cfRule>
    <cfRule type="cellIs" dxfId="3058" priority="1498" operator="greaterThan">
      <formula>8</formula>
    </cfRule>
    <cfRule type="cellIs" dxfId="3059" priority="1499" operator="lessThan">
      <formula>8</formula>
    </cfRule>
  </conditionalFormatting>
  <conditionalFormatting sqref="AKJ115">
    <cfRule type="cellIs" dxfId="3060" priority="1492" operator="equal">
      <formula>0</formula>
    </cfRule>
    <cfRule type="cellIs" dxfId="3061" priority="1493" operator="equal">
      <formula>8</formula>
    </cfRule>
    <cfRule type="cellIs" dxfId="3062" priority="1494" operator="greaterThan">
      <formula>8</formula>
    </cfRule>
    <cfRule type="cellIs" dxfId="3063" priority="1495" operator="lessThan">
      <formula>8</formula>
    </cfRule>
  </conditionalFormatting>
  <conditionalFormatting sqref="AKJ110">
    <cfRule type="cellIs" dxfId="3064" priority="1488" operator="equal">
      <formula>0</formula>
    </cfRule>
    <cfRule type="cellIs" dxfId="3065" priority="1489" operator="equal">
      <formula>8</formula>
    </cfRule>
    <cfRule type="cellIs" dxfId="3066" priority="1490" operator="greaterThan">
      <formula>8</formula>
    </cfRule>
    <cfRule type="cellIs" dxfId="3067" priority="1491" operator="lessThan">
      <formula>8</formula>
    </cfRule>
  </conditionalFormatting>
  <conditionalFormatting sqref="AKJ108">
    <cfRule type="cellIs" dxfId="3068" priority="1484" operator="equal">
      <formula>0</formula>
    </cfRule>
    <cfRule type="cellIs" dxfId="3069" priority="1485" operator="equal">
      <formula>8</formula>
    </cfRule>
    <cfRule type="cellIs" dxfId="3070" priority="1486" operator="greaterThan">
      <formula>8</formula>
    </cfRule>
    <cfRule type="cellIs" dxfId="3071" priority="1487" operator="lessThan">
      <formula>8</formula>
    </cfRule>
  </conditionalFormatting>
  <conditionalFormatting sqref="UN106:UN107">
    <cfRule type="cellIs" dxfId="3072" priority="1480" operator="equal">
      <formula>0</formula>
    </cfRule>
    <cfRule type="cellIs" dxfId="3073" priority="1481" operator="equal">
      <formula>8</formula>
    </cfRule>
    <cfRule type="cellIs" dxfId="3074" priority="1482" operator="greaterThan">
      <formula>8</formula>
    </cfRule>
    <cfRule type="cellIs" dxfId="3075" priority="1483" operator="lessThan">
      <formula>8</formula>
    </cfRule>
  </conditionalFormatting>
  <conditionalFormatting sqref="UN109">
    <cfRule type="cellIs" dxfId="3076" priority="1476" operator="equal">
      <formula>0</formula>
    </cfRule>
    <cfRule type="cellIs" dxfId="3077" priority="1477" operator="equal">
      <formula>8</formula>
    </cfRule>
    <cfRule type="cellIs" dxfId="3078" priority="1478" operator="greaterThan">
      <formula>8</formula>
    </cfRule>
    <cfRule type="cellIs" dxfId="3079" priority="1479" operator="lessThan">
      <formula>8</formula>
    </cfRule>
  </conditionalFormatting>
  <conditionalFormatting sqref="UN111">
    <cfRule type="cellIs" dxfId="3080" priority="1472" operator="equal">
      <formula>0</formula>
    </cfRule>
    <cfRule type="cellIs" dxfId="3081" priority="1473" operator="equal">
      <formula>8</formula>
    </cfRule>
    <cfRule type="cellIs" dxfId="3082" priority="1474" operator="greaterThan">
      <formula>8</formula>
    </cfRule>
    <cfRule type="cellIs" dxfId="3083" priority="1475" operator="lessThan">
      <formula>8</formula>
    </cfRule>
  </conditionalFormatting>
  <conditionalFormatting sqref="UN115">
    <cfRule type="cellIs" dxfId="3084" priority="1468" operator="equal">
      <formula>0</formula>
    </cfRule>
    <cfRule type="cellIs" dxfId="3085" priority="1469" operator="equal">
      <formula>8</formula>
    </cfRule>
    <cfRule type="cellIs" dxfId="3086" priority="1470" operator="greaterThan">
      <formula>8</formula>
    </cfRule>
    <cfRule type="cellIs" dxfId="3087" priority="1471" operator="lessThan">
      <formula>8</formula>
    </cfRule>
  </conditionalFormatting>
  <conditionalFormatting sqref="UN110">
    <cfRule type="cellIs" dxfId="3088" priority="1464" operator="equal">
      <formula>0</formula>
    </cfRule>
    <cfRule type="cellIs" dxfId="3089" priority="1465" operator="equal">
      <formula>8</formula>
    </cfRule>
    <cfRule type="cellIs" dxfId="3090" priority="1466" operator="greaterThan">
      <formula>8</formula>
    </cfRule>
    <cfRule type="cellIs" dxfId="3091" priority="1467" operator="lessThan">
      <formula>8</formula>
    </cfRule>
  </conditionalFormatting>
  <conditionalFormatting sqref="UN108">
    <cfRule type="cellIs" dxfId="3092" priority="1460" operator="equal">
      <formula>0</formula>
    </cfRule>
    <cfRule type="cellIs" dxfId="3093" priority="1461" operator="equal">
      <formula>8</formula>
    </cfRule>
    <cfRule type="cellIs" dxfId="3094" priority="1462" operator="greaterThan">
      <formula>8</formula>
    </cfRule>
    <cfRule type="cellIs" dxfId="3095" priority="1463" operator="lessThan">
      <formula>8</formula>
    </cfRule>
  </conditionalFormatting>
  <conditionalFormatting sqref="UN112">
    <cfRule type="cellIs" dxfId="3096" priority="1456" operator="equal">
      <formula>0</formula>
    </cfRule>
    <cfRule type="cellIs" dxfId="3097" priority="1457" operator="equal">
      <formula>8</formula>
    </cfRule>
    <cfRule type="cellIs" dxfId="3098" priority="1458" operator="greaterThan">
      <formula>8</formula>
    </cfRule>
    <cfRule type="cellIs" dxfId="3099" priority="1459" operator="lessThan">
      <formula>8</formula>
    </cfRule>
  </conditionalFormatting>
  <conditionalFormatting sqref="UN113">
    <cfRule type="cellIs" dxfId="3100" priority="1452" operator="equal">
      <formula>0</formula>
    </cfRule>
    <cfRule type="cellIs" dxfId="3101" priority="1453" operator="equal">
      <formula>8</formula>
    </cfRule>
    <cfRule type="cellIs" dxfId="3102" priority="1454" operator="greaterThan">
      <formula>8</formula>
    </cfRule>
    <cfRule type="cellIs" dxfId="3103" priority="1455" operator="lessThan">
      <formula>8</formula>
    </cfRule>
  </conditionalFormatting>
  <conditionalFormatting sqref="ACL105">
    <cfRule type="cellIs" dxfId="3104" priority="1448" operator="equal">
      <formula>0</formula>
    </cfRule>
    <cfRule type="cellIs" dxfId="3105" priority="1449" operator="equal">
      <formula>8</formula>
    </cfRule>
    <cfRule type="cellIs" dxfId="3106" priority="1450" operator="greaterThan">
      <formula>8</formula>
    </cfRule>
    <cfRule type="cellIs" dxfId="3107" priority="1451" operator="lessThan">
      <formula>8</formula>
    </cfRule>
  </conditionalFormatting>
  <conditionalFormatting sqref="ACL104">
    <cfRule type="cellIs" dxfId="3108" priority="1444" operator="equal">
      <formula>0</formula>
    </cfRule>
    <cfRule type="cellIs" dxfId="3109" priority="1445" operator="equal">
      <formula>8</formula>
    </cfRule>
    <cfRule type="cellIs" dxfId="3110" priority="1446" operator="greaterThan">
      <formula>8</formula>
    </cfRule>
    <cfRule type="cellIs" dxfId="3111" priority="1447" operator="lessThan">
      <formula>8</formula>
    </cfRule>
  </conditionalFormatting>
  <conditionalFormatting sqref="ACL107 ACL109">
    <cfRule type="cellIs" dxfId="3112" priority="1440" operator="equal">
      <formula>0</formula>
    </cfRule>
    <cfRule type="cellIs" dxfId="3113" priority="1441" operator="equal">
      <formula>8</formula>
    </cfRule>
    <cfRule type="cellIs" dxfId="3114" priority="1442" operator="greaterThan">
      <formula>8</formula>
    </cfRule>
    <cfRule type="cellIs" dxfId="3115" priority="1443" operator="lessThan">
      <formula>8</formula>
    </cfRule>
  </conditionalFormatting>
  <conditionalFormatting sqref="ACL111">
    <cfRule type="cellIs" dxfId="3116" priority="1436" operator="equal">
      <formula>0</formula>
    </cfRule>
    <cfRule type="cellIs" dxfId="3117" priority="1437" operator="equal">
      <formula>8</formula>
    </cfRule>
    <cfRule type="cellIs" dxfId="3118" priority="1438" operator="greaterThan">
      <formula>8</formula>
    </cfRule>
    <cfRule type="cellIs" dxfId="3119" priority="1439" operator="lessThan">
      <formula>8</formula>
    </cfRule>
  </conditionalFormatting>
  <conditionalFormatting sqref="ACL115">
    <cfRule type="cellIs" dxfId="3120" priority="1432" operator="equal">
      <formula>0</formula>
    </cfRule>
    <cfRule type="cellIs" dxfId="3121" priority="1433" operator="equal">
      <formula>8</formula>
    </cfRule>
    <cfRule type="cellIs" dxfId="3122" priority="1434" operator="greaterThan">
      <formula>8</formula>
    </cfRule>
    <cfRule type="cellIs" dxfId="3123" priority="1435" operator="lessThan">
      <formula>8</formula>
    </cfRule>
  </conditionalFormatting>
  <conditionalFormatting sqref="ACL110">
    <cfRule type="cellIs" dxfId="3124" priority="1428" operator="equal">
      <formula>0</formula>
    </cfRule>
    <cfRule type="cellIs" dxfId="3125" priority="1429" operator="equal">
      <formula>8</formula>
    </cfRule>
    <cfRule type="cellIs" dxfId="3126" priority="1430" operator="greaterThan">
      <formula>8</formula>
    </cfRule>
    <cfRule type="cellIs" dxfId="3127" priority="1431" operator="lessThan">
      <formula>8</formula>
    </cfRule>
  </conditionalFormatting>
  <conditionalFormatting sqref="ACL108">
    <cfRule type="cellIs" dxfId="3128" priority="1424" operator="equal">
      <formula>0</formula>
    </cfRule>
    <cfRule type="cellIs" dxfId="3129" priority="1425" operator="equal">
      <formula>8</formula>
    </cfRule>
    <cfRule type="cellIs" dxfId="3130" priority="1426" operator="greaterThan">
      <formula>8</formula>
    </cfRule>
    <cfRule type="cellIs" dxfId="3131" priority="1427" operator="lessThan">
      <formula>8</formula>
    </cfRule>
  </conditionalFormatting>
  <conditionalFormatting sqref="ACL112">
    <cfRule type="cellIs" dxfId="3132" priority="1420" operator="equal">
      <formula>0</formula>
    </cfRule>
    <cfRule type="cellIs" dxfId="3133" priority="1421" operator="equal">
      <formula>8</formula>
    </cfRule>
    <cfRule type="cellIs" dxfId="3134" priority="1422" operator="greaterThan">
      <formula>8</formula>
    </cfRule>
    <cfRule type="cellIs" dxfId="3135" priority="1423" operator="lessThan">
      <formula>8</formula>
    </cfRule>
  </conditionalFormatting>
  <conditionalFormatting sqref="ACL113">
    <cfRule type="cellIs" dxfId="3136" priority="1416" operator="equal">
      <formula>0</formula>
    </cfRule>
    <cfRule type="cellIs" dxfId="3137" priority="1417" operator="equal">
      <formula>8</formula>
    </cfRule>
    <cfRule type="cellIs" dxfId="3138" priority="1418" operator="greaterThan">
      <formula>8</formula>
    </cfRule>
    <cfRule type="cellIs" dxfId="3139" priority="1419" operator="lessThan">
      <formula>8</formula>
    </cfRule>
  </conditionalFormatting>
  <conditionalFormatting sqref="FU112:FU113">
    <cfRule type="cellIs" dxfId="3140" priority="1412" operator="equal">
      <formula>0</formula>
    </cfRule>
    <cfRule type="cellIs" dxfId="3141" priority="1413" operator="equal">
      <formula>8</formula>
    </cfRule>
    <cfRule type="cellIs" dxfId="3142" priority="1414" operator="greaterThan">
      <formula>8</formula>
    </cfRule>
    <cfRule type="cellIs" dxfId="3143" priority="1415" operator="lessThan">
      <formula>8</formula>
    </cfRule>
  </conditionalFormatting>
  <conditionalFormatting sqref="GX112">
    <cfRule type="cellIs" dxfId="3144" priority="1408" operator="equal">
      <formula>0</formula>
    </cfRule>
    <cfRule type="cellIs" dxfId="3145" priority="1409" operator="equal">
      <formula>8</formula>
    </cfRule>
    <cfRule type="cellIs" dxfId="3146" priority="1410" operator="greaterThan">
      <formula>8</formula>
    </cfRule>
    <cfRule type="cellIs" dxfId="3147" priority="1411" operator="lessThan">
      <formula>8</formula>
    </cfRule>
  </conditionalFormatting>
  <conditionalFormatting sqref="GX113">
    <cfRule type="cellIs" dxfId="3148" priority="1404" operator="equal">
      <formula>0</formula>
    </cfRule>
    <cfRule type="cellIs" dxfId="3149" priority="1405" operator="equal">
      <formula>8</formula>
    </cfRule>
    <cfRule type="cellIs" dxfId="3150" priority="1406" operator="greaterThan">
      <formula>8</formula>
    </cfRule>
    <cfRule type="cellIs" dxfId="3151" priority="1407" operator="lessThan">
      <formula>8</formula>
    </cfRule>
  </conditionalFormatting>
  <conditionalFormatting sqref="FU114">
    <cfRule type="cellIs" dxfId="3152" priority="1400" operator="equal">
      <formula>0</formula>
    </cfRule>
    <cfRule type="cellIs" dxfId="3153" priority="1401" operator="equal">
      <formula>8</formula>
    </cfRule>
    <cfRule type="cellIs" dxfId="3154" priority="1402" operator="greaterThan">
      <formula>8</formula>
    </cfRule>
    <cfRule type="cellIs" dxfId="3155" priority="1403" operator="lessThan">
      <formula>8</formula>
    </cfRule>
  </conditionalFormatting>
  <conditionalFormatting sqref="FU104:FU105 FU108 GX104:GX105 GX108">
    <cfRule type="cellIs" dxfId="3156" priority="1396" operator="equal">
      <formula>0</formula>
    </cfRule>
    <cfRule type="cellIs" dxfId="3157" priority="1397" operator="equal">
      <formula>8</formula>
    </cfRule>
    <cfRule type="cellIs" dxfId="3158" priority="1398" operator="greaterThan">
      <formula>8</formula>
    </cfRule>
    <cfRule type="cellIs" dxfId="3159" priority="1399" operator="lessThan">
      <formula>8</formula>
    </cfRule>
  </conditionalFormatting>
  <conditionalFormatting sqref="FU106:FU107 FU109 FU111 GX106:GX107 GX109 GX111">
    <cfRule type="cellIs" dxfId="3160" priority="1392" operator="equal">
      <formula>0</formula>
    </cfRule>
    <cfRule type="cellIs" dxfId="3161" priority="1393" operator="equal">
      <formula>8</formula>
    </cfRule>
    <cfRule type="cellIs" dxfId="3162" priority="1394" operator="greaterThan">
      <formula>8</formula>
    </cfRule>
    <cfRule type="cellIs" dxfId="3163" priority="1395" operator="lessThan">
      <formula>8</formula>
    </cfRule>
  </conditionalFormatting>
  <conditionalFormatting sqref="GX114">
    <cfRule type="cellIs" dxfId="3164" priority="1388" operator="equal">
      <formula>0</formula>
    </cfRule>
    <cfRule type="cellIs" dxfId="3165" priority="1389" operator="equal">
      <formula>8</formula>
    </cfRule>
    <cfRule type="cellIs" dxfId="3166" priority="1390" operator="greaterThan">
      <formula>8</formula>
    </cfRule>
    <cfRule type="cellIs" dxfId="3167" priority="1391" operator="lessThan">
      <formula>8</formula>
    </cfRule>
  </conditionalFormatting>
  <conditionalFormatting sqref="FU115">
    <cfRule type="cellIs" dxfId="3168" priority="1384" operator="equal">
      <formula>0</formula>
    </cfRule>
    <cfRule type="cellIs" dxfId="3169" priority="1385" operator="equal">
      <formula>8</formula>
    </cfRule>
    <cfRule type="cellIs" dxfId="3170" priority="1386" operator="greaterThan">
      <formula>8</formula>
    </cfRule>
    <cfRule type="cellIs" dxfId="3171" priority="1387" operator="lessThan">
      <formula>8</formula>
    </cfRule>
  </conditionalFormatting>
  <conditionalFormatting sqref="GX115">
    <cfRule type="cellIs" dxfId="3172" priority="1380" operator="equal">
      <formula>0</formula>
    </cfRule>
    <cfRule type="cellIs" dxfId="3173" priority="1381" operator="equal">
      <formula>8</formula>
    </cfRule>
    <cfRule type="cellIs" dxfId="3174" priority="1382" operator="greaterThan">
      <formula>8</formula>
    </cfRule>
    <cfRule type="cellIs" dxfId="3175" priority="1383" operator="lessThan">
      <formula>8</formula>
    </cfRule>
  </conditionalFormatting>
  <conditionalFormatting sqref="FU110">
    <cfRule type="cellIs" dxfId="3176" priority="1376" operator="equal">
      <formula>0</formula>
    </cfRule>
    <cfRule type="cellIs" dxfId="3177" priority="1377" operator="equal">
      <formula>8</formula>
    </cfRule>
    <cfRule type="cellIs" dxfId="3178" priority="1378" operator="greaterThan">
      <formula>8</formula>
    </cfRule>
    <cfRule type="cellIs" dxfId="3179" priority="1379" operator="lessThan">
      <formula>8</formula>
    </cfRule>
  </conditionalFormatting>
  <conditionalFormatting sqref="GX110">
    <cfRule type="cellIs" dxfId="3180" priority="1372" operator="equal">
      <formula>0</formula>
    </cfRule>
    <cfRule type="cellIs" dxfId="3181" priority="1373" operator="equal">
      <formula>8</formula>
    </cfRule>
    <cfRule type="cellIs" dxfId="3182" priority="1374" operator="greaterThan">
      <formula>8</formula>
    </cfRule>
    <cfRule type="cellIs" dxfId="3183" priority="1375" operator="lessThan">
      <formula>8</formula>
    </cfRule>
  </conditionalFormatting>
  <conditionalFormatting sqref="OX113">
    <cfRule type="cellIs" dxfId="3184" priority="1371" operator="greaterThan">
      <formula>0</formula>
    </cfRule>
    <cfRule type="cellIs" dxfId="3185" priority="1370" operator="equal">
      <formula>0</formula>
    </cfRule>
  </conditionalFormatting>
  <conditionalFormatting sqref="OX112">
    <cfRule type="cellIs" dxfId="3186" priority="1369" operator="greaterThan">
      <formula>0</formula>
    </cfRule>
    <cfRule type="cellIs" dxfId="3187" priority="1368" operator="equal">
      <formula>0</formula>
    </cfRule>
  </conditionalFormatting>
  <conditionalFormatting sqref="OX104:OX105 OX108">
    <cfRule type="cellIs" dxfId="3188" priority="1367" operator="greaterThan">
      <formula>0</formula>
    </cfRule>
    <cfRule type="cellIs" dxfId="3189" priority="1366" operator="equal">
      <formula>0</formula>
    </cfRule>
  </conditionalFormatting>
  <conditionalFormatting sqref="OX106:OX107 OX109 OX111">
    <cfRule type="cellIs" dxfId="3190" priority="1365" operator="greaterThan">
      <formula>0</formula>
    </cfRule>
    <cfRule type="cellIs" dxfId="3191" priority="1364" operator="equal">
      <formula>0</formula>
    </cfRule>
  </conditionalFormatting>
  <conditionalFormatting sqref="OX114">
    <cfRule type="cellIs" dxfId="3192" priority="1363" operator="greaterThan">
      <formula>0</formula>
    </cfRule>
    <cfRule type="cellIs" dxfId="3193" priority="1362" operator="equal">
      <formula>0</formula>
    </cfRule>
  </conditionalFormatting>
  <conditionalFormatting sqref="OX115">
    <cfRule type="cellIs" dxfId="3194" priority="1361" operator="greaterThan">
      <formula>0</formula>
    </cfRule>
    <cfRule type="cellIs" dxfId="3195" priority="1360" operator="equal">
      <formula>0</formula>
    </cfRule>
  </conditionalFormatting>
  <conditionalFormatting sqref="OX110">
    <cfRule type="cellIs" dxfId="3196" priority="1359" operator="greaterThan">
      <formula>0</formula>
    </cfRule>
    <cfRule type="cellIs" dxfId="3197" priority="1358" operator="equal">
      <formula>0</formula>
    </cfRule>
  </conditionalFormatting>
  <conditionalFormatting sqref="WV113">
    <cfRule type="cellIs" dxfId="3198" priority="1357" operator="greaterThan">
      <formula>0</formula>
    </cfRule>
    <cfRule type="cellIs" dxfId="3199" priority="1356" operator="equal">
      <formula>0</formula>
    </cfRule>
  </conditionalFormatting>
  <conditionalFormatting sqref="WV112">
    <cfRule type="cellIs" dxfId="3200" priority="1355" operator="greaterThan">
      <formula>0</formula>
    </cfRule>
    <cfRule type="cellIs" dxfId="3201" priority="1354" operator="equal">
      <formula>0</formula>
    </cfRule>
  </conditionalFormatting>
  <conditionalFormatting sqref="WV104:WV105 WV108">
    <cfRule type="cellIs" dxfId="3202" priority="1353" operator="greaterThan">
      <formula>0</formula>
    </cfRule>
    <cfRule type="cellIs" dxfId="3203" priority="1352" operator="equal">
      <formula>0</formula>
    </cfRule>
  </conditionalFormatting>
  <conditionalFormatting sqref="WV106:WV107 WV109 WV111">
    <cfRule type="cellIs" dxfId="3204" priority="1351" operator="greaterThan">
      <formula>0</formula>
    </cfRule>
    <cfRule type="cellIs" dxfId="3205" priority="1350" operator="equal">
      <formula>0</formula>
    </cfRule>
  </conditionalFormatting>
  <conditionalFormatting sqref="WV114">
    <cfRule type="cellIs" dxfId="3206" priority="1349" operator="greaterThan">
      <formula>0</formula>
    </cfRule>
    <cfRule type="cellIs" dxfId="3207" priority="1348" operator="equal">
      <formula>0</formula>
    </cfRule>
  </conditionalFormatting>
  <conditionalFormatting sqref="WV115">
    <cfRule type="cellIs" dxfId="3208" priority="1347" operator="greaterThan">
      <formula>0</formula>
    </cfRule>
    <cfRule type="cellIs" dxfId="3209" priority="1346" operator="equal">
      <formula>0</formula>
    </cfRule>
  </conditionalFormatting>
  <conditionalFormatting sqref="WV110">
    <cfRule type="cellIs" dxfId="3210" priority="1345" operator="greaterThan">
      <formula>0</formula>
    </cfRule>
    <cfRule type="cellIs" dxfId="3211" priority="1344" operator="equal">
      <formula>0</formula>
    </cfRule>
  </conditionalFormatting>
  <conditionalFormatting sqref="AET113">
    <cfRule type="cellIs" dxfId="3212" priority="1343" operator="greaterThan">
      <formula>0</formula>
    </cfRule>
    <cfRule type="cellIs" dxfId="3213" priority="1342" operator="equal">
      <formula>0</formula>
    </cfRule>
  </conditionalFormatting>
  <conditionalFormatting sqref="AET112">
    <cfRule type="cellIs" dxfId="3214" priority="1341" operator="greaterThan">
      <formula>0</formula>
    </cfRule>
    <cfRule type="cellIs" dxfId="3215" priority="1340" operator="equal">
      <formula>0</formula>
    </cfRule>
  </conditionalFormatting>
  <conditionalFormatting sqref="AET104:AET105 AET108">
    <cfRule type="cellIs" dxfId="3216" priority="1339" operator="greaterThan">
      <formula>0</formula>
    </cfRule>
    <cfRule type="cellIs" dxfId="3217" priority="1338" operator="equal">
      <formula>0</formula>
    </cfRule>
  </conditionalFormatting>
  <conditionalFormatting sqref="AET106:AET107 AET109 AET111">
    <cfRule type="cellIs" dxfId="3218" priority="1337" operator="greaterThan">
      <formula>0</formula>
    </cfRule>
    <cfRule type="cellIs" dxfId="3219" priority="1336" operator="equal">
      <formula>0</formula>
    </cfRule>
  </conditionalFormatting>
  <conditionalFormatting sqref="AET114">
    <cfRule type="cellIs" dxfId="3220" priority="1335" operator="greaterThan">
      <formula>0</formula>
    </cfRule>
    <cfRule type="cellIs" dxfId="3221" priority="1334" operator="equal">
      <formula>0</formula>
    </cfRule>
  </conditionalFormatting>
  <conditionalFormatting sqref="AET115">
    <cfRule type="cellIs" dxfId="3222" priority="1333" operator="greaterThan">
      <formula>0</formula>
    </cfRule>
    <cfRule type="cellIs" dxfId="3223" priority="1332" operator="equal">
      <formula>0</formula>
    </cfRule>
  </conditionalFormatting>
  <conditionalFormatting sqref="AET110">
    <cfRule type="cellIs" dxfId="3224" priority="1331" operator="greaterThan">
      <formula>0</formula>
    </cfRule>
    <cfRule type="cellIs" dxfId="3225" priority="1330" operator="equal">
      <formula>0</formula>
    </cfRule>
  </conditionalFormatting>
  <conditionalFormatting sqref="AMR113">
    <cfRule type="cellIs" dxfId="3226" priority="1329" operator="greaterThan">
      <formula>0</formula>
    </cfRule>
    <cfRule type="cellIs" dxfId="3227" priority="1328" operator="equal">
      <formula>0</formula>
    </cfRule>
  </conditionalFormatting>
  <conditionalFormatting sqref="AMR112">
    <cfRule type="cellIs" dxfId="3228" priority="1327" operator="greaterThan">
      <formula>0</formula>
    </cfRule>
    <cfRule type="cellIs" dxfId="3229" priority="1326" operator="equal">
      <formula>0</formula>
    </cfRule>
  </conditionalFormatting>
  <conditionalFormatting sqref="AMR104:AMR105 AMR108">
    <cfRule type="cellIs" dxfId="3230" priority="1325" operator="greaterThan">
      <formula>0</formula>
    </cfRule>
    <cfRule type="cellIs" dxfId="3231" priority="1324" operator="equal">
      <formula>0</formula>
    </cfRule>
  </conditionalFormatting>
  <conditionalFormatting sqref="AMR106:AMR107 AMR109 AMR111">
    <cfRule type="cellIs" dxfId="3232" priority="1323" operator="greaterThan">
      <formula>0</formula>
    </cfRule>
    <cfRule type="cellIs" dxfId="3233" priority="1322" operator="equal">
      <formula>0</formula>
    </cfRule>
  </conditionalFormatting>
  <conditionalFormatting sqref="AMR114">
    <cfRule type="cellIs" dxfId="3234" priority="1321" operator="greaterThan">
      <formula>0</formula>
    </cfRule>
    <cfRule type="cellIs" dxfId="3235" priority="1320" operator="equal">
      <formula>0</formula>
    </cfRule>
  </conditionalFormatting>
  <conditionalFormatting sqref="AMR115">
    <cfRule type="cellIs" dxfId="3236" priority="1319" operator="greaterThan">
      <formula>0</formula>
    </cfRule>
    <cfRule type="cellIs" dxfId="3237" priority="1318" operator="equal">
      <formula>0</formula>
    </cfRule>
  </conditionalFormatting>
  <conditionalFormatting sqref="AMR110">
    <cfRule type="cellIs" dxfId="3238" priority="1317" operator="greaterThan">
      <formula>0</formula>
    </cfRule>
    <cfRule type="cellIs" dxfId="3239" priority="1316" operator="equal">
      <formula>0</formula>
    </cfRule>
  </conditionalFormatting>
  <conditionalFormatting sqref="ACL106">
    <cfRule type="cellIs" dxfId="3240" priority="1312" operator="equal">
      <formula>0</formula>
    </cfRule>
    <cfRule type="cellIs" dxfId="3241" priority="1313" operator="equal">
      <formula>8</formula>
    </cfRule>
    <cfRule type="cellIs" dxfId="3242" priority="1314" operator="greaterThan">
      <formula>8</formula>
    </cfRule>
    <cfRule type="cellIs" dxfId="3243" priority="1315" operator="lessThan">
      <formula>8</formula>
    </cfRule>
  </conditionalFormatting>
  <conditionalFormatting sqref="AKJ107">
    <cfRule type="cellIs" dxfId="3244" priority="1304" operator="equal">
      <formula>0</formula>
    </cfRule>
    <cfRule type="cellIs" dxfId="3245" priority="1305" operator="equal">
      <formula>8</formula>
    </cfRule>
    <cfRule type="cellIs" dxfId="3246" priority="1306" operator="greaterThan">
      <formula>8</formula>
    </cfRule>
    <cfRule type="cellIs" dxfId="3247" priority="1307" operator="lessThan">
      <formula>8</formula>
    </cfRule>
  </conditionalFormatting>
  <conditionalFormatting sqref="UN114">
    <cfRule type="cellIs" dxfId="3248" priority="1300" operator="equal">
      <formula>0</formula>
    </cfRule>
    <cfRule type="cellIs" dxfId="3249" priority="1301" operator="equal">
      <formula>8</formula>
    </cfRule>
    <cfRule type="cellIs" dxfId="3250" priority="1302" operator="greaterThan">
      <formula>8</formula>
    </cfRule>
    <cfRule type="cellIs" dxfId="3251" priority="1303" operator="lessThan">
      <formula>8</formula>
    </cfRule>
  </conditionalFormatting>
  <conditionalFormatting sqref="MP106">
    <cfRule type="cellIs" dxfId="3252" priority="1296" operator="equal">
      <formula>0</formula>
    </cfRule>
    <cfRule type="cellIs" dxfId="3253" priority="1297" operator="equal">
      <formula>8</formula>
    </cfRule>
    <cfRule type="cellIs" dxfId="3254" priority="1298" operator="greaterThan">
      <formula>8</formula>
    </cfRule>
    <cfRule type="cellIs" dxfId="3255" priority="1299" operator="lessThan">
      <formula>8</formula>
    </cfRule>
  </conditionalFormatting>
  <conditionalFormatting sqref="AKJ114">
    <cfRule type="cellIs" dxfId="3256" priority="1292" operator="equal">
      <formula>0</formula>
    </cfRule>
    <cfRule type="cellIs" dxfId="3257" priority="1293" operator="equal">
      <formula>8</formula>
    </cfRule>
    <cfRule type="cellIs" dxfId="3258" priority="1294" operator="greaterThan">
      <formula>8</formula>
    </cfRule>
    <cfRule type="cellIs" dxfId="3259" priority="1295" operator="lessThan">
      <formula>8</formula>
    </cfRule>
  </conditionalFormatting>
  <conditionalFormatting sqref="ER113">
    <cfRule type="cellIs" dxfId="3260" priority="1284" operator="equal">
      <formula>0</formula>
    </cfRule>
    <cfRule type="cellIs" dxfId="3261" priority="1285" operator="equal">
      <formula>8</formula>
    </cfRule>
    <cfRule type="cellIs" dxfId="3262" priority="1286" operator="greaterThan">
      <formula>8</formula>
    </cfRule>
    <cfRule type="cellIs" dxfId="3263" priority="1287" operator="lessThan">
      <formula>8</formula>
    </cfRule>
  </conditionalFormatting>
  <conditionalFormatting sqref="ER112">
    <cfRule type="cellIs" dxfId="3264" priority="1280" operator="equal">
      <formula>0</formula>
    </cfRule>
    <cfRule type="cellIs" dxfId="3265" priority="1281" operator="equal">
      <formula>8</formula>
    </cfRule>
    <cfRule type="cellIs" dxfId="3266" priority="1282" operator="greaterThan">
      <formula>8</formula>
    </cfRule>
    <cfRule type="cellIs" dxfId="3267" priority="1283" operator="lessThan">
      <formula>8</formula>
    </cfRule>
  </conditionalFormatting>
  <conditionalFormatting sqref="ER105">
    <cfRule type="cellIs" dxfId="3268" priority="1276" operator="equal">
      <formula>0</formula>
    </cfRule>
    <cfRule type="cellIs" dxfId="3269" priority="1277" operator="equal">
      <formula>8</formula>
    </cfRule>
    <cfRule type="cellIs" dxfId="3270" priority="1278" operator="greaterThan">
      <formula>8</formula>
    </cfRule>
    <cfRule type="cellIs" dxfId="3271" priority="1279" operator="lessThan">
      <formula>8</formula>
    </cfRule>
  </conditionalFormatting>
  <conditionalFormatting sqref="ER104">
    <cfRule type="cellIs" dxfId="3272" priority="1272" operator="equal">
      <formula>0</formula>
    </cfRule>
    <cfRule type="cellIs" dxfId="3273" priority="1273" operator="equal">
      <formula>8</formula>
    </cfRule>
    <cfRule type="cellIs" dxfId="3274" priority="1274" operator="greaterThan">
      <formula>8</formula>
    </cfRule>
    <cfRule type="cellIs" dxfId="3275" priority="1275" operator="lessThan">
      <formula>8</formula>
    </cfRule>
  </conditionalFormatting>
  <conditionalFormatting sqref="ER109">
    <cfRule type="cellIs" dxfId="3276" priority="1268" operator="equal">
      <formula>0</formula>
    </cfRule>
    <cfRule type="cellIs" dxfId="3277" priority="1269" operator="equal">
      <formula>8</formula>
    </cfRule>
    <cfRule type="cellIs" dxfId="3278" priority="1270" operator="greaterThan">
      <formula>8</formula>
    </cfRule>
    <cfRule type="cellIs" dxfId="3279" priority="1271" operator="lessThan">
      <formula>8</formula>
    </cfRule>
  </conditionalFormatting>
  <conditionalFormatting sqref="ER111">
    <cfRule type="cellIs" dxfId="3280" priority="1264" operator="equal">
      <formula>0</formula>
    </cfRule>
    <cfRule type="cellIs" dxfId="3281" priority="1265" operator="equal">
      <formula>8</formula>
    </cfRule>
    <cfRule type="cellIs" dxfId="3282" priority="1266" operator="greaterThan">
      <formula>8</formula>
    </cfRule>
    <cfRule type="cellIs" dxfId="3283" priority="1267" operator="lessThan">
      <formula>8</formula>
    </cfRule>
  </conditionalFormatting>
  <conditionalFormatting sqref="ER115">
    <cfRule type="cellIs" dxfId="3284" priority="1260" operator="equal">
      <formula>0</formula>
    </cfRule>
    <cfRule type="cellIs" dxfId="3285" priority="1261" operator="equal">
      <formula>8</formula>
    </cfRule>
    <cfRule type="cellIs" dxfId="3286" priority="1262" operator="greaterThan">
      <formula>8</formula>
    </cfRule>
    <cfRule type="cellIs" dxfId="3287" priority="1263" operator="lessThan">
      <formula>8</formula>
    </cfRule>
  </conditionalFormatting>
  <conditionalFormatting sqref="ER110">
    <cfRule type="cellIs" dxfId="3288" priority="1256" operator="equal">
      <formula>0</formula>
    </cfRule>
    <cfRule type="cellIs" dxfId="3289" priority="1257" operator="equal">
      <formula>8</formula>
    </cfRule>
    <cfRule type="cellIs" dxfId="3290" priority="1258" operator="greaterThan">
      <formula>8</formula>
    </cfRule>
    <cfRule type="cellIs" dxfId="3291" priority="1259" operator="lessThan">
      <formula>8</formula>
    </cfRule>
  </conditionalFormatting>
  <conditionalFormatting sqref="ER108">
    <cfRule type="cellIs" dxfId="3292" priority="1252" operator="equal">
      <formula>0</formula>
    </cfRule>
    <cfRule type="cellIs" dxfId="3293" priority="1253" operator="equal">
      <formula>8</formula>
    </cfRule>
    <cfRule type="cellIs" dxfId="3294" priority="1254" operator="greaterThan">
      <formula>8</formula>
    </cfRule>
    <cfRule type="cellIs" dxfId="3295" priority="1255" operator="lessThan">
      <formula>8</formula>
    </cfRule>
  </conditionalFormatting>
  <conditionalFormatting sqref="ER106">
    <cfRule type="cellIs" dxfId="3296" priority="1248" operator="equal">
      <formula>0</formula>
    </cfRule>
    <cfRule type="cellIs" dxfId="3297" priority="1249" operator="equal">
      <formula>8</formula>
    </cfRule>
    <cfRule type="cellIs" dxfId="3298" priority="1250" operator="greaterThan">
      <formula>8</formula>
    </cfRule>
    <cfRule type="cellIs" dxfId="3299" priority="1251" operator="lessThan">
      <formula>8</formula>
    </cfRule>
  </conditionalFormatting>
  <conditionalFormatting sqref="ER107">
    <cfRule type="cellIs" dxfId="3300" priority="1244" operator="equal">
      <formula>0</formula>
    </cfRule>
    <cfRule type="cellIs" dxfId="3301" priority="1245" operator="equal">
      <formula>8</formula>
    </cfRule>
    <cfRule type="cellIs" dxfId="3302" priority="1246" operator="greaterThan">
      <formula>8</formula>
    </cfRule>
    <cfRule type="cellIs" dxfId="3303" priority="1247" operator="lessThan">
      <formula>8</formula>
    </cfRule>
  </conditionalFormatting>
  <conditionalFormatting sqref="ER114">
    <cfRule type="cellIs" dxfId="3304" priority="1240" operator="equal">
      <formula>0</formula>
    </cfRule>
    <cfRule type="cellIs" dxfId="3305" priority="1241" operator="equal">
      <formula>8</formula>
    </cfRule>
    <cfRule type="cellIs" dxfId="3306" priority="1242" operator="greaterThan">
      <formula>8</formula>
    </cfRule>
    <cfRule type="cellIs" dxfId="3307" priority="1243" operator="lessThan">
      <formula>8</formula>
    </cfRule>
  </conditionalFormatting>
  <conditionalFormatting sqref="ACL114">
    <cfRule type="cellIs" dxfId="3308" priority="1236" operator="equal">
      <formula>0</formula>
    </cfRule>
    <cfRule type="cellIs" dxfId="3309" priority="1237" operator="equal">
      <formula>8</formula>
    </cfRule>
    <cfRule type="cellIs" dxfId="3310" priority="1238" operator="greaterThan">
      <formula>8</formula>
    </cfRule>
    <cfRule type="cellIs" dxfId="3311" priority="1239" operator="lessThan">
      <formula>8</formula>
    </cfRule>
  </conditionalFormatting>
  <conditionalFormatting sqref="MP114">
    <cfRule type="cellIs" dxfId="3312" priority="1232" operator="equal">
      <formula>0</formula>
    </cfRule>
    <cfRule type="cellIs" dxfId="3313" priority="1233" operator="equal">
      <formula>8</formula>
    </cfRule>
    <cfRule type="cellIs" dxfId="3314" priority="1234" operator="greaterThan">
      <formula>8</formula>
    </cfRule>
    <cfRule type="cellIs" dxfId="3315" priority="1235" operator="lessThan">
      <formula>8</formula>
    </cfRule>
  </conditionalFormatting>
  <conditionalFormatting sqref="AF105 BI105 CL105 DO105">
    <cfRule type="cellIs" dxfId="3316" priority="1228" operator="equal">
      <formula>0</formula>
    </cfRule>
    <cfRule type="cellIs" dxfId="3317" priority="1229" operator="equal">
      <formula>8</formula>
    </cfRule>
    <cfRule type="cellIs" dxfId="3318" priority="1230" operator="greaterThan">
      <formula>8</formula>
    </cfRule>
    <cfRule type="cellIs" dxfId="3319" priority="1231" operator="lessThan">
      <formula>8</formula>
    </cfRule>
  </conditionalFormatting>
  <conditionalFormatting sqref="AF104 BI104 CL104 DO104">
    <cfRule type="cellIs" dxfId="3320" priority="1224" operator="equal">
      <formula>0</formula>
    </cfRule>
    <cfRule type="cellIs" dxfId="3321" priority="1225" operator="equal">
      <formula>8</formula>
    </cfRule>
    <cfRule type="cellIs" dxfId="3322" priority="1226" operator="greaterThan">
      <formula>8</formula>
    </cfRule>
    <cfRule type="cellIs" dxfId="3323" priority="1227" operator="lessThan">
      <formula>8</formula>
    </cfRule>
  </conditionalFormatting>
  <conditionalFormatting sqref="AF106 BI106 CL106 DO106">
    <cfRule type="cellIs" dxfId="3324" priority="1220" operator="equal">
      <formula>0</formula>
    </cfRule>
    <cfRule type="cellIs" dxfId="3325" priority="1221" operator="equal">
      <formula>8</formula>
    </cfRule>
    <cfRule type="cellIs" dxfId="3326" priority="1222" operator="greaterThan">
      <formula>8</formula>
    </cfRule>
    <cfRule type="cellIs" dxfId="3327" priority="1223" operator="lessThan">
      <formula>8</formula>
    </cfRule>
  </conditionalFormatting>
  <conditionalFormatting sqref="AF109 BI109 CL109 DO109">
    <cfRule type="cellIs" dxfId="3328" priority="1216" operator="equal">
      <formula>0</formula>
    </cfRule>
    <cfRule type="cellIs" dxfId="3329" priority="1217" operator="equal">
      <formula>8</formula>
    </cfRule>
    <cfRule type="cellIs" dxfId="3330" priority="1218" operator="greaterThan">
      <formula>8</formula>
    </cfRule>
    <cfRule type="cellIs" dxfId="3331" priority="1219" operator="lessThan">
      <formula>8</formula>
    </cfRule>
  </conditionalFormatting>
  <conditionalFormatting sqref="AF107 BI107 CL107 DO107">
    <cfRule type="cellIs" dxfId="3332" priority="1212" operator="equal">
      <formula>0</formula>
    </cfRule>
    <cfRule type="cellIs" dxfId="3333" priority="1213" operator="equal">
      <formula>8</formula>
    </cfRule>
    <cfRule type="cellIs" dxfId="3334" priority="1214" operator="greaterThan">
      <formula>8</formula>
    </cfRule>
    <cfRule type="cellIs" dxfId="3335" priority="1215" operator="lessThan">
      <formula>8</formula>
    </cfRule>
  </conditionalFormatting>
  <conditionalFormatting sqref="AF114 BI114 CL114 DO114">
    <cfRule type="cellIs" dxfId="3336" priority="1208" operator="equal">
      <formula>0</formula>
    </cfRule>
    <cfRule type="cellIs" dxfId="3337" priority="1209" operator="equal">
      <formula>8</formula>
    </cfRule>
    <cfRule type="cellIs" dxfId="3338" priority="1210" operator="greaterThan">
      <formula>8</formula>
    </cfRule>
    <cfRule type="cellIs" dxfId="3339" priority="1211" operator="lessThan">
      <formula>8</formula>
    </cfRule>
  </conditionalFormatting>
  <conditionalFormatting sqref="AF115 BI115 CL115 DO115">
    <cfRule type="cellIs" dxfId="3340" priority="1204" operator="equal">
      <formula>0</formula>
    </cfRule>
    <cfRule type="cellIs" dxfId="3341" priority="1205" operator="equal">
      <formula>8</formula>
    </cfRule>
    <cfRule type="cellIs" dxfId="3342" priority="1206" operator="greaterThan">
      <formula>8</formula>
    </cfRule>
    <cfRule type="cellIs" dxfId="3343" priority="1207" operator="lessThan">
      <formula>8</formula>
    </cfRule>
  </conditionalFormatting>
  <conditionalFormatting sqref="AF110 BI110 CL110 DO110">
    <cfRule type="cellIs" dxfId="3344" priority="1200" operator="equal">
      <formula>0</formula>
    </cfRule>
    <cfRule type="cellIs" dxfId="3345" priority="1201" operator="equal">
      <formula>8</formula>
    </cfRule>
    <cfRule type="cellIs" dxfId="3346" priority="1202" operator="greaterThan">
      <formula>8</formula>
    </cfRule>
    <cfRule type="cellIs" dxfId="3347" priority="1203" operator="lessThan">
      <formula>8</formula>
    </cfRule>
  </conditionalFormatting>
  <conditionalFormatting sqref="AF108 BI108 CL108 DO108">
    <cfRule type="cellIs" dxfId="3348" priority="1196" operator="equal">
      <formula>0</formula>
    </cfRule>
    <cfRule type="cellIs" dxfId="3349" priority="1197" operator="equal">
      <formula>8</formula>
    </cfRule>
    <cfRule type="cellIs" dxfId="3350" priority="1198" operator="greaterThan">
      <formula>8</formula>
    </cfRule>
    <cfRule type="cellIs" dxfId="3351" priority="1199" operator="lessThan">
      <formula>8</formula>
    </cfRule>
  </conditionalFormatting>
  <conditionalFormatting sqref="AF112 BI112 CL112 DO112">
    <cfRule type="cellIs" dxfId="3352" priority="1192" operator="equal">
      <formula>0</formula>
    </cfRule>
    <cfRule type="cellIs" dxfId="3353" priority="1193" operator="equal">
      <formula>8</formula>
    </cfRule>
    <cfRule type="cellIs" dxfId="3354" priority="1194" operator="greaterThan">
      <formula>8</formula>
    </cfRule>
    <cfRule type="cellIs" dxfId="3355" priority="1195" operator="lessThan">
      <formula>8</formula>
    </cfRule>
  </conditionalFormatting>
  <conditionalFormatting sqref="AF113 BI113 CL113 DO113">
    <cfRule type="cellIs" dxfId="3356" priority="1188" operator="equal">
      <formula>0</formula>
    </cfRule>
    <cfRule type="cellIs" dxfId="3357" priority="1189" operator="equal">
      <formula>8</formula>
    </cfRule>
    <cfRule type="cellIs" dxfId="3358" priority="1190" operator="greaterThan">
      <formula>8</formula>
    </cfRule>
    <cfRule type="cellIs" dxfId="3359" priority="1191" operator="lessThan">
      <formula>8</formula>
    </cfRule>
  </conditionalFormatting>
  <conditionalFormatting sqref="AF111 BI111 CL111 DO111">
    <cfRule type="cellIs" dxfId="3360" priority="1184" operator="equal">
      <formula>0</formula>
    </cfRule>
    <cfRule type="cellIs" dxfId="3361" priority="1185" operator="equal">
      <formula>8</formula>
    </cfRule>
    <cfRule type="cellIs" dxfId="3362" priority="1186" operator="greaterThan">
      <formula>8</formula>
    </cfRule>
    <cfRule type="cellIs" dxfId="3363" priority="1187" operator="lessThan">
      <formula>8</formula>
    </cfRule>
  </conditionalFormatting>
  <conditionalFormatting sqref="UN105">
    <cfRule type="cellIs" dxfId="3364" priority="1180" operator="equal">
      <formula>0</formula>
    </cfRule>
    <cfRule type="cellIs" dxfId="3365" priority="1181" operator="equal">
      <formula>8</formula>
    </cfRule>
    <cfRule type="cellIs" dxfId="3366" priority="1182" operator="greaterThan">
      <formula>8</formula>
    </cfRule>
    <cfRule type="cellIs" dxfId="3367" priority="1183" operator="lessThan">
      <formula>8</formula>
    </cfRule>
  </conditionalFormatting>
  <conditionalFormatting sqref="UN104">
    <cfRule type="cellIs" dxfId="3368" priority="1176" operator="equal">
      <formula>0</formula>
    </cfRule>
    <cfRule type="cellIs" dxfId="3369" priority="1177" operator="equal">
      <formula>8</formula>
    </cfRule>
    <cfRule type="cellIs" dxfId="3370" priority="1178" operator="greaterThan">
      <formula>8</formula>
    </cfRule>
    <cfRule type="cellIs" dxfId="3371" priority="1179" operator="lessThan">
      <formula>8</formula>
    </cfRule>
  </conditionalFormatting>
  <conditionalFormatting sqref="MP104">
    <cfRule type="cellIs" dxfId="3372" priority="1172" operator="equal">
      <formula>0</formula>
    </cfRule>
    <cfRule type="cellIs" dxfId="3373" priority="1173" operator="equal">
      <formula>8</formula>
    </cfRule>
    <cfRule type="cellIs" dxfId="3374" priority="1174" operator="greaterThan">
      <formula>8</formula>
    </cfRule>
    <cfRule type="cellIs" dxfId="3375" priority="1175" operator="lessThan">
      <formula>8</formula>
    </cfRule>
  </conditionalFormatting>
  <conditionalFormatting sqref="ID105 JG105 KJ105 LM105">
    <cfRule type="cellIs" dxfId="3376" priority="1168" operator="equal">
      <formula>0</formula>
    </cfRule>
    <cfRule type="cellIs" dxfId="3377" priority="1169" operator="equal">
      <formula>8</formula>
    </cfRule>
    <cfRule type="cellIs" dxfId="3378" priority="1170" operator="greaterThan">
      <formula>8</formula>
    </cfRule>
    <cfRule type="cellIs" dxfId="3379" priority="1171" operator="lessThan">
      <formula>8</formula>
    </cfRule>
  </conditionalFormatting>
  <conditionalFormatting sqref="ID104 JG104 KJ104 LM104">
    <cfRule type="cellIs" dxfId="3380" priority="1164" operator="equal">
      <formula>0</formula>
    </cfRule>
    <cfRule type="cellIs" dxfId="3381" priority="1165" operator="equal">
      <formula>8</formula>
    </cfRule>
    <cfRule type="cellIs" dxfId="3382" priority="1166" operator="greaterThan">
      <formula>8</formula>
    </cfRule>
    <cfRule type="cellIs" dxfId="3383" priority="1167" operator="lessThan">
      <formula>8</formula>
    </cfRule>
  </conditionalFormatting>
  <conditionalFormatting sqref="ID106 JG106 KJ106 LM106">
    <cfRule type="cellIs" dxfId="3384" priority="1160" operator="equal">
      <formula>0</formula>
    </cfRule>
    <cfRule type="cellIs" dxfId="3385" priority="1161" operator="equal">
      <formula>8</formula>
    </cfRule>
    <cfRule type="cellIs" dxfId="3386" priority="1162" operator="greaterThan">
      <formula>8</formula>
    </cfRule>
    <cfRule type="cellIs" dxfId="3387" priority="1163" operator="lessThan">
      <formula>8</formula>
    </cfRule>
  </conditionalFormatting>
  <conditionalFormatting sqref="ID109 JG109 KJ109 LM109">
    <cfRule type="cellIs" dxfId="3388" priority="1156" operator="equal">
      <formula>0</formula>
    </cfRule>
    <cfRule type="cellIs" dxfId="3389" priority="1157" operator="equal">
      <formula>8</formula>
    </cfRule>
    <cfRule type="cellIs" dxfId="3390" priority="1158" operator="greaterThan">
      <formula>8</formula>
    </cfRule>
    <cfRule type="cellIs" dxfId="3391" priority="1159" operator="lessThan">
      <formula>8</formula>
    </cfRule>
  </conditionalFormatting>
  <conditionalFormatting sqref="ID107 JG107 KJ107 LM107">
    <cfRule type="cellIs" dxfId="3392" priority="1152" operator="equal">
      <formula>0</formula>
    </cfRule>
    <cfRule type="cellIs" dxfId="3393" priority="1153" operator="equal">
      <formula>8</formula>
    </cfRule>
    <cfRule type="cellIs" dxfId="3394" priority="1154" operator="greaterThan">
      <formula>8</formula>
    </cfRule>
    <cfRule type="cellIs" dxfId="3395" priority="1155" operator="lessThan">
      <formula>8</formula>
    </cfRule>
  </conditionalFormatting>
  <conditionalFormatting sqref="ID114 JG114 KJ114 LM114">
    <cfRule type="cellIs" dxfId="3396" priority="1148" operator="equal">
      <formula>0</formula>
    </cfRule>
    <cfRule type="cellIs" dxfId="3397" priority="1149" operator="equal">
      <formula>8</formula>
    </cfRule>
    <cfRule type="cellIs" dxfId="3398" priority="1150" operator="greaterThan">
      <formula>8</formula>
    </cfRule>
    <cfRule type="cellIs" dxfId="3399" priority="1151" operator="lessThan">
      <formula>8</formula>
    </cfRule>
  </conditionalFormatting>
  <conditionalFormatting sqref="ID115 JG115 KJ115 LM115">
    <cfRule type="cellIs" dxfId="3400" priority="1144" operator="equal">
      <formula>0</formula>
    </cfRule>
    <cfRule type="cellIs" dxfId="3401" priority="1145" operator="equal">
      <formula>8</formula>
    </cfRule>
    <cfRule type="cellIs" dxfId="3402" priority="1146" operator="greaterThan">
      <formula>8</formula>
    </cfRule>
    <cfRule type="cellIs" dxfId="3403" priority="1147" operator="lessThan">
      <formula>8</formula>
    </cfRule>
  </conditionalFormatting>
  <conditionalFormatting sqref="ID110 JG110 KJ110 LM110">
    <cfRule type="cellIs" dxfId="3404" priority="1140" operator="equal">
      <formula>0</formula>
    </cfRule>
    <cfRule type="cellIs" dxfId="3405" priority="1141" operator="equal">
      <formula>8</formula>
    </cfRule>
    <cfRule type="cellIs" dxfId="3406" priority="1142" operator="greaterThan">
      <formula>8</formula>
    </cfRule>
    <cfRule type="cellIs" dxfId="3407" priority="1143" operator="lessThan">
      <formula>8</formula>
    </cfRule>
  </conditionalFormatting>
  <conditionalFormatting sqref="ID108 JG108 KJ108 LM108">
    <cfRule type="cellIs" dxfId="3408" priority="1136" operator="equal">
      <formula>0</formula>
    </cfRule>
    <cfRule type="cellIs" dxfId="3409" priority="1137" operator="equal">
      <formula>8</formula>
    </cfRule>
    <cfRule type="cellIs" dxfId="3410" priority="1138" operator="greaterThan">
      <formula>8</formula>
    </cfRule>
    <cfRule type="cellIs" dxfId="3411" priority="1139" operator="lessThan">
      <formula>8</formula>
    </cfRule>
  </conditionalFormatting>
  <conditionalFormatting sqref="ID112 JG112 KJ112 LM112">
    <cfRule type="cellIs" dxfId="3412" priority="1132" operator="equal">
      <formula>0</formula>
    </cfRule>
    <cfRule type="cellIs" dxfId="3413" priority="1133" operator="equal">
      <formula>8</formula>
    </cfRule>
    <cfRule type="cellIs" dxfId="3414" priority="1134" operator="greaterThan">
      <formula>8</formula>
    </cfRule>
    <cfRule type="cellIs" dxfId="3415" priority="1135" operator="lessThan">
      <formula>8</formula>
    </cfRule>
  </conditionalFormatting>
  <conditionalFormatting sqref="ID113 JG113 KJ113 LM113">
    <cfRule type="cellIs" dxfId="3416" priority="1128" operator="equal">
      <formula>0</formula>
    </cfRule>
    <cfRule type="cellIs" dxfId="3417" priority="1129" operator="equal">
      <formula>8</formula>
    </cfRule>
    <cfRule type="cellIs" dxfId="3418" priority="1130" operator="greaterThan">
      <formula>8</formula>
    </cfRule>
    <cfRule type="cellIs" dxfId="3419" priority="1131" operator="lessThan">
      <formula>8</formula>
    </cfRule>
  </conditionalFormatting>
  <conditionalFormatting sqref="ID111 JG111">
    <cfRule type="cellIs" dxfId="3420" priority="1124" operator="equal">
      <formula>0</formula>
    </cfRule>
    <cfRule type="cellIs" dxfId="3421" priority="1125" operator="equal">
      <formula>8</formula>
    </cfRule>
    <cfRule type="cellIs" dxfId="3422" priority="1126" operator="greaterThan">
      <formula>8</formula>
    </cfRule>
    <cfRule type="cellIs" dxfId="3423" priority="1127" operator="lessThan">
      <formula>8</formula>
    </cfRule>
  </conditionalFormatting>
  <conditionalFormatting sqref="AFX105 AHA105 AID105 AJG105">
    <cfRule type="cellIs" dxfId="3424" priority="1120" operator="equal">
      <formula>0</formula>
    </cfRule>
    <cfRule type="cellIs" dxfId="3425" priority="1121" operator="equal">
      <formula>8</formula>
    </cfRule>
    <cfRule type="cellIs" dxfId="3426" priority="1122" operator="greaterThan">
      <formula>8</formula>
    </cfRule>
    <cfRule type="cellIs" dxfId="3427" priority="1123" operator="lessThan">
      <formula>8</formula>
    </cfRule>
  </conditionalFormatting>
  <conditionalFormatting sqref="AFX104 AHA104 AID104 AJG104">
    <cfRule type="cellIs" dxfId="3428" priority="1116" operator="equal">
      <formula>0</formula>
    </cfRule>
    <cfRule type="cellIs" dxfId="3429" priority="1117" operator="equal">
      <formula>8</formula>
    </cfRule>
    <cfRule type="cellIs" dxfId="3430" priority="1118" operator="greaterThan">
      <formula>8</formula>
    </cfRule>
    <cfRule type="cellIs" dxfId="3431" priority="1119" operator="lessThan">
      <formula>8</formula>
    </cfRule>
  </conditionalFormatting>
  <conditionalFormatting sqref="AFX106">
    <cfRule type="cellIs" dxfId="3432" priority="1112" operator="equal">
      <formula>0</formula>
    </cfRule>
    <cfRule type="cellIs" dxfId="3433" priority="1113" operator="equal">
      <formula>8</formula>
    </cfRule>
    <cfRule type="cellIs" dxfId="3434" priority="1114" operator="greaterThan">
      <formula>8</formula>
    </cfRule>
    <cfRule type="cellIs" dxfId="3435" priority="1115" operator="lessThan">
      <formula>8</formula>
    </cfRule>
  </conditionalFormatting>
  <conditionalFormatting sqref="AFX109 AHA109 AID109 AJG109">
    <cfRule type="cellIs" dxfId="3436" priority="1108" operator="equal">
      <formula>0</formula>
    </cfRule>
    <cfRule type="cellIs" dxfId="3437" priority="1109" operator="equal">
      <formula>8</formula>
    </cfRule>
    <cfRule type="cellIs" dxfId="3438" priority="1110" operator="greaterThan">
      <formula>8</formula>
    </cfRule>
    <cfRule type="cellIs" dxfId="3439" priority="1111" operator="lessThan">
      <formula>8</formula>
    </cfRule>
  </conditionalFormatting>
  <conditionalFormatting sqref="AFX107 AHA107 AID107 AJG107">
    <cfRule type="cellIs" dxfId="3440" priority="1104" operator="equal">
      <formula>0</formula>
    </cfRule>
    <cfRule type="cellIs" dxfId="3441" priority="1105" operator="equal">
      <formula>8</formula>
    </cfRule>
    <cfRule type="cellIs" dxfId="3442" priority="1106" operator="greaterThan">
      <formula>8</formula>
    </cfRule>
    <cfRule type="cellIs" dxfId="3443" priority="1107" operator="lessThan">
      <formula>8</formula>
    </cfRule>
  </conditionalFormatting>
  <conditionalFormatting sqref="AFX114 AHA114 AID114 AJG114">
    <cfRule type="cellIs" dxfId="3444" priority="1100" operator="equal">
      <formula>0</formula>
    </cfRule>
    <cfRule type="cellIs" dxfId="3445" priority="1101" operator="equal">
      <formula>8</formula>
    </cfRule>
    <cfRule type="cellIs" dxfId="3446" priority="1102" operator="greaterThan">
      <formula>8</formula>
    </cfRule>
    <cfRule type="cellIs" dxfId="3447" priority="1103" operator="lessThan">
      <formula>8</formula>
    </cfRule>
  </conditionalFormatting>
  <conditionalFormatting sqref="AFX115 AHA115 AID115 AJG115">
    <cfRule type="cellIs" dxfId="3448" priority="1096" operator="equal">
      <formula>0</formula>
    </cfRule>
    <cfRule type="cellIs" dxfId="3449" priority="1097" operator="equal">
      <formula>8</formula>
    </cfRule>
    <cfRule type="cellIs" dxfId="3450" priority="1098" operator="greaterThan">
      <formula>8</formula>
    </cfRule>
    <cfRule type="cellIs" dxfId="3451" priority="1099" operator="lessThan">
      <formula>8</formula>
    </cfRule>
  </conditionalFormatting>
  <conditionalFormatting sqref="AFX110 AHA110 AID110 AJG110">
    <cfRule type="cellIs" dxfId="3452" priority="1092" operator="equal">
      <formula>0</formula>
    </cfRule>
    <cfRule type="cellIs" dxfId="3453" priority="1093" operator="equal">
      <formula>8</formula>
    </cfRule>
    <cfRule type="cellIs" dxfId="3454" priority="1094" operator="greaterThan">
      <formula>8</formula>
    </cfRule>
    <cfRule type="cellIs" dxfId="3455" priority="1095" operator="lessThan">
      <formula>8</formula>
    </cfRule>
  </conditionalFormatting>
  <conditionalFormatting sqref="AFX108 AHA108 AID108 AJG108">
    <cfRule type="cellIs" dxfId="3456" priority="1088" operator="equal">
      <formula>0</formula>
    </cfRule>
    <cfRule type="cellIs" dxfId="3457" priority="1089" operator="equal">
      <formula>8</formula>
    </cfRule>
    <cfRule type="cellIs" dxfId="3458" priority="1090" operator="greaterThan">
      <formula>8</formula>
    </cfRule>
    <cfRule type="cellIs" dxfId="3459" priority="1091" operator="lessThan">
      <formula>8</formula>
    </cfRule>
  </conditionalFormatting>
  <conditionalFormatting sqref="AFX112 AHA112 AID112 AJG112">
    <cfRule type="cellIs" dxfId="3460" priority="1084" operator="equal">
      <formula>0</formula>
    </cfRule>
    <cfRule type="cellIs" dxfId="3461" priority="1085" operator="equal">
      <formula>8</formula>
    </cfRule>
    <cfRule type="cellIs" dxfId="3462" priority="1086" operator="greaterThan">
      <formula>8</formula>
    </cfRule>
    <cfRule type="cellIs" dxfId="3463" priority="1087" operator="lessThan">
      <formula>8</formula>
    </cfRule>
  </conditionalFormatting>
  <conditionalFormatting sqref="AFX113 AHA113 AID113 AJG113">
    <cfRule type="cellIs" dxfId="3464" priority="1080" operator="equal">
      <formula>0</formula>
    </cfRule>
    <cfRule type="cellIs" dxfId="3465" priority="1081" operator="equal">
      <formula>8</formula>
    </cfRule>
    <cfRule type="cellIs" dxfId="3466" priority="1082" operator="greaterThan">
      <formula>8</formula>
    </cfRule>
    <cfRule type="cellIs" dxfId="3467" priority="1083" operator="lessThan">
      <formula>8</formula>
    </cfRule>
  </conditionalFormatting>
  <conditionalFormatting sqref="AFX111 AHA111 AID111 AJG111">
    <cfRule type="cellIs" dxfId="3468" priority="1076" operator="equal">
      <formula>0</formula>
    </cfRule>
    <cfRule type="cellIs" dxfId="3469" priority="1077" operator="equal">
      <formula>8</formula>
    </cfRule>
    <cfRule type="cellIs" dxfId="3470" priority="1078" operator="greaterThan">
      <formula>8</formula>
    </cfRule>
    <cfRule type="cellIs" dxfId="3471" priority="1079" operator="lessThan">
      <formula>8</formula>
    </cfRule>
  </conditionalFormatting>
  <conditionalFormatting sqref="XZ105 ZC105 AAF105 ABI105">
    <cfRule type="cellIs" dxfId="3472" priority="1072" operator="equal">
      <formula>0</formula>
    </cfRule>
    <cfRule type="cellIs" dxfId="3473" priority="1073" operator="equal">
      <formula>8</formula>
    </cfRule>
    <cfRule type="cellIs" dxfId="3474" priority="1074" operator="greaterThan">
      <formula>8</formula>
    </cfRule>
    <cfRule type="cellIs" dxfId="3475" priority="1075" operator="lessThan">
      <formula>8</formula>
    </cfRule>
  </conditionalFormatting>
  <conditionalFormatting sqref="XZ104 ZC104 AAF104 ABI104">
    <cfRule type="cellIs" dxfId="3476" priority="1068" operator="equal">
      <formula>0</formula>
    </cfRule>
    <cfRule type="cellIs" dxfId="3477" priority="1069" operator="equal">
      <formula>8</formula>
    </cfRule>
    <cfRule type="cellIs" dxfId="3478" priority="1070" operator="greaterThan">
      <formula>8</formula>
    </cfRule>
    <cfRule type="cellIs" dxfId="3479" priority="1071" operator="lessThan">
      <formula>8</formula>
    </cfRule>
  </conditionalFormatting>
  <conditionalFormatting sqref="XZ106 ZC106 AAF106 ABI106">
    <cfRule type="cellIs" dxfId="3480" priority="1064" operator="equal">
      <formula>0</formula>
    </cfRule>
    <cfRule type="cellIs" dxfId="3481" priority="1065" operator="equal">
      <formula>8</formula>
    </cfRule>
    <cfRule type="cellIs" dxfId="3482" priority="1066" operator="greaterThan">
      <formula>8</formula>
    </cfRule>
    <cfRule type="cellIs" dxfId="3483" priority="1067" operator="lessThan">
      <formula>8</formula>
    </cfRule>
  </conditionalFormatting>
  <conditionalFormatting sqref="XZ109 ZC109 AAF109 ABI109">
    <cfRule type="cellIs" dxfId="3484" priority="1060" operator="equal">
      <formula>0</formula>
    </cfRule>
    <cfRule type="cellIs" dxfId="3485" priority="1061" operator="equal">
      <formula>8</formula>
    </cfRule>
    <cfRule type="cellIs" dxfId="3486" priority="1062" operator="greaterThan">
      <formula>8</formula>
    </cfRule>
    <cfRule type="cellIs" dxfId="3487" priority="1063" operator="lessThan">
      <formula>8</formula>
    </cfRule>
  </conditionalFormatting>
  <conditionalFormatting sqref="XZ114 ZC114 AAF114 ABI114">
    <cfRule type="cellIs" dxfId="3488" priority="1056" operator="equal">
      <formula>0</formula>
    </cfRule>
    <cfRule type="cellIs" dxfId="3489" priority="1057" operator="equal">
      <formula>8</formula>
    </cfRule>
    <cfRule type="cellIs" dxfId="3490" priority="1058" operator="greaterThan">
      <formula>8</formula>
    </cfRule>
    <cfRule type="cellIs" dxfId="3491" priority="1059" operator="lessThan">
      <formula>8</formula>
    </cfRule>
  </conditionalFormatting>
  <conditionalFormatting sqref="XZ115 ZC115 AAF115 ABI115">
    <cfRule type="cellIs" dxfId="3492" priority="1052" operator="equal">
      <formula>0</formula>
    </cfRule>
    <cfRule type="cellIs" dxfId="3493" priority="1053" operator="equal">
      <formula>8</formula>
    </cfRule>
    <cfRule type="cellIs" dxfId="3494" priority="1054" operator="greaterThan">
      <formula>8</formula>
    </cfRule>
    <cfRule type="cellIs" dxfId="3495" priority="1055" operator="lessThan">
      <formula>8</formula>
    </cfRule>
  </conditionalFormatting>
  <conditionalFormatting sqref="XZ110 ZC110 AAF110 ABI110">
    <cfRule type="cellIs" dxfId="3496" priority="1048" operator="equal">
      <formula>0</formula>
    </cfRule>
    <cfRule type="cellIs" dxfId="3497" priority="1049" operator="equal">
      <formula>8</formula>
    </cfRule>
    <cfRule type="cellIs" dxfId="3498" priority="1050" operator="greaterThan">
      <formula>8</formula>
    </cfRule>
    <cfRule type="cellIs" dxfId="3499" priority="1051" operator="lessThan">
      <formula>8</formula>
    </cfRule>
  </conditionalFormatting>
  <conditionalFormatting sqref="XZ112 ZC112 AAF112 ABI112">
    <cfRule type="cellIs" dxfId="3500" priority="1044" operator="equal">
      <formula>0</formula>
    </cfRule>
    <cfRule type="cellIs" dxfId="3501" priority="1045" operator="equal">
      <formula>8</formula>
    </cfRule>
    <cfRule type="cellIs" dxfId="3502" priority="1046" operator="greaterThan">
      <formula>8</formula>
    </cfRule>
    <cfRule type="cellIs" dxfId="3503" priority="1047" operator="lessThan">
      <formula>8</formula>
    </cfRule>
  </conditionalFormatting>
  <conditionalFormatting sqref="XZ113 ZC113 AAF113 ABI113">
    <cfRule type="cellIs" dxfId="3504" priority="1040" operator="equal">
      <formula>0</formula>
    </cfRule>
    <cfRule type="cellIs" dxfId="3505" priority="1041" operator="equal">
      <formula>8</formula>
    </cfRule>
    <cfRule type="cellIs" dxfId="3506" priority="1042" operator="greaterThan">
      <formula>8</formula>
    </cfRule>
    <cfRule type="cellIs" dxfId="3507" priority="1043" operator="lessThan">
      <formula>8</formula>
    </cfRule>
  </conditionalFormatting>
  <conditionalFormatting sqref="XZ111 ZC111 AAF111 ABI111">
    <cfRule type="cellIs" dxfId="3508" priority="1036" operator="equal">
      <formula>0</formula>
    </cfRule>
    <cfRule type="cellIs" dxfId="3509" priority="1037" operator="equal">
      <formula>8</formula>
    </cfRule>
    <cfRule type="cellIs" dxfId="3510" priority="1038" operator="greaterThan">
      <formula>8</formula>
    </cfRule>
    <cfRule type="cellIs" dxfId="3511" priority="1039" operator="lessThan">
      <formula>8</formula>
    </cfRule>
  </conditionalFormatting>
  <conditionalFormatting sqref="QB104 RE104 SH104 TK104">
    <cfRule type="cellIs" dxfId="3512" priority="1032" operator="equal">
      <formula>0</formula>
    </cfRule>
    <cfRule type="cellIs" dxfId="3513" priority="1033" operator="equal">
      <formula>8</formula>
    </cfRule>
    <cfRule type="cellIs" dxfId="3514" priority="1034" operator="greaterThan">
      <formula>8</formula>
    </cfRule>
    <cfRule type="cellIs" dxfId="3515" priority="1035" operator="lessThan">
      <formula>8</formula>
    </cfRule>
  </conditionalFormatting>
  <conditionalFormatting sqref="QB105 RE105 SH105 TK105">
    <cfRule type="cellIs" dxfId="3516" priority="1028" operator="equal">
      <formula>0</formula>
    </cfRule>
    <cfRule type="cellIs" dxfId="3517" priority="1029" operator="equal">
      <formula>8</formula>
    </cfRule>
    <cfRule type="cellIs" dxfId="3518" priority="1030" operator="greaterThan">
      <formula>8</formula>
    </cfRule>
    <cfRule type="cellIs" dxfId="3519" priority="1031" operator="lessThan">
      <formula>8</formula>
    </cfRule>
  </conditionalFormatting>
  <conditionalFormatting sqref="QB106 RE106 SH106 TK106">
    <cfRule type="cellIs" dxfId="3520" priority="1024" operator="equal">
      <formula>0</formula>
    </cfRule>
    <cfRule type="cellIs" dxfId="3521" priority="1025" operator="equal">
      <formula>8</formula>
    </cfRule>
    <cfRule type="cellIs" dxfId="3522" priority="1026" operator="greaterThan">
      <formula>8</formula>
    </cfRule>
    <cfRule type="cellIs" dxfId="3523" priority="1027" operator="lessThan">
      <formula>8</formula>
    </cfRule>
  </conditionalFormatting>
  <conditionalFormatting sqref="QB114 RE114 SH114 TK114">
    <cfRule type="cellIs" dxfId="3524" priority="1020" operator="equal">
      <formula>0</formula>
    </cfRule>
    <cfRule type="cellIs" dxfId="3525" priority="1021" operator="equal">
      <formula>8</formula>
    </cfRule>
    <cfRule type="cellIs" dxfId="3526" priority="1022" operator="greaterThan">
      <formula>8</formula>
    </cfRule>
    <cfRule type="cellIs" dxfId="3527" priority="1023" operator="lessThan">
      <formula>8</formula>
    </cfRule>
  </conditionalFormatting>
  <conditionalFormatting sqref="QB107 RE107 SH107 TK107">
    <cfRule type="cellIs" dxfId="3528" priority="1016" operator="equal">
      <formula>0</formula>
    </cfRule>
    <cfRule type="cellIs" dxfId="3529" priority="1017" operator="equal">
      <formula>8</formula>
    </cfRule>
    <cfRule type="cellIs" dxfId="3530" priority="1018" operator="greaterThan">
      <formula>8</formula>
    </cfRule>
    <cfRule type="cellIs" dxfId="3531" priority="1019" operator="lessThan">
      <formula>8</formula>
    </cfRule>
  </conditionalFormatting>
  <conditionalFormatting sqref="QB109 RE109 SH109 TK109">
    <cfRule type="cellIs" dxfId="3532" priority="1012" operator="equal">
      <formula>0</formula>
    </cfRule>
    <cfRule type="cellIs" dxfId="3533" priority="1013" operator="equal">
      <formula>8</formula>
    </cfRule>
    <cfRule type="cellIs" dxfId="3534" priority="1014" operator="greaterThan">
      <formula>8</formula>
    </cfRule>
    <cfRule type="cellIs" dxfId="3535" priority="1015" operator="lessThan">
      <formula>8</formula>
    </cfRule>
  </conditionalFormatting>
  <conditionalFormatting sqref="QB115 RE115">
    <cfRule type="cellIs" dxfId="3536" priority="1008" operator="equal">
      <formula>0</formula>
    </cfRule>
    <cfRule type="cellIs" dxfId="3537" priority="1009" operator="equal">
      <formula>8</formula>
    </cfRule>
    <cfRule type="cellIs" dxfId="3538" priority="1010" operator="greaterThan">
      <formula>8</formula>
    </cfRule>
    <cfRule type="cellIs" dxfId="3539" priority="1011" operator="lessThan">
      <formula>8</formula>
    </cfRule>
  </conditionalFormatting>
  <conditionalFormatting sqref="SH115">
    <cfRule type="cellIs" dxfId="3540" priority="1004" operator="equal">
      <formula>0</formula>
    </cfRule>
    <cfRule type="cellIs" dxfId="3541" priority="1005" operator="equal">
      <formula>8</formula>
    </cfRule>
    <cfRule type="cellIs" dxfId="3542" priority="1006" operator="greaterThan">
      <formula>8</formula>
    </cfRule>
    <cfRule type="cellIs" dxfId="3543" priority="1007" operator="lessThan">
      <formula>8</formula>
    </cfRule>
  </conditionalFormatting>
  <conditionalFormatting sqref="TK115">
    <cfRule type="cellIs" dxfId="3544" priority="1000" operator="equal">
      <formula>0</formula>
    </cfRule>
    <cfRule type="cellIs" dxfId="3545" priority="1001" operator="equal">
      <formula>8</formula>
    </cfRule>
    <cfRule type="cellIs" dxfId="3546" priority="1002" operator="greaterThan">
      <formula>8</formula>
    </cfRule>
    <cfRule type="cellIs" dxfId="3547" priority="1003" operator="lessThan">
      <formula>8</formula>
    </cfRule>
  </conditionalFormatting>
  <conditionalFormatting sqref="QB110">
    <cfRule type="cellIs" dxfId="3548" priority="996" operator="equal">
      <formula>0</formula>
    </cfRule>
    <cfRule type="cellIs" dxfId="3549" priority="997" operator="equal">
      <formula>8</formula>
    </cfRule>
    <cfRule type="cellIs" dxfId="3550" priority="998" operator="greaterThan">
      <formula>8</formula>
    </cfRule>
    <cfRule type="cellIs" dxfId="3551" priority="999" operator="lessThan">
      <formula>8</formula>
    </cfRule>
  </conditionalFormatting>
  <conditionalFormatting sqref="RE110">
    <cfRule type="cellIs" dxfId="3552" priority="992" operator="equal">
      <formula>0</formula>
    </cfRule>
    <cfRule type="cellIs" dxfId="3553" priority="993" operator="equal">
      <formula>8</formula>
    </cfRule>
    <cfRule type="cellIs" dxfId="3554" priority="994" operator="greaterThan">
      <formula>8</formula>
    </cfRule>
    <cfRule type="cellIs" dxfId="3555" priority="995" operator="lessThan">
      <formula>8</formula>
    </cfRule>
  </conditionalFormatting>
  <conditionalFormatting sqref="SH110">
    <cfRule type="cellIs" dxfId="3556" priority="988" operator="equal">
      <formula>0</formula>
    </cfRule>
    <cfRule type="cellIs" dxfId="3557" priority="989" operator="equal">
      <formula>8</formula>
    </cfRule>
    <cfRule type="cellIs" dxfId="3558" priority="990" operator="greaterThan">
      <formula>8</formula>
    </cfRule>
    <cfRule type="cellIs" dxfId="3559" priority="991" operator="lessThan">
      <formula>8</formula>
    </cfRule>
  </conditionalFormatting>
  <conditionalFormatting sqref="TK110">
    <cfRule type="cellIs" dxfId="3560" priority="984" operator="equal">
      <formula>0</formula>
    </cfRule>
    <cfRule type="cellIs" dxfId="3561" priority="985" operator="equal">
      <formula>8</formula>
    </cfRule>
    <cfRule type="cellIs" dxfId="3562" priority="986" operator="greaterThan">
      <formula>8</formula>
    </cfRule>
    <cfRule type="cellIs" dxfId="3563" priority="987" operator="lessThan">
      <formula>8</formula>
    </cfRule>
  </conditionalFormatting>
  <conditionalFormatting sqref="QB108 RE108 SH108 TK108">
    <cfRule type="cellIs" dxfId="3564" priority="980" operator="equal">
      <formula>0</formula>
    </cfRule>
    <cfRule type="cellIs" dxfId="3565" priority="981" operator="equal">
      <formula>8</formula>
    </cfRule>
    <cfRule type="cellIs" dxfId="3566" priority="982" operator="greaterThan">
      <formula>8</formula>
    </cfRule>
    <cfRule type="cellIs" dxfId="3567" priority="983" operator="lessThan">
      <formula>8</formula>
    </cfRule>
  </conditionalFormatting>
  <conditionalFormatting sqref="QB112 RE112 SH112 TK112">
    <cfRule type="cellIs" dxfId="3568" priority="976" operator="equal">
      <formula>0</formula>
    </cfRule>
    <cfRule type="cellIs" dxfId="3569" priority="977" operator="equal">
      <formula>8</formula>
    </cfRule>
    <cfRule type="cellIs" dxfId="3570" priority="978" operator="greaterThan">
      <formula>8</formula>
    </cfRule>
    <cfRule type="cellIs" dxfId="3571" priority="979" operator="lessThan">
      <formula>8</formula>
    </cfRule>
  </conditionalFormatting>
  <conditionalFormatting sqref="QB113 RE113 SH113 TK113">
    <cfRule type="cellIs" dxfId="3572" priority="972" operator="equal">
      <formula>0</formula>
    </cfRule>
    <cfRule type="cellIs" dxfId="3573" priority="973" operator="equal">
      <formula>8</formula>
    </cfRule>
    <cfRule type="cellIs" dxfId="3574" priority="974" operator="greaterThan">
      <formula>8</formula>
    </cfRule>
    <cfRule type="cellIs" dxfId="3575" priority="975" operator="lessThan">
      <formula>8</formula>
    </cfRule>
  </conditionalFormatting>
  <conditionalFormatting sqref="QB111 RE111 SH111 TK111">
    <cfRule type="cellIs" dxfId="3576" priority="968" operator="equal">
      <formula>0</formula>
    </cfRule>
    <cfRule type="cellIs" dxfId="3577" priority="969" operator="equal">
      <formula>8</formula>
    </cfRule>
    <cfRule type="cellIs" dxfId="3578" priority="970" operator="greaterThan">
      <formula>8</formula>
    </cfRule>
    <cfRule type="cellIs" dxfId="3579" priority="971" operator="lessThan">
      <formula>8</formula>
    </cfRule>
  </conditionalFormatting>
  <conditionalFormatting sqref="ABI107">
    <cfRule type="cellIs" dxfId="3580" priority="964" operator="equal">
      <formula>0</formula>
    </cfRule>
    <cfRule type="cellIs" dxfId="3581" priority="965" operator="equal">
      <formula>8</formula>
    </cfRule>
    <cfRule type="cellIs" dxfId="3582" priority="966" operator="greaterThan">
      <formula>8</formula>
    </cfRule>
    <cfRule type="cellIs" dxfId="3583" priority="967" operator="lessThan">
      <formula>8</formula>
    </cfRule>
  </conditionalFormatting>
  <conditionalFormatting sqref="XZ107">
    <cfRule type="cellIs" dxfId="3584" priority="960" operator="equal">
      <formula>0</formula>
    </cfRule>
    <cfRule type="cellIs" dxfId="3585" priority="961" operator="equal">
      <formula>8</formula>
    </cfRule>
    <cfRule type="cellIs" dxfId="3586" priority="962" operator="greaterThan">
      <formula>8</formula>
    </cfRule>
    <cfRule type="cellIs" dxfId="3587" priority="963" operator="lessThan">
      <formula>8</formula>
    </cfRule>
  </conditionalFormatting>
  <conditionalFormatting sqref="ZC107">
    <cfRule type="cellIs" dxfId="3588" priority="956" operator="equal">
      <formula>0</formula>
    </cfRule>
    <cfRule type="cellIs" dxfId="3589" priority="957" operator="equal">
      <formula>8</formula>
    </cfRule>
    <cfRule type="cellIs" dxfId="3590" priority="958" operator="greaterThan">
      <formula>8</formula>
    </cfRule>
    <cfRule type="cellIs" dxfId="3591" priority="959" operator="lessThan">
      <formula>8</formula>
    </cfRule>
  </conditionalFormatting>
  <conditionalFormatting sqref="AAF107">
    <cfRule type="cellIs" dxfId="3592" priority="952" operator="equal">
      <formula>0</formula>
    </cfRule>
    <cfRule type="cellIs" dxfId="3593" priority="953" operator="equal">
      <formula>8</formula>
    </cfRule>
    <cfRule type="cellIs" dxfId="3594" priority="954" operator="greaterThan">
      <formula>8</formula>
    </cfRule>
    <cfRule type="cellIs" dxfId="3595" priority="955" operator="lessThan">
      <formula>8</formula>
    </cfRule>
  </conditionalFormatting>
  <conditionalFormatting sqref="ABI108">
    <cfRule type="cellIs" dxfId="3596" priority="948" operator="equal">
      <formula>0</formula>
    </cfRule>
    <cfRule type="cellIs" dxfId="3597" priority="949" operator="equal">
      <formula>8</formula>
    </cfRule>
    <cfRule type="cellIs" dxfId="3598" priority="950" operator="greaterThan">
      <formula>8</formula>
    </cfRule>
    <cfRule type="cellIs" dxfId="3599" priority="951" operator="lessThan">
      <formula>8</formula>
    </cfRule>
  </conditionalFormatting>
  <conditionalFormatting sqref="XZ108">
    <cfRule type="cellIs" dxfId="3600" priority="944" operator="equal">
      <formula>0</formula>
    </cfRule>
    <cfRule type="cellIs" dxfId="3601" priority="945" operator="equal">
      <formula>8</formula>
    </cfRule>
    <cfRule type="cellIs" dxfId="3602" priority="946" operator="greaterThan">
      <formula>8</formula>
    </cfRule>
    <cfRule type="cellIs" dxfId="3603" priority="947" operator="lessThan">
      <formula>8</formula>
    </cfRule>
  </conditionalFormatting>
  <conditionalFormatting sqref="ZC108 AAF108">
    <cfRule type="cellIs" dxfId="3604" priority="940" operator="equal">
      <formula>0</formula>
    </cfRule>
    <cfRule type="cellIs" dxfId="3605" priority="941" operator="equal">
      <formula>8</formula>
    </cfRule>
    <cfRule type="cellIs" dxfId="3606" priority="942" operator="greaterThan">
      <formula>8</formula>
    </cfRule>
    <cfRule type="cellIs" dxfId="3607" priority="943" operator="lessThan">
      <formula>8</formula>
    </cfRule>
  </conditionalFormatting>
  <conditionalFormatting sqref="NS38:NS51 OV38:OV51 VQ38:VQ51 WT38:WT51 ADO38:ADO51 AER38:AER51 ALM38:ALM43 ALM45:ALM51 AMP38:AMP43 AMP45:AMP51">
    <cfRule type="cellIs" dxfId="3608" priority="936" operator="equal">
      <formula>0</formula>
    </cfRule>
    <cfRule type="cellIs" dxfId="3609" priority="937" operator="equal">
      <formula>8</formula>
    </cfRule>
    <cfRule type="cellIs" dxfId="3610" priority="938" operator="greaterThan">
      <formula>8</formula>
    </cfRule>
    <cfRule type="cellIs" dxfId="3611" priority="939" operator="lessThan">
      <formula>8</formula>
    </cfRule>
  </conditionalFormatting>
  <conditionalFormatting sqref="HA38:HA51 OY38:OY51 WW38:WW51 AEU38:AEU51 AMS38:AMS51">
    <cfRule type="cellIs" dxfId="3612" priority="935" operator="greaterThan">
      <formula>0</formula>
    </cfRule>
  </conditionalFormatting>
  <conditionalFormatting sqref="GZ38:GZ51 OX38:OX51 WV38:WV51 AET38:AET51 AMR38:AMR51">
    <cfRule type="cellIs" dxfId="3613" priority="934" operator="greaterThan">
      <formula>0</formula>
    </cfRule>
  </conditionalFormatting>
  <conditionalFormatting sqref="GY38:GY51 OW38:OW51 WU38:WU51 AES38:AES51 AMQ38:AMQ51">
    <cfRule type="cellIs" dxfId="3614" priority="933" operator="greaterThan">
      <formula>0</formula>
    </cfRule>
  </conditionalFormatting>
  <conditionalFormatting sqref="GY38:GZ51 OW38:OX51 WU38:WV51 AES38:AET51 AMQ38:AMR51">
    <cfRule type="cellIs" dxfId="3615" priority="932" operator="equal">
      <formula>0</formula>
    </cfRule>
  </conditionalFormatting>
  <conditionalFormatting sqref="ALM44 AMP44">
    <cfRule type="cellIs" dxfId="3616" priority="928" operator="equal">
      <formula>0</formula>
    </cfRule>
    <cfRule type="cellIs" dxfId="3617" priority="929" operator="equal">
      <formula>8</formula>
    </cfRule>
    <cfRule type="cellIs" dxfId="3618" priority="930" operator="greaterThan">
      <formula>8</formula>
    </cfRule>
    <cfRule type="cellIs" dxfId="3619" priority="931" operator="lessThan">
      <formula>8</formula>
    </cfRule>
  </conditionalFormatting>
  <conditionalFormatting sqref="FU38:FU43 FU45:FU51 GX38:GX43 GX45:GX51">
    <cfRule type="cellIs" dxfId="3620" priority="924" operator="equal">
      <formula>0</formula>
    </cfRule>
    <cfRule type="cellIs" dxfId="3621" priority="925" operator="equal">
      <formula>8</formula>
    </cfRule>
    <cfRule type="cellIs" dxfId="3622" priority="926" operator="greaterThan">
      <formula>8</formula>
    </cfRule>
    <cfRule type="cellIs" dxfId="3623" priority="927" operator="lessThan">
      <formula>8</formula>
    </cfRule>
  </conditionalFormatting>
  <conditionalFormatting sqref="FU44 GX44">
    <cfRule type="cellIs" dxfId="3624" priority="920" operator="equal">
      <formula>0</formula>
    </cfRule>
    <cfRule type="cellIs" dxfId="3625" priority="921" operator="equal">
      <formula>8</formula>
    </cfRule>
    <cfRule type="cellIs" dxfId="3626" priority="922" operator="greaterThan">
      <formula>8</formula>
    </cfRule>
    <cfRule type="cellIs" dxfId="3627" priority="923" operator="lessThan">
      <formula>8</formula>
    </cfRule>
  </conditionalFormatting>
  <conditionalFormatting sqref="AF42 BI42 CL42 DO42 ER42">
    <cfRule type="cellIs" dxfId="3628" priority="916" operator="equal">
      <formula>0</formula>
    </cfRule>
    <cfRule type="cellIs" dxfId="3629" priority="917" operator="equal">
      <formula>8</formula>
    </cfRule>
    <cfRule type="cellIs" dxfId="3630" priority="918" operator="greaterThan">
      <formula>8</formula>
    </cfRule>
    <cfRule type="cellIs" dxfId="3631" priority="919" operator="lessThan">
      <formula>8</formula>
    </cfRule>
  </conditionalFormatting>
  <conditionalFormatting sqref="AF38 BI38 CL38 DO38 ER38">
    <cfRule type="cellIs" dxfId="3632" priority="912" operator="equal">
      <formula>0</formula>
    </cfRule>
    <cfRule type="cellIs" dxfId="3633" priority="913" operator="equal">
      <formula>8</formula>
    </cfRule>
    <cfRule type="cellIs" dxfId="3634" priority="914" operator="greaterThan">
      <formula>8</formula>
    </cfRule>
    <cfRule type="cellIs" dxfId="3635" priority="915" operator="lessThan">
      <formula>8</formula>
    </cfRule>
  </conditionalFormatting>
  <conditionalFormatting sqref="AF39 BI39 CL39 DO39 ER39">
    <cfRule type="cellIs" dxfId="3636" priority="908" operator="equal">
      <formula>0</formula>
    </cfRule>
    <cfRule type="cellIs" dxfId="3637" priority="909" operator="equal">
      <formula>8</formula>
    </cfRule>
    <cfRule type="cellIs" dxfId="3638" priority="910" operator="greaterThan">
      <formula>8</formula>
    </cfRule>
    <cfRule type="cellIs" dxfId="3639" priority="911" operator="lessThan">
      <formula>8</formula>
    </cfRule>
  </conditionalFormatting>
  <conditionalFormatting sqref="AF40 BI40 CL40 DO40 ER40">
    <cfRule type="cellIs" dxfId="3640" priority="904" operator="equal">
      <formula>0</formula>
    </cfRule>
    <cfRule type="cellIs" dxfId="3641" priority="905" operator="equal">
      <formula>8</formula>
    </cfRule>
    <cfRule type="cellIs" dxfId="3642" priority="906" operator="greaterThan">
      <formula>8</formula>
    </cfRule>
    <cfRule type="cellIs" dxfId="3643" priority="907" operator="lessThan">
      <formula>8</formula>
    </cfRule>
  </conditionalFormatting>
  <conditionalFormatting sqref="AF41 BI41 CL41 DO41 ER41">
    <cfRule type="cellIs" dxfId="3644" priority="900" operator="equal">
      <formula>0</formula>
    </cfRule>
    <cfRule type="cellIs" dxfId="3645" priority="901" operator="equal">
      <formula>8</formula>
    </cfRule>
    <cfRule type="cellIs" dxfId="3646" priority="902" operator="greaterThan">
      <formula>8</formula>
    </cfRule>
    <cfRule type="cellIs" dxfId="3647" priority="903" operator="lessThan">
      <formula>8</formula>
    </cfRule>
  </conditionalFormatting>
  <conditionalFormatting sqref="AF43 BI43 CL43 DO43 ER43">
    <cfRule type="cellIs" dxfId="3648" priority="896" operator="equal">
      <formula>0</formula>
    </cfRule>
    <cfRule type="cellIs" dxfId="3649" priority="897" operator="equal">
      <formula>8</formula>
    </cfRule>
    <cfRule type="cellIs" dxfId="3650" priority="898" operator="greaterThan">
      <formula>8</formula>
    </cfRule>
    <cfRule type="cellIs" dxfId="3651" priority="899" operator="lessThan">
      <formula>8</formula>
    </cfRule>
  </conditionalFormatting>
  <conditionalFormatting sqref="AF44 BI44 CL44 DO44 ER44">
    <cfRule type="cellIs" dxfId="3652" priority="892" operator="equal">
      <formula>0</formula>
    </cfRule>
    <cfRule type="cellIs" dxfId="3653" priority="893" operator="equal">
      <formula>8</formula>
    </cfRule>
    <cfRule type="cellIs" dxfId="3654" priority="894" operator="greaterThan">
      <formula>8</formula>
    </cfRule>
    <cfRule type="cellIs" dxfId="3655" priority="895" operator="lessThan">
      <formula>8</formula>
    </cfRule>
  </conditionalFormatting>
  <conditionalFormatting sqref="AF45 BI45 CL45 DO45 ER45">
    <cfRule type="cellIs" dxfId="3656" priority="888" operator="equal">
      <formula>0</formula>
    </cfRule>
    <cfRule type="cellIs" dxfId="3657" priority="889" operator="equal">
      <formula>8</formula>
    </cfRule>
    <cfRule type="cellIs" dxfId="3658" priority="890" operator="greaterThan">
      <formula>8</formula>
    </cfRule>
    <cfRule type="cellIs" dxfId="3659" priority="891" operator="lessThan">
      <formula>8</formula>
    </cfRule>
  </conditionalFormatting>
  <conditionalFormatting sqref="AF46:AF47 BI46:BI47 CL46:CL47 DO46:DO47 ER46:ER47">
    <cfRule type="cellIs" dxfId="3660" priority="884" operator="equal">
      <formula>0</formula>
    </cfRule>
    <cfRule type="cellIs" dxfId="3661" priority="885" operator="equal">
      <formula>8</formula>
    </cfRule>
    <cfRule type="cellIs" dxfId="3662" priority="886" operator="greaterThan">
      <formula>8</formula>
    </cfRule>
    <cfRule type="cellIs" dxfId="3663" priority="887" operator="lessThan">
      <formula>8</formula>
    </cfRule>
  </conditionalFormatting>
  <conditionalFormatting sqref="AF48 BI48 CL48 DO48 ER48">
    <cfRule type="cellIs" dxfId="3664" priority="880" operator="equal">
      <formula>0</formula>
    </cfRule>
    <cfRule type="cellIs" dxfId="3665" priority="881" operator="equal">
      <formula>8</formula>
    </cfRule>
    <cfRule type="cellIs" dxfId="3666" priority="882" operator="greaterThan">
      <formula>8</formula>
    </cfRule>
    <cfRule type="cellIs" dxfId="3667" priority="883" operator="lessThan">
      <formula>8</formula>
    </cfRule>
  </conditionalFormatting>
  <conditionalFormatting sqref="AF49 BI49 CL49 DO49 ER49">
    <cfRule type="cellIs" dxfId="3668" priority="876" operator="equal">
      <formula>0</formula>
    </cfRule>
    <cfRule type="cellIs" dxfId="3669" priority="877" operator="equal">
      <formula>8</formula>
    </cfRule>
    <cfRule type="cellIs" dxfId="3670" priority="878" operator="greaterThan">
      <formula>8</formula>
    </cfRule>
    <cfRule type="cellIs" dxfId="3671" priority="879" operator="lessThan">
      <formula>8</formula>
    </cfRule>
  </conditionalFormatting>
  <conditionalFormatting sqref="AF50 BI50 CL50 DO50 ER50">
    <cfRule type="cellIs" dxfId="3672" priority="872" operator="equal">
      <formula>0</formula>
    </cfRule>
    <cfRule type="cellIs" dxfId="3673" priority="873" operator="equal">
      <formula>8</formula>
    </cfRule>
    <cfRule type="cellIs" dxfId="3674" priority="874" operator="greaterThan">
      <formula>8</formula>
    </cfRule>
    <cfRule type="cellIs" dxfId="3675" priority="875" operator="lessThan">
      <formula>8</formula>
    </cfRule>
  </conditionalFormatting>
  <conditionalFormatting sqref="AF51 BI51 CL51 DO51 ER51">
    <cfRule type="cellIs" dxfId="3676" priority="868" operator="equal">
      <formula>0</formula>
    </cfRule>
    <cfRule type="cellIs" dxfId="3677" priority="869" operator="equal">
      <formula>8</formula>
    </cfRule>
    <cfRule type="cellIs" dxfId="3678" priority="870" operator="greaterThan">
      <formula>8</formula>
    </cfRule>
    <cfRule type="cellIs" dxfId="3679" priority="871" operator="lessThan">
      <formula>8</formula>
    </cfRule>
  </conditionalFormatting>
  <conditionalFormatting sqref="QB38 RE38 SH38 TK38 UN38">
    <cfRule type="cellIs" dxfId="3680" priority="864" operator="equal">
      <formula>0</formula>
    </cfRule>
    <cfRule type="cellIs" dxfId="3681" priority="865" operator="equal">
      <formula>8</formula>
    </cfRule>
    <cfRule type="cellIs" dxfId="3682" priority="866" operator="greaterThan">
      <formula>8</formula>
    </cfRule>
    <cfRule type="cellIs" dxfId="3683" priority="867" operator="lessThan">
      <formula>8</formula>
    </cfRule>
  </conditionalFormatting>
  <conditionalFormatting sqref="QB39 RE39 SH39 TK39 UN39">
    <cfRule type="cellIs" dxfId="3684" priority="860" operator="equal">
      <formula>0</formula>
    </cfRule>
    <cfRule type="cellIs" dxfId="3685" priority="861" operator="equal">
      <formula>8</formula>
    </cfRule>
    <cfRule type="cellIs" dxfId="3686" priority="862" operator="greaterThan">
      <formula>8</formula>
    </cfRule>
    <cfRule type="cellIs" dxfId="3687" priority="863" operator="lessThan">
      <formula>8</formula>
    </cfRule>
  </conditionalFormatting>
  <conditionalFormatting sqref="QB40 RE40 SH40 TK40 UN40">
    <cfRule type="cellIs" dxfId="3688" priority="856" operator="equal">
      <formula>0</formula>
    </cfRule>
    <cfRule type="cellIs" dxfId="3689" priority="857" operator="equal">
      <formula>8</formula>
    </cfRule>
    <cfRule type="cellIs" dxfId="3690" priority="858" operator="greaterThan">
      <formula>8</formula>
    </cfRule>
    <cfRule type="cellIs" dxfId="3691" priority="859" operator="lessThan">
      <formula>8</formula>
    </cfRule>
  </conditionalFormatting>
  <conditionalFormatting sqref="QB43 RE43 SH43 TK43 UN43">
    <cfRule type="cellIs" dxfId="3692" priority="852" operator="equal">
      <formula>0</formula>
    </cfRule>
    <cfRule type="cellIs" dxfId="3693" priority="853" operator="equal">
      <formula>8</formula>
    </cfRule>
    <cfRule type="cellIs" dxfId="3694" priority="854" operator="greaterThan">
      <formula>8</formula>
    </cfRule>
    <cfRule type="cellIs" dxfId="3695" priority="855" operator="lessThan">
      <formula>8</formula>
    </cfRule>
  </conditionalFormatting>
  <conditionalFormatting sqref="QB44 RE44 SH44 TK44 UN44">
    <cfRule type="cellIs" dxfId="3696" priority="848" operator="equal">
      <formula>0</formula>
    </cfRule>
    <cfRule type="cellIs" dxfId="3697" priority="849" operator="equal">
      <formula>8</formula>
    </cfRule>
    <cfRule type="cellIs" dxfId="3698" priority="850" operator="greaterThan">
      <formula>8</formula>
    </cfRule>
    <cfRule type="cellIs" dxfId="3699" priority="851" operator="lessThan">
      <formula>8</formula>
    </cfRule>
  </conditionalFormatting>
  <conditionalFormatting sqref="QB45 RE45 SH45 TK45 UN45">
    <cfRule type="cellIs" dxfId="3700" priority="844" operator="equal">
      <formula>0</formula>
    </cfRule>
    <cfRule type="cellIs" dxfId="3701" priority="845" operator="equal">
      <formula>8</formula>
    </cfRule>
    <cfRule type="cellIs" dxfId="3702" priority="846" operator="greaterThan">
      <formula>8</formula>
    </cfRule>
    <cfRule type="cellIs" dxfId="3703" priority="847" operator="lessThan">
      <formula>8</formula>
    </cfRule>
  </conditionalFormatting>
  <conditionalFormatting sqref="QB46 RE46 SH46 TK46 UN46">
    <cfRule type="cellIs" dxfId="3704" priority="840" operator="equal">
      <formula>0</formula>
    </cfRule>
    <cfRule type="cellIs" dxfId="3705" priority="841" operator="equal">
      <formula>8</formula>
    </cfRule>
    <cfRule type="cellIs" dxfId="3706" priority="842" operator="greaterThan">
      <formula>8</formula>
    </cfRule>
    <cfRule type="cellIs" dxfId="3707" priority="843" operator="lessThan">
      <formula>8</formula>
    </cfRule>
  </conditionalFormatting>
  <conditionalFormatting sqref="QB48 RE48 SH48 TK48 UN48">
    <cfRule type="cellIs" dxfId="3708" priority="836" operator="equal">
      <formula>0</formula>
    </cfRule>
    <cfRule type="cellIs" dxfId="3709" priority="837" operator="equal">
      <formula>8</formula>
    </cfRule>
    <cfRule type="cellIs" dxfId="3710" priority="838" operator="greaterThan">
      <formula>8</formula>
    </cfRule>
    <cfRule type="cellIs" dxfId="3711" priority="839" operator="lessThan">
      <formula>8</formula>
    </cfRule>
  </conditionalFormatting>
  <conditionalFormatting sqref="QB49 RE49 SH49 TK49 UN49">
    <cfRule type="cellIs" dxfId="3712" priority="832" operator="equal">
      <formula>0</formula>
    </cfRule>
    <cfRule type="cellIs" dxfId="3713" priority="833" operator="equal">
      <formula>8</formula>
    </cfRule>
    <cfRule type="cellIs" dxfId="3714" priority="834" operator="greaterThan">
      <formula>8</formula>
    </cfRule>
    <cfRule type="cellIs" dxfId="3715" priority="835" operator="lessThan">
      <formula>8</formula>
    </cfRule>
  </conditionalFormatting>
  <conditionalFormatting sqref="QB50 RE50 SH50 TK50 UN50">
    <cfRule type="cellIs" dxfId="3716" priority="828" operator="equal">
      <formula>0</formula>
    </cfRule>
    <cfRule type="cellIs" dxfId="3717" priority="829" operator="equal">
      <formula>8</formula>
    </cfRule>
    <cfRule type="cellIs" dxfId="3718" priority="830" operator="greaterThan">
      <formula>8</formula>
    </cfRule>
    <cfRule type="cellIs" dxfId="3719" priority="831" operator="lessThan">
      <formula>8</formula>
    </cfRule>
  </conditionalFormatting>
  <conditionalFormatting sqref="QB51 RE51 SH51 TK51 UN51">
    <cfRule type="cellIs" dxfId="3720" priority="824" operator="equal">
      <formula>0</formula>
    </cfRule>
    <cfRule type="cellIs" dxfId="3721" priority="825" operator="equal">
      <formula>8</formula>
    </cfRule>
    <cfRule type="cellIs" dxfId="3722" priority="826" operator="greaterThan">
      <formula>8</formula>
    </cfRule>
    <cfRule type="cellIs" dxfId="3723" priority="827" operator="lessThan">
      <formula>8</formula>
    </cfRule>
  </conditionalFormatting>
  <conditionalFormatting sqref="XZ41 ZC41 AAF41 ABI41 ACL41">
    <cfRule type="cellIs" dxfId="3724" priority="820" operator="equal">
      <formula>0</formula>
    </cfRule>
    <cfRule type="cellIs" dxfId="3725" priority="821" operator="equal">
      <formula>8</formula>
    </cfRule>
    <cfRule type="cellIs" dxfId="3726" priority="822" operator="greaterThan">
      <formula>8</formula>
    </cfRule>
    <cfRule type="cellIs" dxfId="3727" priority="823" operator="lessThan">
      <formula>8</formula>
    </cfRule>
  </conditionalFormatting>
  <conditionalFormatting sqref="XZ42 ZC42 AAF42 ABI42 ACL42">
    <cfRule type="cellIs" dxfId="3728" priority="816" operator="equal">
      <formula>0</formula>
    </cfRule>
    <cfRule type="cellIs" dxfId="3729" priority="817" operator="equal">
      <formula>8</formula>
    </cfRule>
    <cfRule type="cellIs" dxfId="3730" priority="818" operator="greaterThan">
      <formula>8</formula>
    </cfRule>
    <cfRule type="cellIs" dxfId="3731" priority="819" operator="lessThan">
      <formula>8</formula>
    </cfRule>
  </conditionalFormatting>
  <conditionalFormatting sqref="XZ39 ZC39 AAF39 ABI39 ACL39">
    <cfRule type="cellIs" dxfId="3732" priority="812" operator="equal">
      <formula>0</formula>
    </cfRule>
    <cfRule type="cellIs" dxfId="3733" priority="813" operator="equal">
      <formula>8</formula>
    </cfRule>
    <cfRule type="cellIs" dxfId="3734" priority="814" operator="greaterThan">
      <formula>8</formula>
    </cfRule>
    <cfRule type="cellIs" dxfId="3735" priority="815" operator="lessThan">
      <formula>8</formula>
    </cfRule>
  </conditionalFormatting>
  <conditionalFormatting sqref="XZ46 ZC46 AAF46 ABI46 ACL46">
    <cfRule type="cellIs" dxfId="3736" priority="808" operator="equal">
      <formula>0</formula>
    </cfRule>
    <cfRule type="cellIs" dxfId="3737" priority="809" operator="equal">
      <formula>8</formula>
    </cfRule>
    <cfRule type="cellIs" dxfId="3738" priority="810" operator="greaterThan">
      <formula>8</formula>
    </cfRule>
    <cfRule type="cellIs" dxfId="3739" priority="811" operator="lessThan">
      <formula>8</formula>
    </cfRule>
  </conditionalFormatting>
  <conditionalFormatting sqref="XZ45 ZC45 AAF45 ABI45 ACL45">
    <cfRule type="cellIs" dxfId="3740" priority="804" operator="equal">
      <formula>0</formula>
    </cfRule>
    <cfRule type="cellIs" dxfId="3741" priority="805" operator="equal">
      <formula>8</formula>
    </cfRule>
    <cfRule type="cellIs" dxfId="3742" priority="806" operator="greaterThan">
      <formula>8</formula>
    </cfRule>
    <cfRule type="cellIs" dxfId="3743" priority="807" operator="lessThan">
      <formula>8</formula>
    </cfRule>
  </conditionalFormatting>
  <conditionalFormatting sqref="QB41 RE41 SH41 TK41 UN41">
    <cfRule type="cellIs" dxfId="3744" priority="800" operator="equal">
      <formula>0</formula>
    </cfRule>
    <cfRule type="cellIs" dxfId="3745" priority="801" operator="equal">
      <formula>8</formula>
    </cfRule>
    <cfRule type="cellIs" dxfId="3746" priority="802" operator="greaterThan">
      <formula>8</formula>
    </cfRule>
    <cfRule type="cellIs" dxfId="3747" priority="803" operator="lessThan">
      <formula>8</formula>
    </cfRule>
  </conditionalFormatting>
  <conditionalFormatting sqref="QB42 RE42 SH42 TK42 UN42">
    <cfRule type="cellIs" dxfId="3748" priority="796" operator="equal">
      <formula>0</formula>
    </cfRule>
    <cfRule type="cellIs" dxfId="3749" priority="797" operator="equal">
      <formula>8</formula>
    </cfRule>
    <cfRule type="cellIs" dxfId="3750" priority="798" operator="greaterThan">
      <formula>8</formula>
    </cfRule>
    <cfRule type="cellIs" dxfId="3751" priority="799" operator="lessThan">
      <formula>8</formula>
    </cfRule>
  </conditionalFormatting>
  <conditionalFormatting sqref="XZ38 ZC38 AAF38 ABI38 ACL38">
    <cfRule type="cellIs" dxfId="3752" priority="792" operator="equal">
      <formula>0</formula>
    </cfRule>
    <cfRule type="cellIs" dxfId="3753" priority="793" operator="equal">
      <formula>8</formula>
    </cfRule>
    <cfRule type="cellIs" dxfId="3754" priority="794" operator="greaterThan">
      <formula>8</formula>
    </cfRule>
    <cfRule type="cellIs" dxfId="3755" priority="795" operator="lessThan">
      <formula>8</formula>
    </cfRule>
  </conditionalFormatting>
  <conditionalFormatting sqref="XZ40 ZC40 AAF40 ABI40 ACL40">
    <cfRule type="cellIs" dxfId="3756" priority="788" operator="equal">
      <formula>0</formula>
    </cfRule>
    <cfRule type="cellIs" dxfId="3757" priority="789" operator="equal">
      <formula>8</formula>
    </cfRule>
    <cfRule type="cellIs" dxfId="3758" priority="790" operator="greaterThan">
      <formula>8</formula>
    </cfRule>
    <cfRule type="cellIs" dxfId="3759" priority="791" operator="lessThan">
      <formula>8</formula>
    </cfRule>
  </conditionalFormatting>
  <conditionalFormatting sqref="XZ43 ZC43 AAF43 ABI43 ACL43">
    <cfRule type="cellIs" dxfId="3760" priority="784" operator="equal">
      <formula>0</formula>
    </cfRule>
    <cfRule type="cellIs" dxfId="3761" priority="785" operator="equal">
      <formula>8</formula>
    </cfRule>
    <cfRule type="cellIs" dxfId="3762" priority="786" operator="greaterThan">
      <formula>8</formula>
    </cfRule>
    <cfRule type="cellIs" dxfId="3763" priority="787" operator="lessThan">
      <formula>8</formula>
    </cfRule>
  </conditionalFormatting>
  <conditionalFormatting sqref="XZ44 ZC44 AAF44 ABI44 ACL44">
    <cfRule type="cellIs" dxfId="3764" priority="780" operator="equal">
      <formula>0</formula>
    </cfRule>
    <cfRule type="cellIs" dxfId="3765" priority="781" operator="equal">
      <formula>8</formula>
    </cfRule>
    <cfRule type="cellIs" dxfId="3766" priority="782" operator="greaterThan">
      <formula>8</formula>
    </cfRule>
    <cfRule type="cellIs" dxfId="3767" priority="783" operator="lessThan">
      <formula>8</formula>
    </cfRule>
  </conditionalFormatting>
  <conditionalFormatting sqref="XZ48 ZC48 AAF48 ABI48 ACL48">
    <cfRule type="cellIs" dxfId="3768" priority="776" operator="equal">
      <formula>0</formula>
    </cfRule>
    <cfRule type="cellIs" dxfId="3769" priority="777" operator="equal">
      <formula>8</formula>
    </cfRule>
    <cfRule type="cellIs" dxfId="3770" priority="778" operator="greaterThan">
      <formula>8</formula>
    </cfRule>
    <cfRule type="cellIs" dxfId="3771" priority="779" operator="lessThan">
      <formula>8</formula>
    </cfRule>
  </conditionalFormatting>
  <conditionalFormatting sqref="XZ50 ZC50 AAF50 ABI50 ACL50">
    <cfRule type="cellIs" dxfId="3772" priority="772" operator="equal">
      <formula>0</formula>
    </cfRule>
    <cfRule type="cellIs" dxfId="3773" priority="773" operator="equal">
      <formula>8</formula>
    </cfRule>
    <cfRule type="cellIs" dxfId="3774" priority="774" operator="greaterThan">
      <formula>8</formula>
    </cfRule>
    <cfRule type="cellIs" dxfId="3775" priority="775" operator="lessThan">
      <formula>8</formula>
    </cfRule>
  </conditionalFormatting>
  <conditionalFormatting sqref="XZ51 ZC51 AAF51 ABI51 ACL51">
    <cfRule type="cellIs" dxfId="3776" priority="768" operator="equal">
      <formula>0</formula>
    </cfRule>
    <cfRule type="cellIs" dxfId="3777" priority="769" operator="equal">
      <formula>8</formula>
    </cfRule>
    <cfRule type="cellIs" dxfId="3778" priority="770" operator="greaterThan">
      <formula>8</formula>
    </cfRule>
    <cfRule type="cellIs" dxfId="3779" priority="771" operator="lessThan">
      <formula>8</formula>
    </cfRule>
  </conditionalFormatting>
  <conditionalFormatting sqref="XZ49 ZC49 AAF49 ABI49 ACL49">
    <cfRule type="cellIs" dxfId="3780" priority="764" operator="equal">
      <formula>0</formula>
    </cfRule>
    <cfRule type="cellIs" dxfId="3781" priority="765" operator="equal">
      <formula>8</formula>
    </cfRule>
    <cfRule type="cellIs" dxfId="3782" priority="766" operator="greaterThan">
      <formula>8</formula>
    </cfRule>
    <cfRule type="cellIs" dxfId="3783" priority="767" operator="lessThan">
      <formula>8</formula>
    </cfRule>
  </conditionalFormatting>
  <conditionalFormatting sqref="ID38 JG38 KJ38 LM38 MP38">
    <cfRule type="cellIs" dxfId="3784" priority="760" operator="equal">
      <formula>0</formula>
    </cfRule>
    <cfRule type="cellIs" dxfId="3785" priority="761" operator="equal">
      <formula>8</formula>
    </cfRule>
    <cfRule type="cellIs" dxfId="3786" priority="762" operator="greaterThan">
      <formula>8</formula>
    </cfRule>
    <cfRule type="cellIs" dxfId="3787" priority="763" operator="lessThan">
      <formula>8</formula>
    </cfRule>
  </conditionalFormatting>
  <conditionalFormatting sqref="ID39 JG39 KJ39 LM39 MP39">
    <cfRule type="cellIs" dxfId="3788" priority="756" operator="equal">
      <formula>0</formula>
    </cfRule>
    <cfRule type="cellIs" dxfId="3789" priority="757" operator="equal">
      <formula>8</formula>
    </cfRule>
    <cfRule type="cellIs" dxfId="3790" priority="758" operator="greaterThan">
      <formula>8</formula>
    </cfRule>
    <cfRule type="cellIs" dxfId="3791" priority="759" operator="lessThan">
      <formula>8</formula>
    </cfRule>
  </conditionalFormatting>
  <conditionalFormatting sqref="ID40 JG40 KJ40 LM40 MP40">
    <cfRule type="cellIs" dxfId="3792" priority="752" operator="equal">
      <formula>0</formula>
    </cfRule>
    <cfRule type="cellIs" dxfId="3793" priority="753" operator="equal">
      <formula>8</formula>
    </cfRule>
    <cfRule type="cellIs" dxfId="3794" priority="754" operator="greaterThan">
      <formula>8</formula>
    </cfRule>
    <cfRule type="cellIs" dxfId="3795" priority="755" operator="lessThan">
      <formula>8</formula>
    </cfRule>
  </conditionalFormatting>
  <conditionalFormatting sqref="ID41 JG41 KJ41 LM41 MP41">
    <cfRule type="cellIs" dxfId="3796" priority="748" operator="equal">
      <formula>0</formula>
    </cfRule>
    <cfRule type="cellIs" dxfId="3797" priority="749" operator="equal">
      <formula>8</formula>
    </cfRule>
    <cfRule type="cellIs" dxfId="3798" priority="750" operator="greaterThan">
      <formula>8</formula>
    </cfRule>
    <cfRule type="cellIs" dxfId="3799" priority="751" operator="lessThan">
      <formula>8</formula>
    </cfRule>
  </conditionalFormatting>
  <conditionalFormatting sqref="ID43 JG43 KJ43 LM43 MP43">
    <cfRule type="cellIs" dxfId="3800" priority="744" operator="equal">
      <formula>0</formula>
    </cfRule>
    <cfRule type="cellIs" dxfId="3801" priority="745" operator="equal">
      <formula>8</formula>
    </cfRule>
    <cfRule type="cellIs" dxfId="3802" priority="746" operator="greaterThan">
      <formula>8</formula>
    </cfRule>
    <cfRule type="cellIs" dxfId="3803" priority="747" operator="lessThan">
      <formula>8</formula>
    </cfRule>
  </conditionalFormatting>
  <conditionalFormatting sqref="ID44 JG44 KJ44 LM44 MP44">
    <cfRule type="cellIs" dxfId="3804" priority="740" operator="equal">
      <formula>0</formula>
    </cfRule>
    <cfRule type="cellIs" dxfId="3805" priority="741" operator="equal">
      <formula>8</formula>
    </cfRule>
    <cfRule type="cellIs" dxfId="3806" priority="742" operator="greaterThan">
      <formula>8</formula>
    </cfRule>
    <cfRule type="cellIs" dxfId="3807" priority="743" operator="lessThan">
      <formula>8</formula>
    </cfRule>
  </conditionalFormatting>
  <conditionalFormatting sqref="ID45 JG45 KJ45 LM45 MP45">
    <cfRule type="cellIs" dxfId="3808" priority="736" operator="equal">
      <formula>0</formula>
    </cfRule>
    <cfRule type="cellIs" dxfId="3809" priority="737" operator="equal">
      <formula>8</formula>
    </cfRule>
    <cfRule type="cellIs" dxfId="3810" priority="738" operator="greaterThan">
      <formula>8</formula>
    </cfRule>
    <cfRule type="cellIs" dxfId="3811" priority="739" operator="lessThan">
      <formula>8</formula>
    </cfRule>
  </conditionalFormatting>
  <conditionalFormatting sqref="ID46 JG46 KJ46 LM46 MP46">
    <cfRule type="cellIs" dxfId="3812" priority="732" operator="equal">
      <formula>0</formula>
    </cfRule>
    <cfRule type="cellIs" dxfId="3813" priority="733" operator="equal">
      <formula>8</formula>
    </cfRule>
    <cfRule type="cellIs" dxfId="3814" priority="734" operator="greaterThan">
      <formula>8</formula>
    </cfRule>
    <cfRule type="cellIs" dxfId="3815" priority="735" operator="lessThan">
      <formula>8</formula>
    </cfRule>
  </conditionalFormatting>
  <conditionalFormatting sqref="ID48 JG48 KJ48 LM48 MP48">
    <cfRule type="cellIs" dxfId="3816" priority="728" operator="equal">
      <formula>0</formula>
    </cfRule>
    <cfRule type="cellIs" dxfId="3817" priority="729" operator="equal">
      <formula>8</formula>
    </cfRule>
    <cfRule type="cellIs" dxfId="3818" priority="730" operator="greaterThan">
      <formula>8</formula>
    </cfRule>
    <cfRule type="cellIs" dxfId="3819" priority="731" operator="lessThan">
      <formula>8</formula>
    </cfRule>
  </conditionalFormatting>
  <conditionalFormatting sqref="ID50 JG50 KJ50 LM50 MP50">
    <cfRule type="cellIs" dxfId="3820" priority="724" operator="equal">
      <formula>0</formula>
    </cfRule>
    <cfRule type="cellIs" dxfId="3821" priority="725" operator="equal">
      <formula>8</formula>
    </cfRule>
    <cfRule type="cellIs" dxfId="3822" priority="726" operator="greaterThan">
      <formula>8</formula>
    </cfRule>
    <cfRule type="cellIs" dxfId="3823" priority="727" operator="lessThan">
      <formula>8</formula>
    </cfRule>
  </conditionalFormatting>
  <conditionalFormatting sqref="ID51 JG51 KJ51 LM51 MP51">
    <cfRule type="cellIs" dxfId="3824" priority="720" operator="equal">
      <formula>0</formula>
    </cfRule>
    <cfRule type="cellIs" dxfId="3825" priority="721" operator="equal">
      <formula>8</formula>
    </cfRule>
    <cfRule type="cellIs" dxfId="3826" priority="722" operator="greaterThan">
      <formula>8</formula>
    </cfRule>
    <cfRule type="cellIs" dxfId="3827" priority="723" operator="lessThan">
      <formula>8</formula>
    </cfRule>
  </conditionalFormatting>
  <conditionalFormatting sqref="ID49 JG49 KJ49 LM49 MP49">
    <cfRule type="cellIs" dxfId="3828" priority="716" operator="equal">
      <formula>0</formula>
    </cfRule>
    <cfRule type="cellIs" dxfId="3829" priority="717" operator="equal">
      <formula>8</formula>
    </cfRule>
    <cfRule type="cellIs" dxfId="3830" priority="718" operator="greaterThan">
      <formula>8</formula>
    </cfRule>
    <cfRule type="cellIs" dxfId="3831" priority="719" operator="lessThan">
      <formula>8</formula>
    </cfRule>
  </conditionalFormatting>
  <conditionalFormatting sqref="ID42 JG42 KJ42 LM42 MP42">
    <cfRule type="cellIs" dxfId="3832" priority="712" operator="equal">
      <formula>0</formula>
    </cfRule>
    <cfRule type="cellIs" dxfId="3833" priority="713" operator="equal">
      <formula>8</formula>
    </cfRule>
    <cfRule type="cellIs" dxfId="3834" priority="714" operator="greaterThan">
      <formula>8</formula>
    </cfRule>
    <cfRule type="cellIs" dxfId="3835" priority="715" operator="lessThan">
      <formula>8</formula>
    </cfRule>
  </conditionalFormatting>
  <conditionalFormatting sqref="AFX41 AHA41 AID41 AJG41 AKJ41">
    <cfRule type="cellIs" dxfId="3836" priority="708" operator="equal">
      <formula>0</formula>
    </cfRule>
    <cfRule type="cellIs" dxfId="3837" priority="709" operator="equal">
      <formula>8</formula>
    </cfRule>
    <cfRule type="cellIs" dxfId="3838" priority="710" operator="greaterThan">
      <formula>8</formula>
    </cfRule>
    <cfRule type="cellIs" dxfId="3839" priority="711" operator="lessThan">
      <formula>8</formula>
    </cfRule>
  </conditionalFormatting>
  <conditionalFormatting sqref="AFX42 AHA42 AID42 AJG42 AKJ42">
    <cfRule type="cellIs" dxfId="3840" priority="704" operator="equal">
      <formula>0</formula>
    </cfRule>
    <cfRule type="cellIs" dxfId="3841" priority="705" operator="equal">
      <formula>8</formula>
    </cfRule>
    <cfRule type="cellIs" dxfId="3842" priority="706" operator="greaterThan">
      <formula>8</formula>
    </cfRule>
    <cfRule type="cellIs" dxfId="3843" priority="707" operator="lessThan">
      <formula>8</formula>
    </cfRule>
  </conditionalFormatting>
  <conditionalFormatting sqref="AFX43 AHA43 AID43 AJG43 AKJ43">
    <cfRule type="cellIs" dxfId="3844" priority="700" operator="equal">
      <formula>0</formula>
    </cfRule>
    <cfRule type="cellIs" dxfId="3845" priority="701" operator="equal">
      <formula>8</formula>
    </cfRule>
    <cfRule type="cellIs" dxfId="3846" priority="702" operator="greaterThan">
      <formula>8</formula>
    </cfRule>
    <cfRule type="cellIs" dxfId="3847" priority="703" operator="lessThan">
      <formula>8</formula>
    </cfRule>
  </conditionalFormatting>
  <conditionalFormatting sqref="AFX44 AHA44 AID44 AJG44 AKJ44">
    <cfRule type="cellIs" dxfId="3848" priority="696" operator="equal">
      <formula>0</formula>
    </cfRule>
    <cfRule type="cellIs" dxfId="3849" priority="697" operator="equal">
      <formula>8</formula>
    </cfRule>
    <cfRule type="cellIs" dxfId="3850" priority="698" operator="greaterThan">
      <formula>8</formula>
    </cfRule>
    <cfRule type="cellIs" dxfId="3851" priority="699" operator="lessThan">
      <formula>8</formula>
    </cfRule>
  </conditionalFormatting>
  <conditionalFormatting sqref="AFX45 AHA45 AID45 AJG45 AKJ45">
    <cfRule type="cellIs" dxfId="3852" priority="692" operator="equal">
      <formula>0</formula>
    </cfRule>
    <cfRule type="cellIs" dxfId="3853" priority="693" operator="equal">
      <formula>8</formula>
    </cfRule>
    <cfRule type="cellIs" dxfId="3854" priority="694" operator="greaterThan">
      <formula>8</formula>
    </cfRule>
    <cfRule type="cellIs" dxfId="3855" priority="695" operator="lessThan">
      <formula>8</formula>
    </cfRule>
  </conditionalFormatting>
  <conditionalFormatting sqref="AFX46 AHA46 AID46 AJG46 AKJ46">
    <cfRule type="cellIs" dxfId="3856" priority="688" operator="equal">
      <formula>0</formula>
    </cfRule>
    <cfRule type="cellIs" dxfId="3857" priority="689" operator="equal">
      <formula>8</formula>
    </cfRule>
    <cfRule type="cellIs" dxfId="3858" priority="690" operator="greaterThan">
      <formula>8</formula>
    </cfRule>
    <cfRule type="cellIs" dxfId="3859" priority="691" operator="lessThan">
      <formula>8</formula>
    </cfRule>
  </conditionalFormatting>
  <conditionalFormatting sqref="AFX48 AHA48 AID48 AJG48 AKJ48">
    <cfRule type="cellIs" dxfId="3860" priority="684" operator="equal">
      <formula>0</formula>
    </cfRule>
    <cfRule type="cellIs" dxfId="3861" priority="685" operator="equal">
      <formula>8</formula>
    </cfRule>
    <cfRule type="cellIs" dxfId="3862" priority="686" operator="greaterThan">
      <formula>8</formula>
    </cfRule>
    <cfRule type="cellIs" dxfId="3863" priority="687" operator="lessThan">
      <formula>8</formula>
    </cfRule>
  </conditionalFormatting>
  <conditionalFormatting sqref="AFX49 AHA49 AID49 AJG49 AKJ49">
    <cfRule type="cellIs" dxfId="3864" priority="680" operator="equal">
      <formula>0</formula>
    </cfRule>
    <cfRule type="cellIs" dxfId="3865" priority="681" operator="equal">
      <formula>8</formula>
    </cfRule>
    <cfRule type="cellIs" dxfId="3866" priority="682" operator="greaterThan">
      <formula>8</formula>
    </cfRule>
    <cfRule type="cellIs" dxfId="3867" priority="683" operator="lessThan">
      <formula>8</formula>
    </cfRule>
  </conditionalFormatting>
  <conditionalFormatting sqref="AFX50 AHA50 AID50 AJG50 AKJ50">
    <cfRule type="cellIs" dxfId="3868" priority="676" operator="equal">
      <formula>0</formula>
    </cfRule>
    <cfRule type="cellIs" dxfId="3869" priority="677" operator="equal">
      <formula>8</formula>
    </cfRule>
    <cfRule type="cellIs" dxfId="3870" priority="678" operator="greaterThan">
      <formula>8</formula>
    </cfRule>
    <cfRule type="cellIs" dxfId="3871" priority="679" operator="lessThan">
      <formula>8</formula>
    </cfRule>
  </conditionalFormatting>
  <conditionalFormatting sqref="AFX51 AHA51 AID51 AJG51 AKJ51">
    <cfRule type="cellIs" dxfId="3872" priority="672" operator="equal">
      <formula>0</formula>
    </cfRule>
    <cfRule type="cellIs" dxfId="3873" priority="673" operator="equal">
      <formula>8</formula>
    </cfRule>
    <cfRule type="cellIs" dxfId="3874" priority="674" operator="greaterThan">
      <formula>8</formula>
    </cfRule>
    <cfRule type="cellIs" dxfId="3875" priority="675" operator="lessThan">
      <formula>8</formula>
    </cfRule>
  </conditionalFormatting>
  <conditionalFormatting sqref="AFX38 AHA38 AID38 AJG38 AKJ38">
    <cfRule type="cellIs" dxfId="3876" priority="668" operator="equal">
      <formula>0</formula>
    </cfRule>
    <cfRule type="cellIs" dxfId="3877" priority="669" operator="equal">
      <formula>8</formula>
    </cfRule>
    <cfRule type="cellIs" dxfId="3878" priority="670" operator="greaterThan">
      <formula>8</formula>
    </cfRule>
    <cfRule type="cellIs" dxfId="3879" priority="671" operator="lessThan">
      <formula>8</formula>
    </cfRule>
  </conditionalFormatting>
  <conditionalFormatting sqref="AFX39 AHA39 AID39 AJG39 AKJ39">
    <cfRule type="cellIs" dxfId="3880" priority="664" operator="equal">
      <formula>0</formula>
    </cfRule>
    <cfRule type="cellIs" dxfId="3881" priority="665" operator="equal">
      <formula>8</formula>
    </cfRule>
    <cfRule type="cellIs" dxfId="3882" priority="666" operator="greaterThan">
      <formula>8</formula>
    </cfRule>
    <cfRule type="cellIs" dxfId="3883" priority="667" operator="lessThan">
      <formula>8</formula>
    </cfRule>
  </conditionalFormatting>
  <conditionalFormatting sqref="AFX40 AHA40 AID40 AJG40 AKJ40">
    <cfRule type="cellIs" dxfId="3884" priority="660" operator="equal">
      <formula>0</formula>
    </cfRule>
    <cfRule type="cellIs" dxfId="3885" priority="661" operator="equal">
      <formula>8</formula>
    </cfRule>
    <cfRule type="cellIs" dxfId="3886" priority="662" operator="greaterThan">
      <formula>8</formula>
    </cfRule>
    <cfRule type="cellIs" dxfId="3887" priority="663" operator="lessThan">
      <formula>8</formula>
    </cfRule>
  </conditionalFormatting>
  <conditionalFormatting sqref="HA79 AMS79">
    <cfRule type="cellIs" dxfId="3888" priority="659" operator="greaterThan">
      <formula>0</formula>
    </cfRule>
  </conditionalFormatting>
  <conditionalFormatting sqref="GZ79">
    <cfRule type="cellIs" dxfId="3889" priority="658" operator="greaterThan">
      <formula>0</formula>
    </cfRule>
  </conditionalFormatting>
  <conditionalFormatting sqref="GY79 AMQ79">
    <cfRule type="cellIs" dxfId="3890" priority="657" operator="greaterThan">
      <formula>0</formula>
    </cfRule>
  </conditionalFormatting>
  <conditionalFormatting sqref="GY79:GZ79 AMQ79">
    <cfRule type="cellIs" dxfId="3891" priority="656" operator="equal">
      <formula>0</formula>
    </cfRule>
  </conditionalFormatting>
  <conditionalFormatting sqref="ALM79 AMP79">
    <cfRule type="cellIs" dxfId="3892" priority="652" operator="equal">
      <formula>0</formula>
    </cfRule>
    <cfRule type="cellIs" dxfId="3893" priority="653" operator="equal">
      <formula>8</formula>
    </cfRule>
    <cfRule type="cellIs" dxfId="3894" priority="654" operator="greaterThan">
      <formula>8</formula>
    </cfRule>
    <cfRule type="cellIs" dxfId="3895" priority="655" operator="lessThan">
      <formula>8</formula>
    </cfRule>
  </conditionalFormatting>
  <conditionalFormatting sqref="OY79 WW79 AEU79">
    <cfRule type="cellIs" dxfId="3896" priority="651" operator="greaterThan">
      <formula>0</formula>
    </cfRule>
  </conditionalFormatting>
  <conditionalFormatting sqref="OW79 WU79 AES79">
    <cfRule type="cellIs" dxfId="3897" priority="650" operator="greaterThan">
      <formula>0</formula>
    </cfRule>
    <cfRule type="cellIs" dxfId="3898" priority="649" operator="equal">
      <formula>0</formula>
    </cfRule>
  </conditionalFormatting>
  <conditionalFormatting sqref="NS79 OV79 VQ79 WT79 ADO79 AER79">
    <cfRule type="cellIs" dxfId="3899" priority="645" operator="equal">
      <formula>0</formula>
    </cfRule>
    <cfRule type="cellIs" dxfId="3900" priority="646" operator="equal">
      <formula>8</formula>
    </cfRule>
    <cfRule type="cellIs" dxfId="3901" priority="647" operator="greaterThan">
      <formula>8</formula>
    </cfRule>
    <cfRule type="cellIs" dxfId="3902" priority="648" operator="lessThan">
      <formula>8</formula>
    </cfRule>
  </conditionalFormatting>
  <conditionalFormatting sqref="ID79 JG79 KJ79 MP79">
    <cfRule type="cellIs" dxfId="3903" priority="641" operator="equal">
      <formula>0</formula>
    </cfRule>
    <cfRule type="cellIs" dxfId="3904" priority="642" operator="equal">
      <formula>8</formula>
    </cfRule>
    <cfRule type="cellIs" dxfId="3905" priority="643" operator="greaterThan">
      <formula>8</formula>
    </cfRule>
    <cfRule type="cellIs" dxfId="3906" priority="644" operator="lessThan">
      <formula>8</formula>
    </cfRule>
  </conditionalFormatting>
  <conditionalFormatting sqref="QB79 RE79 SH79 TK79 UN79">
    <cfRule type="cellIs" dxfId="3907" priority="637" operator="equal">
      <formula>0</formula>
    </cfRule>
    <cfRule type="cellIs" dxfId="3908" priority="638" operator="equal">
      <formula>8</formula>
    </cfRule>
    <cfRule type="cellIs" dxfId="3909" priority="639" operator="greaterThan">
      <formula>8</formula>
    </cfRule>
    <cfRule type="cellIs" dxfId="3910" priority="640" operator="lessThan">
      <formula>8</formula>
    </cfRule>
    <cfRule type="cellIs" dxfId="3911" priority="633" operator="equal">
      <formula>0</formula>
    </cfRule>
    <cfRule type="cellIs" dxfId="3912" priority="634" operator="equal">
      <formula>8</formula>
    </cfRule>
    <cfRule type="cellIs" dxfId="3913" priority="635" operator="greaterThan">
      <formula>8</formula>
    </cfRule>
    <cfRule type="cellIs" dxfId="3914" priority="636" operator="lessThan">
      <formula>8</formula>
    </cfRule>
  </conditionalFormatting>
  <conditionalFormatting sqref="XZ79 ZC79 AAF79 ABI79 ACL79">
    <cfRule type="cellIs" dxfId="3915" priority="629" operator="equal">
      <formula>0</formula>
    </cfRule>
    <cfRule type="cellIs" dxfId="3916" priority="630" operator="equal">
      <formula>8</formula>
    </cfRule>
    <cfRule type="cellIs" dxfId="3917" priority="631" operator="greaterThan">
      <formula>8</formula>
    </cfRule>
    <cfRule type="cellIs" dxfId="3918" priority="632" operator="lessThan">
      <formula>8</formula>
    </cfRule>
  </conditionalFormatting>
  <conditionalFormatting sqref="XZ79">
    <cfRule type="cellIs" dxfId="3919" priority="625" operator="equal">
      <formula>0</formula>
    </cfRule>
    <cfRule type="cellIs" dxfId="3920" priority="626" operator="equal">
      <formula>8</formula>
    </cfRule>
    <cfRule type="cellIs" dxfId="3921" priority="627" operator="greaterThan">
      <formula>8</formula>
    </cfRule>
    <cfRule type="cellIs" dxfId="3922" priority="628" operator="lessThan">
      <formula>8</formula>
    </cfRule>
  </conditionalFormatting>
  <conditionalFormatting sqref="AFX79 AID79 AJG79 AKJ79">
    <cfRule type="cellIs" dxfId="3923" priority="621" operator="equal">
      <formula>0</formula>
    </cfRule>
    <cfRule type="cellIs" dxfId="3924" priority="622" operator="equal">
      <formula>8</formula>
    </cfRule>
    <cfRule type="cellIs" dxfId="3925" priority="623" operator="greaterThan">
      <formula>8</formula>
    </cfRule>
    <cfRule type="cellIs" dxfId="3926" priority="624" operator="lessThan">
      <formula>8</formula>
    </cfRule>
  </conditionalFormatting>
  <conditionalFormatting sqref="AHA79">
    <cfRule type="cellIs" dxfId="3927" priority="617" operator="equal">
      <formula>0</formula>
    </cfRule>
    <cfRule type="cellIs" dxfId="3928" priority="618" operator="equal">
      <formula>8</formula>
    </cfRule>
    <cfRule type="cellIs" dxfId="3929" priority="619" operator="greaterThan">
      <formula>8</formula>
    </cfRule>
    <cfRule type="cellIs" dxfId="3930" priority="620" operator="lessThan">
      <formula>8</formula>
    </cfRule>
  </conditionalFormatting>
  <conditionalFormatting sqref="ID79 JG79 KJ79 LM79 MP79">
    <cfRule type="cellIs" dxfId="3931" priority="613" operator="equal">
      <formula>0</formula>
    </cfRule>
    <cfRule type="cellIs" dxfId="3932" priority="614" operator="equal">
      <formula>8</formula>
    </cfRule>
    <cfRule type="cellIs" dxfId="3933" priority="615" operator="greaterThan">
      <formula>8</formula>
    </cfRule>
    <cfRule type="cellIs" dxfId="3934" priority="616" operator="lessThan">
      <formula>8</formula>
    </cfRule>
  </conditionalFormatting>
  <conditionalFormatting sqref="LM79">
    <cfRule type="cellIs" dxfId="3935" priority="609" operator="equal">
      <formula>0</formula>
    </cfRule>
    <cfRule type="cellIs" dxfId="3936" priority="610" operator="equal">
      <formula>8</formula>
    </cfRule>
    <cfRule type="cellIs" dxfId="3937" priority="611" operator="greaterThan">
      <formula>8</formula>
    </cfRule>
    <cfRule type="cellIs" dxfId="3938" priority="612" operator="lessThan">
      <formula>8</formula>
    </cfRule>
  </conditionalFormatting>
  <conditionalFormatting sqref="FU79 GX79">
    <cfRule type="cellIs" dxfId="3939" priority="605" operator="equal">
      <formula>0</formula>
    </cfRule>
    <cfRule type="cellIs" dxfId="3940" priority="606" operator="equal">
      <formula>8</formula>
    </cfRule>
    <cfRule type="cellIs" dxfId="3941" priority="607" operator="greaterThan">
      <formula>8</formula>
    </cfRule>
    <cfRule type="cellIs" dxfId="3942" priority="608" operator="lessThan">
      <formula>8</formula>
    </cfRule>
  </conditionalFormatting>
  <conditionalFormatting sqref="OX79">
    <cfRule type="cellIs" dxfId="3943" priority="604" operator="greaterThan">
      <formula>0</formula>
    </cfRule>
    <cfRule type="cellIs" dxfId="3944" priority="603" operator="equal">
      <formula>0</formula>
    </cfRule>
  </conditionalFormatting>
  <conditionalFormatting sqref="WV79">
    <cfRule type="cellIs" dxfId="3945" priority="602" operator="greaterThan">
      <formula>0</formula>
    </cfRule>
    <cfRule type="cellIs" dxfId="3946" priority="601" operator="equal">
      <formula>0</formula>
    </cfRule>
  </conditionalFormatting>
  <conditionalFormatting sqref="AET79">
    <cfRule type="cellIs" dxfId="3947" priority="600" operator="greaterThan">
      <formula>0</formula>
    </cfRule>
    <cfRule type="cellIs" dxfId="3948" priority="599" operator="equal">
      <formula>0</formula>
    </cfRule>
  </conditionalFormatting>
  <conditionalFormatting sqref="AMR79">
    <cfRule type="cellIs" dxfId="3949" priority="598" operator="greaterThan">
      <formula>0</formula>
    </cfRule>
    <cfRule type="cellIs" dxfId="3950" priority="597" operator="equal">
      <formula>0</formula>
    </cfRule>
  </conditionalFormatting>
  <conditionalFormatting sqref="AF79 BI79 CL79 DO79 ER79">
    <cfRule type="cellIs" dxfId="3951" priority="593" operator="equal">
      <formula>0</formula>
    </cfRule>
    <cfRule type="cellIs" dxfId="3952" priority="594" operator="equal">
      <formula>8</formula>
    </cfRule>
    <cfRule type="cellIs" dxfId="3953" priority="595" operator="greaterThan">
      <formula>8</formula>
    </cfRule>
    <cfRule type="cellIs" dxfId="3954" priority="596" operator="lessThan">
      <formula>8</formula>
    </cfRule>
  </conditionalFormatting>
  <conditionalFormatting sqref="AF79 CL79 DO79 ER79">
    <cfRule type="cellIs" dxfId="3955" priority="589" operator="equal">
      <formula>0</formula>
    </cfRule>
    <cfRule type="cellIs" dxfId="3956" priority="590" operator="equal">
      <formula>8</formula>
    </cfRule>
    <cfRule type="cellIs" dxfId="3957" priority="591" operator="greaterThan">
      <formula>8</formula>
    </cfRule>
    <cfRule type="cellIs" dxfId="3958" priority="592" operator="lessThan">
      <formula>8</formula>
    </cfRule>
  </conditionalFormatting>
  <conditionalFormatting sqref="BI79">
    <cfRule type="cellIs" dxfId="3959" priority="585" operator="equal">
      <formula>0</formula>
    </cfRule>
    <cfRule type="cellIs" dxfId="3960" priority="586" operator="equal">
      <formula>8</formula>
    </cfRule>
    <cfRule type="cellIs" dxfId="3961" priority="587" operator="greaterThan">
      <formula>8</formula>
    </cfRule>
    <cfRule type="cellIs" dxfId="3962" priority="588" operator="lessThan">
      <formula>8</formula>
    </cfRule>
  </conditionalFormatting>
  <conditionalFormatting sqref="ID127 JG127 KJ127 LM127 MP127">
    <cfRule type="cellIs" dxfId="3963" priority="581" operator="equal">
      <formula>0</formula>
    </cfRule>
    <cfRule type="cellIs" dxfId="3964" priority="582" operator="equal">
      <formula>8</formula>
    </cfRule>
    <cfRule type="cellIs" dxfId="3965" priority="583" operator="greaterThan">
      <formula>8</formula>
    </cfRule>
    <cfRule type="cellIs" dxfId="3966" priority="584" operator="lessThan">
      <formula>8</formula>
    </cfRule>
  </conditionalFormatting>
  <conditionalFormatting sqref="HA86:HA89 OY86:OY89 WW86:WW89 AEU86:AEU89 AMS86:AMS89">
    <cfRule type="cellIs" dxfId="3967" priority="580" operator="greaterThan">
      <formula>0</formula>
    </cfRule>
  </conditionalFormatting>
  <conditionalFormatting sqref="GZ86:GZ89 OX86:OX89 WV86:WV89 AET86:AET89 AMR86:AMR89">
    <cfRule type="cellIs" dxfId="3968" priority="579" operator="greaterThan">
      <formula>0</formula>
    </cfRule>
  </conditionalFormatting>
  <conditionalFormatting sqref="GY86:GY89 OW86:OW89 WU86:WU89 AES86:AES89 AMQ86:AMQ89">
    <cfRule type="cellIs" dxfId="3969" priority="578" operator="greaterThan">
      <formula>0</formula>
    </cfRule>
  </conditionalFormatting>
  <conditionalFormatting sqref="GY86:GZ89 OW86:OX89 WU86:WV89 AES86:AET89 AMQ86:AMR89">
    <cfRule type="cellIs" dxfId="3970" priority="577" operator="equal">
      <formula>0</formula>
    </cfRule>
  </conditionalFormatting>
  <conditionalFormatting sqref="FU86:FU89 GX86:GX89 NS86:NS89 OV86:OV89 VQ86:VQ89 WT86:WT89 ADO86:ADO89 AER86:AER89 ALM86:ALM89 AMP86:AMP89">
    <cfRule type="cellIs" dxfId="3971" priority="573" operator="equal">
      <formula>0</formula>
    </cfRule>
    <cfRule type="cellIs" dxfId="3972" priority="574" operator="equal">
      <formula>8</formula>
    </cfRule>
    <cfRule type="cellIs" dxfId="3973" priority="575" operator="greaterThan">
      <formula>8</formula>
    </cfRule>
    <cfRule type="cellIs" dxfId="3974" priority="576" operator="lessThan">
      <formula>8</formula>
    </cfRule>
  </conditionalFormatting>
  <conditionalFormatting sqref="NS47 OV47 VQ47 WT47 ADO47 AER47 ALM47 AMP47">
    <cfRule type="cellIs" dxfId="3975" priority="569" operator="equal">
      <formula>0</formula>
    </cfRule>
    <cfRule type="cellIs" dxfId="3976" priority="570" operator="equal">
      <formula>8</formula>
    </cfRule>
    <cfRule type="cellIs" dxfId="3977" priority="571" operator="greaterThan">
      <formula>8</formula>
    </cfRule>
    <cfRule type="cellIs" dxfId="3978" priority="572" operator="lessThan">
      <formula>8</formula>
    </cfRule>
  </conditionalFormatting>
  <conditionalFormatting sqref="HA47 OY47 WW47 AEU47 AMS47">
    <cfRule type="cellIs" dxfId="3979" priority="568" operator="greaterThan">
      <formula>0</formula>
    </cfRule>
  </conditionalFormatting>
  <conditionalFormatting sqref="GZ47">
    <cfRule type="cellIs" dxfId="3980" priority="567" operator="greaterThan">
      <formula>0</formula>
    </cfRule>
  </conditionalFormatting>
  <conditionalFormatting sqref="GY47 OW47 WU47 AES47 AMQ47">
    <cfRule type="cellIs" dxfId="3981" priority="566" operator="greaterThan">
      <formula>0</formula>
    </cfRule>
  </conditionalFormatting>
  <conditionalFormatting sqref="GY47:GZ47 OW47 WU47 AES47 AMQ47">
    <cfRule type="cellIs" dxfId="3982" priority="565" operator="equal">
      <formula>0</formula>
    </cfRule>
  </conditionalFormatting>
  <conditionalFormatting sqref="HA90:HA94 OY90:OY94 WW90:WW94 AEU90:AEU94 AMS90:AMS94">
    <cfRule type="cellIs" dxfId="3983" priority="564" operator="greaterThan">
      <formula>0</formula>
    </cfRule>
  </conditionalFormatting>
  <conditionalFormatting sqref="GZ90:GZ94">
    <cfRule type="cellIs" dxfId="3984" priority="563" operator="greaterThan">
      <formula>0</formula>
    </cfRule>
  </conditionalFormatting>
  <conditionalFormatting sqref="GY90:GY94 OW90:OW94 WU90:WU94 AES90:AES94 AMQ90:AMQ94">
    <cfRule type="cellIs" dxfId="3985" priority="562" operator="greaterThan">
      <formula>0</formula>
    </cfRule>
  </conditionalFormatting>
  <conditionalFormatting sqref="GY90:GZ94 OW90:OW94 WU90:WU94 AES90:AES94 AMQ90:AMQ94">
    <cfRule type="cellIs" dxfId="3986" priority="561" operator="equal">
      <formula>0</formula>
    </cfRule>
  </conditionalFormatting>
  <conditionalFormatting sqref="NS90:NS94 OV90:OV94 VQ90:VQ94 WT90:WT94 ADO90:ADO94 AER90:AER94 ALM90:ALM94 AMP90:AMP94">
    <cfRule type="cellIs" dxfId="3987" priority="557" operator="equal">
      <formula>0</formula>
    </cfRule>
    <cfRule type="cellIs" dxfId="3988" priority="558" operator="equal">
      <formula>8</formula>
    </cfRule>
    <cfRule type="cellIs" dxfId="3989" priority="559" operator="greaterThan">
      <formula>8</formula>
    </cfRule>
    <cfRule type="cellIs" dxfId="3990" priority="560" operator="lessThan">
      <formula>8</formula>
    </cfRule>
  </conditionalFormatting>
  <conditionalFormatting sqref="HA95:HA96 HA98">
    <cfRule type="cellIs" dxfId="3991" priority="556" operator="greaterThan">
      <formula>0</formula>
    </cfRule>
  </conditionalFormatting>
  <conditionalFormatting sqref="GZ95:GZ96 GZ98">
    <cfRule type="cellIs" dxfId="3992" priority="555" operator="greaterThan">
      <formula>0</formula>
    </cfRule>
  </conditionalFormatting>
  <conditionalFormatting sqref="GY95:GY96 GY98">
    <cfRule type="cellIs" dxfId="3993" priority="554" operator="greaterThan">
      <formula>0</formula>
    </cfRule>
  </conditionalFormatting>
  <conditionalFormatting sqref="GY95:GZ96 GY98:GZ98">
    <cfRule type="cellIs" dxfId="3994" priority="553" operator="equal">
      <formula>0</formula>
    </cfRule>
  </conditionalFormatting>
  <conditionalFormatting sqref="NS95:NS96 NS98">
    <cfRule type="cellIs" dxfId="3995" priority="549" operator="equal">
      <formula>0</formula>
    </cfRule>
    <cfRule type="cellIs" dxfId="3996" priority="550" operator="equal">
      <formula>8</formula>
    </cfRule>
    <cfRule type="cellIs" dxfId="3997" priority="551" operator="greaterThan">
      <formula>8</formula>
    </cfRule>
    <cfRule type="cellIs" dxfId="3998" priority="552" operator="lessThan">
      <formula>8</formula>
    </cfRule>
  </conditionalFormatting>
  <conditionalFormatting sqref="OV95:OV96 OV98">
    <cfRule type="cellIs" dxfId="3999" priority="545" operator="equal">
      <formula>0</formula>
    </cfRule>
    <cfRule type="cellIs" dxfId="4000" priority="546" operator="equal">
      <formula>8</formula>
    </cfRule>
    <cfRule type="cellIs" dxfId="4001" priority="547" operator="greaterThan">
      <formula>8</formula>
    </cfRule>
    <cfRule type="cellIs" dxfId="4002" priority="548" operator="lessThan">
      <formula>8</formula>
    </cfRule>
  </conditionalFormatting>
  <conditionalFormatting sqref="OY95:OY96 OY98">
    <cfRule type="cellIs" dxfId="4003" priority="544" operator="greaterThan">
      <formula>0</formula>
    </cfRule>
  </conditionalFormatting>
  <conditionalFormatting sqref="OW95:OW96 OW98">
    <cfRule type="cellIs" dxfId="4004" priority="543" operator="greaterThan">
      <formula>0</formula>
    </cfRule>
    <cfRule type="cellIs" dxfId="4005" priority="542" operator="equal">
      <formula>0</formula>
    </cfRule>
  </conditionalFormatting>
  <conditionalFormatting sqref="VQ95:VQ96 VQ98">
    <cfRule type="cellIs" dxfId="4006" priority="538" operator="equal">
      <formula>0</formula>
    </cfRule>
    <cfRule type="cellIs" dxfId="4007" priority="539" operator="equal">
      <formula>8</formula>
    </cfRule>
    <cfRule type="cellIs" dxfId="4008" priority="540" operator="greaterThan">
      <formula>8</formula>
    </cfRule>
    <cfRule type="cellIs" dxfId="4009" priority="541" operator="lessThan">
      <formula>8</formula>
    </cfRule>
  </conditionalFormatting>
  <conditionalFormatting sqref="WT95:WT96 WT98">
    <cfRule type="cellIs" dxfId="4010" priority="534" operator="equal">
      <formula>0</formula>
    </cfRule>
    <cfRule type="cellIs" dxfId="4011" priority="535" operator="equal">
      <formula>8</formula>
    </cfRule>
    <cfRule type="cellIs" dxfId="4012" priority="536" operator="greaterThan">
      <formula>8</formula>
    </cfRule>
    <cfRule type="cellIs" dxfId="4013" priority="537" operator="lessThan">
      <formula>8</formula>
    </cfRule>
  </conditionalFormatting>
  <conditionalFormatting sqref="WW95:WW96 WW98">
    <cfRule type="cellIs" dxfId="4014" priority="533" operator="greaterThan">
      <formula>0</formula>
    </cfRule>
  </conditionalFormatting>
  <conditionalFormatting sqref="WU95:WU96 WU98">
    <cfRule type="cellIs" dxfId="4015" priority="532" operator="greaterThan">
      <formula>0</formula>
    </cfRule>
    <cfRule type="cellIs" dxfId="4016" priority="531" operator="equal">
      <formula>0</formula>
    </cfRule>
  </conditionalFormatting>
  <conditionalFormatting sqref="ADO95:ADO96 ADO98">
    <cfRule type="cellIs" dxfId="4017" priority="527" operator="equal">
      <formula>0</formula>
    </cfRule>
    <cfRule type="cellIs" dxfId="4018" priority="528" operator="equal">
      <formula>8</formula>
    </cfRule>
    <cfRule type="cellIs" dxfId="4019" priority="529" operator="greaterThan">
      <formula>8</formula>
    </cfRule>
    <cfRule type="cellIs" dxfId="4020" priority="530" operator="lessThan">
      <formula>8</formula>
    </cfRule>
  </conditionalFormatting>
  <conditionalFormatting sqref="AER95:AER96 AER98">
    <cfRule type="cellIs" dxfId="4021" priority="523" operator="equal">
      <formula>0</formula>
    </cfRule>
    <cfRule type="cellIs" dxfId="4022" priority="524" operator="equal">
      <formula>8</formula>
    </cfRule>
    <cfRule type="cellIs" dxfId="4023" priority="525" operator="greaterThan">
      <formula>8</formula>
    </cfRule>
    <cfRule type="cellIs" dxfId="4024" priority="526" operator="lessThan">
      <formula>8</formula>
    </cfRule>
  </conditionalFormatting>
  <conditionalFormatting sqref="AEU95:AEU96 AEU98">
    <cfRule type="cellIs" dxfId="4025" priority="522" operator="greaterThan">
      <formula>0</formula>
    </cfRule>
  </conditionalFormatting>
  <conditionalFormatting sqref="AES95:AES96 AES98">
    <cfRule type="cellIs" dxfId="4026" priority="521" operator="greaterThan">
      <formula>0</formula>
    </cfRule>
    <cfRule type="cellIs" dxfId="4027" priority="520" operator="equal">
      <formula>0</formula>
    </cfRule>
  </conditionalFormatting>
  <conditionalFormatting sqref="ALM95:ALM96 ALM98">
    <cfRule type="cellIs" dxfId="4028" priority="516" operator="equal">
      <formula>0</formula>
    </cfRule>
    <cfRule type="cellIs" dxfId="4029" priority="517" operator="equal">
      <formula>8</formula>
    </cfRule>
    <cfRule type="cellIs" dxfId="4030" priority="518" operator="greaterThan">
      <formula>8</formula>
    </cfRule>
    <cfRule type="cellIs" dxfId="4031" priority="519" operator="lessThan">
      <formula>8</formula>
    </cfRule>
  </conditionalFormatting>
  <conditionalFormatting sqref="AMP95:AMP96 AMP98">
    <cfRule type="cellIs" dxfId="4032" priority="512" operator="equal">
      <formula>0</formula>
    </cfRule>
    <cfRule type="cellIs" dxfId="4033" priority="513" operator="equal">
      <formula>8</formula>
    </cfRule>
    <cfRule type="cellIs" dxfId="4034" priority="514" operator="greaterThan">
      <formula>8</formula>
    </cfRule>
    <cfRule type="cellIs" dxfId="4035" priority="515" operator="lessThan">
      <formula>8</formula>
    </cfRule>
  </conditionalFormatting>
  <conditionalFormatting sqref="AMS95:AMS96 AMS98">
    <cfRule type="cellIs" dxfId="4036" priority="511" operator="greaterThan">
      <formula>0</formula>
    </cfRule>
  </conditionalFormatting>
  <conditionalFormatting sqref="AMQ95:AMQ96 AMQ98">
    <cfRule type="cellIs" dxfId="4037" priority="510" operator="greaterThan">
      <formula>0</formula>
    </cfRule>
    <cfRule type="cellIs" dxfId="4038" priority="509" operator="equal">
      <formula>0</formula>
    </cfRule>
  </conditionalFormatting>
  <conditionalFormatting sqref="FU47 GX47">
    <cfRule type="cellIs" dxfId="4039" priority="505" operator="equal">
      <formula>0</formula>
    </cfRule>
    <cfRule type="cellIs" dxfId="4040" priority="506" operator="equal">
      <formula>8</formula>
    </cfRule>
    <cfRule type="cellIs" dxfId="4041" priority="507" operator="greaterThan">
      <formula>8</formula>
    </cfRule>
    <cfRule type="cellIs" dxfId="4042" priority="508" operator="lessThan">
      <formula>8</formula>
    </cfRule>
  </conditionalFormatting>
  <conditionalFormatting sqref="FU90:FU94 GX90:GX94">
    <cfRule type="cellIs" dxfId="4043" priority="501" operator="equal">
      <formula>0</formula>
    </cfRule>
    <cfRule type="cellIs" dxfId="4044" priority="502" operator="equal">
      <formula>8</formula>
    </cfRule>
    <cfRule type="cellIs" dxfId="4045" priority="503" operator="greaterThan">
      <formula>8</formula>
    </cfRule>
    <cfRule type="cellIs" dxfId="4046" priority="504" operator="lessThan">
      <formula>8</formula>
    </cfRule>
  </conditionalFormatting>
  <conditionalFormatting sqref="FU95:FU96 FU98">
    <cfRule type="cellIs" dxfId="4047" priority="497" operator="equal">
      <formula>0</formula>
    </cfRule>
    <cfRule type="cellIs" dxfId="4048" priority="498" operator="equal">
      <formula>8</formula>
    </cfRule>
    <cfRule type="cellIs" dxfId="4049" priority="499" operator="greaterThan">
      <formula>8</formula>
    </cfRule>
    <cfRule type="cellIs" dxfId="4050" priority="500" operator="lessThan">
      <formula>8</formula>
    </cfRule>
  </conditionalFormatting>
  <conditionalFormatting sqref="GX95:GX96 GX98">
    <cfRule type="cellIs" dxfId="4051" priority="493" operator="equal">
      <formula>0</formula>
    </cfRule>
    <cfRule type="cellIs" dxfId="4052" priority="494" operator="equal">
      <formula>8</formula>
    </cfRule>
    <cfRule type="cellIs" dxfId="4053" priority="495" operator="greaterThan">
      <formula>8</formula>
    </cfRule>
    <cfRule type="cellIs" dxfId="4054" priority="496" operator="lessThan">
      <formula>8</formula>
    </cfRule>
  </conditionalFormatting>
  <conditionalFormatting sqref="OX47">
    <cfRule type="cellIs" dxfId="4055" priority="492" operator="greaterThan">
      <formula>0</formula>
    </cfRule>
    <cfRule type="cellIs" dxfId="4056" priority="491" operator="equal">
      <formula>0</formula>
    </cfRule>
  </conditionalFormatting>
  <conditionalFormatting sqref="OX90:OX94">
    <cfRule type="cellIs" dxfId="4057" priority="490" operator="greaterThan">
      <formula>0</formula>
    </cfRule>
    <cfRule type="cellIs" dxfId="4058" priority="489" operator="equal">
      <formula>0</formula>
    </cfRule>
  </conditionalFormatting>
  <conditionalFormatting sqref="OX95:OX96 OX98">
    <cfRule type="cellIs" dxfId="4059" priority="488" operator="greaterThan">
      <formula>0</formula>
    </cfRule>
    <cfRule type="cellIs" dxfId="4060" priority="487" operator="equal">
      <formula>0</formula>
    </cfRule>
  </conditionalFormatting>
  <conditionalFormatting sqref="WV47">
    <cfRule type="cellIs" dxfId="4061" priority="486" operator="greaterThan">
      <formula>0</formula>
    </cfRule>
    <cfRule type="cellIs" dxfId="4062" priority="485" operator="equal">
      <formula>0</formula>
    </cfRule>
  </conditionalFormatting>
  <conditionalFormatting sqref="WV90:WV94">
    <cfRule type="cellIs" dxfId="4063" priority="484" operator="greaterThan">
      <formula>0</formula>
    </cfRule>
    <cfRule type="cellIs" dxfId="4064" priority="483" operator="equal">
      <formula>0</formula>
    </cfRule>
  </conditionalFormatting>
  <conditionalFormatting sqref="WV95:WV96 WV98">
    <cfRule type="cellIs" dxfId="4065" priority="482" operator="greaterThan">
      <formula>0</formula>
    </cfRule>
    <cfRule type="cellIs" dxfId="4066" priority="481" operator="equal">
      <formula>0</formula>
    </cfRule>
  </conditionalFormatting>
  <conditionalFormatting sqref="AET47">
    <cfRule type="cellIs" dxfId="4067" priority="480" operator="greaterThan">
      <formula>0</formula>
    </cfRule>
    <cfRule type="cellIs" dxfId="4068" priority="479" operator="equal">
      <formula>0</formula>
    </cfRule>
  </conditionalFormatting>
  <conditionalFormatting sqref="AET90:AET94">
    <cfRule type="cellIs" dxfId="4069" priority="478" operator="greaterThan">
      <formula>0</formula>
    </cfRule>
    <cfRule type="cellIs" dxfId="4070" priority="477" operator="equal">
      <formula>0</formula>
    </cfRule>
  </conditionalFormatting>
  <conditionalFormatting sqref="AET95:AET96 AET98">
    <cfRule type="cellIs" dxfId="4071" priority="476" operator="greaterThan">
      <formula>0</formula>
    </cfRule>
    <cfRule type="cellIs" dxfId="4072" priority="475" operator="equal">
      <formula>0</formula>
    </cfRule>
  </conditionalFormatting>
  <conditionalFormatting sqref="AMR47">
    <cfRule type="cellIs" dxfId="4073" priority="474" operator="greaterThan">
      <formula>0</formula>
    </cfRule>
    <cfRule type="cellIs" dxfId="4074" priority="473" operator="equal">
      <formula>0</formula>
    </cfRule>
  </conditionalFormatting>
  <conditionalFormatting sqref="AMR90:AMR94">
    <cfRule type="cellIs" dxfId="4075" priority="472" operator="greaterThan">
      <formula>0</formula>
    </cfRule>
    <cfRule type="cellIs" dxfId="4076" priority="471" operator="equal">
      <formula>0</formula>
    </cfRule>
  </conditionalFormatting>
  <conditionalFormatting sqref="AMR95:AMR96 AMR98">
    <cfRule type="cellIs" dxfId="4077" priority="470" operator="greaterThan">
      <formula>0</formula>
    </cfRule>
    <cfRule type="cellIs" dxfId="4078" priority="469" operator="equal">
      <formula>0</formula>
    </cfRule>
  </conditionalFormatting>
  <conditionalFormatting sqref="HA97 OY97 WW97 AEU97 AMS97">
    <cfRule type="cellIs" dxfId="4079" priority="468" operator="greaterThan">
      <formula>0</formula>
    </cfRule>
  </conditionalFormatting>
  <conditionalFormatting sqref="GZ97">
    <cfRule type="cellIs" dxfId="4080" priority="467" operator="greaterThan">
      <formula>0</formula>
    </cfRule>
  </conditionalFormatting>
  <conditionalFormatting sqref="GY97 OW97 WU97 AES97 AMQ97">
    <cfRule type="cellIs" dxfId="4081" priority="466" operator="greaterThan">
      <formula>0</formula>
    </cfRule>
  </conditionalFormatting>
  <conditionalFormatting sqref="GY97:GZ97 OW97 WU97 AES97 AMQ97">
    <cfRule type="cellIs" dxfId="4082" priority="465" operator="equal">
      <formula>0</formula>
    </cfRule>
  </conditionalFormatting>
  <conditionalFormatting sqref="NS97 OV97 VQ97 WT97 ADO97 AER97 ALM97 AMP97">
    <cfRule type="cellIs" dxfId="4083" priority="461" operator="equal">
      <formula>0</formula>
    </cfRule>
    <cfRule type="cellIs" dxfId="4084" priority="462" operator="equal">
      <formula>8</formula>
    </cfRule>
    <cfRule type="cellIs" dxfId="4085" priority="463" operator="greaterThan">
      <formula>8</formula>
    </cfRule>
    <cfRule type="cellIs" dxfId="4086" priority="464" operator="lessThan">
      <formula>8</formula>
    </cfRule>
  </conditionalFormatting>
  <conditionalFormatting sqref="FU97 GX97">
    <cfRule type="cellIs" dxfId="4087" priority="457" operator="equal">
      <formula>0</formula>
    </cfRule>
    <cfRule type="cellIs" dxfId="4088" priority="458" operator="equal">
      <formula>8</formula>
    </cfRule>
    <cfRule type="cellIs" dxfId="4089" priority="459" operator="greaterThan">
      <formula>8</formula>
    </cfRule>
    <cfRule type="cellIs" dxfId="4090" priority="460" operator="lessThan">
      <formula>8</formula>
    </cfRule>
  </conditionalFormatting>
  <conditionalFormatting sqref="OX97">
    <cfRule type="cellIs" dxfId="4091" priority="456" operator="greaterThan">
      <formula>0</formula>
    </cfRule>
    <cfRule type="cellIs" dxfId="4092" priority="455" operator="equal">
      <formula>0</formula>
    </cfRule>
  </conditionalFormatting>
  <conditionalFormatting sqref="WV97">
    <cfRule type="cellIs" dxfId="4093" priority="454" operator="greaterThan">
      <formula>0</formula>
    </cfRule>
    <cfRule type="cellIs" dxfId="4094" priority="453" operator="equal">
      <formula>0</formula>
    </cfRule>
  </conditionalFormatting>
  <conditionalFormatting sqref="AET97">
    <cfRule type="cellIs" dxfId="4095" priority="452" operator="greaterThan">
      <formula>0</formula>
    </cfRule>
    <cfRule type="cellIs" dxfId="4096" priority="451" operator="equal">
      <formula>0</formula>
    </cfRule>
  </conditionalFormatting>
  <conditionalFormatting sqref="AMR97">
    <cfRule type="cellIs" dxfId="4097" priority="450" operator="greaterThan">
      <formula>0</formula>
    </cfRule>
    <cfRule type="cellIs" dxfId="4098" priority="449" operator="equal">
      <formula>0</formula>
    </cfRule>
  </conditionalFormatting>
  <conditionalFormatting sqref="AAF87 ABI87 ACL87">
    <cfRule type="cellIs" dxfId="4099" priority="445" operator="equal">
      <formula>0</formula>
    </cfRule>
    <cfRule type="cellIs" dxfId="4100" priority="446" operator="equal">
      <formula>8</formula>
    </cfRule>
    <cfRule type="cellIs" dxfId="4101" priority="447" operator="greaterThan">
      <formula>8</formula>
    </cfRule>
    <cfRule type="cellIs" dxfId="4102" priority="448" operator="lessThan">
      <formula>8</formula>
    </cfRule>
  </conditionalFormatting>
  <conditionalFormatting sqref="XZ91 ZC91 AAF91 ABI91 ACL91">
    <cfRule type="cellIs" dxfId="4103" priority="437" operator="equal">
      <formula>0</formula>
    </cfRule>
    <cfRule type="cellIs" dxfId="4104" priority="438" operator="equal">
      <formula>8</formula>
    </cfRule>
    <cfRule type="cellIs" dxfId="4105" priority="439" operator="greaterThan">
      <formula>8</formula>
    </cfRule>
    <cfRule type="cellIs" dxfId="4106" priority="440" operator="lessThan">
      <formula>8</formula>
    </cfRule>
  </conditionalFormatting>
  <conditionalFormatting sqref="XZ92 ZC92 AAF92 ABI92 ACL92">
    <cfRule type="cellIs" dxfId="4107" priority="433" operator="equal">
      <formula>0</formula>
    </cfRule>
    <cfRule type="cellIs" dxfId="4108" priority="434" operator="equal">
      <formula>8</formula>
    </cfRule>
    <cfRule type="cellIs" dxfId="4109" priority="435" operator="greaterThan">
      <formula>8</formula>
    </cfRule>
    <cfRule type="cellIs" dxfId="4110" priority="436" operator="lessThan">
      <formula>8</formula>
    </cfRule>
  </conditionalFormatting>
  <conditionalFormatting sqref="XZ87">
    <cfRule type="cellIs" dxfId="4111" priority="421" operator="equal">
      <formula>0</formula>
    </cfRule>
    <cfRule type="cellIs" dxfId="4112" priority="422" operator="equal">
      <formula>8</formula>
    </cfRule>
    <cfRule type="cellIs" dxfId="4113" priority="423" operator="greaterThan">
      <formula>8</formula>
    </cfRule>
    <cfRule type="cellIs" dxfId="4114" priority="424" operator="lessThan">
      <formula>8</formula>
    </cfRule>
  </conditionalFormatting>
  <conditionalFormatting sqref="ZC87">
    <cfRule type="cellIs" dxfId="4115" priority="417" operator="equal">
      <formula>0</formula>
    </cfRule>
    <cfRule type="cellIs" dxfId="4116" priority="418" operator="equal">
      <formula>8</formula>
    </cfRule>
    <cfRule type="cellIs" dxfId="4117" priority="419" operator="greaterThan">
      <formula>8</formula>
    </cfRule>
    <cfRule type="cellIs" dxfId="4118" priority="420" operator="lessThan">
      <formula>8</formula>
    </cfRule>
  </conditionalFormatting>
  <conditionalFormatting sqref="AF92:AF93 BI92 CL92 DO92 ER92">
    <cfRule type="cellIs" dxfId="4119" priority="413" operator="equal">
      <formula>0</formula>
    </cfRule>
    <cfRule type="cellIs" dxfId="4120" priority="414" operator="equal">
      <formula>8</formula>
    </cfRule>
    <cfRule type="cellIs" dxfId="4121" priority="415" operator="greaterThan">
      <formula>8</formula>
    </cfRule>
    <cfRule type="cellIs" dxfId="4122" priority="416" operator="lessThan">
      <formula>8</formula>
    </cfRule>
  </conditionalFormatting>
  <conditionalFormatting sqref="AF47 BI47 CL47 DO47 ER47">
    <cfRule type="cellIs" dxfId="4123" priority="409" operator="equal">
      <formula>0</formula>
    </cfRule>
    <cfRule type="cellIs" dxfId="4124" priority="410" operator="equal">
      <formula>8</formula>
    </cfRule>
    <cfRule type="cellIs" dxfId="4125" priority="411" operator="greaterThan">
      <formula>8</formula>
    </cfRule>
    <cfRule type="cellIs" dxfId="4126" priority="412" operator="lessThan">
      <formula>8</formula>
    </cfRule>
  </conditionalFormatting>
  <conditionalFormatting sqref="AF86 BI86 CL86 DO86 ER86">
    <cfRule type="cellIs" dxfId="4127" priority="397" operator="equal">
      <formula>0</formula>
    </cfRule>
    <cfRule type="cellIs" dxfId="4128" priority="398" operator="equal">
      <formula>8</formula>
    </cfRule>
    <cfRule type="cellIs" dxfId="4129" priority="399" operator="greaterThan">
      <formula>8</formula>
    </cfRule>
    <cfRule type="cellIs" dxfId="4130" priority="400" operator="lessThan">
      <formula>8</formula>
    </cfRule>
  </conditionalFormatting>
  <conditionalFormatting sqref="AF87 BI87 CL87 DO87 ER87">
    <cfRule type="cellIs" dxfId="4131" priority="393" operator="equal">
      <formula>0</formula>
    </cfRule>
    <cfRule type="cellIs" dxfId="4132" priority="394" operator="equal">
      <formula>8</formula>
    </cfRule>
    <cfRule type="cellIs" dxfId="4133" priority="395" operator="greaterThan">
      <formula>8</formula>
    </cfRule>
    <cfRule type="cellIs" dxfId="4134" priority="396" operator="lessThan">
      <formula>8</formula>
    </cfRule>
  </conditionalFormatting>
  <conditionalFormatting sqref="AF89 BI89 CL89 DO89 ER89">
    <cfRule type="cellIs" dxfId="4135" priority="389" operator="equal">
      <formula>0</formula>
    </cfRule>
    <cfRule type="cellIs" dxfId="4136" priority="390" operator="equal">
      <formula>8</formula>
    </cfRule>
    <cfRule type="cellIs" dxfId="4137" priority="391" operator="greaterThan">
      <formula>8</formula>
    </cfRule>
    <cfRule type="cellIs" dxfId="4138" priority="392" operator="lessThan">
      <formula>8</formula>
    </cfRule>
  </conditionalFormatting>
  <conditionalFormatting sqref="AF90 BI90 DO90 ER90">
    <cfRule type="cellIs" dxfId="4139" priority="385" operator="equal">
      <formula>0</formula>
    </cfRule>
    <cfRule type="cellIs" dxfId="4140" priority="386" operator="equal">
      <formula>8</formula>
    </cfRule>
    <cfRule type="cellIs" dxfId="4141" priority="387" operator="greaterThan">
      <formula>8</formula>
    </cfRule>
    <cfRule type="cellIs" dxfId="4142" priority="388" operator="lessThan">
      <formula>8</formula>
    </cfRule>
  </conditionalFormatting>
  <conditionalFormatting sqref="AF91 BI91 CL91 DO91 ER91">
    <cfRule type="cellIs" dxfId="4143" priority="381" operator="equal">
      <formula>0</formula>
    </cfRule>
    <cfRule type="cellIs" dxfId="4144" priority="382" operator="equal">
      <formula>8</formula>
    </cfRule>
    <cfRule type="cellIs" dxfId="4145" priority="383" operator="greaterThan">
      <formula>8</formula>
    </cfRule>
    <cfRule type="cellIs" dxfId="4146" priority="384" operator="lessThan">
      <formula>8</formula>
    </cfRule>
  </conditionalFormatting>
  <conditionalFormatting sqref="BI93 CL93 DO93 ER93">
    <cfRule type="cellIs" dxfId="4147" priority="377" operator="equal">
      <formula>0</formula>
    </cfRule>
    <cfRule type="cellIs" dxfId="4148" priority="378" operator="equal">
      <formula>8</formula>
    </cfRule>
    <cfRule type="cellIs" dxfId="4149" priority="379" operator="greaterThan">
      <formula>8</formula>
    </cfRule>
    <cfRule type="cellIs" dxfId="4150" priority="380" operator="lessThan">
      <formula>8</formula>
    </cfRule>
  </conditionalFormatting>
  <conditionalFormatting sqref="AF98 BI98 CL98 DO98 ER98">
    <cfRule type="cellIs" dxfId="4151" priority="373" operator="equal">
      <formula>0</formula>
    </cfRule>
    <cfRule type="cellIs" dxfId="4152" priority="374" operator="equal">
      <formula>8</formula>
    </cfRule>
    <cfRule type="cellIs" dxfId="4153" priority="375" operator="greaterThan">
      <formula>8</formula>
    </cfRule>
    <cfRule type="cellIs" dxfId="4154" priority="376" operator="lessThan">
      <formula>8</formula>
    </cfRule>
  </conditionalFormatting>
  <conditionalFormatting sqref="AF97 BI97 CL97 DO97 ER97">
    <cfRule type="cellIs" dxfId="4155" priority="369" operator="equal">
      <formula>0</formula>
    </cfRule>
    <cfRule type="cellIs" dxfId="4156" priority="370" operator="equal">
      <formula>8</formula>
    </cfRule>
    <cfRule type="cellIs" dxfId="4157" priority="371" operator="greaterThan">
      <formula>8</formula>
    </cfRule>
    <cfRule type="cellIs" dxfId="4158" priority="372" operator="lessThan">
      <formula>8</formula>
    </cfRule>
  </conditionalFormatting>
  <conditionalFormatting sqref="AF96 BI96 CL96 DO96 ER96">
    <cfRule type="cellIs" dxfId="4159" priority="365" operator="equal">
      <formula>0</formula>
    </cfRule>
    <cfRule type="cellIs" dxfId="4160" priority="366" operator="equal">
      <formula>8</formula>
    </cfRule>
    <cfRule type="cellIs" dxfId="4161" priority="367" operator="greaterThan">
      <formula>8</formula>
    </cfRule>
    <cfRule type="cellIs" dxfId="4162" priority="368" operator="lessThan">
      <formula>8</formula>
    </cfRule>
  </conditionalFormatting>
  <conditionalFormatting sqref="AF88 BI88 CL88 DO88 ER88">
    <cfRule type="cellIs" dxfId="4163" priority="361" operator="equal">
      <formula>0</formula>
    </cfRule>
    <cfRule type="cellIs" dxfId="4164" priority="362" operator="equal">
      <formula>8</formula>
    </cfRule>
    <cfRule type="cellIs" dxfId="4165" priority="363" operator="greaterThan">
      <formula>8</formula>
    </cfRule>
    <cfRule type="cellIs" dxfId="4166" priority="364" operator="lessThan">
      <formula>8</formula>
    </cfRule>
  </conditionalFormatting>
  <conditionalFormatting sqref="AF95 BI95 CL95 DO95 ER95">
    <cfRule type="cellIs" dxfId="4167" priority="357" operator="equal">
      <formula>0</formula>
    </cfRule>
    <cfRule type="cellIs" dxfId="4168" priority="358" operator="equal">
      <formula>8</formula>
    </cfRule>
    <cfRule type="cellIs" dxfId="4169" priority="359" operator="greaterThan">
      <formula>8</formula>
    </cfRule>
    <cfRule type="cellIs" dxfId="4170" priority="360" operator="lessThan">
      <formula>8</formula>
    </cfRule>
  </conditionalFormatting>
  <conditionalFormatting sqref="AF94 BI94 CL94 DO94 ER94">
    <cfRule type="cellIs" dxfId="4171" priority="353" operator="equal">
      <formula>0</formula>
    </cfRule>
    <cfRule type="cellIs" dxfId="4172" priority="354" operator="equal">
      <formula>8</formula>
    </cfRule>
    <cfRule type="cellIs" dxfId="4173" priority="355" operator="greaterThan">
      <formula>8</formula>
    </cfRule>
    <cfRule type="cellIs" dxfId="4174" priority="356" operator="lessThan">
      <formula>8</formula>
    </cfRule>
  </conditionalFormatting>
  <conditionalFormatting sqref="CL90">
    <cfRule type="cellIs" dxfId="4175" priority="345" operator="equal">
      <formula>0</formula>
    </cfRule>
    <cfRule type="cellIs" dxfId="4176" priority="346" operator="equal">
      <formula>8</formula>
    </cfRule>
    <cfRule type="cellIs" dxfId="4177" priority="347" operator="greaterThan">
      <formula>8</formula>
    </cfRule>
    <cfRule type="cellIs" dxfId="4178" priority="348" operator="lessThan">
      <formula>8</formula>
    </cfRule>
  </conditionalFormatting>
  <conditionalFormatting sqref="ID88 JG88 KJ88 LM88 MP88">
    <cfRule type="cellIs" dxfId="4179" priority="341" operator="equal">
      <formula>0</formula>
    </cfRule>
    <cfRule type="cellIs" dxfId="4180" priority="342" operator="equal">
      <formula>8</formula>
    </cfRule>
    <cfRule type="cellIs" dxfId="4181" priority="343" operator="greaterThan">
      <formula>8</formula>
    </cfRule>
    <cfRule type="cellIs" dxfId="4182" priority="344" operator="lessThan">
      <formula>8</formula>
    </cfRule>
  </conditionalFormatting>
  <conditionalFormatting sqref="ID86 JG86 KJ86 LM86 MP86">
    <cfRule type="cellIs" dxfId="4183" priority="337" operator="equal">
      <formula>0</formula>
    </cfRule>
    <cfRule type="cellIs" dxfId="4184" priority="338" operator="equal">
      <formula>8</formula>
    </cfRule>
    <cfRule type="cellIs" dxfId="4185" priority="339" operator="greaterThan">
      <formula>8</formula>
    </cfRule>
    <cfRule type="cellIs" dxfId="4186" priority="340" operator="lessThan">
      <formula>8</formula>
    </cfRule>
  </conditionalFormatting>
  <conditionalFormatting sqref="ID89 JG89 LM89">
    <cfRule type="cellIs" dxfId="4187" priority="333" operator="equal">
      <formula>0</formula>
    </cfRule>
    <cfRule type="cellIs" dxfId="4188" priority="334" operator="equal">
      <formula>8</formula>
    </cfRule>
    <cfRule type="cellIs" dxfId="4189" priority="335" operator="greaterThan">
      <formula>8</formula>
    </cfRule>
    <cfRule type="cellIs" dxfId="4190" priority="336" operator="lessThan">
      <formula>8</formula>
    </cfRule>
  </conditionalFormatting>
  <conditionalFormatting sqref="JG90 KJ90 LM90">
    <cfRule type="cellIs" dxfId="4191" priority="329" operator="equal">
      <formula>0</formula>
    </cfRule>
    <cfRule type="cellIs" dxfId="4192" priority="330" operator="equal">
      <formula>8</formula>
    </cfRule>
    <cfRule type="cellIs" dxfId="4193" priority="331" operator="greaterThan">
      <formula>8</formula>
    </cfRule>
    <cfRule type="cellIs" dxfId="4194" priority="332" operator="lessThan">
      <formula>8</formula>
    </cfRule>
  </conditionalFormatting>
  <conditionalFormatting sqref="ID92 JG92 KJ92 LM92 MP92">
    <cfRule type="cellIs" dxfId="4195" priority="325" operator="equal">
      <formula>0</formula>
    </cfRule>
    <cfRule type="cellIs" dxfId="4196" priority="326" operator="equal">
      <formula>8</formula>
    </cfRule>
    <cfRule type="cellIs" dxfId="4197" priority="327" operator="greaterThan">
      <formula>8</formula>
    </cfRule>
    <cfRule type="cellIs" dxfId="4198" priority="328" operator="lessThan">
      <formula>8</formula>
    </cfRule>
  </conditionalFormatting>
  <conditionalFormatting sqref="ID91 JG91 KJ91 LM91 MP91">
    <cfRule type="cellIs" dxfId="4199" priority="321" operator="equal">
      <formula>0</formula>
    </cfRule>
    <cfRule type="cellIs" dxfId="4200" priority="322" operator="equal">
      <formula>8</formula>
    </cfRule>
    <cfRule type="cellIs" dxfId="4201" priority="323" operator="greaterThan">
      <formula>8</formula>
    </cfRule>
    <cfRule type="cellIs" dxfId="4202" priority="324" operator="lessThan">
      <formula>8</formula>
    </cfRule>
  </conditionalFormatting>
  <conditionalFormatting sqref="ID93 JG93 KJ93 LM93 MP93">
    <cfRule type="cellIs" dxfId="4203" priority="317" operator="equal">
      <formula>0</formula>
    </cfRule>
    <cfRule type="cellIs" dxfId="4204" priority="318" operator="equal">
      <formula>8</formula>
    </cfRule>
    <cfRule type="cellIs" dxfId="4205" priority="319" operator="greaterThan">
      <formula>8</formula>
    </cfRule>
    <cfRule type="cellIs" dxfId="4206" priority="320" operator="lessThan">
      <formula>8</formula>
    </cfRule>
  </conditionalFormatting>
  <conditionalFormatting sqref="ID94 JG94 KJ94 LM94 MP94">
    <cfRule type="cellIs" dxfId="4207" priority="313" operator="equal">
      <formula>0</formula>
    </cfRule>
    <cfRule type="cellIs" dxfId="4208" priority="314" operator="equal">
      <formula>8</formula>
    </cfRule>
    <cfRule type="cellIs" dxfId="4209" priority="315" operator="greaterThan">
      <formula>8</formula>
    </cfRule>
    <cfRule type="cellIs" dxfId="4210" priority="316" operator="lessThan">
      <formula>8</formula>
    </cfRule>
  </conditionalFormatting>
  <conditionalFormatting sqref="ID95 JG95 KJ95 LM95">
    <cfRule type="cellIs" dxfId="4211" priority="309" operator="equal">
      <formula>0</formula>
    </cfRule>
    <cfRule type="cellIs" dxfId="4212" priority="310" operator="equal">
      <formula>8</formula>
    </cfRule>
    <cfRule type="cellIs" dxfId="4213" priority="311" operator="greaterThan">
      <formula>8</formula>
    </cfRule>
    <cfRule type="cellIs" dxfId="4214" priority="312" operator="lessThan">
      <formula>8</formula>
    </cfRule>
  </conditionalFormatting>
  <conditionalFormatting sqref="ID96 JG96 KJ96 LM96 MP96">
    <cfRule type="cellIs" dxfId="4215" priority="305" operator="equal">
      <formula>0</formula>
    </cfRule>
    <cfRule type="cellIs" dxfId="4216" priority="306" operator="equal">
      <formula>8</formula>
    </cfRule>
    <cfRule type="cellIs" dxfId="4217" priority="307" operator="greaterThan">
      <formula>8</formula>
    </cfRule>
    <cfRule type="cellIs" dxfId="4218" priority="308" operator="lessThan">
      <formula>8</formula>
    </cfRule>
  </conditionalFormatting>
  <conditionalFormatting sqref="ID97 JG97 KJ97 LM97 MP97">
    <cfRule type="cellIs" dxfId="4219" priority="301" operator="equal">
      <formula>0</formula>
    </cfRule>
    <cfRule type="cellIs" dxfId="4220" priority="302" operator="equal">
      <formula>8</formula>
    </cfRule>
    <cfRule type="cellIs" dxfId="4221" priority="303" operator="greaterThan">
      <formula>8</formula>
    </cfRule>
    <cfRule type="cellIs" dxfId="4222" priority="304" operator="lessThan">
      <formula>8</formula>
    </cfRule>
  </conditionalFormatting>
  <conditionalFormatting sqref="ID98 JG98 KJ98 LM98 MP98">
    <cfRule type="cellIs" dxfId="4223" priority="297" operator="equal">
      <formula>0</formula>
    </cfRule>
    <cfRule type="cellIs" dxfId="4224" priority="298" operator="equal">
      <formula>8</formula>
    </cfRule>
    <cfRule type="cellIs" dxfId="4225" priority="299" operator="greaterThan">
      <formula>8</formula>
    </cfRule>
    <cfRule type="cellIs" dxfId="4226" priority="300" operator="lessThan">
      <formula>8</formula>
    </cfRule>
  </conditionalFormatting>
  <conditionalFormatting sqref="QB86 RE86 SH86 TK86 UN86">
    <cfRule type="cellIs" dxfId="4227" priority="293" operator="equal">
      <formula>0</formula>
    </cfRule>
    <cfRule type="cellIs" dxfId="4228" priority="294" operator="equal">
      <formula>8</formula>
    </cfRule>
    <cfRule type="cellIs" dxfId="4229" priority="295" operator="greaterThan">
      <formula>8</formula>
    </cfRule>
    <cfRule type="cellIs" dxfId="4230" priority="296" operator="lessThan">
      <formula>8</formula>
    </cfRule>
  </conditionalFormatting>
  <conditionalFormatting sqref="QB89 RE89 SH89 TK89 UN89">
    <cfRule type="cellIs" dxfId="4231" priority="289" operator="equal">
      <formula>0</formula>
    </cfRule>
    <cfRule type="cellIs" dxfId="4232" priority="290" operator="equal">
      <formula>8</formula>
    </cfRule>
    <cfRule type="cellIs" dxfId="4233" priority="291" operator="greaterThan">
      <formula>8</formula>
    </cfRule>
    <cfRule type="cellIs" dxfId="4234" priority="292" operator="lessThan">
      <formula>8</formula>
    </cfRule>
  </conditionalFormatting>
  <conditionalFormatting sqref="QB88 RE88 SH88 TK88 UN88">
    <cfRule type="cellIs" dxfId="4235" priority="285" operator="equal">
      <formula>0</formula>
    </cfRule>
    <cfRule type="cellIs" dxfId="4236" priority="286" operator="equal">
      <formula>8</formula>
    </cfRule>
    <cfRule type="cellIs" dxfId="4237" priority="287" operator="greaterThan">
      <formula>8</formula>
    </cfRule>
    <cfRule type="cellIs" dxfId="4238" priority="288" operator="lessThan">
      <formula>8</formula>
    </cfRule>
  </conditionalFormatting>
  <conditionalFormatting sqref="RE90 SH90 TK90 UN90">
    <cfRule type="cellIs" dxfId="4239" priority="281" operator="equal">
      <formula>0</formula>
    </cfRule>
    <cfRule type="cellIs" dxfId="4240" priority="282" operator="equal">
      <formula>8</formula>
    </cfRule>
    <cfRule type="cellIs" dxfId="4241" priority="283" operator="greaterThan">
      <formula>8</formula>
    </cfRule>
    <cfRule type="cellIs" dxfId="4242" priority="284" operator="lessThan">
      <formula>8</formula>
    </cfRule>
  </conditionalFormatting>
  <conditionalFormatting sqref="RE91 SH91 TK91 UN91">
    <cfRule type="cellIs" dxfId="4243" priority="277" operator="equal">
      <formula>0</formula>
    </cfRule>
    <cfRule type="cellIs" dxfId="4244" priority="278" operator="equal">
      <formula>8</formula>
    </cfRule>
    <cfRule type="cellIs" dxfId="4245" priority="279" operator="greaterThan">
      <formula>8</formula>
    </cfRule>
    <cfRule type="cellIs" dxfId="4246" priority="280" operator="lessThan">
      <formula>8</formula>
    </cfRule>
  </conditionalFormatting>
  <conditionalFormatting sqref="QB92 RE92 SH92 TK92 UN92">
    <cfRule type="cellIs" dxfId="4247" priority="273" operator="equal">
      <formula>0</formula>
    </cfRule>
    <cfRule type="cellIs" dxfId="4248" priority="274" operator="equal">
      <formula>8</formula>
    </cfRule>
    <cfRule type="cellIs" dxfId="4249" priority="275" operator="greaterThan">
      <formula>8</formula>
    </cfRule>
    <cfRule type="cellIs" dxfId="4250" priority="276" operator="lessThan">
      <formula>8</formula>
    </cfRule>
  </conditionalFormatting>
  <conditionalFormatting sqref="QB93 RE93 SH93 TK93 UN93">
    <cfRule type="cellIs" dxfId="4251" priority="269" operator="equal">
      <formula>0</formula>
    </cfRule>
    <cfRule type="cellIs" dxfId="4252" priority="270" operator="equal">
      <formula>8</formula>
    </cfRule>
    <cfRule type="cellIs" dxfId="4253" priority="271" operator="greaterThan">
      <formula>8</formula>
    </cfRule>
    <cfRule type="cellIs" dxfId="4254" priority="272" operator="lessThan">
      <formula>8</formula>
    </cfRule>
  </conditionalFormatting>
  <conditionalFormatting sqref="QB94 RE94 SH94 TK94 UN94">
    <cfRule type="cellIs" dxfId="4255" priority="265" operator="equal">
      <formula>0</formula>
    </cfRule>
    <cfRule type="cellIs" dxfId="4256" priority="266" operator="equal">
      <formula>8</formula>
    </cfRule>
    <cfRule type="cellIs" dxfId="4257" priority="267" operator="greaterThan">
      <formula>8</formula>
    </cfRule>
    <cfRule type="cellIs" dxfId="4258" priority="268" operator="lessThan">
      <formula>8</formula>
    </cfRule>
  </conditionalFormatting>
  <conditionalFormatting sqref="QB95 RE95 SH95 TK95 UN95">
    <cfRule type="cellIs" dxfId="4259" priority="261" operator="equal">
      <formula>0</formula>
    </cfRule>
    <cfRule type="cellIs" dxfId="4260" priority="262" operator="equal">
      <formula>8</formula>
    </cfRule>
    <cfRule type="cellIs" dxfId="4261" priority="263" operator="greaterThan">
      <formula>8</formula>
    </cfRule>
    <cfRule type="cellIs" dxfId="4262" priority="264" operator="lessThan">
      <formula>8</formula>
    </cfRule>
  </conditionalFormatting>
  <conditionalFormatting sqref="QB96 RE96 SH96 TK96 UN96">
    <cfRule type="cellIs" dxfId="4263" priority="257" operator="equal">
      <formula>0</formula>
    </cfRule>
    <cfRule type="cellIs" dxfId="4264" priority="258" operator="equal">
      <formula>8</formula>
    </cfRule>
    <cfRule type="cellIs" dxfId="4265" priority="259" operator="greaterThan">
      <formula>8</formula>
    </cfRule>
    <cfRule type="cellIs" dxfId="4266" priority="260" operator="lessThan">
      <formula>8</formula>
    </cfRule>
  </conditionalFormatting>
  <conditionalFormatting sqref="QB97 RE97 SH97 TK97 UN97">
    <cfRule type="cellIs" dxfId="4267" priority="253" operator="equal">
      <formula>0</formula>
    </cfRule>
    <cfRule type="cellIs" dxfId="4268" priority="254" operator="equal">
      <formula>8</formula>
    </cfRule>
    <cfRule type="cellIs" dxfId="4269" priority="255" operator="greaterThan">
      <formula>8</formula>
    </cfRule>
    <cfRule type="cellIs" dxfId="4270" priority="256" operator="lessThan">
      <formula>8</formula>
    </cfRule>
  </conditionalFormatting>
  <conditionalFormatting sqref="QB98 RE98 SH98 TK98 UN98">
    <cfRule type="cellIs" dxfId="4271" priority="249" operator="equal">
      <formula>0</formula>
    </cfRule>
    <cfRule type="cellIs" dxfId="4272" priority="250" operator="equal">
      <formula>8</formula>
    </cfRule>
    <cfRule type="cellIs" dxfId="4273" priority="251" operator="greaterThan">
      <formula>8</formula>
    </cfRule>
    <cfRule type="cellIs" dxfId="4274" priority="252" operator="lessThan">
      <formula>8</formula>
    </cfRule>
  </conditionalFormatting>
  <conditionalFormatting sqref="ID87 JG87 KJ87 LM87 MP87">
    <cfRule type="cellIs" dxfId="4275" priority="245" operator="equal">
      <formula>0</formula>
    </cfRule>
    <cfRule type="cellIs" dxfId="4276" priority="246" operator="equal">
      <formula>8</formula>
    </cfRule>
    <cfRule type="cellIs" dxfId="4277" priority="247" operator="greaterThan">
      <formula>8</formula>
    </cfRule>
    <cfRule type="cellIs" dxfId="4278" priority="248" operator="lessThan">
      <formula>8</formula>
    </cfRule>
  </conditionalFormatting>
  <conditionalFormatting sqref="QB87 RE87 UN87">
    <cfRule type="cellIs" dxfId="4279" priority="241" operator="equal">
      <formula>0</formula>
    </cfRule>
    <cfRule type="cellIs" dxfId="4280" priority="242" operator="equal">
      <formula>8</formula>
    </cfRule>
    <cfRule type="cellIs" dxfId="4281" priority="243" operator="greaterThan">
      <formula>8</formula>
    </cfRule>
    <cfRule type="cellIs" dxfId="4282" priority="244" operator="lessThan">
      <formula>8</formula>
    </cfRule>
  </conditionalFormatting>
  <conditionalFormatting sqref="SH87">
    <cfRule type="cellIs" dxfId="4283" priority="237" operator="equal">
      <formula>0</formula>
    </cfRule>
    <cfRule type="cellIs" dxfId="4284" priority="238" operator="equal">
      <formula>8</formula>
    </cfRule>
    <cfRule type="cellIs" dxfId="4285" priority="239" operator="greaterThan">
      <formula>8</formula>
    </cfRule>
    <cfRule type="cellIs" dxfId="4286" priority="240" operator="lessThan">
      <formula>8</formula>
    </cfRule>
  </conditionalFormatting>
  <conditionalFormatting sqref="TK87">
    <cfRule type="cellIs" dxfId="4287" priority="233" operator="equal">
      <formula>0</formula>
    </cfRule>
    <cfRule type="cellIs" dxfId="4288" priority="234" operator="equal">
      <formula>8</formula>
    </cfRule>
    <cfRule type="cellIs" dxfId="4289" priority="235" operator="greaterThan">
      <formula>8</formula>
    </cfRule>
    <cfRule type="cellIs" dxfId="4290" priority="236" operator="lessThan">
      <formula>8</formula>
    </cfRule>
  </conditionalFormatting>
  <conditionalFormatting sqref="XZ88 ZC88 AAF88 ABI88 ACL88">
    <cfRule type="cellIs" dxfId="4291" priority="229" operator="equal">
      <formula>0</formula>
    </cfRule>
    <cfRule type="cellIs" dxfId="4292" priority="230" operator="equal">
      <formula>8</formula>
    </cfRule>
    <cfRule type="cellIs" dxfId="4293" priority="231" operator="greaterThan">
      <formula>8</formula>
    </cfRule>
    <cfRule type="cellIs" dxfId="4294" priority="232" operator="lessThan">
      <formula>8</formula>
    </cfRule>
  </conditionalFormatting>
  <conditionalFormatting sqref="XZ89 ZC89 AAF89 ABI89 ACL89">
    <cfRule type="cellIs" dxfId="4295" priority="225" operator="equal">
      <formula>0</formula>
    </cfRule>
    <cfRule type="cellIs" dxfId="4296" priority="226" operator="equal">
      <formula>8</formula>
    </cfRule>
    <cfRule type="cellIs" dxfId="4297" priority="227" operator="greaterThan">
      <formula>8</formula>
    </cfRule>
    <cfRule type="cellIs" dxfId="4298" priority="228" operator="lessThan">
      <formula>8</formula>
    </cfRule>
  </conditionalFormatting>
  <conditionalFormatting sqref="XZ90 ZC90 AAF90 ABI90 ACL90">
    <cfRule type="cellIs" dxfId="4299" priority="221" operator="equal">
      <formula>0</formula>
    </cfRule>
    <cfRule type="cellIs" dxfId="4300" priority="222" operator="equal">
      <formula>8</formula>
    </cfRule>
    <cfRule type="cellIs" dxfId="4301" priority="223" operator="greaterThan">
      <formula>8</formula>
    </cfRule>
    <cfRule type="cellIs" dxfId="4302" priority="224" operator="lessThan">
      <formula>8</formula>
    </cfRule>
  </conditionalFormatting>
  <conditionalFormatting sqref="XZ93 ZC93 AAF93 ABI93 ACL93">
    <cfRule type="cellIs" dxfId="4303" priority="217" operator="equal">
      <formula>0</formula>
    </cfRule>
    <cfRule type="cellIs" dxfId="4304" priority="218" operator="equal">
      <formula>8</formula>
    </cfRule>
    <cfRule type="cellIs" dxfId="4305" priority="219" operator="greaterThan">
      <formula>8</formula>
    </cfRule>
    <cfRule type="cellIs" dxfId="4306" priority="220" operator="lessThan">
      <formula>8</formula>
    </cfRule>
  </conditionalFormatting>
  <conditionalFormatting sqref="XZ94 ZC94 AAF94 ABI94 ACL94">
    <cfRule type="cellIs" dxfId="4307" priority="213" operator="equal">
      <formula>0</formula>
    </cfRule>
    <cfRule type="cellIs" dxfId="4308" priority="214" operator="equal">
      <formula>8</formula>
    </cfRule>
    <cfRule type="cellIs" dxfId="4309" priority="215" operator="greaterThan">
      <formula>8</formula>
    </cfRule>
    <cfRule type="cellIs" dxfId="4310" priority="216" operator="lessThan">
      <formula>8</formula>
    </cfRule>
  </conditionalFormatting>
  <conditionalFormatting sqref="XZ95 ZC95 AAF95 ABI95 ACL95">
    <cfRule type="cellIs" dxfId="4311" priority="209" operator="equal">
      <formula>0</formula>
    </cfRule>
    <cfRule type="cellIs" dxfId="4312" priority="210" operator="equal">
      <formula>8</formula>
    </cfRule>
    <cfRule type="cellIs" dxfId="4313" priority="211" operator="greaterThan">
      <formula>8</formula>
    </cfRule>
    <cfRule type="cellIs" dxfId="4314" priority="212" operator="lessThan">
      <formula>8</formula>
    </cfRule>
  </conditionalFormatting>
  <conditionalFormatting sqref="XZ86 ZC86 AAF86 ABI86 ACL86">
    <cfRule type="cellIs" dxfId="4315" priority="205" operator="equal">
      <formula>0</formula>
    </cfRule>
    <cfRule type="cellIs" dxfId="4316" priority="206" operator="equal">
      <formula>8</formula>
    </cfRule>
    <cfRule type="cellIs" dxfId="4317" priority="207" operator="greaterThan">
      <formula>8</formula>
    </cfRule>
    <cfRule type="cellIs" dxfId="4318" priority="208" operator="lessThan">
      <formula>8</formula>
    </cfRule>
  </conditionalFormatting>
  <conditionalFormatting sqref="XZ98 ZC98 AAF98 ABI98 ACL98">
    <cfRule type="cellIs" dxfId="4319" priority="201" operator="equal">
      <formula>0</formula>
    </cfRule>
    <cfRule type="cellIs" dxfId="4320" priority="202" operator="equal">
      <formula>8</formula>
    </cfRule>
    <cfRule type="cellIs" dxfId="4321" priority="203" operator="greaterThan">
      <formula>8</formula>
    </cfRule>
    <cfRule type="cellIs" dxfId="4322" priority="204" operator="lessThan">
      <formula>8</formula>
    </cfRule>
  </conditionalFormatting>
  <conditionalFormatting sqref="XZ96 ZC96 AAF96 ABI96 ACL96">
    <cfRule type="cellIs" dxfId="4323" priority="197" operator="equal">
      <formula>0</formula>
    </cfRule>
    <cfRule type="cellIs" dxfId="4324" priority="198" operator="equal">
      <formula>8</formula>
    </cfRule>
    <cfRule type="cellIs" dxfId="4325" priority="199" operator="greaterThan">
      <formula>8</formula>
    </cfRule>
    <cfRule type="cellIs" dxfId="4326" priority="200" operator="lessThan">
      <formula>8</formula>
    </cfRule>
  </conditionalFormatting>
  <conditionalFormatting sqref="XZ97 ZC97 AAF97 ABI97 ACL97">
    <cfRule type="cellIs" dxfId="4327" priority="193" operator="equal">
      <formula>0</formula>
    </cfRule>
    <cfRule type="cellIs" dxfId="4328" priority="194" operator="equal">
      <formula>8</formula>
    </cfRule>
    <cfRule type="cellIs" dxfId="4329" priority="195" operator="greaterThan">
      <formula>8</formula>
    </cfRule>
    <cfRule type="cellIs" dxfId="4330" priority="196" operator="lessThan">
      <formula>8</formula>
    </cfRule>
  </conditionalFormatting>
  <conditionalFormatting sqref="AFX86 AHA86 AID86 AJG86 AKJ86">
    <cfRule type="cellIs" dxfId="4331" priority="189" operator="equal">
      <formula>0</formula>
    </cfRule>
    <cfRule type="cellIs" dxfId="4332" priority="190" operator="equal">
      <formula>8</formula>
    </cfRule>
    <cfRule type="cellIs" dxfId="4333" priority="191" operator="greaterThan">
      <formula>8</formula>
    </cfRule>
    <cfRule type="cellIs" dxfId="4334" priority="192" operator="lessThan">
      <formula>8</formula>
    </cfRule>
  </conditionalFormatting>
  <conditionalFormatting sqref="AFX87 AHA87 AID87 AJG87 AKJ87">
    <cfRule type="cellIs" dxfId="4335" priority="185" operator="equal">
      <formula>0</formula>
    </cfRule>
    <cfRule type="cellIs" dxfId="4336" priority="186" operator="equal">
      <formula>8</formula>
    </cfRule>
    <cfRule type="cellIs" dxfId="4337" priority="187" operator="greaterThan">
      <formula>8</formula>
    </cfRule>
    <cfRule type="cellIs" dxfId="4338" priority="188" operator="lessThan">
      <formula>8</formula>
    </cfRule>
  </conditionalFormatting>
  <conditionalFormatting sqref="AFX88 AHA88 AID88 AJG88 AKJ88">
    <cfRule type="cellIs" dxfId="4339" priority="181" operator="equal">
      <formula>0</formula>
    </cfRule>
    <cfRule type="cellIs" dxfId="4340" priority="182" operator="equal">
      <formula>8</formula>
    </cfRule>
    <cfRule type="cellIs" dxfId="4341" priority="183" operator="greaterThan">
      <formula>8</formula>
    </cfRule>
    <cfRule type="cellIs" dxfId="4342" priority="184" operator="lessThan">
      <formula>8</formula>
    </cfRule>
  </conditionalFormatting>
  <conditionalFormatting sqref="AFX89 AHA89 AID89 AJG89 AKJ89">
    <cfRule type="cellIs" dxfId="4343" priority="177" operator="equal">
      <formula>0</formula>
    </cfRule>
    <cfRule type="cellIs" dxfId="4344" priority="178" operator="equal">
      <formula>8</formula>
    </cfRule>
    <cfRule type="cellIs" dxfId="4345" priority="179" operator="greaterThan">
      <formula>8</formula>
    </cfRule>
    <cfRule type="cellIs" dxfId="4346" priority="180" operator="lessThan">
      <formula>8</formula>
    </cfRule>
  </conditionalFormatting>
  <conditionalFormatting sqref="AFX90 AHA90 AID90 AJG90 AKJ90">
    <cfRule type="cellIs" dxfId="4347" priority="173" operator="equal">
      <formula>0</formula>
    </cfRule>
    <cfRule type="cellIs" dxfId="4348" priority="174" operator="equal">
      <formula>8</formula>
    </cfRule>
    <cfRule type="cellIs" dxfId="4349" priority="175" operator="greaterThan">
      <formula>8</formula>
    </cfRule>
    <cfRule type="cellIs" dxfId="4350" priority="176" operator="lessThan">
      <formula>8</formula>
    </cfRule>
  </conditionalFormatting>
  <conditionalFormatting sqref="AFX91 AHA91 AID91 AJG91 AKJ91">
    <cfRule type="cellIs" dxfId="4351" priority="169" operator="equal">
      <formula>0</formula>
    </cfRule>
    <cfRule type="cellIs" dxfId="4352" priority="170" operator="equal">
      <formula>8</formula>
    </cfRule>
    <cfRule type="cellIs" dxfId="4353" priority="171" operator="greaterThan">
      <formula>8</formula>
    </cfRule>
    <cfRule type="cellIs" dxfId="4354" priority="172" operator="lessThan">
      <formula>8</formula>
    </cfRule>
  </conditionalFormatting>
  <conditionalFormatting sqref="AFX92 AHA92 AID92 AJG92 AKJ92">
    <cfRule type="cellIs" dxfId="4355" priority="165" operator="equal">
      <formula>0</formula>
    </cfRule>
    <cfRule type="cellIs" dxfId="4356" priority="166" operator="equal">
      <formula>8</formula>
    </cfRule>
    <cfRule type="cellIs" dxfId="4357" priority="167" operator="greaterThan">
      <formula>8</formula>
    </cfRule>
    <cfRule type="cellIs" dxfId="4358" priority="168" operator="lessThan">
      <formula>8</formula>
    </cfRule>
  </conditionalFormatting>
  <conditionalFormatting sqref="AFX93 AHA93 AID93 AJG93 AKJ93">
    <cfRule type="cellIs" dxfId="4359" priority="161" operator="equal">
      <formula>0</formula>
    </cfRule>
    <cfRule type="cellIs" dxfId="4360" priority="162" operator="equal">
      <formula>8</formula>
    </cfRule>
    <cfRule type="cellIs" dxfId="4361" priority="163" operator="greaterThan">
      <formula>8</formula>
    </cfRule>
    <cfRule type="cellIs" dxfId="4362" priority="164" operator="lessThan">
      <formula>8</formula>
    </cfRule>
  </conditionalFormatting>
  <conditionalFormatting sqref="AFX94 AHA94 AID94 AJG94 AKJ94">
    <cfRule type="cellIs" dxfId="4363" priority="157" operator="equal">
      <formula>0</formula>
    </cfRule>
    <cfRule type="cellIs" dxfId="4364" priority="158" operator="equal">
      <formula>8</formula>
    </cfRule>
    <cfRule type="cellIs" dxfId="4365" priority="159" operator="greaterThan">
      <formula>8</formula>
    </cfRule>
    <cfRule type="cellIs" dxfId="4366" priority="160" operator="lessThan">
      <formula>8</formula>
    </cfRule>
  </conditionalFormatting>
  <conditionalFormatting sqref="AFX95 AHA95 AID95 AJG95 AKJ95">
    <cfRule type="cellIs" dxfId="4367" priority="153" operator="equal">
      <formula>0</formula>
    </cfRule>
    <cfRule type="cellIs" dxfId="4368" priority="154" operator="equal">
      <formula>8</formula>
    </cfRule>
    <cfRule type="cellIs" dxfId="4369" priority="155" operator="greaterThan">
      <formula>8</formula>
    </cfRule>
    <cfRule type="cellIs" dxfId="4370" priority="156" operator="lessThan">
      <formula>8</formula>
    </cfRule>
  </conditionalFormatting>
  <conditionalFormatting sqref="AFX96 AHA96 AID96 AJG96 AKJ96">
    <cfRule type="cellIs" dxfId="4371" priority="149" operator="equal">
      <formula>0</formula>
    </cfRule>
    <cfRule type="cellIs" dxfId="4372" priority="150" operator="equal">
      <formula>8</formula>
    </cfRule>
    <cfRule type="cellIs" dxfId="4373" priority="151" operator="greaterThan">
      <formula>8</formula>
    </cfRule>
    <cfRule type="cellIs" dxfId="4374" priority="152" operator="lessThan">
      <formula>8</formula>
    </cfRule>
  </conditionalFormatting>
  <conditionalFormatting sqref="AFX97 AHA97 AID97 AJG97 AKJ97">
    <cfRule type="cellIs" dxfId="4375" priority="145" operator="equal">
      <formula>0</formula>
    </cfRule>
    <cfRule type="cellIs" dxfId="4376" priority="146" operator="equal">
      <formula>8</formula>
    </cfRule>
    <cfRule type="cellIs" dxfId="4377" priority="147" operator="greaterThan">
      <formula>8</formula>
    </cfRule>
    <cfRule type="cellIs" dxfId="4378" priority="148" operator="lessThan">
      <formula>8</formula>
    </cfRule>
  </conditionalFormatting>
  <conditionalFormatting sqref="AFX98 AHA98 AID98 AJG98 AKJ98">
    <cfRule type="cellIs" dxfId="4379" priority="141" operator="equal">
      <formula>0</formula>
    </cfRule>
    <cfRule type="cellIs" dxfId="4380" priority="142" operator="equal">
      <formula>8</formula>
    </cfRule>
    <cfRule type="cellIs" dxfId="4381" priority="143" operator="greaterThan">
      <formula>8</formula>
    </cfRule>
    <cfRule type="cellIs" dxfId="4382" priority="144" operator="lessThan">
      <formula>8</formula>
    </cfRule>
  </conditionalFormatting>
  <conditionalFormatting sqref="ID90">
    <cfRule type="cellIs" dxfId="4383" priority="137" operator="equal">
      <formula>0</formula>
    </cfRule>
    <cfRule type="cellIs" dxfId="4384" priority="138" operator="equal">
      <formula>8</formula>
    </cfRule>
    <cfRule type="cellIs" dxfId="4385" priority="139" operator="greaterThan">
      <formula>8</formula>
    </cfRule>
    <cfRule type="cellIs" dxfId="4386" priority="140" operator="lessThan">
      <formula>8</formula>
    </cfRule>
  </conditionalFormatting>
  <conditionalFormatting sqref="ID57">
    <cfRule type="cellIs" dxfId="4387" priority="133" operator="equal">
      <formula>0</formula>
    </cfRule>
    <cfRule type="cellIs" dxfId="4388" priority="134" operator="equal">
      <formula>8</formula>
    </cfRule>
    <cfRule type="cellIs" dxfId="4389" priority="135" operator="greaterThan">
      <formula>8</formula>
    </cfRule>
    <cfRule type="cellIs" dxfId="4390" priority="136" operator="lessThan">
      <formula>8</formula>
    </cfRule>
  </conditionalFormatting>
  <conditionalFormatting sqref="ID67">
    <cfRule type="cellIs" dxfId="4391" priority="129" operator="equal">
      <formula>0</formula>
    </cfRule>
    <cfRule type="cellIs" dxfId="4392" priority="130" operator="equal">
      <formula>8</formula>
    </cfRule>
    <cfRule type="cellIs" dxfId="4393" priority="131" operator="greaterThan">
      <formula>8</formula>
    </cfRule>
    <cfRule type="cellIs" dxfId="4394" priority="132" operator="lessThan">
      <formula>8</formula>
    </cfRule>
  </conditionalFormatting>
  <conditionalFormatting sqref="XZ72">
    <cfRule type="cellIs" dxfId="4395" priority="125" operator="equal">
      <formula>0</formula>
    </cfRule>
    <cfRule type="cellIs" dxfId="4396" priority="126" operator="equal">
      <formula>8</formula>
    </cfRule>
    <cfRule type="cellIs" dxfId="4397" priority="127" operator="greaterThan">
      <formula>8</formula>
    </cfRule>
    <cfRule type="cellIs" dxfId="4398" priority="128" operator="lessThan">
      <formula>8</formula>
    </cfRule>
  </conditionalFormatting>
  <conditionalFormatting sqref="KJ89">
    <cfRule type="cellIs" dxfId="4399" priority="121" operator="equal">
      <formula>0</formula>
    </cfRule>
    <cfRule type="cellIs" dxfId="4400" priority="122" operator="equal">
      <formula>8</formula>
    </cfRule>
    <cfRule type="cellIs" dxfId="4401" priority="123" operator="greaterThan">
      <formula>8</formula>
    </cfRule>
    <cfRule type="cellIs" dxfId="4402" priority="124" operator="lessThan">
      <formula>8</formula>
    </cfRule>
  </conditionalFormatting>
  <conditionalFormatting sqref="RE57">
    <cfRule type="cellIs" dxfId="4403" priority="117" operator="equal">
      <formula>0</formula>
    </cfRule>
    <cfRule type="cellIs" dxfId="4404" priority="118" operator="equal">
      <formula>8</formula>
    </cfRule>
    <cfRule type="cellIs" dxfId="4405" priority="119" operator="greaterThan">
      <formula>8</formula>
    </cfRule>
    <cfRule type="cellIs" dxfId="4406" priority="120" operator="lessThan">
      <formula>8</formula>
    </cfRule>
  </conditionalFormatting>
  <conditionalFormatting sqref="MP90">
    <cfRule type="cellIs" dxfId="4407" priority="113" operator="equal">
      <formula>0</formula>
    </cfRule>
    <cfRule type="cellIs" dxfId="4408" priority="114" operator="equal">
      <formula>8</formula>
    </cfRule>
    <cfRule type="cellIs" dxfId="4409" priority="115" operator="greaterThan">
      <formula>8</formula>
    </cfRule>
    <cfRule type="cellIs" dxfId="4410" priority="116" operator="lessThan">
      <formula>8</formula>
    </cfRule>
  </conditionalFormatting>
  <conditionalFormatting sqref="QB90">
    <cfRule type="cellIs" dxfId="4411" priority="109" operator="equal">
      <formula>0</formula>
    </cfRule>
    <cfRule type="cellIs" dxfId="4412" priority="110" operator="equal">
      <formula>8</formula>
    </cfRule>
    <cfRule type="cellIs" dxfId="4413" priority="111" operator="greaterThan">
      <formula>8</formula>
    </cfRule>
    <cfRule type="cellIs" dxfId="4414" priority="112" operator="lessThan">
      <formula>8</formula>
    </cfRule>
  </conditionalFormatting>
  <conditionalFormatting sqref="AHA106">
    <cfRule type="cellIs" dxfId="4415" priority="105" operator="equal">
      <formula>0</formula>
    </cfRule>
    <cfRule type="cellIs" dxfId="4416" priority="106" operator="equal">
      <formula>8</formula>
    </cfRule>
    <cfRule type="cellIs" dxfId="4417" priority="107" operator="greaterThan">
      <formula>8</formula>
    </cfRule>
    <cfRule type="cellIs" dxfId="4418" priority="108" operator="lessThan">
      <formula>8</formula>
    </cfRule>
  </conditionalFormatting>
  <conditionalFormatting sqref="AID106">
    <cfRule type="cellIs" dxfId="4419" priority="101" operator="equal">
      <formula>0</formula>
    </cfRule>
    <cfRule type="cellIs" dxfId="4420" priority="102" operator="equal">
      <formula>8</formula>
    </cfRule>
    <cfRule type="cellIs" dxfId="4421" priority="103" operator="greaterThan">
      <formula>8</formula>
    </cfRule>
    <cfRule type="cellIs" dxfId="4422" priority="104" operator="lessThan">
      <formula>8</formula>
    </cfRule>
  </conditionalFormatting>
  <conditionalFormatting sqref="AJG106">
    <cfRule type="cellIs" dxfId="4423" priority="97" operator="equal">
      <formula>0</formula>
    </cfRule>
    <cfRule type="cellIs" dxfId="4424" priority="98" operator="equal">
      <formula>8</formula>
    </cfRule>
    <cfRule type="cellIs" dxfId="4425" priority="99" operator="greaterThan">
      <formula>8</formula>
    </cfRule>
    <cfRule type="cellIs" dxfId="4426" priority="100" operator="lessThan">
      <formula>8</formula>
    </cfRule>
  </conditionalFormatting>
  <conditionalFormatting sqref="AKJ106">
    <cfRule type="cellIs" dxfId="4427" priority="93" operator="equal">
      <formula>0</formula>
    </cfRule>
    <cfRule type="cellIs" dxfId="4428" priority="94" operator="equal">
      <formula>8</formula>
    </cfRule>
    <cfRule type="cellIs" dxfId="4429" priority="95" operator="greaterThan">
      <formula>8</formula>
    </cfRule>
    <cfRule type="cellIs" dxfId="4430" priority="96" operator="lessThan">
      <formula>8</formula>
    </cfRule>
  </conditionalFormatting>
  <conditionalFormatting sqref="KJ111">
    <cfRule type="cellIs" dxfId="4431" priority="89" operator="equal">
      <formula>0</formula>
    </cfRule>
    <cfRule type="cellIs" dxfId="4432" priority="90" operator="equal">
      <formula>8</formula>
    </cfRule>
    <cfRule type="cellIs" dxfId="4433" priority="91" operator="greaterThan">
      <formula>8</formula>
    </cfRule>
    <cfRule type="cellIs" dxfId="4434" priority="92" operator="lessThan">
      <formula>8</formula>
    </cfRule>
  </conditionalFormatting>
  <conditionalFormatting sqref="MP95">
    <cfRule type="cellIs" dxfId="4435" priority="85" operator="equal">
      <formula>0</formula>
    </cfRule>
    <cfRule type="cellIs" dxfId="4436" priority="86" operator="equal">
      <formula>8</formula>
    </cfRule>
    <cfRule type="cellIs" dxfId="4437" priority="87" operator="greaterThan">
      <formula>8</formula>
    </cfRule>
    <cfRule type="cellIs" dxfId="4438" priority="88" operator="lessThan">
      <formula>8</formula>
    </cfRule>
  </conditionalFormatting>
  <conditionalFormatting sqref="ID47 JG47 KJ47 LM47 MP47">
    <cfRule type="cellIs" dxfId="4439" priority="81" operator="equal">
      <formula>0</formula>
    </cfRule>
    <cfRule type="cellIs" dxfId="4440" priority="82" operator="equal">
      <formula>8</formula>
    </cfRule>
    <cfRule type="cellIs" dxfId="4441" priority="83" operator="greaterThan">
      <formula>8</formula>
    </cfRule>
    <cfRule type="cellIs" dxfId="4442" priority="84" operator="lessThan">
      <formula>8</formula>
    </cfRule>
  </conditionalFormatting>
  <conditionalFormatting sqref="QB47 RE47 SH47 TK47 UN47">
    <cfRule type="cellIs" dxfId="4443" priority="77" operator="equal">
      <formula>0</formula>
    </cfRule>
    <cfRule type="cellIs" dxfId="4444" priority="78" operator="equal">
      <formula>8</formula>
    </cfRule>
    <cfRule type="cellIs" dxfId="4445" priority="79" operator="greaterThan">
      <formula>8</formula>
    </cfRule>
    <cfRule type="cellIs" dxfId="4446" priority="80" operator="lessThan">
      <formula>8</formula>
    </cfRule>
  </conditionalFormatting>
  <conditionalFormatting sqref="XZ47 ZC47 AAF47 ABI47 ACL47">
    <cfRule type="cellIs" dxfId="4447" priority="73" operator="equal">
      <formula>0</formula>
    </cfRule>
    <cfRule type="cellIs" dxfId="4448" priority="74" operator="equal">
      <formula>8</formula>
    </cfRule>
    <cfRule type="cellIs" dxfId="4449" priority="75" operator="greaterThan">
      <formula>8</formula>
    </cfRule>
    <cfRule type="cellIs" dxfId="4450" priority="76" operator="lessThan">
      <formula>8</formula>
    </cfRule>
  </conditionalFormatting>
  <conditionalFormatting sqref="AFX47 AHA47 AID47 AJG47 AKJ47">
    <cfRule type="cellIs" dxfId="4451" priority="69" operator="equal">
      <formula>0</formula>
    </cfRule>
    <cfRule type="cellIs" dxfId="4452" priority="70" operator="equal">
      <formula>8</formula>
    </cfRule>
    <cfRule type="cellIs" dxfId="4453" priority="71" operator="greaterThan">
      <formula>8</formula>
    </cfRule>
    <cfRule type="cellIs" dxfId="4454" priority="72" operator="lessThan">
      <formula>8</formula>
    </cfRule>
  </conditionalFormatting>
  <conditionalFormatting sqref="AFX58">
    <cfRule type="cellIs" dxfId="4455" priority="65" operator="equal">
      <formula>0</formula>
    </cfRule>
    <cfRule type="cellIs" dxfId="4456" priority="66" operator="equal">
      <formula>8</formula>
    </cfRule>
    <cfRule type="cellIs" dxfId="4457" priority="67" operator="greaterThan">
      <formula>8</formula>
    </cfRule>
    <cfRule type="cellIs" dxfId="4458" priority="68" operator="lessThan">
      <formula>8</formula>
    </cfRule>
  </conditionalFormatting>
  <conditionalFormatting sqref="MP89">
    <cfRule type="cellIs" dxfId="4459" priority="61" operator="equal">
      <formula>0</formula>
    </cfRule>
    <cfRule type="cellIs" dxfId="4460" priority="62" operator="equal">
      <formula>8</formula>
    </cfRule>
    <cfRule type="cellIs" dxfId="4461" priority="63" operator="greaterThan">
      <formula>8</formula>
    </cfRule>
    <cfRule type="cellIs" dxfId="4462" priority="64" operator="lessThan">
      <formula>8</formula>
    </cfRule>
  </conditionalFormatting>
  <conditionalFormatting sqref="LM111">
    <cfRule type="cellIs" dxfId="4463" priority="57" operator="equal">
      <formula>0</formula>
    </cfRule>
    <cfRule type="cellIs" dxfId="4464" priority="58" operator="equal">
      <formula>8</formula>
    </cfRule>
    <cfRule type="cellIs" dxfId="4465" priority="59" operator="greaterThan">
      <formula>8</formula>
    </cfRule>
    <cfRule type="cellIs" dxfId="4466" priority="60" operator="lessThan">
      <formula>8</formula>
    </cfRule>
  </conditionalFormatting>
  <conditionalFormatting sqref="MP111">
    <cfRule type="cellIs" dxfId="4467" priority="53" operator="equal">
      <formula>0</formula>
    </cfRule>
    <cfRule type="cellIs" dxfId="4468" priority="54" operator="equal">
      <formula>8</formula>
    </cfRule>
    <cfRule type="cellIs" dxfId="4469" priority="55" operator="greaterThan">
      <formula>8</formula>
    </cfRule>
    <cfRule type="cellIs" dxfId="4470" priority="56" operator="lessThan">
      <formula>8</formula>
    </cfRule>
  </conditionalFormatting>
  <conditionalFormatting sqref="AFX76">
    <cfRule type="cellIs" dxfId="4471" priority="49" operator="equal">
      <formula>0</formula>
    </cfRule>
    <cfRule type="cellIs" dxfId="4472" priority="50" operator="equal">
      <formula>8</formula>
    </cfRule>
    <cfRule type="cellIs" dxfId="4473" priority="51" operator="greaterThan">
      <formula>8</formula>
    </cfRule>
    <cfRule type="cellIs" dxfId="4474" priority="52" operator="lessThan">
      <formula>8</formula>
    </cfRule>
    <cfRule type="cellIs" dxfId="4475" priority="45" operator="equal">
      <formula>0</formula>
    </cfRule>
    <cfRule type="cellIs" dxfId="4476" priority="46" operator="equal">
      <formula>8</formula>
    </cfRule>
    <cfRule type="cellIs" dxfId="4477" priority="47" operator="greaterThan">
      <formula>8</formula>
    </cfRule>
    <cfRule type="cellIs" dxfId="4478" priority="48" operator="lessThan">
      <formula>8</formula>
    </cfRule>
  </conditionalFormatting>
  <conditionalFormatting sqref="AHA76">
    <cfRule type="cellIs" dxfId="4479" priority="41" operator="equal">
      <formula>0</formula>
    </cfRule>
    <cfRule type="cellIs" dxfId="4480" priority="42" operator="equal">
      <formula>8</formula>
    </cfRule>
    <cfRule type="cellIs" dxfId="4481" priority="43" operator="greaterThan">
      <formula>8</formula>
    </cfRule>
    <cfRule type="cellIs" dxfId="4482" priority="44" operator="lessThan">
      <formula>8</formula>
    </cfRule>
    <cfRule type="cellIs" dxfId="4483" priority="37" operator="equal">
      <formula>0</formula>
    </cfRule>
    <cfRule type="cellIs" dxfId="4484" priority="38" operator="equal">
      <formula>8</formula>
    </cfRule>
    <cfRule type="cellIs" dxfId="4485" priority="39" operator="greaterThan">
      <formula>8</formula>
    </cfRule>
    <cfRule type="cellIs" dxfId="4486" priority="40" operator="lessThan">
      <formula>8</formula>
    </cfRule>
  </conditionalFormatting>
  <conditionalFormatting sqref="AID76">
    <cfRule type="cellIs" dxfId="4487" priority="33" operator="equal">
      <formula>0</formula>
    </cfRule>
    <cfRule type="cellIs" dxfId="4488" priority="34" operator="equal">
      <formula>8</formula>
    </cfRule>
    <cfRule type="cellIs" dxfId="4489" priority="35" operator="greaterThan">
      <formula>8</formula>
    </cfRule>
    <cfRule type="cellIs" dxfId="4490" priority="36" operator="lessThan">
      <formula>8</formula>
    </cfRule>
    <cfRule type="cellIs" dxfId="4491" priority="29" operator="equal">
      <formula>0</formula>
    </cfRule>
    <cfRule type="cellIs" dxfId="4492" priority="30" operator="equal">
      <formula>8</formula>
    </cfRule>
    <cfRule type="cellIs" dxfId="4493" priority="31" operator="greaterThan">
      <formula>8</formula>
    </cfRule>
    <cfRule type="cellIs" dxfId="4494" priority="32" operator="lessThan">
      <formula>8</formula>
    </cfRule>
  </conditionalFormatting>
  <conditionalFormatting sqref="AJG76">
    <cfRule type="cellIs" dxfId="4495" priority="25" operator="equal">
      <formula>0</formula>
    </cfRule>
    <cfRule type="cellIs" dxfId="4496" priority="26" operator="equal">
      <formula>8</formula>
    </cfRule>
    <cfRule type="cellIs" dxfId="4497" priority="27" operator="greaterThan">
      <formula>8</formula>
    </cfRule>
    <cfRule type="cellIs" dxfId="4498" priority="28" operator="lessThan">
      <formula>8</formula>
    </cfRule>
    <cfRule type="cellIs" dxfId="4499" priority="21" operator="equal">
      <formula>0</formula>
    </cfRule>
    <cfRule type="cellIs" dxfId="4500" priority="22" operator="equal">
      <formula>8</formula>
    </cfRule>
    <cfRule type="cellIs" dxfId="4501" priority="23" operator="greaterThan">
      <formula>8</formula>
    </cfRule>
    <cfRule type="cellIs" dxfId="4502" priority="24" operator="lessThan">
      <formula>8</formula>
    </cfRule>
  </conditionalFormatting>
  <conditionalFormatting sqref="AKJ76">
    <cfRule type="cellIs" dxfId="4503" priority="17" operator="equal">
      <formula>0</formula>
    </cfRule>
    <cfRule type="cellIs" dxfId="4504" priority="18" operator="equal">
      <formula>8</formula>
    </cfRule>
    <cfRule type="cellIs" dxfId="4505" priority="19" operator="greaterThan">
      <formula>8</formula>
    </cfRule>
    <cfRule type="cellIs" dxfId="4506" priority="20" operator="lessThan">
      <formula>8</formula>
    </cfRule>
    <cfRule type="cellIs" dxfId="4507" priority="13" operator="equal">
      <formula>0</formula>
    </cfRule>
    <cfRule type="cellIs" dxfId="4508" priority="14" operator="equal">
      <formula>8</formula>
    </cfRule>
    <cfRule type="cellIs" dxfId="4509" priority="15" operator="greaterThan">
      <formula>8</formula>
    </cfRule>
    <cfRule type="cellIs" dxfId="4510" priority="16" operator="lessThan">
      <formula>8</formula>
    </cfRule>
  </conditionalFormatting>
  <conditionalFormatting sqref="QB91">
    <cfRule type="cellIs" dxfId="4511" priority="9" operator="equal">
      <formula>0</formula>
    </cfRule>
    <cfRule type="cellIs" dxfId="4512" priority="10" operator="equal">
      <formula>8</formula>
    </cfRule>
    <cfRule type="cellIs" dxfId="4513" priority="11" operator="greaterThan">
      <formula>8</formula>
    </cfRule>
    <cfRule type="cellIs" dxfId="4514" priority="12" operator="lessThan">
      <formula>8</formula>
    </cfRule>
  </conditionalFormatting>
  <conditionalFormatting sqref="QB59">
    <cfRule type="cellIs" dxfId="4515" priority="5" operator="equal">
      <formula>0</formula>
    </cfRule>
    <cfRule type="cellIs" dxfId="4516" priority="6" operator="equal">
      <formula>8</formula>
    </cfRule>
    <cfRule type="cellIs" dxfId="4517" priority="7" operator="greaterThan">
      <formula>8</formula>
    </cfRule>
    <cfRule type="cellIs" dxfId="4518" priority="8" operator="lessThan">
      <formula>8</formula>
    </cfRule>
  </conditionalFormatting>
  <conditionalFormatting sqref="UN73">
    <cfRule type="cellIs" dxfId="4519" priority="1" operator="equal">
      <formula>0</formula>
    </cfRule>
    <cfRule type="cellIs" dxfId="4520" priority="2" operator="equal">
      <formula>8</formula>
    </cfRule>
    <cfRule type="cellIs" dxfId="4521" priority="3" operator="greaterThan">
      <formula>8</formula>
    </cfRule>
    <cfRule type="cellIs" dxfId="4522" priority="4" operator="lessThan">
      <formula>8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1" summaryRight="1"/>
  </sheetPr>
  <dimension ref="A1:EU129"/>
  <sheetViews>
    <sheetView workbookViewId="0" showGridLines="0" zoomScale="80" zoomScaleNormal="80">
      <pane xSplit="1" ySplit="2" topLeftCell="CI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2.85546875" customWidth="1"/>
    <col min="2" max="3" width="5.85546875" style="680" customWidth="1"/>
    <col min="4" max="27" width="3" customWidth="1"/>
    <col min="28" max="31" width="5.85546875" customWidth="1"/>
    <col min="32" max="32" width="5.85546875" style="680" customWidth="1"/>
    <col min="33" max="56" width="3" customWidth="1"/>
    <col min="57" max="60" width="5.85546875" customWidth="1"/>
    <col min="61" max="61" width="5.85546875" style="680" customWidth="1"/>
    <col min="62" max="85" width="3" customWidth="1"/>
    <col min="86" max="89" width="5.85546875" customWidth="1"/>
    <col min="90" max="90" width="5.85546875" style="680" customWidth="1"/>
    <col min="91" max="114" width="3" customWidth="1"/>
    <col min="115" max="118" width="5.85546875" customWidth="1"/>
    <col min="119" max="119" width="5.85546875" style="680" customWidth="1"/>
    <col min="120" max="143" width="3" customWidth="1"/>
    <col min="144" max="148" width="5.85546875" customWidth="1"/>
  </cols>
  <sheetData>
    <row r="1" ht="33" customHeight="1" spans="1:151" x14ac:dyDescent="0.25">
      <c r="A1" s="681"/>
      <c r="B1" s="682" t="s">
        <v>182</v>
      </c>
      <c r="C1" s="683"/>
      <c r="D1" s="683"/>
      <c r="E1" s="683"/>
      <c r="F1" s="683"/>
      <c r="G1" s="683"/>
      <c r="H1" s="683"/>
      <c r="I1" s="683"/>
      <c r="J1" s="683"/>
      <c r="K1" s="683"/>
      <c r="L1" s="683"/>
      <c r="M1" s="683"/>
      <c r="N1" s="683"/>
      <c r="O1" s="683"/>
      <c r="P1" s="683"/>
      <c r="Q1" s="683"/>
      <c r="R1" s="683"/>
      <c r="S1" s="683"/>
      <c r="T1" s="683"/>
      <c r="U1" s="683"/>
      <c r="V1" s="683"/>
      <c r="W1" s="683"/>
      <c r="X1" s="683"/>
      <c r="Y1" s="683"/>
      <c r="Z1" s="683"/>
      <c r="AA1" s="683"/>
      <c r="AB1" s="683"/>
      <c r="AC1" s="683"/>
      <c r="AD1" s="4"/>
      <c r="AE1" s="684" t="s">
        <v>183</v>
      </c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684" t="s">
        <v>184</v>
      </c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684" t="s">
        <v>185</v>
      </c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684" t="s">
        <v>186</v>
      </c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</row>
    <row r="2" ht="50.25" customHeight="1" spans="1:151" x14ac:dyDescent="0.25">
      <c r="A2" s="685" t="s">
        <v>187</v>
      </c>
      <c r="B2" s="78" t="s">
        <v>28</v>
      </c>
      <c r="C2" s="79" t="s">
        <v>29</v>
      </c>
      <c r="D2" s="79" t="s">
        <v>30</v>
      </c>
      <c r="E2" s="80"/>
      <c r="F2" s="81" t="s">
        <v>31</v>
      </c>
      <c r="G2" s="80"/>
      <c r="H2" s="81" t="s">
        <v>32</v>
      </c>
      <c r="I2" s="80"/>
      <c r="J2" s="81" t="s">
        <v>33</v>
      </c>
      <c r="K2" s="80"/>
      <c r="L2" s="82" t="s">
        <v>34</v>
      </c>
      <c r="M2" s="80"/>
      <c r="N2" s="82" t="s">
        <v>35</v>
      </c>
      <c r="O2" s="80"/>
      <c r="P2" s="81" t="s">
        <v>36</v>
      </c>
      <c r="Q2" s="80"/>
      <c r="R2" s="81" t="s">
        <v>37</v>
      </c>
      <c r="S2" s="80"/>
      <c r="T2" s="81" t="s">
        <v>38</v>
      </c>
      <c r="U2" s="80"/>
      <c r="V2" s="81" t="s">
        <v>39</v>
      </c>
      <c r="W2" s="80"/>
      <c r="X2" s="81" t="s">
        <v>40</v>
      </c>
      <c r="Y2" s="80"/>
      <c r="Z2" s="81" t="s">
        <v>41</v>
      </c>
      <c r="AA2" s="80"/>
      <c r="AB2" s="83" t="s">
        <v>42</v>
      </c>
      <c r="AC2" s="84" t="s">
        <v>43</v>
      </c>
      <c r="AD2" s="85" t="s">
        <v>44</v>
      </c>
      <c r="AE2" s="78" t="s">
        <v>28</v>
      </c>
      <c r="AF2" s="79" t="s">
        <v>29</v>
      </c>
      <c r="AG2" s="79" t="s">
        <v>30</v>
      </c>
      <c r="AH2" s="80"/>
      <c r="AI2" s="81" t="s">
        <v>31</v>
      </c>
      <c r="AJ2" s="80"/>
      <c r="AK2" s="81" t="s">
        <v>32</v>
      </c>
      <c r="AL2" s="80"/>
      <c r="AM2" s="81" t="s">
        <v>33</v>
      </c>
      <c r="AN2" s="80"/>
      <c r="AO2" s="82" t="s">
        <v>34</v>
      </c>
      <c r="AP2" s="80"/>
      <c r="AQ2" s="82" t="s">
        <v>35</v>
      </c>
      <c r="AR2" s="80"/>
      <c r="AS2" s="81" t="s">
        <v>36</v>
      </c>
      <c r="AT2" s="80"/>
      <c r="AU2" s="81" t="s">
        <v>37</v>
      </c>
      <c r="AV2" s="80"/>
      <c r="AW2" s="81" t="s">
        <v>38</v>
      </c>
      <c r="AX2" s="80"/>
      <c r="AY2" s="81" t="s">
        <v>39</v>
      </c>
      <c r="AZ2" s="80"/>
      <c r="BA2" s="81" t="s">
        <v>40</v>
      </c>
      <c r="BB2" s="80"/>
      <c r="BC2" s="81" t="s">
        <v>41</v>
      </c>
      <c r="BD2" s="80"/>
      <c r="BE2" s="83" t="s">
        <v>42</v>
      </c>
      <c r="BF2" s="84" t="s">
        <v>43</v>
      </c>
      <c r="BG2" s="85" t="s">
        <v>44</v>
      </c>
      <c r="BH2" s="78" t="s">
        <v>28</v>
      </c>
      <c r="BI2" s="79" t="s">
        <v>29</v>
      </c>
      <c r="BJ2" s="79" t="s">
        <v>30</v>
      </c>
      <c r="BK2" s="80"/>
      <c r="BL2" s="81" t="s">
        <v>31</v>
      </c>
      <c r="BM2" s="80"/>
      <c r="BN2" s="81" t="s">
        <v>32</v>
      </c>
      <c r="BO2" s="80"/>
      <c r="BP2" s="81" t="s">
        <v>33</v>
      </c>
      <c r="BQ2" s="80"/>
      <c r="BR2" s="82" t="s">
        <v>34</v>
      </c>
      <c r="BS2" s="80"/>
      <c r="BT2" s="82" t="s">
        <v>35</v>
      </c>
      <c r="BU2" s="80"/>
      <c r="BV2" s="81" t="s">
        <v>36</v>
      </c>
      <c r="BW2" s="80"/>
      <c r="BX2" s="81" t="s">
        <v>37</v>
      </c>
      <c r="BY2" s="80"/>
      <c r="BZ2" s="81" t="s">
        <v>38</v>
      </c>
      <c r="CA2" s="80"/>
      <c r="CB2" s="81" t="s">
        <v>39</v>
      </c>
      <c r="CC2" s="80"/>
      <c r="CD2" s="81" t="s">
        <v>40</v>
      </c>
      <c r="CE2" s="80"/>
      <c r="CF2" s="81" t="s">
        <v>41</v>
      </c>
      <c r="CG2" s="80"/>
      <c r="CH2" s="83" t="s">
        <v>42</v>
      </c>
      <c r="CI2" s="84" t="s">
        <v>43</v>
      </c>
      <c r="CJ2" s="85" t="s">
        <v>44</v>
      </c>
      <c r="CK2" s="78" t="s">
        <v>28</v>
      </c>
      <c r="CL2" s="79" t="s">
        <v>29</v>
      </c>
      <c r="CM2" s="79" t="s">
        <v>30</v>
      </c>
      <c r="CN2" s="80"/>
      <c r="CO2" s="81" t="s">
        <v>31</v>
      </c>
      <c r="CP2" s="80"/>
      <c r="CQ2" s="81" t="s">
        <v>32</v>
      </c>
      <c r="CR2" s="80"/>
      <c r="CS2" s="81" t="s">
        <v>33</v>
      </c>
      <c r="CT2" s="80"/>
      <c r="CU2" s="82" t="s">
        <v>34</v>
      </c>
      <c r="CV2" s="80"/>
      <c r="CW2" s="82" t="s">
        <v>35</v>
      </c>
      <c r="CX2" s="80"/>
      <c r="CY2" s="81" t="s">
        <v>36</v>
      </c>
      <c r="CZ2" s="80"/>
      <c r="DA2" s="81" t="s">
        <v>37</v>
      </c>
      <c r="DB2" s="80"/>
      <c r="DC2" s="81" t="s">
        <v>38</v>
      </c>
      <c r="DD2" s="80"/>
      <c r="DE2" s="81" t="s">
        <v>39</v>
      </c>
      <c r="DF2" s="80"/>
      <c r="DG2" s="81" t="s">
        <v>40</v>
      </c>
      <c r="DH2" s="80"/>
      <c r="DI2" s="81" t="s">
        <v>41</v>
      </c>
      <c r="DJ2" s="80"/>
      <c r="DK2" s="83" t="s">
        <v>42</v>
      </c>
      <c r="DL2" s="84" t="s">
        <v>43</v>
      </c>
      <c r="DM2" s="85" t="s">
        <v>44</v>
      </c>
      <c r="DN2" s="78" t="s">
        <v>28</v>
      </c>
      <c r="DO2" s="79" t="s">
        <v>29</v>
      </c>
      <c r="DP2" s="79" t="s">
        <v>30</v>
      </c>
      <c r="DQ2" s="80"/>
      <c r="DR2" s="81" t="s">
        <v>31</v>
      </c>
      <c r="DS2" s="80"/>
      <c r="DT2" s="81" t="s">
        <v>32</v>
      </c>
      <c r="DU2" s="80"/>
      <c r="DV2" s="81" t="s">
        <v>33</v>
      </c>
      <c r="DW2" s="80"/>
      <c r="DX2" s="82" t="s">
        <v>34</v>
      </c>
      <c r="DY2" s="80"/>
      <c r="DZ2" s="82" t="s">
        <v>35</v>
      </c>
      <c r="EA2" s="80"/>
      <c r="EB2" s="81" t="s">
        <v>36</v>
      </c>
      <c r="EC2" s="80"/>
      <c r="ED2" s="81" t="s">
        <v>37</v>
      </c>
      <c r="EE2" s="80"/>
      <c r="EF2" s="81" t="s">
        <v>38</v>
      </c>
      <c r="EG2" s="80"/>
      <c r="EH2" s="81" t="s">
        <v>39</v>
      </c>
      <c r="EI2" s="80"/>
      <c r="EJ2" s="81" t="s">
        <v>40</v>
      </c>
      <c r="EK2" s="80"/>
      <c r="EL2" s="81" t="s">
        <v>41</v>
      </c>
      <c r="EM2" s="80"/>
      <c r="EN2" s="83" t="s">
        <v>42</v>
      </c>
      <c r="EO2" s="84" t="s">
        <v>43</v>
      </c>
      <c r="EP2" s="85" t="s">
        <v>44</v>
      </c>
      <c r="EQ2" s="4"/>
      <c r="ER2" s="4"/>
      <c r="ES2" s="4"/>
      <c r="ET2" s="4"/>
      <c r="EU2" s="4"/>
    </row>
    <row r="3" ht="16.5" customHeight="1" spans="1:151" x14ac:dyDescent="0.25">
      <c r="A3" s="686" t="s">
        <v>188</v>
      </c>
      <c r="B3" s="293"/>
      <c r="C3" s="294"/>
      <c r="D3" s="687">
        <v>0.5</v>
      </c>
      <c r="E3" s="688">
        <v>0.5</v>
      </c>
      <c r="F3" s="688">
        <v>0.5</v>
      </c>
      <c r="G3" s="688">
        <v>0.5</v>
      </c>
      <c r="H3" s="688">
        <v>0.5</v>
      </c>
      <c r="I3" s="688">
        <v>0.5</v>
      </c>
      <c r="J3" s="688">
        <v>0.5</v>
      </c>
      <c r="K3" s="689">
        <v>0.5</v>
      </c>
      <c r="L3" s="690"/>
      <c r="M3" s="691"/>
      <c r="N3" s="688">
        <v>0.5</v>
      </c>
      <c r="O3" s="692">
        <v>0.5</v>
      </c>
      <c r="P3" s="687">
        <v>0.5</v>
      </c>
      <c r="Q3" s="688">
        <v>0.5</v>
      </c>
      <c r="R3" s="688">
        <v>0.5</v>
      </c>
      <c r="S3" s="688">
        <v>0.5</v>
      </c>
      <c r="T3" s="688">
        <v>0.5</v>
      </c>
      <c r="U3" s="688">
        <v>0.5</v>
      </c>
      <c r="V3" s="693"/>
      <c r="W3" s="693"/>
      <c r="X3" s="693"/>
      <c r="Y3" s="693"/>
      <c r="Z3" s="693"/>
      <c r="AA3" s="694"/>
      <c r="AB3" s="294"/>
      <c r="AC3" s="695"/>
      <c r="AD3" s="696">
        <f>SUM(B3:AC3)</f>
      </c>
      <c r="AE3" s="293"/>
      <c r="AF3" s="294"/>
      <c r="AG3" s="687">
        <v>0.5</v>
      </c>
      <c r="AH3" s="688">
        <v>0.5</v>
      </c>
      <c r="AI3" s="688">
        <v>0.5</v>
      </c>
      <c r="AJ3" s="688">
        <v>0.5</v>
      </c>
      <c r="AK3" s="688">
        <v>0.5</v>
      </c>
      <c r="AL3" s="688">
        <v>0.5</v>
      </c>
      <c r="AM3" s="688">
        <v>0.5</v>
      </c>
      <c r="AN3" s="689">
        <v>0.5</v>
      </c>
      <c r="AO3" s="690"/>
      <c r="AP3" s="691"/>
      <c r="AQ3" s="688">
        <v>0.5</v>
      </c>
      <c r="AR3" s="692">
        <v>0.5</v>
      </c>
      <c r="AS3" s="687">
        <v>0.5</v>
      </c>
      <c r="AT3" s="688">
        <v>0.5</v>
      </c>
      <c r="AU3" s="688">
        <v>0.5</v>
      </c>
      <c r="AV3" s="688">
        <v>0.5</v>
      </c>
      <c r="AW3" s="688">
        <v>0.5</v>
      </c>
      <c r="AX3" s="688">
        <v>0.5</v>
      </c>
      <c r="AY3" s="693"/>
      <c r="AZ3" s="693"/>
      <c r="BA3" s="693"/>
      <c r="BB3" s="693"/>
      <c r="BC3" s="693"/>
      <c r="BD3" s="697"/>
      <c r="BE3" s="294"/>
      <c r="BF3" s="695"/>
      <c r="BG3" s="696">
        <f>SUM(AE3:BF3)</f>
      </c>
      <c r="BH3" s="293"/>
      <c r="BI3" s="294"/>
      <c r="BJ3" s="687">
        <v>0.5</v>
      </c>
      <c r="BK3" s="688">
        <v>0.5</v>
      </c>
      <c r="BL3" s="688">
        <v>0.5</v>
      </c>
      <c r="BM3" s="688">
        <v>0.5</v>
      </c>
      <c r="BN3" s="688">
        <v>0.5</v>
      </c>
      <c r="BO3" s="688">
        <v>0.5</v>
      </c>
      <c r="BP3" s="688">
        <v>0.5</v>
      </c>
      <c r="BQ3" s="689">
        <v>0.5</v>
      </c>
      <c r="BR3" s="690"/>
      <c r="BS3" s="691"/>
      <c r="BT3" s="688">
        <v>0.5</v>
      </c>
      <c r="BU3" s="692">
        <v>0.5</v>
      </c>
      <c r="BV3" s="687">
        <v>0.5</v>
      </c>
      <c r="BW3" s="688">
        <v>0.5</v>
      </c>
      <c r="BX3" s="688">
        <v>0.5</v>
      </c>
      <c r="BY3" s="688">
        <v>0.5</v>
      </c>
      <c r="BZ3" s="688">
        <v>0.5</v>
      </c>
      <c r="CA3" s="688">
        <v>0.5</v>
      </c>
      <c r="CB3" s="693"/>
      <c r="CC3" s="693"/>
      <c r="CD3" s="693"/>
      <c r="CE3" s="693"/>
      <c r="CF3" s="693"/>
      <c r="CG3" s="697"/>
      <c r="CH3" s="294"/>
      <c r="CI3" s="695"/>
      <c r="CJ3" s="696">
        <f>SUM(BH3:CI3)</f>
      </c>
      <c r="CK3" s="293"/>
      <c r="CL3" s="294"/>
      <c r="CM3" s="687">
        <v>0.5</v>
      </c>
      <c r="CN3" s="688">
        <v>0.5</v>
      </c>
      <c r="CO3" s="688">
        <v>0.5</v>
      </c>
      <c r="CP3" s="688">
        <v>0.5</v>
      </c>
      <c r="CQ3" s="688">
        <v>0.5</v>
      </c>
      <c r="CR3" s="688">
        <v>0.5</v>
      </c>
      <c r="CS3" s="688">
        <v>0.5</v>
      </c>
      <c r="CT3" s="689">
        <v>0.5</v>
      </c>
      <c r="CU3" s="690"/>
      <c r="CV3" s="691"/>
      <c r="CW3" s="688">
        <v>0.5</v>
      </c>
      <c r="CX3" s="692">
        <v>0.5</v>
      </c>
      <c r="CY3" s="687">
        <v>0.5</v>
      </c>
      <c r="CZ3" s="688">
        <v>0.5</v>
      </c>
      <c r="DA3" s="688">
        <v>0.5</v>
      </c>
      <c r="DB3" s="688">
        <v>0.5</v>
      </c>
      <c r="DC3" s="688">
        <v>0.5</v>
      </c>
      <c r="DD3" s="688">
        <v>0.5</v>
      </c>
      <c r="DE3" s="693"/>
      <c r="DF3" s="693"/>
      <c r="DG3" s="693"/>
      <c r="DH3" s="693"/>
      <c r="DI3" s="693"/>
      <c r="DJ3" s="697"/>
      <c r="DK3" s="294"/>
      <c r="DL3" s="695"/>
      <c r="DM3" s="696">
        <f>SUM(CK3:DL3)</f>
      </c>
      <c r="DN3" s="293"/>
      <c r="DO3" s="294"/>
      <c r="DP3" s="687">
        <v>0.5</v>
      </c>
      <c r="DQ3" s="688">
        <v>0.5</v>
      </c>
      <c r="DR3" s="688">
        <v>0.5</v>
      </c>
      <c r="DS3" s="688">
        <v>0.5</v>
      </c>
      <c r="DT3" s="688">
        <v>0.5</v>
      </c>
      <c r="DU3" s="688">
        <v>0.5</v>
      </c>
      <c r="DV3" s="688">
        <v>0.5</v>
      </c>
      <c r="DW3" s="689">
        <v>0.5</v>
      </c>
      <c r="DX3" s="690"/>
      <c r="DY3" s="691"/>
      <c r="DZ3" s="688">
        <v>0.5</v>
      </c>
      <c r="EA3" s="692">
        <v>0.5</v>
      </c>
      <c r="EB3" s="687">
        <v>0.5</v>
      </c>
      <c r="EC3" s="688">
        <v>0.5</v>
      </c>
      <c r="ED3" s="688">
        <v>0.5</v>
      </c>
      <c r="EE3" s="688">
        <v>0.5</v>
      </c>
      <c r="EF3" s="688">
        <v>0.5</v>
      </c>
      <c r="EG3" s="688">
        <v>0.5</v>
      </c>
      <c r="EH3" s="693"/>
      <c r="EI3" s="693"/>
      <c r="EJ3" s="693"/>
      <c r="EK3" s="693"/>
      <c r="EL3" s="693"/>
      <c r="EM3" s="697"/>
      <c r="EN3" s="294"/>
      <c r="EO3" s="695"/>
      <c r="EP3" s="696">
        <f>SUM(DN3:EO3)</f>
      </c>
      <c r="EQ3" s="4"/>
      <c r="ER3" s="698">
        <f>EP3+DM3+CJ3+BG3+AD3</f>
      </c>
      <c r="ES3" s="4"/>
      <c r="ET3" s="4"/>
      <c r="EU3" s="4"/>
    </row>
    <row r="4" ht="16.5" customHeight="1" spans="1:151" x14ac:dyDescent="0.25">
      <c r="A4" s="699" t="s">
        <v>189</v>
      </c>
      <c r="B4" s="303"/>
      <c r="C4" s="304"/>
      <c r="D4" s="339">
        <v>0.5</v>
      </c>
      <c r="E4" s="154">
        <v>0.5</v>
      </c>
      <c r="F4" s="154">
        <v>0.5</v>
      </c>
      <c r="G4" s="154">
        <v>0.5</v>
      </c>
      <c r="H4" s="154">
        <v>0.5</v>
      </c>
      <c r="I4" s="154">
        <v>0.5</v>
      </c>
      <c r="J4" s="212">
        <v>0.5</v>
      </c>
      <c r="K4" s="213">
        <v>0.5</v>
      </c>
      <c r="L4" s="140">
        <v>0.5</v>
      </c>
      <c r="M4" s="138">
        <v>0.5</v>
      </c>
      <c r="N4" s="137"/>
      <c r="O4" s="141"/>
      <c r="P4" s="298">
        <v>0.5</v>
      </c>
      <c r="Q4" s="212">
        <v>0.5</v>
      </c>
      <c r="R4" s="154">
        <v>0.5</v>
      </c>
      <c r="S4" s="154">
        <v>0.5</v>
      </c>
      <c r="T4" s="154">
        <v>0.5</v>
      </c>
      <c r="U4" s="154">
        <v>0.5</v>
      </c>
      <c r="V4" s="207"/>
      <c r="W4" s="153"/>
      <c r="X4" s="153"/>
      <c r="Y4" s="153"/>
      <c r="Z4" s="153"/>
      <c r="AA4" s="146"/>
      <c r="AB4" s="304"/>
      <c r="AC4" s="152"/>
      <c r="AD4" s="325">
        <f>SUM(B4:AC4)</f>
      </c>
      <c r="AE4" s="303"/>
      <c r="AF4" s="304"/>
      <c r="AG4" s="339">
        <v>0.5</v>
      </c>
      <c r="AH4" s="154">
        <v>0.5</v>
      </c>
      <c r="AI4" s="154">
        <v>0.5</v>
      </c>
      <c r="AJ4" s="154">
        <v>0.5</v>
      </c>
      <c r="AK4" s="154">
        <v>0.5</v>
      </c>
      <c r="AL4" s="154">
        <v>0.5</v>
      </c>
      <c r="AM4" s="212">
        <v>0.5</v>
      </c>
      <c r="AN4" s="213">
        <v>0.5</v>
      </c>
      <c r="AO4" s="140">
        <v>0.5</v>
      </c>
      <c r="AP4" s="138">
        <v>0.5</v>
      </c>
      <c r="AQ4" s="137"/>
      <c r="AR4" s="141"/>
      <c r="AS4" s="298">
        <v>0.5</v>
      </c>
      <c r="AT4" s="212">
        <v>0.5</v>
      </c>
      <c r="AU4" s="154">
        <v>0.5</v>
      </c>
      <c r="AV4" s="154">
        <v>0.5</v>
      </c>
      <c r="AW4" s="154">
        <v>0.5</v>
      </c>
      <c r="AX4" s="154">
        <v>0.5</v>
      </c>
      <c r="AY4" s="207"/>
      <c r="AZ4" s="153"/>
      <c r="BA4" s="153"/>
      <c r="BB4" s="153"/>
      <c r="BC4" s="153"/>
      <c r="BD4" s="153"/>
      <c r="BE4" s="304"/>
      <c r="BF4" s="152"/>
      <c r="BG4" s="325">
        <f>SUM(AE4:BF4)</f>
      </c>
      <c r="BH4" s="303"/>
      <c r="BI4" s="304"/>
      <c r="BJ4" s="339">
        <v>0.5</v>
      </c>
      <c r="BK4" s="154">
        <v>0.5</v>
      </c>
      <c r="BL4" s="154">
        <v>0.5</v>
      </c>
      <c r="BM4" s="154">
        <v>0.5</v>
      </c>
      <c r="BN4" s="154">
        <v>0.5</v>
      </c>
      <c r="BO4" s="154">
        <v>0.5</v>
      </c>
      <c r="BP4" s="212">
        <v>0.5</v>
      </c>
      <c r="BQ4" s="213">
        <v>0.5</v>
      </c>
      <c r="BR4" s="140">
        <v>0.5</v>
      </c>
      <c r="BS4" s="138">
        <v>0.5</v>
      </c>
      <c r="BT4" s="137"/>
      <c r="BU4" s="141"/>
      <c r="BV4" s="298">
        <v>0.5</v>
      </c>
      <c r="BW4" s="212">
        <v>0.5</v>
      </c>
      <c r="BX4" s="154">
        <v>0.5</v>
      </c>
      <c r="BY4" s="154">
        <v>0.5</v>
      </c>
      <c r="BZ4" s="154">
        <v>0.5</v>
      </c>
      <c r="CA4" s="154">
        <v>0.5</v>
      </c>
      <c r="CB4" s="207"/>
      <c r="CC4" s="153"/>
      <c r="CD4" s="153"/>
      <c r="CE4" s="153"/>
      <c r="CF4" s="153"/>
      <c r="CG4" s="153"/>
      <c r="CH4" s="304"/>
      <c r="CI4" s="152"/>
      <c r="CJ4" s="325">
        <f>SUM(BH4:CI4)</f>
      </c>
      <c r="CK4" s="303"/>
      <c r="CL4" s="304"/>
      <c r="CM4" s="339">
        <v>0.5</v>
      </c>
      <c r="CN4" s="154">
        <v>0.5</v>
      </c>
      <c r="CO4" s="154">
        <v>0.5</v>
      </c>
      <c r="CP4" s="154">
        <v>0.5</v>
      </c>
      <c r="CQ4" s="154">
        <v>0.5</v>
      </c>
      <c r="CR4" s="154">
        <v>0.5</v>
      </c>
      <c r="CS4" s="212">
        <v>0.5</v>
      </c>
      <c r="CT4" s="213">
        <v>0.5</v>
      </c>
      <c r="CU4" s="140">
        <v>0.5</v>
      </c>
      <c r="CV4" s="138">
        <v>0.5</v>
      </c>
      <c r="CW4" s="137"/>
      <c r="CX4" s="141"/>
      <c r="CY4" s="298">
        <v>0.5</v>
      </c>
      <c r="CZ4" s="212">
        <v>0.5</v>
      </c>
      <c r="DA4" s="154">
        <v>0.5</v>
      </c>
      <c r="DB4" s="154">
        <v>0.5</v>
      </c>
      <c r="DC4" s="154">
        <v>0.5</v>
      </c>
      <c r="DD4" s="154">
        <v>0.5</v>
      </c>
      <c r="DE4" s="153"/>
      <c r="DF4" s="153"/>
      <c r="DG4" s="153"/>
      <c r="DH4" s="153"/>
      <c r="DI4" s="153"/>
      <c r="DJ4" s="153"/>
      <c r="DK4" s="304"/>
      <c r="DL4" s="152"/>
      <c r="DM4" s="325">
        <f>SUM(CK4:DL4)</f>
      </c>
      <c r="DN4" s="303"/>
      <c r="DO4" s="304"/>
      <c r="DP4" s="641">
        <v>0.5</v>
      </c>
      <c r="DQ4" s="327">
        <v>0.5</v>
      </c>
      <c r="DR4" s="327">
        <v>0.5</v>
      </c>
      <c r="DS4" s="327">
        <v>0.5</v>
      </c>
      <c r="DT4" s="327">
        <v>0.5</v>
      </c>
      <c r="DU4" s="327">
        <v>0.5</v>
      </c>
      <c r="DV4" s="328">
        <v>0.5</v>
      </c>
      <c r="DW4" s="327">
        <v>0.5</v>
      </c>
      <c r="DX4" s="329">
        <v>0.5</v>
      </c>
      <c r="DY4" s="328">
        <v>0.5</v>
      </c>
      <c r="DZ4" s="334"/>
      <c r="EA4" s="335"/>
      <c r="EB4" s="327">
        <v>0.5</v>
      </c>
      <c r="EC4" s="327">
        <v>0.5</v>
      </c>
      <c r="ED4" s="327">
        <v>0.5</v>
      </c>
      <c r="EE4" s="327">
        <v>0.5</v>
      </c>
      <c r="EF4" s="327">
        <v>0.5</v>
      </c>
      <c r="EG4" s="327">
        <v>0.5</v>
      </c>
      <c r="EH4" s="332"/>
      <c r="EI4" s="332"/>
      <c r="EJ4" s="332"/>
      <c r="EK4" s="332"/>
      <c r="EL4" s="332"/>
      <c r="EM4" s="332"/>
      <c r="EN4" s="304"/>
      <c r="EO4" s="152"/>
      <c r="EP4" s="325">
        <f>SUM(DN4:EO4)</f>
      </c>
      <c r="EQ4" s="4"/>
      <c r="ER4" s="698">
        <f>EP4+DM4+CJ4+BG4+AD4</f>
      </c>
      <c r="ES4" s="4"/>
      <c r="ET4" s="4"/>
      <c r="EU4" s="4"/>
    </row>
    <row r="5" ht="16.5" customHeight="1" spans="1:151" x14ac:dyDescent="0.25">
      <c r="A5" s="699" t="s">
        <v>190</v>
      </c>
      <c r="B5" s="303"/>
      <c r="C5" s="304"/>
      <c r="D5" s="24">
        <v>0.5</v>
      </c>
      <c r="E5" s="24">
        <v>0.5</v>
      </c>
      <c r="F5" s="24">
        <v>0.5</v>
      </c>
      <c r="G5" s="24">
        <v>0.5</v>
      </c>
      <c r="H5" s="24">
        <v>0.5</v>
      </c>
      <c r="I5" s="24">
        <v>0.5</v>
      </c>
      <c r="J5" s="24">
        <v>0.5</v>
      </c>
      <c r="K5" s="24">
        <v>0.5</v>
      </c>
      <c r="L5" s="155"/>
      <c r="M5" s="137"/>
      <c r="N5" s="24">
        <v>0.5</v>
      </c>
      <c r="O5" s="24">
        <v>0.5</v>
      </c>
      <c r="P5" s="24">
        <v>0.5</v>
      </c>
      <c r="Q5" s="24">
        <v>0.5</v>
      </c>
      <c r="R5" s="24">
        <v>0.5</v>
      </c>
      <c r="S5" s="24">
        <v>0.5</v>
      </c>
      <c r="T5" s="24">
        <v>0.5</v>
      </c>
      <c r="U5" s="24">
        <v>0.5</v>
      </c>
      <c r="V5" s="207"/>
      <c r="W5" s="153"/>
      <c r="X5" s="153"/>
      <c r="Y5" s="153"/>
      <c r="Z5" s="153"/>
      <c r="AA5" s="146"/>
      <c r="AB5" s="304"/>
      <c r="AC5" s="152"/>
      <c r="AD5" s="325">
        <f>SUM(B5:AC5)</f>
      </c>
      <c r="AE5" s="303"/>
      <c r="AF5" s="304"/>
      <c r="AG5" s="339">
        <v>0.5</v>
      </c>
      <c r="AH5" s="154">
        <v>0.5</v>
      </c>
      <c r="AI5" s="154">
        <v>0.5</v>
      </c>
      <c r="AJ5" s="154">
        <v>0.5</v>
      </c>
      <c r="AK5" s="154">
        <v>0.5</v>
      </c>
      <c r="AL5" s="154">
        <v>0.5</v>
      </c>
      <c r="AM5" s="212">
        <v>0.5</v>
      </c>
      <c r="AN5" s="213">
        <v>0.5</v>
      </c>
      <c r="AO5" s="155"/>
      <c r="AP5" s="137"/>
      <c r="AQ5" s="212">
        <v>0.5</v>
      </c>
      <c r="AR5" s="297">
        <v>0.5</v>
      </c>
      <c r="AS5" s="298">
        <v>0.5</v>
      </c>
      <c r="AT5" s="212">
        <v>0.5</v>
      </c>
      <c r="AU5" s="154">
        <v>0.5</v>
      </c>
      <c r="AV5" s="154">
        <v>0.5</v>
      </c>
      <c r="AW5" s="154">
        <v>0.5</v>
      </c>
      <c r="AX5" s="154">
        <v>0.5</v>
      </c>
      <c r="AY5" s="207"/>
      <c r="AZ5" s="153"/>
      <c r="BA5" s="153"/>
      <c r="BB5" s="153"/>
      <c r="BC5" s="153"/>
      <c r="BD5" s="153"/>
      <c r="BE5" s="304"/>
      <c r="BF5" s="152"/>
      <c r="BG5" s="325">
        <f>SUM(AE5:BF5)</f>
      </c>
      <c r="BH5" s="303"/>
      <c r="BI5" s="304"/>
      <c r="BJ5" s="339">
        <v>0.5</v>
      </c>
      <c r="BK5" s="154">
        <v>0.5</v>
      </c>
      <c r="BL5" s="154">
        <v>0.5</v>
      </c>
      <c r="BM5" s="154">
        <v>0.5</v>
      </c>
      <c r="BN5" s="154">
        <v>0.5</v>
      </c>
      <c r="BO5" s="154">
        <v>0.5</v>
      </c>
      <c r="BP5" s="212">
        <v>0.5</v>
      </c>
      <c r="BQ5" s="213">
        <v>0.5</v>
      </c>
      <c r="BR5" s="155"/>
      <c r="BS5" s="137"/>
      <c r="BT5" s="212">
        <v>0.5</v>
      </c>
      <c r="BU5" s="297">
        <v>0.5</v>
      </c>
      <c r="BV5" s="298">
        <v>0.5</v>
      </c>
      <c r="BW5" s="212">
        <v>0.5</v>
      </c>
      <c r="BX5" s="154">
        <v>0.5</v>
      </c>
      <c r="BY5" s="154">
        <v>0.5</v>
      </c>
      <c r="BZ5" s="154">
        <v>0.5</v>
      </c>
      <c r="CA5" s="154">
        <v>0.5</v>
      </c>
      <c r="CB5" s="207"/>
      <c r="CC5" s="153"/>
      <c r="CD5" s="153"/>
      <c r="CE5" s="153"/>
      <c r="CF5" s="153"/>
      <c r="CG5" s="153"/>
      <c r="CH5" s="304"/>
      <c r="CI5" s="152"/>
      <c r="CJ5" s="325">
        <f>SUM(BH5:CI5)</f>
      </c>
      <c r="CK5" s="303"/>
      <c r="CL5" s="304"/>
      <c r="CM5" s="339">
        <v>0.5</v>
      </c>
      <c r="CN5" s="154">
        <v>0.5</v>
      </c>
      <c r="CO5" s="154">
        <v>0.5</v>
      </c>
      <c r="CP5" s="154">
        <v>0.5</v>
      </c>
      <c r="CQ5" s="154">
        <v>0.5</v>
      </c>
      <c r="CR5" s="154">
        <v>0.5</v>
      </c>
      <c r="CS5" s="212">
        <v>0.5</v>
      </c>
      <c r="CT5" s="213">
        <v>0.5</v>
      </c>
      <c r="CU5" s="155"/>
      <c r="CV5" s="137"/>
      <c r="CW5" s="212">
        <v>0.5</v>
      </c>
      <c r="CX5" s="297">
        <v>0.5</v>
      </c>
      <c r="CY5" s="298">
        <v>0.5</v>
      </c>
      <c r="CZ5" s="212">
        <v>0.5</v>
      </c>
      <c r="DA5" s="154">
        <v>0.5</v>
      </c>
      <c r="DB5" s="154">
        <v>0.5</v>
      </c>
      <c r="DC5" s="154">
        <v>0.5</v>
      </c>
      <c r="DD5" s="154">
        <v>0.5</v>
      </c>
      <c r="DE5" s="153"/>
      <c r="DF5" s="153"/>
      <c r="DG5" s="153"/>
      <c r="DH5" s="153"/>
      <c r="DI5" s="153"/>
      <c r="DJ5" s="153"/>
      <c r="DK5" s="304"/>
      <c r="DL5" s="152"/>
      <c r="DM5" s="325">
        <f>SUM(CK5:DL5)</f>
      </c>
      <c r="DN5" s="303"/>
      <c r="DO5" s="304"/>
      <c r="DP5" s="24">
        <v>0.5</v>
      </c>
      <c r="DQ5" s="24">
        <v>0.5</v>
      </c>
      <c r="DR5" s="24">
        <v>0.5</v>
      </c>
      <c r="DS5" s="24">
        <v>0.5</v>
      </c>
      <c r="DT5" s="24">
        <v>0.5</v>
      </c>
      <c r="DU5" s="24">
        <v>0.5</v>
      </c>
      <c r="DV5" s="24">
        <v>0.5</v>
      </c>
      <c r="DW5" s="24">
        <v>0.5</v>
      </c>
      <c r="DX5" s="155"/>
      <c r="DY5" s="137"/>
      <c r="DZ5" s="24">
        <v>0.5</v>
      </c>
      <c r="EA5" s="24">
        <v>0.5</v>
      </c>
      <c r="EB5" s="24">
        <v>0.5</v>
      </c>
      <c r="EC5" s="24">
        <v>0.5</v>
      </c>
      <c r="ED5" s="24">
        <v>0.5</v>
      </c>
      <c r="EE5" s="24">
        <v>0.5</v>
      </c>
      <c r="EF5" s="24">
        <v>0.5</v>
      </c>
      <c r="EG5" s="24">
        <v>0.5</v>
      </c>
      <c r="EH5" s="332"/>
      <c r="EI5" s="332"/>
      <c r="EJ5" s="332"/>
      <c r="EK5" s="332"/>
      <c r="EL5" s="332"/>
      <c r="EM5" s="332"/>
      <c r="EN5" s="304"/>
      <c r="EO5" s="152"/>
      <c r="EP5" s="325">
        <f>SUM(DN5:EO5)</f>
      </c>
      <c r="EQ5" s="4"/>
      <c r="ER5" s="698">
        <f>EP5+DM5+CJ5+BG5+AD5</f>
      </c>
      <c r="ES5" s="4"/>
      <c r="ET5" s="4"/>
      <c r="EU5" s="4"/>
    </row>
    <row r="6" ht="16.5" customHeight="1" spans="1:151" x14ac:dyDescent="0.25">
      <c r="A6" s="699" t="s">
        <v>191</v>
      </c>
      <c r="B6" s="303"/>
      <c r="C6" s="304"/>
      <c r="D6" s="339">
        <v>0.5</v>
      </c>
      <c r="E6" s="154">
        <v>0.5</v>
      </c>
      <c r="F6" s="154">
        <v>0.5</v>
      </c>
      <c r="G6" s="154">
        <v>0.5</v>
      </c>
      <c r="H6" s="154">
        <v>0.5</v>
      </c>
      <c r="I6" s="154">
        <v>0.5</v>
      </c>
      <c r="J6" s="15">
        <v>0.5</v>
      </c>
      <c r="K6" s="211">
        <v>0.5</v>
      </c>
      <c r="L6" s="155"/>
      <c r="M6" s="137"/>
      <c r="N6" s="143">
        <v>0.5</v>
      </c>
      <c r="O6" s="340">
        <v>0.5</v>
      </c>
      <c r="P6" s="700">
        <v>0.5</v>
      </c>
      <c r="Q6" s="211">
        <v>0.5</v>
      </c>
      <c r="R6" s="154">
        <v>0.5</v>
      </c>
      <c r="S6" s="154">
        <v>0.5</v>
      </c>
      <c r="T6" s="154">
        <v>0.5</v>
      </c>
      <c r="U6" s="154">
        <v>0.5</v>
      </c>
      <c r="V6" s="211">
        <v>0.5</v>
      </c>
      <c r="W6" s="153"/>
      <c r="X6" s="153"/>
      <c r="Y6" s="153"/>
      <c r="Z6" s="153"/>
      <c r="AA6" s="146"/>
      <c r="AB6" s="304"/>
      <c r="AC6" s="152"/>
      <c r="AD6" s="325">
        <f>SUM(B6:AC6)</f>
      </c>
      <c r="AE6" s="303"/>
      <c r="AF6" s="304"/>
      <c r="AG6" s="339">
        <v>0.5</v>
      </c>
      <c r="AH6" s="154">
        <v>0.5</v>
      </c>
      <c r="AI6" s="154">
        <v>0.5</v>
      </c>
      <c r="AJ6" s="154">
        <v>0.5</v>
      </c>
      <c r="AK6" s="154">
        <v>0.5</v>
      </c>
      <c r="AL6" s="154">
        <v>0.5</v>
      </c>
      <c r="AM6" s="15">
        <v>0.5</v>
      </c>
      <c r="AN6" s="211">
        <v>0.5</v>
      </c>
      <c r="AO6" s="155"/>
      <c r="AP6" s="137"/>
      <c r="AQ6" s="143">
        <v>0.5</v>
      </c>
      <c r="AR6" s="340">
        <v>0.5</v>
      </c>
      <c r="AS6" s="700">
        <v>0.5</v>
      </c>
      <c r="AT6" s="211">
        <v>0.5</v>
      </c>
      <c r="AU6" s="154">
        <v>0.5</v>
      </c>
      <c r="AV6" s="154">
        <v>0.5</v>
      </c>
      <c r="AW6" s="154">
        <v>0.5</v>
      </c>
      <c r="AX6" s="154">
        <v>0.5</v>
      </c>
      <c r="AY6" s="211">
        <v>0.5</v>
      </c>
      <c r="AZ6" s="153"/>
      <c r="BA6" s="153"/>
      <c r="BB6" s="153"/>
      <c r="BC6" s="153"/>
      <c r="BD6" s="153"/>
      <c r="BE6" s="304"/>
      <c r="BF6" s="152"/>
      <c r="BG6" s="325">
        <f>SUM(AE6:BF6)</f>
      </c>
      <c r="BH6" s="303"/>
      <c r="BI6" s="304"/>
      <c r="BJ6" s="339">
        <v>0.5</v>
      </c>
      <c r="BK6" s="154">
        <v>0.5</v>
      </c>
      <c r="BL6" s="154">
        <v>0.5</v>
      </c>
      <c r="BM6" s="154">
        <v>0.5</v>
      </c>
      <c r="BN6" s="154">
        <v>0.5</v>
      </c>
      <c r="BO6" s="154">
        <v>0.5</v>
      </c>
      <c r="BP6" s="15">
        <v>0.5</v>
      </c>
      <c r="BQ6" s="211">
        <v>0.5</v>
      </c>
      <c r="BR6" s="155"/>
      <c r="BS6" s="137"/>
      <c r="BT6" s="143">
        <v>0.5</v>
      </c>
      <c r="BU6" s="340">
        <v>0.5</v>
      </c>
      <c r="BV6" s="700">
        <v>0.5</v>
      </c>
      <c r="BW6" s="211">
        <v>0.5</v>
      </c>
      <c r="BX6" s="154">
        <v>0.5</v>
      </c>
      <c r="BY6" s="154">
        <v>0.5</v>
      </c>
      <c r="BZ6" s="154">
        <v>0.5</v>
      </c>
      <c r="CA6" s="154">
        <v>0.5</v>
      </c>
      <c r="CB6" s="211">
        <v>0.5</v>
      </c>
      <c r="CC6" s="153"/>
      <c r="CD6" s="153"/>
      <c r="CE6" s="153"/>
      <c r="CF6" s="153"/>
      <c r="CG6" s="153"/>
      <c r="CH6" s="304"/>
      <c r="CI6" s="152"/>
      <c r="CJ6" s="325">
        <f>SUM(BH6:CI6)</f>
      </c>
      <c r="CK6" s="303"/>
      <c r="CL6" s="304"/>
      <c r="CM6" s="339">
        <v>0.5</v>
      </c>
      <c r="CN6" s="154">
        <v>0.5</v>
      </c>
      <c r="CO6" s="154">
        <v>0.5</v>
      </c>
      <c r="CP6" s="154">
        <v>0.5</v>
      </c>
      <c r="CQ6" s="154">
        <v>0.5</v>
      </c>
      <c r="CR6" s="154">
        <v>0.5</v>
      </c>
      <c r="CS6" s="15">
        <v>0.5</v>
      </c>
      <c r="CT6" s="211">
        <v>0.5</v>
      </c>
      <c r="CU6" s="155"/>
      <c r="CV6" s="137"/>
      <c r="CW6" s="143">
        <v>0.5</v>
      </c>
      <c r="CX6" s="340">
        <v>0.5</v>
      </c>
      <c r="CY6" s="700">
        <v>0.5</v>
      </c>
      <c r="CZ6" s="211">
        <v>0.5</v>
      </c>
      <c r="DA6" s="154">
        <v>0.5</v>
      </c>
      <c r="DB6" s="154">
        <v>0.5</v>
      </c>
      <c r="DC6" s="154">
        <v>0.5</v>
      </c>
      <c r="DD6" s="154">
        <v>0.5</v>
      </c>
      <c r="DE6" s="154">
        <v>0.5</v>
      </c>
      <c r="DF6" s="153"/>
      <c r="DG6" s="153"/>
      <c r="DH6" s="153"/>
      <c r="DI6" s="153"/>
      <c r="DJ6" s="153"/>
      <c r="DK6" s="304"/>
      <c r="DL6" s="152"/>
      <c r="DM6" s="325">
        <f>SUM(CK6:DL6)</f>
      </c>
      <c r="DN6" s="303"/>
      <c r="DO6" s="304"/>
      <c r="DP6" s="701">
        <v>0.5</v>
      </c>
      <c r="DQ6" s="702">
        <v>0.5</v>
      </c>
      <c r="DR6" s="702">
        <v>0.5</v>
      </c>
      <c r="DS6" s="702">
        <v>0.5</v>
      </c>
      <c r="DT6" s="702">
        <v>0.5</v>
      </c>
      <c r="DU6" s="702">
        <v>0.5</v>
      </c>
      <c r="DV6" s="703">
        <v>0.5</v>
      </c>
      <c r="DW6" s="702">
        <v>0.5</v>
      </c>
      <c r="DX6" s="704">
        <v>0.5</v>
      </c>
      <c r="DY6" s="703">
        <v>0.5</v>
      </c>
      <c r="DZ6" s="703">
        <v>0.5</v>
      </c>
      <c r="EA6" s="705">
        <v>0.5</v>
      </c>
      <c r="EB6" s="332"/>
      <c r="EC6" s="332"/>
      <c r="ED6" s="332"/>
      <c r="EE6" s="332"/>
      <c r="EF6" s="332"/>
      <c r="EG6" s="332"/>
      <c r="EH6" s="332"/>
      <c r="EI6" s="332"/>
      <c r="EJ6" s="332"/>
      <c r="EK6" s="332"/>
      <c r="EL6" s="332"/>
      <c r="EM6" s="332"/>
      <c r="EN6" s="304"/>
      <c r="EO6" s="152"/>
      <c r="EP6" s="325">
        <f>SUM(DN6:EO6)</f>
      </c>
      <c r="EQ6" s="4"/>
      <c r="ER6" s="698">
        <f>EP6+DM6+CJ6+BG6+AD6</f>
      </c>
      <c r="ES6" s="4"/>
      <c r="ET6" s="4"/>
      <c r="EU6" s="4"/>
    </row>
    <row r="7" ht="16.5" customHeight="1" spans="1:151" x14ac:dyDescent="0.25">
      <c r="A7" s="699" t="s">
        <v>192</v>
      </c>
      <c r="B7" s="303"/>
      <c r="C7" s="304"/>
      <c r="D7" s="339">
        <v>0.5</v>
      </c>
      <c r="E7" s="154">
        <v>0.5</v>
      </c>
      <c r="F7" s="154">
        <v>0.5</v>
      </c>
      <c r="G7" s="154">
        <v>0.5</v>
      </c>
      <c r="H7" s="154">
        <v>0.5</v>
      </c>
      <c r="I7" s="154">
        <v>0.5</v>
      </c>
      <c r="J7" s="15">
        <v>0.5</v>
      </c>
      <c r="K7" s="211">
        <v>0.5</v>
      </c>
      <c r="L7" s="404">
        <v>0.5</v>
      </c>
      <c r="M7" s="143">
        <v>0.5</v>
      </c>
      <c r="N7" s="137"/>
      <c r="O7" s="141"/>
      <c r="P7" s="700">
        <v>0.5</v>
      </c>
      <c r="Q7" s="211">
        <v>0.5</v>
      </c>
      <c r="R7" s="154">
        <v>0.5</v>
      </c>
      <c r="S7" s="154">
        <v>0.5</v>
      </c>
      <c r="T7" s="154">
        <v>0.5</v>
      </c>
      <c r="U7" s="154">
        <v>0.5</v>
      </c>
      <c r="V7" s="211">
        <v>0.5</v>
      </c>
      <c r="W7" s="153"/>
      <c r="X7" s="153"/>
      <c r="Y7" s="153"/>
      <c r="Z7" s="153"/>
      <c r="AA7" s="146"/>
      <c r="AB7" s="304"/>
      <c r="AC7" s="152"/>
      <c r="AD7" s="325">
        <f>SUM(B7:AC7)</f>
      </c>
      <c r="AE7" s="303"/>
      <c r="AF7" s="304"/>
      <c r="AG7" s="339">
        <v>0.5</v>
      </c>
      <c r="AH7" s="154">
        <v>0.5</v>
      </c>
      <c r="AI7" s="154">
        <v>0.5</v>
      </c>
      <c r="AJ7" s="154">
        <v>0.5</v>
      </c>
      <c r="AK7" s="154">
        <v>0.5</v>
      </c>
      <c r="AL7" s="154">
        <v>0.5</v>
      </c>
      <c r="AM7" s="15">
        <v>0.5</v>
      </c>
      <c r="AN7" s="211">
        <v>0.5</v>
      </c>
      <c r="AO7" s="404">
        <v>0.5</v>
      </c>
      <c r="AP7" s="143">
        <v>0.5</v>
      </c>
      <c r="AQ7" s="137"/>
      <c r="AR7" s="141"/>
      <c r="AS7" s="700">
        <v>0.5</v>
      </c>
      <c r="AT7" s="211">
        <v>0.5</v>
      </c>
      <c r="AU7" s="154">
        <v>0.5</v>
      </c>
      <c r="AV7" s="154">
        <v>0.5</v>
      </c>
      <c r="AW7" s="154">
        <v>0.5</v>
      </c>
      <c r="AX7" s="154">
        <v>0.5</v>
      </c>
      <c r="AY7" s="211">
        <v>0.5</v>
      </c>
      <c r="AZ7" s="153"/>
      <c r="BA7" s="153"/>
      <c r="BB7" s="153"/>
      <c r="BC7" s="153"/>
      <c r="BD7" s="153"/>
      <c r="BE7" s="304"/>
      <c r="BF7" s="152"/>
      <c r="BG7" s="325">
        <f>SUM(AE7:BF7)</f>
      </c>
      <c r="BH7" s="303"/>
      <c r="BI7" s="304"/>
      <c r="BJ7" s="339">
        <v>0.5</v>
      </c>
      <c r="BK7" s="154">
        <v>0.5</v>
      </c>
      <c r="BL7" s="154">
        <v>0.5</v>
      </c>
      <c r="BM7" s="154">
        <v>0.5</v>
      </c>
      <c r="BN7" s="154">
        <v>0.5</v>
      </c>
      <c r="BO7" s="154">
        <v>0.5</v>
      </c>
      <c r="BP7" s="15">
        <v>0.5</v>
      </c>
      <c r="BQ7" s="211">
        <v>0.5</v>
      </c>
      <c r="BR7" s="404">
        <v>0.5</v>
      </c>
      <c r="BS7" s="143">
        <v>0.5</v>
      </c>
      <c r="BT7" s="137"/>
      <c r="BU7" s="141"/>
      <c r="BV7" s="700">
        <v>0.5</v>
      </c>
      <c r="BW7" s="211">
        <v>0.5</v>
      </c>
      <c r="BX7" s="154">
        <v>0.5</v>
      </c>
      <c r="BY7" s="154">
        <v>0.5</v>
      </c>
      <c r="BZ7" s="154">
        <v>0.5</v>
      </c>
      <c r="CA7" s="154">
        <v>0.5</v>
      </c>
      <c r="CB7" s="211">
        <v>0.5</v>
      </c>
      <c r="CC7" s="153"/>
      <c r="CD7" s="153"/>
      <c r="CE7" s="153"/>
      <c r="CF7" s="153"/>
      <c r="CG7" s="153"/>
      <c r="CH7" s="304"/>
      <c r="CI7" s="152"/>
      <c r="CJ7" s="325">
        <f>SUM(BH7:CI7)</f>
      </c>
      <c r="CK7" s="303"/>
      <c r="CL7" s="304"/>
      <c r="CM7" s="339">
        <v>0.5</v>
      </c>
      <c r="CN7" s="154">
        <v>0.5</v>
      </c>
      <c r="CO7" s="154">
        <v>0.5</v>
      </c>
      <c r="CP7" s="154">
        <v>0.5</v>
      </c>
      <c r="CQ7" s="154">
        <v>0.5</v>
      </c>
      <c r="CR7" s="154">
        <v>0.5</v>
      </c>
      <c r="CS7" s="15">
        <v>0.5</v>
      </c>
      <c r="CT7" s="211">
        <v>0.5</v>
      </c>
      <c r="CU7" s="404">
        <v>0.5</v>
      </c>
      <c r="CV7" s="143">
        <v>0.5</v>
      </c>
      <c r="CW7" s="137"/>
      <c r="CX7" s="141"/>
      <c r="CY7" s="700">
        <v>0.5</v>
      </c>
      <c r="CZ7" s="211">
        <v>0.5</v>
      </c>
      <c r="DA7" s="154">
        <v>0.5</v>
      </c>
      <c r="DB7" s="154">
        <v>0.5</v>
      </c>
      <c r="DC7" s="154">
        <v>0.5</v>
      </c>
      <c r="DD7" s="154">
        <v>0.5</v>
      </c>
      <c r="DE7" s="154">
        <v>0.5</v>
      </c>
      <c r="DF7" s="153"/>
      <c r="DG7" s="153"/>
      <c r="DH7" s="153"/>
      <c r="DI7" s="153"/>
      <c r="DJ7" s="153"/>
      <c r="DK7" s="304"/>
      <c r="DL7" s="152"/>
      <c r="DM7" s="325">
        <f>SUM(CK7:DL7)</f>
      </c>
      <c r="DN7" s="303"/>
      <c r="DO7" s="304"/>
      <c r="DP7" s="701">
        <v>0.5</v>
      </c>
      <c r="DQ7" s="702">
        <v>0.5</v>
      </c>
      <c r="DR7" s="702">
        <v>0.5</v>
      </c>
      <c r="DS7" s="702">
        <v>0.5</v>
      </c>
      <c r="DT7" s="702">
        <v>0.5</v>
      </c>
      <c r="DU7" s="702">
        <v>0.5</v>
      </c>
      <c r="DV7" s="703">
        <v>0.5</v>
      </c>
      <c r="DW7" s="702">
        <v>0.5</v>
      </c>
      <c r="DX7" s="704">
        <v>0.5</v>
      </c>
      <c r="DY7" s="703">
        <v>0.5</v>
      </c>
      <c r="DZ7" s="703">
        <v>0.5</v>
      </c>
      <c r="EA7" s="705">
        <v>0.5</v>
      </c>
      <c r="EB7" s="332"/>
      <c r="EC7" s="332"/>
      <c r="ED7" s="332"/>
      <c r="EE7" s="332"/>
      <c r="EF7" s="332"/>
      <c r="EG7" s="332"/>
      <c r="EH7" s="332"/>
      <c r="EI7" s="332"/>
      <c r="EJ7" s="332"/>
      <c r="EK7" s="332"/>
      <c r="EL7" s="332"/>
      <c r="EM7" s="332"/>
      <c r="EN7" s="304"/>
      <c r="EO7" s="152"/>
      <c r="EP7" s="325">
        <f>SUM(DN7:EO7)</f>
      </c>
      <c r="EQ7" s="4"/>
      <c r="ER7" s="698">
        <f>EP7+DM7+CJ7+BG7+AD7</f>
      </c>
      <c r="ES7" s="4"/>
      <c r="ET7" s="4"/>
      <c r="EU7" s="4"/>
    </row>
    <row r="8" ht="16.5" customHeight="1" spans="1:151" x14ac:dyDescent="0.25">
      <c r="A8" s="699" t="s">
        <v>193</v>
      </c>
      <c r="B8" s="303"/>
      <c r="C8" s="304"/>
      <c r="D8" s="339">
        <v>0.5</v>
      </c>
      <c r="E8" s="154">
        <v>0.5</v>
      </c>
      <c r="F8" s="154">
        <v>0.5</v>
      </c>
      <c r="G8" s="154">
        <v>0.5</v>
      </c>
      <c r="H8" s="154">
        <v>0.5</v>
      </c>
      <c r="I8" s="154">
        <v>0.5</v>
      </c>
      <c r="J8" s="143">
        <v>0.5</v>
      </c>
      <c r="K8" s="154">
        <v>0.5</v>
      </c>
      <c r="L8" s="147"/>
      <c r="M8" s="148"/>
      <c r="N8" s="138">
        <v>0.5</v>
      </c>
      <c r="O8" s="149">
        <v>0.5</v>
      </c>
      <c r="P8" s="154">
        <v>0.5</v>
      </c>
      <c r="Q8" s="154">
        <v>0.5</v>
      </c>
      <c r="R8" s="154">
        <v>0.5</v>
      </c>
      <c r="S8" s="154">
        <v>0.5</v>
      </c>
      <c r="T8" s="154">
        <v>0.5</v>
      </c>
      <c r="U8" s="154">
        <v>0.5</v>
      </c>
      <c r="V8" s="154">
        <v>0.5</v>
      </c>
      <c r="W8" s="154">
        <v>0.5</v>
      </c>
      <c r="X8" s="153"/>
      <c r="Y8" s="153"/>
      <c r="Z8" s="153"/>
      <c r="AA8" s="146"/>
      <c r="AB8" s="304"/>
      <c r="AC8" s="152"/>
      <c r="AD8" s="131">
        <f>SUM(B8:AC8)</f>
      </c>
      <c r="AE8" s="303"/>
      <c r="AF8" s="304"/>
      <c r="AG8" s="339">
        <v>0.5</v>
      </c>
      <c r="AH8" s="154">
        <v>0.5</v>
      </c>
      <c r="AI8" s="154">
        <v>0.5</v>
      </c>
      <c r="AJ8" s="154">
        <v>0.5</v>
      </c>
      <c r="AK8" s="154">
        <v>0.5</v>
      </c>
      <c r="AL8" s="154">
        <v>0.5</v>
      </c>
      <c r="AM8" s="143">
        <v>0.5</v>
      </c>
      <c r="AN8" s="154">
        <v>0.5</v>
      </c>
      <c r="AO8" s="147"/>
      <c r="AP8" s="148"/>
      <c r="AQ8" s="138">
        <v>0.5</v>
      </c>
      <c r="AR8" s="149">
        <v>0.5</v>
      </c>
      <c r="AS8" s="154">
        <v>0.5</v>
      </c>
      <c r="AT8" s="154">
        <v>0.5</v>
      </c>
      <c r="AU8" s="154">
        <v>0.5</v>
      </c>
      <c r="AV8" s="154">
        <v>0.5</v>
      </c>
      <c r="AW8" s="154">
        <v>0.5</v>
      </c>
      <c r="AX8" s="154">
        <v>0.5</v>
      </c>
      <c r="AY8" s="154">
        <v>0.5</v>
      </c>
      <c r="AZ8" s="154">
        <v>0.5</v>
      </c>
      <c r="BA8" s="153"/>
      <c r="BB8" s="153"/>
      <c r="BC8" s="153"/>
      <c r="BD8" s="153"/>
      <c r="BE8" s="304"/>
      <c r="BF8" s="152"/>
      <c r="BG8" s="131">
        <f>SUM(AE8:BF8)</f>
      </c>
      <c r="BH8" s="303"/>
      <c r="BI8" s="304"/>
      <c r="BJ8" s="339">
        <v>0.5</v>
      </c>
      <c r="BK8" s="154">
        <v>0.5</v>
      </c>
      <c r="BL8" s="154">
        <v>0.5</v>
      </c>
      <c r="BM8" s="154">
        <v>0.5</v>
      </c>
      <c r="BN8" s="154">
        <v>0.5</v>
      </c>
      <c r="BO8" s="154">
        <v>0.5</v>
      </c>
      <c r="BP8" s="143">
        <v>0.5</v>
      </c>
      <c r="BQ8" s="154">
        <v>0.5</v>
      </c>
      <c r="BR8" s="147"/>
      <c r="BS8" s="148"/>
      <c r="BT8" s="138">
        <v>0.5</v>
      </c>
      <c r="BU8" s="149">
        <v>0.5</v>
      </c>
      <c r="BV8" s="154">
        <v>0.5</v>
      </c>
      <c r="BW8" s="154">
        <v>0.5</v>
      </c>
      <c r="BX8" s="154">
        <v>0.5</v>
      </c>
      <c r="BY8" s="154">
        <v>0.5</v>
      </c>
      <c r="BZ8" s="154">
        <v>0.5</v>
      </c>
      <c r="CA8" s="154">
        <v>0.5</v>
      </c>
      <c r="CB8" s="154">
        <v>0.5</v>
      </c>
      <c r="CC8" s="154">
        <v>0.5</v>
      </c>
      <c r="CD8" s="153"/>
      <c r="CE8" s="153"/>
      <c r="CF8" s="153"/>
      <c r="CG8" s="153"/>
      <c r="CH8" s="304"/>
      <c r="CI8" s="152"/>
      <c r="CJ8" s="131">
        <f>SUM(BH8:CI8)</f>
      </c>
      <c r="CK8" s="303"/>
      <c r="CL8" s="304"/>
      <c r="CM8" s="339">
        <v>0.5</v>
      </c>
      <c r="CN8" s="154">
        <v>0.5</v>
      </c>
      <c r="CO8" s="154">
        <v>0.5</v>
      </c>
      <c r="CP8" s="154">
        <v>0.5</v>
      </c>
      <c r="CQ8" s="154">
        <v>0.5</v>
      </c>
      <c r="CR8" s="154">
        <v>0.5</v>
      </c>
      <c r="CS8" s="143">
        <v>0.5</v>
      </c>
      <c r="CT8" s="154">
        <v>0.5</v>
      </c>
      <c r="CU8" s="147"/>
      <c r="CV8" s="148"/>
      <c r="CW8" s="138">
        <v>0.5</v>
      </c>
      <c r="CX8" s="149">
        <v>0.5</v>
      </c>
      <c r="CY8" s="154">
        <v>0.5</v>
      </c>
      <c r="CZ8" s="154">
        <v>0.5</v>
      </c>
      <c r="DA8" s="154">
        <v>0.5</v>
      </c>
      <c r="DB8" s="154">
        <v>0.5</v>
      </c>
      <c r="DC8" s="154">
        <v>0.5</v>
      </c>
      <c r="DD8" s="154">
        <v>0.5</v>
      </c>
      <c r="DE8" s="154">
        <v>0.5</v>
      </c>
      <c r="DF8" s="154">
        <v>0.5</v>
      </c>
      <c r="DG8" s="153"/>
      <c r="DH8" s="153"/>
      <c r="DI8" s="153"/>
      <c r="DJ8" s="153"/>
      <c r="DK8" s="304"/>
      <c r="DL8" s="152"/>
      <c r="DM8" s="131">
        <f>SUM(CK8:DL8)</f>
      </c>
      <c r="DN8" s="303"/>
      <c r="DO8" s="304"/>
      <c r="DP8" s="339">
        <v>0.5</v>
      </c>
      <c r="DQ8" s="154">
        <v>0.5</v>
      </c>
      <c r="DR8" s="154">
        <v>0.5</v>
      </c>
      <c r="DS8" s="154">
        <v>0.5</v>
      </c>
      <c r="DT8" s="154">
        <v>0.5</v>
      </c>
      <c r="DU8" s="154">
        <v>0.5</v>
      </c>
      <c r="DV8" s="143">
        <v>0.5</v>
      </c>
      <c r="DW8" s="154">
        <v>0.5</v>
      </c>
      <c r="DX8" s="155"/>
      <c r="DY8" s="137"/>
      <c r="DZ8" s="137"/>
      <c r="EA8" s="141"/>
      <c r="EB8" s="153"/>
      <c r="EC8" s="153"/>
      <c r="ED8" s="153"/>
      <c r="EE8" s="153"/>
      <c r="EF8" s="153"/>
      <c r="EG8" s="153"/>
      <c r="EH8" s="153"/>
      <c r="EI8" s="153"/>
      <c r="EJ8" s="153"/>
      <c r="EK8" s="153"/>
      <c r="EL8" s="153"/>
      <c r="EM8" s="153"/>
      <c r="EN8" s="304"/>
      <c r="EO8" s="152"/>
      <c r="EP8" s="131">
        <f>SUM(DN8:EO8)</f>
      </c>
      <c r="EQ8" s="4"/>
      <c r="ER8" s="698">
        <f>EP8+DM8+CJ8+BG8+AD8</f>
      </c>
      <c r="ES8" s="4"/>
      <c r="ET8" s="4"/>
      <c r="EU8" s="4"/>
    </row>
    <row r="9" ht="16.5" customHeight="1" spans="1:151" x14ac:dyDescent="0.25">
      <c r="A9" s="699" t="s">
        <v>194</v>
      </c>
      <c r="B9" s="303"/>
      <c r="C9" s="304"/>
      <c r="D9" s="339">
        <v>0.5</v>
      </c>
      <c r="E9" s="154">
        <v>0.5</v>
      </c>
      <c r="F9" s="154">
        <v>0.5</v>
      </c>
      <c r="G9" s="154">
        <v>0.5</v>
      </c>
      <c r="H9" s="154">
        <v>0.5</v>
      </c>
      <c r="I9" s="154">
        <v>0.5</v>
      </c>
      <c r="J9" s="15">
        <v>0.5</v>
      </c>
      <c r="K9" s="211">
        <v>0.5</v>
      </c>
      <c r="L9" s="404">
        <v>0.5</v>
      </c>
      <c r="M9" s="143">
        <v>0.5</v>
      </c>
      <c r="N9" s="137"/>
      <c r="O9" s="141"/>
      <c r="P9" s="700">
        <v>0.5</v>
      </c>
      <c r="Q9" s="211">
        <v>0.5</v>
      </c>
      <c r="R9" s="154">
        <v>0.5</v>
      </c>
      <c r="S9" s="154">
        <v>0.5</v>
      </c>
      <c r="T9" s="154">
        <v>0.5</v>
      </c>
      <c r="U9" s="154">
        <v>0.5</v>
      </c>
      <c r="V9" s="211">
        <v>0.5</v>
      </c>
      <c r="W9" s="211">
        <v>0.5</v>
      </c>
      <c r="X9" s="153"/>
      <c r="Y9" s="202"/>
      <c r="Z9" s="202"/>
      <c r="AA9" s="209"/>
      <c r="AB9" s="304"/>
      <c r="AC9" s="152"/>
      <c r="AD9" s="131">
        <f>SUM(B9:AC9)</f>
      </c>
      <c r="AE9" s="303"/>
      <c r="AF9" s="304"/>
      <c r="AG9" s="339">
        <v>0.5</v>
      </c>
      <c r="AH9" s="154">
        <v>0.5</v>
      </c>
      <c r="AI9" s="154">
        <v>0.5</v>
      </c>
      <c r="AJ9" s="154">
        <v>0.5</v>
      </c>
      <c r="AK9" s="154">
        <v>0.5</v>
      </c>
      <c r="AL9" s="154">
        <v>0.5</v>
      </c>
      <c r="AM9" s="15">
        <v>0.5</v>
      </c>
      <c r="AN9" s="211">
        <v>0.5</v>
      </c>
      <c r="AO9" s="404">
        <v>0.5</v>
      </c>
      <c r="AP9" s="143">
        <v>0.5</v>
      </c>
      <c r="AQ9" s="137"/>
      <c r="AR9" s="141"/>
      <c r="AS9" s="700">
        <v>0.5</v>
      </c>
      <c r="AT9" s="211">
        <v>0.5</v>
      </c>
      <c r="AU9" s="154">
        <v>0.5</v>
      </c>
      <c r="AV9" s="154">
        <v>0.5</v>
      </c>
      <c r="AW9" s="154">
        <v>0.5</v>
      </c>
      <c r="AX9" s="154">
        <v>0.5</v>
      </c>
      <c r="AY9" s="211">
        <v>0.5</v>
      </c>
      <c r="AZ9" s="211">
        <v>0.5</v>
      </c>
      <c r="BA9" s="153"/>
      <c r="BB9" s="202"/>
      <c r="BC9" s="202"/>
      <c r="BD9" s="202"/>
      <c r="BE9" s="304"/>
      <c r="BF9" s="152"/>
      <c r="BG9" s="131">
        <f>SUM(AE9:BF9)</f>
      </c>
      <c r="BH9" s="303"/>
      <c r="BI9" s="304"/>
      <c r="BJ9" s="339">
        <v>0.5</v>
      </c>
      <c r="BK9" s="154">
        <v>0.5</v>
      </c>
      <c r="BL9" s="154">
        <v>0.5</v>
      </c>
      <c r="BM9" s="154">
        <v>0.5</v>
      </c>
      <c r="BN9" s="154">
        <v>0.5</v>
      </c>
      <c r="BO9" s="154">
        <v>0.5</v>
      </c>
      <c r="BP9" s="15">
        <v>0.5</v>
      </c>
      <c r="BQ9" s="211">
        <v>0.5</v>
      </c>
      <c r="BR9" s="404">
        <v>0.5</v>
      </c>
      <c r="BS9" s="143">
        <v>0.5</v>
      </c>
      <c r="BT9" s="137"/>
      <c r="BU9" s="141"/>
      <c r="BV9" s="700">
        <v>0.5</v>
      </c>
      <c r="BW9" s="211">
        <v>0.5</v>
      </c>
      <c r="BX9" s="154">
        <v>0.5</v>
      </c>
      <c r="BY9" s="154">
        <v>0.5</v>
      </c>
      <c r="BZ9" s="154">
        <v>0.5</v>
      </c>
      <c r="CA9" s="154">
        <v>0.5</v>
      </c>
      <c r="CB9" s="154">
        <v>0.5</v>
      </c>
      <c r="CC9" s="154">
        <v>0.5</v>
      </c>
      <c r="CD9" s="153"/>
      <c r="CE9" s="202"/>
      <c r="CF9" s="202"/>
      <c r="CG9" s="202"/>
      <c r="CH9" s="304"/>
      <c r="CI9" s="152"/>
      <c r="CJ9" s="131">
        <f>SUM(BH9:CI9)</f>
      </c>
      <c r="CK9" s="303"/>
      <c r="CL9" s="304"/>
      <c r="CM9" s="339">
        <v>0.5</v>
      </c>
      <c r="CN9" s="154">
        <v>0.5</v>
      </c>
      <c r="CO9" s="154">
        <v>0.5</v>
      </c>
      <c r="CP9" s="154">
        <v>0.5</v>
      </c>
      <c r="CQ9" s="154">
        <v>0.5</v>
      </c>
      <c r="CR9" s="154">
        <v>0.5</v>
      </c>
      <c r="CS9" s="15">
        <v>0.5</v>
      </c>
      <c r="CT9" s="211">
        <v>0.5</v>
      </c>
      <c r="CU9" s="404">
        <v>0.5</v>
      </c>
      <c r="CV9" s="143">
        <v>0.5</v>
      </c>
      <c r="CW9" s="137"/>
      <c r="CX9" s="141"/>
      <c r="CY9" s="700">
        <v>0.5</v>
      </c>
      <c r="CZ9" s="211">
        <v>0.5</v>
      </c>
      <c r="DA9" s="154">
        <v>0.5</v>
      </c>
      <c r="DB9" s="154">
        <v>0.5</v>
      </c>
      <c r="DC9" s="154">
        <v>0.5</v>
      </c>
      <c r="DD9" s="154">
        <v>0.5</v>
      </c>
      <c r="DE9" s="154">
        <v>0.5</v>
      </c>
      <c r="DF9" s="154">
        <v>0.5</v>
      </c>
      <c r="DG9" s="153"/>
      <c r="DH9" s="153"/>
      <c r="DI9" s="153"/>
      <c r="DJ9" s="153"/>
      <c r="DK9" s="304"/>
      <c r="DL9" s="152"/>
      <c r="DM9" s="131">
        <f>SUM(CK9:DL9)</f>
      </c>
      <c r="DN9" s="303"/>
      <c r="DO9" s="304"/>
      <c r="DP9" s="377">
        <v>0.5</v>
      </c>
      <c r="DQ9" s="211">
        <v>0.5</v>
      </c>
      <c r="DR9" s="211">
        <v>0.5</v>
      </c>
      <c r="DS9" s="211">
        <v>0.5</v>
      </c>
      <c r="DT9" s="211">
        <v>0.5</v>
      </c>
      <c r="DU9" s="211">
        <v>0.5</v>
      </c>
      <c r="DV9" s="15">
        <v>0.5</v>
      </c>
      <c r="DW9" s="211">
        <v>0.5</v>
      </c>
      <c r="DX9" s="336"/>
      <c r="DY9" s="207"/>
      <c r="DZ9" s="207"/>
      <c r="EA9" s="208"/>
      <c r="EB9" s="202"/>
      <c r="EC9" s="202"/>
      <c r="ED9" s="202"/>
      <c r="EE9" s="202"/>
      <c r="EF9" s="202"/>
      <c r="EG9" s="202"/>
      <c r="EH9" s="202"/>
      <c r="EI9" s="202"/>
      <c r="EJ9" s="202"/>
      <c r="EK9" s="202"/>
      <c r="EL9" s="202"/>
      <c r="EM9" s="202"/>
      <c r="EN9" s="304"/>
      <c r="EO9" s="152"/>
      <c r="EP9" s="131">
        <f>SUM(DN9:EO9)</f>
      </c>
      <c r="EQ9" s="4"/>
      <c r="ER9" s="698">
        <f>EP9+DM9+CJ9+BG9+AD9</f>
      </c>
      <c r="ES9" s="4"/>
      <c r="ET9" s="4"/>
      <c r="EU9" s="4"/>
    </row>
    <row r="10" ht="16.5" customHeight="1" spans="1:151" x14ac:dyDescent="0.25">
      <c r="A10" s="699" t="s">
        <v>195</v>
      </c>
      <c r="B10" s="303"/>
      <c r="C10" s="304"/>
      <c r="D10" s="136"/>
      <c r="E10" s="328">
        <v>0.5</v>
      </c>
      <c r="F10" s="328">
        <v>0.5</v>
      </c>
      <c r="G10" s="328">
        <v>0.5</v>
      </c>
      <c r="H10" s="328">
        <v>0.5</v>
      </c>
      <c r="I10" s="328">
        <v>0.5</v>
      </c>
      <c r="J10" s="328">
        <v>0.5</v>
      </c>
      <c r="K10" s="327">
        <v>0.5</v>
      </c>
      <c r="L10" s="155"/>
      <c r="M10" s="137"/>
      <c r="N10" s="212">
        <v>0.5</v>
      </c>
      <c r="O10" s="297">
        <v>0.5</v>
      </c>
      <c r="P10" s="298">
        <v>0.5</v>
      </c>
      <c r="Q10" s="212">
        <v>0.5</v>
      </c>
      <c r="R10" s="212">
        <v>0.5</v>
      </c>
      <c r="S10" s="212">
        <v>0.5</v>
      </c>
      <c r="T10" s="212">
        <v>0.5</v>
      </c>
      <c r="U10" s="212">
        <v>0.5</v>
      </c>
      <c r="V10" s="212">
        <v>0.5</v>
      </c>
      <c r="W10" s="153"/>
      <c r="X10" s="153"/>
      <c r="Y10" s="153"/>
      <c r="Z10" s="153"/>
      <c r="AA10" s="146"/>
      <c r="AB10" s="304"/>
      <c r="AC10" s="152"/>
      <c r="AD10" s="131">
        <f>SUM(B10:AC10)</f>
      </c>
      <c r="AE10" s="303"/>
      <c r="AF10" s="304"/>
      <c r="AG10" s="136"/>
      <c r="AH10" s="138">
        <v>0.5</v>
      </c>
      <c r="AI10" s="138">
        <v>0.5</v>
      </c>
      <c r="AJ10" s="138">
        <v>0.5</v>
      </c>
      <c r="AK10" s="138">
        <v>0.5</v>
      </c>
      <c r="AL10" s="138">
        <v>0.5</v>
      </c>
      <c r="AM10" s="138">
        <v>0.5</v>
      </c>
      <c r="AN10" s="139">
        <v>0.5</v>
      </c>
      <c r="AO10" s="155"/>
      <c r="AP10" s="137"/>
      <c r="AQ10" s="212">
        <v>0.5</v>
      </c>
      <c r="AR10" s="297">
        <v>0.5</v>
      </c>
      <c r="AS10" s="298">
        <v>0.5</v>
      </c>
      <c r="AT10" s="212">
        <v>0.5</v>
      </c>
      <c r="AU10" s="212">
        <v>0.5</v>
      </c>
      <c r="AV10" s="212">
        <v>0.5</v>
      </c>
      <c r="AW10" s="212">
        <v>0.5</v>
      </c>
      <c r="AX10" s="212">
        <v>0.5</v>
      </c>
      <c r="AY10" s="212">
        <v>0.5</v>
      </c>
      <c r="AZ10" s="153"/>
      <c r="BA10" s="153"/>
      <c r="BB10" s="153"/>
      <c r="BC10" s="153"/>
      <c r="BD10" s="153"/>
      <c r="BE10" s="304"/>
      <c r="BF10" s="152"/>
      <c r="BG10" s="325">
        <f>SUM(AE10:BF10)</f>
      </c>
      <c r="BH10" s="303"/>
      <c r="BI10" s="304"/>
      <c r="BJ10" s="136"/>
      <c r="BK10" s="138">
        <v>0.5</v>
      </c>
      <c r="BL10" s="138">
        <v>0.5</v>
      </c>
      <c r="BM10" s="138">
        <v>0.5</v>
      </c>
      <c r="BN10" s="138">
        <v>0.5</v>
      </c>
      <c r="BO10" s="138">
        <v>0.5</v>
      </c>
      <c r="BP10" s="138">
        <v>0.5</v>
      </c>
      <c r="BQ10" s="139">
        <v>0.5</v>
      </c>
      <c r="BR10" s="155"/>
      <c r="BS10" s="137"/>
      <c r="BT10" s="212">
        <v>0.5</v>
      </c>
      <c r="BU10" s="297">
        <v>0.5</v>
      </c>
      <c r="BV10" s="298">
        <v>0.5</v>
      </c>
      <c r="BW10" s="212">
        <v>0.5</v>
      </c>
      <c r="BX10" s="212">
        <v>0.5</v>
      </c>
      <c r="BY10" s="212">
        <v>0.5</v>
      </c>
      <c r="BZ10" s="212">
        <v>0.5</v>
      </c>
      <c r="CA10" s="212">
        <v>0.5</v>
      </c>
      <c r="CB10" s="212">
        <v>0.5</v>
      </c>
      <c r="CC10" s="153"/>
      <c r="CD10" s="153"/>
      <c r="CE10" s="153"/>
      <c r="CF10" s="153"/>
      <c r="CG10" s="153"/>
      <c r="CH10" s="304"/>
      <c r="CI10" s="152"/>
      <c r="CJ10" s="131">
        <f>SUM(BH10:CI10)</f>
      </c>
      <c r="CK10" s="303"/>
      <c r="CL10" s="304"/>
      <c r="CM10" s="136"/>
      <c r="CN10" s="138">
        <v>0.5</v>
      </c>
      <c r="CO10" s="138">
        <v>0.5</v>
      </c>
      <c r="CP10" s="138">
        <v>0.5</v>
      </c>
      <c r="CQ10" s="138">
        <v>0.5</v>
      </c>
      <c r="CR10" s="138">
        <v>0.5</v>
      </c>
      <c r="CS10" s="138">
        <v>0.5</v>
      </c>
      <c r="CT10" s="139">
        <v>0.5</v>
      </c>
      <c r="CU10" s="155"/>
      <c r="CV10" s="137"/>
      <c r="CW10" s="212">
        <v>0.5</v>
      </c>
      <c r="CX10" s="297">
        <v>0.5</v>
      </c>
      <c r="CY10" s="298">
        <v>0.5</v>
      </c>
      <c r="CZ10" s="212">
        <v>0.5</v>
      </c>
      <c r="DA10" s="212">
        <v>0.5</v>
      </c>
      <c r="DB10" s="212">
        <v>0.5</v>
      </c>
      <c r="DC10" s="212">
        <v>0.5</v>
      </c>
      <c r="DD10" s="212">
        <v>0.5</v>
      </c>
      <c r="DE10" s="212">
        <v>0.5</v>
      </c>
      <c r="DF10" s="153"/>
      <c r="DG10" s="153"/>
      <c r="DH10" s="153"/>
      <c r="DI10" s="153"/>
      <c r="DJ10" s="153"/>
      <c r="DK10" s="304"/>
      <c r="DL10" s="152"/>
      <c r="DM10" s="131">
        <f>SUM(CK10:DL10)</f>
      </c>
      <c r="DN10" s="303"/>
      <c r="DO10" s="304"/>
      <c r="DP10" s="136"/>
      <c r="DQ10" s="138">
        <v>0.5</v>
      </c>
      <c r="DR10" s="138">
        <v>0.5</v>
      </c>
      <c r="DS10" s="138">
        <v>0.5</v>
      </c>
      <c r="DT10" s="138">
        <v>0.5</v>
      </c>
      <c r="DU10" s="138">
        <v>0.5</v>
      </c>
      <c r="DV10" s="138">
        <v>0.5</v>
      </c>
      <c r="DW10" s="139">
        <v>0.5</v>
      </c>
      <c r="DX10" s="155"/>
      <c r="DY10" s="137"/>
      <c r="DZ10" s="212">
        <v>0.5</v>
      </c>
      <c r="EA10" s="297">
        <v>0.5</v>
      </c>
      <c r="EB10" s="298">
        <v>0.5</v>
      </c>
      <c r="EC10" s="212">
        <v>0.5</v>
      </c>
      <c r="ED10" s="212">
        <v>0.5</v>
      </c>
      <c r="EE10" s="212">
        <v>0.5</v>
      </c>
      <c r="EF10" s="212">
        <v>0.5</v>
      </c>
      <c r="EG10" s="212">
        <v>0.5</v>
      </c>
      <c r="EH10" s="212">
        <v>0.5</v>
      </c>
      <c r="EI10" s="153"/>
      <c r="EJ10" s="153"/>
      <c r="EK10" s="153"/>
      <c r="EL10" s="153"/>
      <c r="EM10" s="153"/>
      <c r="EN10" s="304"/>
      <c r="EO10" s="152"/>
      <c r="EP10" s="131">
        <f>SUM(DN10:EO10)</f>
      </c>
      <c r="EQ10" s="4"/>
      <c r="ER10" s="698">
        <f>EP10+DM10+CJ10+BG10+AD10</f>
      </c>
      <c r="ES10" s="4"/>
      <c r="ET10" s="4"/>
      <c r="EU10" s="4"/>
    </row>
    <row r="11" ht="16.5" customHeight="1" spans="1:151" x14ac:dyDescent="0.25">
      <c r="A11" s="699" t="s">
        <v>196</v>
      </c>
      <c r="B11" s="303"/>
      <c r="C11" s="304"/>
      <c r="D11" s="136"/>
      <c r="E11" s="328">
        <v>0.5</v>
      </c>
      <c r="F11" s="328">
        <v>0.5</v>
      </c>
      <c r="G11" s="328">
        <v>0.5</v>
      </c>
      <c r="H11" s="328">
        <v>0.5</v>
      </c>
      <c r="I11" s="328">
        <v>0.5</v>
      </c>
      <c r="J11" s="328">
        <v>0.5</v>
      </c>
      <c r="K11" s="327">
        <v>0.5</v>
      </c>
      <c r="L11" s="140">
        <v>0.5</v>
      </c>
      <c r="M11" s="137"/>
      <c r="N11" s="207"/>
      <c r="O11" s="297">
        <v>0.5</v>
      </c>
      <c r="P11" s="298">
        <v>0.5</v>
      </c>
      <c r="Q11" s="212">
        <v>0.5</v>
      </c>
      <c r="R11" s="212">
        <v>0.5</v>
      </c>
      <c r="S11" s="212">
        <v>0.5</v>
      </c>
      <c r="T11" s="212">
        <v>0.5</v>
      </c>
      <c r="U11" s="212">
        <v>0.5</v>
      </c>
      <c r="V11" s="212">
        <v>0.5</v>
      </c>
      <c r="W11" s="153"/>
      <c r="X11" s="153"/>
      <c r="Y11" s="153"/>
      <c r="Z11" s="153"/>
      <c r="AA11" s="146"/>
      <c r="AB11" s="304"/>
      <c r="AC11" s="152"/>
      <c r="AD11" s="131">
        <f>SUM(B11:AC11)</f>
      </c>
      <c r="AE11" s="303"/>
      <c r="AF11" s="304"/>
      <c r="AG11" s="136"/>
      <c r="AH11" s="138">
        <v>0.5</v>
      </c>
      <c r="AI11" s="138">
        <v>0.5</v>
      </c>
      <c r="AJ11" s="138">
        <v>0.5</v>
      </c>
      <c r="AK11" s="138">
        <v>0.5</v>
      </c>
      <c r="AL11" s="138">
        <v>0.5</v>
      </c>
      <c r="AM11" s="138">
        <v>0.5</v>
      </c>
      <c r="AN11" s="139">
        <v>0.5</v>
      </c>
      <c r="AO11" s="140">
        <v>0.5</v>
      </c>
      <c r="AP11" s="137"/>
      <c r="AQ11" s="207"/>
      <c r="AR11" s="297">
        <v>0.5</v>
      </c>
      <c r="AS11" s="298">
        <v>0.5</v>
      </c>
      <c r="AT11" s="212">
        <v>0.5</v>
      </c>
      <c r="AU11" s="212">
        <v>0.5</v>
      </c>
      <c r="AV11" s="212">
        <v>0.5</v>
      </c>
      <c r="AW11" s="212">
        <v>0.5</v>
      </c>
      <c r="AX11" s="212">
        <v>0.5</v>
      </c>
      <c r="AY11" s="212">
        <v>0.5</v>
      </c>
      <c r="AZ11" s="153"/>
      <c r="BA11" s="153"/>
      <c r="BB11" s="153"/>
      <c r="BC11" s="153"/>
      <c r="BD11" s="153"/>
      <c r="BE11" s="304"/>
      <c r="BF11" s="152"/>
      <c r="BG11" s="325">
        <f>SUM(AE11:BF11)</f>
      </c>
      <c r="BH11" s="303"/>
      <c r="BI11" s="304"/>
      <c r="BJ11" s="136"/>
      <c r="BK11" s="138">
        <v>0.5</v>
      </c>
      <c r="BL11" s="138">
        <v>0.5</v>
      </c>
      <c r="BM11" s="138">
        <v>0.5</v>
      </c>
      <c r="BN11" s="138">
        <v>0.5</v>
      </c>
      <c r="BO11" s="138">
        <v>0.5</v>
      </c>
      <c r="BP11" s="138">
        <v>0.5</v>
      </c>
      <c r="BQ11" s="139">
        <v>0.5</v>
      </c>
      <c r="BR11" s="140">
        <v>0.5</v>
      </c>
      <c r="BS11" s="137"/>
      <c r="BT11" s="207"/>
      <c r="BU11" s="297">
        <v>0.5</v>
      </c>
      <c r="BV11" s="298">
        <v>0.5</v>
      </c>
      <c r="BW11" s="212">
        <v>0.5</v>
      </c>
      <c r="BX11" s="212">
        <v>0.5</v>
      </c>
      <c r="BY11" s="212">
        <v>0.5</v>
      </c>
      <c r="BZ11" s="212">
        <v>0.5</v>
      </c>
      <c r="CA11" s="212">
        <v>0.5</v>
      </c>
      <c r="CB11" s="212">
        <v>0.5</v>
      </c>
      <c r="CC11" s="153"/>
      <c r="CD11" s="153"/>
      <c r="CE11" s="153"/>
      <c r="CF11" s="153"/>
      <c r="CG11" s="153"/>
      <c r="CH11" s="304"/>
      <c r="CI11" s="152"/>
      <c r="CJ11" s="131">
        <f>SUM(BH11:CI11)</f>
      </c>
      <c r="CK11" s="303"/>
      <c r="CL11" s="304"/>
      <c r="CM11" s="136"/>
      <c r="CN11" s="138">
        <v>0.5</v>
      </c>
      <c r="CO11" s="138">
        <v>0.5</v>
      </c>
      <c r="CP11" s="138">
        <v>0.5</v>
      </c>
      <c r="CQ11" s="138">
        <v>0.5</v>
      </c>
      <c r="CR11" s="138">
        <v>0.5</v>
      </c>
      <c r="CS11" s="138">
        <v>0.5</v>
      </c>
      <c r="CT11" s="139">
        <v>0.5</v>
      </c>
      <c r="CU11" s="140">
        <v>0.5</v>
      </c>
      <c r="CV11" s="137"/>
      <c r="CW11" s="207"/>
      <c r="CX11" s="297">
        <v>0.5</v>
      </c>
      <c r="CY11" s="298">
        <v>0.5</v>
      </c>
      <c r="CZ11" s="212">
        <v>0.5</v>
      </c>
      <c r="DA11" s="212">
        <v>0.5</v>
      </c>
      <c r="DB11" s="212">
        <v>0.5</v>
      </c>
      <c r="DC11" s="212">
        <v>0.5</v>
      </c>
      <c r="DD11" s="212">
        <v>0.5</v>
      </c>
      <c r="DE11" s="212">
        <v>0.5</v>
      </c>
      <c r="DF11" s="153"/>
      <c r="DG11" s="153"/>
      <c r="DH11" s="153"/>
      <c r="DI11" s="153"/>
      <c r="DJ11" s="153"/>
      <c r="DK11" s="304"/>
      <c r="DL11" s="152"/>
      <c r="DM11" s="131">
        <f>SUM(CK11:DL11)</f>
      </c>
      <c r="DN11" s="303"/>
      <c r="DO11" s="304"/>
      <c r="DP11" s="136"/>
      <c r="DQ11" s="138">
        <v>0.5</v>
      </c>
      <c r="DR11" s="138">
        <v>0.5</v>
      </c>
      <c r="DS11" s="138">
        <v>0.5</v>
      </c>
      <c r="DT11" s="138">
        <v>0.5</v>
      </c>
      <c r="DU11" s="138">
        <v>0.5</v>
      </c>
      <c r="DV11" s="138">
        <v>0.5</v>
      </c>
      <c r="DW11" s="139">
        <v>0.5</v>
      </c>
      <c r="DX11" s="140">
        <v>0.5</v>
      </c>
      <c r="DY11" s="137"/>
      <c r="DZ11" s="207"/>
      <c r="EA11" s="297">
        <v>0.5</v>
      </c>
      <c r="EB11" s="298">
        <v>0.5</v>
      </c>
      <c r="EC11" s="212">
        <v>0.5</v>
      </c>
      <c r="ED11" s="212">
        <v>0.5</v>
      </c>
      <c r="EE11" s="212">
        <v>0.5</v>
      </c>
      <c r="EF11" s="212">
        <v>0.5</v>
      </c>
      <c r="EG11" s="212">
        <v>0.5</v>
      </c>
      <c r="EH11" s="212">
        <v>0.5</v>
      </c>
      <c r="EI11" s="153"/>
      <c r="EJ11" s="153"/>
      <c r="EK11" s="153"/>
      <c r="EL11" s="153"/>
      <c r="EM11" s="153"/>
      <c r="EN11" s="304"/>
      <c r="EO11" s="152"/>
      <c r="EP11" s="131">
        <f>SUM(DN11:EO11)</f>
      </c>
      <c r="EQ11" s="4"/>
      <c r="ER11" s="698">
        <f>EP11+DM11+CJ11+BG11+AD11</f>
      </c>
      <c r="ES11" s="4"/>
      <c r="ET11" s="4"/>
      <c r="EU11" s="4"/>
    </row>
    <row r="12" ht="16.5" customHeight="1" spans="1:151" x14ac:dyDescent="0.25">
      <c r="A12" s="699" t="s">
        <v>197</v>
      </c>
      <c r="B12" s="303"/>
      <c r="C12" s="304"/>
      <c r="D12" s="136"/>
      <c r="E12" s="212">
        <v>0.5</v>
      </c>
      <c r="F12" s="212">
        <v>0.5</v>
      </c>
      <c r="G12" s="212">
        <v>0.5</v>
      </c>
      <c r="H12" s="212">
        <v>0.5</v>
      </c>
      <c r="I12" s="212">
        <v>0.5</v>
      </c>
      <c r="J12" s="212">
        <v>0.5</v>
      </c>
      <c r="K12" s="213">
        <v>0.5</v>
      </c>
      <c r="L12" s="140">
        <v>0.5</v>
      </c>
      <c r="M12" s="138">
        <v>0.5</v>
      </c>
      <c r="N12" s="137"/>
      <c r="O12" s="141"/>
      <c r="P12" s="298">
        <v>0.5</v>
      </c>
      <c r="Q12" s="212">
        <v>0.5</v>
      </c>
      <c r="R12" s="212">
        <v>0.5</v>
      </c>
      <c r="S12" s="212">
        <v>0.5</v>
      </c>
      <c r="T12" s="212">
        <v>0.5</v>
      </c>
      <c r="U12" s="212">
        <v>0.5</v>
      </c>
      <c r="V12" s="212">
        <v>0.5</v>
      </c>
      <c r="W12" s="153"/>
      <c r="X12" s="153"/>
      <c r="Y12" s="153"/>
      <c r="Z12" s="153"/>
      <c r="AA12" s="146"/>
      <c r="AB12" s="304"/>
      <c r="AC12" s="152"/>
      <c r="AD12" s="131">
        <f>SUM(B12:AC12)</f>
      </c>
      <c r="AE12" s="303"/>
      <c r="AF12" s="304"/>
      <c r="AG12" s="136"/>
      <c r="AH12" s="154">
        <v>0.5</v>
      </c>
      <c r="AI12" s="154">
        <v>0.5</v>
      </c>
      <c r="AJ12" s="154">
        <v>0.5</v>
      </c>
      <c r="AK12" s="154">
        <v>0.5</v>
      </c>
      <c r="AL12" s="154">
        <v>0.5</v>
      </c>
      <c r="AM12" s="212">
        <v>0.5</v>
      </c>
      <c r="AN12" s="213">
        <v>0.5</v>
      </c>
      <c r="AO12" s="140">
        <v>0.5</v>
      </c>
      <c r="AP12" s="138">
        <v>0.5</v>
      </c>
      <c r="AQ12" s="137"/>
      <c r="AR12" s="141"/>
      <c r="AS12" s="298">
        <v>0.5</v>
      </c>
      <c r="AT12" s="212">
        <v>0.5</v>
      </c>
      <c r="AU12" s="212">
        <v>0.5</v>
      </c>
      <c r="AV12" s="212">
        <v>0.5</v>
      </c>
      <c r="AW12" s="212">
        <v>0.5</v>
      </c>
      <c r="AX12" s="212">
        <v>0.5</v>
      </c>
      <c r="AY12" s="212">
        <v>0.5</v>
      </c>
      <c r="AZ12" s="153"/>
      <c r="BA12" s="153"/>
      <c r="BB12" s="153"/>
      <c r="BC12" s="153"/>
      <c r="BD12" s="153"/>
      <c r="BE12" s="304"/>
      <c r="BF12" s="152"/>
      <c r="BG12" s="131">
        <f>SUM(AE12:BF12)</f>
      </c>
      <c r="BH12" s="303"/>
      <c r="BI12" s="304"/>
      <c r="BJ12" s="136"/>
      <c r="BK12" s="154">
        <v>0.5</v>
      </c>
      <c r="BL12" s="154">
        <v>0.5</v>
      </c>
      <c r="BM12" s="154">
        <v>0.5</v>
      </c>
      <c r="BN12" s="154">
        <v>0.5</v>
      </c>
      <c r="BO12" s="154">
        <v>0.5</v>
      </c>
      <c r="BP12" s="212">
        <v>0.5</v>
      </c>
      <c r="BQ12" s="213">
        <v>0.5</v>
      </c>
      <c r="BR12" s="140">
        <v>0.5</v>
      </c>
      <c r="BS12" s="138">
        <v>0.5</v>
      </c>
      <c r="BT12" s="137"/>
      <c r="BU12" s="141"/>
      <c r="BV12" s="298">
        <v>0.5</v>
      </c>
      <c r="BW12" s="212">
        <v>0.5</v>
      </c>
      <c r="BX12" s="212">
        <v>0.5</v>
      </c>
      <c r="BY12" s="212">
        <v>0.5</v>
      </c>
      <c r="BZ12" s="212">
        <v>0.5</v>
      </c>
      <c r="CA12" s="212">
        <v>0.5</v>
      </c>
      <c r="CB12" s="212">
        <v>0.5</v>
      </c>
      <c r="CC12" s="153"/>
      <c r="CD12" s="153"/>
      <c r="CE12" s="153"/>
      <c r="CF12" s="153"/>
      <c r="CG12" s="153"/>
      <c r="CH12" s="304"/>
      <c r="CI12" s="152"/>
      <c r="CJ12" s="131">
        <f>SUM(BH12:CI12)</f>
      </c>
      <c r="CK12" s="303"/>
      <c r="CL12" s="304"/>
      <c r="CM12" s="136"/>
      <c r="CN12" s="154">
        <v>0.5</v>
      </c>
      <c r="CO12" s="154">
        <v>0.5</v>
      </c>
      <c r="CP12" s="154">
        <v>0.5</v>
      </c>
      <c r="CQ12" s="154">
        <v>0.5</v>
      </c>
      <c r="CR12" s="154">
        <v>0.5</v>
      </c>
      <c r="CS12" s="212">
        <v>0.5</v>
      </c>
      <c r="CT12" s="213">
        <v>0.5</v>
      </c>
      <c r="CU12" s="140">
        <v>0.5</v>
      </c>
      <c r="CV12" s="138">
        <v>0.5</v>
      </c>
      <c r="CW12" s="137"/>
      <c r="CX12" s="141"/>
      <c r="CY12" s="298">
        <v>0.5</v>
      </c>
      <c r="CZ12" s="212">
        <v>0.5</v>
      </c>
      <c r="DA12" s="212">
        <v>0.5</v>
      </c>
      <c r="DB12" s="212">
        <v>0.5</v>
      </c>
      <c r="DC12" s="212">
        <v>0.5</v>
      </c>
      <c r="DD12" s="212">
        <v>0.5</v>
      </c>
      <c r="DE12" s="212">
        <v>0.5</v>
      </c>
      <c r="DF12" s="153"/>
      <c r="DG12" s="153"/>
      <c r="DH12" s="153"/>
      <c r="DI12" s="153"/>
      <c r="DJ12" s="153"/>
      <c r="DK12" s="304"/>
      <c r="DL12" s="152"/>
      <c r="DM12" s="131">
        <f>SUM(CK12:DL12)</f>
      </c>
      <c r="DN12" s="303"/>
      <c r="DO12" s="304"/>
      <c r="DP12" s="136"/>
      <c r="DQ12" s="154">
        <v>0.5</v>
      </c>
      <c r="DR12" s="154">
        <v>0.5</v>
      </c>
      <c r="DS12" s="154">
        <v>0.5</v>
      </c>
      <c r="DT12" s="154">
        <v>0.5</v>
      </c>
      <c r="DU12" s="154">
        <v>0.5</v>
      </c>
      <c r="DV12" s="212">
        <v>0.5</v>
      </c>
      <c r="DW12" s="213">
        <v>0.5</v>
      </c>
      <c r="DX12" s="140">
        <v>0.5</v>
      </c>
      <c r="DY12" s="138">
        <v>0.5</v>
      </c>
      <c r="DZ12" s="137"/>
      <c r="EA12" s="141"/>
      <c r="EB12" s="298">
        <v>0.5</v>
      </c>
      <c r="EC12" s="212">
        <v>0.5</v>
      </c>
      <c r="ED12" s="212">
        <v>0.5</v>
      </c>
      <c r="EE12" s="212">
        <v>0.5</v>
      </c>
      <c r="EF12" s="212">
        <v>0.5</v>
      </c>
      <c r="EG12" s="212">
        <v>0.5</v>
      </c>
      <c r="EH12" s="212">
        <v>0.5</v>
      </c>
      <c r="EI12" s="153"/>
      <c r="EJ12" s="153"/>
      <c r="EK12" s="153"/>
      <c r="EL12" s="153"/>
      <c r="EM12" s="153"/>
      <c r="EN12" s="304"/>
      <c r="EO12" s="152"/>
      <c r="EP12" s="131">
        <f>SUM(DN12:EO12)</f>
      </c>
      <c r="EQ12" s="4"/>
      <c r="ER12" s="698">
        <f>EP12+DM12+CJ12+BG12+AD12</f>
      </c>
      <c r="ES12" s="4"/>
      <c r="ET12" s="4"/>
      <c r="EU12" s="4"/>
    </row>
    <row r="13" ht="16.5" customHeight="1" spans="1:151" x14ac:dyDescent="0.25">
      <c r="A13" s="699" t="s">
        <v>198</v>
      </c>
      <c r="B13" s="303"/>
      <c r="C13" s="304"/>
      <c r="D13" s="136"/>
      <c r="E13" s="328">
        <v>0.5</v>
      </c>
      <c r="F13" s="328">
        <v>0.5</v>
      </c>
      <c r="G13" s="328">
        <v>0.5</v>
      </c>
      <c r="H13" s="328">
        <v>0.5</v>
      </c>
      <c r="I13" s="328">
        <v>0.5</v>
      </c>
      <c r="J13" s="328">
        <v>0.5</v>
      </c>
      <c r="K13" s="327">
        <v>0.5</v>
      </c>
      <c r="L13" s="140">
        <v>0.5</v>
      </c>
      <c r="M13" s="137"/>
      <c r="N13" s="207"/>
      <c r="O13" s="208"/>
      <c r="P13" s="298">
        <v>0.5</v>
      </c>
      <c r="Q13" s="212">
        <v>0.5</v>
      </c>
      <c r="R13" s="212">
        <v>0.5</v>
      </c>
      <c r="S13" s="212">
        <v>0.5</v>
      </c>
      <c r="T13" s="212">
        <v>0.5</v>
      </c>
      <c r="U13" s="212">
        <v>0.5</v>
      </c>
      <c r="V13" s="212">
        <v>0.5</v>
      </c>
      <c r="W13" s="139">
        <v>0.5</v>
      </c>
      <c r="X13" s="153"/>
      <c r="Y13" s="153"/>
      <c r="Z13" s="153"/>
      <c r="AA13" s="146"/>
      <c r="AB13" s="304"/>
      <c r="AC13" s="152"/>
      <c r="AD13" s="131">
        <f>SUM(B13:AC13)</f>
      </c>
      <c r="AE13" s="303"/>
      <c r="AF13" s="304"/>
      <c r="AG13" s="136"/>
      <c r="AH13" s="328">
        <v>0.5</v>
      </c>
      <c r="AI13" s="328">
        <v>0.5</v>
      </c>
      <c r="AJ13" s="328">
        <v>0.5</v>
      </c>
      <c r="AK13" s="328">
        <v>0.5</v>
      </c>
      <c r="AL13" s="328">
        <v>0.5</v>
      </c>
      <c r="AM13" s="328">
        <v>0.5</v>
      </c>
      <c r="AN13" s="327">
        <v>0.5</v>
      </c>
      <c r="AO13" s="140">
        <v>0.5</v>
      </c>
      <c r="AP13" s="137"/>
      <c r="AQ13" s="207"/>
      <c r="AR13" s="208"/>
      <c r="AS13" s="298">
        <v>0.5</v>
      </c>
      <c r="AT13" s="212">
        <v>0.5</v>
      </c>
      <c r="AU13" s="212">
        <v>0.5</v>
      </c>
      <c r="AV13" s="212">
        <v>0.5</v>
      </c>
      <c r="AW13" s="212">
        <v>0.5</v>
      </c>
      <c r="AX13" s="212">
        <v>0.5</v>
      </c>
      <c r="AY13" s="212">
        <v>0.5</v>
      </c>
      <c r="AZ13" s="139">
        <v>0.5</v>
      </c>
      <c r="BA13" s="153"/>
      <c r="BB13" s="153"/>
      <c r="BC13" s="153"/>
      <c r="BD13" s="146"/>
      <c r="BE13" s="304"/>
      <c r="BF13" s="152"/>
      <c r="BG13" s="131">
        <f>SUM(AE13:BF13)</f>
      </c>
      <c r="BH13" s="303"/>
      <c r="BI13" s="304"/>
      <c r="BJ13" s="136"/>
      <c r="BK13" s="328">
        <v>0.5</v>
      </c>
      <c r="BL13" s="328">
        <v>0.5</v>
      </c>
      <c r="BM13" s="328">
        <v>0.5</v>
      </c>
      <c r="BN13" s="328">
        <v>0.5</v>
      </c>
      <c r="BO13" s="328">
        <v>0.5</v>
      </c>
      <c r="BP13" s="328">
        <v>0.5</v>
      </c>
      <c r="BQ13" s="327">
        <v>0.5</v>
      </c>
      <c r="BR13" s="140">
        <v>0.5</v>
      </c>
      <c r="BS13" s="137"/>
      <c r="BT13" s="207"/>
      <c r="BU13" s="208"/>
      <c r="BV13" s="298">
        <v>0.5</v>
      </c>
      <c r="BW13" s="212">
        <v>0.5</v>
      </c>
      <c r="BX13" s="212">
        <v>0.5</v>
      </c>
      <c r="BY13" s="212">
        <v>0.5</v>
      </c>
      <c r="BZ13" s="212">
        <v>0.5</v>
      </c>
      <c r="CA13" s="212">
        <v>0.5</v>
      </c>
      <c r="CB13" s="212">
        <v>0.5</v>
      </c>
      <c r="CC13" s="139">
        <v>0.5</v>
      </c>
      <c r="CD13" s="153"/>
      <c r="CE13" s="153"/>
      <c r="CF13" s="153"/>
      <c r="CG13" s="146"/>
      <c r="CH13" s="304"/>
      <c r="CI13" s="152"/>
      <c r="CJ13" s="131">
        <f>SUM(BH13:CI13)</f>
      </c>
      <c r="CK13" s="303"/>
      <c r="CL13" s="304"/>
      <c r="CM13" s="136"/>
      <c r="CN13" s="328">
        <v>0.5</v>
      </c>
      <c r="CO13" s="328">
        <v>0.5</v>
      </c>
      <c r="CP13" s="328">
        <v>0.5</v>
      </c>
      <c r="CQ13" s="328">
        <v>0.5</v>
      </c>
      <c r="CR13" s="328">
        <v>0.5</v>
      </c>
      <c r="CS13" s="328">
        <v>0.5</v>
      </c>
      <c r="CT13" s="327">
        <v>0.5</v>
      </c>
      <c r="CU13" s="140">
        <v>0.5</v>
      </c>
      <c r="CV13" s="137"/>
      <c r="CW13" s="207"/>
      <c r="CX13" s="208"/>
      <c r="CY13" s="298">
        <v>0.5</v>
      </c>
      <c r="CZ13" s="212">
        <v>0.5</v>
      </c>
      <c r="DA13" s="212">
        <v>0.5</v>
      </c>
      <c r="DB13" s="212">
        <v>0.5</v>
      </c>
      <c r="DC13" s="212">
        <v>0.5</v>
      </c>
      <c r="DD13" s="212">
        <v>0.5</v>
      </c>
      <c r="DE13" s="212">
        <v>0.5</v>
      </c>
      <c r="DF13" s="139">
        <v>0.5</v>
      </c>
      <c r="DG13" s="153"/>
      <c r="DH13" s="153"/>
      <c r="DI13" s="153"/>
      <c r="DJ13" s="146"/>
      <c r="DK13" s="304"/>
      <c r="DL13" s="152"/>
      <c r="DM13" s="131">
        <f>SUM(CK13:DL13)</f>
      </c>
      <c r="DN13" s="303"/>
      <c r="DO13" s="304"/>
      <c r="DP13" s="136"/>
      <c r="DQ13" s="328">
        <v>0.5</v>
      </c>
      <c r="DR13" s="328">
        <v>0.5</v>
      </c>
      <c r="DS13" s="328">
        <v>0.5</v>
      </c>
      <c r="DT13" s="328">
        <v>0.5</v>
      </c>
      <c r="DU13" s="328">
        <v>0.5</v>
      </c>
      <c r="DV13" s="328">
        <v>0.5</v>
      </c>
      <c r="DW13" s="327">
        <v>0.5</v>
      </c>
      <c r="DX13" s="140">
        <v>0.5</v>
      </c>
      <c r="DY13" s="137"/>
      <c r="DZ13" s="207"/>
      <c r="EA13" s="208"/>
      <c r="EB13" s="298">
        <v>0.5</v>
      </c>
      <c r="EC13" s="212">
        <v>0.5</v>
      </c>
      <c r="ED13" s="212">
        <v>0.5</v>
      </c>
      <c r="EE13" s="212">
        <v>0.5</v>
      </c>
      <c r="EF13" s="212">
        <v>0.5</v>
      </c>
      <c r="EG13" s="212">
        <v>0.5</v>
      </c>
      <c r="EH13" s="212">
        <v>0.5</v>
      </c>
      <c r="EI13" s="139">
        <v>0.5</v>
      </c>
      <c r="EJ13" s="153"/>
      <c r="EK13" s="153"/>
      <c r="EL13" s="153"/>
      <c r="EM13" s="146"/>
      <c r="EN13" s="304"/>
      <c r="EO13" s="152"/>
      <c r="EP13" s="131">
        <f>SUM(DN13:EO13)</f>
      </c>
      <c r="EQ13" s="4"/>
      <c r="ER13" s="698">
        <f>EP13+DM13+CJ13+BG13+AD13</f>
      </c>
      <c r="ES13" s="4"/>
      <c r="ET13" s="4"/>
      <c r="EU13" s="4"/>
    </row>
    <row r="14" ht="16.5" customHeight="1" spans="1:151" x14ac:dyDescent="0.25">
      <c r="A14" s="699" t="s">
        <v>199</v>
      </c>
      <c r="B14" s="303"/>
      <c r="C14" s="304"/>
      <c r="D14" s="136"/>
      <c r="E14" s="328">
        <v>0.5</v>
      </c>
      <c r="F14" s="328">
        <v>0.5</v>
      </c>
      <c r="G14" s="328">
        <v>0.5</v>
      </c>
      <c r="H14" s="328">
        <v>0.5</v>
      </c>
      <c r="I14" s="328">
        <v>0.5</v>
      </c>
      <c r="J14" s="328">
        <v>0.5</v>
      </c>
      <c r="K14" s="327">
        <v>0.5</v>
      </c>
      <c r="L14" s="155"/>
      <c r="M14" s="137"/>
      <c r="N14" s="212">
        <v>0.5</v>
      </c>
      <c r="O14" s="297">
        <v>0.5</v>
      </c>
      <c r="P14" s="298">
        <v>0.5</v>
      </c>
      <c r="Q14" s="212">
        <v>0.5</v>
      </c>
      <c r="R14" s="212">
        <v>0.5</v>
      </c>
      <c r="S14" s="212">
        <v>0.5</v>
      </c>
      <c r="T14" s="212">
        <v>0.5</v>
      </c>
      <c r="U14" s="212">
        <v>0.5</v>
      </c>
      <c r="V14" s="212">
        <v>0.5</v>
      </c>
      <c r="W14" s="139">
        <v>0.5</v>
      </c>
      <c r="X14" s="153"/>
      <c r="Y14" s="153"/>
      <c r="Z14" s="153"/>
      <c r="AA14" s="146"/>
      <c r="AB14" s="304"/>
      <c r="AC14" s="152"/>
      <c r="AD14" s="131">
        <f>SUM(B14:AC14)</f>
      </c>
      <c r="AE14" s="303"/>
      <c r="AF14" s="304"/>
      <c r="AG14" s="136"/>
      <c r="AH14" s="328">
        <v>0.5</v>
      </c>
      <c r="AI14" s="328">
        <v>0.5</v>
      </c>
      <c r="AJ14" s="328">
        <v>0.5</v>
      </c>
      <c r="AK14" s="328">
        <v>0.5</v>
      </c>
      <c r="AL14" s="328">
        <v>0.5</v>
      </c>
      <c r="AM14" s="328">
        <v>0.5</v>
      </c>
      <c r="AN14" s="327">
        <v>0.5</v>
      </c>
      <c r="AO14" s="155"/>
      <c r="AP14" s="137"/>
      <c r="AQ14" s="212">
        <v>0.5</v>
      </c>
      <c r="AR14" s="297">
        <v>0.5</v>
      </c>
      <c r="AS14" s="298">
        <v>0.5</v>
      </c>
      <c r="AT14" s="212">
        <v>0.5</v>
      </c>
      <c r="AU14" s="212">
        <v>0.5</v>
      </c>
      <c r="AV14" s="212">
        <v>0.5</v>
      </c>
      <c r="AW14" s="212">
        <v>0.5</v>
      </c>
      <c r="AX14" s="212">
        <v>0.5</v>
      </c>
      <c r="AY14" s="212">
        <v>0.5</v>
      </c>
      <c r="AZ14" s="139">
        <v>0.5</v>
      </c>
      <c r="BA14" s="153"/>
      <c r="BB14" s="153"/>
      <c r="BC14" s="153"/>
      <c r="BD14" s="146"/>
      <c r="BE14" s="304"/>
      <c r="BF14" s="152"/>
      <c r="BG14" s="131">
        <f>SUM(AE14:BF14)</f>
      </c>
      <c r="BH14" s="303"/>
      <c r="BI14" s="304"/>
      <c r="BJ14" s="136"/>
      <c r="BK14" s="328">
        <v>0.5</v>
      </c>
      <c r="BL14" s="328">
        <v>0.5</v>
      </c>
      <c r="BM14" s="328">
        <v>0.5</v>
      </c>
      <c r="BN14" s="328">
        <v>0.5</v>
      </c>
      <c r="BO14" s="328">
        <v>0.5</v>
      </c>
      <c r="BP14" s="328">
        <v>0.5</v>
      </c>
      <c r="BQ14" s="327">
        <v>0.5</v>
      </c>
      <c r="BR14" s="155"/>
      <c r="BS14" s="137"/>
      <c r="BT14" s="212">
        <v>0.5</v>
      </c>
      <c r="BU14" s="297">
        <v>0.5</v>
      </c>
      <c r="BV14" s="298">
        <v>0.5</v>
      </c>
      <c r="BW14" s="212">
        <v>0.5</v>
      </c>
      <c r="BX14" s="212">
        <v>0.5</v>
      </c>
      <c r="BY14" s="212">
        <v>0.5</v>
      </c>
      <c r="BZ14" s="212">
        <v>0.5</v>
      </c>
      <c r="CA14" s="212">
        <v>0.5</v>
      </c>
      <c r="CB14" s="212">
        <v>0.5</v>
      </c>
      <c r="CC14" s="139">
        <v>0.5</v>
      </c>
      <c r="CD14" s="153"/>
      <c r="CE14" s="153"/>
      <c r="CF14" s="153"/>
      <c r="CG14" s="146"/>
      <c r="CH14" s="304"/>
      <c r="CI14" s="152"/>
      <c r="CJ14" s="131">
        <f>SUM(BH14:CI14)</f>
      </c>
      <c r="CK14" s="303"/>
      <c r="CL14" s="304"/>
      <c r="CM14" s="136"/>
      <c r="CN14" s="328">
        <v>0.5</v>
      </c>
      <c r="CO14" s="328">
        <v>0.5</v>
      </c>
      <c r="CP14" s="328">
        <v>0.5</v>
      </c>
      <c r="CQ14" s="328">
        <v>0.5</v>
      </c>
      <c r="CR14" s="328">
        <v>0.5</v>
      </c>
      <c r="CS14" s="328">
        <v>0.5</v>
      </c>
      <c r="CT14" s="327">
        <v>0.5</v>
      </c>
      <c r="CU14" s="155"/>
      <c r="CV14" s="137"/>
      <c r="CW14" s="212">
        <v>0.5</v>
      </c>
      <c r="CX14" s="297">
        <v>0.5</v>
      </c>
      <c r="CY14" s="298">
        <v>0.5</v>
      </c>
      <c r="CZ14" s="212">
        <v>0.5</v>
      </c>
      <c r="DA14" s="212">
        <v>0.5</v>
      </c>
      <c r="DB14" s="212">
        <v>0.5</v>
      </c>
      <c r="DC14" s="212">
        <v>0.5</v>
      </c>
      <c r="DD14" s="212">
        <v>0.5</v>
      </c>
      <c r="DE14" s="212">
        <v>0.5</v>
      </c>
      <c r="DF14" s="139">
        <v>0.5</v>
      </c>
      <c r="DG14" s="153"/>
      <c r="DH14" s="153"/>
      <c r="DI14" s="153"/>
      <c r="DJ14" s="146"/>
      <c r="DK14" s="304"/>
      <c r="DL14" s="152"/>
      <c r="DM14" s="131">
        <f>SUM(CK14:DL14)</f>
      </c>
      <c r="DN14" s="303"/>
      <c r="DO14" s="304"/>
      <c r="DP14" s="142">
        <v>0.5</v>
      </c>
      <c r="DQ14" s="328">
        <v>0.5</v>
      </c>
      <c r="DR14" s="328">
        <v>0.5</v>
      </c>
      <c r="DS14" s="328">
        <v>0.5</v>
      </c>
      <c r="DT14" s="328">
        <v>0.5</v>
      </c>
      <c r="DU14" s="328">
        <v>0.5</v>
      </c>
      <c r="DV14" s="328">
        <v>0.5</v>
      </c>
      <c r="DW14" s="327">
        <v>0.5</v>
      </c>
      <c r="DX14" s="140">
        <v>0.5</v>
      </c>
      <c r="DY14" s="138">
        <v>0.5</v>
      </c>
      <c r="DZ14" s="212">
        <v>0.5</v>
      </c>
      <c r="EA14" s="297">
        <v>0.5</v>
      </c>
      <c r="EB14" s="295"/>
      <c r="EC14" s="207"/>
      <c r="ED14" s="207"/>
      <c r="EE14" s="207"/>
      <c r="EF14" s="207"/>
      <c r="EG14" s="207"/>
      <c r="EH14" s="207"/>
      <c r="EI14" s="153"/>
      <c r="EJ14" s="153"/>
      <c r="EK14" s="153"/>
      <c r="EL14" s="153"/>
      <c r="EM14" s="146"/>
      <c r="EN14" s="304"/>
      <c r="EO14" s="152"/>
      <c r="EP14" s="131">
        <f>SUM(DN14:EO14)</f>
      </c>
      <c r="EQ14" s="4"/>
      <c r="ER14" s="698">
        <f>EP14+DM14+CJ14+BG14+AD14</f>
      </c>
      <c r="ES14" s="4"/>
      <c r="ET14" s="4"/>
      <c r="EU14" s="4"/>
    </row>
    <row r="15" ht="16.5" customHeight="1" spans="1:151" x14ac:dyDescent="0.25">
      <c r="A15" s="699" t="s">
        <v>200</v>
      </c>
      <c r="B15" s="303"/>
      <c r="C15" s="304"/>
      <c r="D15" s="136"/>
      <c r="E15" s="328">
        <v>0.5</v>
      </c>
      <c r="F15" s="328">
        <v>0.5</v>
      </c>
      <c r="G15" s="328">
        <v>0.5</v>
      </c>
      <c r="H15" s="328">
        <v>0.5</v>
      </c>
      <c r="I15" s="328">
        <v>0.5</v>
      </c>
      <c r="J15" s="328">
        <v>0.5</v>
      </c>
      <c r="K15" s="327">
        <v>0.5</v>
      </c>
      <c r="L15" s="140">
        <v>0.5</v>
      </c>
      <c r="M15" s="138">
        <v>0.5</v>
      </c>
      <c r="N15" s="612"/>
      <c r="O15" s="615"/>
      <c r="P15" s="298">
        <v>0.5</v>
      </c>
      <c r="Q15" s="212">
        <v>0.5</v>
      </c>
      <c r="R15" s="212">
        <v>0.5</v>
      </c>
      <c r="S15" s="212">
        <v>0.5</v>
      </c>
      <c r="T15" s="212">
        <v>0.5</v>
      </c>
      <c r="U15" s="212">
        <v>0.5</v>
      </c>
      <c r="V15" s="212">
        <v>0.5</v>
      </c>
      <c r="W15" s="139">
        <v>0.5</v>
      </c>
      <c r="X15" s="153"/>
      <c r="Y15" s="153"/>
      <c r="Z15" s="153"/>
      <c r="AA15" s="146"/>
      <c r="AB15" s="304"/>
      <c r="AC15" s="152"/>
      <c r="AD15" s="131">
        <f>SUM(B15:AC15)</f>
      </c>
      <c r="AE15" s="303"/>
      <c r="AF15" s="304"/>
      <c r="AG15" s="136"/>
      <c r="AH15" s="328">
        <v>0.5</v>
      </c>
      <c r="AI15" s="328">
        <v>0.5</v>
      </c>
      <c r="AJ15" s="328">
        <v>0.5</v>
      </c>
      <c r="AK15" s="328">
        <v>0.5</v>
      </c>
      <c r="AL15" s="328">
        <v>0.5</v>
      </c>
      <c r="AM15" s="328">
        <v>0.5</v>
      </c>
      <c r="AN15" s="327">
        <v>0.5</v>
      </c>
      <c r="AO15" s="140">
        <v>0.5</v>
      </c>
      <c r="AP15" s="138">
        <v>0.5</v>
      </c>
      <c r="AQ15" s="612"/>
      <c r="AR15" s="615"/>
      <c r="AS15" s="298">
        <v>0.5</v>
      </c>
      <c r="AT15" s="212">
        <v>0.5</v>
      </c>
      <c r="AU15" s="212">
        <v>0.5</v>
      </c>
      <c r="AV15" s="212">
        <v>0.5</v>
      </c>
      <c r="AW15" s="212">
        <v>0.5</v>
      </c>
      <c r="AX15" s="212">
        <v>0.5</v>
      </c>
      <c r="AY15" s="212">
        <v>0.5</v>
      </c>
      <c r="AZ15" s="139">
        <v>0.5</v>
      </c>
      <c r="BA15" s="153"/>
      <c r="BB15" s="153"/>
      <c r="BC15" s="153"/>
      <c r="BD15" s="146"/>
      <c r="BE15" s="304"/>
      <c r="BF15" s="152"/>
      <c r="BG15" s="131">
        <f>SUM(AE15:BF15)</f>
      </c>
      <c r="BH15" s="303"/>
      <c r="BI15" s="304"/>
      <c r="BJ15" s="136"/>
      <c r="BK15" s="328">
        <v>0.5</v>
      </c>
      <c r="BL15" s="328">
        <v>0.5</v>
      </c>
      <c r="BM15" s="328">
        <v>0.5</v>
      </c>
      <c r="BN15" s="328">
        <v>0.5</v>
      </c>
      <c r="BO15" s="328">
        <v>0.5</v>
      </c>
      <c r="BP15" s="328">
        <v>0.5</v>
      </c>
      <c r="BQ15" s="327">
        <v>0.5</v>
      </c>
      <c r="BR15" s="140">
        <v>0.5</v>
      </c>
      <c r="BS15" s="138">
        <v>0.5</v>
      </c>
      <c r="BT15" s="612"/>
      <c r="BU15" s="615"/>
      <c r="BV15" s="298">
        <v>0.5</v>
      </c>
      <c r="BW15" s="212">
        <v>0.5</v>
      </c>
      <c r="BX15" s="212">
        <v>0.5</v>
      </c>
      <c r="BY15" s="212">
        <v>0.5</v>
      </c>
      <c r="BZ15" s="212">
        <v>0.5</v>
      </c>
      <c r="CA15" s="212">
        <v>0.5</v>
      </c>
      <c r="CB15" s="212">
        <v>0.5</v>
      </c>
      <c r="CC15" s="139">
        <v>0.5</v>
      </c>
      <c r="CD15" s="153"/>
      <c r="CE15" s="153"/>
      <c r="CF15" s="153"/>
      <c r="CG15" s="146"/>
      <c r="CH15" s="304"/>
      <c r="CI15" s="152"/>
      <c r="CJ15" s="131">
        <f>SUM(BH15:CI15)</f>
      </c>
      <c r="CK15" s="303"/>
      <c r="CL15" s="304"/>
      <c r="CM15" s="136"/>
      <c r="CN15" s="328">
        <v>0.5</v>
      </c>
      <c r="CO15" s="328">
        <v>0.5</v>
      </c>
      <c r="CP15" s="328">
        <v>0.5</v>
      </c>
      <c r="CQ15" s="328">
        <v>0.5</v>
      </c>
      <c r="CR15" s="328">
        <v>0.5</v>
      </c>
      <c r="CS15" s="328">
        <v>0.5</v>
      </c>
      <c r="CT15" s="327">
        <v>0.5</v>
      </c>
      <c r="CU15" s="140">
        <v>0.5</v>
      </c>
      <c r="CV15" s="138">
        <v>0.5</v>
      </c>
      <c r="CW15" s="612"/>
      <c r="CX15" s="615"/>
      <c r="CY15" s="298">
        <v>0.5</v>
      </c>
      <c r="CZ15" s="212">
        <v>0.5</v>
      </c>
      <c r="DA15" s="212">
        <v>0.5</v>
      </c>
      <c r="DB15" s="212">
        <v>0.5</v>
      </c>
      <c r="DC15" s="212">
        <v>0.5</v>
      </c>
      <c r="DD15" s="212">
        <v>0.5</v>
      </c>
      <c r="DE15" s="212">
        <v>0.5</v>
      </c>
      <c r="DF15" s="139">
        <v>0.5</v>
      </c>
      <c r="DG15" s="153"/>
      <c r="DH15" s="153"/>
      <c r="DI15" s="153"/>
      <c r="DJ15" s="146"/>
      <c r="DK15" s="304"/>
      <c r="DL15" s="152"/>
      <c r="DM15" s="131">
        <f>SUM(CK15:DL15)</f>
      </c>
      <c r="DN15" s="303"/>
      <c r="DO15" s="304"/>
      <c r="DP15" s="142">
        <v>0.5</v>
      </c>
      <c r="DQ15" s="328">
        <v>0.5</v>
      </c>
      <c r="DR15" s="328">
        <v>0.5</v>
      </c>
      <c r="DS15" s="328">
        <v>0.5</v>
      </c>
      <c r="DT15" s="328">
        <v>0.5</v>
      </c>
      <c r="DU15" s="328">
        <v>0.5</v>
      </c>
      <c r="DV15" s="328">
        <v>0.5</v>
      </c>
      <c r="DW15" s="327">
        <v>0.5</v>
      </c>
      <c r="DX15" s="140">
        <v>0.5</v>
      </c>
      <c r="DY15" s="138">
        <v>0.5</v>
      </c>
      <c r="DZ15" s="212">
        <v>0.5</v>
      </c>
      <c r="EA15" s="297">
        <v>0.5</v>
      </c>
      <c r="EB15" s="295"/>
      <c r="EC15" s="207"/>
      <c r="ED15" s="207"/>
      <c r="EE15" s="207"/>
      <c r="EF15" s="207"/>
      <c r="EG15" s="207"/>
      <c r="EH15" s="207"/>
      <c r="EI15" s="153"/>
      <c r="EJ15" s="153"/>
      <c r="EK15" s="153"/>
      <c r="EL15" s="153"/>
      <c r="EM15" s="146"/>
      <c r="EN15" s="304"/>
      <c r="EO15" s="152"/>
      <c r="EP15" s="131">
        <f>SUM(DN15:EO15)</f>
      </c>
      <c r="EQ15" s="4"/>
      <c r="ER15" s="698">
        <f>EP15+DM15+CJ15+BG15+AD15</f>
      </c>
      <c r="ES15" s="4"/>
      <c r="ET15" s="4"/>
      <c r="EU15" s="4"/>
    </row>
    <row r="16" ht="16.5" customHeight="1" spans="1:151" x14ac:dyDescent="0.25">
      <c r="A16" s="699" t="s">
        <v>201</v>
      </c>
      <c r="B16" s="303"/>
      <c r="C16" s="304"/>
      <c r="D16" s="136"/>
      <c r="E16" s="328">
        <v>0.5</v>
      </c>
      <c r="F16" s="328">
        <v>0.5</v>
      </c>
      <c r="G16" s="328">
        <v>0.5</v>
      </c>
      <c r="H16" s="328">
        <v>0.5</v>
      </c>
      <c r="I16" s="328">
        <v>0.5</v>
      </c>
      <c r="J16" s="328">
        <v>0.5</v>
      </c>
      <c r="K16" s="327">
        <v>0.5</v>
      </c>
      <c r="L16" s="140">
        <v>0.5</v>
      </c>
      <c r="M16" s="138">
        <v>0.5</v>
      </c>
      <c r="N16" s="612"/>
      <c r="O16" s="615"/>
      <c r="P16" s="298">
        <v>0.5</v>
      </c>
      <c r="Q16" s="212">
        <v>0.5</v>
      </c>
      <c r="R16" s="212">
        <v>0.5</v>
      </c>
      <c r="S16" s="212">
        <v>0.5</v>
      </c>
      <c r="T16" s="212">
        <v>0.5</v>
      </c>
      <c r="U16" s="212">
        <v>0.5</v>
      </c>
      <c r="V16" s="212">
        <v>0.5</v>
      </c>
      <c r="W16" s="139">
        <v>0.5</v>
      </c>
      <c r="X16" s="139">
        <v>0.5</v>
      </c>
      <c r="Y16" s="153"/>
      <c r="Z16" s="153"/>
      <c r="AA16" s="146"/>
      <c r="AB16" s="304"/>
      <c r="AC16" s="152"/>
      <c r="AD16" s="131">
        <f>SUM(B16:AC16)</f>
      </c>
      <c r="AE16" s="303"/>
      <c r="AF16" s="304"/>
      <c r="AG16" s="136"/>
      <c r="AH16" s="328">
        <v>0.5</v>
      </c>
      <c r="AI16" s="328">
        <v>0.5</v>
      </c>
      <c r="AJ16" s="328">
        <v>0.5</v>
      </c>
      <c r="AK16" s="328">
        <v>0.5</v>
      </c>
      <c r="AL16" s="328">
        <v>0.5</v>
      </c>
      <c r="AM16" s="328">
        <v>0.5</v>
      </c>
      <c r="AN16" s="327">
        <v>0.5</v>
      </c>
      <c r="AO16" s="140">
        <v>0.5</v>
      </c>
      <c r="AP16" s="138">
        <v>0.5</v>
      </c>
      <c r="AQ16" s="612"/>
      <c r="AR16" s="615"/>
      <c r="AS16" s="298">
        <v>0.5</v>
      </c>
      <c r="AT16" s="212">
        <v>0.5</v>
      </c>
      <c r="AU16" s="212">
        <v>0.5</v>
      </c>
      <c r="AV16" s="212">
        <v>0.5</v>
      </c>
      <c r="AW16" s="212">
        <v>0.5</v>
      </c>
      <c r="AX16" s="212">
        <v>0.5</v>
      </c>
      <c r="AY16" s="212">
        <v>0.5</v>
      </c>
      <c r="AZ16" s="139">
        <v>0.5</v>
      </c>
      <c r="BA16" s="139">
        <v>0.5</v>
      </c>
      <c r="BB16" s="153"/>
      <c r="BC16" s="153"/>
      <c r="BD16" s="146"/>
      <c r="BE16" s="304"/>
      <c r="BF16" s="152"/>
      <c r="BG16" s="131">
        <f>SUM(AE16:BF16)</f>
      </c>
      <c r="BH16" s="303"/>
      <c r="BI16" s="304"/>
      <c r="BJ16" s="136"/>
      <c r="BK16" s="328">
        <v>0.5</v>
      </c>
      <c r="BL16" s="328">
        <v>0.5</v>
      </c>
      <c r="BM16" s="328">
        <v>0.5</v>
      </c>
      <c r="BN16" s="328">
        <v>0.5</v>
      </c>
      <c r="BO16" s="328">
        <v>0.5</v>
      </c>
      <c r="BP16" s="328">
        <v>0.5</v>
      </c>
      <c r="BQ16" s="327">
        <v>0.5</v>
      </c>
      <c r="BR16" s="140">
        <v>0.5</v>
      </c>
      <c r="BS16" s="138">
        <v>0.5</v>
      </c>
      <c r="BT16" s="612"/>
      <c r="BU16" s="615"/>
      <c r="BV16" s="298">
        <v>0.5</v>
      </c>
      <c r="BW16" s="212">
        <v>0.5</v>
      </c>
      <c r="BX16" s="212">
        <v>0.5</v>
      </c>
      <c r="BY16" s="212">
        <v>0.5</v>
      </c>
      <c r="BZ16" s="212">
        <v>0.5</v>
      </c>
      <c r="CA16" s="212">
        <v>0.5</v>
      </c>
      <c r="CB16" s="212">
        <v>0.5</v>
      </c>
      <c r="CC16" s="139">
        <v>0.5</v>
      </c>
      <c r="CD16" s="139">
        <v>0.5</v>
      </c>
      <c r="CE16" s="153"/>
      <c r="CF16" s="153"/>
      <c r="CG16" s="146"/>
      <c r="CH16" s="304"/>
      <c r="CI16" s="152"/>
      <c r="CJ16" s="131">
        <f>SUM(BH16:CI16)</f>
      </c>
      <c r="CK16" s="303"/>
      <c r="CL16" s="304"/>
      <c r="CM16" s="136"/>
      <c r="CN16" s="328">
        <v>0.5</v>
      </c>
      <c r="CO16" s="328">
        <v>0.5</v>
      </c>
      <c r="CP16" s="328">
        <v>0.5</v>
      </c>
      <c r="CQ16" s="328">
        <v>0.5</v>
      </c>
      <c r="CR16" s="328">
        <v>0.5</v>
      </c>
      <c r="CS16" s="328">
        <v>0.5</v>
      </c>
      <c r="CT16" s="327">
        <v>0.5</v>
      </c>
      <c r="CU16" s="140">
        <v>0.5</v>
      </c>
      <c r="CV16" s="138">
        <v>0.5</v>
      </c>
      <c r="CW16" s="612"/>
      <c r="CX16" s="615"/>
      <c r="CY16" s="298">
        <v>0.5</v>
      </c>
      <c r="CZ16" s="212">
        <v>0.5</v>
      </c>
      <c r="DA16" s="212">
        <v>0.5</v>
      </c>
      <c r="DB16" s="212">
        <v>0.5</v>
      </c>
      <c r="DC16" s="212">
        <v>0.5</v>
      </c>
      <c r="DD16" s="212">
        <v>0.5</v>
      </c>
      <c r="DE16" s="212">
        <v>0.5</v>
      </c>
      <c r="DF16" s="139">
        <v>0.5</v>
      </c>
      <c r="DG16" s="139">
        <v>0.5</v>
      </c>
      <c r="DH16" s="153"/>
      <c r="DI16" s="153"/>
      <c r="DJ16" s="146"/>
      <c r="DK16" s="304"/>
      <c r="DL16" s="152"/>
      <c r="DM16" s="131">
        <f>SUM(CK16:DL16)</f>
      </c>
      <c r="DN16" s="303"/>
      <c r="DO16" s="304"/>
      <c r="DP16" s="142">
        <v>0.5</v>
      </c>
      <c r="DQ16" s="328">
        <v>0.5</v>
      </c>
      <c r="DR16" s="328">
        <v>0.5</v>
      </c>
      <c r="DS16" s="328">
        <v>0.5</v>
      </c>
      <c r="DT16" s="328">
        <v>0.5</v>
      </c>
      <c r="DU16" s="328">
        <v>0.5</v>
      </c>
      <c r="DV16" s="328">
        <v>0.5</v>
      </c>
      <c r="DW16" s="327">
        <v>0.5</v>
      </c>
      <c r="DX16" s="155"/>
      <c r="DY16" s="137"/>
      <c r="DZ16" s="207"/>
      <c r="EA16" s="208"/>
      <c r="EB16" s="295"/>
      <c r="EC16" s="207"/>
      <c r="ED16" s="207"/>
      <c r="EE16" s="207"/>
      <c r="EF16" s="207"/>
      <c r="EG16" s="207"/>
      <c r="EH16" s="207"/>
      <c r="EI16" s="153"/>
      <c r="EJ16" s="153"/>
      <c r="EK16" s="153"/>
      <c r="EL16" s="153"/>
      <c r="EM16" s="146"/>
      <c r="EN16" s="304"/>
      <c r="EO16" s="152"/>
      <c r="EP16" s="131">
        <f>SUM(DN16:EO16)</f>
      </c>
      <c r="EQ16" s="4"/>
      <c r="ER16" s="698">
        <f>EP16+DM16+CJ16+BG16+AD16</f>
      </c>
      <c r="ES16" s="4"/>
      <c r="ET16" s="4"/>
      <c r="EU16" s="4"/>
    </row>
    <row r="17" ht="16.5" customHeight="1" spans="1:151" x14ac:dyDescent="0.25">
      <c r="A17" s="699" t="s">
        <v>202</v>
      </c>
      <c r="B17" s="303"/>
      <c r="C17" s="304"/>
      <c r="D17" s="136"/>
      <c r="E17" s="328">
        <v>0.5</v>
      </c>
      <c r="F17" s="328">
        <v>0.5</v>
      </c>
      <c r="G17" s="328">
        <v>0.5</v>
      </c>
      <c r="H17" s="328">
        <v>0.5</v>
      </c>
      <c r="I17" s="328">
        <v>0.5</v>
      </c>
      <c r="J17" s="328">
        <v>0.5</v>
      </c>
      <c r="K17" s="327">
        <v>0.5</v>
      </c>
      <c r="L17" s="140">
        <v>0.5</v>
      </c>
      <c r="M17" s="138">
        <v>0.5</v>
      </c>
      <c r="N17" s="612"/>
      <c r="O17" s="615"/>
      <c r="P17" s="298">
        <v>0.5</v>
      </c>
      <c r="Q17" s="212">
        <v>0.5</v>
      </c>
      <c r="R17" s="212">
        <v>0.5</v>
      </c>
      <c r="S17" s="212">
        <v>0.5</v>
      </c>
      <c r="T17" s="212">
        <v>0.5</v>
      </c>
      <c r="U17" s="212">
        <v>0.5</v>
      </c>
      <c r="V17" s="212">
        <v>0.5</v>
      </c>
      <c r="W17" s="139">
        <v>0.5</v>
      </c>
      <c r="X17" s="139">
        <v>0.5</v>
      </c>
      <c r="Y17" s="153"/>
      <c r="Z17" s="153"/>
      <c r="AA17" s="146"/>
      <c r="AB17" s="304"/>
      <c r="AC17" s="152"/>
      <c r="AD17" s="131">
        <f>SUM(B17:AC17)</f>
      </c>
      <c r="AE17" s="303"/>
      <c r="AF17" s="304"/>
      <c r="AG17" s="136"/>
      <c r="AH17" s="328">
        <v>0.5</v>
      </c>
      <c r="AI17" s="328">
        <v>0.5</v>
      </c>
      <c r="AJ17" s="328">
        <v>0.5</v>
      </c>
      <c r="AK17" s="328">
        <v>0.5</v>
      </c>
      <c r="AL17" s="328">
        <v>0.5</v>
      </c>
      <c r="AM17" s="328">
        <v>0.5</v>
      </c>
      <c r="AN17" s="327">
        <v>0.5</v>
      </c>
      <c r="AO17" s="140">
        <v>0.5</v>
      </c>
      <c r="AP17" s="138">
        <v>0.5</v>
      </c>
      <c r="AQ17" s="612"/>
      <c r="AR17" s="615"/>
      <c r="AS17" s="298">
        <v>0.5</v>
      </c>
      <c r="AT17" s="212">
        <v>0.5</v>
      </c>
      <c r="AU17" s="212">
        <v>0.5</v>
      </c>
      <c r="AV17" s="212">
        <v>0.5</v>
      </c>
      <c r="AW17" s="212">
        <v>0.5</v>
      </c>
      <c r="AX17" s="212">
        <v>0.5</v>
      </c>
      <c r="AY17" s="212">
        <v>0.5</v>
      </c>
      <c r="AZ17" s="139">
        <v>0.5</v>
      </c>
      <c r="BA17" s="139">
        <v>0.5</v>
      </c>
      <c r="BB17" s="153"/>
      <c r="BC17" s="153"/>
      <c r="BD17" s="146"/>
      <c r="BE17" s="304"/>
      <c r="BF17" s="152"/>
      <c r="BG17" s="131">
        <f>SUM(AE17:BF17)</f>
      </c>
      <c r="BH17" s="303"/>
      <c r="BI17" s="304"/>
      <c r="BJ17" s="136"/>
      <c r="BK17" s="328">
        <v>0.5</v>
      </c>
      <c r="BL17" s="328">
        <v>0.5</v>
      </c>
      <c r="BM17" s="328">
        <v>0.5</v>
      </c>
      <c r="BN17" s="328">
        <v>0.5</v>
      </c>
      <c r="BO17" s="328">
        <v>0.5</v>
      </c>
      <c r="BP17" s="328">
        <v>0.5</v>
      </c>
      <c r="BQ17" s="327">
        <v>0.5</v>
      </c>
      <c r="BR17" s="140">
        <v>0.5</v>
      </c>
      <c r="BS17" s="138">
        <v>0.5</v>
      </c>
      <c r="BT17" s="612"/>
      <c r="BU17" s="615"/>
      <c r="BV17" s="298">
        <v>0.5</v>
      </c>
      <c r="BW17" s="212">
        <v>0.5</v>
      </c>
      <c r="BX17" s="212">
        <v>0.5</v>
      </c>
      <c r="BY17" s="212">
        <v>0.5</v>
      </c>
      <c r="BZ17" s="212">
        <v>0.5</v>
      </c>
      <c r="CA17" s="212">
        <v>0.5</v>
      </c>
      <c r="CB17" s="212">
        <v>0.5</v>
      </c>
      <c r="CC17" s="139">
        <v>0.5</v>
      </c>
      <c r="CD17" s="139">
        <v>0.5</v>
      </c>
      <c r="CE17" s="153"/>
      <c r="CF17" s="153"/>
      <c r="CG17" s="146"/>
      <c r="CH17" s="304"/>
      <c r="CI17" s="152"/>
      <c r="CJ17" s="131">
        <f>SUM(BH17:CI17)</f>
      </c>
      <c r="CK17" s="303"/>
      <c r="CL17" s="304"/>
      <c r="CM17" s="136"/>
      <c r="CN17" s="328">
        <v>0.5</v>
      </c>
      <c r="CO17" s="328">
        <v>0.5</v>
      </c>
      <c r="CP17" s="328">
        <v>0.5</v>
      </c>
      <c r="CQ17" s="328">
        <v>0.5</v>
      </c>
      <c r="CR17" s="328">
        <v>0.5</v>
      </c>
      <c r="CS17" s="328">
        <v>0.5</v>
      </c>
      <c r="CT17" s="327">
        <v>0.5</v>
      </c>
      <c r="CU17" s="140">
        <v>0.5</v>
      </c>
      <c r="CV17" s="138">
        <v>0.5</v>
      </c>
      <c r="CW17" s="612"/>
      <c r="CX17" s="615"/>
      <c r="CY17" s="298">
        <v>0.5</v>
      </c>
      <c r="CZ17" s="212">
        <v>0.5</v>
      </c>
      <c r="DA17" s="212">
        <v>0.5</v>
      </c>
      <c r="DB17" s="212">
        <v>0.5</v>
      </c>
      <c r="DC17" s="212">
        <v>0.5</v>
      </c>
      <c r="DD17" s="212">
        <v>0.5</v>
      </c>
      <c r="DE17" s="212">
        <v>0.5</v>
      </c>
      <c r="DF17" s="139">
        <v>0.5</v>
      </c>
      <c r="DG17" s="139">
        <v>0.5</v>
      </c>
      <c r="DH17" s="153"/>
      <c r="DI17" s="153"/>
      <c r="DJ17" s="146"/>
      <c r="DK17" s="304"/>
      <c r="DL17" s="152"/>
      <c r="DM17" s="131">
        <f>SUM(CK17:DL17)</f>
      </c>
      <c r="DN17" s="303"/>
      <c r="DO17" s="304"/>
      <c r="DP17" s="136"/>
      <c r="DQ17" s="337"/>
      <c r="DR17" s="328">
        <v>0.5</v>
      </c>
      <c r="DS17" s="328">
        <v>0.5</v>
      </c>
      <c r="DT17" s="328">
        <v>0.5</v>
      </c>
      <c r="DU17" s="328">
        <v>0.5</v>
      </c>
      <c r="DV17" s="328">
        <v>0.5</v>
      </c>
      <c r="DW17" s="327">
        <v>0.5</v>
      </c>
      <c r="DX17" s="140">
        <v>0.5</v>
      </c>
      <c r="DY17" s="138">
        <v>0.5</v>
      </c>
      <c r="DZ17" s="207"/>
      <c r="EA17" s="208"/>
      <c r="EB17" s="295"/>
      <c r="EC17" s="207"/>
      <c r="ED17" s="207"/>
      <c r="EE17" s="207"/>
      <c r="EF17" s="207"/>
      <c r="EG17" s="207"/>
      <c r="EH17" s="207"/>
      <c r="EI17" s="153"/>
      <c r="EJ17" s="153"/>
      <c r="EK17" s="153"/>
      <c r="EL17" s="153"/>
      <c r="EM17" s="146"/>
      <c r="EN17" s="304"/>
      <c r="EO17" s="152"/>
      <c r="EP17" s="131">
        <f>SUM(DN17:EO17)</f>
      </c>
      <c r="EQ17" s="4"/>
      <c r="ER17" s="698">
        <f>EP17+DM17+CJ17+BG17+AD17</f>
      </c>
      <c r="ES17" s="4"/>
      <c r="ET17" s="4"/>
      <c r="EU17" s="4"/>
    </row>
    <row r="18" ht="16.5" customHeight="1" spans="1:151" x14ac:dyDescent="0.25">
      <c r="A18" s="699" t="s">
        <v>203</v>
      </c>
      <c r="B18" s="303"/>
      <c r="C18" s="304"/>
      <c r="D18" s="136"/>
      <c r="E18" s="328">
        <v>0.5</v>
      </c>
      <c r="F18" s="328">
        <v>0.5</v>
      </c>
      <c r="G18" s="328">
        <v>0.5</v>
      </c>
      <c r="H18" s="328">
        <v>0.5</v>
      </c>
      <c r="I18" s="328">
        <v>0.5</v>
      </c>
      <c r="J18" s="328">
        <v>0.5</v>
      </c>
      <c r="K18" s="327">
        <v>0.5</v>
      </c>
      <c r="L18" s="140">
        <v>0.5</v>
      </c>
      <c r="M18" s="138">
        <v>0.5</v>
      </c>
      <c r="N18" s="612"/>
      <c r="O18" s="615"/>
      <c r="P18" s="298">
        <v>0.5</v>
      </c>
      <c r="Q18" s="212">
        <v>0.5</v>
      </c>
      <c r="R18" s="212">
        <v>0.5</v>
      </c>
      <c r="S18" s="212">
        <v>0.5</v>
      </c>
      <c r="T18" s="212">
        <v>0.5</v>
      </c>
      <c r="U18" s="212">
        <v>0.5</v>
      </c>
      <c r="V18" s="212">
        <v>0.5</v>
      </c>
      <c r="W18" s="139">
        <v>0.5</v>
      </c>
      <c r="X18" s="139">
        <v>0.5</v>
      </c>
      <c r="Y18" s="153"/>
      <c r="Z18" s="153"/>
      <c r="AA18" s="146"/>
      <c r="AB18" s="304"/>
      <c r="AC18" s="152"/>
      <c r="AD18" s="131">
        <f>SUM(B18:AC18)</f>
      </c>
      <c r="AE18" s="303"/>
      <c r="AF18" s="304"/>
      <c r="AG18" s="136"/>
      <c r="AH18" s="328">
        <v>0.5</v>
      </c>
      <c r="AI18" s="328">
        <v>0.5</v>
      </c>
      <c r="AJ18" s="328">
        <v>0.5</v>
      </c>
      <c r="AK18" s="328">
        <v>0.5</v>
      </c>
      <c r="AL18" s="328">
        <v>0.5</v>
      </c>
      <c r="AM18" s="328">
        <v>0.5</v>
      </c>
      <c r="AN18" s="327">
        <v>0.5</v>
      </c>
      <c r="AO18" s="140">
        <v>0.5</v>
      </c>
      <c r="AP18" s="138">
        <v>0.5</v>
      </c>
      <c r="AQ18" s="612"/>
      <c r="AR18" s="615"/>
      <c r="AS18" s="298">
        <v>0.5</v>
      </c>
      <c r="AT18" s="212">
        <v>0.5</v>
      </c>
      <c r="AU18" s="212">
        <v>0.5</v>
      </c>
      <c r="AV18" s="212">
        <v>0.5</v>
      </c>
      <c r="AW18" s="212">
        <v>0.5</v>
      </c>
      <c r="AX18" s="212">
        <v>0.5</v>
      </c>
      <c r="AY18" s="212">
        <v>0.5</v>
      </c>
      <c r="AZ18" s="139">
        <v>0.5</v>
      </c>
      <c r="BA18" s="139">
        <v>0.5</v>
      </c>
      <c r="BB18" s="153"/>
      <c r="BC18" s="153"/>
      <c r="BD18" s="146"/>
      <c r="BE18" s="304"/>
      <c r="BF18" s="152"/>
      <c r="BG18" s="131">
        <f>SUM(AE18:BF18)</f>
      </c>
      <c r="BH18" s="303"/>
      <c r="BI18" s="304"/>
      <c r="BJ18" s="136"/>
      <c r="BK18" s="328">
        <v>0.5</v>
      </c>
      <c r="BL18" s="328">
        <v>0.5</v>
      </c>
      <c r="BM18" s="328">
        <v>0.5</v>
      </c>
      <c r="BN18" s="328">
        <v>0.5</v>
      </c>
      <c r="BO18" s="328">
        <v>0.5</v>
      </c>
      <c r="BP18" s="328">
        <v>0.5</v>
      </c>
      <c r="BQ18" s="327">
        <v>0.5</v>
      </c>
      <c r="BR18" s="140">
        <v>0.5</v>
      </c>
      <c r="BS18" s="138">
        <v>0.5</v>
      </c>
      <c r="BT18" s="612"/>
      <c r="BU18" s="615"/>
      <c r="BV18" s="298">
        <v>0.5</v>
      </c>
      <c r="BW18" s="212">
        <v>0.5</v>
      </c>
      <c r="BX18" s="212">
        <v>0.5</v>
      </c>
      <c r="BY18" s="212">
        <v>0.5</v>
      </c>
      <c r="BZ18" s="212">
        <v>0.5</v>
      </c>
      <c r="CA18" s="212">
        <v>0.5</v>
      </c>
      <c r="CB18" s="212">
        <v>0.5</v>
      </c>
      <c r="CC18" s="139">
        <v>0.5</v>
      </c>
      <c r="CD18" s="139">
        <v>0.5</v>
      </c>
      <c r="CE18" s="153"/>
      <c r="CF18" s="153"/>
      <c r="CG18" s="146"/>
      <c r="CH18" s="304"/>
      <c r="CI18" s="152"/>
      <c r="CJ18" s="131">
        <f>SUM(BH18:CI18)</f>
      </c>
      <c r="CK18" s="303"/>
      <c r="CL18" s="304"/>
      <c r="CM18" s="136"/>
      <c r="CN18" s="328">
        <v>0.5</v>
      </c>
      <c r="CO18" s="328">
        <v>0.5</v>
      </c>
      <c r="CP18" s="328">
        <v>0.5</v>
      </c>
      <c r="CQ18" s="328">
        <v>0.5</v>
      </c>
      <c r="CR18" s="328">
        <v>0.5</v>
      </c>
      <c r="CS18" s="328">
        <v>0.5</v>
      </c>
      <c r="CT18" s="327">
        <v>0.5</v>
      </c>
      <c r="CU18" s="140">
        <v>0.5</v>
      </c>
      <c r="CV18" s="138">
        <v>0.5</v>
      </c>
      <c r="CW18" s="612"/>
      <c r="CX18" s="615"/>
      <c r="CY18" s="298">
        <v>0.5</v>
      </c>
      <c r="CZ18" s="212">
        <v>0.5</v>
      </c>
      <c r="DA18" s="212">
        <v>0.5</v>
      </c>
      <c r="DB18" s="212">
        <v>0.5</v>
      </c>
      <c r="DC18" s="212">
        <v>0.5</v>
      </c>
      <c r="DD18" s="212">
        <v>0.5</v>
      </c>
      <c r="DE18" s="212">
        <v>0.5</v>
      </c>
      <c r="DF18" s="139">
        <v>0.5</v>
      </c>
      <c r="DG18" s="139">
        <v>0.5</v>
      </c>
      <c r="DH18" s="153"/>
      <c r="DI18" s="153"/>
      <c r="DJ18" s="146"/>
      <c r="DK18" s="304"/>
      <c r="DL18" s="152"/>
      <c r="DM18" s="131">
        <f>SUM(CK18:DL18)</f>
      </c>
      <c r="DN18" s="303"/>
      <c r="DO18" s="304"/>
      <c r="DP18" s="136"/>
      <c r="DQ18" s="337"/>
      <c r="DR18" s="337"/>
      <c r="DS18" s="328">
        <v>0.5</v>
      </c>
      <c r="DT18" s="328">
        <v>0.5</v>
      </c>
      <c r="DU18" s="328">
        <v>0.5</v>
      </c>
      <c r="DV18" s="328">
        <v>0.5</v>
      </c>
      <c r="DW18" s="327">
        <v>0.5</v>
      </c>
      <c r="DX18" s="140">
        <v>0.5</v>
      </c>
      <c r="DY18" s="138">
        <v>0.5</v>
      </c>
      <c r="DZ18" s="212">
        <v>0.5</v>
      </c>
      <c r="EA18" s="208"/>
      <c r="EB18" s="295"/>
      <c r="EC18" s="207"/>
      <c r="ED18" s="207"/>
      <c r="EE18" s="207"/>
      <c r="EF18" s="207"/>
      <c r="EG18" s="207"/>
      <c r="EH18" s="207"/>
      <c r="EI18" s="153"/>
      <c r="EJ18" s="153"/>
      <c r="EK18" s="153"/>
      <c r="EL18" s="153"/>
      <c r="EM18" s="146"/>
      <c r="EN18" s="304"/>
      <c r="EO18" s="152"/>
      <c r="EP18" s="131">
        <f>SUM(DN18:EO18)</f>
      </c>
      <c r="EQ18" s="4"/>
      <c r="ER18" s="698">
        <f>EP18+DM18+CJ18+BG18+AD18</f>
      </c>
      <c r="ES18" s="4"/>
      <c r="ET18" s="4"/>
      <c r="EU18" s="4"/>
    </row>
    <row r="19" ht="16.5" customHeight="1" spans="1:151" x14ac:dyDescent="0.25">
      <c r="A19" s="699" t="s">
        <v>204</v>
      </c>
      <c r="B19" s="303"/>
      <c r="C19" s="304"/>
      <c r="D19" s="136"/>
      <c r="E19" s="153"/>
      <c r="F19" s="154">
        <v>0.5</v>
      </c>
      <c r="G19" s="154">
        <v>0.5</v>
      </c>
      <c r="H19" s="154">
        <v>0.5</v>
      </c>
      <c r="I19" s="154">
        <v>0.5</v>
      </c>
      <c r="J19" s="212">
        <v>0.5</v>
      </c>
      <c r="K19" s="213">
        <v>0.5</v>
      </c>
      <c r="L19" s="155"/>
      <c r="M19" s="137"/>
      <c r="N19" s="138">
        <v>0.5</v>
      </c>
      <c r="O19" s="149">
        <v>0.5</v>
      </c>
      <c r="P19" s="298">
        <v>0.5</v>
      </c>
      <c r="Q19" s="212">
        <v>0.5</v>
      </c>
      <c r="R19" s="154">
        <v>0.5</v>
      </c>
      <c r="S19" s="154">
        <v>0.5</v>
      </c>
      <c r="T19" s="154">
        <v>0.5</v>
      </c>
      <c r="U19" s="154">
        <v>0.5</v>
      </c>
      <c r="V19" s="15">
        <v>0.5</v>
      </c>
      <c r="W19" s="154">
        <v>0.5</v>
      </c>
      <c r="X19" s="153"/>
      <c r="Y19" s="153"/>
      <c r="Z19" s="153"/>
      <c r="AA19" s="146"/>
      <c r="AB19" s="304"/>
      <c r="AC19" s="152"/>
      <c r="AD19" s="325">
        <f>SUM(B19:AC19)</f>
      </c>
      <c r="AE19" s="303"/>
      <c r="AF19" s="304"/>
      <c r="AG19" s="136"/>
      <c r="AH19" s="153"/>
      <c r="AI19" s="154">
        <v>0.5</v>
      </c>
      <c r="AJ19" s="154">
        <v>0.5</v>
      </c>
      <c r="AK19" s="154">
        <v>0.5</v>
      </c>
      <c r="AL19" s="154">
        <v>0.5</v>
      </c>
      <c r="AM19" s="212">
        <v>0.5</v>
      </c>
      <c r="AN19" s="213">
        <v>0.5</v>
      </c>
      <c r="AO19" s="155"/>
      <c r="AP19" s="137"/>
      <c r="AQ19" s="138">
        <v>0.5</v>
      </c>
      <c r="AR19" s="149">
        <v>0.5</v>
      </c>
      <c r="AS19" s="298">
        <v>0.5</v>
      </c>
      <c r="AT19" s="212">
        <v>0.5</v>
      </c>
      <c r="AU19" s="154">
        <v>0.5</v>
      </c>
      <c r="AV19" s="154">
        <v>0.5</v>
      </c>
      <c r="AW19" s="154">
        <v>0.5</v>
      </c>
      <c r="AX19" s="154">
        <v>0.5</v>
      </c>
      <c r="AY19" s="15">
        <v>0.5</v>
      </c>
      <c r="AZ19" s="154">
        <v>0.5</v>
      </c>
      <c r="BA19" s="153"/>
      <c r="BB19" s="153"/>
      <c r="BC19" s="153"/>
      <c r="BD19" s="153"/>
      <c r="BE19" s="304"/>
      <c r="BF19" s="152"/>
      <c r="BG19" s="325">
        <f>SUM(AE19:BF19)</f>
      </c>
      <c r="BH19" s="303"/>
      <c r="BI19" s="304"/>
      <c r="BJ19" s="136"/>
      <c r="BK19" s="153"/>
      <c r="BL19" s="154">
        <v>0.5</v>
      </c>
      <c r="BM19" s="154">
        <v>0.5</v>
      </c>
      <c r="BN19" s="154">
        <v>0.5</v>
      </c>
      <c r="BO19" s="154">
        <v>0.5</v>
      </c>
      <c r="BP19" s="212">
        <v>0.5</v>
      </c>
      <c r="BQ19" s="213">
        <v>0.5</v>
      </c>
      <c r="BR19" s="155"/>
      <c r="BS19" s="137"/>
      <c r="BT19" s="138">
        <v>0.5</v>
      </c>
      <c r="BU19" s="149">
        <v>0.5</v>
      </c>
      <c r="BV19" s="298">
        <v>0.5</v>
      </c>
      <c r="BW19" s="212">
        <v>0.5</v>
      </c>
      <c r="BX19" s="154">
        <v>0.5</v>
      </c>
      <c r="BY19" s="154">
        <v>0.5</v>
      </c>
      <c r="BZ19" s="154">
        <v>0.5</v>
      </c>
      <c r="CA19" s="154">
        <v>0.5</v>
      </c>
      <c r="CB19" s="15">
        <v>0.5</v>
      </c>
      <c r="CC19" s="154">
        <v>0.5</v>
      </c>
      <c r="CD19" s="153"/>
      <c r="CE19" s="153"/>
      <c r="CF19" s="153"/>
      <c r="CG19" s="153"/>
      <c r="CH19" s="304"/>
      <c r="CI19" s="152"/>
      <c r="CJ19" s="325">
        <f>SUM(BH19:CI19)</f>
      </c>
      <c r="CK19" s="303"/>
      <c r="CL19" s="304"/>
      <c r="CM19" s="136"/>
      <c r="CN19" s="153"/>
      <c r="CO19" s="154">
        <v>0.5</v>
      </c>
      <c r="CP19" s="154">
        <v>0.5</v>
      </c>
      <c r="CQ19" s="154">
        <v>0.5</v>
      </c>
      <c r="CR19" s="154">
        <v>0.5</v>
      </c>
      <c r="CS19" s="212">
        <v>0.5</v>
      </c>
      <c r="CT19" s="213">
        <v>0.5</v>
      </c>
      <c r="CU19" s="155"/>
      <c r="CV19" s="137"/>
      <c r="CW19" s="138">
        <v>0.5</v>
      </c>
      <c r="CX19" s="149">
        <v>0.5</v>
      </c>
      <c r="CY19" s="298">
        <v>0.5</v>
      </c>
      <c r="CZ19" s="212">
        <v>0.5</v>
      </c>
      <c r="DA19" s="154">
        <v>0.5</v>
      </c>
      <c r="DB19" s="154">
        <v>0.5</v>
      </c>
      <c r="DC19" s="154">
        <v>0.5</v>
      </c>
      <c r="DD19" s="154">
        <v>0.5</v>
      </c>
      <c r="DE19" s="154">
        <v>0.5</v>
      </c>
      <c r="DF19" s="154">
        <v>0.5</v>
      </c>
      <c r="DG19" s="153"/>
      <c r="DH19" s="153"/>
      <c r="DI19" s="153"/>
      <c r="DJ19" s="153"/>
      <c r="DK19" s="304"/>
      <c r="DL19" s="152"/>
      <c r="DM19" s="325">
        <f>SUM(CK19:DL19)</f>
      </c>
      <c r="DN19" s="303"/>
      <c r="DO19" s="304"/>
      <c r="DP19" s="706"/>
      <c r="DQ19" s="332"/>
      <c r="DR19" s="702">
        <v>0.5</v>
      </c>
      <c r="DS19" s="702">
        <v>0.5</v>
      </c>
      <c r="DT19" s="702">
        <v>0.5</v>
      </c>
      <c r="DU19" s="702">
        <v>0.5</v>
      </c>
      <c r="DV19" s="328">
        <v>0.5</v>
      </c>
      <c r="DW19" s="327">
        <v>0.5</v>
      </c>
      <c r="DX19" s="336"/>
      <c r="DY19" s="337"/>
      <c r="DZ19" s="328">
        <v>0.5</v>
      </c>
      <c r="EA19" s="330">
        <v>0.5</v>
      </c>
      <c r="EB19" s="327">
        <v>0.5</v>
      </c>
      <c r="EC19" s="327">
        <v>0.5</v>
      </c>
      <c r="ED19" s="702">
        <v>0.5</v>
      </c>
      <c r="EE19" s="702">
        <v>0.5</v>
      </c>
      <c r="EF19" s="702">
        <v>0.5</v>
      </c>
      <c r="EG19" s="702">
        <v>0.5</v>
      </c>
      <c r="EH19" s="702">
        <v>0.5</v>
      </c>
      <c r="EI19" s="702">
        <v>0.5</v>
      </c>
      <c r="EJ19" s="332"/>
      <c r="EK19" s="332"/>
      <c r="EL19" s="332"/>
      <c r="EM19" s="332"/>
      <c r="EN19" s="304"/>
      <c r="EO19" s="152"/>
      <c r="EP19" s="325">
        <f>SUM(DN19:EO19)</f>
      </c>
      <c r="EQ19" s="4"/>
      <c r="ER19" s="698">
        <f>EP19+DM19+CJ19+BG19+AD19</f>
      </c>
      <c r="ES19" s="4"/>
      <c r="ET19" s="4"/>
      <c r="EU19" s="4"/>
    </row>
    <row r="20" ht="16.5" customHeight="1" spans="1:151" x14ac:dyDescent="0.25">
      <c r="A20" s="699" t="s">
        <v>205</v>
      </c>
      <c r="B20" s="303"/>
      <c r="C20" s="304"/>
      <c r="D20" s="136"/>
      <c r="E20" s="153"/>
      <c r="F20" s="154">
        <v>0.5</v>
      </c>
      <c r="G20" s="154">
        <v>0.5</v>
      </c>
      <c r="H20" s="154">
        <v>0.5</v>
      </c>
      <c r="I20" s="154">
        <v>0.5</v>
      </c>
      <c r="J20" s="212">
        <v>0.5</v>
      </c>
      <c r="K20" s="213">
        <v>0.5</v>
      </c>
      <c r="L20" s="140">
        <v>0.5</v>
      </c>
      <c r="M20" s="138">
        <v>0.5</v>
      </c>
      <c r="N20" s="137"/>
      <c r="O20" s="141"/>
      <c r="P20" s="298">
        <v>0.5</v>
      </c>
      <c r="Q20" s="212">
        <v>0.5</v>
      </c>
      <c r="R20" s="154">
        <v>0.5</v>
      </c>
      <c r="S20" s="154">
        <v>0.5</v>
      </c>
      <c r="T20" s="154">
        <v>0.5</v>
      </c>
      <c r="U20" s="154">
        <v>0.5</v>
      </c>
      <c r="V20" s="15">
        <v>0.5</v>
      </c>
      <c r="W20" s="154">
        <v>0.5</v>
      </c>
      <c r="X20" s="153"/>
      <c r="Y20" s="153"/>
      <c r="Z20" s="153"/>
      <c r="AA20" s="146"/>
      <c r="AB20" s="304"/>
      <c r="AC20" s="152"/>
      <c r="AD20" s="325">
        <f>SUM(B20:AC20)</f>
      </c>
      <c r="AE20" s="303"/>
      <c r="AF20" s="304"/>
      <c r="AG20" s="136"/>
      <c r="AH20" s="153"/>
      <c r="AI20" s="154">
        <v>0.5</v>
      </c>
      <c r="AJ20" s="154">
        <v>0.5</v>
      </c>
      <c r="AK20" s="154">
        <v>0.5</v>
      </c>
      <c r="AL20" s="154">
        <v>0.5</v>
      </c>
      <c r="AM20" s="212">
        <v>0.5</v>
      </c>
      <c r="AN20" s="213">
        <v>0.5</v>
      </c>
      <c r="AO20" s="140">
        <v>0.5</v>
      </c>
      <c r="AP20" s="138">
        <v>0.5</v>
      </c>
      <c r="AQ20" s="137"/>
      <c r="AR20" s="141"/>
      <c r="AS20" s="298">
        <v>0.5</v>
      </c>
      <c r="AT20" s="212">
        <v>0.5</v>
      </c>
      <c r="AU20" s="154">
        <v>0.5</v>
      </c>
      <c r="AV20" s="154">
        <v>0.5</v>
      </c>
      <c r="AW20" s="154">
        <v>0.5</v>
      </c>
      <c r="AX20" s="154">
        <v>0.5</v>
      </c>
      <c r="AY20" s="15">
        <v>0.5</v>
      </c>
      <c r="AZ20" s="154">
        <v>0.5</v>
      </c>
      <c r="BA20" s="153"/>
      <c r="BB20" s="153"/>
      <c r="BC20" s="153"/>
      <c r="BD20" s="153"/>
      <c r="BE20" s="304"/>
      <c r="BF20" s="152"/>
      <c r="BG20" s="325">
        <f>SUM(AE20:BF20)</f>
      </c>
      <c r="BH20" s="303"/>
      <c r="BI20" s="304"/>
      <c r="BJ20" s="136"/>
      <c r="BK20" s="153"/>
      <c r="BL20" s="154">
        <v>0.5</v>
      </c>
      <c r="BM20" s="154">
        <v>0.5</v>
      </c>
      <c r="BN20" s="154">
        <v>0.5</v>
      </c>
      <c r="BO20" s="154">
        <v>0.5</v>
      </c>
      <c r="BP20" s="212">
        <v>0.5</v>
      </c>
      <c r="BQ20" s="213">
        <v>0.5</v>
      </c>
      <c r="BR20" s="140">
        <v>0.5</v>
      </c>
      <c r="BS20" s="138">
        <v>0.5</v>
      </c>
      <c r="BT20" s="137"/>
      <c r="BU20" s="141"/>
      <c r="BV20" s="298">
        <v>0.5</v>
      </c>
      <c r="BW20" s="212">
        <v>0.5</v>
      </c>
      <c r="BX20" s="154">
        <v>0.5</v>
      </c>
      <c r="BY20" s="154">
        <v>0.5</v>
      </c>
      <c r="BZ20" s="154">
        <v>0.5</v>
      </c>
      <c r="CA20" s="154">
        <v>0.5</v>
      </c>
      <c r="CB20" s="15">
        <v>0.5</v>
      </c>
      <c r="CC20" s="154">
        <v>0.5</v>
      </c>
      <c r="CD20" s="153"/>
      <c r="CE20" s="153"/>
      <c r="CF20" s="153"/>
      <c r="CG20" s="153"/>
      <c r="CH20" s="304"/>
      <c r="CI20" s="152"/>
      <c r="CJ20" s="325">
        <f>SUM(BH20:CI20)</f>
      </c>
      <c r="CK20" s="303"/>
      <c r="CL20" s="304"/>
      <c r="CM20" s="136"/>
      <c r="CN20" s="153"/>
      <c r="CO20" s="154">
        <v>0.5</v>
      </c>
      <c r="CP20" s="154">
        <v>0.5</v>
      </c>
      <c r="CQ20" s="154">
        <v>0.5</v>
      </c>
      <c r="CR20" s="154">
        <v>0.5</v>
      </c>
      <c r="CS20" s="212">
        <v>0.5</v>
      </c>
      <c r="CT20" s="213">
        <v>0.5</v>
      </c>
      <c r="CU20" s="140">
        <v>0.5</v>
      </c>
      <c r="CV20" s="138">
        <v>0.5</v>
      </c>
      <c r="CW20" s="137"/>
      <c r="CX20" s="141"/>
      <c r="CY20" s="298">
        <v>0.5</v>
      </c>
      <c r="CZ20" s="212">
        <v>0.5</v>
      </c>
      <c r="DA20" s="154">
        <v>0.5</v>
      </c>
      <c r="DB20" s="154">
        <v>0.5</v>
      </c>
      <c r="DC20" s="154">
        <v>0.5</v>
      </c>
      <c r="DD20" s="154">
        <v>0.5</v>
      </c>
      <c r="DE20" s="154">
        <v>0.5</v>
      </c>
      <c r="DF20" s="154">
        <v>0.5</v>
      </c>
      <c r="DG20" s="153"/>
      <c r="DH20" s="153"/>
      <c r="DI20" s="153"/>
      <c r="DJ20" s="153"/>
      <c r="DK20" s="304"/>
      <c r="DL20" s="152"/>
      <c r="DM20" s="325">
        <f>SUM(CK20:DL20)</f>
      </c>
      <c r="DN20" s="303"/>
      <c r="DO20" s="304"/>
      <c r="DP20" s="706"/>
      <c r="DQ20" s="332"/>
      <c r="DR20" s="702">
        <v>0.5</v>
      </c>
      <c r="DS20" s="702">
        <v>0.5</v>
      </c>
      <c r="DT20" s="702">
        <v>0.5</v>
      </c>
      <c r="DU20" s="702">
        <v>0.5</v>
      </c>
      <c r="DV20" s="328">
        <v>0.5</v>
      </c>
      <c r="DW20" s="327">
        <v>0.5</v>
      </c>
      <c r="DX20" s="329">
        <v>0.5</v>
      </c>
      <c r="DY20" s="328">
        <v>0.5</v>
      </c>
      <c r="DZ20" s="337"/>
      <c r="EA20" s="707"/>
      <c r="EB20" s="327">
        <v>0.5</v>
      </c>
      <c r="EC20" s="327">
        <v>0.5</v>
      </c>
      <c r="ED20" s="702">
        <v>0.5</v>
      </c>
      <c r="EE20" s="702">
        <v>0.5</v>
      </c>
      <c r="EF20" s="702">
        <v>0.5</v>
      </c>
      <c r="EG20" s="702">
        <v>0.5</v>
      </c>
      <c r="EH20" s="702">
        <v>0.5</v>
      </c>
      <c r="EI20" s="702">
        <v>0.5</v>
      </c>
      <c r="EJ20" s="332"/>
      <c r="EK20" s="332"/>
      <c r="EL20" s="332"/>
      <c r="EM20" s="332"/>
      <c r="EN20" s="304"/>
      <c r="EO20" s="152"/>
      <c r="EP20" s="325">
        <f>SUM(DN20:EO20)</f>
      </c>
      <c r="EQ20" s="4"/>
      <c r="ER20" s="698">
        <f>EP20+DM20+CJ20+BG20+AD20</f>
      </c>
      <c r="ES20" s="4"/>
      <c r="ET20" s="4"/>
      <c r="EU20" s="4"/>
    </row>
    <row r="21" ht="16.5" customHeight="1" spans="1:151" x14ac:dyDescent="0.25">
      <c r="A21" s="699" t="s">
        <v>206</v>
      </c>
      <c r="B21" s="303"/>
      <c r="C21" s="304"/>
      <c r="D21" s="136"/>
      <c r="E21" s="153"/>
      <c r="F21" s="153"/>
      <c r="G21" s="154">
        <v>0.5</v>
      </c>
      <c r="H21" s="154">
        <v>0.5</v>
      </c>
      <c r="I21" s="154">
        <v>0.5</v>
      </c>
      <c r="J21" s="212">
        <v>0.5</v>
      </c>
      <c r="K21" s="213">
        <v>0.5</v>
      </c>
      <c r="L21" s="155"/>
      <c r="M21" s="137"/>
      <c r="N21" s="138">
        <v>0.5</v>
      </c>
      <c r="O21" s="149">
        <v>0.5</v>
      </c>
      <c r="P21" s="298">
        <v>0.5</v>
      </c>
      <c r="Q21" s="212">
        <v>0.5</v>
      </c>
      <c r="R21" s="154">
        <v>0.5</v>
      </c>
      <c r="S21" s="154">
        <v>0.5</v>
      </c>
      <c r="T21" s="154">
        <v>0.5</v>
      </c>
      <c r="U21" s="154">
        <v>0.5</v>
      </c>
      <c r="V21" s="15">
        <v>0.5</v>
      </c>
      <c r="W21" s="154">
        <v>0.5</v>
      </c>
      <c r="X21" s="154">
        <v>0.5</v>
      </c>
      <c r="Y21" s="153"/>
      <c r="Z21" s="153"/>
      <c r="AA21" s="146"/>
      <c r="AB21" s="304"/>
      <c r="AC21" s="152"/>
      <c r="AD21" s="325">
        <f>SUM(B21:AC21)</f>
      </c>
      <c r="AE21" s="303"/>
      <c r="AF21" s="304"/>
      <c r="AG21" s="136"/>
      <c r="AH21" s="153"/>
      <c r="AI21" s="153"/>
      <c r="AJ21" s="154">
        <v>0.5</v>
      </c>
      <c r="AK21" s="154">
        <v>0.5</v>
      </c>
      <c r="AL21" s="154">
        <v>0.5</v>
      </c>
      <c r="AM21" s="212">
        <v>0.5</v>
      </c>
      <c r="AN21" s="213">
        <v>0.5</v>
      </c>
      <c r="AO21" s="155"/>
      <c r="AP21" s="137"/>
      <c r="AQ21" s="138">
        <v>0.5</v>
      </c>
      <c r="AR21" s="149">
        <v>0.5</v>
      </c>
      <c r="AS21" s="298">
        <v>0.5</v>
      </c>
      <c r="AT21" s="212">
        <v>0.5</v>
      </c>
      <c r="AU21" s="154">
        <v>0.5</v>
      </c>
      <c r="AV21" s="154">
        <v>0.5</v>
      </c>
      <c r="AW21" s="154">
        <v>0.5</v>
      </c>
      <c r="AX21" s="154">
        <v>0.5</v>
      </c>
      <c r="AY21" s="15">
        <v>0.5</v>
      </c>
      <c r="AZ21" s="154">
        <v>0.5</v>
      </c>
      <c r="BA21" s="154">
        <v>0.5</v>
      </c>
      <c r="BB21" s="153"/>
      <c r="BC21" s="153"/>
      <c r="BD21" s="153"/>
      <c r="BE21" s="304"/>
      <c r="BF21" s="152"/>
      <c r="BG21" s="325">
        <f>SUM(AE21:BF21)</f>
      </c>
      <c r="BH21" s="303"/>
      <c r="BI21" s="304"/>
      <c r="BJ21" s="136"/>
      <c r="BK21" s="153"/>
      <c r="BL21" s="153"/>
      <c r="BM21" s="154">
        <v>0.5</v>
      </c>
      <c r="BN21" s="154">
        <v>0.5</v>
      </c>
      <c r="BO21" s="154">
        <v>0.5</v>
      </c>
      <c r="BP21" s="212">
        <v>0.5</v>
      </c>
      <c r="BQ21" s="213">
        <v>0.5</v>
      </c>
      <c r="BR21" s="155"/>
      <c r="BS21" s="137"/>
      <c r="BT21" s="138">
        <v>0.5</v>
      </c>
      <c r="BU21" s="149">
        <v>0.5</v>
      </c>
      <c r="BV21" s="298">
        <v>0.5</v>
      </c>
      <c r="BW21" s="212">
        <v>0.5</v>
      </c>
      <c r="BX21" s="154">
        <v>0.5</v>
      </c>
      <c r="BY21" s="154">
        <v>0.5</v>
      </c>
      <c r="BZ21" s="154">
        <v>0.5</v>
      </c>
      <c r="CA21" s="154">
        <v>0.5</v>
      </c>
      <c r="CB21" s="15">
        <v>0.5</v>
      </c>
      <c r="CC21" s="154">
        <v>0.5</v>
      </c>
      <c r="CD21" s="154">
        <v>0.5</v>
      </c>
      <c r="CE21" s="153"/>
      <c r="CF21" s="153"/>
      <c r="CG21" s="153"/>
      <c r="CH21" s="304"/>
      <c r="CI21" s="152"/>
      <c r="CJ21" s="325">
        <f>SUM(BH21:CI21)</f>
      </c>
      <c r="CK21" s="303"/>
      <c r="CL21" s="304"/>
      <c r="CM21" s="136"/>
      <c r="CN21" s="153"/>
      <c r="CO21" s="153"/>
      <c r="CP21" s="154">
        <v>0.5</v>
      </c>
      <c r="CQ21" s="154">
        <v>0.5</v>
      </c>
      <c r="CR21" s="154">
        <v>0.5</v>
      </c>
      <c r="CS21" s="212">
        <v>0.5</v>
      </c>
      <c r="CT21" s="213">
        <v>0.5</v>
      </c>
      <c r="CU21" s="155"/>
      <c r="CV21" s="137"/>
      <c r="CW21" s="138">
        <v>0.5</v>
      </c>
      <c r="CX21" s="149">
        <v>0.5</v>
      </c>
      <c r="CY21" s="298">
        <v>0.5</v>
      </c>
      <c r="CZ21" s="212">
        <v>0.5</v>
      </c>
      <c r="DA21" s="154">
        <v>0.5</v>
      </c>
      <c r="DB21" s="154">
        <v>0.5</v>
      </c>
      <c r="DC21" s="154">
        <v>0.5</v>
      </c>
      <c r="DD21" s="154">
        <v>0.5</v>
      </c>
      <c r="DE21" s="154">
        <v>0.5</v>
      </c>
      <c r="DF21" s="154">
        <v>0.5</v>
      </c>
      <c r="DG21" s="154">
        <v>0.5</v>
      </c>
      <c r="DH21" s="153"/>
      <c r="DI21" s="153"/>
      <c r="DJ21" s="153"/>
      <c r="DK21" s="304"/>
      <c r="DL21" s="152"/>
      <c r="DM21" s="325">
        <f>SUM(CK21:DL21)</f>
      </c>
      <c r="DN21" s="303"/>
      <c r="DO21" s="304"/>
      <c r="DP21" s="706"/>
      <c r="DQ21" s="332"/>
      <c r="DR21" s="332"/>
      <c r="DS21" s="702">
        <v>0.5</v>
      </c>
      <c r="DT21" s="702">
        <v>0.5</v>
      </c>
      <c r="DU21" s="702">
        <v>0.5</v>
      </c>
      <c r="DV21" s="328">
        <v>0.5</v>
      </c>
      <c r="DW21" s="327">
        <v>0.5</v>
      </c>
      <c r="DX21" s="336"/>
      <c r="DY21" s="337"/>
      <c r="DZ21" s="328">
        <v>0.5</v>
      </c>
      <c r="EA21" s="330">
        <v>0.5</v>
      </c>
      <c r="EB21" s="327">
        <v>0.5</v>
      </c>
      <c r="EC21" s="327">
        <v>0.5</v>
      </c>
      <c r="ED21" s="702">
        <v>0.5</v>
      </c>
      <c r="EE21" s="702">
        <v>0.5</v>
      </c>
      <c r="EF21" s="702">
        <v>0.5</v>
      </c>
      <c r="EG21" s="702">
        <v>0.5</v>
      </c>
      <c r="EH21" s="702">
        <v>0.5</v>
      </c>
      <c r="EI21" s="702">
        <v>0.5</v>
      </c>
      <c r="EJ21" s="702">
        <v>0.5</v>
      </c>
      <c r="EK21" s="332"/>
      <c r="EL21" s="332"/>
      <c r="EM21" s="332"/>
      <c r="EN21" s="304"/>
      <c r="EO21" s="152"/>
      <c r="EP21" s="325">
        <f>SUM(DN21:EO21)</f>
      </c>
      <c r="EQ21" s="4"/>
      <c r="ER21" s="698">
        <f>EP21+DM21+CJ21+BG21+AD21</f>
      </c>
      <c r="ES21" s="4"/>
      <c r="ET21" s="4"/>
      <c r="EU21" s="4"/>
    </row>
    <row r="22" ht="16.5" customHeight="1" spans="1:151" x14ac:dyDescent="0.25">
      <c r="A22" s="699" t="s">
        <v>207</v>
      </c>
      <c r="B22" s="303"/>
      <c r="C22" s="304"/>
      <c r="D22" s="136"/>
      <c r="E22" s="153"/>
      <c r="F22" s="153"/>
      <c r="G22" s="154">
        <v>0.5</v>
      </c>
      <c r="H22" s="154">
        <v>0.5</v>
      </c>
      <c r="I22" s="154">
        <v>0.5</v>
      </c>
      <c r="J22" s="212">
        <v>0.5</v>
      </c>
      <c r="K22" s="213">
        <v>0.5</v>
      </c>
      <c r="L22" s="140">
        <v>0.5</v>
      </c>
      <c r="M22" s="138">
        <v>0.5</v>
      </c>
      <c r="N22" s="137"/>
      <c r="O22" s="141"/>
      <c r="P22" s="298">
        <v>0.5</v>
      </c>
      <c r="Q22" s="212">
        <v>0.5</v>
      </c>
      <c r="R22" s="154">
        <v>0.5</v>
      </c>
      <c r="S22" s="154">
        <v>0.5</v>
      </c>
      <c r="T22" s="154">
        <v>0.5</v>
      </c>
      <c r="U22" s="154">
        <v>0.5</v>
      </c>
      <c r="V22" s="15">
        <v>0.5</v>
      </c>
      <c r="W22" s="154">
        <v>0.5</v>
      </c>
      <c r="X22" s="154">
        <v>0.5</v>
      </c>
      <c r="Y22" s="153"/>
      <c r="Z22" s="153"/>
      <c r="AA22" s="146"/>
      <c r="AB22" s="304"/>
      <c r="AC22" s="152"/>
      <c r="AD22" s="325">
        <f>SUM(B22:AC22)</f>
      </c>
      <c r="AE22" s="303"/>
      <c r="AF22" s="304"/>
      <c r="AG22" s="136"/>
      <c r="AH22" s="153"/>
      <c r="AI22" s="153"/>
      <c r="AJ22" s="154">
        <v>0.5</v>
      </c>
      <c r="AK22" s="154">
        <v>0.5</v>
      </c>
      <c r="AL22" s="154">
        <v>0.5</v>
      </c>
      <c r="AM22" s="212">
        <v>0.5</v>
      </c>
      <c r="AN22" s="213">
        <v>0.5</v>
      </c>
      <c r="AO22" s="140">
        <v>0.5</v>
      </c>
      <c r="AP22" s="138">
        <v>0.5</v>
      </c>
      <c r="AQ22" s="137"/>
      <c r="AR22" s="141"/>
      <c r="AS22" s="298">
        <v>0.5</v>
      </c>
      <c r="AT22" s="212">
        <v>0.5</v>
      </c>
      <c r="AU22" s="154">
        <v>0.5</v>
      </c>
      <c r="AV22" s="154">
        <v>0.5</v>
      </c>
      <c r="AW22" s="154">
        <v>0.5</v>
      </c>
      <c r="AX22" s="154">
        <v>0.5</v>
      </c>
      <c r="AY22" s="15">
        <v>0.5</v>
      </c>
      <c r="AZ22" s="154">
        <v>0.5</v>
      </c>
      <c r="BA22" s="154">
        <v>0.5</v>
      </c>
      <c r="BB22" s="153"/>
      <c r="BC22" s="153"/>
      <c r="BD22" s="153"/>
      <c r="BE22" s="304"/>
      <c r="BF22" s="152"/>
      <c r="BG22" s="325">
        <f>SUM(AE22:BF22)</f>
      </c>
      <c r="BH22" s="303"/>
      <c r="BI22" s="304"/>
      <c r="BJ22" s="136"/>
      <c r="BK22" s="153"/>
      <c r="BL22" s="153"/>
      <c r="BM22" s="154">
        <v>0.5</v>
      </c>
      <c r="BN22" s="154">
        <v>0.5</v>
      </c>
      <c r="BO22" s="154">
        <v>0.5</v>
      </c>
      <c r="BP22" s="212">
        <v>0.5</v>
      </c>
      <c r="BQ22" s="213">
        <v>0.5</v>
      </c>
      <c r="BR22" s="140">
        <v>0.5</v>
      </c>
      <c r="BS22" s="138">
        <v>0.5</v>
      </c>
      <c r="BT22" s="137"/>
      <c r="BU22" s="141"/>
      <c r="BV22" s="298">
        <v>0.5</v>
      </c>
      <c r="BW22" s="212">
        <v>0.5</v>
      </c>
      <c r="BX22" s="154">
        <v>0.5</v>
      </c>
      <c r="BY22" s="154">
        <v>0.5</v>
      </c>
      <c r="BZ22" s="154">
        <v>0.5</v>
      </c>
      <c r="CA22" s="154">
        <v>0.5</v>
      </c>
      <c r="CB22" s="15">
        <v>0.5</v>
      </c>
      <c r="CC22" s="154">
        <v>0.5</v>
      </c>
      <c r="CD22" s="154">
        <v>0.5</v>
      </c>
      <c r="CE22" s="153"/>
      <c r="CF22" s="153"/>
      <c r="CG22" s="153"/>
      <c r="CH22" s="304"/>
      <c r="CI22" s="152"/>
      <c r="CJ22" s="325">
        <f>SUM(BH22:CI22)</f>
      </c>
      <c r="CK22" s="303"/>
      <c r="CL22" s="304"/>
      <c r="CM22" s="136"/>
      <c r="CN22" s="153"/>
      <c r="CO22" s="153"/>
      <c r="CP22" s="154">
        <v>0.5</v>
      </c>
      <c r="CQ22" s="154">
        <v>0.5</v>
      </c>
      <c r="CR22" s="154">
        <v>0.5</v>
      </c>
      <c r="CS22" s="212">
        <v>0.5</v>
      </c>
      <c r="CT22" s="213">
        <v>0.5</v>
      </c>
      <c r="CU22" s="140">
        <v>0.5</v>
      </c>
      <c r="CV22" s="138">
        <v>0.5</v>
      </c>
      <c r="CW22" s="137"/>
      <c r="CX22" s="141"/>
      <c r="CY22" s="298">
        <v>0.5</v>
      </c>
      <c r="CZ22" s="212">
        <v>0.5</v>
      </c>
      <c r="DA22" s="154">
        <v>0.5</v>
      </c>
      <c r="DB22" s="154">
        <v>0.5</v>
      </c>
      <c r="DC22" s="154">
        <v>0.5</v>
      </c>
      <c r="DD22" s="154">
        <v>0.5</v>
      </c>
      <c r="DE22" s="154">
        <v>0.5</v>
      </c>
      <c r="DF22" s="154">
        <v>0.5</v>
      </c>
      <c r="DG22" s="154">
        <v>0.5</v>
      </c>
      <c r="DH22" s="153"/>
      <c r="DI22" s="153"/>
      <c r="DJ22" s="153"/>
      <c r="DK22" s="304"/>
      <c r="DL22" s="152"/>
      <c r="DM22" s="325">
        <f>SUM(CK22:DL22)</f>
      </c>
      <c r="DN22" s="303"/>
      <c r="DO22" s="304"/>
      <c r="DP22" s="706"/>
      <c r="DQ22" s="332"/>
      <c r="DR22" s="332"/>
      <c r="DS22" s="702">
        <v>0.5</v>
      </c>
      <c r="DT22" s="702">
        <v>0.5</v>
      </c>
      <c r="DU22" s="702">
        <v>0.5</v>
      </c>
      <c r="DV22" s="328">
        <v>0.5</v>
      </c>
      <c r="DW22" s="327">
        <v>0.5</v>
      </c>
      <c r="DX22" s="329">
        <v>0.5</v>
      </c>
      <c r="DY22" s="328">
        <v>0.5</v>
      </c>
      <c r="DZ22" s="337"/>
      <c r="EA22" s="707"/>
      <c r="EB22" s="327">
        <v>0.5</v>
      </c>
      <c r="EC22" s="327">
        <v>0.5</v>
      </c>
      <c r="ED22" s="702">
        <v>0.5</v>
      </c>
      <c r="EE22" s="702">
        <v>0.5</v>
      </c>
      <c r="EF22" s="702">
        <v>0.5</v>
      </c>
      <c r="EG22" s="702">
        <v>0.5</v>
      </c>
      <c r="EH22" s="702">
        <v>0.5</v>
      </c>
      <c r="EI22" s="702">
        <v>0.5</v>
      </c>
      <c r="EJ22" s="702">
        <v>0.5</v>
      </c>
      <c r="EK22" s="332"/>
      <c r="EL22" s="332"/>
      <c r="EM22" s="332"/>
      <c r="EN22" s="304"/>
      <c r="EO22" s="152"/>
      <c r="EP22" s="325">
        <f>SUM(DN22:EO22)</f>
      </c>
      <c r="EQ22" s="4"/>
      <c r="ER22" s="698">
        <f>EP22+DM22+CJ22+BG22+AD22</f>
      </c>
      <c r="ES22" s="4"/>
      <c r="ET22" s="4"/>
      <c r="EU22" s="4"/>
    </row>
    <row r="23" ht="16.5" customHeight="1" spans="1:151" x14ac:dyDescent="0.25">
      <c r="A23" s="699" t="s">
        <v>208</v>
      </c>
      <c r="B23" s="303"/>
      <c r="C23" s="304"/>
      <c r="D23" s="136"/>
      <c r="E23" s="153"/>
      <c r="F23" s="153"/>
      <c r="G23" s="154">
        <v>0.5</v>
      </c>
      <c r="H23" s="154">
        <v>0.5</v>
      </c>
      <c r="I23" s="154">
        <v>0.5</v>
      </c>
      <c r="J23" s="212">
        <v>0.5</v>
      </c>
      <c r="K23" s="213">
        <v>0.5</v>
      </c>
      <c r="L23" s="140">
        <v>0.5</v>
      </c>
      <c r="M23" s="138">
        <v>0.5</v>
      </c>
      <c r="N23" s="138">
        <v>0.5</v>
      </c>
      <c r="O23" s="149">
        <v>0.5</v>
      </c>
      <c r="P23" s="295"/>
      <c r="Q23" s="207"/>
      <c r="R23" s="154">
        <v>0.5</v>
      </c>
      <c r="S23" s="154">
        <v>0.5</v>
      </c>
      <c r="T23" s="154">
        <v>0.5</v>
      </c>
      <c r="U23" s="154">
        <v>0.5</v>
      </c>
      <c r="V23" s="15">
        <v>0.5</v>
      </c>
      <c r="W23" s="154">
        <v>0.5</v>
      </c>
      <c r="X23" s="154">
        <v>0.5</v>
      </c>
      <c r="Y23" s="153"/>
      <c r="Z23" s="153"/>
      <c r="AA23" s="146"/>
      <c r="AB23" s="304"/>
      <c r="AC23" s="152"/>
      <c r="AD23" s="325">
        <f>SUM(B23:AC23)</f>
      </c>
      <c r="AE23" s="303"/>
      <c r="AF23" s="304"/>
      <c r="AG23" s="136"/>
      <c r="AH23" s="153"/>
      <c r="AI23" s="153"/>
      <c r="AJ23" s="154">
        <v>0.5</v>
      </c>
      <c r="AK23" s="154">
        <v>0.5</v>
      </c>
      <c r="AL23" s="154">
        <v>0.5</v>
      </c>
      <c r="AM23" s="212">
        <v>0.5</v>
      </c>
      <c r="AN23" s="213">
        <v>0.5</v>
      </c>
      <c r="AO23" s="140">
        <v>0.5</v>
      </c>
      <c r="AP23" s="138">
        <v>0.5</v>
      </c>
      <c r="AQ23" s="138">
        <v>0.5</v>
      </c>
      <c r="AR23" s="149">
        <v>0.5</v>
      </c>
      <c r="AS23" s="295"/>
      <c r="AT23" s="207"/>
      <c r="AU23" s="154">
        <v>0.5</v>
      </c>
      <c r="AV23" s="154">
        <v>0.5</v>
      </c>
      <c r="AW23" s="154">
        <v>0.5</v>
      </c>
      <c r="AX23" s="154">
        <v>0.5</v>
      </c>
      <c r="AY23" s="15">
        <v>0.5</v>
      </c>
      <c r="AZ23" s="154">
        <v>0.5</v>
      </c>
      <c r="BA23" s="154">
        <v>0.5</v>
      </c>
      <c r="BB23" s="153"/>
      <c r="BC23" s="153"/>
      <c r="BD23" s="153"/>
      <c r="BE23" s="304"/>
      <c r="BF23" s="152"/>
      <c r="BG23" s="325">
        <f>SUM(AE23:BF23)</f>
      </c>
      <c r="BH23" s="303"/>
      <c r="BI23" s="304"/>
      <c r="BJ23" s="136"/>
      <c r="BK23" s="153"/>
      <c r="BL23" s="153"/>
      <c r="BM23" s="154">
        <v>0.5</v>
      </c>
      <c r="BN23" s="154">
        <v>0.5</v>
      </c>
      <c r="BO23" s="154">
        <v>0.5</v>
      </c>
      <c r="BP23" s="212">
        <v>0.5</v>
      </c>
      <c r="BQ23" s="213">
        <v>0.5</v>
      </c>
      <c r="BR23" s="140">
        <v>0.5</v>
      </c>
      <c r="BS23" s="138">
        <v>0.5</v>
      </c>
      <c r="BT23" s="138">
        <v>0.5</v>
      </c>
      <c r="BU23" s="149">
        <v>0.5</v>
      </c>
      <c r="BV23" s="295"/>
      <c r="BW23" s="207"/>
      <c r="BX23" s="154">
        <v>0.5</v>
      </c>
      <c r="BY23" s="154">
        <v>0.5</v>
      </c>
      <c r="BZ23" s="154">
        <v>0.5</v>
      </c>
      <c r="CA23" s="154">
        <v>0.5</v>
      </c>
      <c r="CB23" s="15">
        <v>0.5</v>
      </c>
      <c r="CC23" s="154">
        <v>0.5</v>
      </c>
      <c r="CD23" s="154">
        <v>0.5</v>
      </c>
      <c r="CE23" s="153"/>
      <c r="CF23" s="153"/>
      <c r="CG23" s="153"/>
      <c r="CH23" s="304"/>
      <c r="CI23" s="152"/>
      <c r="CJ23" s="325">
        <f>SUM(BH23:CI23)</f>
      </c>
      <c r="CK23" s="303"/>
      <c r="CL23" s="304"/>
      <c r="CM23" s="136"/>
      <c r="CN23" s="153"/>
      <c r="CO23" s="153"/>
      <c r="CP23" s="154">
        <v>0.5</v>
      </c>
      <c r="CQ23" s="154">
        <v>0.5</v>
      </c>
      <c r="CR23" s="154">
        <v>0.5</v>
      </c>
      <c r="CS23" s="212">
        <v>0.5</v>
      </c>
      <c r="CT23" s="213">
        <v>0.5</v>
      </c>
      <c r="CU23" s="140">
        <v>0.5</v>
      </c>
      <c r="CV23" s="138">
        <v>0.5</v>
      </c>
      <c r="CW23" s="138">
        <v>0.5</v>
      </c>
      <c r="CX23" s="149">
        <v>0.5</v>
      </c>
      <c r="CY23" s="295"/>
      <c r="CZ23" s="207"/>
      <c r="DA23" s="154">
        <v>0.5</v>
      </c>
      <c r="DB23" s="154">
        <v>0.5</v>
      </c>
      <c r="DC23" s="154">
        <v>0.5</v>
      </c>
      <c r="DD23" s="154">
        <v>0.5</v>
      </c>
      <c r="DE23" s="154">
        <v>0.5</v>
      </c>
      <c r="DF23" s="154">
        <v>0.5</v>
      </c>
      <c r="DG23" s="154">
        <v>0.5</v>
      </c>
      <c r="DH23" s="153"/>
      <c r="DI23" s="153"/>
      <c r="DJ23" s="153"/>
      <c r="DK23" s="304"/>
      <c r="DL23" s="152"/>
      <c r="DM23" s="325">
        <f>SUM(CK23:DL23)</f>
      </c>
      <c r="DN23" s="303"/>
      <c r="DO23" s="304"/>
      <c r="DP23" s="706"/>
      <c r="DQ23" s="332"/>
      <c r="DR23" s="332"/>
      <c r="DS23" s="702">
        <v>0.5</v>
      </c>
      <c r="DT23" s="702">
        <v>0.5</v>
      </c>
      <c r="DU23" s="702">
        <v>0.5</v>
      </c>
      <c r="DV23" s="328">
        <v>0.5</v>
      </c>
      <c r="DW23" s="327">
        <v>0.5</v>
      </c>
      <c r="DX23" s="329">
        <v>0.5</v>
      </c>
      <c r="DY23" s="328">
        <v>0.5</v>
      </c>
      <c r="DZ23" s="328">
        <v>0.5</v>
      </c>
      <c r="EA23" s="330">
        <v>0.5</v>
      </c>
      <c r="EB23" s="332"/>
      <c r="EC23" s="332"/>
      <c r="ED23" s="702">
        <v>0.5</v>
      </c>
      <c r="EE23" s="702">
        <v>0.5</v>
      </c>
      <c r="EF23" s="702">
        <v>0.5</v>
      </c>
      <c r="EG23" s="702">
        <v>0.5</v>
      </c>
      <c r="EH23" s="702">
        <v>0.5</v>
      </c>
      <c r="EI23" s="702">
        <v>0.5</v>
      </c>
      <c r="EJ23" s="702">
        <v>0.5</v>
      </c>
      <c r="EK23" s="332"/>
      <c r="EL23" s="332"/>
      <c r="EM23" s="332"/>
      <c r="EN23" s="304"/>
      <c r="EO23" s="152"/>
      <c r="EP23" s="325">
        <f>SUM(DN23:EO23)</f>
      </c>
      <c r="EQ23" s="4"/>
      <c r="ER23" s="698">
        <f>EP23+DM23+CJ23+BG23+AD23</f>
      </c>
      <c r="ES23" s="4"/>
      <c r="ET23" s="4"/>
      <c r="EU23" s="4"/>
    </row>
    <row r="24" ht="16.5" customHeight="1" spans="1:151" x14ac:dyDescent="0.25">
      <c r="A24" s="699" t="s">
        <v>209</v>
      </c>
      <c r="B24" s="303"/>
      <c r="C24" s="304"/>
      <c r="D24" s="136"/>
      <c r="E24" s="153"/>
      <c r="F24" s="153"/>
      <c r="G24" s="153"/>
      <c r="H24" s="154">
        <v>0.5</v>
      </c>
      <c r="I24" s="154">
        <v>0.5</v>
      </c>
      <c r="J24" s="212">
        <v>0.5</v>
      </c>
      <c r="K24" s="213">
        <v>0.5</v>
      </c>
      <c r="L24" s="140">
        <v>0.5</v>
      </c>
      <c r="M24" s="138">
        <v>0.5</v>
      </c>
      <c r="N24" s="137"/>
      <c r="O24" s="141"/>
      <c r="P24" s="298">
        <v>0.5</v>
      </c>
      <c r="Q24" s="212">
        <v>0.5</v>
      </c>
      <c r="R24" s="154">
        <v>0.5</v>
      </c>
      <c r="S24" s="154">
        <v>0.5</v>
      </c>
      <c r="T24" s="154">
        <v>0.5</v>
      </c>
      <c r="U24" s="154">
        <v>0.5</v>
      </c>
      <c r="V24" s="15">
        <v>0.5</v>
      </c>
      <c r="W24" s="154">
        <v>0.5</v>
      </c>
      <c r="X24" s="154">
        <v>0.5</v>
      </c>
      <c r="Y24" s="154">
        <v>0.5</v>
      </c>
      <c r="Z24" s="153"/>
      <c r="AA24" s="146"/>
      <c r="AB24" s="304"/>
      <c r="AC24" s="152"/>
      <c r="AD24" s="325">
        <f>SUM(B24:AC24)</f>
      </c>
      <c r="AE24" s="303"/>
      <c r="AF24" s="304"/>
      <c r="AG24" s="136"/>
      <c r="AH24" s="153"/>
      <c r="AI24" s="153"/>
      <c r="AJ24" s="153"/>
      <c r="AK24" s="154">
        <v>0.5</v>
      </c>
      <c r="AL24" s="154">
        <v>0.5</v>
      </c>
      <c r="AM24" s="212">
        <v>0.5</v>
      </c>
      <c r="AN24" s="213">
        <v>0.5</v>
      </c>
      <c r="AO24" s="140">
        <v>0.5</v>
      </c>
      <c r="AP24" s="138">
        <v>0.5</v>
      </c>
      <c r="AQ24" s="137"/>
      <c r="AR24" s="141"/>
      <c r="AS24" s="298">
        <v>0.5</v>
      </c>
      <c r="AT24" s="212">
        <v>0.5</v>
      </c>
      <c r="AU24" s="154">
        <v>0.5</v>
      </c>
      <c r="AV24" s="154">
        <v>0.5</v>
      </c>
      <c r="AW24" s="154">
        <v>0.5</v>
      </c>
      <c r="AX24" s="154">
        <v>0.5</v>
      </c>
      <c r="AY24" s="15">
        <v>0.5</v>
      </c>
      <c r="AZ24" s="154">
        <v>0.5</v>
      </c>
      <c r="BA24" s="154">
        <v>0.5</v>
      </c>
      <c r="BB24" s="154">
        <v>0.5</v>
      </c>
      <c r="BC24" s="153"/>
      <c r="BD24" s="153"/>
      <c r="BE24" s="304"/>
      <c r="BF24" s="152"/>
      <c r="BG24" s="325">
        <f>SUM(AE24:BF24)</f>
      </c>
      <c r="BH24" s="303"/>
      <c r="BI24" s="304"/>
      <c r="BJ24" s="136"/>
      <c r="BK24" s="153"/>
      <c r="BL24" s="153"/>
      <c r="BM24" s="153"/>
      <c r="BN24" s="154">
        <v>0.5</v>
      </c>
      <c r="BO24" s="154">
        <v>0.5</v>
      </c>
      <c r="BP24" s="212">
        <v>0.5</v>
      </c>
      <c r="BQ24" s="213">
        <v>0.5</v>
      </c>
      <c r="BR24" s="140">
        <v>0.5</v>
      </c>
      <c r="BS24" s="138">
        <v>0.5</v>
      </c>
      <c r="BT24" s="137"/>
      <c r="BU24" s="141"/>
      <c r="BV24" s="298">
        <v>0.5</v>
      </c>
      <c r="BW24" s="212">
        <v>0.5</v>
      </c>
      <c r="BX24" s="154">
        <v>0.5</v>
      </c>
      <c r="BY24" s="154">
        <v>0.5</v>
      </c>
      <c r="BZ24" s="154">
        <v>0.5</v>
      </c>
      <c r="CA24" s="154">
        <v>0.5</v>
      </c>
      <c r="CB24" s="15">
        <v>0.5</v>
      </c>
      <c r="CC24" s="154">
        <v>0.5</v>
      </c>
      <c r="CD24" s="154">
        <v>0.5</v>
      </c>
      <c r="CE24" s="154">
        <v>0.5</v>
      </c>
      <c r="CF24" s="153"/>
      <c r="CG24" s="153"/>
      <c r="CH24" s="304"/>
      <c r="CI24" s="152"/>
      <c r="CJ24" s="325">
        <f>SUM(BH24:CI24)</f>
      </c>
      <c r="CK24" s="303"/>
      <c r="CL24" s="304"/>
      <c r="CM24" s="136"/>
      <c r="CN24" s="153"/>
      <c r="CO24" s="153"/>
      <c r="CP24" s="153"/>
      <c r="CQ24" s="154">
        <v>0.5</v>
      </c>
      <c r="CR24" s="154">
        <v>0.5</v>
      </c>
      <c r="CS24" s="212">
        <v>0.5</v>
      </c>
      <c r="CT24" s="213">
        <v>0.5</v>
      </c>
      <c r="CU24" s="140">
        <v>0.5</v>
      </c>
      <c r="CV24" s="138">
        <v>0.5</v>
      </c>
      <c r="CW24" s="137"/>
      <c r="CX24" s="141"/>
      <c r="CY24" s="298">
        <v>0.5</v>
      </c>
      <c r="CZ24" s="212">
        <v>0.5</v>
      </c>
      <c r="DA24" s="154">
        <v>0.5</v>
      </c>
      <c r="DB24" s="154">
        <v>0.5</v>
      </c>
      <c r="DC24" s="154">
        <v>0.5</v>
      </c>
      <c r="DD24" s="154">
        <v>0.5</v>
      </c>
      <c r="DE24" s="154">
        <v>0.5</v>
      </c>
      <c r="DF24" s="154">
        <v>0.5</v>
      </c>
      <c r="DG24" s="154">
        <v>0.5</v>
      </c>
      <c r="DH24" s="154">
        <v>0.5</v>
      </c>
      <c r="DI24" s="153"/>
      <c r="DJ24" s="153"/>
      <c r="DK24" s="304"/>
      <c r="DL24" s="152"/>
      <c r="DM24" s="325">
        <f>SUM(CK24:DL24)</f>
      </c>
      <c r="DN24" s="303"/>
      <c r="DO24" s="304"/>
      <c r="DP24" s="706"/>
      <c r="DQ24" s="332"/>
      <c r="DR24" s="332"/>
      <c r="DS24" s="332"/>
      <c r="DT24" s="702">
        <v>0.5</v>
      </c>
      <c r="DU24" s="702">
        <v>0.5</v>
      </c>
      <c r="DV24" s="328">
        <v>0.5</v>
      </c>
      <c r="DW24" s="327">
        <v>0.5</v>
      </c>
      <c r="DX24" s="329">
        <v>0.5</v>
      </c>
      <c r="DY24" s="328">
        <v>0.5</v>
      </c>
      <c r="DZ24" s="337"/>
      <c r="EA24" s="707"/>
      <c r="EB24" s="327">
        <v>0.5</v>
      </c>
      <c r="EC24" s="327">
        <v>0.5</v>
      </c>
      <c r="ED24" s="702">
        <v>0.5</v>
      </c>
      <c r="EE24" s="702">
        <v>0.5</v>
      </c>
      <c r="EF24" s="702">
        <v>0.5</v>
      </c>
      <c r="EG24" s="702">
        <v>0.5</v>
      </c>
      <c r="EH24" s="702">
        <v>0.5</v>
      </c>
      <c r="EI24" s="702">
        <v>0.5</v>
      </c>
      <c r="EJ24" s="702">
        <v>0.5</v>
      </c>
      <c r="EK24" s="702">
        <v>0.5</v>
      </c>
      <c r="EL24" s="332"/>
      <c r="EM24" s="332"/>
      <c r="EN24" s="304"/>
      <c r="EO24" s="152"/>
      <c r="EP24" s="325">
        <f>SUM(DN24:EO24)</f>
      </c>
      <c r="EQ24" s="4"/>
      <c r="ER24" s="698">
        <f>EP24+DM24+CJ24+BG24+AD24</f>
      </c>
      <c r="ES24" s="4"/>
      <c r="ET24" s="4"/>
      <c r="EU24" s="4"/>
    </row>
    <row r="25" ht="16.5" customHeight="1" spans="1:151" x14ac:dyDescent="0.25">
      <c r="A25" s="699" t="s">
        <v>210</v>
      </c>
      <c r="B25" s="303"/>
      <c r="C25" s="304"/>
      <c r="D25" s="136"/>
      <c r="E25" s="153"/>
      <c r="F25" s="153"/>
      <c r="G25" s="153"/>
      <c r="H25" s="154">
        <v>0.5</v>
      </c>
      <c r="I25" s="154">
        <v>0.5</v>
      </c>
      <c r="J25" s="212">
        <v>0.5</v>
      </c>
      <c r="K25" s="213">
        <v>0.5</v>
      </c>
      <c r="L25" s="140">
        <v>0.5</v>
      </c>
      <c r="M25" s="138">
        <v>0.5</v>
      </c>
      <c r="N25" s="138">
        <v>0.5</v>
      </c>
      <c r="O25" s="149">
        <v>0.5</v>
      </c>
      <c r="P25" s="295"/>
      <c r="Q25" s="207"/>
      <c r="R25" s="154">
        <v>0.5</v>
      </c>
      <c r="S25" s="154">
        <v>0.5</v>
      </c>
      <c r="T25" s="154">
        <v>0.5</v>
      </c>
      <c r="U25" s="154">
        <v>0.5</v>
      </c>
      <c r="V25" s="15">
        <v>0.5</v>
      </c>
      <c r="W25" s="154">
        <v>0.5</v>
      </c>
      <c r="X25" s="154">
        <v>0.5</v>
      </c>
      <c r="Y25" s="154">
        <v>0.5</v>
      </c>
      <c r="Z25" s="153"/>
      <c r="AA25" s="146"/>
      <c r="AB25" s="304"/>
      <c r="AC25" s="152"/>
      <c r="AD25" s="325">
        <f>SUM(B25:AC25)</f>
      </c>
      <c r="AE25" s="303"/>
      <c r="AF25" s="304"/>
      <c r="AG25" s="136"/>
      <c r="AH25" s="153"/>
      <c r="AI25" s="153"/>
      <c r="AJ25" s="153"/>
      <c r="AK25" s="154">
        <v>0.5</v>
      </c>
      <c r="AL25" s="154">
        <v>0.5</v>
      </c>
      <c r="AM25" s="212">
        <v>0.5</v>
      </c>
      <c r="AN25" s="213">
        <v>0.5</v>
      </c>
      <c r="AO25" s="140">
        <v>0.5</v>
      </c>
      <c r="AP25" s="138">
        <v>0.5</v>
      </c>
      <c r="AQ25" s="138">
        <v>0.5</v>
      </c>
      <c r="AR25" s="149">
        <v>0.5</v>
      </c>
      <c r="AS25" s="295"/>
      <c r="AT25" s="207"/>
      <c r="AU25" s="154">
        <v>0.5</v>
      </c>
      <c r="AV25" s="154">
        <v>0.5</v>
      </c>
      <c r="AW25" s="154">
        <v>0.5</v>
      </c>
      <c r="AX25" s="154">
        <v>0.5</v>
      </c>
      <c r="AY25" s="15">
        <v>0.5</v>
      </c>
      <c r="AZ25" s="154">
        <v>0.5</v>
      </c>
      <c r="BA25" s="154">
        <v>0.5</v>
      </c>
      <c r="BB25" s="154">
        <v>0.5</v>
      </c>
      <c r="BC25" s="153"/>
      <c r="BD25" s="153"/>
      <c r="BE25" s="304"/>
      <c r="BF25" s="152"/>
      <c r="BG25" s="325">
        <f>SUM(AE25:BF25)</f>
      </c>
      <c r="BH25" s="303"/>
      <c r="BI25" s="304"/>
      <c r="BJ25" s="136"/>
      <c r="BK25" s="153"/>
      <c r="BL25" s="153"/>
      <c r="BM25" s="153"/>
      <c r="BN25" s="154">
        <v>0.5</v>
      </c>
      <c r="BO25" s="154">
        <v>0.5</v>
      </c>
      <c r="BP25" s="212">
        <v>0.5</v>
      </c>
      <c r="BQ25" s="213">
        <v>0.5</v>
      </c>
      <c r="BR25" s="140">
        <v>0.5</v>
      </c>
      <c r="BS25" s="138">
        <v>0.5</v>
      </c>
      <c r="BT25" s="138">
        <v>0.5</v>
      </c>
      <c r="BU25" s="149">
        <v>0.5</v>
      </c>
      <c r="BV25" s="295"/>
      <c r="BW25" s="207"/>
      <c r="BX25" s="154">
        <v>0.5</v>
      </c>
      <c r="BY25" s="154">
        <v>0.5</v>
      </c>
      <c r="BZ25" s="154">
        <v>0.5</v>
      </c>
      <c r="CA25" s="154">
        <v>0.5</v>
      </c>
      <c r="CB25" s="15">
        <v>0.5</v>
      </c>
      <c r="CC25" s="154">
        <v>0.5</v>
      </c>
      <c r="CD25" s="154">
        <v>0.5</v>
      </c>
      <c r="CE25" s="154">
        <v>0.5</v>
      </c>
      <c r="CF25" s="153"/>
      <c r="CG25" s="153"/>
      <c r="CH25" s="304"/>
      <c r="CI25" s="152"/>
      <c r="CJ25" s="325">
        <f>SUM(BH25:CI25)</f>
      </c>
      <c r="CK25" s="303"/>
      <c r="CL25" s="304"/>
      <c r="CM25" s="136"/>
      <c r="CN25" s="153"/>
      <c r="CO25" s="153"/>
      <c r="CP25" s="153"/>
      <c r="CQ25" s="154">
        <v>0.5</v>
      </c>
      <c r="CR25" s="154">
        <v>0.5</v>
      </c>
      <c r="CS25" s="212">
        <v>0.5</v>
      </c>
      <c r="CT25" s="213">
        <v>0.5</v>
      </c>
      <c r="CU25" s="140">
        <v>0.5</v>
      </c>
      <c r="CV25" s="138">
        <v>0.5</v>
      </c>
      <c r="CW25" s="138">
        <v>0.5</v>
      </c>
      <c r="CX25" s="149">
        <v>0.5</v>
      </c>
      <c r="CY25" s="295"/>
      <c r="CZ25" s="207"/>
      <c r="DA25" s="154">
        <v>0.5</v>
      </c>
      <c r="DB25" s="154">
        <v>0.5</v>
      </c>
      <c r="DC25" s="154">
        <v>0.5</v>
      </c>
      <c r="DD25" s="154">
        <v>0.5</v>
      </c>
      <c r="DE25" s="154">
        <v>0.5</v>
      </c>
      <c r="DF25" s="154">
        <v>0.5</v>
      </c>
      <c r="DG25" s="154">
        <v>0.5</v>
      </c>
      <c r="DH25" s="154">
        <v>0.5</v>
      </c>
      <c r="DI25" s="153"/>
      <c r="DJ25" s="153"/>
      <c r="DK25" s="304"/>
      <c r="DL25" s="152"/>
      <c r="DM25" s="325">
        <f>SUM(CK25:DL25)</f>
      </c>
      <c r="DN25" s="303"/>
      <c r="DO25" s="304"/>
      <c r="DP25" s="706"/>
      <c r="DQ25" s="332"/>
      <c r="DR25" s="332"/>
      <c r="DS25" s="332"/>
      <c r="DT25" s="702">
        <v>0.5</v>
      </c>
      <c r="DU25" s="702">
        <v>0.5</v>
      </c>
      <c r="DV25" s="328">
        <v>0.5</v>
      </c>
      <c r="DW25" s="327">
        <v>0.5</v>
      </c>
      <c r="DX25" s="329">
        <v>0.5</v>
      </c>
      <c r="DY25" s="328">
        <v>0.5</v>
      </c>
      <c r="DZ25" s="328">
        <v>0.5</v>
      </c>
      <c r="EA25" s="330">
        <v>0.5</v>
      </c>
      <c r="EB25" s="332"/>
      <c r="EC25" s="332"/>
      <c r="ED25" s="702">
        <v>0.5</v>
      </c>
      <c r="EE25" s="702">
        <v>0.5</v>
      </c>
      <c r="EF25" s="702">
        <v>0.5</v>
      </c>
      <c r="EG25" s="702">
        <v>0.5</v>
      </c>
      <c r="EH25" s="702">
        <v>0.5</v>
      </c>
      <c r="EI25" s="702">
        <v>0.5</v>
      </c>
      <c r="EJ25" s="702">
        <v>0.5</v>
      </c>
      <c r="EK25" s="702">
        <v>0.5</v>
      </c>
      <c r="EL25" s="332"/>
      <c r="EM25" s="332"/>
      <c r="EN25" s="304"/>
      <c r="EO25" s="152"/>
      <c r="EP25" s="325">
        <f>SUM(DN25:EO25)</f>
      </c>
      <c r="EQ25" s="4"/>
      <c r="ER25" s="698">
        <f>EP25+DM25+CJ25+BG25+AD25</f>
      </c>
      <c r="ES25" s="4"/>
      <c r="ET25" s="4"/>
      <c r="EU25" s="4"/>
    </row>
    <row r="26" ht="16.5" customHeight="1" spans="1:151" x14ac:dyDescent="0.25">
      <c r="A26" s="699" t="s">
        <v>211</v>
      </c>
      <c r="B26" s="303"/>
      <c r="C26" s="304"/>
      <c r="D26" s="136"/>
      <c r="E26" s="153"/>
      <c r="F26" s="153"/>
      <c r="G26" s="153"/>
      <c r="H26" s="153"/>
      <c r="I26" s="153"/>
      <c r="J26" s="212">
        <v>0.5</v>
      </c>
      <c r="K26" s="213">
        <v>0.5</v>
      </c>
      <c r="L26" s="140">
        <v>0.5</v>
      </c>
      <c r="M26" s="138">
        <v>0.5</v>
      </c>
      <c r="N26" s="137"/>
      <c r="O26" s="141"/>
      <c r="P26" s="298">
        <v>0.5</v>
      </c>
      <c r="Q26" s="212">
        <v>0.5</v>
      </c>
      <c r="R26" s="154">
        <v>0.5</v>
      </c>
      <c r="S26" s="154">
        <v>0.5</v>
      </c>
      <c r="T26" s="154">
        <v>0.5</v>
      </c>
      <c r="U26" s="154">
        <v>0.5</v>
      </c>
      <c r="V26" s="15">
        <v>0.5</v>
      </c>
      <c r="W26" s="154">
        <v>0.5</v>
      </c>
      <c r="X26" s="154">
        <v>0.5</v>
      </c>
      <c r="Y26" s="154">
        <v>0.5</v>
      </c>
      <c r="Z26" s="154">
        <v>0.5</v>
      </c>
      <c r="AA26" s="144">
        <v>0.5</v>
      </c>
      <c r="AB26" s="304"/>
      <c r="AC26" s="152"/>
      <c r="AD26" s="325">
        <f>SUM(B26:AC26)</f>
      </c>
      <c r="AE26" s="303"/>
      <c r="AF26" s="304"/>
      <c r="AG26" s="136"/>
      <c r="AH26" s="153"/>
      <c r="AI26" s="153"/>
      <c r="AJ26" s="153"/>
      <c r="AK26" s="153"/>
      <c r="AL26" s="153"/>
      <c r="AM26" s="212">
        <v>0.5</v>
      </c>
      <c r="AN26" s="213">
        <v>0.5</v>
      </c>
      <c r="AO26" s="140">
        <v>0.5</v>
      </c>
      <c r="AP26" s="138">
        <v>0.5</v>
      </c>
      <c r="AQ26" s="137"/>
      <c r="AR26" s="141"/>
      <c r="AS26" s="298">
        <v>0.5</v>
      </c>
      <c r="AT26" s="212">
        <v>0.5</v>
      </c>
      <c r="AU26" s="154">
        <v>0.5</v>
      </c>
      <c r="AV26" s="154">
        <v>0.5</v>
      </c>
      <c r="AW26" s="154">
        <v>0.5</v>
      </c>
      <c r="AX26" s="154">
        <v>0.5</v>
      </c>
      <c r="AY26" s="15">
        <v>0.5</v>
      </c>
      <c r="AZ26" s="154">
        <v>0.5</v>
      </c>
      <c r="BA26" s="154">
        <v>0.5</v>
      </c>
      <c r="BB26" s="154">
        <v>0.5</v>
      </c>
      <c r="BC26" s="154">
        <v>0.5</v>
      </c>
      <c r="BD26" s="154">
        <v>0.5</v>
      </c>
      <c r="BE26" s="304"/>
      <c r="BF26" s="152"/>
      <c r="BG26" s="325">
        <f>SUM(AE26:BF26)</f>
      </c>
      <c r="BH26" s="303"/>
      <c r="BI26" s="304"/>
      <c r="BJ26" s="136"/>
      <c r="BK26" s="153"/>
      <c r="BL26" s="153"/>
      <c r="BM26" s="153"/>
      <c r="BN26" s="153"/>
      <c r="BO26" s="153"/>
      <c r="BP26" s="212">
        <v>0.5</v>
      </c>
      <c r="BQ26" s="213">
        <v>0.5</v>
      </c>
      <c r="BR26" s="140">
        <v>0.5</v>
      </c>
      <c r="BS26" s="138">
        <v>0.5</v>
      </c>
      <c r="BT26" s="137"/>
      <c r="BU26" s="141"/>
      <c r="BV26" s="298">
        <v>0.5</v>
      </c>
      <c r="BW26" s="212">
        <v>0.5</v>
      </c>
      <c r="BX26" s="154">
        <v>0.5</v>
      </c>
      <c r="BY26" s="154">
        <v>0.5</v>
      </c>
      <c r="BZ26" s="154">
        <v>0.5</v>
      </c>
      <c r="CA26" s="154">
        <v>0.5</v>
      </c>
      <c r="CB26" s="15">
        <v>0.5</v>
      </c>
      <c r="CC26" s="154">
        <v>0.5</v>
      </c>
      <c r="CD26" s="154">
        <v>0.5</v>
      </c>
      <c r="CE26" s="154">
        <v>0.5</v>
      </c>
      <c r="CF26" s="154">
        <v>0.5</v>
      </c>
      <c r="CG26" s="154">
        <v>0.5</v>
      </c>
      <c r="CH26" s="304"/>
      <c r="CI26" s="152"/>
      <c r="CJ26" s="325">
        <f>SUM(BH26:CI26)</f>
      </c>
      <c r="CK26" s="303"/>
      <c r="CL26" s="304"/>
      <c r="CM26" s="136"/>
      <c r="CN26" s="153"/>
      <c r="CO26" s="153"/>
      <c r="CP26" s="153"/>
      <c r="CQ26" s="153"/>
      <c r="CR26" s="153"/>
      <c r="CS26" s="212">
        <v>0.5</v>
      </c>
      <c r="CT26" s="213">
        <v>0.5</v>
      </c>
      <c r="CU26" s="140">
        <v>0.5</v>
      </c>
      <c r="CV26" s="138">
        <v>0.5</v>
      </c>
      <c r="CW26" s="137"/>
      <c r="CX26" s="141"/>
      <c r="CY26" s="298">
        <v>0.5</v>
      </c>
      <c r="CZ26" s="212">
        <v>0.5</v>
      </c>
      <c r="DA26" s="154">
        <v>0.5</v>
      </c>
      <c r="DB26" s="154">
        <v>0.5</v>
      </c>
      <c r="DC26" s="154">
        <v>0.5</v>
      </c>
      <c r="DD26" s="154">
        <v>0.5</v>
      </c>
      <c r="DE26" s="154">
        <v>0.5</v>
      </c>
      <c r="DF26" s="154">
        <v>0.5</v>
      </c>
      <c r="DG26" s="154">
        <v>0.5</v>
      </c>
      <c r="DH26" s="154">
        <v>0.5</v>
      </c>
      <c r="DI26" s="154">
        <v>0.5</v>
      </c>
      <c r="DJ26" s="154">
        <v>0.5</v>
      </c>
      <c r="DK26" s="304"/>
      <c r="DL26" s="152"/>
      <c r="DM26" s="325">
        <f>SUM(CK26:DL26)</f>
      </c>
      <c r="DN26" s="303"/>
      <c r="DO26" s="304"/>
      <c r="DP26" s="706"/>
      <c r="DQ26" s="332"/>
      <c r="DR26" s="332"/>
      <c r="DS26" s="332"/>
      <c r="DT26" s="332"/>
      <c r="DU26" s="332"/>
      <c r="DV26" s="328">
        <v>0.5</v>
      </c>
      <c r="DW26" s="327">
        <v>0.5</v>
      </c>
      <c r="DX26" s="329">
        <v>0.5</v>
      </c>
      <c r="DY26" s="328">
        <v>0.5</v>
      </c>
      <c r="DZ26" s="337"/>
      <c r="EA26" s="707"/>
      <c r="EB26" s="327">
        <v>0.5</v>
      </c>
      <c r="EC26" s="327">
        <v>0.5</v>
      </c>
      <c r="ED26" s="702">
        <v>0.5</v>
      </c>
      <c r="EE26" s="702">
        <v>0.5</v>
      </c>
      <c r="EF26" s="702">
        <v>0.5</v>
      </c>
      <c r="EG26" s="702">
        <v>0.5</v>
      </c>
      <c r="EH26" s="702">
        <v>0.5</v>
      </c>
      <c r="EI26" s="702">
        <v>0.5</v>
      </c>
      <c r="EJ26" s="702">
        <v>0.5</v>
      </c>
      <c r="EK26" s="702">
        <v>0.5</v>
      </c>
      <c r="EL26" s="702">
        <v>0.5</v>
      </c>
      <c r="EM26" s="702">
        <v>0.5</v>
      </c>
      <c r="EN26" s="304"/>
      <c r="EO26" s="152"/>
      <c r="EP26" s="325">
        <f>SUM(DN26:EO26)</f>
      </c>
      <c r="EQ26" s="4"/>
      <c r="ER26" s="698">
        <f>EP26+DM26+CJ26+BG26+AD26</f>
      </c>
      <c r="ES26" s="4"/>
      <c r="ET26" s="4"/>
      <c r="EU26" s="4"/>
    </row>
    <row r="27" ht="16.5" customHeight="1" spans="1:151" x14ac:dyDescent="0.25">
      <c r="A27" s="708" t="s">
        <v>212</v>
      </c>
      <c r="B27" s="348"/>
      <c r="C27" s="349"/>
      <c r="D27" s="350"/>
      <c r="E27" s="251"/>
      <c r="F27" s="251"/>
      <c r="G27" s="251"/>
      <c r="H27" s="251"/>
      <c r="I27" s="251"/>
      <c r="J27" s="709">
        <v>0.5</v>
      </c>
      <c r="K27" s="710">
        <v>0.5</v>
      </c>
      <c r="L27" s="263">
        <v>0.5</v>
      </c>
      <c r="M27" s="261">
        <v>0.5</v>
      </c>
      <c r="N27" s="261">
        <v>0.5</v>
      </c>
      <c r="O27" s="266">
        <v>0.5</v>
      </c>
      <c r="P27" s="648"/>
      <c r="Q27" s="711"/>
      <c r="R27" s="260">
        <v>0.5</v>
      </c>
      <c r="S27" s="260">
        <v>0.5</v>
      </c>
      <c r="T27" s="260">
        <v>0.5</v>
      </c>
      <c r="U27" s="260">
        <v>0.5</v>
      </c>
      <c r="V27" s="712">
        <v>0.5</v>
      </c>
      <c r="W27" s="260">
        <v>0.5</v>
      </c>
      <c r="X27" s="260">
        <v>0.5</v>
      </c>
      <c r="Y27" s="260">
        <v>0.5</v>
      </c>
      <c r="Z27" s="260">
        <v>0.5</v>
      </c>
      <c r="AA27" s="713">
        <v>0.5</v>
      </c>
      <c r="AB27" s="349"/>
      <c r="AC27" s="250"/>
      <c r="AD27" s="244">
        <f>SUM(B27:AC27)</f>
      </c>
      <c r="AE27" s="348"/>
      <c r="AF27" s="349"/>
      <c r="AG27" s="350"/>
      <c r="AH27" s="251"/>
      <c r="AI27" s="251"/>
      <c r="AJ27" s="251"/>
      <c r="AK27" s="251"/>
      <c r="AL27" s="251"/>
      <c r="AM27" s="709">
        <v>0.5</v>
      </c>
      <c r="AN27" s="710">
        <v>0.5</v>
      </c>
      <c r="AO27" s="263">
        <v>0.5</v>
      </c>
      <c r="AP27" s="261">
        <v>0.5</v>
      </c>
      <c r="AQ27" s="261">
        <v>0.5</v>
      </c>
      <c r="AR27" s="266">
        <v>0.5</v>
      </c>
      <c r="AS27" s="648"/>
      <c r="AT27" s="711"/>
      <c r="AU27" s="260">
        <v>0.5</v>
      </c>
      <c r="AV27" s="260">
        <v>0.5</v>
      </c>
      <c r="AW27" s="260">
        <v>0.5</v>
      </c>
      <c r="AX27" s="260">
        <v>0.5</v>
      </c>
      <c r="AY27" s="712">
        <v>0.5</v>
      </c>
      <c r="AZ27" s="260">
        <v>0.5</v>
      </c>
      <c r="BA27" s="260">
        <v>0.5</v>
      </c>
      <c r="BB27" s="260">
        <v>0.5</v>
      </c>
      <c r="BC27" s="260">
        <v>0.5</v>
      </c>
      <c r="BD27" s="260">
        <v>0.5</v>
      </c>
      <c r="BE27" s="349"/>
      <c r="BF27" s="250"/>
      <c r="BG27" s="244">
        <f>SUM(AE27:BF27)</f>
      </c>
      <c r="BH27" s="348"/>
      <c r="BI27" s="349"/>
      <c r="BJ27" s="350"/>
      <c r="BK27" s="251"/>
      <c r="BL27" s="251"/>
      <c r="BM27" s="251"/>
      <c r="BN27" s="251"/>
      <c r="BO27" s="251"/>
      <c r="BP27" s="709">
        <v>0.5</v>
      </c>
      <c r="BQ27" s="710">
        <v>0.5</v>
      </c>
      <c r="BR27" s="263">
        <v>0.5</v>
      </c>
      <c r="BS27" s="261">
        <v>0.5</v>
      </c>
      <c r="BT27" s="261">
        <v>0.5</v>
      </c>
      <c r="BU27" s="266">
        <v>0.5</v>
      </c>
      <c r="BV27" s="648"/>
      <c r="BW27" s="711"/>
      <c r="BX27" s="260">
        <v>0.5</v>
      </c>
      <c r="BY27" s="260">
        <v>0.5</v>
      </c>
      <c r="BZ27" s="260">
        <v>0.5</v>
      </c>
      <c r="CA27" s="260">
        <v>0.5</v>
      </c>
      <c r="CB27" s="712">
        <v>0.5</v>
      </c>
      <c r="CC27" s="260">
        <v>0.5</v>
      </c>
      <c r="CD27" s="260">
        <v>0.5</v>
      </c>
      <c r="CE27" s="260">
        <v>0.5</v>
      </c>
      <c r="CF27" s="260">
        <v>0.5</v>
      </c>
      <c r="CG27" s="260">
        <v>0.5</v>
      </c>
      <c r="CH27" s="349"/>
      <c r="CI27" s="250"/>
      <c r="CJ27" s="244">
        <f>SUM(BH27:CI27)</f>
      </c>
      <c r="CK27" s="348"/>
      <c r="CL27" s="349"/>
      <c r="CM27" s="350"/>
      <c r="CN27" s="251"/>
      <c r="CO27" s="251"/>
      <c r="CP27" s="251"/>
      <c r="CQ27" s="251"/>
      <c r="CR27" s="251"/>
      <c r="CS27" s="709">
        <v>0.5</v>
      </c>
      <c r="CT27" s="710">
        <v>0.5</v>
      </c>
      <c r="CU27" s="263">
        <v>0.5</v>
      </c>
      <c r="CV27" s="261">
        <v>0.5</v>
      </c>
      <c r="CW27" s="261">
        <v>0.5</v>
      </c>
      <c r="CX27" s="266">
        <v>0.5</v>
      </c>
      <c r="CY27" s="648"/>
      <c r="CZ27" s="711"/>
      <c r="DA27" s="260">
        <v>0.5</v>
      </c>
      <c r="DB27" s="260">
        <v>0.5</v>
      </c>
      <c r="DC27" s="260">
        <v>0.5</v>
      </c>
      <c r="DD27" s="260">
        <v>0.5</v>
      </c>
      <c r="DE27" s="260">
        <v>0.5</v>
      </c>
      <c r="DF27" s="260">
        <v>0.5</v>
      </c>
      <c r="DG27" s="260">
        <v>0.5</v>
      </c>
      <c r="DH27" s="260">
        <v>0.5</v>
      </c>
      <c r="DI27" s="260">
        <v>0.5</v>
      </c>
      <c r="DJ27" s="260">
        <v>0.5</v>
      </c>
      <c r="DK27" s="349"/>
      <c r="DL27" s="250"/>
      <c r="DM27" s="244">
        <f>SUM(CK27:DL27)</f>
      </c>
      <c r="DN27" s="348"/>
      <c r="DO27" s="349"/>
      <c r="DP27" s="350"/>
      <c r="DQ27" s="251"/>
      <c r="DR27" s="251"/>
      <c r="DS27" s="251"/>
      <c r="DT27" s="251"/>
      <c r="DU27" s="251"/>
      <c r="DV27" s="261">
        <v>0.5</v>
      </c>
      <c r="DW27" s="262">
        <v>0.5</v>
      </c>
      <c r="DX27" s="263">
        <v>0.5</v>
      </c>
      <c r="DY27" s="261">
        <v>0.5</v>
      </c>
      <c r="DZ27" s="261">
        <v>0.5</v>
      </c>
      <c r="EA27" s="266">
        <v>0.5</v>
      </c>
      <c r="EB27" s="251"/>
      <c r="EC27" s="251"/>
      <c r="ED27" s="260">
        <v>0.5</v>
      </c>
      <c r="EE27" s="260">
        <v>0.5</v>
      </c>
      <c r="EF27" s="260">
        <v>0.5</v>
      </c>
      <c r="EG27" s="260">
        <v>0.5</v>
      </c>
      <c r="EH27" s="260">
        <v>0.5</v>
      </c>
      <c r="EI27" s="260">
        <v>0.5</v>
      </c>
      <c r="EJ27" s="260">
        <v>0.5</v>
      </c>
      <c r="EK27" s="260">
        <v>0.5</v>
      </c>
      <c r="EL27" s="260">
        <v>0.5</v>
      </c>
      <c r="EM27" s="260">
        <v>0.5</v>
      </c>
      <c r="EN27" s="349"/>
      <c r="EO27" s="250"/>
      <c r="EP27" s="244">
        <f>SUM(DN27:EO27)</f>
      </c>
      <c r="EQ27" s="4"/>
      <c r="ER27" s="698">
        <f>EP27+DM27+CJ27+BG27+AD27</f>
      </c>
      <c r="ES27" s="4"/>
      <c r="ET27" s="4"/>
      <c r="EU27" s="4"/>
    </row>
    <row r="28" ht="16.5" customHeight="1" spans="1:151" x14ac:dyDescent="0.25">
      <c r="A28" s="699" t="s">
        <v>213</v>
      </c>
      <c r="B28" s="303"/>
      <c r="C28" s="304"/>
      <c r="D28" s="136"/>
      <c r="E28" s="153"/>
      <c r="F28" s="153"/>
      <c r="G28" s="153"/>
      <c r="H28" s="314">
        <v>0.5</v>
      </c>
      <c r="I28" s="314">
        <v>0.5</v>
      </c>
      <c r="J28" s="33">
        <v>0.5</v>
      </c>
      <c r="K28" s="384">
        <v>0.5</v>
      </c>
      <c r="L28" s="319">
        <v>0.5</v>
      </c>
      <c r="M28" s="307">
        <v>0.5</v>
      </c>
      <c r="N28" s="137"/>
      <c r="O28" s="141"/>
      <c r="P28" s="387">
        <v>0.5</v>
      </c>
      <c r="Q28" s="29">
        <v>0.5</v>
      </c>
      <c r="R28" s="309">
        <v>0.5</v>
      </c>
      <c r="S28" s="309">
        <v>0.5</v>
      </c>
      <c r="T28" s="309">
        <v>0.5</v>
      </c>
      <c r="U28" s="309">
        <v>0.5</v>
      </c>
      <c r="V28" s="29">
        <v>0.5</v>
      </c>
      <c r="W28" s="309">
        <v>0.5</v>
      </c>
      <c r="X28" s="309">
        <v>0.5</v>
      </c>
      <c r="Y28" s="309">
        <v>0.5</v>
      </c>
      <c r="Z28" s="153"/>
      <c r="AA28" s="146"/>
      <c r="AB28" s="304"/>
      <c r="AC28" s="152"/>
      <c r="AD28" s="325">
        <f>SUM(B28:AC28)</f>
      </c>
      <c r="AE28" s="714"/>
      <c r="AF28" s="715">
        <v>0.5</v>
      </c>
      <c r="AG28" s="313">
        <v>0.5</v>
      </c>
      <c r="AH28" s="309">
        <v>0.5</v>
      </c>
      <c r="AI28" s="309">
        <v>0.5</v>
      </c>
      <c r="AJ28" s="309">
        <v>0.5</v>
      </c>
      <c r="AK28" s="309">
        <v>0.5</v>
      </c>
      <c r="AL28" s="309">
        <v>0.5</v>
      </c>
      <c r="AM28" s="29">
        <v>0.5</v>
      </c>
      <c r="AN28" s="388">
        <v>0.5</v>
      </c>
      <c r="AO28" s="155"/>
      <c r="AP28" s="308">
        <v>0.5</v>
      </c>
      <c r="AQ28" s="308">
        <v>0.5</v>
      </c>
      <c r="AR28" s="312">
        <v>0.5</v>
      </c>
      <c r="AS28" s="387">
        <v>0.5</v>
      </c>
      <c r="AT28" s="29">
        <v>0.5</v>
      </c>
      <c r="AU28" s="309">
        <v>0.5</v>
      </c>
      <c r="AV28" s="309">
        <v>0.5</v>
      </c>
      <c r="AW28" s="309">
        <v>0.5</v>
      </c>
      <c r="AX28" s="309">
        <v>0.5</v>
      </c>
      <c r="AY28" s="207"/>
      <c r="AZ28" s="153"/>
      <c r="BA28" s="153"/>
      <c r="BB28" s="153"/>
      <c r="BC28" s="153"/>
      <c r="BD28" s="153"/>
      <c r="BE28" s="304"/>
      <c r="BF28" s="152"/>
      <c r="BG28" s="325">
        <f>SUM(AE28:BF28)</f>
      </c>
      <c r="BH28" s="714"/>
      <c r="BI28" s="715">
        <v>0.5</v>
      </c>
      <c r="BJ28" s="313">
        <v>0.5</v>
      </c>
      <c r="BK28" s="309">
        <v>0.5</v>
      </c>
      <c r="BL28" s="309">
        <v>0.5</v>
      </c>
      <c r="BM28" s="309">
        <v>0.5</v>
      </c>
      <c r="BN28" s="309">
        <v>0.5</v>
      </c>
      <c r="BO28" s="309">
        <v>0.5</v>
      </c>
      <c r="BP28" s="29">
        <v>0.5</v>
      </c>
      <c r="BQ28" s="388">
        <v>0.5</v>
      </c>
      <c r="BR28" s="155"/>
      <c r="BS28" s="308">
        <v>0.5</v>
      </c>
      <c r="BT28" s="308">
        <v>0.5</v>
      </c>
      <c r="BU28" s="312">
        <v>0.5</v>
      </c>
      <c r="BV28" s="387">
        <v>0.5</v>
      </c>
      <c r="BW28" s="29">
        <v>0.5</v>
      </c>
      <c r="BX28" s="309">
        <v>0.5</v>
      </c>
      <c r="BY28" s="309">
        <v>0.5</v>
      </c>
      <c r="BZ28" s="309">
        <v>0.5</v>
      </c>
      <c r="CA28" s="309">
        <v>0.5</v>
      </c>
      <c r="CB28" s="207"/>
      <c r="CC28" s="153"/>
      <c r="CD28" s="153"/>
      <c r="CE28" s="153"/>
      <c r="CF28" s="153"/>
      <c r="CG28" s="153"/>
      <c r="CH28" s="304"/>
      <c r="CI28" s="152"/>
      <c r="CJ28" s="325">
        <f>SUM(BH28:CI28)</f>
      </c>
      <c r="CK28" s="714"/>
      <c r="CL28" s="715">
        <v>0.5</v>
      </c>
      <c r="CM28" s="313">
        <v>0.5</v>
      </c>
      <c r="CN28" s="309">
        <v>0.5</v>
      </c>
      <c r="CO28" s="309">
        <v>0.5</v>
      </c>
      <c r="CP28" s="309">
        <v>0.5</v>
      </c>
      <c r="CQ28" s="309">
        <v>0.5</v>
      </c>
      <c r="CR28" s="309">
        <v>0.5</v>
      </c>
      <c r="CS28" s="29">
        <v>0.5</v>
      </c>
      <c r="CT28" s="388">
        <v>0.5</v>
      </c>
      <c r="CU28" s="320">
        <v>0.5</v>
      </c>
      <c r="CV28" s="308">
        <v>0.5</v>
      </c>
      <c r="CW28" s="137"/>
      <c r="CX28" s="141"/>
      <c r="CY28" s="391">
        <v>0.5</v>
      </c>
      <c r="CZ28" s="33">
        <v>0.5</v>
      </c>
      <c r="DA28" s="314">
        <v>0.5</v>
      </c>
      <c r="DB28" s="314">
        <v>0.5</v>
      </c>
      <c r="DC28" s="314">
        <v>0.5</v>
      </c>
      <c r="DD28" s="153"/>
      <c r="DE28" s="153"/>
      <c r="DF28" s="153"/>
      <c r="DG28" s="153"/>
      <c r="DH28" s="153"/>
      <c r="DI28" s="153"/>
      <c r="DJ28" s="153"/>
      <c r="DK28" s="304"/>
      <c r="DL28" s="152"/>
      <c r="DM28" s="325">
        <f>SUM(CK28:DL28)</f>
      </c>
      <c r="DN28" s="303"/>
      <c r="DO28" s="304"/>
      <c r="DP28" s="641">
        <v>0.5</v>
      </c>
      <c r="DQ28" s="327">
        <v>0.5</v>
      </c>
      <c r="DR28" s="327">
        <v>0.5</v>
      </c>
      <c r="DS28" s="327">
        <v>0.5</v>
      </c>
      <c r="DT28" s="327">
        <v>0.5</v>
      </c>
      <c r="DU28" s="327">
        <v>0.5</v>
      </c>
      <c r="DV28" s="328">
        <v>0.5</v>
      </c>
      <c r="DW28" s="327">
        <v>0.5</v>
      </c>
      <c r="DX28" s="329">
        <v>0.5</v>
      </c>
      <c r="DY28" s="328">
        <v>0.5</v>
      </c>
      <c r="DZ28" s="328">
        <v>0.5</v>
      </c>
      <c r="EA28" s="330">
        <v>0.5</v>
      </c>
      <c r="EB28" s="332"/>
      <c r="EC28" s="332"/>
      <c r="ED28" s="332"/>
      <c r="EE28" s="332"/>
      <c r="EF28" s="332"/>
      <c r="EG28" s="332"/>
      <c r="EH28" s="332"/>
      <c r="EI28" s="332"/>
      <c r="EJ28" s="332"/>
      <c r="EK28" s="332"/>
      <c r="EL28" s="332"/>
      <c r="EM28" s="332"/>
      <c r="EN28" s="304"/>
      <c r="EO28" s="152"/>
      <c r="EP28" s="325">
        <f>SUM(DN28:EO28)</f>
      </c>
      <c r="EQ28" s="4"/>
      <c r="ER28" s="698">
        <f>EP28+DM28+CJ28+BG28+AD28</f>
      </c>
      <c r="ES28" s="4"/>
      <c r="ET28" s="4"/>
      <c r="EU28" s="4"/>
    </row>
    <row r="29" ht="16.5" customHeight="1" spans="1:151" x14ac:dyDescent="0.25">
      <c r="A29" s="699" t="s">
        <v>214</v>
      </c>
      <c r="B29" s="303"/>
      <c r="C29" s="304"/>
      <c r="D29" s="136"/>
      <c r="E29" s="153"/>
      <c r="F29" s="153"/>
      <c r="G29" s="153"/>
      <c r="H29" s="153"/>
      <c r="I29" s="153"/>
      <c r="J29" s="207"/>
      <c r="K29" s="202"/>
      <c r="L29" s="155"/>
      <c r="M29" s="137"/>
      <c r="N29" s="137"/>
      <c r="O29" s="141"/>
      <c r="P29" s="391">
        <v>0.5</v>
      </c>
      <c r="Q29" s="33">
        <v>0.5</v>
      </c>
      <c r="R29" s="314">
        <v>0.5</v>
      </c>
      <c r="S29" s="314">
        <v>0.5</v>
      </c>
      <c r="T29" s="314">
        <v>0.5</v>
      </c>
      <c r="U29" s="314">
        <v>0.5</v>
      </c>
      <c r="V29" s="29">
        <v>0.5</v>
      </c>
      <c r="W29" s="309">
        <v>0.5</v>
      </c>
      <c r="X29" s="309">
        <v>0.5</v>
      </c>
      <c r="Y29" s="309">
        <v>0.5</v>
      </c>
      <c r="Z29" s="309">
        <v>0.5</v>
      </c>
      <c r="AA29" s="716">
        <v>0.5</v>
      </c>
      <c r="AB29" s="310">
        <v>2</v>
      </c>
      <c r="AC29" s="310">
        <v>0.5</v>
      </c>
      <c r="AD29" s="325">
        <f>SUM(B29:AC29)</f>
      </c>
      <c r="AE29" s="303"/>
      <c r="AF29" s="304"/>
      <c r="AG29" s="136"/>
      <c r="AH29" s="153"/>
      <c r="AI29" s="153"/>
      <c r="AJ29" s="153"/>
      <c r="AK29" s="153"/>
      <c r="AL29" s="153"/>
      <c r="AM29" s="207"/>
      <c r="AN29" s="202"/>
      <c r="AO29" s="155"/>
      <c r="AP29" s="137"/>
      <c r="AQ29" s="137"/>
      <c r="AR29" s="141"/>
      <c r="AS29" s="295"/>
      <c r="AT29" s="207"/>
      <c r="AU29" s="309">
        <v>0.5</v>
      </c>
      <c r="AV29" s="309">
        <v>0.5</v>
      </c>
      <c r="AW29" s="309">
        <v>0.5</v>
      </c>
      <c r="AX29" s="309">
        <v>0.5</v>
      </c>
      <c r="AY29" s="29">
        <v>0.5</v>
      </c>
      <c r="AZ29" s="309">
        <v>0.5</v>
      </c>
      <c r="BA29" s="309">
        <v>0.5</v>
      </c>
      <c r="BB29" s="309">
        <v>0.5</v>
      </c>
      <c r="BC29" s="309">
        <v>0.5</v>
      </c>
      <c r="BD29" s="309">
        <v>0.5</v>
      </c>
      <c r="BE29" s="310">
        <v>2</v>
      </c>
      <c r="BF29" s="311">
        <v>1.5</v>
      </c>
      <c r="BG29" s="325">
        <f>SUM(AE29:BF29)</f>
      </c>
      <c r="BH29" s="303"/>
      <c r="BI29" s="304"/>
      <c r="BJ29" s="136"/>
      <c r="BK29" s="153"/>
      <c r="BL29" s="153"/>
      <c r="BM29" s="153"/>
      <c r="BN29" s="153"/>
      <c r="BO29" s="153"/>
      <c r="BP29" s="207"/>
      <c r="BQ29" s="202"/>
      <c r="BR29" s="155"/>
      <c r="BS29" s="137"/>
      <c r="BT29" s="137"/>
      <c r="BU29" s="141"/>
      <c r="BV29" s="295"/>
      <c r="BW29" s="207"/>
      <c r="BX29" s="309">
        <v>0.5</v>
      </c>
      <c r="BY29" s="309">
        <v>0.5</v>
      </c>
      <c r="BZ29" s="309">
        <v>0.5</v>
      </c>
      <c r="CA29" s="309">
        <v>0.5</v>
      </c>
      <c r="CB29" s="29">
        <v>0.5</v>
      </c>
      <c r="CC29" s="309">
        <v>0.5</v>
      </c>
      <c r="CD29" s="309">
        <v>0.5</v>
      </c>
      <c r="CE29" s="309">
        <v>0.5</v>
      </c>
      <c r="CF29" s="309">
        <v>0.5</v>
      </c>
      <c r="CG29" s="309">
        <v>0.5</v>
      </c>
      <c r="CH29" s="310">
        <v>2</v>
      </c>
      <c r="CI29" s="311">
        <v>1.5</v>
      </c>
      <c r="CJ29" s="325">
        <f>SUM(BH29:CI29)</f>
      </c>
      <c r="CK29" s="303"/>
      <c r="CL29" s="304"/>
      <c r="CM29" s="136"/>
      <c r="CN29" s="153"/>
      <c r="CO29" s="153"/>
      <c r="CP29" s="153"/>
      <c r="CQ29" s="153"/>
      <c r="CR29" s="153"/>
      <c r="CS29" s="388">
        <v>0.5</v>
      </c>
      <c r="CT29" s="388">
        <v>0.5</v>
      </c>
      <c r="CU29" s="155"/>
      <c r="CV29" s="308">
        <v>0.5</v>
      </c>
      <c r="CW29" s="308">
        <v>0.5</v>
      </c>
      <c r="CX29" s="312">
        <v>0.5</v>
      </c>
      <c r="CY29" s="387">
        <v>0.5</v>
      </c>
      <c r="CZ29" s="29">
        <v>0.5</v>
      </c>
      <c r="DA29" s="309">
        <v>0.5</v>
      </c>
      <c r="DB29" s="309">
        <v>0.5</v>
      </c>
      <c r="DC29" s="309">
        <v>0.5</v>
      </c>
      <c r="DD29" s="309">
        <v>0.5</v>
      </c>
      <c r="DE29" s="309">
        <v>0.5</v>
      </c>
      <c r="DF29" s="314">
        <v>0.5</v>
      </c>
      <c r="DG29" s="314">
        <v>0.5</v>
      </c>
      <c r="DH29" s="314">
        <v>0.5</v>
      </c>
      <c r="DI29" s="314">
        <v>0.5</v>
      </c>
      <c r="DJ29" s="314">
        <v>0.5</v>
      </c>
      <c r="DK29" s="304"/>
      <c r="DL29" s="152"/>
      <c r="DM29" s="325">
        <f>SUM(CK29:DL29)</f>
      </c>
      <c r="DN29" s="303"/>
      <c r="DO29" s="304"/>
      <c r="DP29" s="641">
        <v>0.5</v>
      </c>
      <c r="DQ29" s="327">
        <v>0.5</v>
      </c>
      <c r="DR29" s="327">
        <v>0.5</v>
      </c>
      <c r="DS29" s="327">
        <v>0.5</v>
      </c>
      <c r="DT29" s="327">
        <v>0.5</v>
      </c>
      <c r="DU29" s="327">
        <v>0.5</v>
      </c>
      <c r="DV29" s="328">
        <v>0.5</v>
      </c>
      <c r="DW29" s="327">
        <v>0.5</v>
      </c>
      <c r="DX29" s="329">
        <v>0.5</v>
      </c>
      <c r="DY29" s="328">
        <v>0.5</v>
      </c>
      <c r="DZ29" s="328">
        <v>0.5</v>
      </c>
      <c r="EA29" s="330">
        <v>0.5</v>
      </c>
      <c r="EB29" s="332"/>
      <c r="EC29" s="332"/>
      <c r="ED29" s="332"/>
      <c r="EE29" s="332"/>
      <c r="EF29" s="332"/>
      <c r="EG29" s="332"/>
      <c r="EH29" s="332"/>
      <c r="EI29" s="332"/>
      <c r="EJ29" s="332"/>
      <c r="EK29" s="332"/>
      <c r="EL29" s="332"/>
      <c r="EM29" s="332"/>
      <c r="EN29" s="304"/>
      <c r="EO29" s="152"/>
      <c r="EP29" s="325">
        <f>SUM(DN29:EO29)</f>
      </c>
      <c r="EQ29" s="4"/>
      <c r="ER29" s="698">
        <f>EP29+DM29+CJ29+BG29+AD29</f>
      </c>
      <c r="ES29" s="4"/>
      <c r="ET29" s="4"/>
      <c r="EU29" s="4"/>
    </row>
    <row r="30" ht="16.5" customHeight="1" spans="1:151" x14ac:dyDescent="0.25">
      <c r="A30" s="699" t="s">
        <v>215</v>
      </c>
      <c r="B30" s="303"/>
      <c r="C30" s="304"/>
      <c r="D30" s="136"/>
      <c r="E30" s="139">
        <v>0.5</v>
      </c>
      <c r="F30" s="139">
        <v>0.5</v>
      </c>
      <c r="G30" s="139">
        <v>0.5</v>
      </c>
      <c r="H30" s="139">
        <v>0.5</v>
      </c>
      <c r="I30" s="139">
        <v>0.5</v>
      </c>
      <c r="J30" s="212">
        <v>0.5</v>
      </c>
      <c r="K30" s="213">
        <v>0.5</v>
      </c>
      <c r="L30" s="155"/>
      <c r="M30" s="137"/>
      <c r="N30" s="138">
        <v>0.5</v>
      </c>
      <c r="O30" s="149">
        <v>0.5</v>
      </c>
      <c r="P30" s="298">
        <v>0.5</v>
      </c>
      <c r="Q30" s="212">
        <v>0.5</v>
      </c>
      <c r="R30" s="139">
        <v>0.5</v>
      </c>
      <c r="S30" s="139">
        <v>0.5</v>
      </c>
      <c r="T30" s="139">
        <v>0.5</v>
      </c>
      <c r="U30" s="139">
        <v>0.5</v>
      </c>
      <c r="V30" s="212">
        <v>0.5</v>
      </c>
      <c r="W30" s="139">
        <v>0.5</v>
      </c>
      <c r="X30" s="153"/>
      <c r="Y30" s="153"/>
      <c r="Z30" s="153"/>
      <c r="AA30" s="146"/>
      <c r="AB30" s="304"/>
      <c r="AC30" s="152"/>
      <c r="AD30" s="325">
        <f>SUM(B30:AC30)</f>
      </c>
      <c r="AE30" s="303"/>
      <c r="AF30" s="304"/>
      <c r="AG30" s="136"/>
      <c r="AH30" s="139">
        <v>0.5</v>
      </c>
      <c r="AI30" s="139">
        <v>0.5</v>
      </c>
      <c r="AJ30" s="139">
        <v>0.5</v>
      </c>
      <c r="AK30" s="139">
        <v>0.5</v>
      </c>
      <c r="AL30" s="139">
        <v>0.5</v>
      </c>
      <c r="AM30" s="212">
        <v>0.5</v>
      </c>
      <c r="AN30" s="213">
        <v>0.5</v>
      </c>
      <c r="AO30" s="155"/>
      <c r="AP30" s="137"/>
      <c r="AQ30" s="138">
        <v>0.5</v>
      </c>
      <c r="AR30" s="149">
        <v>0.5</v>
      </c>
      <c r="AS30" s="298">
        <v>0.5</v>
      </c>
      <c r="AT30" s="212">
        <v>0.5</v>
      </c>
      <c r="AU30" s="139">
        <v>0.5</v>
      </c>
      <c r="AV30" s="139">
        <v>0.5</v>
      </c>
      <c r="AW30" s="139">
        <v>0.5</v>
      </c>
      <c r="AX30" s="139">
        <v>0.5</v>
      </c>
      <c r="AY30" s="212">
        <v>0.5</v>
      </c>
      <c r="AZ30" s="139">
        <v>0.5</v>
      </c>
      <c r="BA30" s="153"/>
      <c r="BB30" s="153"/>
      <c r="BC30" s="153"/>
      <c r="BD30" s="153"/>
      <c r="BE30" s="304"/>
      <c r="BF30" s="152"/>
      <c r="BG30" s="325">
        <f>SUM(AE30:BF30)</f>
      </c>
      <c r="BH30" s="303"/>
      <c r="BI30" s="304"/>
      <c r="BJ30" s="136"/>
      <c r="BK30" s="153"/>
      <c r="BL30" s="314">
        <v>0.5</v>
      </c>
      <c r="BM30" s="314">
        <v>0.5</v>
      </c>
      <c r="BN30" s="314">
        <v>0.5</v>
      </c>
      <c r="BO30" s="314">
        <v>0.5</v>
      </c>
      <c r="BP30" s="33">
        <v>0.5</v>
      </c>
      <c r="BQ30" s="384">
        <v>0.5</v>
      </c>
      <c r="BR30" s="320">
        <v>0.5</v>
      </c>
      <c r="BS30" s="308">
        <v>0.5</v>
      </c>
      <c r="BT30" s="308">
        <v>0.5</v>
      </c>
      <c r="BU30" s="141"/>
      <c r="BV30" s="387">
        <v>0.5</v>
      </c>
      <c r="BW30" s="29">
        <v>0.5</v>
      </c>
      <c r="BX30" s="309">
        <v>0.5</v>
      </c>
      <c r="BY30" s="309">
        <v>0.5</v>
      </c>
      <c r="BZ30" s="309">
        <v>0.5</v>
      </c>
      <c r="CA30" s="309">
        <v>0.5</v>
      </c>
      <c r="CB30" s="29">
        <v>0.5</v>
      </c>
      <c r="CC30" s="309">
        <v>0.5</v>
      </c>
      <c r="CD30" s="153"/>
      <c r="CE30" s="153"/>
      <c r="CF30" s="153"/>
      <c r="CG30" s="153"/>
      <c r="CH30" s="304"/>
      <c r="CI30" s="152"/>
      <c r="CJ30" s="325">
        <f>SUM(BH30:CI30)</f>
      </c>
      <c r="CK30" s="714"/>
      <c r="CL30" s="310">
        <v>0.5</v>
      </c>
      <c r="CM30" s="313">
        <v>0.5</v>
      </c>
      <c r="CN30" s="309">
        <v>0.5</v>
      </c>
      <c r="CO30" s="309">
        <v>0.5</v>
      </c>
      <c r="CP30" s="309">
        <v>0.5</v>
      </c>
      <c r="CQ30" s="309">
        <v>0.5</v>
      </c>
      <c r="CR30" s="309">
        <v>0.5</v>
      </c>
      <c r="CS30" s="29">
        <v>0.5</v>
      </c>
      <c r="CT30" s="388">
        <v>0.5</v>
      </c>
      <c r="CU30" s="320">
        <v>0.5</v>
      </c>
      <c r="CV30" s="308">
        <v>0.5</v>
      </c>
      <c r="CW30" s="137"/>
      <c r="CX30" s="312">
        <v>0.5</v>
      </c>
      <c r="CY30" s="391">
        <v>0.5</v>
      </c>
      <c r="CZ30" s="33">
        <v>0.5</v>
      </c>
      <c r="DA30" s="314">
        <v>0.5</v>
      </c>
      <c r="DB30" s="314">
        <v>0.5</v>
      </c>
      <c r="DC30" s="314">
        <v>0.5</v>
      </c>
      <c r="DD30" s="153"/>
      <c r="DE30" s="153"/>
      <c r="DF30" s="153"/>
      <c r="DG30" s="153"/>
      <c r="DH30" s="153"/>
      <c r="DI30" s="153"/>
      <c r="DJ30" s="153"/>
      <c r="DK30" s="304"/>
      <c r="DL30" s="152"/>
      <c r="DM30" s="325">
        <f>SUM(CK30:DL30)</f>
      </c>
      <c r="DN30" s="303"/>
      <c r="DO30" s="304"/>
      <c r="DP30" s="641">
        <v>0.5</v>
      </c>
      <c r="DQ30" s="327">
        <v>0.5</v>
      </c>
      <c r="DR30" s="327">
        <v>0.5</v>
      </c>
      <c r="DS30" s="327">
        <v>0.5</v>
      </c>
      <c r="DT30" s="327">
        <v>0.5</v>
      </c>
      <c r="DU30" s="327">
        <v>0.5</v>
      </c>
      <c r="DV30" s="328">
        <v>0.5</v>
      </c>
      <c r="DW30" s="327">
        <v>0.5</v>
      </c>
      <c r="DX30" s="329">
        <v>0.5</v>
      </c>
      <c r="DY30" s="328">
        <v>0.5</v>
      </c>
      <c r="DZ30" s="328">
        <v>0.5</v>
      </c>
      <c r="EA30" s="330">
        <v>0.5</v>
      </c>
      <c r="EB30" s="332"/>
      <c r="EC30" s="332"/>
      <c r="ED30" s="332"/>
      <c r="EE30" s="332"/>
      <c r="EF30" s="332"/>
      <c r="EG30" s="332"/>
      <c r="EH30" s="332"/>
      <c r="EI30" s="332"/>
      <c r="EJ30" s="332"/>
      <c r="EK30" s="332"/>
      <c r="EL30" s="332"/>
      <c r="EM30" s="332"/>
      <c r="EN30" s="304"/>
      <c r="EO30" s="152"/>
      <c r="EP30" s="325">
        <f>SUM(DN30:EO30)</f>
      </c>
      <c r="EQ30" s="4"/>
      <c r="ER30" s="698">
        <f>EP30+DM30+CJ30+BG30+AD30</f>
      </c>
      <c r="ES30" s="4"/>
      <c r="ET30" s="4"/>
      <c r="EU30" s="4"/>
    </row>
    <row r="31" ht="16.5" customHeight="1" spans="1:151" x14ac:dyDescent="0.25">
      <c r="A31" s="699" t="s">
        <v>216</v>
      </c>
      <c r="B31" s="303"/>
      <c r="C31" s="304"/>
      <c r="D31" s="136"/>
      <c r="E31" s="139">
        <v>0.5</v>
      </c>
      <c r="F31" s="139">
        <v>0.5</v>
      </c>
      <c r="G31" s="139">
        <v>0.5</v>
      </c>
      <c r="H31" s="139">
        <v>0.5</v>
      </c>
      <c r="I31" s="139">
        <v>0.5</v>
      </c>
      <c r="J31" s="212">
        <v>0.5</v>
      </c>
      <c r="K31" s="213">
        <v>0.5</v>
      </c>
      <c r="L31" s="155"/>
      <c r="M31" s="137"/>
      <c r="N31" s="138">
        <v>0.5</v>
      </c>
      <c r="O31" s="149">
        <v>0.5</v>
      </c>
      <c r="P31" s="298">
        <v>0.5</v>
      </c>
      <c r="Q31" s="212">
        <v>0.5</v>
      </c>
      <c r="R31" s="139">
        <v>0.5</v>
      </c>
      <c r="S31" s="139">
        <v>0.5</v>
      </c>
      <c r="T31" s="139">
        <v>0.5</v>
      </c>
      <c r="U31" s="139">
        <v>0.5</v>
      </c>
      <c r="V31" s="212">
        <v>0.5</v>
      </c>
      <c r="W31" s="139">
        <v>0.5</v>
      </c>
      <c r="X31" s="153"/>
      <c r="Y31" s="153"/>
      <c r="Z31" s="153"/>
      <c r="AA31" s="146"/>
      <c r="AB31" s="304"/>
      <c r="AC31" s="152"/>
      <c r="AD31" s="325">
        <f>SUM(B31:AC31)</f>
      </c>
      <c r="AE31" s="303"/>
      <c r="AF31" s="304"/>
      <c r="AG31" s="136"/>
      <c r="AH31" s="139">
        <v>0.5</v>
      </c>
      <c r="AI31" s="139">
        <v>0.5</v>
      </c>
      <c r="AJ31" s="139">
        <v>0.5</v>
      </c>
      <c r="AK31" s="139">
        <v>0.5</v>
      </c>
      <c r="AL31" s="139">
        <v>0.5</v>
      </c>
      <c r="AM31" s="212">
        <v>0.5</v>
      </c>
      <c r="AN31" s="213">
        <v>0.5</v>
      </c>
      <c r="AO31" s="155"/>
      <c r="AP31" s="137"/>
      <c r="AQ31" s="138">
        <v>0.5</v>
      </c>
      <c r="AR31" s="149">
        <v>0.5</v>
      </c>
      <c r="AS31" s="298">
        <v>0.5</v>
      </c>
      <c r="AT31" s="212">
        <v>0.5</v>
      </c>
      <c r="AU31" s="139">
        <v>0.5</v>
      </c>
      <c r="AV31" s="139">
        <v>0.5</v>
      </c>
      <c r="AW31" s="139">
        <v>0.5</v>
      </c>
      <c r="AX31" s="139">
        <v>0.5</v>
      </c>
      <c r="AY31" s="212">
        <v>0.5</v>
      </c>
      <c r="AZ31" s="139">
        <v>0.5</v>
      </c>
      <c r="BA31" s="153"/>
      <c r="BB31" s="153"/>
      <c r="BC31" s="153"/>
      <c r="BD31" s="153"/>
      <c r="BE31" s="304"/>
      <c r="BF31" s="152"/>
      <c r="BG31" s="325">
        <f>SUM(AE31:BF31)</f>
      </c>
      <c r="BH31" s="303"/>
      <c r="BI31" s="304"/>
      <c r="BJ31" s="136"/>
      <c r="BK31" s="153"/>
      <c r="BL31" s="153"/>
      <c r="BM31" s="153"/>
      <c r="BN31" s="153"/>
      <c r="BO31" s="153"/>
      <c r="BP31" s="207"/>
      <c r="BQ31" s="202"/>
      <c r="BR31" s="155"/>
      <c r="BS31" s="137"/>
      <c r="BT31" s="307">
        <v>0.5</v>
      </c>
      <c r="BU31" s="416">
        <v>0.5</v>
      </c>
      <c r="BV31" s="391">
        <v>0.5</v>
      </c>
      <c r="BW31" s="33">
        <v>0.5</v>
      </c>
      <c r="BX31" s="314">
        <v>0.5</v>
      </c>
      <c r="BY31" s="314">
        <v>0.5</v>
      </c>
      <c r="BZ31" s="309">
        <v>0.5</v>
      </c>
      <c r="CA31" s="309">
        <v>0.5</v>
      </c>
      <c r="CB31" s="309">
        <v>0.5</v>
      </c>
      <c r="CC31" s="309">
        <v>0.5</v>
      </c>
      <c r="CD31" s="309">
        <v>0.5</v>
      </c>
      <c r="CE31" s="309">
        <v>0.5</v>
      </c>
      <c r="CF31" s="309">
        <v>0.5</v>
      </c>
      <c r="CG31" s="309">
        <v>0.5</v>
      </c>
      <c r="CH31" s="310">
        <v>2</v>
      </c>
      <c r="CI31" s="310">
        <v>0.5</v>
      </c>
      <c r="CJ31" s="325">
        <f>SUM(BH31:CI31)</f>
      </c>
      <c r="CK31" s="303"/>
      <c r="CL31" s="304"/>
      <c r="CM31" s="136"/>
      <c r="CN31" s="153"/>
      <c r="CO31" s="153"/>
      <c r="CP31" s="153"/>
      <c r="CQ31" s="153"/>
      <c r="CR31" s="153"/>
      <c r="CS31" s="207"/>
      <c r="CT31" s="202"/>
      <c r="CU31" s="320">
        <v>0.5</v>
      </c>
      <c r="CV31" s="308">
        <v>0.5</v>
      </c>
      <c r="CW31" s="308">
        <v>0.5</v>
      </c>
      <c r="CX31" s="141"/>
      <c r="CY31" s="29">
        <v>0.5</v>
      </c>
      <c r="CZ31" s="29">
        <v>0.5</v>
      </c>
      <c r="DA31" s="309">
        <v>0.5</v>
      </c>
      <c r="DB31" s="309">
        <v>0.5</v>
      </c>
      <c r="DC31" s="309">
        <v>0.5</v>
      </c>
      <c r="DD31" s="309">
        <v>0.5</v>
      </c>
      <c r="DE31" s="309">
        <v>0.5</v>
      </c>
      <c r="DF31" s="314">
        <v>0.5</v>
      </c>
      <c r="DG31" s="314">
        <v>0.5</v>
      </c>
      <c r="DH31" s="314">
        <v>0.5</v>
      </c>
      <c r="DI31" s="314">
        <v>0.5</v>
      </c>
      <c r="DJ31" s="314">
        <v>0.5</v>
      </c>
      <c r="DK31" s="304"/>
      <c r="DL31" s="152"/>
      <c r="DM31" s="325">
        <f>SUM(CK31:DL31)</f>
      </c>
      <c r="DN31" s="303"/>
      <c r="DO31" s="304"/>
      <c r="DP31" s="641">
        <v>0.5</v>
      </c>
      <c r="DQ31" s="327">
        <v>0.5</v>
      </c>
      <c r="DR31" s="327">
        <v>0.5</v>
      </c>
      <c r="DS31" s="327">
        <v>0.5</v>
      </c>
      <c r="DT31" s="327">
        <v>0.5</v>
      </c>
      <c r="DU31" s="327">
        <v>0.5</v>
      </c>
      <c r="DV31" s="328">
        <v>0.5</v>
      </c>
      <c r="DW31" s="327">
        <v>0.5</v>
      </c>
      <c r="DX31" s="329">
        <v>0.5</v>
      </c>
      <c r="DY31" s="328">
        <v>0.5</v>
      </c>
      <c r="DZ31" s="328">
        <v>0.5</v>
      </c>
      <c r="EA31" s="330">
        <v>0.5</v>
      </c>
      <c r="EB31" s="332"/>
      <c r="EC31" s="332"/>
      <c r="ED31" s="332"/>
      <c r="EE31" s="332"/>
      <c r="EF31" s="332"/>
      <c r="EG31" s="332"/>
      <c r="EH31" s="332"/>
      <c r="EI31" s="332"/>
      <c r="EJ31" s="332"/>
      <c r="EK31" s="332"/>
      <c r="EL31" s="332"/>
      <c r="EM31" s="332"/>
      <c r="EN31" s="304"/>
      <c r="EO31" s="152"/>
      <c r="EP31" s="325">
        <f>SUM(DN31:EO31)</f>
      </c>
      <c r="EQ31" s="4"/>
      <c r="ER31" s="698">
        <f>EP31+DM31+CJ31+BG31+AD31</f>
      </c>
      <c r="ES31" s="4"/>
      <c r="ET31" s="4"/>
      <c r="EU31" s="4"/>
    </row>
    <row r="32" ht="16.5" customHeight="1" spans="1:151" x14ac:dyDescent="0.25">
      <c r="A32" s="699" t="s">
        <v>217</v>
      </c>
      <c r="B32" s="303"/>
      <c r="C32" s="304"/>
      <c r="D32" s="136"/>
      <c r="E32" s="153"/>
      <c r="F32" s="153"/>
      <c r="G32" s="153"/>
      <c r="H32" s="153"/>
      <c r="I32" s="153"/>
      <c r="J32" s="202"/>
      <c r="K32" s="202"/>
      <c r="L32" s="155"/>
      <c r="M32" s="137"/>
      <c r="N32" s="137"/>
      <c r="O32" s="141"/>
      <c r="P32" s="295"/>
      <c r="Q32" s="207"/>
      <c r="R32" s="153"/>
      <c r="S32" s="153"/>
      <c r="T32" s="153"/>
      <c r="U32" s="153"/>
      <c r="V32" s="207"/>
      <c r="W32" s="153"/>
      <c r="X32" s="153"/>
      <c r="Y32" s="153"/>
      <c r="Z32" s="309">
        <v>0.5</v>
      </c>
      <c r="AA32" s="716">
        <v>0.5</v>
      </c>
      <c r="AB32" s="310">
        <v>2</v>
      </c>
      <c r="AC32" s="311">
        <v>1</v>
      </c>
      <c r="AD32" s="325">
        <f>SUM(B32:AC32)</f>
      </c>
      <c r="AE32" s="303"/>
      <c r="AF32" s="304"/>
      <c r="AG32" s="136"/>
      <c r="AH32" s="153"/>
      <c r="AI32" s="153"/>
      <c r="AJ32" s="153"/>
      <c r="AK32" s="153"/>
      <c r="AL32" s="153"/>
      <c r="AM32" s="207"/>
      <c r="AN32" s="202"/>
      <c r="AO32" s="155"/>
      <c r="AP32" s="137"/>
      <c r="AQ32" s="137"/>
      <c r="AR32" s="141"/>
      <c r="AS32" s="295"/>
      <c r="AT32" s="207"/>
      <c r="AU32" s="309">
        <v>0.5</v>
      </c>
      <c r="AV32" s="309">
        <v>0.5</v>
      </c>
      <c r="AW32" s="309">
        <v>0.5</v>
      </c>
      <c r="AX32" s="309">
        <v>0.5</v>
      </c>
      <c r="AY32" s="29">
        <v>0.5</v>
      </c>
      <c r="AZ32" s="309">
        <v>0.5</v>
      </c>
      <c r="BA32" s="309">
        <v>0.5</v>
      </c>
      <c r="BB32" s="309">
        <v>0.5</v>
      </c>
      <c r="BC32" s="309">
        <v>0.5</v>
      </c>
      <c r="BD32" s="309">
        <v>0.5</v>
      </c>
      <c r="BE32" s="310">
        <v>2</v>
      </c>
      <c r="BF32" s="311">
        <v>1</v>
      </c>
      <c r="BG32" s="325">
        <f>SUM(AE32:BF32)</f>
      </c>
      <c r="BH32" s="303"/>
      <c r="BI32" s="304"/>
      <c r="BJ32" s="136"/>
      <c r="BK32" s="153"/>
      <c r="BL32" s="153"/>
      <c r="BM32" s="153"/>
      <c r="BN32" s="153"/>
      <c r="BO32" s="153"/>
      <c r="BP32" s="207"/>
      <c r="BQ32" s="202"/>
      <c r="BR32" s="155"/>
      <c r="BS32" s="137"/>
      <c r="BT32" s="137"/>
      <c r="BU32" s="141"/>
      <c r="BV32" s="295"/>
      <c r="BW32" s="207"/>
      <c r="BX32" s="309">
        <v>0.5</v>
      </c>
      <c r="BY32" s="309">
        <v>0.5</v>
      </c>
      <c r="BZ32" s="309">
        <v>0.5</v>
      </c>
      <c r="CA32" s="309">
        <v>0.5</v>
      </c>
      <c r="CB32" s="29">
        <v>0.5</v>
      </c>
      <c r="CC32" s="309">
        <v>0.5</v>
      </c>
      <c r="CD32" s="309">
        <v>0.5</v>
      </c>
      <c r="CE32" s="309">
        <v>0.5</v>
      </c>
      <c r="CF32" s="309">
        <v>0.5</v>
      </c>
      <c r="CG32" s="309">
        <v>0.5</v>
      </c>
      <c r="CH32" s="310">
        <v>2</v>
      </c>
      <c r="CI32" s="311">
        <v>1</v>
      </c>
      <c r="CJ32" s="325">
        <f>SUM(BH32:CI32)</f>
      </c>
      <c r="CK32" s="303"/>
      <c r="CL32" s="304"/>
      <c r="CM32" s="136"/>
      <c r="CN32" s="153"/>
      <c r="CO32" s="153"/>
      <c r="CP32" s="153"/>
      <c r="CQ32" s="153"/>
      <c r="CR32" s="153"/>
      <c r="CS32" s="207"/>
      <c r="CT32" s="202"/>
      <c r="CU32" s="155"/>
      <c r="CV32" s="137"/>
      <c r="CW32" s="137"/>
      <c r="CX32" s="141"/>
      <c r="CY32" s="295"/>
      <c r="CZ32" s="207"/>
      <c r="DA32" s="153"/>
      <c r="DB32" s="153"/>
      <c r="DC32" s="153"/>
      <c r="DD32" s="153"/>
      <c r="DE32" s="153"/>
      <c r="DF32" s="153"/>
      <c r="DG32" s="153"/>
      <c r="DH32" s="153"/>
      <c r="DI32" s="153"/>
      <c r="DJ32" s="153"/>
      <c r="DK32" s="304"/>
      <c r="DL32" s="152"/>
      <c r="DM32" s="325">
        <f>SUM(CK32:DL32)</f>
      </c>
      <c r="DN32" s="303"/>
      <c r="DO32" s="304"/>
      <c r="DP32" s="706"/>
      <c r="DQ32" s="327">
        <v>0.5</v>
      </c>
      <c r="DR32" s="327">
        <v>0.5</v>
      </c>
      <c r="DS32" s="327">
        <v>0.5</v>
      </c>
      <c r="DT32" s="327">
        <v>0.5</v>
      </c>
      <c r="DU32" s="327">
        <v>0.5</v>
      </c>
      <c r="DV32" s="328">
        <v>0.5</v>
      </c>
      <c r="DW32" s="327">
        <v>0.5</v>
      </c>
      <c r="DX32" s="329">
        <v>0.5</v>
      </c>
      <c r="DY32" s="328">
        <v>0.5</v>
      </c>
      <c r="DZ32" s="337"/>
      <c r="EA32" s="707"/>
      <c r="EB32" s="327">
        <v>0.5</v>
      </c>
      <c r="EC32" s="327">
        <v>0.5</v>
      </c>
      <c r="ED32" s="327">
        <v>0.5</v>
      </c>
      <c r="EE32" s="327">
        <v>0.5</v>
      </c>
      <c r="EF32" s="327">
        <v>0.5</v>
      </c>
      <c r="EG32" s="327">
        <v>0.5</v>
      </c>
      <c r="EH32" s="327">
        <v>0.5</v>
      </c>
      <c r="EI32" s="327">
        <v>0.5</v>
      </c>
      <c r="EJ32" s="327">
        <v>0.5</v>
      </c>
      <c r="EK32" s="332"/>
      <c r="EL32" s="332"/>
      <c r="EM32" s="332"/>
      <c r="EN32" s="304"/>
      <c r="EO32" s="152"/>
      <c r="EP32" s="325">
        <f>SUM(DN32:EO32)</f>
      </c>
      <c r="EQ32" s="4"/>
      <c r="ER32" s="698">
        <f>EP32+DM32+CJ32+BG32+AD32</f>
      </c>
      <c r="ES32" s="4"/>
      <c r="ET32" s="4"/>
      <c r="EU32" s="4"/>
    </row>
    <row r="33" ht="16.5" customHeight="1" spans="1:151" x14ac:dyDescent="0.25">
      <c r="A33" s="699" t="s">
        <v>218</v>
      </c>
      <c r="B33" s="303"/>
      <c r="C33" s="304"/>
      <c r="D33" s="136"/>
      <c r="E33" s="153"/>
      <c r="F33" s="153"/>
      <c r="G33" s="153"/>
      <c r="H33" s="153"/>
      <c r="I33" s="153"/>
      <c r="J33" s="202"/>
      <c r="K33" s="202"/>
      <c r="L33" s="155"/>
      <c r="M33" s="137"/>
      <c r="N33" s="137"/>
      <c r="O33" s="141"/>
      <c r="P33" s="295"/>
      <c r="Q33" s="207"/>
      <c r="R33" s="153"/>
      <c r="S33" s="153"/>
      <c r="T33" s="309">
        <v>0.5</v>
      </c>
      <c r="U33" s="309">
        <v>0.5</v>
      </c>
      <c r="V33" s="309">
        <v>0.5</v>
      </c>
      <c r="W33" s="309">
        <v>0.5</v>
      </c>
      <c r="X33" s="309">
        <v>0.5</v>
      </c>
      <c r="Y33" s="309">
        <v>0.5</v>
      </c>
      <c r="Z33" s="309">
        <v>0.5</v>
      </c>
      <c r="AA33" s="716">
        <v>0.5</v>
      </c>
      <c r="AB33" s="310">
        <v>2</v>
      </c>
      <c r="AC33" s="717"/>
      <c r="AD33" s="325">
        <f>SUM(B33:AC33)</f>
      </c>
      <c r="AE33" s="303"/>
      <c r="AF33" s="304"/>
      <c r="AG33" s="136"/>
      <c r="AH33" s="153"/>
      <c r="AI33" s="153"/>
      <c r="AJ33" s="153"/>
      <c r="AK33" s="153"/>
      <c r="AL33" s="153"/>
      <c r="AM33" s="207"/>
      <c r="AN33" s="202"/>
      <c r="AO33" s="155"/>
      <c r="AP33" s="137"/>
      <c r="AQ33" s="137"/>
      <c r="AR33" s="141"/>
      <c r="AS33" s="387">
        <v>0.5</v>
      </c>
      <c r="AT33" s="29">
        <v>0.5</v>
      </c>
      <c r="AU33" s="309">
        <v>0.5</v>
      </c>
      <c r="AV33" s="309">
        <v>0.5</v>
      </c>
      <c r="AW33" s="309">
        <v>0.5</v>
      </c>
      <c r="AX33" s="309">
        <v>0.5</v>
      </c>
      <c r="AY33" s="309">
        <v>0.5</v>
      </c>
      <c r="AZ33" s="309">
        <v>0.5</v>
      </c>
      <c r="BA33" s="309">
        <v>0.5</v>
      </c>
      <c r="BB33" s="309">
        <v>0.5</v>
      </c>
      <c r="BC33" s="309">
        <v>0.5</v>
      </c>
      <c r="BD33" s="716">
        <v>0.5</v>
      </c>
      <c r="BE33" s="310">
        <v>2</v>
      </c>
      <c r="BF33" s="717"/>
      <c r="BG33" s="325">
        <f>SUM(AE33:BF33)</f>
      </c>
      <c r="BH33" s="303"/>
      <c r="BI33" s="304"/>
      <c r="BJ33" s="136"/>
      <c r="BK33" s="153"/>
      <c r="BL33" s="153"/>
      <c r="BM33" s="153"/>
      <c r="BN33" s="153"/>
      <c r="BO33" s="153"/>
      <c r="BP33" s="207"/>
      <c r="BQ33" s="202"/>
      <c r="BR33" s="155"/>
      <c r="BS33" s="137"/>
      <c r="BT33" s="137"/>
      <c r="BU33" s="141"/>
      <c r="BV33" s="387">
        <v>0.5</v>
      </c>
      <c r="BW33" s="29">
        <v>0.5</v>
      </c>
      <c r="BX33" s="309">
        <v>0.5</v>
      </c>
      <c r="BY33" s="309">
        <v>0.5</v>
      </c>
      <c r="BZ33" s="309">
        <v>0.5</v>
      </c>
      <c r="CA33" s="309">
        <v>0.5</v>
      </c>
      <c r="CB33" s="309">
        <v>0.5</v>
      </c>
      <c r="CC33" s="309">
        <v>0.5</v>
      </c>
      <c r="CD33" s="309">
        <v>0.5</v>
      </c>
      <c r="CE33" s="309">
        <v>0.5</v>
      </c>
      <c r="CF33" s="309">
        <v>0.5</v>
      </c>
      <c r="CG33" s="716">
        <v>0.5</v>
      </c>
      <c r="CH33" s="310">
        <v>2</v>
      </c>
      <c r="CI33" s="717"/>
      <c r="CJ33" s="325">
        <f>SUM(BH33:CI33)</f>
      </c>
      <c r="CK33" s="303"/>
      <c r="CL33" s="304"/>
      <c r="CM33" s="136"/>
      <c r="CN33" s="153"/>
      <c r="CO33" s="309">
        <v>0.5</v>
      </c>
      <c r="CP33" s="309">
        <v>0.5</v>
      </c>
      <c r="CQ33" s="309">
        <v>0.5</v>
      </c>
      <c r="CR33" s="309">
        <v>0.5</v>
      </c>
      <c r="CS33" s="29">
        <v>0.5</v>
      </c>
      <c r="CT33" s="388">
        <v>0.5</v>
      </c>
      <c r="CU33" s="320">
        <v>0.5</v>
      </c>
      <c r="CV33" s="308">
        <v>0.5</v>
      </c>
      <c r="CW33" s="137"/>
      <c r="CX33" s="141"/>
      <c r="CY33" s="295"/>
      <c r="CZ33" s="207"/>
      <c r="DA33" s="153"/>
      <c r="DB33" s="153"/>
      <c r="DC33" s="153"/>
      <c r="DD33" s="153"/>
      <c r="DE33" s="153"/>
      <c r="DF33" s="153"/>
      <c r="DG33" s="153"/>
      <c r="DH33" s="153"/>
      <c r="DI33" s="153"/>
      <c r="DJ33" s="153"/>
      <c r="DK33" s="304"/>
      <c r="DL33" s="152"/>
      <c r="DM33" s="325">
        <f>SUM(CK33:DL33)</f>
      </c>
      <c r="DN33" s="303"/>
      <c r="DO33" s="304"/>
      <c r="DP33" s="706"/>
      <c r="DQ33" s="327">
        <v>0.5</v>
      </c>
      <c r="DR33" s="327">
        <v>0.5</v>
      </c>
      <c r="DS33" s="327">
        <v>0.5</v>
      </c>
      <c r="DT33" s="327">
        <v>0.5</v>
      </c>
      <c r="DU33" s="327">
        <v>0.5</v>
      </c>
      <c r="DV33" s="328">
        <v>0.5</v>
      </c>
      <c r="DW33" s="327">
        <v>0.5</v>
      </c>
      <c r="DX33" s="329">
        <v>0.5</v>
      </c>
      <c r="DY33" s="718"/>
      <c r="DZ33" s="337"/>
      <c r="EA33" s="330">
        <v>0.5</v>
      </c>
      <c r="EB33" s="327">
        <v>0.5</v>
      </c>
      <c r="EC33" s="327">
        <v>0.5</v>
      </c>
      <c r="ED33" s="702">
        <v>0.5</v>
      </c>
      <c r="EE33" s="702">
        <v>0.5</v>
      </c>
      <c r="EF33" s="702">
        <v>0.5</v>
      </c>
      <c r="EG33" s="702">
        <v>0.5</v>
      </c>
      <c r="EH33" s="702">
        <v>0.5</v>
      </c>
      <c r="EI33" s="719"/>
      <c r="EJ33" s="719"/>
      <c r="EK33" s="332"/>
      <c r="EL33" s="332"/>
      <c r="EM33" s="332"/>
      <c r="EN33" s="304"/>
      <c r="EO33" s="152"/>
      <c r="EP33" s="325">
        <f>SUM(DN33:EO33)</f>
      </c>
      <c r="EQ33" s="4"/>
      <c r="ER33" s="698">
        <f>EP33+DM33+CJ33+BG33+AD33</f>
      </c>
      <c r="ES33" s="4"/>
      <c r="ET33" s="4"/>
      <c r="EU33" s="4"/>
    </row>
    <row r="34" ht="16.5" customHeight="1" spans="1:151" x14ac:dyDescent="0.25">
      <c r="A34" s="699" t="s">
        <v>219</v>
      </c>
      <c r="B34" s="303"/>
      <c r="C34" s="304"/>
      <c r="D34" s="136"/>
      <c r="E34" s="153"/>
      <c r="F34" s="153"/>
      <c r="G34" s="153"/>
      <c r="H34" s="153"/>
      <c r="I34" s="153"/>
      <c r="J34" s="202"/>
      <c r="K34" s="202"/>
      <c r="L34" s="155"/>
      <c r="M34" s="137"/>
      <c r="N34" s="137"/>
      <c r="O34" s="141"/>
      <c r="P34" s="387">
        <v>0.5</v>
      </c>
      <c r="Q34" s="29">
        <v>0.5</v>
      </c>
      <c r="R34" s="309">
        <v>0.5</v>
      </c>
      <c r="S34" s="309">
        <v>0.5</v>
      </c>
      <c r="T34" s="309">
        <v>0.5</v>
      </c>
      <c r="U34" s="309">
        <v>0.5</v>
      </c>
      <c r="V34" s="29">
        <v>0.5</v>
      </c>
      <c r="W34" s="309">
        <v>0.5</v>
      </c>
      <c r="X34" s="309">
        <v>0.5</v>
      </c>
      <c r="Y34" s="309">
        <v>0.5</v>
      </c>
      <c r="Z34" s="309">
        <v>0.5</v>
      </c>
      <c r="AA34" s="716">
        <v>0.5</v>
      </c>
      <c r="AB34" s="720"/>
      <c r="AC34" s="717"/>
      <c r="AD34" s="325">
        <f>SUM(B34:AC34)</f>
      </c>
      <c r="AE34" s="303"/>
      <c r="AF34" s="304"/>
      <c r="AG34" s="313">
        <v>0.5</v>
      </c>
      <c r="AH34" s="309">
        <v>0.5</v>
      </c>
      <c r="AI34" s="309">
        <v>0.5</v>
      </c>
      <c r="AJ34" s="309">
        <v>0.5</v>
      </c>
      <c r="AK34" s="309">
        <v>0.5</v>
      </c>
      <c r="AL34" s="309">
        <v>0.5</v>
      </c>
      <c r="AM34" s="29">
        <v>0.5</v>
      </c>
      <c r="AN34" s="388">
        <v>0.5</v>
      </c>
      <c r="AO34" s="155"/>
      <c r="AP34" s="137"/>
      <c r="AQ34" s="308">
        <v>0.5</v>
      </c>
      <c r="AR34" s="312">
        <v>0.5</v>
      </c>
      <c r="AS34" s="387">
        <v>0.5</v>
      </c>
      <c r="AT34" s="29">
        <v>0.5</v>
      </c>
      <c r="AU34" s="309">
        <v>0.5</v>
      </c>
      <c r="AV34" s="309">
        <v>0.5</v>
      </c>
      <c r="AW34" s="309">
        <v>0.5</v>
      </c>
      <c r="AX34" s="309">
        <v>0.5</v>
      </c>
      <c r="AY34" s="309">
        <v>0.5</v>
      </c>
      <c r="AZ34" s="309">
        <v>0.5</v>
      </c>
      <c r="BA34" s="309">
        <v>0.5</v>
      </c>
      <c r="BB34" s="309">
        <v>0.5</v>
      </c>
      <c r="BC34" s="721"/>
      <c r="BD34" s="721"/>
      <c r="BE34" s="720"/>
      <c r="BF34" s="717"/>
      <c r="BG34" s="325">
        <f>SUM(AE34:BF34)</f>
      </c>
      <c r="BH34" s="303"/>
      <c r="BI34" s="304"/>
      <c r="BJ34" s="313">
        <v>0.5</v>
      </c>
      <c r="BK34" s="309">
        <v>0.5</v>
      </c>
      <c r="BL34" s="309">
        <v>0.5</v>
      </c>
      <c r="BM34" s="309">
        <v>0.5</v>
      </c>
      <c r="BN34" s="309">
        <v>0.5</v>
      </c>
      <c r="BO34" s="309">
        <v>0.5</v>
      </c>
      <c r="BP34" s="29">
        <v>0.5</v>
      </c>
      <c r="BQ34" s="388">
        <v>0.5</v>
      </c>
      <c r="BR34" s="155"/>
      <c r="BS34" s="137"/>
      <c r="BT34" s="308">
        <v>0.5</v>
      </c>
      <c r="BU34" s="312">
        <v>0.5</v>
      </c>
      <c r="BV34" s="387">
        <v>0.5</v>
      </c>
      <c r="BW34" s="29">
        <v>0.5</v>
      </c>
      <c r="BX34" s="309">
        <v>0.5</v>
      </c>
      <c r="BY34" s="309">
        <v>0.5</v>
      </c>
      <c r="BZ34" s="309">
        <v>0.5</v>
      </c>
      <c r="CA34" s="309">
        <v>0.5</v>
      </c>
      <c r="CB34" s="309">
        <v>0.5</v>
      </c>
      <c r="CC34" s="309">
        <v>0.5</v>
      </c>
      <c r="CD34" s="309">
        <v>0.5</v>
      </c>
      <c r="CE34" s="309">
        <v>0.5</v>
      </c>
      <c r="CF34" s="721"/>
      <c r="CG34" s="721"/>
      <c r="CH34" s="720"/>
      <c r="CI34" s="717"/>
      <c r="CJ34" s="325">
        <f>SUM(BH34:CI34)</f>
      </c>
      <c r="CK34" s="303"/>
      <c r="CL34" s="304"/>
      <c r="CM34" s="313">
        <v>0.5</v>
      </c>
      <c r="CN34" s="309">
        <v>0.5</v>
      </c>
      <c r="CO34" s="309">
        <v>0.5</v>
      </c>
      <c r="CP34" s="309">
        <v>0.5</v>
      </c>
      <c r="CQ34" s="309">
        <v>0.5</v>
      </c>
      <c r="CR34" s="309">
        <v>0.5</v>
      </c>
      <c r="CS34" s="29">
        <v>0.5</v>
      </c>
      <c r="CT34" s="388">
        <v>0.5</v>
      </c>
      <c r="CU34" s="155"/>
      <c r="CV34" s="137"/>
      <c r="CW34" s="137"/>
      <c r="CX34" s="141"/>
      <c r="CY34" s="295"/>
      <c r="CZ34" s="207"/>
      <c r="DA34" s="153"/>
      <c r="DB34" s="153"/>
      <c r="DC34" s="153"/>
      <c r="DD34" s="153"/>
      <c r="DE34" s="153"/>
      <c r="DF34" s="153"/>
      <c r="DG34" s="153"/>
      <c r="DH34" s="153"/>
      <c r="DI34" s="153"/>
      <c r="DJ34" s="153"/>
      <c r="DK34" s="304"/>
      <c r="DL34" s="152"/>
      <c r="DM34" s="325">
        <f>SUM(CK34:DL34)</f>
      </c>
      <c r="DN34" s="303"/>
      <c r="DO34" s="304"/>
      <c r="DP34" s="706"/>
      <c r="DQ34" s="327">
        <v>0.5</v>
      </c>
      <c r="DR34" s="327">
        <v>0.5</v>
      </c>
      <c r="DS34" s="327">
        <v>0.5</v>
      </c>
      <c r="DT34" s="327">
        <v>0.5</v>
      </c>
      <c r="DU34" s="327">
        <v>0.5</v>
      </c>
      <c r="DV34" s="328">
        <v>0.5</v>
      </c>
      <c r="DW34" s="327">
        <v>0.5</v>
      </c>
      <c r="DX34" s="329">
        <v>0.5</v>
      </c>
      <c r="DY34" s="718"/>
      <c r="DZ34" s="337"/>
      <c r="EA34" s="330">
        <v>0.5</v>
      </c>
      <c r="EB34" s="327">
        <v>0.5</v>
      </c>
      <c r="EC34" s="327">
        <v>0.5</v>
      </c>
      <c r="ED34" s="702">
        <v>0.5</v>
      </c>
      <c r="EE34" s="702">
        <v>0.5</v>
      </c>
      <c r="EF34" s="702">
        <v>0.5</v>
      </c>
      <c r="EG34" s="702">
        <v>0.5</v>
      </c>
      <c r="EH34" s="702">
        <v>0.5</v>
      </c>
      <c r="EI34" s="719"/>
      <c r="EJ34" s="719"/>
      <c r="EK34" s="332"/>
      <c r="EL34" s="332"/>
      <c r="EM34" s="332"/>
      <c r="EN34" s="304"/>
      <c r="EO34" s="152"/>
      <c r="EP34" s="325">
        <f>SUM(DN34:EO34)</f>
      </c>
      <c r="EQ34" s="4"/>
      <c r="ER34" s="698">
        <f>EP34+DM34+CJ34+BG34+AD34</f>
      </c>
      <c r="ES34" s="4"/>
      <c r="ET34" s="4"/>
      <c r="EU34" s="4"/>
    </row>
    <row r="35" ht="16.5" customHeight="1" spans="1:151" x14ac:dyDescent="0.25">
      <c r="A35" s="699" t="s">
        <v>220</v>
      </c>
      <c r="B35" s="303"/>
      <c r="C35" s="304"/>
      <c r="D35" s="136"/>
      <c r="E35" s="153"/>
      <c r="F35" s="153"/>
      <c r="G35" s="153"/>
      <c r="H35" s="153"/>
      <c r="I35" s="153"/>
      <c r="J35" s="202"/>
      <c r="K35" s="202"/>
      <c r="L35" s="155"/>
      <c r="M35" s="137"/>
      <c r="N35" s="137"/>
      <c r="O35" s="141"/>
      <c r="P35" s="387">
        <v>0.5</v>
      </c>
      <c r="Q35" s="29">
        <v>0.5</v>
      </c>
      <c r="R35" s="309">
        <v>0.5</v>
      </c>
      <c r="S35" s="309">
        <v>0.5</v>
      </c>
      <c r="T35" s="309">
        <v>0.5</v>
      </c>
      <c r="U35" s="309">
        <v>0.5</v>
      </c>
      <c r="V35" s="29">
        <v>0.5</v>
      </c>
      <c r="W35" s="309">
        <v>0.5</v>
      </c>
      <c r="X35" s="309">
        <v>0.5</v>
      </c>
      <c r="Y35" s="309">
        <v>0.5</v>
      </c>
      <c r="Z35" s="309">
        <v>0.5</v>
      </c>
      <c r="AA35" s="716">
        <v>0.5</v>
      </c>
      <c r="AB35" s="720"/>
      <c r="AC35" s="717"/>
      <c r="AD35" s="325">
        <f>SUM(B35:AC35)</f>
      </c>
      <c r="AE35" s="303"/>
      <c r="AF35" s="304"/>
      <c r="AG35" s="136"/>
      <c r="AH35" s="309">
        <v>0.5</v>
      </c>
      <c r="AI35" s="309">
        <v>0.5</v>
      </c>
      <c r="AJ35" s="309">
        <v>0.5</v>
      </c>
      <c r="AK35" s="309">
        <v>0.5</v>
      </c>
      <c r="AL35" s="309">
        <v>0.5</v>
      </c>
      <c r="AM35" s="29">
        <v>0.5</v>
      </c>
      <c r="AN35" s="388">
        <v>0.5</v>
      </c>
      <c r="AO35" s="320">
        <v>0.5</v>
      </c>
      <c r="AP35" s="137"/>
      <c r="AQ35" s="137"/>
      <c r="AR35" s="312">
        <v>0.5</v>
      </c>
      <c r="AS35" s="387">
        <v>0.5</v>
      </c>
      <c r="AT35" s="29">
        <v>0.5</v>
      </c>
      <c r="AU35" s="309">
        <v>0.5</v>
      </c>
      <c r="AV35" s="309">
        <v>0.5</v>
      </c>
      <c r="AW35" s="309">
        <v>0.5</v>
      </c>
      <c r="AX35" s="309">
        <v>0.5</v>
      </c>
      <c r="AY35" s="309">
        <v>0.5</v>
      </c>
      <c r="AZ35" s="309">
        <v>0.5</v>
      </c>
      <c r="BA35" s="309">
        <v>0.5</v>
      </c>
      <c r="BB35" s="309">
        <v>0.5</v>
      </c>
      <c r="BC35" s="309">
        <v>0.5</v>
      </c>
      <c r="BD35" s="721"/>
      <c r="BE35" s="720"/>
      <c r="BF35" s="717"/>
      <c r="BG35" s="325">
        <f>SUM(AE35:BF35)</f>
      </c>
      <c r="BH35" s="303"/>
      <c r="BI35" s="304"/>
      <c r="BJ35" s="136"/>
      <c r="BK35" s="309">
        <v>0.5</v>
      </c>
      <c r="BL35" s="309">
        <v>0.5</v>
      </c>
      <c r="BM35" s="309">
        <v>0.5</v>
      </c>
      <c r="BN35" s="309">
        <v>0.5</v>
      </c>
      <c r="BO35" s="309">
        <v>0.5</v>
      </c>
      <c r="BP35" s="29">
        <v>0.5</v>
      </c>
      <c r="BQ35" s="388">
        <v>0.5</v>
      </c>
      <c r="BR35" s="320">
        <v>0.5</v>
      </c>
      <c r="BS35" s="137"/>
      <c r="BT35" s="137"/>
      <c r="BU35" s="312">
        <v>0.5</v>
      </c>
      <c r="BV35" s="387">
        <v>0.5</v>
      </c>
      <c r="BW35" s="29">
        <v>0.5</v>
      </c>
      <c r="BX35" s="309">
        <v>0.5</v>
      </c>
      <c r="BY35" s="309">
        <v>0.5</v>
      </c>
      <c r="BZ35" s="309">
        <v>0.5</v>
      </c>
      <c r="CA35" s="309">
        <v>0.5</v>
      </c>
      <c r="CB35" s="309">
        <v>0.5</v>
      </c>
      <c r="CC35" s="309">
        <v>0.5</v>
      </c>
      <c r="CD35" s="309">
        <v>0.5</v>
      </c>
      <c r="CE35" s="309">
        <v>0.5</v>
      </c>
      <c r="CF35" s="309">
        <v>0.5</v>
      </c>
      <c r="CG35" s="721"/>
      <c r="CH35" s="720"/>
      <c r="CI35" s="717"/>
      <c r="CJ35" s="325">
        <f>SUM(BH35:CI35)</f>
      </c>
      <c r="CK35" s="303"/>
      <c r="CL35" s="304"/>
      <c r="CM35" s="136"/>
      <c r="CN35" s="309">
        <v>0.5</v>
      </c>
      <c r="CO35" s="309">
        <v>0.5</v>
      </c>
      <c r="CP35" s="309">
        <v>0.5</v>
      </c>
      <c r="CQ35" s="309">
        <v>0.5</v>
      </c>
      <c r="CR35" s="309">
        <v>0.5</v>
      </c>
      <c r="CS35" s="29">
        <v>0.5</v>
      </c>
      <c r="CT35" s="388">
        <v>0.5</v>
      </c>
      <c r="CU35" s="320">
        <v>0.5</v>
      </c>
      <c r="CV35" s="137"/>
      <c r="CW35" s="137"/>
      <c r="CX35" s="141"/>
      <c r="CY35" s="295"/>
      <c r="CZ35" s="207"/>
      <c r="DA35" s="153"/>
      <c r="DB35" s="153"/>
      <c r="DC35" s="153"/>
      <c r="DD35" s="153"/>
      <c r="DE35" s="153"/>
      <c r="DF35" s="153"/>
      <c r="DG35" s="153"/>
      <c r="DH35" s="153"/>
      <c r="DI35" s="153"/>
      <c r="DJ35" s="153"/>
      <c r="DK35" s="304"/>
      <c r="DL35" s="152"/>
      <c r="DM35" s="325">
        <f>SUM(CK35:DL35)</f>
      </c>
      <c r="DN35" s="303"/>
      <c r="DO35" s="304"/>
      <c r="DP35" s="706"/>
      <c r="DQ35" s="327">
        <v>0.5</v>
      </c>
      <c r="DR35" s="327">
        <v>0.5</v>
      </c>
      <c r="DS35" s="327">
        <v>0.5</v>
      </c>
      <c r="DT35" s="327">
        <v>0.5</v>
      </c>
      <c r="DU35" s="327">
        <v>0.5</v>
      </c>
      <c r="DV35" s="328">
        <v>0.5</v>
      </c>
      <c r="DW35" s="327">
        <v>0.5</v>
      </c>
      <c r="DX35" s="329">
        <v>0.5</v>
      </c>
      <c r="DY35" s="718"/>
      <c r="DZ35" s="337"/>
      <c r="EA35" s="330">
        <v>0.5</v>
      </c>
      <c r="EB35" s="327">
        <v>0.5</v>
      </c>
      <c r="EC35" s="327">
        <v>0.5</v>
      </c>
      <c r="ED35" s="702">
        <v>0.5</v>
      </c>
      <c r="EE35" s="702">
        <v>0.5</v>
      </c>
      <c r="EF35" s="702">
        <v>0.5</v>
      </c>
      <c r="EG35" s="702">
        <v>0.5</v>
      </c>
      <c r="EH35" s="702">
        <v>0.5</v>
      </c>
      <c r="EI35" s="719"/>
      <c r="EJ35" s="719"/>
      <c r="EK35" s="332"/>
      <c r="EL35" s="332"/>
      <c r="EM35" s="332"/>
      <c r="EN35" s="304"/>
      <c r="EO35" s="152"/>
      <c r="EP35" s="325">
        <f>SUM(DN35:EO35)</f>
      </c>
      <c r="EQ35" s="4"/>
      <c r="ER35" s="698">
        <f>EP35+DM35+CJ35+BG35+AD35</f>
      </c>
      <c r="ES35" s="4"/>
      <c r="ET35" s="4"/>
      <c r="EU35" s="4"/>
    </row>
    <row r="36" ht="16.5" customHeight="1" spans="1:151" x14ac:dyDescent="0.25">
      <c r="A36" s="699" t="s">
        <v>221</v>
      </c>
      <c r="B36" s="303"/>
      <c r="C36" s="304"/>
      <c r="D36" s="136"/>
      <c r="E36" s="153"/>
      <c r="F36" s="153"/>
      <c r="G36" s="153"/>
      <c r="H36" s="153"/>
      <c r="I36" s="153"/>
      <c r="J36" s="202"/>
      <c r="K36" s="202"/>
      <c r="L36" s="155"/>
      <c r="M36" s="137"/>
      <c r="N36" s="137"/>
      <c r="O36" s="141"/>
      <c r="P36" s="387">
        <v>0.5</v>
      </c>
      <c r="Q36" s="29">
        <v>0.5</v>
      </c>
      <c r="R36" s="309">
        <v>0.5</v>
      </c>
      <c r="S36" s="309">
        <v>0.5</v>
      </c>
      <c r="T36" s="309">
        <v>0.5</v>
      </c>
      <c r="U36" s="309">
        <v>0.5</v>
      </c>
      <c r="V36" s="29">
        <v>0.5</v>
      </c>
      <c r="W36" s="309">
        <v>0.5</v>
      </c>
      <c r="X36" s="309">
        <v>0.5</v>
      </c>
      <c r="Y36" s="309">
        <v>0.5</v>
      </c>
      <c r="Z36" s="309">
        <v>0.5</v>
      </c>
      <c r="AA36" s="716">
        <v>0.5</v>
      </c>
      <c r="AB36" s="720"/>
      <c r="AC36" s="717"/>
      <c r="AD36" s="325">
        <f>SUM(B36:AC36)</f>
      </c>
      <c r="AE36" s="303"/>
      <c r="AF36" s="304"/>
      <c r="AG36" s="136"/>
      <c r="AH36" s="153"/>
      <c r="AI36" s="309">
        <v>0.5</v>
      </c>
      <c r="AJ36" s="309">
        <v>0.5</v>
      </c>
      <c r="AK36" s="309">
        <v>0.5</v>
      </c>
      <c r="AL36" s="309">
        <v>0.5</v>
      </c>
      <c r="AM36" s="29">
        <v>0.5</v>
      </c>
      <c r="AN36" s="388">
        <v>0.5</v>
      </c>
      <c r="AO36" s="320">
        <v>0.5</v>
      </c>
      <c r="AP36" s="308">
        <v>0.5</v>
      </c>
      <c r="AQ36" s="137"/>
      <c r="AR36" s="141"/>
      <c r="AS36" s="387">
        <v>0.5</v>
      </c>
      <c r="AT36" s="29">
        <v>0.5</v>
      </c>
      <c r="AU36" s="309">
        <v>0.5</v>
      </c>
      <c r="AV36" s="309">
        <v>0.5</v>
      </c>
      <c r="AW36" s="309">
        <v>0.5</v>
      </c>
      <c r="AX36" s="309">
        <v>0.5</v>
      </c>
      <c r="AY36" s="309">
        <v>0.5</v>
      </c>
      <c r="AZ36" s="309">
        <v>0.5</v>
      </c>
      <c r="BA36" s="309">
        <v>0.5</v>
      </c>
      <c r="BB36" s="309">
        <v>0.5</v>
      </c>
      <c r="BC36" s="309">
        <v>0.5</v>
      </c>
      <c r="BD36" s="716">
        <v>0.5</v>
      </c>
      <c r="BE36" s="720"/>
      <c r="BF36" s="717"/>
      <c r="BG36" s="325">
        <f>SUM(AE36:BF36)</f>
      </c>
      <c r="BH36" s="303"/>
      <c r="BI36" s="304"/>
      <c r="BJ36" s="136"/>
      <c r="BK36" s="153"/>
      <c r="BL36" s="309">
        <v>0.5</v>
      </c>
      <c r="BM36" s="309">
        <v>0.5</v>
      </c>
      <c r="BN36" s="309">
        <v>0.5</v>
      </c>
      <c r="BO36" s="309">
        <v>0.5</v>
      </c>
      <c r="BP36" s="29">
        <v>0.5</v>
      </c>
      <c r="BQ36" s="388">
        <v>0.5</v>
      </c>
      <c r="BR36" s="320">
        <v>0.5</v>
      </c>
      <c r="BS36" s="308">
        <v>0.5</v>
      </c>
      <c r="BT36" s="137"/>
      <c r="BU36" s="141"/>
      <c r="BV36" s="387">
        <v>0.5</v>
      </c>
      <c r="BW36" s="29">
        <v>0.5</v>
      </c>
      <c r="BX36" s="309">
        <v>0.5</v>
      </c>
      <c r="BY36" s="309">
        <v>0.5</v>
      </c>
      <c r="BZ36" s="309">
        <v>0.5</v>
      </c>
      <c r="CA36" s="309">
        <v>0.5</v>
      </c>
      <c r="CB36" s="309">
        <v>0.5</v>
      </c>
      <c r="CC36" s="309">
        <v>0.5</v>
      </c>
      <c r="CD36" s="309">
        <v>0.5</v>
      </c>
      <c r="CE36" s="309">
        <v>0.5</v>
      </c>
      <c r="CF36" s="309">
        <v>0.5</v>
      </c>
      <c r="CG36" s="716">
        <v>0.5</v>
      </c>
      <c r="CH36" s="720"/>
      <c r="CI36" s="717"/>
      <c r="CJ36" s="325">
        <f>SUM(BH36:CI36)</f>
      </c>
      <c r="CK36" s="303"/>
      <c r="CL36" s="304"/>
      <c r="CM36" s="136"/>
      <c r="CN36" s="153"/>
      <c r="CO36" s="309">
        <v>0.5</v>
      </c>
      <c r="CP36" s="309">
        <v>0.5</v>
      </c>
      <c r="CQ36" s="309">
        <v>0.5</v>
      </c>
      <c r="CR36" s="309">
        <v>0.5</v>
      </c>
      <c r="CS36" s="29">
        <v>0.5</v>
      </c>
      <c r="CT36" s="388">
        <v>0.5</v>
      </c>
      <c r="CU36" s="320">
        <v>0.5</v>
      </c>
      <c r="CV36" s="308">
        <v>0.5</v>
      </c>
      <c r="CW36" s="137"/>
      <c r="CX36" s="141"/>
      <c r="CY36" s="295"/>
      <c r="CZ36" s="207"/>
      <c r="DA36" s="153"/>
      <c r="DB36" s="153"/>
      <c r="DC36" s="153"/>
      <c r="DD36" s="153"/>
      <c r="DE36" s="153"/>
      <c r="DF36" s="153"/>
      <c r="DG36" s="153"/>
      <c r="DH36" s="153"/>
      <c r="DI36" s="153"/>
      <c r="DJ36" s="153"/>
      <c r="DK36" s="304"/>
      <c r="DL36" s="152"/>
      <c r="DM36" s="325">
        <f>SUM(CK36:DL36)</f>
      </c>
      <c r="DN36" s="303"/>
      <c r="DO36" s="304"/>
      <c r="DP36" s="706"/>
      <c r="DQ36" s="327">
        <v>0.5</v>
      </c>
      <c r="DR36" s="327">
        <v>0.5</v>
      </c>
      <c r="DS36" s="327">
        <v>0.5</v>
      </c>
      <c r="DT36" s="327">
        <v>0.5</v>
      </c>
      <c r="DU36" s="327">
        <v>0.5</v>
      </c>
      <c r="DV36" s="328">
        <v>0.5</v>
      </c>
      <c r="DW36" s="327">
        <v>0.5</v>
      </c>
      <c r="DX36" s="329">
        <v>0.5</v>
      </c>
      <c r="DY36" s="718"/>
      <c r="DZ36" s="337"/>
      <c r="EA36" s="330">
        <v>0.5</v>
      </c>
      <c r="EB36" s="327">
        <v>0.5</v>
      </c>
      <c r="EC36" s="327">
        <v>0.5</v>
      </c>
      <c r="ED36" s="702">
        <v>0.5</v>
      </c>
      <c r="EE36" s="702">
        <v>0.5</v>
      </c>
      <c r="EF36" s="702">
        <v>0.5</v>
      </c>
      <c r="EG36" s="702">
        <v>0.5</v>
      </c>
      <c r="EH36" s="702">
        <v>0.5</v>
      </c>
      <c r="EI36" s="719"/>
      <c r="EJ36" s="719"/>
      <c r="EK36" s="332"/>
      <c r="EL36" s="332"/>
      <c r="EM36" s="332"/>
      <c r="EN36" s="304"/>
      <c r="EO36" s="152"/>
      <c r="EP36" s="325">
        <f>SUM(DN36:EO36)</f>
      </c>
      <c r="EQ36" s="4"/>
      <c r="ER36" s="698">
        <f>EP36+DM36+CJ36+BG36+AD36</f>
      </c>
      <c r="ES36" s="4"/>
      <c r="ET36" s="4"/>
      <c r="EU36" s="4"/>
    </row>
    <row r="37" ht="16.5" customHeight="1" spans="1:151" x14ac:dyDescent="0.25">
      <c r="A37" s="699" t="s">
        <v>222</v>
      </c>
      <c r="B37" s="303"/>
      <c r="C37" s="304"/>
      <c r="D37" s="136"/>
      <c r="E37" s="153"/>
      <c r="F37" s="153"/>
      <c r="G37" s="153"/>
      <c r="H37" s="153"/>
      <c r="I37" s="153"/>
      <c r="J37" s="202"/>
      <c r="K37" s="202"/>
      <c r="L37" s="155"/>
      <c r="M37" s="137"/>
      <c r="N37" s="137"/>
      <c r="O37" s="141"/>
      <c r="P37" s="387">
        <v>0.5</v>
      </c>
      <c r="Q37" s="29">
        <v>0.5</v>
      </c>
      <c r="R37" s="309">
        <v>0.5</v>
      </c>
      <c r="S37" s="309">
        <v>0.5</v>
      </c>
      <c r="T37" s="309">
        <v>0.5</v>
      </c>
      <c r="U37" s="309">
        <v>0.5</v>
      </c>
      <c r="V37" s="29">
        <v>0.5</v>
      </c>
      <c r="W37" s="309">
        <v>0.5</v>
      </c>
      <c r="X37" s="153"/>
      <c r="Y37" s="153"/>
      <c r="Z37" s="721"/>
      <c r="AA37" s="722"/>
      <c r="AB37" s="720"/>
      <c r="AC37" s="717"/>
      <c r="AD37" s="325">
        <f>SUM(B37:AC37)</f>
      </c>
      <c r="AE37" s="303"/>
      <c r="AF37" s="304"/>
      <c r="AG37" s="313">
        <v>0.5</v>
      </c>
      <c r="AH37" s="309">
        <v>0.5</v>
      </c>
      <c r="AI37" s="309">
        <v>0.5</v>
      </c>
      <c r="AJ37" s="309">
        <v>0.5</v>
      </c>
      <c r="AK37" s="309">
        <v>0.5</v>
      </c>
      <c r="AL37" s="309">
        <v>0.5</v>
      </c>
      <c r="AM37" s="29">
        <v>0.5</v>
      </c>
      <c r="AN37" s="388">
        <v>0.5</v>
      </c>
      <c r="AO37" s="155"/>
      <c r="AP37" s="137"/>
      <c r="AQ37" s="137"/>
      <c r="AR37" s="141"/>
      <c r="AS37" s="387">
        <v>0.5</v>
      </c>
      <c r="AT37" s="29">
        <v>0.5</v>
      </c>
      <c r="AU37" s="309">
        <v>0.5</v>
      </c>
      <c r="AV37" s="309">
        <v>0.5</v>
      </c>
      <c r="AW37" s="309">
        <v>0.5</v>
      </c>
      <c r="AX37" s="309">
        <v>0.5</v>
      </c>
      <c r="AY37" s="723"/>
      <c r="AZ37" s="721"/>
      <c r="BA37" s="721"/>
      <c r="BB37" s="721"/>
      <c r="BC37" s="721"/>
      <c r="BD37" s="721"/>
      <c r="BE37" s="720"/>
      <c r="BF37" s="717"/>
      <c r="BG37" s="325">
        <f>SUM(AE37:BF37)</f>
      </c>
      <c r="BH37" s="303"/>
      <c r="BI37" s="304"/>
      <c r="BJ37" s="313">
        <v>0.5</v>
      </c>
      <c r="BK37" s="309">
        <v>0.5</v>
      </c>
      <c r="BL37" s="309">
        <v>0.5</v>
      </c>
      <c r="BM37" s="309">
        <v>0.5</v>
      </c>
      <c r="BN37" s="309">
        <v>0.5</v>
      </c>
      <c r="BO37" s="309">
        <v>0.5</v>
      </c>
      <c r="BP37" s="29">
        <v>0.5</v>
      </c>
      <c r="BQ37" s="388">
        <v>0.5</v>
      </c>
      <c r="BR37" s="155"/>
      <c r="BS37" s="137"/>
      <c r="BT37" s="137"/>
      <c r="BU37" s="141"/>
      <c r="BV37" s="387">
        <v>0.5</v>
      </c>
      <c r="BW37" s="29">
        <v>0.5</v>
      </c>
      <c r="BX37" s="309">
        <v>0.5</v>
      </c>
      <c r="BY37" s="309">
        <v>0.5</v>
      </c>
      <c r="BZ37" s="309">
        <v>0.5</v>
      </c>
      <c r="CA37" s="309">
        <v>0.5</v>
      </c>
      <c r="CB37" s="723"/>
      <c r="CC37" s="721"/>
      <c r="CD37" s="721"/>
      <c r="CE37" s="721"/>
      <c r="CF37" s="721"/>
      <c r="CG37" s="721"/>
      <c r="CH37" s="720"/>
      <c r="CI37" s="717"/>
      <c r="CJ37" s="325">
        <f>SUM(BH37:CI37)</f>
      </c>
      <c r="CK37" s="303"/>
      <c r="CL37" s="304"/>
      <c r="CM37" s="313">
        <v>0.5</v>
      </c>
      <c r="CN37" s="309">
        <v>0.5</v>
      </c>
      <c r="CO37" s="309">
        <v>0.5</v>
      </c>
      <c r="CP37" s="309">
        <v>0.5</v>
      </c>
      <c r="CQ37" s="309">
        <v>0.5</v>
      </c>
      <c r="CR37" s="309">
        <v>0.5</v>
      </c>
      <c r="CS37" s="29">
        <v>0.5</v>
      </c>
      <c r="CT37" s="388">
        <v>0.5</v>
      </c>
      <c r="CU37" s="155"/>
      <c r="CV37" s="137"/>
      <c r="CW37" s="137"/>
      <c r="CX37" s="141"/>
      <c r="CY37" s="387">
        <v>0.5</v>
      </c>
      <c r="CZ37" s="29">
        <v>0.5</v>
      </c>
      <c r="DA37" s="309">
        <v>0.5</v>
      </c>
      <c r="DB37" s="309">
        <v>0.5</v>
      </c>
      <c r="DC37" s="309">
        <v>0.5</v>
      </c>
      <c r="DD37" s="309">
        <v>0.5</v>
      </c>
      <c r="DE37" s="723"/>
      <c r="DF37" s="721"/>
      <c r="DG37" s="721"/>
      <c r="DH37" s="721"/>
      <c r="DI37" s="721"/>
      <c r="DJ37" s="721"/>
      <c r="DK37" s="720"/>
      <c r="DL37" s="717"/>
      <c r="DM37" s="325">
        <f>SUM(CK37:DL37)</f>
      </c>
      <c r="DN37" s="303"/>
      <c r="DO37" s="304"/>
      <c r="DP37" s="706"/>
      <c r="DQ37" s="719"/>
      <c r="DR37" s="719"/>
      <c r="DS37" s="719"/>
      <c r="DT37" s="719"/>
      <c r="DU37" s="719"/>
      <c r="DV37" s="718"/>
      <c r="DW37" s="719"/>
      <c r="DX37" s="724"/>
      <c r="DY37" s="718"/>
      <c r="DZ37" s="337"/>
      <c r="EA37" s="707"/>
      <c r="EB37" s="719"/>
      <c r="EC37" s="719"/>
      <c r="ED37" s="719"/>
      <c r="EE37" s="719"/>
      <c r="EF37" s="719"/>
      <c r="EG37" s="719"/>
      <c r="EH37" s="719"/>
      <c r="EI37" s="719"/>
      <c r="EJ37" s="719"/>
      <c r="EK37" s="332"/>
      <c r="EL37" s="332"/>
      <c r="EM37" s="332"/>
      <c r="EN37" s="304"/>
      <c r="EO37" s="152"/>
      <c r="EP37" s="325">
        <f>SUM(DN37:EO37)</f>
      </c>
      <c r="EQ37" s="4"/>
      <c r="ER37" s="698">
        <f>EP37+DM37+CJ37+BG37+AD37</f>
      </c>
      <c r="ES37" s="4"/>
      <c r="ET37" s="4"/>
      <c r="EU37" s="4"/>
    </row>
    <row r="38" ht="16.5" customHeight="1" spans="1:151" x14ac:dyDescent="0.25">
      <c r="A38" s="699" t="s">
        <v>223</v>
      </c>
      <c r="B38" s="303"/>
      <c r="C38" s="304"/>
      <c r="D38" s="136"/>
      <c r="E38" s="153"/>
      <c r="F38" s="153"/>
      <c r="G38" s="153"/>
      <c r="H38" s="153"/>
      <c r="I38" s="153"/>
      <c r="J38" s="153"/>
      <c r="K38" s="202"/>
      <c r="L38" s="155"/>
      <c r="M38" s="137"/>
      <c r="N38" s="137"/>
      <c r="O38" s="312">
        <v>0.5</v>
      </c>
      <c r="P38" s="387">
        <v>0.5</v>
      </c>
      <c r="Q38" s="29">
        <v>0.5</v>
      </c>
      <c r="R38" s="309">
        <v>0.5</v>
      </c>
      <c r="S38" s="309">
        <v>0.5</v>
      </c>
      <c r="T38" s="309">
        <v>0.5</v>
      </c>
      <c r="U38" s="309">
        <v>0.5</v>
      </c>
      <c r="V38" s="207"/>
      <c r="W38" s="153"/>
      <c r="X38" s="153"/>
      <c r="Y38" s="153"/>
      <c r="Z38" s="153"/>
      <c r="AA38" s="146"/>
      <c r="AB38" s="304"/>
      <c r="AC38" s="152"/>
      <c r="AD38" s="325">
        <f>SUM(B38:AC38)</f>
      </c>
      <c r="AE38" s="303"/>
      <c r="AF38" s="304"/>
      <c r="AG38" s="313">
        <v>0.5</v>
      </c>
      <c r="AH38" s="309">
        <v>0.5</v>
      </c>
      <c r="AI38" s="309">
        <v>0.5</v>
      </c>
      <c r="AJ38" s="309">
        <v>0.5</v>
      </c>
      <c r="AK38" s="309">
        <v>0.5</v>
      </c>
      <c r="AL38" s="309">
        <v>0.5</v>
      </c>
      <c r="AM38" s="29">
        <v>0.5</v>
      </c>
      <c r="AN38" s="388">
        <v>0.5</v>
      </c>
      <c r="AO38" s="155"/>
      <c r="AP38" s="137"/>
      <c r="AQ38" s="308">
        <v>0.5</v>
      </c>
      <c r="AR38" s="312">
        <v>0.5</v>
      </c>
      <c r="AS38" s="387">
        <v>0.5</v>
      </c>
      <c r="AT38" s="29">
        <v>0.5</v>
      </c>
      <c r="AU38" s="309">
        <v>0.5</v>
      </c>
      <c r="AV38" s="309">
        <v>0.5</v>
      </c>
      <c r="AW38" s="309">
        <v>0.5</v>
      </c>
      <c r="AX38" s="309">
        <v>0.5</v>
      </c>
      <c r="AY38" s="207"/>
      <c r="AZ38" s="153"/>
      <c r="BA38" s="153"/>
      <c r="BB38" s="153"/>
      <c r="BC38" s="153"/>
      <c r="BD38" s="153"/>
      <c r="BE38" s="304"/>
      <c r="BF38" s="152"/>
      <c r="BG38" s="325">
        <f>SUM(AE38:BF38)</f>
      </c>
      <c r="BH38" s="303"/>
      <c r="BI38" s="304"/>
      <c r="BJ38" s="313">
        <v>0.5</v>
      </c>
      <c r="BK38" s="309">
        <v>0.5</v>
      </c>
      <c r="BL38" s="309">
        <v>0.5</v>
      </c>
      <c r="BM38" s="309">
        <v>0.5</v>
      </c>
      <c r="BN38" s="309">
        <v>0.5</v>
      </c>
      <c r="BO38" s="309">
        <v>0.5</v>
      </c>
      <c r="BP38" s="29">
        <v>0.5</v>
      </c>
      <c r="BQ38" s="388">
        <v>0.5</v>
      </c>
      <c r="BR38" s="155"/>
      <c r="BS38" s="137"/>
      <c r="BT38" s="308">
        <v>0.5</v>
      </c>
      <c r="BU38" s="312">
        <v>0.5</v>
      </c>
      <c r="BV38" s="387">
        <v>0.5</v>
      </c>
      <c r="BW38" s="29">
        <v>0.5</v>
      </c>
      <c r="BX38" s="309">
        <v>0.5</v>
      </c>
      <c r="BY38" s="309">
        <v>0.5</v>
      </c>
      <c r="BZ38" s="309">
        <v>0.5</v>
      </c>
      <c r="CA38" s="309">
        <v>0.5</v>
      </c>
      <c r="CB38" s="207"/>
      <c r="CC38" s="153"/>
      <c r="CD38" s="153"/>
      <c r="CE38" s="153"/>
      <c r="CF38" s="153"/>
      <c r="CG38" s="153"/>
      <c r="CH38" s="304"/>
      <c r="CI38" s="152"/>
      <c r="CJ38" s="325">
        <f>SUM(BH38:CI38)</f>
      </c>
      <c r="CK38" s="303"/>
      <c r="CL38" s="304"/>
      <c r="CM38" s="313">
        <v>0.5</v>
      </c>
      <c r="CN38" s="309">
        <v>0.5</v>
      </c>
      <c r="CO38" s="309">
        <v>0.5</v>
      </c>
      <c r="CP38" s="309">
        <v>0.5</v>
      </c>
      <c r="CQ38" s="309">
        <v>0.5</v>
      </c>
      <c r="CR38" s="309">
        <v>0.5</v>
      </c>
      <c r="CS38" s="29">
        <v>0.5</v>
      </c>
      <c r="CT38" s="202"/>
      <c r="CU38" s="155"/>
      <c r="CV38" s="137"/>
      <c r="CW38" s="137"/>
      <c r="CX38" s="141"/>
      <c r="CY38" s="295"/>
      <c r="CZ38" s="207"/>
      <c r="DA38" s="153"/>
      <c r="DB38" s="153"/>
      <c r="DC38" s="153"/>
      <c r="DD38" s="153"/>
      <c r="DE38" s="153"/>
      <c r="DF38" s="153"/>
      <c r="DG38" s="153"/>
      <c r="DH38" s="153"/>
      <c r="DI38" s="153"/>
      <c r="DJ38" s="153"/>
      <c r="DK38" s="304"/>
      <c r="DL38" s="152"/>
      <c r="DM38" s="325">
        <f>SUM(CK38:DL38)</f>
      </c>
      <c r="DN38" s="303"/>
      <c r="DO38" s="304"/>
      <c r="DP38" s="641">
        <v>0.5</v>
      </c>
      <c r="DQ38" s="327">
        <v>0.5</v>
      </c>
      <c r="DR38" s="327">
        <v>0.5</v>
      </c>
      <c r="DS38" s="327">
        <v>0.5</v>
      </c>
      <c r="DT38" s="327">
        <v>0.5</v>
      </c>
      <c r="DU38" s="327">
        <v>0.5</v>
      </c>
      <c r="DV38" s="328">
        <v>0.5</v>
      </c>
      <c r="DW38" s="327">
        <v>0.5</v>
      </c>
      <c r="DX38" s="336"/>
      <c r="DY38" s="337"/>
      <c r="DZ38" s="328">
        <v>0.5</v>
      </c>
      <c r="EA38" s="330">
        <v>0.5</v>
      </c>
      <c r="EB38" s="327">
        <v>0.5</v>
      </c>
      <c r="EC38" s="327">
        <v>0.5</v>
      </c>
      <c r="ED38" s="327">
        <v>0.5</v>
      </c>
      <c r="EE38" s="327">
        <v>0.5</v>
      </c>
      <c r="EF38" s="327">
        <v>0.5</v>
      </c>
      <c r="EG38" s="327">
        <v>0.5</v>
      </c>
      <c r="EH38" s="332"/>
      <c r="EI38" s="332"/>
      <c r="EJ38" s="332"/>
      <c r="EK38" s="332"/>
      <c r="EL38" s="332"/>
      <c r="EM38" s="332"/>
      <c r="EN38" s="304"/>
      <c r="EO38" s="152"/>
      <c r="EP38" s="325">
        <f>SUM(DN38:EO38)</f>
      </c>
      <c r="EQ38" s="4"/>
      <c r="ER38" s="698">
        <f>EP38+DM38+CJ38+BG38+AD38</f>
      </c>
      <c r="ES38" s="4"/>
      <c r="ET38" s="4"/>
      <c r="EU38" s="4"/>
    </row>
    <row r="39" ht="16.5" customHeight="1" spans="1:151" x14ac:dyDescent="0.25">
      <c r="A39" s="699" t="s">
        <v>224</v>
      </c>
      <c r="B39" s="303"/>
      <c r="C39" s="304"/>
      <c r="D39" s="136"/>
      <c r="E39" s="153"/>
      <c r="F39" s="153"/>
      <c r="G39" s="153"/>
      <c r="H39" s="153"/>
      <c r="I39" s="153"/>
      <c r="J39" s="207"/>
      <c r="K39" s="202"/>
      <c r="L39" s="155"/>
      <c r="M39" s="137"/>
      <c r="N39" s="137"/>
      <c r="O39" s="141"/>
      <c r="P39" s="295"/>
      <c r="Q39" s="207"/>
      <c r="R39" s="309">
        <v>0.5</v>
      </c>
      <c r="S39" s="309">
        <v>0.5</v>
      </c>
      <c r="T39" s="309">
        <v>0.5</v>
      </c>
      <c r="U39" s="309">
        <v>0.5</v>
      </c>
      <c r="V39" s="29">
        <v>0.5</v>
      </c>
      <c r="W39" s="309">
        <v>0.5</v>
      </c>
      <c r="X39" s="309">
        <v>0.5</v>
      </c>
      <c r="Y39" s="153"/>
      <c r="Z39" s="153"/>
      <c r="AA39" s="146"/>
      <c r="AB39" s="304"/>
      <c r="AC39" s="152"/>
      <c r="AD39" s="325">
        <f>SUM(B39:AC39)</f>
      </c>
      <c r="AE39" s="303"/>
      <c r="AF39" s="304"/>
      <c r="AG39" s="136"/>
      <c r="AH39" s="153"/>
      <c r="AI39" s="153"/>
      <c r="AJ39" s="309">
        <v>0.5</v>
      </c>
      <c r="AK39" s="309">
        <v>0.5</v>
      </c>
      <c r="AL39" s="309">
        <v>0.5</v>
      </c>
      <c r="AM39" s="29">
        <v>0.5</v>
      </c>
      <c r="AN39" s="388">
        <v>0.5</v>
      </c>
      <c r="AO39" s="320">
        <v>0.5</v>
      </c>
      <c r="AP39" s="308">
        <v>0.5</v>
      </c>
      <c r="AQ39" s="137"/>
      <c r="AR39" s="141"/>
      <c r="AS39" s="387">
        <v>0.5</v>
      </c>
      <c r="AT39" s="29">
        <v>0.5</v>
      </c>
      <c r="AU39" s="309">
        <v>0.5</v>
      </c>
      <c r="AV39" s="309">
        <v>0.5</v>
      </c>
      <c r="AW39" s="309">
        <v>0.5</v>
      </c>
      <c r="AX39" s="309">
        <v>0.5</v>
      </c>
      <c r="AY39" s="29">
        <v>0.5</v>
      </c>
      <c r="AZ39" s="309">
        <v>0.5</v>
      </c>
      <c r="BA39" s="309">
        <v>0.5</v>
      </c>
      <c r="BB39" s="153"/>
      <c r="BC39" s="153"/>
      <c r="BD39" s="153"/>
      <c r="BE39" s="304"/>
      <c r="BF39" s="152"/>
      <c r="BG39" s="325">
        <f>SUM(AE39:BF39)</f>
      </c>
      <c r="BH39" s="303"/>
      <c r="BI39" s="304"/>
      <c r="BJ39" s="136"/>
      <c r="BK39" s="153"/>
      <c r="BL39" s="153"/>
      <c r="BM39" s="309">
        <v>0.5</v>
      </c>
      <c r="BN39" s="309">
        <v>0.5</v>
      </c>
      <c r="BO39" s="309">
        <v>0.5</v>
      </c>
      <c r="BP39" s="29">
        <v>0.5</v>
      </c>
      <c r="BQ39" s="388">
        <v>0.5</v>
      </c>
      <c r="BR39" s="320">
        <v>0.5</v>
      </c>
      <c r="BS39" s="308">
        <v>0.5</v>
      </c>
      <c r="BT39" s="137"/>
      <c r="BU39" s="141"/>
      <c r="BV39" s="387">
        <v>0.5</v>
      </c>
      <c r="BW39" s="29">
        <v>0.5</v>
      </c>
      <c r="BX39" s="309">
        <v>0.5</v>
      </c>
      <c r="BY39" s="309">
        <v>0.5</v>
      </c>
      <c r="BZ39" s="309">
        <v>0.5</v>
      </c>
      <c r="CA39" s="309">
        <v>0.5</v>
      </c>
      <c r="CB39" s="29">
        <v>0.5</v>
      </c>
      <c r="CC39" s="309">
        <v>0.5</v>
      </c>
      <c r="CD39" s="309">
        <v>0.5</v>
      </c>
      <c r="CE39" s="153"/>
      <c r="CF39" s="153"/>
      <c r="CG39" s="153"/>
      <c r="CH39" s="304"/>
      <c r="CI39" s="152"/>
      <c r="CJ39" s="325">
        <f>SUM(BH39:CI39)</f>
      </c>
      <c r="CK39" s="303"/>
      <c r="CL39" s="304"/>
      <c r="CM39" s="136"/>
      <c r="CN39" s="153"/>
      <c r="CO39" s="153"/>
      <c r="CP39" s="309">
        <v>0.5</v>
      </c>
      <c r="CQ39" s="309">
        <v>0.5</v>
      </c>
      <c r="CR39" s="309">
        <v>0.5</v>
      </c>
      <c r="CS39" s="29">
        <v>0.5</v>
      </c>
      <c r="CT39" s="388">
        <v>0.5</v>
      </c>
      <c r="CU39" s="320">
        <v>0.5</v>
      </c>
      <c r="CV39" s="308">
        <v>0.5</v>
      </c>
      <c r="CW39" s="137"/>
      <c r="CX39" s="141"/>
      <c r="CY39" s="295"/>
      <c r="CZ39" s="207"/>
      <c r="DA39" s="153"/>
      <c r="DB39" s="153"/>
      <c r="DC39" s="153"/>
      <c r="DD39" s="153"/>
      <c r="DE39" s="153"/>
      <c r="DF39" s="153"/>
      <c r="DG39" s="153"/>
      <c r="DH39" s="153"/>
      <c r="DI39" s="153"/>
      <c r="DJ39" s="153"/>
      <c r="DK39" s="304"/>
      <c r="DL39" s="152"/>
      <c r="DM39" s="325">
        <f>SUM(CK39:DL39)</f>
      </c>
      <c r="DN39" s="303"/>
      <c r="DO39" s="304"/>
      <c r="DP39" s="706"/>
      <c r="DQ39" s="332"/>
      <c r="DR39" s="332"/>
      <c r="DS39" s="327">
        <v>0.5</v>
      </c>
      <c r="DT39" s="327">
        <v>0.5</v>
      </c>
      <c r="DU39" s="327">
        <v>0.5</v>
      </c>
      <c r="DV39" s="328">
        <v>0.5</v>
      </c>
      <c r="DW39" s="327">
        <v>0.5</v>
      </c>
      <c r="DX39" s="329">
        <v>0.5</v>
      </c>
      <c r="DY39" s="328">
        <v>0.5</v>
      </c>
      <c r="DZ39" s="337"/>
      <c r="EA39" s="707"/>
      <c r="EB39" s="327">
        <v>0.5</v>
      </c>
      <c r="EC39" s="327">
        <v>0.5</v>
      </c>
      <c r="ED39" s="327">
        <v>0.5</v>
      </c>
      <c r="EE39" s="327">
        <v>0.5</v>
      </c>
      <c r="EF39" s="327">
        <v>0.5</v>
      </c>
      <c r="EG39" s="327">
        <v>0.5</v>
      </c>
      <c r="EH39" s="327">
        <v>0.5</v>
      </c>
      <c r="EI39" s="327">
        <v>0.5</v>
      </c>
      <c r="EJ39" s="327">
        <v>0.5</v>
      </c>
      <c r="EK39" s="332"/>
      <c r="EL39" s="332"/>
      <c r="EM39" s="332"/>
      <c r="EN39" s="304"/>
      <c r="EO39" s="152"/>
      <c r="EP39" s="325">
        <f>SUM(DN39:EO39)</f>
      </c>
      <c r="EQ39" s="4"/>
      <c r="ER39" s="698">
        <f>EP39+DM39+CJ39+BG39+AD39</f>
      </c>
      <c r="ES39" s="4"/>
      <c r="ET39" s="4"/>
      <c r="EU39" s="4"/>
    </row>
    <row r="40" ht="16.5" customHeight="1" spans="1:151" x14ac:dyDescent="0.25">
      <c r="A40" s="699" t="s">
        <v>225</v>
      </c>
      <c r="B40" s="303"/>
      <c r="C40" s="304"/>
      <c r="D40" s="136"/>
      <c r="E40" s="153"/>
      <c r="F40" s="153"/>
      <c r="G40" s="153"/>
      <c r="H40" s="153"/>
      <c r="I40" s="153"/>
      <c r="J40" s="207"/>
      <c r="K40" s="202"/>
      <c r="L40" s="155"/>
      <c r="M40" s="137"/>
      <c r="N40" s="137"/>
      <c r="O40" s="312">
        <v>0.5</v>
      </c>
      <c r="P40" s="387">
        <v>0.5</v>
      </c>
      <c r="Q40" s="29">
        <v>0.5</v>
      </c>
      <c r="R40" s="309">
        <v>0.5</v>
      </c>
      <c r="S40" s="309">
        <v>0.5</v>
      </c>
      <c r="T40" s="309">
        <v>0.5</v>
      </c>
      <c r="U40" s="309">
        <v>0.5</v>
      </c>
      <c r="V40" s="29">
        <v>0.5</v>
      </c>
      <c r="W40" s="309">
        <v>0.5</v>
      </c>
      <c r="X40" s="153"/>
      <c r="Y40" s="153"/>
      <c r="Z40" s="153"/>
      <c r="AA40" s="146"/>
      <c r="AB40" s="304"/>
      <c r="AC40" s="152"/>
      <c r="AD40" s="325">
        <f>SUM(B40:AC40)</f>
      </c>
      <c r="AE40" s="303"/>
      <c r="AF40" s="304"/>
      <c r="AG40" s="313">
        <v>0.5</v>
      </c>
      <c r="AH40" s="309">
        <v>0.5</v>
      </c>
      <c r="AI40" s="309">
        <v>0.5</v>
      </c>
      <c r="AJ40" s="309">
        <v>0.5</v>
      </c>
      <c r="AK40" s="309">
        <v>0.5</v>
      </c>
      <c r="AL40" s="309">
        <v>0.5</v>
      </c>
      <c r="AM40" s="29">
        <v>0.5</v>
      </c>
      <c r="AN40" s="388">
        <v>0.5</v>
      </c>
      <c r="AO40" s="155"/>
      <c r="AP40" s="137"/>
      <c r="AQ40" s="308">
        <v>0.5</v>
      </c>
      <c r="AR40" s="312">
        <v>0.5</v>
      </c>
      <c r="AS40" s="387">
        <v>0.5</v>
      </c>
      <c r="AT40" s="29">
        <v>0.5</v>
      </c>
      <c r="AU40" s="309">
        <v>0.5</v>
      </c>
      <c r="AV40" s="309">
        <v>0.5</v>
      </c>
      <c r="AW40" s="309">
        <v>0.5</v>
      </c>
      <c r="AX40" s="309">
        <v>0.5</v>
      </c>
      <c r="AY40" s="29">
        <v>0.5</v>
      </c>
      <c r="AZ40" s="309">
        <v>0.5</v>
      </c>
      <c r="BA40" s="153"/>
      <c r="BB40" s="153"/>
      <c r="BC40" s="153"/>
      <c r="BD40" s="153"/>
      <c r="BE40" s="304"/>
      <c r="BF40" s="152"/>
      <c r="BG40" s="325">
        <f>SUM(AE40:BF40)</f>
      </c>
      <c r="BH40" s="303"/>
      <c r="BI40" s="304"/>
      <c r="BJ40" s="313">
        <v>0.5</v>
      </c>
      <c r="BK40" s="309">
        <v>0.5</v>
      </c>
      <c r="BL40" s="309">
        <v>0.5</v>
      </c>
      <c r="BM40" s="309">
        <v>0.5</v>
      </c>
      <c r="BN40" s="309">
        <v>0.5</v>
      </c>
      <c r="BO40" s="309">
        <v>0.5</v>
      </c>
      <c r="BP40" s="29">
        <v>0.5</v>
      </c>
      <c r="BQ40" s="388">
        <v>0.5</v>
      </c>
      <c r="BR40" s="155"/>
      <c r="BS40" s="137"/>
      <c r="BT40" s="308">
        <v>0.5</v>
      </c>
      <c r="BU40" s="312">
        <v>0.5</v>
      </c>
      <c r="BV40" s="387">
        <v>0.5</v>
      </c>
      <c r="BW40" s="29">
        <v>0.5</v>
      </c>
      <c r="BX40" s="309">
        <v>0.5</v>
      </c>
      <c r="BY40" s="309">
        <v>0.5</v>
      </c>
      <c r="BZ40" s="309">
        <v>0.5</v>
      </c>
      <c r="CA40" s="309">
        <v>0.5</v>
      </c>
      <c r="CB40" s="29">
        <v>0.5</v>
      </c>
      <c r="CC40" s="309">
        <v>0.5</v>
      </c>
      <c r="CD40" s="153"/>
      <c r="CE40" s="153"/>
      <c r="CF40" s="153"/>
      <c r="CG40" s="153"/>
      <c r="CH40" s="304"/>
      <c r="CI40" s="152"/>
      <c r="CJ40" s="325">
        <f>SUM(BH40:CI40)</f>
      </c>
      <c r="CK40" s="303"/>
      <c r="CL40" s="304"/>
      <c r="CM40" s="313">
        <v>0.5</v>
      </c>
      <c r="CN40" s="309">
        <v>0.5</v>
      </c>
      <c r="CO40" s="309">
        <v>0.5</v>
      </c>
      <c r="CP40" s="309">
        <v>0.5</v>
      </c>
      <c r="CQ40" s="309">
        <v>0.5</v>
      </c>
      <c r="CR40" s="309">
        <v>0.5</v>
      </c>
      <c r="CS40" s="29">
        <v>0.5</v>
      </c>
      <c r="CT40" s="388">
        <v>0.5</v>
      </c>
      <c r="CU40" s="155"/>
      <c r="CV40" s="137"/>
      <c r="CW40" s="308">
        <v>0.5</v>
      </c>
      <c r="CX40" s="141"/>
      <c r="CY40" s="295"/>
      <c r="CZ40" s="207"/>
      <c r="DA40" s="153"/>
      <c r="DB40" s="153"/>
      <c r="DC40" s="153"/>
      <c r="DD40" s="153"/>
      <c r="DE40" s="153"/>
      <c r="DF40" s="153"/>
      <c r="DG40" s="153"/>
      <c r="DH40" s="153"/>
      <c r="DI40" s="153"/>
      <c r="DJ40" s="153"/>
      <c r="DK40" s="304"/>
      <c r="DL40" s="152"/>
      <c r="DM40" s="325">
        <f>SUM(CK40:DL40)</f>
      </c>
      <c r="DN40" s="303"/>
      <c r="DO40" s="304"/>
      <c r="DP40" s="641">
        <v>0.5</v>
      </c>
      <c r="DQ40" s="327">
        <v>0.5</v>
      </c>
      <c r="DR40" s="327">
        <v>0.5</v>
      </c>
      <c r="DS40" s="327">
        <v>0.5</v>
      </c>
      <c r="DT40" s="327">
        <v>0.5</v>
      </c>
      <c r="DU40" s="327">
        <v>0.5</v>
      </c>
      <c r="DV40" s="328">
        <v>0.5</v>
      </c>
      <c r="DW40" s="327">
        <v>0.5</v>
      </c>
      <c r="DX40" s="336"/>
      <c r="DY40" s="337"/>
      <c r="DZ40" s="337"/>
      <c r="EA40" s="707"/>
      <c r="EB40" s="332"/>
      <c r="EC40" s="332"/>
      <c r="ED40" s="332"/>
      <c r="EE40" s="332"/>
      <c r="EF40" s="332"/>
      <c r="EG40" s="332"/>
      <c r="EH40" s="332"/>
      <c r="EI40" s="332"/>
      <c r="EJ40" s="332"/>
      <c r="EK40" s="332"/>
      <c r="EL40" s="332"/>
      <c r="EM40" s="332"/>
      <c r="EN40" s="304"/>
      <c r="EO40" s="152"/>
      <c r="EP40" s="325">
        <f>SUM(DN40:EO40)</f>
      </c>
      <c r="EQ40" s="4"/>
      <c r="ER40" s="698">
        <f>EP40+DM40+CJ40+BG40+AD40</f>
      </c>
      <c r="ES40" s="4"/>
      <c r="ET40" s="4"/>
      <c r="EU40" s="4"/>
    </row>
    <row r="41" ht="16.5" customHeight="1" spans="1:151" x14ac:dyDescent="0.25">
      <c r="A41" s="699" t="s">
        <v>226</v>
      </c>
      <c r="B41" s="303"/>
      <c r="C41" s="304"/>
      <c r="D41" s="136"/>
      <c r="E41" s="153"/>
      <c r="F41" s="153"/>
      <c r="G41" s="153"/>
      <c r="H41" s="153"/>
      <c r="I41" s="153"/>
      <c r="J41" s="207"/>
      <c r="K41" s="202"/>
      <c r="L41" s="155"/>
      <c r="M41" s="137"/>
      <c r="N41" s="137"/>
      <c r="O41" s="141"/>
      <c r="P41" s="387">
        <v>0.5</v>
      </c>
      <c r="Q41" s="29">
        <v>0.5</v>
      </c>
      <c r="R41" s="309">
        <v>0.5</v>
      </c>
      <c r="S41" s="309">
        <v>0.5</v>
      </c>
      <c r="T41" s="309">
        <v>0.5</v>
      </c>
      <c r="U41" s="309">
        <v>0.5</v>
      </c>
      <c r="V41" s="29">
        <v>0.5</v>
      </c>
      <c r="W41" s="309">
        <v>0.5</v>
      </c>
      <c r="X41" s="309">
        <v>0.5</v>
      </c>
      <c r="Y41" s="153"/>
      <c r="Z41" s="153"/>
      <c r="AA41" s="146"/>
      <c r="AB41" s="304"/>
      <c r="AC41" s="152"/>
      <c r="AD41" s="325">
        <f>SUM(B41:AC41)</f>
      </c>
      <c r="AE41" s="303"/>
      <c r="AF41" s="304"/>
      <c r="AG41" s="136"/>
      <c r="AH41" s="309">
        <v>0.5</v>
      </c>
      <c r="AI41" s="309">
        <v>0.5</v>
      </c>
      <c r="AJ41" s="309">
        <v>0.5</v>
      </c>
      <c r="AK41" s="309">
        <v>0.5</v>
      </c>
      <c r="AL41" s="309">
        <v>0.5</v>
      </c>
      <c r="AM41" s="29">
        <v>0.5</v>
      </c>
      <c r="AN41" s="388">
        <v>0.5</v>
      </c>
      <c r="AO41" s="320">
        <v>0.5</v>
      </c>
      <c r="AP41" s="308">
        <v>0.5</v>
      </c>
      <c r="AQ41" s="137"/>
      <c r="AR41" s="141"/>
      <c r="AS41" s="387">
        <v>0.5</v>
      </c>
      <c r="AT41" s="29">
        <v>0.5</v>
      </c>
      <c r="AU41" s="309">
        <v>0.5</v>
      </c>
      <c r="AV41" s="309">
        <v>0.5</v>
      </c>
      <c r="AW41" s="309">
        <v>0.5</v>
      </c>
      <c r="AX41" s="309">
        <v>0.5</v>
      </c>
      <c r="AY41" s="29">
        <v>0.5</v>
      </c>
      <c r="AZ41" s="309">
        <v>0.5</v>
      </c>
      <c r="BA41" s="309">
        <v>0.5</v>
      </c>
      <c r="BB41" s="153"/>
      <c r="BC41" s="153"/>
      <c r="BD41" s="153"/>
      <c r="BE41" s="304"/>
      <c r="BF41" s="152"/>
      <c r="BG41" s="325">
        <f>SUM(AE41:BF41)</f>
      </c>
      <c r="BH41" s="303"/>
      <c r="BI41" s="304"/>
      <c r="BJ41" s="136"/>
      <c r="BK41" s="309">
        <v>0.5</v>
      </c>
      <c r="BL41" s="309">
        <v>0.5</v>
      </c>
      <c r="BM41" s="309">
        <v>0.5</v>
      </c>
      <c r="BN41" s="309">
        <v>0.5</v>
      </c>
      <c r="BO41" s="309">
        <v>0.5</v>
      </c>
      <c r="BP41" s="29">
        <v>0.5</v>
      </c>
      <c r="BQ41" s="388">
        <v>0.5</v>
      </c>
      <c r="BR41" s="320">
        <v>0.5</v>
      </c>
      <c r="BS41" s="308">
        <v>0.5</v>
      </c>
      <c r="BT41" s="137"/>
      <c r="BU41" s="141"/>
      <c r="BV41" s="387">
        <v>0.5</v>
      </c>
      <c r="BW41" s="29">
        <v>0.5</v>
      </c>
      <c r="BX41" s="309">
        <v>0.5</v>
      </c>
      <c r="BY41" s="309">
        <v>0.5</v>
      </c>
      <c r="BZ41" s="309">
        <v>0.5</v>
      </c>
      <c r="CA41" s="309">
        <v>0.5</v>
      </c>
      <c r="CB41" s="29">
        <v>0.5</v>
      </c>
      <c r="CC41" s="309">
        <v>0.5</v>
      </c>
      <c r="CD41" s="309">
        <v>0.5</v>
      </c>
      <c r="CE41" s="153"/>
      <c r="CF41" s="153"/>
      <c r="CG41" s="153"/>
      <c r="CH41" s="304"/>
      <c r="CI41" s="152"/>
      <c r="CJ41" s="325">
        <f>SUM(BH41:CI41)</f>
      </c>
      <c r="CK41" s="303"/>
      <c r="CL41" s="304"/>
      <c r="CM41" s="136"/>
      <c r="CN41" s="309">
        <v>0.5</v>
      </c>
      <c r="CO41" s="309">
        <v>0.5</v>
      </c>
      <c r="CP41" s="309">
        <v>0.5</v>
      </c>
      <c r="CQ41" s="309">
        <v>0.5</v>
      </c>
      <c r="CR41" s="309">
        <v>0.5</v>
      </c>
      <c r="CS41" s="29">
        <v>0.5</v>
      </c>
      <c r="CT41" s="388">
        <v>0.5</v>
      </c>
      <c r="CU41" s="320">
        <v>0.5</v>
      </c>
      <c r="CV41" s="308">
        <v>0.5</v>
      </c>
      <c r="CW41" s="137"/>
      <c r="CX41" s="141"/>
      <c r="CY41" s="295"/>
      <c r="CZ41" s="207"/>
      <c r="DA41" s="153"/>
      <c r="DB41" s="153"/>
      <c r="DC41" s="153"/>
      <c r="DD41" s="153"/>
      <c r="DE41" s="153"/>
      <c r="DF41" s="153"/>
      <c r="DG41" s="153"/>
      <c r="DH41" s="153"/>
      <c r="DI41" s="153"/>
      <c r="DJ41" s="153"/>
      <c r="DK41" s="304"/>
      <c r="DL41" s="152"/>
      <c r="DM41" s="325">
        <f>SUM(CK41:DL41)</f>
      </c>
      <c r="DN41" s="303"/>
      <c r="DO41" s="304"/>
      <c r="DP41" s="706"/>
      <c r="DQ41" s="332"/>
      <c r="DR41" s="332"/>
      <c r="DS41" s="327">
        <v>0.5</v>
      </c>
      <c r="DT41" s="327">
        <v>0.5</v>
      </c>
      <c r="DU41" s="327">
        <v>0.5</v>
      </c>
      <c r="DV41" s="328">
        <v>0.5</v>
      </c>
      <c r="DW41" s="327">
        <v>0.5</v>
      </c>
      <c r="DX41" s="329">
        <v>0.5</v>
      </c>
      <c r="DY41" s="328">
        <v>0.5</v>
      </c>
      <c r="DZ41" s="328">
        <v>0.5</v>
      </c>
      <c r="EA41" s="707"/>
      <c r="EB41" s="332"/>
      <c r="EC41" s="332"/>
      <c r="ED41" s="332"/>
      <c r="EE41" s="332"/>
      <c r="EF41" s="332"/>
      <c r="EG41" s="332"/>
      <c r="EH41" s="332"/>
      <c r="EI41" s="332"/>
      <c r="EJ41" s="332"/>
      <c r="EK41" s="332"/>
      <c r="EL41" s="332"/>
      <c r="EM41" s="332"/>
      <c r="EN41" s="304"/>
      <c r="EO41" s="152"/>
      <c r="EP41" s="325">
        <f>SUM(DN41:EO41)</f>
      </c>
      <c r="EQ41" s="4"/>
      <c r="ER41" s="698">
        <f>EP41+DM41+CJ41+BG41+AD41</f>
      </c>
      <c r="ES41" s="4"/>
      <c r="ET41" s="4"/>
      <c r="EU41" s="4"/>
    </row>
    <row r="42" ht="16.5" customHeight="1" spans="1:151" x14ac:dyDescent="0.25">
      <c r="A42" s="699" t="s">
        <v>227</v>
      </c>
      <c r="B42" s="303"/>
      <c r="C42" s="304"/>
      <c r="D42" s="136"/>
      <c r="E42" s="153"/>
      <c r="F42" s="153"/>
      <c r="G42" s="153"/>
      <c r="H42" s="153"/>
      <c r="I42" s="309">
        <v>0.5</v>
      </c>
      <c r="J42" s="29">
        <v>0.5</v>
      </c>
      <c r="K42" s="388">
        <v>0.5</v>
      </c>
      <c r="L42" s="155"/>
      <c r="M42" s="137"/>
      <c r="N42" s="308">
        <v>0.5</v>
      </c>
      <c r="O42" s="312">
        <v>0.5</v>
      </c>
      <c r="P42" s="387">
        <v>0.5</v>
      </c>
      <c r="Q42" s="29">
        <v>0.5</v>
      </c>
      <c r="R42" s="309">
        <v>0.5</v>
      </c>
      <c r="S42" s="309">
        <v>0.5</v>
      </c>
      <c r="T42" s="309">
        <v>0.5</v>
      </c>
      <c r="U42" s="309">
        <v>0.5</v>
      </c>
      <c r="V42" s="207"/>
      <c r="W42" s="153"/>
      <c r="X42" s="153"/>
      <c r="Y42" s="153"/>
      <c r="Z42" s="153"/>
      <c r="AA42" s="146"/>
      <c r="AB42" s="304"/>
      <c r="AC42" s="152"/>
      <c r="AD42" s="325">
        <f>SUM(B42:AC42)</f>
      </c>
      <c r="AE42" s="303"/>
      <c r="AF42" s="304"/>
      <c r="AG42" s="313">
        <v>0.5</v>
      </c>
      <c r="AH42" s="309">
        <v>0.5</v>
      </c>
      <c r="AI42" s="309">
        <v>0.5</v>
      </c>
      <c r="AJ42" s="309">
        <v>0.5</v>
      </c>
      <c r="AK42" s="309">
        <v>0.5</v>
      </c>
      <c r="AL42" s="309">
        <v>0.5</v>
      </c>
      <c r="AM42" s="29">
        <v>0.5</v>
      </c>
      <c r="AN42" s="388">
        <v>0.5</v>
      </c>
      <c r="AO42" s="155"/>
      <c r="AP42" s="137"/>
      <c r="AQ42" s="308">
        <v>0.5</v>
      </c>
      <c r="AR42" s="312">
        <v>0.5</v>
      </c>
      <c r="AS42" s="387">
        <v>0.5</v>
      </c>
      <c r="AT42" s="29">
        <v>0.5</v>
      </c>
      <c r="AU42" s="309">
        <v>0.5</v>
      </c>
      <c r="AV42" s="309">
        <v>0.5</v>
      </c>
      <c r="AW42" s="309">
        <v>0.5</v>
      </c>
      <c r="AX42" s="309">
        <v>0.5</v>
      </c>
      <c r="AY42" s="207"/>
      <c r="AZ42" s="153"/>
      <c r="BA42" s="153"/>
      <c r="BB42" s="153"/>
      <c r="BC42" s="153"/>
      <c r="BD42" s="153"/>
      <c r="BE42" s="304"/>
      <c r="BF42" s="152"/>
      <c r="BG42" s="325">
        <f>SUM(AE42:BF42)</f>
      </c>
      <c r="BH42" s="303"/>
      <c r="BI42" s="304"/>
      <c r="BJ42" s="313">
        <v>0.5</v>
      </c>
      <c r="BK42" s="309">
        <v>0.5</v>
      </c>
      <c r="BL42" s="309">
        <v>0.5</v>
      </c>
      <c r="BM42" s="309">
        <v>0.5</v>
      </c>
      <c r="BN42" s="309">
        <v>0.5</v>
      </c>
      <c r="BO42" s="309">
        <v>0.5</v>
      </c>
      <c r="BP42" s="29">
        <v>0.5</v>
      </c>
      <c r="BQ42" s="388">
        <v>0.5</v>
      </c>
      <c r="BR42" s="155"/>
      <c r="BS42" s="137"/>
      <c r="BT42" s="308">
        <v>0.5</v>
      </c>
      <c r="BU42" s="312">
        <v>0.5</v>
      </c>
      <c r="BV42" s="387">
        <v>0.5</v>
      </c>
      <c r="BW42" s="29">
        <v>0.5</v>
      </c>
      <c r="BX42" s="309">
        <v>0.5</v>
      </c>
      <c r="BY42" s="309">
        <v>0.5</v>
      </c>
      <c r="BZ42" s="309">
        <v>0.5</v>
      </c>
      <c r="CA42" s="309">
        <v>0.5</v>
      </c>
      <c r="CB42" s="207"/>
      <c r="CC42" s="153"/>
      <c r="CD42" s="153"/>
      <c r="CE42" s="153"/>
      <c r="CF42" s="153"/>
      <c r="CG42" s="153"/>
      <c r="CH42" s="304"/>
      <c r="CI42" s="152"/>
      <c r="CJ42" s="325">
        <f>SUM(BH42:CI42)</f>
      </c>
      <c r="CK42" s="303"/>
      <c r="CL42" s="304"/>
      <c r="CM42" s="313">
        <v>0.5</v>
      </c>
      <c r="CN42" s="309">
        <v>0.5</v>
      </c>
      <c r="CO42" s="309">
        <v>0.5</v>
      </c>
      <c r="CP42" s="309">
        <v>0.5</v>
      </c>
      <c r="CQ42" s="309">
        <v>0.5</v>
      </c>
      <c r="CR42" s="309">
        <v>0.5</v>
      </c>
      <c r="CS42" s="29">
        <v>0.5</v>
      </c>
      <c r="CT42" s="388">
        <v>0.5</v>
      </c>
      <c r="CU42" s="155"/>
      <c r="CV42" s="137"/>
      <c r="CW42" s="308">
        <v>0.5</v>
      </c>
      <c r="CX42" s="312">
        <v>0.5</v>
      </c>
      <c r="CY42" s="387">
        <v>0.5</v>
      </c>
      <c r="CZ42" s="207"/>
      <c r="DA42" s="153"/>
      <c r="DB42" s="153"/>
      <c r="DC42" s="153"/>
      <c r="DD42" s="153"/>
      <c r="DE42" s="153"/>
      <c r="DF42" s="153"/>
      <c r="DG42" s="153"/>
      <c r="DH42" s="153"/>
      <c r="DI42" s="153"/>
      <c r="DJ42" s="153"/>
      <c r="DK42" s="304"/>
      <c r="DL42" s="152"/>
      <c r="DM42" s="325">
        <f>SUM(CK42:DL42)</f>
      </c>
      <c r="DN42" s="303"/>
      <c r="DO42" s="304"/>
      <c r="DP42" s="641">
        <v>0.5</v>
      </c>
      <c r="DQ42" s="327">
        <v>0.5</v>
      </c>
      <c r="DR42" s="327">
        <v>0.5</v>
      </c>
      <c r="DS42" s="327">
        <v>0.5</v>
      </c>
      <c r="DT42" s="327">
        <v>0.5</v>
      </c>
      <c r="DU42" s="327">
        <v>0.5</v>
      </c>
      <c r="DV42" s="328">
        <v>0.5</v>
      </c>
      <c r="DW42" s="327">
        <v>0.5</v>
      </c>
      <c r="DX42" s="336"/>
      <c r="DY42" s="337"/>
      <c r="DZ42" s="328">
        <v>0.5</v>
      </c>
      <c r="EA42" s="330">
        <v>0.5</v>
      </c>
      <c r="EB42" s="327">
        <v>0.5</v>
      </c>
      <c r="EC42" s="327">
        <v>0.5</v>
      </c>
      <c r="ED42" s="327">
        <v>0.5</v>
      </c>
      <c r="EE42" s="327">
        <v>0.5</v>
      </c>
      <c r="EF42" s="327">
        <v>0.5</v>
      </c>
      <c r="EG42" s="327">
        <v>0.5</v>
      </c>
      <c r="EH42" s="332"/>
      <c r="EI42" s="332"/>
      <c r="EJ42" s="332"/>
      <c r="EK42" s="332"/>
      <c r="EL42" s="332"/>
      <c r="EM42" s="332"/>
      <c r="EN42" s="304"/>
      <c r="EO42" s="152"/>
      <c r="EP42" s="325">
        <f>SUM(DN42:EO42)</f>
      </c>
      <c r="EQ42" s="4"/>
      <c r="ER42" s="698">
        <f>EP42+DM42+CJ42+BG42+AD42</f>
      </c>
      <c r="ES42" s="4"/>
      <c r="ET42" s="4"/>
      <c r="EU42" s="4"/>
    </row>
    <row r="43" ht="16.5" customHeight="1" spans="1:151" x14ac:dyDescent="0.25">
      <c r="A43" s="699" t="s">
        <v>228</v>
      </c>
      <c r="B43" s="303"/>
      <c r="C43" s="304"/>
      <c r="D43" s="136"/>
      <c r="E43" s="153"/>
      <c r="F43" s="153"/>
      <c r="G43" s="153"/>
      <c r="H43" s="153"/>
      <c r="I43" s="153"/>
      <c r="J43" s="207"/>
      <c r="K43" s="202"/>
      <c r="L43" s="320">
        <v>0.5</v>
      </c>
      <c r="M43" s="308">
        <v>0.5</v>
      </c>
      <c r="N43" s="137"/>
      <c r="O43" s="141"/>
      <c r="P43" s="387">
        <v>0.5</v>
      </c>
      <c r="Q43" s="29">
        <v>0.5</v>
      </c>
      <c r="R43" s="309">
        <v>0.5</v>
      </c>
      <c r="S43" s="309">
        <v>0.5</v>
      </c>
      <c r="T43" s="309">
        <v>0.5</v>
      </c>
      <c r="U43" s="309">
        <v>0.5</v>
      </c>
      <c r="V43" s="29">
        <v>0.5</v>
      </c>
      <c r="W43" s="309">
        <v>0.5</v>
      </c>
      <c r="X43" s="309">
        <v>0.5</v>
      </c>
      <c r="Y43" s="153"/>
      <c r="Z43" s="153"/>
      <c r="AA43" s="146"/>
      <c r="AB43" s="304"/>
      <c r="AC43" s="152"/>
      <c r="AD43" s="325">
        <f>SUM(B43:AC43)</f>
      </c>
      <c r="AE43" s="303"/>
      <c r="AF43" s="304"/>
      <c r="AG43" s="136"/>
      <c r="AH43" s="153"/>
      <c r="AI43" s="153"/>
      <c r="AJ43" s="309">
        <v>0.5</v>
      </c>
      <c r="AK43" s="309">
        <v>0.5</v>
      </c>
      <c r="AL43" s="309">
        <v>0.5</v>
      </c>
      <c r="AM43" s="29">
        <v>0.5</v>
      </c>
      <c r="AN43" s="388">
        <v>0.5</v>
      </c>
      <c r="AO43" s="320">
        <v>0.5</v>
      </c>
      <c r="AP43" s="308">
        <v>0.5</v>
      </c>
      <c r="AQ43" s="137"/>
      <c r="AR43" s="141"/>
      <c r="AS43" s="387">
        <v>0.5</v>
      </c>
      <c r="AT43" s="29">
        <v>0.5</v>
      </c>
      <c r="AU43" s="309">
        <v>0.5</v>
      </c>
      <c r="AV43" s="309">
        <v>0.5</v>
      </c>
      <c r="AW43" s="309">
        <v>0.5</v>
      </c>
      <c r="AX43" s="309">
        <v>0.5</v>
      </c>
      <c r="AY43" s="29">
        <v>0.5</v>
      </c>
      <c r="AZ43" s="309">
        <v>0.5</v>
      </c>
      <c r="BA43" s="309">
        <v>0.5</v>
      </c>
      <c r="BB43" s="153"/>
      <c r="BC43" s="153"/>
      <c r="BD43" s="153"/>
      <c r="BE43" s="304"/>
      <c r="BF43" s="152"/>
      <c r="BG43" s="325">
        <f>SUM(AE43:BF43)</f>
      </c>
      <c r="BH43" s="303"/>
      <c r="BI43" s="304"/>
      <c r="BJ43" s="136"/>
      <c r="BK43" s="153"/>
      <c r="BL43" s="153"/>
      <c r="BM43" s="309">
        <v>0.5</v>
      </c>
      <c r="BN43" s="309">
        <v>0.5</v>
      </c>
      <c r="BO43" s="309">
        <v>0.5</v>
      </c>
      <c r="BP43" s="29">
        <v>0.5</v>
      </c>
      <c r="BQ43" s="388">
        <v>0.5</v>
      </c>
      <c r="BR43" s="320">
        <v>0.5</v>
      </c>
      <c r="BS43" s="308">
        <v>0.5</v>
      </c>
      <c r="BT43" s="137"/>
      <c r="BU43" s="141"/>
      <c r="BV43" s="387">
        <v>0.5</v>
      </c>
      <c r="BW43" s="29">
        <v>0.5</v>
      </c>
      <c r="BX43" s="309">
        <v>0.5</v>
      </c>
      <c r="BY43" s="309">
        <v>0.5</v>
      </c>
      <c r="BZ43" s="309">
        <v>0.5</v>
      </c>
      <c r="CA43" s="309">
        <v>0.5</v>
      </c>
      <c r="CB43" s="29">
        <v>0.5</v>
      </c>
      <c r="CC43" s="309">
        <v>0.5</v>
      </c>
      <c r="CD43" s="309">
        <v>0.5</v>
      </c>
      <c r="CE43" s="153"/>
      <c r="CF43" s="153"/>
      <c r="CG43" s="153"/>
      <c r="CH43" s="304"/>
      <c r="CI43" s="152"/>
      <c r="CJ43" s="325">
        <f>SUM(BH43:CI43)</f>
      </c>
      <c r="CK43" s="303"/>
      <c r="CL43" s="304"/>
      <c r="CM43" s="136"/>
      <c r="CN43" s="153"/>
      <c r="CO43" s="153"/>
      <c r="CP43" s="309">
        <v>0.5</v>
      </c>
      <c r="CQ43" s="309">
        <v>0.5</v>
      </c>
      <c r="CR43" s="309">
        <v>0.5</v>
      </c>
      <c r="CS43" s="29">
        <v>0.5</v>
      </c>
      <c r="CT43" s="388">
        <v>0.5</v>
      </c>
      <c r="CU43" s="320">
        <v>0.5</v>
      </c>
      <c r="CV43" s="308">
        <v>0.5</v>
      </c>
      <c r="CW43" s="137"/>
      <c r="CX43" s="141"/>
      <c r="CY43" s="387">
        <v>0.5</v>
      </c>
      <c r="CZ43" s="29">
        <v>0.5</v>
      </c>
      <c r="DA43" s="309">
        <v>0.5</v>
      </c>
      <c r="DB43" s="309">
        <v>0.5</v>
      </c>
      <c r="DC43" s="153"/>
      <c r="DD43" s="153"/>
      <c r="DE43" s="153"/>
      <c r="DF43" s="153"/>
      <c r="DG43" s="153"/>
      <c r="DH43" s="153"/>
      <c r="DI43" s="153"/>
      <c r="DJ43" s="153"/>
      <c r="DK43" s="304"/>
      <c r="DL43" s="152"/>
      <c r="DM43" s="325">
        <f>SUM(CK43:DL43)</f>
      </c>
      <c r="DN43" s="303"/>
      <c r="DO43" s="304"/>
      <c r="DP43" s="706"/>
      <c r="DQ43" s="332"/>
      <c r="DR43" s="332"/>
      <c r="DS43" s="327">
        <v>0.5</v>
      </c>
      <c r="DT43" s="327">
        <v>0.5</v>
      </c>
      <c r="DU43" s="327">
        <v>0.5</v>
      </c>
      <c r="DV43" s="328">
        <v>0.5</v>
      </c>
      <c r="DW43" s="327">
        <v>0.5</v>
      </c>
      <c r="DX43" s="329">
        <v>0.5</v>
      </c>
      <c r="DY43" s="328">
        <v>0.5</v>
      </c>
      <c r="DZ43" s="337"/>
      <c r="EA43" s="707"/>
      <c r="EB43" s="327">
        <v>0.5</v>
      </c>
      <c r="EC43" s="327">
        <v>0.5</v>
      </c>
      <c r="ED43" s="327">
        <v>0.5</v>
      </c>
      <c r="EE43" s="327">
        <v>0.5</v>
      </c>
      <c r="EF43" s="327">
        <v>0.5</v>
      </c>
      <c r="EG43" s="327">
        <v>0.5</v>
      </c>
      <c r="EH43" s="327">
        <v>0.5</v>
      </c>
      <c r="EI43" s="327">
        <v>0.5</v>
      </c>
      <c r="EJ43" s="327">
        <v>0.5</v>
      </c>
      <c r="EK43" s="332"/>
      <c r="EL43" s="332"/>
      <c r="EM43" s="332"/>
      <c r="EN43" s="304"/>
      <c r="EO43" s="152"/>
      <c r="EP43" s="325">
        <f>SUM(DN43:EO43)</f>
      </c>
      <c r="EQ43" s="4"/>
      <c r="ER43" s="698">
        <f>EP43+DM43+CJ43+BG43+AD43</f>
      </c>
      <c r="ES43" s="4"/>
      <c r="ET43" s="4"/>
      <c r="EU43" s="4"/>
    </row>
    <row r="44" ht="16.5" customHeight="1" spans="1:151" x14ac:dyDescent="0.25">
      <c r="A44" s="699" t="s">
        <v>229</v>
      </c>
      <c r="B44" s="303"/>
      <c r="C44" s="304"/>
      <c r="D44" s="136"/>
      <c r="E44" s="153"/>
      <c r="F44" s="153"/>
      <c r="G44" s="153"/>
      <c r="H44" s="153"/>
      <c r="I44" s="309">
        <v>0.5</v>
      </c>
      <c r="J44" s="29">
        <v>0.5</v>
      </c>
      <c r="K44" s="388">
        <v>0.5</v>
      </c>
      <c r="L44" s="155"/>
      <c r="M44" s="137"/>
      <c r="N44" s="308">
        <v>0.5</v>
      </c>
      <c r="O44" s="312">
        <v>0.5</v>
      </c>
      <c r="P44" s="387">
        <v>0.5</v>
      </c>
      <c r="Q44" s="29">
        <v>0.5</v>
      </c>
      <c r="R44" s="309">
        <v>0.5</v>
      </c>
      <c r="S44" s="309">
        <v>0.5</v>
      </c>
      <c r="T44" s="309">
        <v>0.5</v>
      </c>
      <c r="U44" s="309">
        <v>0.5</v>
      </c>
      <c r="V44" s="29">
        <v>0.5</v>
      </c>
      <c r="W44" s="309">
        <v>0.5</v>
      </c>
      <c r="X44" s="153"/>
      <c r="Y44" s="153"/>
      <c r="Z44" s="153"/>
      <c r="AA44" s="146"/>
      <c r="AB44" s="304"/>
      <c r="AC44" s="152"/>
      <c r="AD44" s="325">
        <f>SUM(B44:AC44)</f>
      </c>
      <c r="AE44" s="303"/>
      <c r="AF44" s="304"/>
      <c r="AG44" s="313">
        <v>0.5</v>
      </c>
      <c r="AH44" s="309">
        <v>0.5</v>
      </c>
      <c r="AI44" s="309">
        <v>0.5</v>
      </c>
      <c r="AJ44" s="309">
        <v>0.5</v>
      </c>
      <c r="AK44" s="309">
        <v>0.5</v>
      </c>
      <c r="AL44" s="309">
        <v>0.5</v>
      </c>
      <c r="AM44" s="29">
        <v>0.5</v>
      </c>
      <c r="AN44" s="388">
        <v>0.5</v>
      </c>
      <c r="AO44" s="155"/>
      <c r="AP44" s="137"/>
      <c r="AQ44" s="308">
        <v>0.5</v>
      </c>
      <c r="AR44" s="312">
        <v>0.5</v>
      </c>
      <c r="AS44" s="387">
        <v>0.5</v>
      </c>
      <c r="AT44" s="29">
        <v>0.5</v>
      </c>
      <c r="AU44" s="309">
        <v>0.5</v>
      </c>
      <c r="AV44" s="309">
        <v>0.5</v>
      </c>
      <c r="AW44" s="309">
        <v>0.5</v>
      </c>
      <c r="AX44" s="309">
        <v>0.5</v>
      </c>
      <c r="AY44" s="29">
        <v>0.5</v>
      </c>
      <c r="AZ44" s="309">
        <v>0.5</v>
      </c>
      <c r="BA44" s="153"/>
      <c r="BB44" s="153"/>
      <c r="BC44" s="153"/>
      <c r="BD44" s="153"/>
      <c r="BE44" s="304"/>
      <c r="BF44" s="152"/>
      <c r="BG44" s="325">
        <f>SUM(AE44:BF44)</f>
      </c>
      <c r="BH44" s="303"/>
      <c r="BI44" s="304"/>
      <c r="BJ44" s="313">
        <v>0.5</v>
      </c>
      <c r="BK44" s="309">
        <v>0.5</v>
      </c>
      <c r="BL44" s="309">
        <v>0.5</v>
      </c>
      <c r="BM44" s="309">
        <v>0.5</v>
      </c>
      <c r="BN44" s="309">
        <v>0.5</v>
      </c>
      <c r="BO44" s="309">
        <v>0.5</v>
      </c>
      <c r="BP44" s="29">
        <v>0.5</v>
      </c>
      <c r="BQ44" s="388">
        <v>0.5</v>
      </c>
      <c r="BR44" s="155"/>
      <c r="BS44" s="137"/>
      <c r="BT44" s="308">
        <v>0.5</v>
      </c>
      <c r="BU44" s="312">
        <v>0.5</v>
      </c>
      <c r="BV44" s="387">
        <v>0.5</v>
      </c>
      <c r="BW44" s="29">
        <v>0.5</v>
      </c>
      <c r="BX44" s="309">
        <v>0.5</v>
      </c>
      <c r="BY44" s="309">
        <v>0.5</v>
      </c>
      <c r="BZ44" s="309">
        <v>0.5</v>
      </c>
      <c r="CA44" s="309">
        <v>0.5</v>
      </c>
      <c r="CB44" s="29">
        <v>0.5</v>
      </c>
      <c r="CC44" s="309">
        <v>0.5</v>
      </c>
      <c r="CD44" s="153"/>
      <c r="CE44" s="153"/>
      <c r="CF44" s="153"/>
      <c r="CG44" s="153"/>
      <c r="CH44" s="304"/>
      <c r="CI44" s="152"/>
      <c r="CJ44" s="325">
        <f>SUM(BH44:CI44)</f>
      </c>
      <c r="CK44" s="303"/>
      <c r="CL44" s="304"/>
      <c r="CM44" s="313">
        <v>0.5</v>
      </c>
      <c r="CN44" s="309">
        <v>0.5</v>
      </c>
      <c r="CO44" s="309">
        <v>0.5</v>
      </c>
      <c r="CP44" s="309">
        <v>0.5</v>
      </c>
      <c r="CQ44" s="309">
        <v>0.5</v>
      </c>
      <c r="CR44" s="309">
        <v>0.5</v>
      </c>
      <c r="CS44" s="29">
        <v>0.5</v>
      </c>
      <c r="CT44" s="388">
        <v>0.5</v>
      </c>
      <c r="CU44" s="155"/>
      <c r="CV44" s="137"/>
      <c r="CW44" s="308">
        <v>0.5</v>
      </c>
      <c r="CX44" s="312">
        <v>0.5</v>
      </c>
      <c r="CY44" s="387">
        <v>0.5</v>
      </c>
      <c r="CZ44" s="29">
        <v>0.5</v>
      </c>
      <c r="DA44" s="309">
        <v>0.5</v>
      </c>
      <c r="DB44" s="153"/>
      <c r="DC44" s="153"/>
      <c r="DD44" s="153"/>
      <c r="DE44" s="153"/>
      <c r="DF44" s="153"/>
      <c r="DG44" s="153"/>
      <c r="DH44" s="153"/>
      <c r="DI44" s="153"/>
      <c r="DJ44" s="153"/>
      <c r="DK44" s="304"/>
      <c r="DL44" s="152"/>
      <c r="DM44" s="325">
        <f>SUM(CK44:DL44)</f>
      </c>
      <c r="DN44" s="303"/>
      <c r="DO44" s="304"/>
      <c r="DP44" s="641">
        <v>0.5</v>
      </c>
      <c r="DQ44" s="327">
        <v>0.5</v>
      </c>
      <c r="DR44" s="327">
        <v>0.5</v>
      </c>
      <c r="DS44" s="327">
        <v>0.5</v>
      </c>
      <c r="DT44" s="327">
        <v>0.5</v>
      </c>
      <c r="DU44" s="327">
        <v>0.5</v>
      </c>
      <c r="DV44" s="328">
        <v>0.5</v>
      </c>
      <c r="DW44" s="327">
        <v>0.5</v>
      </c>
      <c r="DX44" s="336"/>
      <c r="DY44" s="337"/>
      <c r="DZ44" s="337"/>
      <c r="EA44" s="707"/>
      <c r="EB44" s="332"/>
      <c r="EC44" s="332"/>
      <c r="ED44" s="332"/>
      <c r="EE44" s="332"/>
      <c r="EF44" s="332"/>
      <c r="EG44" s="332"/>
      <c r="EH44" s="332"/>
      <c r="EI44" s="332"/>
      <c r="EJ44" s="332"/>
      <c r="EK44" s="332"/>
      <c r="EL44" s="332"/>
      <c r="EM44" s="332"/>
      <c r="EN44" s="304"/>
      <c r="EO44" s="152"/>
      <c r="EP44" s="325">
        <f>SUM(DN44:EO44)</f>
      </c>
      <c r="EQ44" s="4"/>
      <c r="ER44" s="698">
        <f>EP44+DM44+CJ44+BG44+AD44</f>
      </c>
      <c r="ES44" s="4"/>
      <c r="ET44" s="4"/>
      <c r="EU44" s="4"/>
    </row>
    <row r="45" ht="16.5" customHeight="1" spans="1:151" x14ac:dyDescent="0.25">
      <c r="A45" s="699" t="s">
        <v>230</v>
      </c>
      <c r="B45" s="303"/>
      <c r="C45" s="304"/>
      <c r="D45" s="136"/>
      <c r="E45" s="153"/>
      <c r="F45" s="153"/>
      <c r="G45" s="153"/>
      <c r="H45" s="153"/>
      <c r="I45" s="153"/>
      <c r="J45" s="29">
        <v>0.5</v>
      </c>
      <c r="K45" s="388">
        <v>0.5</v>
      </c>
      <c r="L45" s="320">
        <v>0.5</v>
      </c>
      <c r="M45" s="308">
        <v>0.5</v>
      </c>
      <c r="N45" s="137"/>
      <c r="O45" s="141"/>
      <c r="P45" s="387">
        <v>0.5</v>
      </c>
      <c r="Q45" s="29">
        <v>0.5</v>
      </c>
      <c r="R45" s="309">
        <v>0.5</v>
      </c>
      <c r="S45" s="309">
        <v>0.5</v>
      </c>
      <c r="T45" s="309">
        <v>0.5</v>
      </c>
      <c r="U45" s="309">
        <v>0.5</v>
      </c>
      <c r="V45" s="29">
        <v>0.5</v>
      </c>
      <c r="W45" s="309">
        <v>0.5</v>
      </c>
      <c r="X45" s="309">
        <v>0.5</v>
      </c>
      <c r="Y45" s="153"/>
      <c r="Z45" s="153"/>
      <c r="AA45" s="146"/>
      <c r="AB45" s="304"/>
      <c r="AC45" s="152"/>
      <c r="AD45" s="325">
        <f>SUM(B45:AC45)</f>
      </c>
      <c r="AE45" s="303"/>
      <c r="AF45" s="304"/>
      <c r="AG45" s="136"/>
      <c r="AH45" s="309">
        <v>0.5</v>
      </c>
      <c r="AI45" s="309">
        <v>0.5</v>
      </c>
      <c r="AJ45" s="309">
        <v>0.5</v>
      </c>
      <c r="AK45" s="309">
        <v>0.5</v>
      </c>
      <c r="AL45" s="309">
        <v>0.5</v>
      </c>
      <c r="AM45" s="29">
        <v>0.5</v>
      </c>
      <c r="AN45" s="388">
        <v>0.5</v>
      </c>
      <c r="AO45" s="320">
        <v>0.5</v>
      </c>
      <c r="AP45" s="308">
        <v>0.5</v>
      </c>
      <c r="AQ45" s="137"/>
      <c r="AR45" s="141"/>
      <c r="AS45" s="387">
        <v>0.5</v>
      </c>
      <c r="AT45" s="29">
        <v>0.5</v>
      </c>
      <c r="AU45" s="309">
        <v>0.5</v>
      </c>
      <c r="AV45" s="309">
        <v>0.5</v>
      </c>
      <c r="AW45" s="309">
        <v>0.5</v>
      </c>
      <c r="AX45" s="309">
        <v>0.5</v>
      </c>
      <c r="AY45" s="29">
        <v>0.5</v>
      </c>
      <c r="AZ45" s="309">
        <v>0.5</v>
      </c>
      <c r="BA45" s="309">
        <v>0.5</v>
      </c>
      <c r="BB45" s="153"/>
      <c r="BC45" s="153"/>
      <c r="BD45" s="153"/>
      <c r="BE45" s="304"/>
      <c r="BF45" s="152"/>
      <c r="BG45" s="325">
        <f>SUM(AE45:BF45)</f>
      </c>
      <c r="BH45" s="303"/>
      <c r="BI45" s="304"/>
      <c r="BJ45" s="136"/>
      <c r="BK45" s="309">
        <v>0.5</v>
      </c>
      <c r="BL45" s="309">
        <v>0.5</v>
      </c>
      <c r="BM45" s="309">
        <v>0.5</v>
      </c>
      <c r="BN45" s="309">
        <v>0.5</v>
      </c>
      <c r="BO45" s="309">
        <v>0.5</v>
      </c>
      <c r="BP45" s="29">
        <v>0.5</v>
      </c>
      <c r="BQ45" s="388">
        <v>0.5</v>
      </c>
      <c r="BR45" s="320">
        <v>0.5</v>
      </c>
      <c r="BS45" s="308">
        <v>0.5</v>
      </c>
      <c r="BT45" s="137"/>
      <c r="BU45" s="141"/>
      <c r="BV45" s="387">
        <v>0.5</v>
      </c>
      <c r="BW45" s="29">
        <v>0.5</v>
      </c>
      <c r="BX45" s="309">
        <v>0.5</v>
      </c>
      <c r="BY45" s="309">
        <v>0.5</v>
      </c>
      <c r="BZ45" s="309">
        <v>0.5</v>
      </c>
      <c r="CA45" s="309">
        <v>0.5</v>
      </c>
      <c r="CB45" s="29">
        <v>0.5</v>
      </c>
      <c r="CC45" s="309">
        <v>0.5</v>
      </c>
      <c r="CD45" s="309">
        <v>0.5</v>
      </c>
      <c r="CE45" s="153"/>
      <c r="CF45" s="153"/>
      <c r="CG45" s="153"/>
      <c r="CH45" s="304"/>
      <c r="CI45" s="152"/>
      <c r="CJ45" s="325">
        <f>SUM(BH45:CI45)</f>
      </c>
      <c r="CK45" s="303"/>
      <c r="CL45" s="304"/>
      <c r="CM45" s="136"/>
      <c r="CN45" s="309">
        <v>0.5</v>
      </c>
      <c r="CO45" s="309">
        <v>0.5</v>
      </c>
      <c r="CP45" s="309">
        <v>0.5</v>
      </c>
      <c r="CQ45" s="309">
        <v>0.5</v>
      </c>
      <c r="CR45" s="309">
        <v>0.5</v>
      </c>
      <c r="CS45" s="29">
        <v>0.5</v>
      </c>
      <c r="CT45" s="388">
        <v>0.5</v>
      </c>
      <c r="CU45" s="320">
        <v>0.5</v>
      </c>
      <c r="CV45" s="308">
        <v>0.5</v>
      </c>
      <c r="CW45" s="137"/>
      <c r="CX45" s="141"/>
      <c r="CY45" s="387">
        <v>0.5</v>
      </c>
      <c r="CZ45" s="29">
        <v>0.5</v>
      </c>
      <c r="DA45" s="309">
        <v>0.5</v>
      </c>
      <c r="DB45" s="309">
        <v>0.5</v>
      </c>
      <c r="DC45" s="153"/>
      <c r="DD45" s="153"/>
      <c r="DE45" s="153"/>
      <c r="DF45" s="153"/>
      <c r="DG45" s="153"/>
      <c r="DH45" s="153"/>
      <c r="DI45" s="153"/>
      <c r="DJ45" s="153"/>
      <c r="DK45" s="304"/>
      <c r="DL45" s="152"/>
      <c r="DM45" s="325">
        <f>SUM(CK45:DL45)</f>
      </c>
      <c r="DN45" s="303"/>
      <c r="DO45" s="304"/>
      <c r="DP45" s="706"/>
      <c r="DQ45" s="332"/>
      <c r="DR45" s="332"/>
      <c r="DS45" s="327">
        <v>0.5</v>
      </c>
      <c r="DT45" s="327">
        <v>0.5</v>
      </c>
      <c r="DU45" s="327">
        <v>0.5</v>
      </c>
      <c r="DV45" s="328">
        <v>0.5</v>
      </c>
      <c r="DW45" s="327">
        <v>0.5</v>
      </c>
      <c r="DX45" s="329">
        <v>0.5</v>
      </c>
      <c r="DY45" s="328">
        <v>0.5</v>
      </c>
      <c r="DZ45" s="328">
        <v>0.5</v>
      </c>
      <c r="EA45" s="707"/>
      <c r="EB45" s="332"/>
      <c r="EC45" s="332"/>
      <c r="ED45" s="332"/>
      <c r="EE45" s="332"/>
      <c r="EF45" s="332"/>
      <c r="EG45" s="332"/>
      <c r="EH45" s="332"/>
      <c r="EI45" s="332"/>
      <c r="EJ45" s="332"/>
      <c r="EK45" s="332"/>
      <c r="EL45" s="332"/>
      <c r="EM45" s="332"/>
      <c r="EN45" s="304"/>
      <c r="EO45" s="152"/>
      <c r="EP45" s="325">
        <f>SUM(DN45:EO45)</f>
      </c>
      <c r="EQ45" s="4"/>
      <c r="ER45" s="698">
        <f>EP45+DM45+CJ45+BG45+AD45</f>
      </c>
      <c r="ES45" s="4"/>
      <c r="ET45" s="4"/>
      <c r="EU45" s="4"/>
    </row>
    <row r="46" ht="15.75" customHeight="1" spans="1:151" x14ac:dyDescent="0.25">
      <c r="A46" s="686" t="s">
        <v>231</v>
      </c>
      <c r="B46" s="293"/>
      <c r="C46" s="294"/>
      <c r="D46" s="725"/>
      <c r="E46" s="726" t="s">
        <v>4</v>
      </c>
      <c r="F46" s="726" t="s">
        <v>4</v>
      </c>
      <c r="G46" s="726" t="s">
        <v>4</v>
      </c>
      <c r="H46" s="726" t="s">
        <v>4</v>
      </c>
      <c r="I46" s="726" t="s">
        <v>4</v>
      </c>
      <c r="J46" s="727" t="s">
        <v>4</v>
      </c>
      <c r="K46" s="726" t="s">
        <v>4</v>
      </c>
      <c r="L46" s="728" t="s">
        <v>4</v>
      </c>
      <c r="M46" s="693"/>
      <c r="N46" s="693"/>
      <c r="O46" s="729" t="s">
        <v>4</v>
      </c>
      <c r="P46" s="730" t="s">
        <v>4</v>
      </c>
      <c r="Q46" s="727" t="s">
        <v>4</v>
      </c>
      <c r="R46" s="726" t="s">
        <v>4</v>
      </c>
      <c r="S46" s="726" t="s">
        <v>4</v>
      </c>
      <c r="T46" s="726" t="s">
        <v>4</v>
      </c>
      <c r="U46" s="726" t="s">
        <v>4</v>
      </c>
      <c r="V46" s="727" t="s">
        <v>4</v>
      </c>
      <c r="W46" s="697"/>
      <c r="X46" s="697"/>
      <c r="Y46" s="697"/>
      <c r="Z46" s="697"/>
      <c r="AA46" s="694"/>
      <c r="AB46" s="294"/>
      <c r="AC46" s="695"/>
      <c r="AD46" s="731">
        <f>SUM(B46:AC46)</f>
      </c>
      <c r="AE46" s="293"/>
      <c r="AF46" s="294"/>
      <c r="AG46" s="725"/>
      <c r="AH46" s="726" t="s">
        <v>4</v>
      </c>
      <c r="AI46" s="726" t="s">
        <v>4</v>
      </c>
      <c r="AJ46" s="726" t="s">
        <v>4</v>
      </c>
      <c r="AK46" s="726" t="s">
        <v>4</v>
      </c>
      <c r="AL46" s="726" t="s">
        <v>4</v>
      </c>
      <c r="AM46" s="727" t="s">
        <v>4</v>
      </c>
      <c r="AN46" s="726" t="s">
        <v>4</v>
      </c>
      <c r="AO46" s="728" t="s">
        <v>4</v>
      </c>
      <c r="AP46" s="693"/>
      <c r="AQ46" s="693"/>
      <c r="AR46" s="729" t="s">
        <v>4</v>
      </c>
      <c r="AS46" s="730" t="s">
        <v>4</v>
      </c>
      <c r="AT46" s="727" t="s">
        <v>4</v>
      </c>
      <c r="AU46" s="726" t="s">
        <v>4</v>
      </c>
      <c r="AV46" s="726" t="s">
        <v>4</v>
      </c>
      <c r="AW46" s="726" t="s">
        <v>4</v>
      </c>
      <c r="AX46" s="726" t="s">
        <v>4</v>
      </c>
      <c r="AY46" s="727" t="s">
        <v>4</v>
      </c>
      <c r="AZ46" s="697"/>
      <c r="BA46" s="697"/>
      <c r="BB46" s="697"/>
      <c r="BC46" s="697"/>
      <c r="BD46" s="697"/>
      <c r="BE46" s="294"/>
      <c r="BF46" s="695"/>
      <c r="BG46" s="731">
        <f>SUM(AE46:BF46)</f>
      </c>
      <c r="BH46" s="293"/>
      <c r="BI46" s="294"/>
      <c r="BJ46" s="725"/>
      <c r="BK46" s="726" t="s">
        <v>4</v>
      </c>
      <c r="BL46" s="726" t="s">
        <v>4</v>
      </c>
      <c r="BM46" s="726" t="s">
        <v>4</v>
      </c>
      <c r="BN46" s="726" t="s">
        <v>4</v>
      </c>
      <c r="BO46" s="726" t="s">
        <v>4</v>
      </c>
      <c r="BP46" s="727" t="s">
        <v>4</v>
      </c>
      <c r="BQ46" s="726" t="s">
        <v>4</v>
      </c>
      <c r="BR46" s="728" t="s">
        <v>4</v>
      </c>
      <c r="BS46" s="693"/>
      <c r="BT46" s="693"/>
      <c r="BU46" s="729" t="s">
        <v>4</v>
      </c>
      <c r="BV46" s="730" t="s">
        <v>4</v>
      </c>
      <c r="BW46" s="727" t="s">
        <v>4</v>
      </c>
      <c r="BX46" s="726" t="s">
        <v>4</v>
      </c>
      <c r="BY46" s="726" t="s">
        <v>4</v>
      </c>
      <c r="BZ46" s="726" t="s">
        <v>4</v>
      </c>
      <c r="CA46" s="726" t="s">
        <v>4</v>
      </c>
      <c r="CB46" s="727" t="s">
        <v>4</v>
      </c>
      <c r="CC46" s="697"/>
      <c r="CD46" s="697"/>
      <c r="CE46" s="697"/>
      <c r="CF46" s="697"/>
      <c r="CG46" s="697"/>
      <c r="CH46" s="294"/>
      <c r="CI46" s="695"/>
      <c r="CJ46" s="731">
        <f>SUM(BH46:CI46)</f>
      </c>
      <c r="CK46" s="293"/>
      <c r="CL46" s="294"/>
      <c r="CM46" s="725"/>
      <c r="CN46" s="726" t="s">
        <v>4</v>
      </c>
      <c r="CO46" s="726" t="s">
        <v>4</v>
      </c>
      <c r="CP46" s="726" t="s">
        <v>4</v>
      </c>
      <c r="CQ46" s="726" t="s">
        <v>4</v>
      </c>
      <c r="CR46" s="726" t="s">
        <v>4</v>
      </c>
      <c r="CS46" s="727" t="s">
        <v>4</v>
      </c>
      <c r="CT46" s="726" t="s">
        <v>4</v>
      </c>
      <c r="CU46" s="728" t="s">
        <v>4</v>
      </c>
      <c r="CV46" s="693"/>
      <c r="CW46" s="693"/>
      <c r="CX46" s="729" t="s">
        <v>4</v>
      </c>
      <c r="CY46" s="730" t="s">
        <v>4</v>
      </c>
      <c r="CZ46" s="727" t="s">
        <v>4</v>
      </c>
      <c r="DA46" s="726" t="s">
        <v>4</v>
      </c>
      <c r="DB46" s="726" t="s">
        <v>4</v>
      </c>
      <c r="DC46" s="726" t="s">
        <v>4</v>
      </c>
      <c r="DD46" s="726" t="s">
        <v>4</v>
      </c>
      <c r="DE46" s="726" t="s">
        <v>4</v>
      </c>
      <c r="DF46" s="697"/>
      <c r="DG46" s="697"/>
      <c r="DH46" s="697"/>
      <c r="DI46" s="697"/>
      <c r="DJ46" s="697"/>
      <c r="DK46" s="294"/>
      <c r="DL46" s="695"/>
      <c r="DM46" s="731">
        <f>SUM(CK46:DL46)</f>
      </c>
      <c r="DN46" s="293"/>
      <c r="DO46" s="294"/>
      <c r="DP46" s="732"/>
      <c r="DQ46" s="733" t="s">
        <v>4</v>
      </c>
      <c r="DR46" s="733" t="s">
        <v>4</v>
      </c>
      <c r="DS46" s="733" t="s">
        <v>4</v>
      </c>
      <c r="DT46" s="733" t="s">
        <v>4</v>
      </c>
      <c r="DU46" s="733" t="s">
        <v>4</v>
      </c>
      <c r="DV46" s="734" t="s">
        <v>4</v>
      </c>
      <c r="DW46" s="733" t="s">
        <v>4</v>
      </c>
      <c r="DX46" s="735" t="s">
        <v>4</v>
      </c>
      <c r="DY46" s="736"/>
      <c r="DZ46" s="736"/>
      <c r="EA46" s="737" t="s">
        <v>4</v>
      </c>
      <c r="EB46" s="733" t="s">
        <v>4</v>
      </c>
      <c r="EC46" s="733" t="s">
        <v>4</v>
      </c>
      <c r="ED46" s="733" t="s">
        <v>4</v>
      </c>
      <c r="EE46" s="733" t="s">
        <v>4</v>
      </c>
      <c r="EF46" s="733" t="s">
        <v>4</v>
      </c>
      <c r="EG46" s="733" t="s">
        <v>4</v>
      </c>
      <c r="EH46" s="733" t="s">
        <v>4</v>
      </c>
      <c r="EI46" s="738"/>
      <c r="EJ46" s="738"/>
      <c r="EK46" s="738"/>
      <c r="EL46" s="738"/>
      <c r="EM46" s="738"/>
      <c r="EN46" s="294"/>
      <c r="EO46" s="695"/>
      <c r="EP46" s="731">
        <f>SUM(DN46:EO46)</f>
      </c>
      <c r="EQ46" s="4"/>
      <c r="ER46" s="698">
        <f>EP46+DM46+CJ46+BG46+AD46</f>
      </c>
      <c r="ES46" s="4"/>
      <c r="ET46" s="4"/>
      <c r="EU46" s="4"/>
    </row>
    <row r="47" ht="16.5" customHeight="1" spans="1:151" x14ac:dyDescent="0.25">
      <c r="A47" s="708" t="s">
        <v>10</v>
      </c>
      <c r="B47" s="348"/>
      <c r="C47" s="349"/>
      <c r="D47" s="350"/>
      <c r="E47" s="739" t="s">
        <v>9</v>
      </c>
      <c r="F47" s="739" t="s">
        <v>9</v>
      </c>
      <c r="G47" s="739" t="s">
        <v>9</v>
      </c>
      <c r="H47" s="739" t="s">
        <v>9</v>
      </c>
      <c r="I47" s="739" t="s">
        <v>9</v>
      </c>
      <c r="J47" s="740" t="s">
        <v>9</v>
      </c>
      <c r="K47" s="741" t="s">
        <v>9</v>
      </c>
      <c r="L47" s="742" t="s">
        <v>9</v>
      </c>
      <c r="M47" s="256"/>
      <c r="N47" s="256"/>
      <c r="O47" s="743" t="s">
        <v>9</v>
      </c>
      <c r="P47" s="744" t="s">
        <v>9</v>
      </c>
      <c r="Q47" s="740" t="s">
        <v>9</v>
      </c>
      <c r="R47" s="739" t="s">
        <v>9</v>
      </c>
      <c r="S47" s="739" t="s">
        <v>9</v>
      </c>
      <c r="T47" s="739" t="s">
        <v>9</v>
      </c>
      <c r="U47" s="739" t="s">
        <v>9</v>
      </c>
      <c r="V47" s="740" t="s">
        <v>9</v>
      </c>
      <c r="W47" s="251"/>
      <c r="X47" s="251"/>
      <c r="Y47" s="251"/>
      <c r="Z47" s="251"/>
      <c r="AA47" s="258"/>
      <c r="AB47" s="349"/>
      <c r="AC47" s="250"/>
      <c r="AD47" s="244">
        <f>SUM(B47:AC47)</f>
      </c>
      <c r="AE47" s="348"/>
      <c r="AF47" s="349"/>
      <c r="AG47" s="350"/>
      <c r="AH47" s="739" t="s">
        <v>9</v>
      </c>
      <c r="AI47" s="739" t="s">
        <v>9</v>
      </c>
      <c r="AJ47" s="739" t="s">
        <v>9</v>
      </c>
      <c r="AK47" s="739" t="s">
        <v>9</v>
      </c>
      <c r="AL47" s="739" t="s">
        <v>9</v>
      </c>
      <c r="AM47" s="740" t="s">
        <v>9</v>
      </c>
      <c r="AN47" s="741" t="s">
        <v>9</v>
      </c>
      <c r="AO47" s="742" t="s">
        <v>9</v>
      </c>
      <c r="AP47" s="256"/>
      <c r="AQ47" s="256"/>
      <c r="AR47" s="743" t="s">
        <v>9</v>
      </c>
      <c r="AS47" s="744" t="s">
        <v>9</v>
      </c>
      <c r="AT47" s="740" t="s">
        <v>9</v>
      </c>
      <c r="AU47" s="739" t="s">
        <v>9</v>
      </c>
      <c r="AV47" s="739" t="s">
        <v>9</v>
      </c>
      <c r="AW47" s="739" t="s">
        <v>9</v>
      </c>
      <c r="AX47" s="739" t="s">
        <v>9</v>
      </c>
      <c r="AY47" s="740" t="s">
        <v>9</v>
      </c>
      <c r="AZ47" s="251"/>
      <c r="BA47" s="251"/>
      <c r="BB47" s="251"/>
      <c r="BC47" s="251"/>
      <c r="BD47" s="251"/>
      <c r="BE47" s="349"/>
      <c r="BF47" s="250"/>
      <c r="BG47" s="244">
        <f>SUM(AE47:BF47)</f>
      </c>
      <c r="BH47" s="348"/>
      <c r="BI47" s="349"/>
      <c r="BJ47" s="350"/>
      <c r="BK47" s="739" t="s">
        <v>9</v>
      </c>
      <c r="BL47" s="739" t="s">
        <v>9</v>
      </c>
      <c r="BM47" s="739" t="s">
        <v>9</v>
      </c>
      <c r="BN47" s="739" t="s">
        <v>9</v>
      </c>
      <c r="BO47" s="739" t="s">
        <v>9</v>
      </c>
      <c r="BP47" s="740" t="s">
        <v>9</v>
      </c>
      <c r="BQ47" s="741" t="s">
        <v>9</v>
      </c>
      <c r="BR47" s="742" t="s">
        <v>9</v>
      </c>
      <c r="BS47" s="256"/>
      <c r="BT47" s="256"/>
      <c r="BU47" s="743" t="s">
        <v>9</v>
      </c>
      <c r="BV47" s="744" t="s">
        <v>9</v>
      </c>
      <c r="BW47" s="740" t="s">
        <v>9</v>
      </c>
      <c r="BX47" s="739" t="s">
        <v>9</v>
      </c>
      <c r="BY47" s="739" t="s">
        <v>9</v>
      </c>
      <c r="BZ47" s="739" t="s">
        <v>9</v>
      </c>
      <c r="CA47" s="739" t="s">
        <v>9</v>
      </c>
      <c r="CB47" s="740" t="s">
        <v>9</v>
      </c>
      <c r="CC47" s="251"/>
      <c r="CD47" s="251"/>
      <c r="CE47" s="251"/>
      <c r="CF47" s="251"/>
      <c r="CG47" s="251"/>
      <c r="CH47" s="349"/>
      <c r="CI47" s="250"/>
      <c r="CJ47" s="244">
        <f>SUM(BH47:CI47)</f>
      </c>
      <c r="CK47" s="348"/>
      <c r="CL47" s="349"/>
      <c r="CM47" s="350"/>
      <c r="CN47" s="739" t="s">
        <v>9</v>
      </c>
      <c r="CO47" s="739" t="s">
        <v>9</v>
      </c>
      <c r="CP47" s="739" t="s">
        <v>9</v>
      </c>
      <c r="CQ47" s="739" t="s">
        <v>9</v>
      </c>
      <c r="CR47" s="739" t="s">
        <v>9</v>
      </c>
      <c r="CS47" s="740" t="s">
        <v>9</v>
      </c>
      <c r="CT47" s="741" t="s">
        <v>9</v>
      </c>
      <c r="CU47" s="742" t="s">
        <v>9</v>
      </c>
      <c r="CV47" s="256"/>
      <c r="CW47" s="256"/>
      <c r="CX47" s="743" t="s">
        <v>9</v>
      </c>
      <c r="CY47" s="744" t="s">
        <v>9</v>
      </c>
      <c r="CZ47" s="740" t="s">
        <v>9</v>
      </c>
      <c r="DA47" s="739" t="s">
        <v>9</v>
      </c>
      <c r="DB47" s="739" t="s">
        <v>9</v>
      </c>
      <c r="DC47" s="739" t="s">
        <v>9</v>
      </c>
      <c r="DD47" s="739" t="s">
        <v>9</v>
      </c>
      <c r="DE47" s="739" t="s">
        <v>9</v>
      </c>
      <c r="DF47" s="251"/>
      <c r="DG47" s="251"/>
      <c r="DH47" s="251"/>
      <c r="DI47" s="251"/>
      <c r="DJ47" s="251"/>
      <c r="DK47" s="349"/>
      <c r="DL47" s="250"/>
      <c r="DM47" s="244">
        <f>SUM(CK47:DL47)</f>
      </c>
      <c r="DN47" s="348"/>
      <c r="DO47" s="349"/>
      <c r="DP47" s="350"/>
      <c r="DQ47" s="739" t="s">
        <v>9</v>
      </c>
      <c r="DR47" s="739" t="s">
        <v>9</v>
      </c>
      <c r="DS47" s="739" t="s">
        <v>9</v>
      </c>
      <c r="DT47" s="739" t="s">
        <v>9</v>
      </c>
      <c r="DU47" s="739" t="s">
        <v>9</v>
      </c>
      <c r="DV47" s="745" t="s">
        <v>9</v>
      </c>
      <c r="DW47" s="739" t="s">
        <v>9</v>
      </c>
      <c r="DX47" s="742" t="s">
        <v>9</v>
      </c>
      <c r="DY47" s="256"/>
      <c r="DZ47" s="256"/>
      <c r="EA47" s="743" t="s">
        <v>9</v>
      </c>
      <c r="EB47" s="739" t="s">
        <v>9</v>
      </c>
      <c r="EC47" s="739" t="s">
        <v>9</v>
      </c>
      <c r="ED47" s="739" t="s">
        <v>9</v>
      </c>
      <c r="EE47" s="739" t="s">
        <v>9</v>
      </c>
      <c r="EF47" s="739" t="s">
        <v>9</v>
      </c>
      <c r="EG47" s="739" t="s">
        <v>9</v>
      </c>
      <c r="EH47" s="739" t="s">
        <v>9</v>
      </c>
      <c r="EI47" s="251"/>
      <c r="EJ47" s="251"/>
      <c r="EK47" s="251"/>
      <c r="EL47" s="251"/>
      <c r="EM47" s="251"/>
      <c r="EN47" s="349"/>
      <c r="EO47" s="250"/>
      <c r="EP47" s="244">
        <f>SUM(DN47:EO47)</f>
      </c>
      <c r="EQ47" s="4"/>
      <c r="ER47" s="698">
        <f>EP47+DM47+CJ47+BG47+AD47</f>
      </c>
      <c r="ES47" s="4"/>
      <c r="ET47" s="4"/>
      <c r="EU47" s="4"/>
    </row>
    <row r="48" spans="1:15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</row>
    <row r="49" spans="1:15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</row>
    <row r="50" spans="1:15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</row>
    <row r="51" spans="1:15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</row>
    <row r="52" spans="1:15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</row>
    <row r="53" spans="1:15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</row>
    <row r="54" spans="1:15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</row>
    <row r="55" spans="1:15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</row>
    <row r="56" spans="1:15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</row>
    <row r="57" spans="1:15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</row>
    <row r="58" spans="1:15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</row>
    <row r="59" spans="1:15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</row>
    <row r="60" spans="1:15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</row>
    <row r="61" spans="1:15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</row>
    <row r="62" spans="1:15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</row>
    <row r="63" spans="1:15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</row>
    <row r="64" spans="1:15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</row>
    <row r="65" spans="1:15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</row>
    <row r="66" spans="1:15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</row>
    <row r="67" spans="1:15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</row>
    <row r="68" spans="1:15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</row>
    <row r="69" spans="1:15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</row>
    <row r="70" spans="1:15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</row>
    <row r="71" spans="1:15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</row>
    <row r="72" spans="1:15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</row>
    <row r="73" spans="1:15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</row>
    <row r="74" spans="1:15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</row>
    <row r="75" spans="1:15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</row>
    <row r="76" spans="1:15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</row>
    <row r="77" spans="1:15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</row>
    <row r="78" spans="1:15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</row>
    <row r="79" spans="1:15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</row>
    <row r="80" spans="1:15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</row>
    <row r="81" spans="1:15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</row>
    <row r="82" spans="1:15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</row>
    <row r="83" spans="1:15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</row>
    <row r="84" spans="1:15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</row>
    <row r="85" spans="1:15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</row>
    <row r="86" spans="1:15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</row>
    <row r="87" spans="1:15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</row>
    <row r="88" spans="1:15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</row>
    <row r="89" spans="1:15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</row>
    <row r="90" spans="1:15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</row>
    <row r="91" spans="1:15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</row>
    <row r="92" spans="1:15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</row>
    <row r="93" spans="1:15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</row>
    <row r="94" spans="1:15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</row>
    <row r="95" spans="1:15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</row>
    <row r="96" spans="1:15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</row>
    <row r="97" spans="1:15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</row>
    <row r="98" spans="1:15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</row>
    <row r="99" spans="1:15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</row>
    <row r="100" spans="1:15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</row>
    <row r="101" spans="1:15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</row>
    <row r="102" spans="1:15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</row>
    <row r="103" spans="1:15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</row>
    <row r="104" spans="1:15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</row>
    <row r="105" spans="1:15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</row>
    <row r="106" spans="1:15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</row>
    <row r="107" spans="1:15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</row>
    <row r="108" spans="1:15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</row>
    <row r="109" spans="1:15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</row>
    <row r="110" spans="1:15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</row>
    <row r="111" spans="1:15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</row>
    <row r="112" spans="1:15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</row>
    <row r="113" spans="1:15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</row>
    <row r="114" spans="1:15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</row>
    <row r="115" spans="1:15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</row>
    <row r="116" spans="1:15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</row>
    <row r="117" spans="1:15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</row>
    <row r="118" spans="1:15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</row>
    <row r="119" spans="1:15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</row>
    <row r="120" spans="1:15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</row>
    <row r="121" spans="1:15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</row>
    <row r="122" spans="1:15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</row>
    <row r="123" spans="1:15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</row>
    <row r="124" spans="1:15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</row>
    <row r="125" spans="1:15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</row>
    <row r="126" spans="1:15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</row>
    <row r="127" spans="1:15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</row>
    <row r="128" spans="1:15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</row>
    <row r="129" spans="1:151" x14ac:dyDescent="0.25">
      <c r="A129" s="8"/>
      <c r="B129" s="4"/>
      <c r="C129" s="4"/>
      <c r="D129" s="4"/>
      <c r="E129" s="119">
        <v>0</v>
      </c>
      <c r="F129" s="4" t="s">
        <v>232</v>
      </c>
      <c r="G129" s="746" t="s">
        <v>52</v>
      </c>
      <c r="H129" s="746"/>
      <c r="I129" s="747"/>
      <c r="J129" s="748">
        <f>#REF!+DX129+CU129+BR129+AO129+#REF!+#REF!</f>
      </c>
      <c r="K129" s="130">
        <f>J129+#REF!</f>
      </c>
      <c r="L129" s="4"/>
      <c r="M129" s="714"/>
      <c r="N129" s="749" t="s">
        <v>233</v>
      </c>
      <c r="O129" s="749" t="s">
        <v>233</v>
      </c>
      <c r="P129" s="749" t="s">
        <v>233</v>
      </c>
      <c r="Q129" s="749" t="s">
        <v>233</v>
      </c>
      <c r="R129" s="749" t="s">
        <v>233</v>
      </c>
      <c r="S129" s="750" t="s">
        <v>233</v>
      </c>
      <c r="T129" s="749" t="s">
        <v>233</v>
      </c>
      <c r="U129" s="751" t="s">
        <v>233</v>
      </c>
      <c r="V129" s="137"/>
      <c r="W129" s="137"/>
      <c r="X129" s="141"/>
      <c r="Y129" s="749" t="s">
        <v>233</v>
      </c>
      <c r="Z129" s="749" t="s">
        <v>233</v>
      </c>
      <c r="AA129" s="749" t="s">
        <v>233</v>
      </c>
      <c r="AB129" s="749"/>
      <c r="AC129" s="749"/>
      <c r="AD129" s="749" t="s">
        <v>233</v>
      </c>
      <c r="AE129" s="749"/>
      <c r="AF129" s="4"/>
      <c r="AG129" s="749" t="s">
        <v>233</v>
      </c>
      <c r="AH129" s="749" t="s">
        <v>233</v>
      </c>
      <c r="AI129" s="749" t="s">
        <v>233</v>
      </c>
      <c r="AJ129" s="749" t="s">
        <v>233</v>
      </c>
      <c r="AK129" s="153"/>
      <c r="AL129" s="153"/>
      <c r="AM129" s="153"/>
      <c r="AN129" s="153"/>
      <c r="AO129" s="131">
        <f>SUM(M129:AN129)</f>
      </c>
      <c r="AP129" s="153"/>
      <c r="AQ129" s="749" t="s">
        <v>233</v>
      </c>
      <c r="AR129" s="749" t="s">
        <v>233</v>
      </c>
      <c r="AS129" s="749" t="s">
        <v>233</v>
      </c>
      <c r="AT129" s="749" t="s">
        <v>233</v>
      </c>
      <c r="AU129" s="749" t="s">
        <v>233</v>
      </c>
      <c r="AV129" s="750" t="s">
        <v>233</v>
      </c>
      <c r="AW129" s="749" t="s">
        <v>233</v>
      </c>
      <c r="AX129" s="751" t="s">
        <v>233</v>
      </c>
      <c r="AY129" s="137"/>
      <c r="AZ129" s="137"/>
      <c r="BA129" s="141"/>
      <c r="BB129" s="749" t="s">
        <v>233</v>
      </c>
      <c r="BC129" s="749" t="s">
        <v>233</v>
      </c>
      <c r="BD129" s="749" t="s">
        <v>233</v>
      </c>
      <c r="BE129" s="749"/>
      <c r="BF129" s="749"/>
      <c r="BG129" s="749" t="s">
        <v>233</v>
      </c>
      <c r="BH129" s="749"/>
      <c r="BI129" s="4"/>
      <c r="BJ129" s="749" t="s">
        <v>233</v>
      </c>
      <c r="BK129" s="749" t="s">
        <v>233</v>
      </c>
      <c r="BL129" s="749" t="s">
        <v>233</v>
      </c>
      <c r="BM129" s="749" t="s">
        <v>233</v>
      </c>
      <c r="BN129" s="153"/>
      <c r="BO129" s="153"/>
      <c r="BP129" s="153"/>
      <c r="BQ129" s="153"/>
      <c r="BR129" s="131">
        <f>SUM(AP129:BQ129)</f>
      </c>
      <c r="BS129" s="714"/>
      <c r="BT129" s="749" t="s">
        <v>233</v>
      </c>
      <c r="BU129" s="749" t="s">
        <v>233</v>
      </c>
      <c r="BV129" s="749" t="s">
        <v>233</v>
      </c>
      <c r="BW129" s="749" t="s">
        <v>233</v>
      </c>
      <c r="BX129" s="749" t="s">
        <v>233</v>
      </c>
      <c r="BY129" s="750" t="s">
        <v>233</v>
      </c>
      <c r="BZ129" s="749" t="s">
        <v>233</v>
      </c>
      <c r="CA129" s="751" t="s">
        <v>233</v>
      </c>
      <c r="CB129" s="137"/>
      <c r="CC129" s="137"/>
      <c r="CD129" s="141"/>
      <c r="CE129" s="749" t="s">
        <v>233</v>
      </c>
      <c r="CF129" s="749" t="s">
        <v>233</v>
      </c>
      <c r="CG129" s="749" t="s">
        <v>233</v>
      </c>
      <c r="CH129" s="749"/>
      <c r="CI129" s="749"/>
      <c r="CJ129" s="749" t="s">
        <v>233</v>
      </c>
      <c r="CK129" s="749"/>
      <c r="CL129" s="4"/>
      <c r="CM129" s="749" t="s">
        <v>233</v>
      </c>
      <c r="CN129" s="749" t="s">
        <v>233</v>
      </c>
      <c r="CO129" s="749" t="s">
        <v>233</v>
      </c>
      <c r="CP129" s="749" t="s">
        <v>233</v>
      </c>
      <c r="CQ129" s="153"/>
      <c r="CR129" s="153"/>
      <c r="CS129" s="153"/>
      <c r="CT129" s="153"/>
      <c r="CU129" s="131">
        <f>SUM(BS129:CT129)</f>
      </c>
      <c r="CV129" s="153"/>
      <c r="CW129" s="749" t="s">
        <v>233</v>
      </c>
      <c r="CX129" s="749" t="s">
        <v>233</v>
      </c>
      <c r="CY129" s="749" t="s">
        <v>233</v>
      </c>
      <c r="CZ129" s="749" t="s">
        <v>233</v>
      </c>
      <c r="DA129" s="749" t="s">
        <v>233</v>
      </c>
      <c r="DB129" s="750" t="s">
        <v>233</v>
      </c>
      <c r="DC129" s="749" t="s">
        <v>233</v>
      </c>
      <c r="DD129" s="751" t="s">
        <v>233</v>
      </c>
      <c r="DE129" s="137"/>
      <c r="DF129" s="137"/>
      <c r="DG129" s="141"/>
      <c r="DH129" s="749" t="s">
        <v>233</v>
      </c>
      <c r="DI129" s="749" t="s">
        <v>233</v>
      </c>
      <c r="DJ129" s="749" t="s">
        <v>233</v>
      </c>
      <c r="DK129" s="749"/>
      <c r="DL129" s="749"/>
      <c r="DM129" s="749" t="s">
        <v>233</v>
      </c>
      <c r="DN129" s="749"/>
      <c r="DO129" s="4"/>
      <c r="DP129" s="749" t="s">
        <v>233</v>
      </c>
      <c r="DQ129" s="749" t="s">
        <v>233</v>
      </c>
      <c r="DR129" s="749" t="s">
        <v>233</v>
      </c>
      <c r="DS129" s="749" t="s">
        <v>233</v>
      </c>
      <c r="DT129" s="153"/>
      <c r="DU129" s="153"/>
      <c r="DV129" s="153"/>
      <c r="DW129" s="153"/>
      <c r="DX129" s="131">
        <f>SUM(CV129:DW129)</f>
      </c>
      <c r="DY129" s="153"/>
      <c r="DZ129" s="749" t="s">
        <v>233</v>
      </c>
      <c r="EA129" s="749" t="s">
        <v>233</v>
      </c>
      <c r="EB129" s="749" t="s">
        <v>233</v>
      </c>
      <c r="EC129" s="749" t="s">
        <v>233</v>
      </c>
      <c r="ED129" s="749" t="s">
        <v>233</v>
      </c>
      <c r="EE129" s="750" t="s">
        <v>233</v>
      </c>
      <c r="EF129" s="749" t="s">
        <v>233</v>
      </c>
      <c r="EG129" s="751" t="s">
        <v>233</v>
      </c>
      <c r="EH129" s="137"/>
      <c r="EI129" s="137"/>
      <c r="EJ129" s="141"/>
      <c r="EK129" s="749" t="s">
        <v>233</v>
      </c>
      <c r="EL129" s="749" t="s">
        <v>233</v>
      </c>
      <c r="EM129" s="749" t="s">
        <v>233</v>
      </c>
      <c r="EN129" s="749"/>
      <c r="EO129" s="749"/>
      <c r="EP129" s="749" t="s">
        <v>233</v>
      </c>
      <c r="EQ129" s="749" t="s">
        <v>233</v>
      </c>
      <c r="ER129" s="749" t="s">
        <v>233</v>
      </c>
      <c r="ES129" s="749" t="s">
        <v>233</v>
      </c>
      <c r="ET129" s="749" t="s">
        <v>233</v>
      </c>
      <c r="EU129" s="153"/>
    </row>
  </sheetData>
  <mergeCells count="65">
    <mergeCell ref="B1:AC1"/>
    <mergeCell ref="AE1:BF1"/>
    <mergeCell ref="BH1:CI1"/>
    <mergeCell ref="CK1:DL1"/>
    <mergeCell ref="DN1:EO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Y2:AZ2"/>
    <mergeCell ref="BA2:BB2"/>
    <mergeCell ref="BC2:BD2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CF2:CG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P2:DQ2"/>
    <mergeCell ref="DR2:DS2"/>
    <mergeCell ref="DT2:DU2"/>
    <mergeCell ref="DV2:DW2"/>
    <mergeCell ref="DX2:DY2"/>
    <mergeCell ref="DZ2:EA2"/>
    <mergeCell ref="EB2:EC2"/>
    <mergeCell ref="ED2:EE2"/>
    <mergeCell ref="EF2:EG2"/>
    <mergeCell ref="EH2:EI2"/>
    <mergeCell ref="EJ2:EK2"/>
    <mergeCell ref="EL2:EM2"/>
  </mergeCells>
  <conditionalFormatting sqref="ER3:ER4 ER6:ER32 ER38:ER47">
    <cfRule type="cellIs" dxfId="4523" priority="1998" operator="greaterThan">
      <formula>40</formula>
    </cfRule>
    <cfRule type="cellIs" dxfId="4524" priority="1997" operator="equal">
      <formula>40</formula>
    </cfRule>
  </conditionalFormatting>
  <conditionalFormatting sqref="AD3:AD4 AD6:AD27 AD32 AD38:AD47 BG3:BG4 BG6:BG27 BG32 BG38:BG47 CJ3:CJ4 CJ6:CJ27 CJ32 CJ38:CJ47 DM3:DM4 DM6:DM27 DM32 DM38:DM47 EP3:EP4 EP6:EP27 EP32 EP38:EP47">
    <cfRule type="cellIs" dxfId="4525" priority="1856" operator="equal">
      <formula>0</formula>
    </cfRule>
    <cfRule type="cellIs" dxfId="4526" priority="1857" operator="equal">
      <formula>8</formula>
    </cfRule>
    <cfRule type="cellIs" dxfId="4527" priority="1858" operator="greaterThan">
      <formula>8</formula>
    </cfRule>
    <cfRule type="cellIs" dxfId="4528" priority="1859" operator="lessThan">
      <formula>8</formula>
    </cfRule>
  </conditionalFormatting>
  <conditionalFormatting sqref="AO129">
    <cfRule type="cellIs" dxfId="4529" priority="1321" operator="equal">
      <formula>0</formula>
    </cfRule>
    <cfRule type="cellIs" dxfId="4530" priority="1322" operator="equal">
      <formula>8</formula>
    </cfRule>
    <cfRule type="cellIs" dxfId="4531" priority="1323" operator="greaterThan">
      <formula>8</formula>
    </cfRule>
    <cfRule type="cellIs" dxfId="4532" priority="1324" operator="lessThan">
      <formula>8</formula>
    </cfRule>
  </conditionalFormatting>
  <conditionalFormatting sqref="BR129">
    <cfRule type="cellIs" dxfId="4533" priority="1317" operator="equal">
      <formula>0</formula>
    </cfRule>
    <cfRule type="cellIs" dxfId="4534" priority="1318" operator="equal">
      <formula>8</formula>
    </cfRule>
    <cfRule type="cellIs" dxfId="4535" priority="1319" operator="greaterThan">
      <formula>8</formula>
    </cfRule>
    <cfRule type="cellIs" dxfId="4536" priority="1320" operator="lessThan">
      <formula>8</formula>
    </cfRule>
  </conditionalFormatting>
  <conditionalFormatting sqref="CU129">
    <cfRule type="cellIs" dxfId="4537" priority="1313" operator="equal">
      <formula>0</formula>
    </cfRule>
    <cfRule type="cellIs" dxfId="4538" priority="1314" operator="equal">
      <formula>8</formula>
    </cfRule>
    <cfRule type="cellIs" dxfId="4539" priority="1315" operator="greaterThan">
      <formula>8</formula>
    </cfRule>
    <cfRule type="cellIs" dxfId="4540" priority="1316" operator="lessThan">
      <formula>8</formula>
    </cfRule>
  </conditionalFormatting>
  <conditionalFormatting sqref="DX129">
    <cfRule type="cellIs" dxfId="4541" priority="1309" operator="equal">
      <formula>0</formula>
    </cfRule>
    <cfRule type="cellIs" dxfId="4542" priority="1310" operator="equal">
      <formula>8</formula>
    </cfRule>
    <cfRule type="cellIs" dxfId="4543" priority="1311" operator="greaterThan">
      <formula>8</formula>
    </cfRule>
    <cfRule type="cellIs" dxfId="4544" priority="1312" operator="lessThan">
      <formula>8</formula>
    </cfRule>
  </conditionalFormatting>
  <conditionalFormatting sqref="ER37">
    <cfRule type="cellIs" dxfId="4545" priority="40" operator="greaterThan">
      <formula>40</formula>
    </cfRule>
    <cfRule type="cellIs" dxfId="4546" priority="39" operator="equal">
      <formula>40</formula>
    </cfRule>
  </conditionalFormatting>
  <conditionalFormatting sqref="AD37 BG37 CJ37 DM37 EP37">
    <cfRule type="cellIs" dxfId="4547" priority="35" operator="equal">
      <formula>0</formula>
    </cfRule>
    <cfRule type="cellIs" dxfId="4548" priority="36" operator="equal">
      <formula>8</formula>
    </cfRule>
    <cfRule type="cellIs" dxfId="4549" priority="37" operator="greaterThan">
      <formula>8</formula>
    </cfRule>
    <cfRule type="cellIs" dxfId="4550" priority="38" operator="lessThan">
      <formula>8</formula>
    </cfRule>
  </conditionalFormatting>
  <conditionalFormatting sqref="ER36">
    <cfRule type="cellIs" dxfId="4551" priority="34" operator="greaterThan">
      <formula>40</formula>
    </cfRule>
    <cfRule type="cellIs" dxfId="4552" priority="33" operator="equal">
      <formula>40</formula>
    </cfRule>
  </conditionalFormatting>
  <conditionalFormatting sqref="AD36 BG36 CJ36 DM36 EP36">
    <cfRule type="cellIs" dxfId="4553" priority="29" operator="equal">
      <formula>0</formula>
    </cfRule>
    <cfRule type="cellIs" dxfId="4554" priority="30" operator="equal">
      <formula>8</formula>
    </cfRule>
    <cfRule type="cellIs" dxfId="4555" priority="31" operator="greaterThan">
      <formula>8</formula>
    </cfRule>
    <cfRule type="cellIs" dxfId="4556" priority="32" operator="lessThan">
      <formula>8</formula>
    </cfRule>
  </conditionalFormatting>
  <conditionalFormatting sqref="ER35">
    <cfRule type="cellIs" dxfId="4557" priority="28" operator="greaterThan">
      <formula>40</formula>
    </cfRule>
    <cfRule type="cellIs" dxfId="4558" priority="27" operator="equal">
      <formula>40</formula>
    </cfRule>
  </conditionalFormatting>
  <conditionalFormatting sqref="AD35 BG35 CJ35 DM35 EP35">
    <cfRule type="cellIs" dxfId="4559" priority="23" operator="equal">
      <formula>0</formula>
    </cfRule>
    <cfRule type="cellIs" dxfId="4560" priority="24" operator="equal">
      <formula>8</formula>
    </cfRule>
    <cfRule type="cellIs" dxfId="4561" priority="25" operator="greaterThan">
      <formula>8</formula>
    </cfRule>
    <cfRule type="cellIs" dxfId="4562" priority="26" operator="lessThan">
      <formula>8</formula>
    </cfRule>
  </conditionalFormatting>
  <conditionalFormatting sqref="ER34">
    <cfRule type="cellIs" dxfId="4563" priority="22" operator="greaterThan">
      <formula>40</formula>
    </cfRule>
    <cfRule type="cellIs" dxfId="4564" priority="21" operator="equal">
      <formula>40</formula>
    </cfRule>
  </conditionalFormatting>
  <conditionalFormatting sqref="AD34 BG34 CJ34 DM34 EP34">
    <cfRule type="cellIs" dxfId="4565" priority="17" operator="equal">
      <formula>0</formula>
    </cfRule>
    <cfRule type="cellIs" dxfId="4566" priority="18" operator="equal">
      <formula>8</formula>
    </cfRule>
    <cfRule type="cellIs" dxfId="4567" priority="19" operator="greaterThan">
      <formula>8</formula>
    </cfRule>
    <cfRule type="cellIs" dxfId="4568" priority="20" operator="lessThan">
      <formula>8</formula>
    </cfRule>
  </conditionalFormatting>
  <conditionalFormatting sqref="ER33">
    <cfRule type="cellIs" dxfId="4569" priority="16" operator="greaterThan">
      <formula>40</formula>
    </cfRule>
    <cfRule type="cellIs" dxfId="4570" priority="15" operator="equal">
      <formula>40</formula>
    </cfRule>
  </conditionalFormatting>
  <conditionalFormatting sqref="AD33 BG33 CJ33 DM33 EP33">
    <cfRule type="cellIs" dxfId="4571" priority="11" operator="equal">
      <formula>0</formula>
    </cfRule>
    <cfRule type="cellIs" dxfId="4572" priority="12" operator="equal">
      <formula>8</formula>
    </cfRule>
    <cfRule type="cellIs" dxfId="4573" priority="13" operator="greaterThan">
      <formula>8</formula>
    </cfRule>
    <cfRule type="cellIs" dxfId="4574" priority="14" operator="lessThan">
      <formula>8</formula>
    </cfRule>
  </conditionalFormatting>
  <conditionalFormatting sqref="AD28:AD31 BG28:BG31 CJ28:CJ31 DM28:DM31 EP28:EP31">
    <cfRule type="cellIs" dxfId="4575" priority="7" operator="equal">
      <formula>0</formula>
    </cfRule>
    <cfRule type="cellIs" dxfId="4576" priority="8" operator="equal">
      <formula>8</formula>
    </cfRule>
    <cfRule type="cellIs" dxfId="4577" priority="9" operator="greaterThan">
      <formula>8</formula>
    </cfRule>
    <cfRule type="cellIs" dxfId="4578" priority="10" operator="lessThan">
      <formula>8</formula>
    </cfRule>
  </conditionalFormatting>
  <conditionalFormatting sqref="ER5">
    <cfRule type="cellIs" dxfId="4579" priority="6" operator="greaterThan">
      <formula>40</formula>
    </cfRule>
    <cfRule type="cellIs" dxfId="4580" priority="5" operator="equal">
      <formula>40</formula>
    </cfRule>
  </conditionalFormatting>
  <conditionalFormatting sqref="AD5 BG5 CJ5 DM5 EP5">
    <cfRule type="cellIs" dxfId="4581" priority="1" operator="equal">
      <formula>0</formula>
    </cfRule>
    <cfRule type="cellIs" dxfId="4582" priority="2" operator="equal">
      <formula>8</formula>
    </cfRule>
    <cfRule type="cellIs" dxfId="4583" priority="3" operator="greaterThan">
      <formula>8</formula>
    </cfRule>
    <cfRule type="cellIs" dxfId="4584" priority="4" operator="lessThan">
      <formula>8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7999816888943144"/>
    <outlinePr summaryBelow="1" summaryRight="1"/>
  </sheetPr>
  <dimension ref="A1:AX6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  <col min="40" max="40" width="10" customWidth="1"/>
  </cols>
  <sheetData>
    <row r="1" ht="15" customHeight="1" spans="1:50" s="752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753" t="s">
        <v>234</v>
      </c>
    </row>
    <row r="2" ht="80.25" customHeight="1" spans="1:50" s="754" customFormat="1" x14ac:dyDescent="0.25">
      <c r="A2" s="755" t="s">
        <v>235</v>
      </c>
      <c r="B2" s="756"/>
      <c r="C2" s="757">
        <f>Config!D3</f>
      </c>
      <c r="D2" s="757">
        <f>Config!D4</f>
      </c>
      <c r="E2" s="757">
        <f>Config!D5</f>
      </c>
      <c r="F2" s="757">
        <f>Config!D6</f>
      </c>
      <c r="G2" s="757">
        <f>Config!D7</f>
      </c>
      <c r="H2" s="757">
        <f>Config!D8</f>
      </c>
      <c r="I2" s="757">
        <f>Config!D9</f>
      </c>
      <c r="J2" s="757">
        <f>Config!D10</f>
      </c>
      <c r="K2" s="757">
        <f>Config!D11</f>
      </c>
      <c r="L2" s="757">
        <f>Config!D12</f>
      </c>
      <c r="M2" s="757">
        <f>Config!D13</f>
      </c>
      <c r="N2" s="757">
        <f>Config!D14</f>
      </c>
      <c r="O2" s="757">
        <f>Config!D15</f>
      </c>
      <c r="P2" s="757">
        <f>Config!D16</f>
      </c>
      <c r="Q2" s="757">
        <f>Config!D17</f>
      </c>
      <c r="R2" s="757">
        <f>Config!D18</f>
      </c>
      <c r="S2" s="757">
        <f>Config!D19</f>
      </c>
      <c r="T2" s="757">
        <f>Config!D20</f>
      </c>
      <c r="U2" s="757">
        <f>Config!D21</f>
      </c>
      <c r="V2" s="757">
        <f>Config!D22</f>
      </c>
      <c r="W2" s="757">
        <f>Config!D23</f>
      </c>
      <c r="X2" s="757">
        <f>Config!D24</f>
      </c>
      <c r="Y2" s="757">
        <f>Config!D25</f>
      </c>
      <c r="Z2" s="757">
        <f>Config!D26</f>
      </c>
      <c r="AA2" s="757">
        <f>Config!D27</f>
      </c>
      <c r="AB2" s="757">
        <f>Config!D28</f>
      </c>
      <c r="AC2" s="757">
        <f>Config!D29</f>
      </c>
      <c r="AD2" s="757">
        <f>Config!D30</f>
      </c>
      <c r="AE2" s="757">
        <f>Config!D31</f>
      </c>
      <c r="AF2" s="757">
        <f>Config!D32</f>
      </c>
      <c r="AG2" s="757">
        <f>Config!D33</f>
      </c>
      <c r="AH2" s="757">
        <f>Config!D34</f>
      </c>
      <c r="AI2" s="757">
        <f>Config!D35</f>
      </c>
      <c r="AJ2" s="757">
        <f>Config!D36</f>
      </c>
      <c r="AK2" s="757">
        <f>Config!D37</f>
      </c>
      <c r="AL2" s="758" t="s">
        <v>236</v>
      </c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</row>
    <row r="3" ht="10.5" customHeight="1" spans="1:50" s="754" customFormat="1" x14ac:dyDescent="0.25">
      <c r="A3" s="756"/>
      <c r="B3" s="756"/>
      <c r="C3" s="759"/>
      <c r="D3" s="759"/>
      <c r="E3" s="759"/>
      <c r="F3" s="759"/>
      <c r="G3" s="759"/>
      <c r="H3" s="759"/>
      <c r="I3" s="759"/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759"/>
      <c r="X3" s="759"/>
      <c r="Y3" s="759"/>
      <c r="Z3" s="759"/>
      <c r="AA3" s="759"/>
      <c r="AB3" s="759"/>
      <c r="AC3" s="759"/>
      <c r="AD3" s="759"/>
      <c r="AE3" s="759"/>
      <c r="AF3" s="759"/>
      <c r="AG3" s="759"/>
      <c r="AH3" s="759"/>
      <c r="AI3" s="757"/>
      <c r="AJ3" s="757"/>
      <c r="AK3" s="757"/>
      <c r="AL3" s="758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ht="20.25" customHeight="1" spans="1:50" x14ac:dyDescent="0.25">
      <c r="A4" s="4">
        <f>Planning!B13</f>
      </c>
      <c r="B4" s="4"/>
      <c r="C4" s="760">
        <f>IF(GetFillColor(C4)&lt;0,SUM(Planning!$F13:$AC13),0)</f>
      </c>
      <c r="D4" s="760">
        <f>IF(GetFillColor(D4)&lt;0,SUM(Planning!$AI13:$BF13),0)</f>
      </c>
      <c r="E4" s="760">
        <f>IF(GetFillColor(E4)&lt;0,SUM(Planning!$BL13:$CI13),0)</f>
      </c>
      <c r="F4" s="761">
        <f>IF(GetFillColor(F4)&lt;0,SUM(Planning!$CO13:$DL13),0)</f>
      </c>
      <c r="G4" s="761">
        <f>IF(GetFillColor(G4)&lt;0,SUM(Planning!$DR13:$EO13),0)</f>
      </c>
      <c r="H4" s="761">
        <v>0</v>
      </c>
      <c r="I4" s="761">
        <v>0</v>
      </c>
      <c r="J4" s="762">
        <f>IF(GetFillColor(J4)&lt;0,SUM(Planning!$HD13:$IA13),0)</f>
      </c>
      <c r="K4" s="762">
        <f>IF(GetFillColor(K4)&lt;0,SUM(Planning!$IG13:$JD13),0)</f>
      </c>
      <c r="L4" s="762">
        <f>IF(GetFillColor(L4)&lt;0,SUM(Planning!$JJ13:$KG13),0)</f>
      </c>
      <c r="M4" s="762">
        <f>IF(GetFillColor(M4)&lt;0,SUM(Planning!$KM13:$LJ13),0)</f>
      </c>
      <c r="N4" s="762">
        <f>IF(GetFillColor(N4)&lt;0,SUM(Planning!$LP13:$MM13),0)</f>
      </c>
      <c r="O4" s="761">
        <v>0</v>
      </c>
      <c r="P4" s="761">
        <v>0</v>
      </c>
      <c r="Q4" s="762">
        <f>IF(GetFillColor(Q4)&lt;0,SUM(Planning!$PB13:$PY13),0)</f>
      </c>
      <c r="R4" s="762">
        <f>IF(GetFillColor(R4)&lt;0,SUM(Planning!$QE13:$RB13),0)</f>
      </c>
      <c r="S4" s="762">
        <f>IF(GetFillColor(S4)&lt;0,SUM(Planning!$RH13:$SE13),0)</f>
      </c>
      <c r="T4" s="762">
        <f>IF(GetFillColor(T4)&lt;0,SUM(Planning!$SK13:$TH13),0)</f>
      </c>
      <c r="U4" s="762">
        <f>IF(GetFillColor(U4)&lt;0,SUM(Planning!$TN13:$UK13),0)</f>
      </c>
      <c r="V4" s="761">
        <v>0</v>
      </c>
      <c r="W4" s="761">
        <v>0</v>
      </c>
      <c r="X4" s="762">
        <f>IF(GetFillColor(X4)&lt;0,SUM(Planning!$WZ13:$XW13),0)</f>
      </c>
      <c r="Y4" s="762">
        <f>IF(GetFillColor(Y4)&lt;0,SUM(Planning!$YC13:$YZ13),0)</f>
      </c>
      <c r="Z4" s="762">
        <f>IF(GetFillColor(Z4)&lt;0,SUM(Planning!$ZF13:$AAC13),0)</f>
      </c>
      <c r="AA4" s="762">
        <f>IF(GetFillColor(AA4)&lt;0,SUM(Planning!$AAI13:$ABF13),0)</f>
      </c>
      <c r="AB4" s="762">
        <f>IF(GetFillColor(AB4)&lt;0,SUM(Planning!$ABL13:$ACI13),0)</f>
      </c>
      <c r="AC4" s="761">
        <v>0</v>
      </c>
      <c r="AD4" s="761">
        <v>0</v>
      </c>
      <c r="AE4" s="762">
        <f>IF(GetFillColor(AE4)&lt;0,SUM(Planning!$AEX13:$AFU13),0)</f>
      </c>
      <c r="AF4" s="762">
        <f>IF(GetFillColor(AF4)&lt;0,SUM(Planning!$AGA13:$AGX13),0)</f>
      </c>
      <c r="AG4" s="762">
        <f>IF(GetFillColor(AG4)&lt;0,SUM(Planning!$AHD13:$AIA13),0)</f>
      </c>
      <c r="AH4" s="762">
        <f>IF(GetFillColor(AH4)&lt;0,SUM(Planning!$AIG13:$AJD13),0)</f>
      </c>
      <c r="AI4" s="762">
        <f>IF(GetFillColor(AI4)&lt;0,SUM(Planning!$AJJ13:$AKG13),0)</f>
      </c>
      <c r="AJ4" s="761">
        <v>0</v>
      </c>
      <c r="AK4" s="760">
        <v>0</v>
      </c>
      <c r="AL4" s="698">
        <f>SUM(C4:AK4)</f>
      </c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ht="20.25" customHeight="1" spans="1:50" x14ac:dyDescent="0.25">
      <c r="A5" s="4">
        <f>Planning!B14</f>
      </c>
      <c r="B5" s="4"/>
      <c r="C5" s="760">
        <f>IF(GetFillColor(C5)&lt;0,SUM(Planning!$F14:$AC14),0)</f>
      </c>
      <c r="D5" s="760">
        <f>IF(GetFillColor(D5)&lt;0,SUM(Planning!$AI14:$BF14),0)</f>
      </c>
      <c r="E5" s="760">
        <f>IF(GetFillColor(E5)&lt;0,SUM(Planning!$BL14:$CI14),0)</f>
      </c>
      <c r="F5" s="761">
        <f>IF(GetFillColor(F5)&lt;0,SUM(Planning!$CO14:$DL14),0)</f>
      </c>
      <c r="G5" s="761">
        <f>IF(GetFillColor(G5)&lt;0,SUM(Planning!$DR14:$EO14),0)</f>
      </c>
      <c r="H5" s="761">
        <v>0</v>
      </c>
      <c r="I5" s="761">
        <v>0</v>
      </c>
      <c r="J5" s="762">
        <f>IF(GetFillColor(J5)&lt;0,SUM(Planning!$HD14:$IA14),0)</f>
      </c>
      <c r="K5" s="762">
        <f>IF(GetFillColor(K5)&lt;0,SUM(Planning!$IG14:$JD14),0)</f>
      </c>
      <c r="L5" s="762">
        <f>IF(GetFillColor(L5)&lt;0,SUM(Planning!$JJ14:$KG14),0)</f>
      </c>
      <c r="M5" s="762">
        <f>IF(GetFillColor(M5)&lt;0,SUM(Planning!$KM14:$LJ14),0)</f>
      </c>
      <c r="N5" s="762">
        <f>IF(GetFillColor(N5)&lt;0,SUM(Planning!$LP14:$MM14),0)</f>
      </c>
      <c r="O5" s="761">
        <v>0</v>
      </c>
      <c r="P5" s="761">
        <v>0</v>
      </c>
      <c r="Q5" s="762">
        <f>IF(GetFillColor(Q5)&lt;0,SUM(Planning!$PB14:$PY14),0)</f>
      </c>
      <c r="R5" s="762">
        <f>IF(GetFillColor(R5)&lt;0,SUM(Planning!$QE14:$RB14),0)</f>
      </c>
      <c r="S5" s="762">
        <f>IF(GetFillColor(S5)&lt;0,SUM(Planning!$RH14:$SE14),0)</f>
      </c>
      <c r="T5" s="762">
        <f>IF(GetFillColor(T5)&lt;0,SUM(Planning!$SK14:$TH14),0)</f>
      </c>
      <c r="U5" s="762">
        <f>IF(GetFillColor(U5)&lt;0,SUM(Planning!$TN14:$UK14),0)</f>
      </c>
      <c r="V5" s="761">
        <v>0</v>
      </c>
      <c r="W5" s="761">
        <v>0</v>
      </c>
      <c r="X5" s="762">
        <f>IF(GetFillColor(X5)&lt;0,SUM(Planning!$WZ14:$XW14),0)</f>
      </c>
      <c r="Y5" s="762">
        <f>IF(GetFillColor(Y5)&lt;0,SUM(Planning!$YC14:$YZ14),0)</f>
      </c>
      <c r="Z5" s="762">
        <f>IF(GetFillColor(Z5)&lt;0,SUM(Planning!$ZF14:$AAC14),0)</f>
      </c>
      <c r="AA5" s="762">
        <f>IF(GetFillColor(AA5)&lt;0,SUM(Planning!$AAI14:$ABF14),0)</f>
      </c>
      <c r="AB5" s="762">
        <f>IF(GetFillColor(AB5)&lt;0,SUM(Planning!$ABL14:$ACI14),0)</f>
      </c>
      <c r="AC5" s="761">
        <v>0</v>
      </c>
      <c r="AD5" s="761">
        <v>0</v>
      </c>
      <c r="AE5" s="762">
        <f>IF(GetFillColor(AE5)&lt;0,SUM(Planning!$AEX14:$AFU14),0)</f>
      </c>
      <c r="AF5" s="762">
        <f>IF(GetFillColor(AF5)&lt;0,SUM(Planning!$AGA14:$AGX14),0)</f>
      </c>
      <c r="AG5" s="762">
        <f>IF(GetFillColor(AG5)&lt;0,SUM(Planning!$AHD14:$AIA14),0)</f>
      </c>
      <c r="AH5" s="762">
        <f>IF(GetFillColor(AH5)&lt;0,SUM(Planning!$AIG14:$AJD14),0)</f>
      </c>
      <c r="AI5" s="762">
        <f>IF(GetFillColor(AI5)&lt;0,SUM(Planning!$AJJ14:$AKG14),0)</f>
      </c>
      <c r="AJ5" s="761">
        <v>0</v>
      </c>
      <c r="AK5" s="760">
        <v>0</v>
      </c>
      <c r="AL5" s="698">
        <f>SUM(C5:AK5)</f>
      </c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ht="20.25" customHeight="1" spans="1:50" x14ac:dyDescent="0.25">
      <c r="A6" s="4">
        <f>Planning!B15</f>
      </c>
      <c r="B6" s="4"/>
      <c r="C6" s="760">
        <f>IF(GetFillColor(C6)&lt;0,SUM(Planning!$F15:$AC15),0)</f>
      </c>
      <c r="D6" s="760">
        <f>IF(GetFillColor(D6)&lt;0,SUM(Planning!$AI15:$BF15),0)</f>
      </c>
      <c r="E6" s="760">
        <f>IF(GetFillColor(E6)&lt;0,SUM(Planning!$BL15:$CI15),0)</f>
      </c>
      <c r="F6" s="761">
        <f>IF(GetFillColor(F6)&lt;0,SUM(Planning!$CO15:$DL15),0)</f>
      </c>
      <c r="G6" s="761">
        <f>IF(GetFillColor(G6)&lt;0,SUM(Planning!$DR15:$EO15),0)</f>
      </c>
      <c r="H6" s="761">
        <v>0</v>
      </c>
      <c r="I6" s="761">
        <v>0</v>
      </c>
      <c r="J6" s="762">
        <f>IF(GetFillColor(J6)&lt;0,SUM(Planning!$HD15:$IA15),0)</f>
      </c>
      <c r="K6" s="762">
        <f>IF(GetFillColor(K6)&lt;0,SUM(Planning!$IG15:$JD15),0)</f>
      </c>
      <c r="L6" s="762">
        <f>IF(GetFillColor(L6)&lt;0,SUM(Planning!$JJ15:$KG15),0)</f>
      </c>
      <c r="M6" s="762">
        <f>IF(GetFillColor(M6)&lt;0,SUM(Planning!$KM15:$LJ15),0)</f>
      </c>
      <c r="N6" s="762">
        <f>IF(GetFillColor(N6)&lt;0,SUM(Planning!$LP15:$MM15),0)</f>
      </c>
      <c r="O6" s="761">
        <v>0</v>
      </c>
      <c r="P6" s="761">
        <v>0</v>
      </c>
      <c r="Q6" s="762">
        <f>IF(GetFillColor(Q6)&lt;0,SUM(Planning!$PB15:$PY15),0)</f>
      </c>
      <c r="R6" s="762">
        <f>IF(GetFillColor(R6)&lt;0,SUM(Planning!$QE15:$RB15),0)</f>
      </c>
      <c r="S6" s="762">
        <f>IF(GetFillColor(S6)&lt;0,SUM(Planning!$RH15:$SE15),0)</f>
      </c>
      <c r="T6" s="762">
        <f>IF(GetFillColor(T6)&lt;0,SUM(Planning!$SK15:$TH15),0)</f>
      </c>
      <c r="U6" s="762">
        <f>IF(GetFillColor(U6)&lt;0,SUM(Planning!$TN15:$UK15),0)</f>
      </c>
      <c r="V6" s="761">
        <v>0</v>
      </c>
      <c r="W6" s="761">
        <v>0</v>
      </c>
      <c r="X6" s="762">
        <f>IF(GetFillColor(X6)&lt;0,SUM(Planning!$WZ15:$XW15),0)</f>
      </c>
      <c r="Y6" s="762">
        <f>IF(GetFillColor(Y6)&lt;0,SUM(Planning!$YC15:$YZ15),0)</f>
      </c>
      <c r="Z6" s="762">
        <f>IF(GetFillColor(Z6)&lt;0,SUM(Planning!$ZF15:$AAC15),0)</f>
      </c>
      <c r="AA6" s="762">
        <f>IF(GetFillColor(AA6)&lt;0,SUM(Planning!$AAI15:$ABF15),0)</f>
      </c>
      <c r="AB6" s="762">
        <f>IF(GetFillColor(AB6)&lt;0,SUM(Planning!$ABL15:$ACI15),0)</f>
      </c>
      <c r="AC6" s="761">
        <v>0</v>
      </c>
      <c r="AD6" s="761">
        <v>0</v>
      </c>
      <c r="AE6" s="762">
        <f>IF(GetFillColor(AE6)&lt;0,SUM(Planning!$AEX15:$AFU15),0)</f>
      </c>
      <c r="AF6" s="762">
        <f>IF(GetFillColor(AF6)&lt;0,SUM(Planning!$AGA15:$AGX15),0)</f>
      </c>
      <c r="AG6" s="762">
        <f>IF(GetFillColor(AG6)&lt;0,SUM(Planning!$AHD15:$AIA15),0)</f>
      </c>
      <c r="AH6" s="762">
        <f>IF(GetFillColor(AH6)&lt;0,SUM(Planning!$AIG15:$AJD15),0)</f>
      </c>
      <c r="AI6" s="762">
        <f>IF(GetFillColor(AI6)&lt;0,SUM(Planning!$AJJ15:$AKG15),0)</f>
      </c>
      <c r="AJ6" s="761">
        <v>0</v>
      </c>
      <c r="AK6" s="760">
        <v>0</v>
      </c>
      <c r="AL6" s="698">
        <f>SUM(C6:AK6)</f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ht="20.25" customHeight="1" spans="1:50" x14ac:dyDescent="0.25">
      <c r="A7" s="4">
        <f>Planning!B16</f>
      </c>
      <c r="B7" s="4"/>
      <c r="C7" s="760">
        <f>IF(GetFillColor(C7)&lt;0,SUM(Planning!$F16:$AC16),0)</f>
      </c>
      <c r="D7" s="760">
        <f>IF(GetFillColor(D7)&lt;0,SUM(Planning!$AI16:$BF16),0)</f>
      </c>
      <c r="E7" s="760">
        <f>IF(GetFillColor(E7)&lt;0,SUM(Planning!$BL16:$CI16),0)</f>
      </c>
      <c r="F7" s="761">
        <f>IF(GetFillColor(F7)&lt;0,SUM(Planning!$CO16:$DL16),0)</f>
      </c>
      <c r="G7" s="761">
        <f>IF(GetFillColor(G7)&lt;0,SUM(Planning!$DR16:$EO16),0)</f>
      </c>
      <c r="H7" s="761">
        <v>0</v>
      </c>
      <c r="I7" s="761">
        <v>0</v>
      </c>
      <c r="J7" s="762">
        <f>IF(GetFillColor(J7)&lt;0,SUM(Planning!$HD16:$IA16),0)</f>
      </c>
      <c r="K7" s="762">
        <f>IF(GetFillColor(K7)&lt;0,SUM(Planning!$IG16:$JD16),0)</f>
      </c>
      <c r="L7" s="762">
        <f>IF(GetFillColor(L7)&lt;0,SUM(Planning!$JJ16:$KG16),0)</f>
      </c>
      <c r="M7" s="762">
        <f>IF(GetFillColor(M7)&lt;0,SUM(Planning!$KM16:$LJ16),0)</f>
      </c>
      <c r="N7" s="762">
        <f>IF(GetFillColor(N7)&lt;0,SUM(Planning!$LP16:$MM16),0)</f>
      </c>
      <c r="O7" s="761">
        <v>0</v>
      </c>
      <c r="P7" s="761">
        <v>0</v>
      </c>
      <c r="Q7" s="762">
        <f>IF(GetFillColor(Q7)&lt;0,SUM(Planning!$PB16:$PY16),0)</f>
      </c>
      <c r="R7" s="762">
        <f>IF(GetFillColor(R7)&lt;0,SUM(Planning!$QE16:$RB16),0)</f>
      </c>
      <c r="S7" s="762">
        <f>IF(GetFillColor(S7)&lt;0,SUM(Planning!$RH16:$SE16),0)</f>
      </c>
      <c r="T7" s="762">
        <f>IF(GetFillColor(T7)&lt;0,SUM(Planning!$SK16:$TH16),0)</f>
      </c>
      <c r="U7" s="762">
        <f>IF(GetFillColor(U7)&lt;0,SUM(Planning!$TN16:$UK16),0)</f>
      </c>
      <c r="V7" s="761">
        <v>0</v>
      </c>
      <c r="W7" s="761">
        <v>0</v>
      </c>
      <c r="X7" s="762">
        <f>IF(GetFillColor(X7)&lt;0,SUM(Planning!$WZ16:$XW16),0)</f>
      </c>
      <c r="Y7" s="762">
        <f>IF(GetFillColor(Y7)&lt;0,SUM(Planning!$YC16:$YZ16),0)</f>
      </c>
      <c r="Z7" s="762">
        <f>IF(GetFillColor(Z7)&lt;0,SUM(Planning!$ZF16:$AAC16),0)</f>
      </c>
      <c r="AA7" s="762">
        <f>IF(GetFillColor(AA7)&lt;0,SUM(Planning!$AAI16:$ABF16),0)</f>
      </c>
      <c r="AB7" s="762">
        <f>IF(GetFillColor(AB7)&lt;0,SUM(Planning!$ABL16:$ACI16),0)</f>
      </c>
      <c r="AC7" s="761">
        <v>0</v>
      </c>
      <c r="AD7" s="761">
        <v>0</v>
      </c>
      <c r="AE7" s="762">
        <f>IF(GetFillColor(AE7)&lt;0,SUM(Planning!$AEX16:$AFU16),0)</f>
      </c>
      <c r="AF7" s="762">
        <f>IF(GetFillColor(AF7)&lt;0,SUM(Planning!$AGA16:$AGX16),0)</f>
      </c>
      <c r="AG7" s="762">
        <f>IF(GetFillColor(AG7)&lt;0,SUM(Planning!$AHD16:$AIA16),0)</f>
      </c>
      <c r="AH7" s="762">
        <f>IF(GetFillColor(AH7)&lt;0,SUM(Planning!$AIG16:$AJD16),0)</f>
      </c>
      <c r="AI7" s="762">
        <f>IF(GetFillColor(AI7)&lt;0,SUM(Planning!$AJJ16:$AKG16),0)</f>
      </c>
      <c r="AJ7" s="761">
        <v>0</v>
      </c>
      <c r="AK7" s="760">
        <v>0</v>
      </c>
      <c r="AL7" s="698">
        <f>SUM(C7:AK7)</f>
      </c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ht="20.25" customHeight="1" spans="1:50" x14ac:dyDescent="0.25">
      <c r="A8" s="4">
        <f>Planning!B17</f>
      </c>
      <c r="B8" s="4"/>
      <c r="C8" s="760">
        <f>IF(GetFillColor(C8)&lt;0,SUM(Planning!$F17:$AC17),0)</f>
      </c>
      <c r="D8" s="760">
        <f>IF(GetFillColor(D8)&lt;0,SUM(Planning!$AI17:$BF17),0)</f>
      </c>
      <c r="E8" s="760">
        <f>IF(GetFillColor(E8)&lt;0,SUM(Planning!$BL17:$CI17),0)</f>
      </c>
      <c r="F8" s="761">
        <f>IF(GetFillColor(F8)&lt;0,SUM(Planning!$CO17:$DL17),0)</f>
      </c>
      <c r="G8" s="761">
        <f>IF(GetFillColor(G8)&lt;0,SUM(Planning!$DR17:$EO17),0)</f>
      </c>
      <c r="H8" s="761">
        <v>0</v>
      </c>
      <c r="I8" s="761">
        <v>0</v>
      </c>
      <c r="J8" s="762">
        <f>IF(GetFillColor(J8)&lt;0,SUM(Planning!$HD17:$IA17),0)</f>
      </c>
      <c r="K8" s="762">
        <f>IF(GetFillColor(K8)&lt;0,SUM(Planning!$IG17:$JD17),0)</f>
      </c>
      <c r="L8" s="762">
        <f>IF(GetFillColor(L8)&lt;0,SUM(Planning!$JJ17:$KG17),0)</f>
      </c>
      <c r="M8" s="762">
        <f>IF(GetFillColor(M8)&lt;0,SUM(Planning!$KM17:$LJ17),0)</f>
      </c>
      <c r="N8" s="762">
        <f>IF(GetFillColor(N8)&lt;0,SUM(Planning!$LP17:$MM17),0)</f>
      </c>
      <c r="O8" s="761">
        <v>0</v>
      </c>
      <c r="P8" s="761">
        <v>0</v>
      </c>
      <c r="Q8" s="762">
        <f>IF(GetFillColor(Q8)&lt;0,SUM(Planning!$PB17:$PY17),0)</f>
      </c>
      <c r="R8" s="762">
        <f>IF(GetFillColor(R8)&lt;0,SUM(Planning!$QE17:$RB17),0)</f>
      </c>
      <c r="S8" s="762">
        <f>IF(GetFillColor(S8)&lt;0,SUM(Planning!$RH17:$SE17),0)</f>
      </c>
      <c r="T8" s="762">
        <f>IF(GetFillColor(T8)&lt;0,SUM(Planning!$SK17:$TH17),0)</f>
      </c>
      <c r="U8" s="762">
        <f>IF(GetFillColor(U8)&lt;0,SUM(Planning!$TN17:$UK17),0)</f>
      </c>
      <c r="V8" s="761">
        <v>0</v>
      </c>
      <c r="W8" s="761">
        <v>0</v>
      </c>
      <c r="X8" s="762">
        <f>IF(GetFillColor(X8)&lt;0,SUM(Planning!$WZ17:$XW17),0)</f>
      </c>
      <c r="Y8" s="762">
        <f>IF(GetFillColor(Y8)&lt;0,SUM(Planning!$YC17:$YZ17),0)</f>
      </c>
      <c r="Z8" s="762">
        <f>IF(GetFillColor(Z8)&lt;0,SUM(Planning!$ZF17:$AAC17),0)</f>
      </c>
      <c r="AA8" s="762">
        <f>IF(GetFillColor(AA8)&lt;0,SUM(Planning!$AAI17:$ABF17),0)</f>
      </c>
      <c r="AB8" s="762">
        <f>IF(GetFillColor(AB8)&lt;0,SUM(Planning!$ABL17:$ACI17),0)</f>
      </c>
      <c r="AC8" s="761">
        <v>0</v>
      </c>
      <c r="AD8" s="761">
        <v>0</v>
      </c>
      <c r="AE8" s="762">
        <f>IF(GetFillColor(AE8)&lt;0,SUM(Planning!$AEX17:$AFU17),0)</f>
      </c>
      <c r="AF8" s="762">
        <f>IF(GetFillColor(AF8)&lt;0,SUM(Planning!$AGA17:$AGX17),0)</f>
      </c>
      <c r="AG8" s="762">
        <f>IF(GetFillColor(AG8)&lt;0,SUM(Planning!$AHD17:$AIA17),0)</f>
      </c>
      <c r="AH8" s="762">
        <f>IF(GetFillColor(AH8)&lt;0,SUM(Planning!$AIG17:$AJD17),0)</f>
      </c>
      <c r="AI8" s="762">
        <f>IF(GetFillColor(AI8)&lt;0,SUM(Planning!$AJJ17:$AKG17),0)</f>
      </c>
      <c r="AJ8" s="761">
        <v>0</v>
      </c>
      <c r="AK8" s="760">
        <v>0</v>
      </c>
      <c r="AL8" s="698">
        <f>SUM(C8:AK8)</f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ht="20.25" customHeight="1" spans="1:50" x14ac:dyDescent="0.25">
      <c r="A9" s="4">
        <f>Planning!B18</f>
      </c>
      <c r="B9" s="4"/>
      <c r="C9" s="760">
        <f>IF(GetFillColor(C9)&lt;0,SUM(Planning!$F18:$AC18),0)</f>
      </c>
      <c r="D9" s="760">
        <f>IF(GetFillColor(D9)&lt;0,SUM(Planning!$AI18:$BF18),0)</f>
      </c>
      <c r="E9" s="760">
        <f>IF(GetFillColor(E9)&lt;0,SUM(Planning!$BL18:$CI18),0)</f>
      </c>
      <c r="F9" s="761">
        <f>IF(GetFillColor(F9)&lt;0,SUM(Planning!$CO18:$DL18),0)</f>
      </c>
      <c r="G9" s="761">
        <f>IF(GetFillColor(G9)&lt;0,SUM(Planning!$DR18:$EO18),0)</f>
      </c>
      <c r="H9" s="761">
        <v>0</v>
      </c>
      <c r="I9" s="761">
        <v>0</v>
      </c>
      <c r="J9" s="762">
        <f>IF(GetFillColor(J9)&lt;0,SUM(Planning!$HD18:$IA18),0)</f>
      </c>
      <c r="K9" s="762">
        <f>IF(GetFillColor(K9)&lt;0,SUM(Planning!$IG18:$JD18),0)</f>
      </c>
      <c r="L9" s="762">
        <f>IF(GetFillColor(L9)&lt;0,SUM(Planning!$JJ18:$KG18),0)</f>
      </c>
      <c r="M9" s="762">
        <f>IF(GetFillColor(M9)&lt;0,SUM(Planning!$KM18:$LJ18),0)</f>
      </c>
      <c r="N9" s="762">
        <f>IF(GetFillColor(N9)&lt;0,SUM(Planning!$LP18:$MM18),0)</f>
      </c>
      <c r="O9" s="761">
        <v>0</v>
      </c>
      <c r="P9" s="761">
        <v>0</v>
      </c>
      <c r="Q9" s="762">
        <f>IF(GetFillColor(Q9)&lt;0,SUM(Planning!$PB18:$PY18),0)</f>
      </c>
      <c r="R9" s="762">
        <f>IF(GetFillColor(R9)&lt;0,SUM(Planning!$QE18:$RB18),0)</f>
      </c>
      <c r="S9" s="762">
        <f>IF(GetFillColor(S9)&lt;0,SUM(Planning!$RH18:$SE18),0)</f>
      </c>
      <c r="T9" s="762">
        <f>IF(GetFillColor(T9)&lt;0,SUM(Planning!$SK18:$TH18),0)</f>
      </c>
      <c r="U9" s="762">
        <f>IF(GetFillColor(U9)&lt;0,SUM(Planning!$TN18:$UK18),0)</f>
      </c>
      <c r="V9" s="761">
        <v>0</v>
      </c>
      <c r="W9" s="761">
        <v>0</v>
      </c>
      <c r="X9" s="762">
        <f>IF(GetFillColor(X9)&lt;0,SUM(Planning!$WZ18:$XW18),0)</f>
      </c>
      <c r="Y9" s="762">
        <f>IF(GetFillColor(Y9)&lt;0,SUM(Planning!$YC18:$YZ18),0)</f>
      </c>
      <c r="Z9" s="762">
        <f>IF(GetFillColor(Z9)&lt;0,SUM(Planning!$ZF18:$AAC18),0)</f>
      </c>
      <c r="AA9" s="762">
        <f>IF(GetFillColor(AA9)&lt;0,SUM(Planning!$AAI18:$ABF18),0)</f>
      </c>
      <c r="AB9" s="762">
        <f>IF(GetFillColor(AB9)&lt;0,SUM(Planning!$ABL18:$ACI18),0)</f>
      </c>
      <c r="AC9" s="761">
        <v>0</v>
      </c>
      <c r="AD9" s="761">
        <v>0</v>
      </c>
      <c r="AE9" s="762">
        <f>IF(GetFillColor(AE9)&lt;0,SUM(Planning!$AEX18:$AFU18),0)</f>
      </c>
      <c r="AF9" s="762">
        <f>IF(GetFillColor(AF9)&lt;0,SUM(Planning!$AGA18:$AGX18),0)</f>
      </c>
      <c r="AG9" s="762">
        <f>IF(GetFillColor(AG9)&lt;0,SUM(Planning!$AHD18:$AIA18),0)</f>
      </c>
      <c r="AH9" s="762">
        <f>IF(GetFillColor(AH9)&lt;0,SUM(Planning!$AIG18:$AJD18),0)</f>
      </c>
      <c r="AI9" s="762">
        <f>IF(GetFillColor(AI9)&lt;0,SUM(Planning!$AJJ18:$AKG18),0)</f>
      </c>
      <c r="AJ9" s="761">
        <v>0</v>
      </c>
      <c r="AK9" s="760">
        <v>0</v>
      </c>
      <c r="AL9" s="698">
        <f>SUM(C9:AK9)</f>
      </c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ht="20.25" customHeight="1" spans="1:50" x14ac:dyDescent="0.25">
      <c r="A10" s="4">
        <f>Planning!B19</f>
      </c>
      <c r="B10" s="4"/>
      <c r="C10" s="760">
        <f>IF(GetFillColor(C10)&lt;0,SUM(Planning!$F19:$AC19),0)</f>
      </c>
      <c r="D10" s="760">
        <f>IF(GetFillColor(D10)&lt;0,SUM(Planning!$AI19:$BF19),0)</f>
      </c>
      <c r="E10" s="760">
        <f>IF(GetFillColor(E10)&lt;0,SUM(Planning!$BL19:$CI19),0)</f>
      </c>
      <c r="F10" s="761">
        <f>IF(GetFillColor(F10)&lt;0,SUM(Planning!$CO19:$DL19),0)</f>
      </c>
      <c r="G10" s="761">
        <f>IF(GetFillColor(G10)&lt;0,SUM(Planning!$DR19:$EO19),0)</f>
      </c>
      <c r="H10" s="761">
        <v>0</v>
      </c>
      <c r="I10" s="761">
        <v>0</v>
      </c>
      <c r="J10" s="762">
        <f>IF(GetFillColor(J10)&lt;0,SUM(Planning!$HD19:$IA19),0)</f>
      </c>
      <c r="K10" s="762">
        <f>IF(GetFillColor(K10)&lt;0,SUM(Planning!$IG19:$JD19),0)</f>
      </c>
      <c r="L10" s="762">
        <f>IF(GetFillColor(L10)&lt;0,SUM(Planning!$JJ19:$KG19),0)</f>
      </c>
      <c r="M10" s="762">
        <f>IF(GetFillColor(M10)&lt;0,SUM(Planning!$KM19:$LJ19),0)</f>
      </c>
      <c r="N10" s="762">
        <f>IF(GetFillColor(N10)&lt;0,SUM(Planning!$LP19:$MM19),0)</f>
      </c>
      <c r="O10" s="761">
        <v>0</v>
      </c>
      <c r="P10" s="761">
        <v>0</v>
      </c>
      <c r="Q10" s="762">
        <f>IF(GetFillColor(Q10)&lt;0,SUM(Planning!$PB19:$PY19),0)</f>
      </c>
      <c r="R10" s="762">
        <f>IF(GetFillColor(R10)&lt;0,SUM(Planning!$QE19:$RB19),0)</f>
      </c>
      <c r="S10" s="762">
        <f>IF(GetFillColor(S10)&lt;0,SUM(Planning!$RH19:$SE19),0)</f>
      </c>
      <c r="T10" s="762">
        <f>IF(GetFillColor(T10)&lt;0,SUM(Planning!$SK19:$TH19),0)</f>
      </c>
      <c r="U10" s="762">
        <f>IF(GetFillColor(U10)&lt;0,SUM(Planning!$TN19:$UK19),0)</f>
      </c>
      <c r="V10" s="761">
        <v>0</v>
      </c>
      <c r="W10" s="761">
        <v>0</v>
      </c>
      <c r="X10" s="762">
        <f>IF(GetFillColor(X10)&lt;0,SUM(Planning!$WZ19:$XW19),0)</f>
      </c>
      <c r="Y10" s="762">
        <f>IF(GetFillColor(Y10)&lt;0,SUM(Planning!$YC19:$YZ19),0)</f>
      </c>
      <c r="Z10" s="762">
        <f>IF(GetFillColor(Z10)&lt;0,SUM(Planning!$ZF19:$AAC19),0)</f>
      </c>
      <c r="AA10" s="762">
        <f>IF(GetFillColor(AA10)&lt;0,SUM(Planning!$AAI19:$ABF19),0)</f>
      </c>
      <c r="AB10" s="762">
        <f>IF(GetFillColor(AB10)&lt;0,SUM(Planning!$ABL19:$ACI19),0)</f>
      </c>
      <c r="AC10" s="761">
        <v>0</v>
      </c>
      <c r="AD10" s="761">
        <v>0</v>
      </c>
      <c r="AE10" s="762">
        <f>IF(GetFillColor(AE10)&lt;0,SUM(Planning!$AEX19:$AFU19),0)</f>
      </c>
      <c r="AF10" s="762">
        <f>IF(GetFillColor(AF10)&lt;0,SUM(Planning!$AGA19:$AGX19),0)</f>
      </c>
      <c r="AG10" s="762">
        <f>IF(GetFillColor(AG10)&lt;0,SUM(Planning!$AHD19:$AIA19),0)</f>
      </c>
      <c r="AH10" s="762">
        <f>IF(GetFillColor(AH10)&lt;0,SUM(Planning!$AIG19:$AJD19),0)</f>
      </c>
      <c r="AI10" s="762">
        <f>IF(GetFillColor(AI10)&lt;0,SUM(Planning!$AJJ19:$AKG19),0)</f>
      </c>
      <c r="AJ10" s="761">
        <v>0</v>
      </c>
      <c r="AK10" s="760">
        <v>0</v>
      </c>
      <c r="AL10" s="698">
        <f>SUM(C10:AK10)</f>
      </c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ht="20.25" customHeight="1" spans="1:50" x14ac:dyDescent="0.25">
      <c r="A11" s="4">
        <f>Planning!B20</f>
      </c>
      <c r="B11" s="4"/>
      <c r="C11" s="760">
        <f>IF(GetFillColor(C11)&lt;0,SUM(Planning!$F20:$AC20),0)</f>
      </c>
      <c r="D11" s="760">
        <f>IF(GetFillColor(D11)&lt;0,SUM(Planning!$AI20:$BF20),0)</f>
      </c>
      <c r="E11" s="760">
        <f>IF(GetFillColor(E11)&lt;0,SUM(Planning!$BL20:$CI20),0)</f>
      </c>
      <c r="F11" s="761">
        <f>IF(GetFillColor(F11)&lt;0,SUM(Planning!$CO20:$DL20),0)</f>
      </c>
      <c r="G11" s="761">
        <f>IF(GetFillColor(G11)&lt;0,SUM(Planning!$DR20:$EO20),0)</f>
      </c>
      <c r="H11" s="761">
        <v>0</v>
      </c>
      <c r="I11" s="761">
        <v>0</v>
      </c>
      <c r="J11" s="762">
        <f>IF(GetFillColor(J11)&lt;0,SUM(Planning!$HD20:$IA20),0)</f>
      </c>
      <c r="K11" s="762">
        <f>IF(GetFillColor(K11)&lt;0,SUM(Planning!$IG20:$JD20),0)</f>
      </c>
      <c r="L11" s="762">
        <f>IF(GetFillColor(L11)&lt;0,SUM(Planning!$JJ20:$KG20),0)</f>
      </c>
      <c r="M11" s="762">
        <f>IF(GetFillColor(M11)&lt;0,SUM(Planning!$KM20:$LJ20),0)</f>
      </c>
      <c r="N11" s="762">
        <f>IF(GetFillColor(N11)&lt;0,SUM(Planning!$LP20:$MM20),0)</f>
      </c>
      <c r="O11" s="761">
        <v>0</v>
      </c>
      <c r="P11" s="761">
        <v>0</v>
      </c>
      <c r="Q11" s="762">
        <f>IF(GetFillColor(Q11)&lt;0,SUM(Planning!$PB20:$PY20),0)</f>
      </c>
      <c r="R11" s="762">
        <f>IF(GetFillColor(R11)&lt;0,SUM(Planning!$QE20:$RB20),0)</f>
      </c>
      <c r="S11" s="762">
        <f>IF(GetFillColor(S11)&lt;0,SUM(Planning!$RH20:$SE20),0)</f>
      </c>
      <c r="T11" s="762">
        <f>IF(GetFillColor(T11)&lt;0,SUM(Planning!$SK20:$TH20),0)</f>
      </c>
      <c r="U11" s="762">
        <f>IF(GetFillColor(U11)&lt;0,SUM(Planning!$TN20:$UK20),0)</f>
      </c>
      <c r="V11" s="761">
        <v>0</v>
      </c>
      <c r="W11" s="761">
        <v>0</v>
      </c>
      <c r="X11" s="762">
        <f>IF(GetFillColor(X11)&lt;0,SUM(Planning!$WZ20:$XW20),0)</f>
      </c>
      <c r="Y11" s="762">
        <f>IF(GetFillColor(Y11)&lt;0,SUM(Planning!$YC20:$YZ20),0)</f>
      </c>
      <c r="Z11" s="762">
        <f>IF(GetFillColor(Z11)&lt;0,SUM(Planning!$ZF20:$AAC20),0)</f>
      </c>
      <c r="AA11" s="762">
        <f>IF(GetFillColor(AA11)&lt;0,SUM(Planning!$AAI20:$ABF20),0)</f>
      </c>
      <c r="AB11" s="762">
        <f>IF(GetFillColor(AB11)&lt;0,SUM(Planning!$ABL20:$ACI20),0)</f>
      </c>
      <c r="AC11" s="761">
        <v>0</v>
      </c>
      <c r="AD11" s="761">
        <v>0</v>
      </c>
      <c r="AE11" s="762">
        <f>IF(GetFillColor(AE11)&lt;0,SUM(Planning!$AEX20:$AFU20),0)</f>
      </c>
      <c r="AF11" s="762">
        <f>IF(GetFillColor(AF11)&lt;0,SUM(Planning!$AGA20:$AGX20),0)</f>
      </c>
      <c r="AG11" s="762">
        <f>IF(GetFillColor(AG11)&lt;0,SUM(Planning!$AHD20:$AIA20),0)</f>
      </c>
      <c r="AH11" s="762">
        <f>IF(GetFillColor(AH11)&lt;0,SUM(Planning!$AIG20:$AJD20),0)</f>
      </c>
      <c r="AI11" s="762">
        <f>IF(GetFillColor(AI11)&lt;0,SUM(Planning!$AJJ20:$AKG20),0)</f>
      </c>
      <c r="AJ11" s="761">
        <v>0</v>
      </c>
      <c r="AK11" s="760">
        <v>0</v>
      </c>
      <c r="AL11" s="698">
        <f>SUM(C11:AK11)</f>
      </c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ht="20.25" customHeight="1" spans="1:50" x14ac:dyDescent="0.25">
      <c r="A12" s="4">
        <f>Planning!B21</f>
      </c>
      <c r="B12" s="4"/>
      <c r="C12" s="760">
        <f>IF(GetFillColor(C12)&lt;0,SUM(Planning!$F21:$AC21),0)</f>
      </c>
      <c r="D12" s="760">
        <f>IF(GetFillColor(D12)&lt;0,SUM(Planning!$AI21:$BF21),0)</f>
      </c>
      <c r="E12" s="760">
        <f>IF(GetFillColor(E12)&lt;0,SUM(Planning!$BL21:$CI21),0)</f>
      </c>
      <c r="F12" s="761">
        <f>IF(GetFillColor(F12)&lt;0,SUM(Planning!$CO21:$DL21),0)</f>
      </c>
      <c r="G12" s="761">
        <f>IF(GetFillColor(G12)&lt;0,SUM(Planning!$DR21:$EO21),0)</f>
      </c>
      <c r="H12" s="761">
        <v>0</v>
      </c>
      <c r="I12" s="761">
        <v>0</v>
      </c>
      <c r="J12" s="762">
        <f>IF(GetFillColor(J12)&lt;0,SUM(Planning!$HD21:$IA21),0)</f>
      </c>
      <c r="K12" s="762">
        <f>IF(GetFillColor(K12)&lt;0,SUM(Planning!$IG21:$JD21),0)</f>
      </c>
      <c r="L12" s="762">
        <f>IF(GetFillColor(L12)&lt;0,SUM(Planning!$JJ21:$KG21),0)</f>
      </c>
      <c r="M12" s="762">
        <f>IF(GetFillColor(M12)&lt;0,SUM(Planning!$KM21:$LJ21),0)</f>
      </c>
      <c r="N12" s="762">
        <f>IF(GetFillColor(N12)&lt;0,SUM(Planning!$LP21:$MM21),0)</f>
      </c>
      <c r="O12" s="761">
        <v>0</v>
      </c>
      <c r="P12" s="761">
        <v>0</v>
      </c>
      <c r="Q12" s="762">
        <f>IF(GetFillColor(Q12)&lt;0,SUM(Planning!$PB21:$PY21),0)</f>
      </c>
      <c r="R12" s="762">
        <f>IF(GetFillColor(R12)&lt;0,SUM(Planning!$QE21:$RB21),0)</f>
      </c>
      <c r="S12" s="762">
        <f>IF(GetFillColor(S12)&lt;0,SUM(Planning!$RH21:$SE21),0)</f>
      </c>
      <c r="T12" s="762">
        <f>IF(GetFillColor(T12)&lt;0,SUM(Planning!$SK21:$TH21),0)</f>
      </c>
      <c r="U12" s="762">
        <f>IF(GetFillColor(U12)&lt;0,SUM(Planning!$TN21:$UK21),0)</f>
      </c>
      <c r="V12" s="761">
        <v>0</v>
      </c>
      <c r="W12" s="761">
        <v>0</v>
      </c>
      <c r="X12" s="762">
        <f>IF(GetFillColor(X12)&lt;0,SUM(Planning!$WZ21:$XW21),0)</f>
      </c>
      <c r="Y12" s="762">
        <f>IF(GetFillColor(Y12)&lt;0,SUM(Planning!$YC21:$YZ21),0)</f>
      </c>
      <c r="Z12" s="762">
        <f>IF(GetFillColor(Z12)&lt;0,SUM(Planning!$ZF21:$AAC21),0)</f>
      </c>
      <c r="AA12" s="762">
        <f>IF(GetFillColor(AA12)&lt;0,SUM(Planning!$AAI21:$ABF21),0)</f>
      </c>
      <c r="AB12" s="762">
        <f>IF(GetFillColor(AB12)&lt;0,SUM(Planning!$ABL21:$ACI21),0)</f>
      </c>
      <c r="AC12" s="761">
        <v>0</v>
      </c>
      <c r="AD12" s="761">
        <v>0</v>
      </c>
      <c r="AE12" s="762">
        <f>IF(GetFillColor(AE12)&lt;0,SUM(Planning!$AEX21:$AFU21),0)</f>
      </c>
      <c r="AF12" s="762">
        <f>IF(GetFillColor(AF12)&lt;0,SUM(Planning!$AGA21:$AGX21),0)</f>
      </c>
      <c r="AG12" s="762">
        <f>IF(GetFillColor(AG12)&lt;0,SUM(Planning!$AHD21:$AIA21),0)</f>
      </c>
      <c r="AH12" s="762">
        <f>IF(GetFillColor(AH12)&lt;0,SUM(Planning!$AIG21:$AJD21),0)</f>
      </c>
      <c r="AI12" s="762">
        <f>IF(GetFillColor(AI12)&lt;0,SUM(Planning!$AJJ21:$AKG21),0)</f>
      </c>
      <c r="AJ12" s="761">
        <v>0</v>
      </c>
      <c r="AK12" s="760">
        <v>0</v>
      </c>
      <c r="AL12" s="698">
        <f>SUM(C12:AK12)</f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</row>
    <row r="13" ht="20.25" customHeight="1" spans="1:50" x14ac:dyDescent="0.25">
      <c r="A13" s="4">
        <f>Planning!B22</f>
      </c>
      <c r="B13" s="4"/>
      <c r="C13" s="760">
        <f>IF(GetFillColor(C13)&lt;0,SUM(Planning!$F22:$AC22),0)</f>
      </c>
      <c r="D13" s="760">
        <f>IF(GetFillColor(D13)&lt;0,SUM(Planning!$AI22:$BF22),0)</f>
      </c>
      <c r="E13" s="760">
        <f>IF(GetFillColor(E13)&lt;0,SUM(Planning!$BL22:$CI22),0)</f>
      </c>
      <c r="F13" s="761">
        <f>IF(GetFillColor(F13)&lt;0,SUM(Planning!$CO22:$DL22),0)</f>
      </c>
      <c r="G13" s="761">
        <f>IF(GetFillColor(G13)&lt;0,SUM(Planning!$DR22:$EO22),0)</f>
      </c>
      <c r="H13" s="761">
        <v>0</v>
      </c>
      <c r="I13" s="761">
        <v>0</v>
      </c>
      <c r="J13" s="762">
        <f>IF(GetFillColor(J13)&lt;0,SUM(Planning!$HD22:$IA22),0)</f>
      </c>
      <c r="K13" s="762">
        <f>IF(GetFillColor(K13)&lt;0,SUM(Planning!$IG22:$JD22),0)</f>
      </c>
      <c r="L13" s="762">
        <f>IF(GetFillColor(L13)&lt;0,SUM(Planning!$JJ22:$KG22),0)</f>
      </c>
      <c r="M13" s="762">
        <f>IF(GetFillColor(M13)&lt;0,SUM(Planning!$KM22:$LJ22),0)</f>
      </c>
      <c r="N13" s="762">
        <f>IF(GetFillColor(N13)&lt;0,SUM(Planning!$LP22:$MM22),0)</f>
      </c>
      <c r="O13" s="761">
        <v>0</v>
      </c>
      <c r="P13" s="761">
        <v>0</v>
      </c>
      <c r="Q13" s="762">
        <f>IF(GetFillColor(Q13)&lt;0,SUM(Planning!$PB22:$PY22),0)</f>
      </c>
      <c r="R13" s="762">
        <f>IF(GetFillColor(R13)&lt;0,SUM(Planning!$QE22:$RB22),0)</f>
      </c>
      <c r="S13" s="762">
        <f>IF(GetFillColor(S13)&lt;0,SUM(Planning!$RH22:$SE22),0)</f>
      </c>
      <c r="T13" s="762">
        <f>IF(GetFillColor(T13)&lt;0,SUM(Planning!$SK22:$TH22),0)</f>
      </c>
      <c r="U13" s="762">
        <f>IF(GetFillColor(U13)&lt;0,SUM(Planning!$TN22:$UK22),0)</f>
      </c>
      <c r="V13" s="761">
        <v>0</v>
      </c>
      <c r="W13" s="761">
        <v>0</v>
      </c>
      <c r="X13" s="762">
        <f>IF(GetFillColor(X13)&lt;0,SUM(Planning!$WZ22:$XW22),0)</f>
      </c>
      <c r="Y13" s="762">
        <f>IF(GetFillColor(Y13)&lt;0,SUM(Planning!$YC22:$YZ22),0)</f>
      </c>
      <c r="Z13" s="762">
        <f>IF(GetFillColor(Z13)&lt;0,SUM(Planning!$ZF22:$AAC22),0)</f>
      </c>
      <c r="AA13" s="762">
        <f>IF(GetFillColor(AA13)&lt;0,SUM(Planning!$AAI22:$ABF22),0)</f>
      </c>
      <c r="AB13" s="762">
        <f>IF(GetFillColor(AB13)&lt;0,SUM(Planning!$ABL22:$ACI22),0)</f>
      </c>
      <c r="AC13" s="761">
        <v>0</v>
      </c>
      <c r="AD13" s="761">
        <v>0</v>
      </c>
      <c r="AE13" s="762">
        <f>IF(GetFillColor(AE13)&lt;0,SUM(Planning!$AEX22:$AFU22),0)</f>
      </c>
      <c r="AF13" s="762">
        <f>IF(GetFillColor(AF13)&lt;0,SUM(Planning!$AGA22:$AGX22),0)</f>
      </c>
      <c r="AG13" s="762">
        <f>IF(GetFillColor(AG13)&lt;0,SUM(Planning!$AHD22:$AIA22),0)</f>
      </c>
      <c r="AH13" s="762">
        <f>IF(GetFillColor(AH13)&lt;0,SUM(Planning!$AIG22:$AJD22),0)</f>
      </c>
      <c r="AI13" s="762">
        <f>IF(GetFillColor(AI13)&lt;0,SUM(Planning!$AJJ22:$AKG22),0)</f>
      </c>
      <c r="AJ13" s="761">
        <v>0</v>
      </c>
      <c r="AK13" s="760">
        <v>0</v>
      </c>
      <c r="AL13" s="698">
        <f>SUM(C13:AK13)</f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</row>
    <row r="14" ht="20.25" customHeight="1" spans="1:50" x14ac:dyDescent="0.25">
      <c r="A14" s="4">
        <f>Planning!B23</f>
      </c>
      <c r="B14" s="4"/>
      <c r="C14" s="760">
        <f>IF(GetFillColor(C14)&lt;0,SUM(Planning!$F23:$AC23),0)</f>
      </c>
      <c r="D14" s="760">
        <f>IF(GetFillColor(D14)&lt;0,SUM(Planning!$AI23:$BF23),0)</f>
      </c>
      <c r="E14" s="760">
        <f>IF(GetFillColor(E14)&lt;0,SUM(Planning!$BL23:$CI23),0)</f>
      </c>
      <c r="F14" s="761">
        <f>IF(GetFillColor(F14)&lt;0,SUM(Planning!$CO23:$DL23),0)</f>
      </c>
      <c r="G14" s="761">
        <f>IF(GetFillColor(G14)&lt;0,SUM(Planning!$DR23:$EO23),0)</f>
      </c>
      <c r="H14" s="761">
        <v>0</v>
      </c>
      <c r="I14" s="761">
        <v>0</v>
      </c>
      <c r="J14" s="762">
        <f>IF(GetFillColor(J14)&lt;0,SUM(Planning!$HD23:$IA23),0)</f>
      </c>
      <c r="K14" s="762">
        <f>IF(GetFillColor(K14)&lt;0,SUM(Planning!$IG23:$JD23),0)</f>
      </c>
      <c r="L14" s="762">
        <f>IF(GetFillColor(L14)&lt;0,SUM(Planning!$JJ23:$KG23),0)</f>
      </c>
      <c r="M14" s="762">
        <f>IF(GetFillColor(M14)&lt;0,SUM(Planning!$KM23:$LJ23),0)</f>
      </c>
      <c r="N14" s="762">
        <f>IF(GetFillColor(N14)&lt;0,SUM(Planning!$LP23:$MM23),0)</f>
      </c>
      <c r="O14" s="761">
        <v>0</v>
      </c>
      <c r="P14" s="761">
        <v>0</v>
      </c>
      <c r="Q14" s="762">
        <f>IF(GetFillColor(Q14)&lt;0,SUM(Planning!$PB23:$PY23),0)</f>
      </c>
      <c r="R14" s="762">
        <f>IF(GetFillColor(R14)&lt;0,SUM(Planning!$QE23:$RB23),0)</f>
      </c>
      <c r="S14" s="762">
        <f>IF(GetFillColor(S14)&lt;0,SUM(Planning!$RH23:$SE23),0)</f>
      </c>
      <c r="T14" s="762">
        <f>IF(GetFillColor(T14)&lt;0,SUM(Planning!$SK23:$TH23),0)</f>
      </c>
      <c r="U14" s="762">
        <f>IF(GetFillColor(U14)&lt;0,SUM(Planning!$TN23:$UK23),0)</f>
      </c>
      <c r="V14" s="761">
        <v>0</v>
      </c>
      <c r="W14" s="761">
        <v>0</v>
      </c>
      <c r="X14" s="762">
        <f>IF(GetFillColor(X14)&lt;0,SUM(Planning!$WZ23:$XW23),0)</f>
      </c>
      <c r="Y14" s="762">
        <f>IF(GetFillColor(Y14)&lt;0,SUM(Planning!$YC23:$YZ23),0)</f>
      </c>
      <c r="Z14" s="762">
        <f>IF(GetFillColor(Z14)&lt;0,SUM(Planning!$ZF23:$AAC23),0)</f>
      </c>
      <c r="AA14" s="762">
        <f>IF(GetFillColor(AA14)&lt;0,SUM(Planning!$AAI23:$ABF23),0)</f>
      </c>
      <c r="AB14" s="762">
        <f>IF(GetFillColor(AB14)&lt;0,SUM(Planning!$ABL23:$ACI23),0)</f>
      </c>
      <c r="AC14" s="761">
        <v>0</v>
      </c>
      <c r="AD14" s="761">
        <v>0</v>
      </c>
      <c r="AE14" s="762">
        <f>IF(GetFillColor(AE14)&lt;0,SUM(Planning!$AEX23:$AFU23),0)</f>
      </c>
      <c r="AF14" s="762">
        <f>IF(GetFillColor(AF14)&lt;0,SUM(Planning!$AGA23:$AGX23),0)</f>
      </c>
      <c r="AG14" s="762">
        <f>IF(GetFillColor(AG14)&lt;0,SUM(Planning!$AHD23:$AIA23),0)</f>
      </c>
      <c r="AH14" s="762">
        <f>IF(GetFillColor(AH14)&lt;0,SUM(Planning!$AIG23:$AJD23),0)</f>
      </c>
      <c r="AI14" s="762">
        <f>IF(GetFillColor(AI14)&lt;0,SUM(Planning!$AJJ23:$AKG23),0)</f>
      </c>
      <c r="AJ14" s="761">
        <v>0</v>
      </c>
      <c r="AK14" s="760">
        <v>0</v>
      </c>
      <c r="AL14" s="698">
        <f>SUM(C14:AK14)</f>
      </c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</row>
    <row r="15" ht="20.25" customHeight="1" spans="1:50" x14ac:dyDescent="0.25">
      <c r="A15" s="4">
        <f>Planning!B24</f>
      </c>
      <c r="B15" s="4"/>
      <c r="C15" s="760">
        <f>IF(GetFillColor(C15)&lt;0,SUM(Planning!$F24:$AC24),0)</f>
      </c>
      <c r="D15" s="760">
        <f>IF(GetFillColor(D15)&lt;0,SUM(Planning!$AI24:$BF24),0)</f>
      </c>
      <c r="E15" s="760">
        <f>IF(GetFillColor(E15)&lt;0,SUM(Planning!$BL24:$CI24),0)</f>
      </c>
      <c r="F15" s="761">
        <f>IF(GetFillColor(F15)&lt;0,SUM(Planning!$CO24:$DL24),0)</f>
      </c>
      <c r="G15" s="761">
        <f>IF(GetFillColor(G15)&lt;0,SUM(Planning!$DR24:$EO24),0)</f>
      </c>
      <c r="H15" s="761">
        <v>0</v>
      </c>
      <c r="I15" s="761">
        <v>0</v>
      </c>
      <c r="J15" s="762">
        <f>IF(GetFillColor(J15)&lt;0,SUM(Planning!$HD24:$IA24),0)</f>
      </c>
      <c r="K15" s="762">
        <f>IF(GetFillColor(K15)&lt;0,SUM(Planning!$IG24:$JD24),0)</f>
      </c>
      <c r="L15" s="762">
        <f>IF(GetFillColor(L15)&lt;0,SUM(Planning!$JJ24:$KG24),0)</f>
      </c>
      <c r="M15" s="762">
        <f>IF(GetFillColor(M15)&lt;0,SUM(Planning!$KM24:$LJ24),0)</f>
      </c>
      <c r="N15" s="762">
        <f>IF(GetFillColor(N15)&lt;0,SUM(Planning!$LP24:$MM24),0)</f>
      </c>
      <c r="O15" s="761">
        <v>0</v>
      </c>
      <c r="P15" s="761">
        <v>0</v>
      </c>
      <c r="Q15" s="762">
        <f>IF(GetFillColor(Q15)&lt;0,SUM(Planning!$PB24:$PY24),0)</f>
      </c>
      <c r="R15" s="762">
        <f>IF(GetFillColor(R15)&lt;0,SUM(Planning!$QE24:$RB24),0)</f>
      </c>
      <c r="S15" s="762">
        <f>IF(GetFillColor(S15)&lt;0,SUM(Planning!$RH24:$SE24),0)</f>
      </c>
      <c r="T15" s="762">
        <f>IF(GetFillColor(T15)&lt;0,SUM(Planning!$SK24:$TH24),0)</f>
      </c>
      <c r="U15" s="762">
        <f>IF(GetFillColor(U15)&lt;0,SUM(Planning!$TN24:$UK24),0)</f>
      </c>
      <c r="V15" s="761">
        <v>0</v>
      </c>
      <c r="W15" s="761">
        <v>0</v>
      </c>
      <c r="X15" s="762">
        <f>IF(GetFillColor(X15)&lt;0,SUM(Planning!$WZ24:$XW24),0)</f>
      </c>
      <c r="Y15" s="762">
        <f>IF(GetFillColor(Y15)&lt;0,SUM(Planning!$YC24:$YZ24),0)</f>
      </c>
      <c r="Z15" s="762">
        <f>IF(GetFillColor(Z15)&lt;0,SUM(Planning!$ZF24:$AAC24),0)</f>
      </c>
      <c r="AA15" s="762">
        <f>IF(GetFillColor(AA15)&lt;0,SUM(Planning!$AAI24:$ABF24),0)</f>
      </c>
      <c r="AB15" s="762">
        <f>IF(GetFillColor(AB15)&lt;0,SUM(Planning!$ABL24:$ACI24),0)</f>
      </c>
      <c r="AC15" s="761">
        <v>0</v>
      </c>
      <c r="AD15" s="761">
        <v>0</v>
      </c>
      <c r="AE15" s="762">
        <f>IF(GetFillColor(AE15)&lt;0,SUM(Planning!$AEX24:$AFU24),0)</f>
      </c>
      <c r="AF15" s="762">
        <f>IF(GetFillColor(AF15)&lt;0,SUM(Planning!$AGA24:$AGX24),0)</f>
      </c>
      <c r="AG15" s="762">
        <f>IF(GetFillColor(AG15)&lt;0,SUM(Planning!$AHD24:$AIA24),0)</f>
      </c>
      <c r="AH15" s="762">
        <f>IF(GetFillColor(AH15)&lt;0,SUM(Planning!$AIG24:$AJD24),0)</f>
      </c>
      <c r="AI15" s="762">
        <f>IF(GetFillColor(AI15)&lt;0,SUM(Planning!$AJJ24:$AKG24),0)</f>
      </c>
      <c r="AJ15" s="761">
        <v>0</v>
      </c>
      <c r="AK15" s="760">
        <v>0</v>
      </c>
      <c r="AL15" s="698">
        <f>SUM(C15:AK15)</f>
      </c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</row>
    <row r="16" ht="20.25" customHeight="1" spans="1:50" x14ac:dyDescent="0.25">
      <c r="A16" s="4">
        <f>Planning!B25</f>
      </c>
      <c r="B16" s="4"/>
      <c r="C16" s="760">
        <f>IF(GetFillColor(C16)&lt;0,SUM(Planning!$F25:$AC25),0)</f>
      </c>
      <c r="D16" s="760">
        <f>IF(GetFillColor(D16)&lt;0,SUM(Planning!$AI25:$BF25),0)</f>
      </c>
      <c r="E16" s="760">
        <f>IF(GetFillColor(E16)&lt;0,SUM(Planning!$BL25:$CI25),0)</f>
      </c>
      <c r="F16" s="761">
        <f>IF(GetFillColor(F16)&lt;0,SUM(Planning!$CO25:$DL25),0)</f>
      </c>
      <c r="G16" s="761">
        <f>IF(GetFillColor(G16)&lt;0,SUM(Planning!$DR25:$EO25),0)</f>
      </c>
      <c r="H16" s="761">
        <v>0</v>
      </c>
      <c r="I16" s="761">
        <v>0</v>
      </c>
      <c r="J16" s="762">
        <f>IF(GetFillColor(J16)&lt;0,SUM(Planning!$HD25:$IA25),0)</f>
      </c>
      <c r="K16" s="762">
        <f>IF(GetFillColor(K16)&lt;0,SUM(Planning!$IG25:$JD25),0)</f>
      </c>
      <c r="L16" s="762">
        <f>IF(GetFillColor(L16)&lt;0,SUM(Planning!$JJ25:$KG25),0)</f>
      </c>
      <c r="M16" s="762">
        <f>IF(GetFillColor(M16)&lt;0,SUM(Planning!$KM25:$LJ25),0)</f>
      </c>
      <c r="N16" s="762">
        <f>IF(GetFillColor(N16)&lt;0,SUM(Planning!$LP25:$MM25),0)</f>
      </c>
      <c r="O16" s="761">
        <v>0</v>
      </c>
      <c r="P16" s="761">
        <v>0</v>
      </c>
      <c r="Q16" s="762">
        <f>IF(GetFillColor(Q16)&lt;0,SUM(Planning!$PB25:$PY25),0)</f>
      </c>
      <c r="R16" s="762">
        <f>IF(GetFillColor(R16)&lt;0,SUM(Planning!$QE25:$RB25),0)</f>
      </c>
      <c r="S16" s="762">
        <f>IF(GetFillColor(S16)&lt;0,SUM(Planning!$RH25:$SE25),0)</f>
      </c>
      <c r="T16" s="762">
        <f>IF(GetFillColor(T16)&lt;0,SUM(Planning!$SK25:$TH25),0)</f>
      </c>
      <c r="U16" s="762">
        <f>IF(GetFillColor(U16)&lt;0,SUM(Planning!$TN25:$UK25),0)</f>
      </c>
      <c r="V16" s="761">
        <v>0</v>
      </c>
      <c r="W16" s="761">
        <v>0</v>
      </c>
      <c r="X16" s="762">
        <f>IF(GetFillColor(X16)&lt;0,SUM(Planning!$WZ25:$XW25),0)</f>
      </c>
      <c r="Y16" s="762">
        <f>IF(GetFillColor(Y16)&lt;0,SUM(Planning!$YC25:$YZ25),0)</f>
      </c>
      <c r="Z16" s="762">
        <f>IF(GetFillColor(Z16)&lt;0,SUM(Planning!$ZF25:$AAC25),0)</f>
      </c>
      <c r="AA16" s="762">
        <f>IF(GetFillColor(AA16)&lt;0,SUM(Planning!$AAI25:$ABF25),0)</f>
      </c>
      <c r="AB16" s="762">
        <f>IF(GetFillColor(AB16)&lt;0,SUM(Planning!$ABL25:$ACI25),0)</f>
      </c>
      <c r="AC16" s="761">
        <v>0</v>
      </c>
      <c r="AD16" s="761">
        <v>0</v>
      </c>
      <c r="AE16" s="762">
        <f>IF(GetFillColor(AE16)&lt;0,SUM(Planning!$AEX25:$AFU25),0)</f>
      </c>
      <c r="AF16" s="762">
        <f>IF(GetFillColor(AF16)&lt;0,SUM(Planning!$AGA25:$AGX25),0)</f>
      </c>
      <c r="AG16" s="762">
        <f>IF(GetFillColor(AG16)&lt;0,SUM(Planning!$AHD25:$AIA25),0)</f>
      </c>
      <c r="AH16" s="762">
        <f>IF(GetFillColor(AH16)&lt;0,SUM(Planning!$AIG25:$AJD25),0)</f>
      </c>
      <c r="AI16" s="762">
        <f>IF(GetFillColor(AI16)&lt;0,SUM(Planning!$AJJ25:$AKG25),0)</f>
      </c>
      <c r="AJ16" s="761">
        <v>0</v>
      </c>
      <c r="AK16" s="760">
        <v>0</v>
      </c>
      <c r="AL16" s="698">
        <f>SUM(C16:AK16)</f>
      </c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</row>
    <row r="17" ht="20.25" customHeight="1" spans="1:50" x14ac:dyDescent="0.25">
      <c r="A17" s="4">
        <f>Planning!B26</f>
      </c>
      <c r="B17" s="4"/>
      <c r="C17" s="760">
        <f>IF(GetFillColor(C17)&lt;0,SUM(Planning!$F26:$AC26),0)</f>
      </c>
      <c r="D17" s="760">
        <f>IF(GetFillColor(D17)&lt;0,SUM(Planning!$AI26:$BF26),0)</f>
      </c>
      <c r="E17" s="760">
        <f>IF(GetFillColor(E17)&lt;0,SUM(Planning!$BL26:$CI26),0)</f>
      </c>
      <c r="F17" s="761">
        <f>IF(GetFillColor(F17)&lt;0,SUM(Planning!$CO26:$DL26),0)</f>
      </c>
      <c r="G17" s="761">
        <f>IF(GetFillColor(G17)&lt;0,SUM(Planning!$DR26:$EO26),0)</f>
      </c>
      <c r="H17" s="761">
        <v>0</v>
      </c>
      <c r="I17" s="761">
        <v>0</v>
      </c>
      <c r="J17" s="762">
        <f>IF(GetFillColor(J17)&lt;0,SUM(Planning!$HD26:$IA26),0)</f>
      </c>
      <c r="K17" s="762">
        <f>IF(GetFillColor(K17)&lt;0,SUM(Planning!$IG26:$JD26),0)</f>
      </c>
      <c r="L17" s="762">
        <f>IF(GetFillColor(L17)&lt;0,SUM(Planning!$JJ26:$KG26),0)</f>
      </c>
      <c r="M17" s="762">
        <f>IF(GetFillColor(M17)&lt;0,SUM(Planning!$KM26:$LJ26),0)</f>
      </c>
      <c r="N17" s="762">
        <f>IF(GetFillColor(N17)&lt;0,SUM(Planning!$LP26:$MM26),0)</f>
      </c>
      <c r="O17" s="761">
        <v>0</v>
      </c>
      <c r="P17" s="761">
        <v>0</v>
      </c>
      <c r="Q17" s="762">
        <f>IF(GetFillColor(Q17)&lt;0,SUM(Planning!$PB26:$PY26),0)</f>
      </c>
      <c r="R17" s="762">
        <f>IF(GetFillColor(R17)&lt;0,SUM(Planning!$QE26:$RB26),0)</f>
      </c>
      <c r="S17" s="762">
        <f>IF(GetFillColor(S17)&lt;0,SUM(Planning!$RH26:$SE26),0)</f>
      </c>
      <c r="T17" s="762">
        <f>IF(GetFillColor(T17)&lt;0,SUM(Planning!$SK26:$TH26),0)</f>
      </c>
      <c r="U17" s="762">
        <f>IF(GetFillColor(U17)&lt;0,SUM(Planning!$TN26:$UK26),0)</f>
      </c>
      <c r="V17" s="761">
        <v>0</v>
      </c>
      <c r="W17" s="761">
        <v>0</v>
      </c>
      <c r="X17" s="762">
        <f>IF(GetFillColor(X17)&lt;0,SUM(Planning!$WZ26:$XW26),0)</f>
      </c>
      <c r="Y17" s="762">
        <f>IF(GetFillColor(Y17)&lt;0,SUM(Planning!$YC26:$YZ26),0)</f>
      </c>
      <c r="Z17" s="762">
        <f>IF(GetFillColor(Z17)&lt;0,SUM(Planning!$ZF26:$AAC26),0)</f>
      </c>
      <c r="AA17" s="762">
        <f>IF(GetFillColor(AA17)&lt;0,SUM(Planning!$AAI26:$ABF26),0)</f>
      </c>
      <c r="AB17" s="762">
        <f>IF(GetFillColor(AB17)&lt;0,SUM(Planning!$ABL26:$ACI26),0)</f>
      </c>
      <c r="AC17" s="761">
        <v>0</v>
      </c>
      <c r="AD17" s="761">
        <v>0</v>
      </c>
      <c r="AE17" s="762">
        <f>IF(GetFillColor(AE17)&lt;0,SUM(Planning!$AEX26:$AFU26),0)</f>
      </c>
      <c r="AF17" s="762">
        <f>IF(GetFillColor(AF17)&lt;0,SUM(Planning!$AGA26:$AGX26),0)</f>
      </c>
      <c r="AG17" s="762">
        <f>IF(GetFillColor(AG17)&lt;0,SUM(Planning!$AHD26:$AIA26),0)</f>
      </c>
      <c r="AH17" s="762">
        <f>IF(GetFillColor(AH17)&lt;0,SUM(Planning!$AIG26:$AJD26),0)</f>
      </c>
      <c r="AI17" s="762">
        <f>IF(GetFillColor(AI17)&lt;0,SUM(Planning!$AJJ26:$AKG26),0)</f>
      </c>
      <c r="AJ17" s="761">
        <v>0</v>
      </c>
      <c r="AK17" s="760">
        <v>0</v>
      </c>
      <c r="AL17" s="698">
        <f>SUM(C17:AK17)</f>
      </c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</row>
    <row r="18" ht="20.25" customHeight="1" spans="1:50" x14ac:dyDescent="0.25">
      <c r="A18" s="4">
        <f>Planning!B27</f>
      </c>
      <c r="B18" s="4"/>
      <c r="C18" s="760">
        <f>IF(GetFillColor(C18)&lt;0,SUM(Planning!$F27:$AC27),0)</f>
      </c>
      <c r="D18" s="760">
        <f>IF(GetFillColor(D18)&lt;0,SUM(Planning!$AI27:$BF27),0)</f>
      </c>
      <c r="E18" s="760">
        <f>IF(GetFillColor(E18)&lt;0,SUM(Planning!$BL27:$CI27),0)</f>
      </c>
      <c r="F18" s="761">
        <f>IF(GetFillColor(F18)&lt;0,SUM(Planning!$CO27:$DL27),0)</f>
      </c>
      <c r="G18" s="761">
        <f>IF(GetFillColor(G18)&lt;0,SUM(Planning!$DR27:$EO27),0)</f>
      </c>
      <c r="H18" s="761">
        <v>0</v>
      </c>
      <c r="I18" s="761">
        <v>0</v>
      </c>
      <c r="J18" s="762">
        <f>IF(GetFillColor(J18)&lt;0,SUM(Planning!$HD27:$IA27),0)</f>
      </c>
      <c r="K18" s="762">
        <f>IF(GetFillColor(K18)&lt;0,SUM(Planning!$IG27:$JD27),0)</f>
      </c>
      <c r="L18" s="762">
        <f>IF(GetFillColor(L18)&lt;0,SUM(Planning!$JJ27:$KG27),0)</f>
      </c>
      <c r="M18" s="762">
        <f>IF(GetFillColor(M18)&lt;0,SUM(Planning!$KM27:$LJ27),0)</f>
      </c>
      <c r="N18" s="762">
        <f>IF(GetFillColor(N18)&lt;0,SUM(Planning!$LP27:$MM27),0)</f>
      </c>
      <c r="O18" s="761">
        <v>0</v>
      </c>
      <c r="P18" s="761">
        <v>0</v>
      </c>
      <c r="Q18" s="762">
        <f>IF(GetFillColor(Q18)&lt;0,SUM(Planning!$PB27:$PY27),0)</f>
      </c>
      <c r="R18" s="762">
        <f>IF(GetFillColor(R18)&lt;0,SUM(Planning!$QE27:$RB27),0)</f>
      </c>
      <c r="S18" s="762">
        <f>IF(GetFillColor(S18)&lt;0,SUM(Planning!$RH27:$SE27),0)</f>
      </c>
      <c r="T18" s="762">
        <f>IF(GetFillColor(T18)&lt;0,SUM(Planning!$SK27:$TH27),0)</f>
      </c>
      <c r="U18" s="762">
        <f>IF(GetFillColor(U18)&lt;0,SUM(Planning!$TN27:$UK27),0)</f>
      </c>
      <c r="V18" s="761">
        <v>0</v>
      </c>
      <c r="W18" s="761">
        <v>0</v>
      </c>
      <c r="X18" s="762">
        <f>IF(GetFillColor(X18)&lt;0,SUM(Planning!$WZ27:$XW27),0)</f>
      </c>
      <c r="Y18" s="762">
        <f>IF(GetFillColor(Y18)&lt;0,SUM(Planning!$YC27:$YZ27),0)</f>
      </c>
      <c r="Z18" s="762">
        <f>IF(GetFillColor(Z18)&lt;0,SUM(Planning!$ZF27:$AAC27),0)</f>
      </c>
      <c r="AA18" s="762">
        <f>IF(GetFillColor(AA18)&lt;0,SUM(Planning!$AAI27:$ABF27),0)</f>
      </c>
      <c r="AB18" s="762">
        <f>IF(GetFillColor(AB18)&lt;0,SUM(Planning!$ABL27:$ACI27),0)</f>
      </c>
      <c r="AC18" s="761">
        <v>0</v>
      </c>
      <c r="AD18" s="761">
        <v>0</v>
      </c>
      <c r="AE18" s="762">
        <f>IF(GetFillColor(AE18)&lt;0,SUM(Planning!$AEX27:$AFU27),0)</f>
      </c>
      <c r="AF18" s="762">
        <f>IF(GetFillColor(AF18)&lt;0,SUM(Planning!$AGA27:$AGX27),0)</f>
      </c>
      <c r="AG18" s="762">
        <f>IF(GetFillColor(AG18)&lt;0,SUM(Planning!$AHD27:$AIA27),0)</f>
      </c>
      <c r="AH18" s="762">
        <f>IF(GetFillColor(AH18)&lt;0,SUM(Planning!$AIG27:$AJD27),0)</f>
      </c>
      <c r="AI18" s="762">
        <f>IF(GetFillColor(AI18)&lt;0,SUM(Planning!$AJJ27:$AKG27),0)</f>
      </c>
      <c r="AJ18" s="761">
        <v>0</v>
      </c>
      <c r="AK18" s="760">
        <v>0</v>
      </c>
      <c r="AL18" s="698">
        <f>SUM(C18:AK18)</f>
      </c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</row>
    <row r="19" ht="20.25" customHeight="1" spans="1:50" x14ac:dyDescent="0.25">
      <c r="A19" s="4">
        <f>Planning!B28</f>
      </c>
      <c r="B19" s="4"/>
      <c r="C19" s="760">
        <f>IF(GetFillColor(C19)&lt;0,SUM(Planning!$F28:$AC28),0)</f>
      </c>
      <c r="D19" s="760">
        <f>IF(GetFillColor(D19)&lt;0,SUM(Planning!$AI28:$BF28),0)</f>
      </c>
      <c r="E19" s="760">
        <f>IF(GetFillColor(E19)&lt;0,SUM(Planning!$BL28:$CI28),0)</f>
      </c>
      <c r="F19" s="761">
        <f>IF(GetFillColor(F19)&lt;0,SUM(Planning!$CO28:$DL28),0)</f>
      </c>
      <c r="G19" s="761">
        <f>IF(GetFillColor(G19)&lt;0,SUM(Planning!$DR28:$EO28),0)</f>
      </c>
      <c r="H19" s="761">
        <v>0</v>
      </c>
      <c r="I19" s="761">
        <v>0</v>
      </c>
      <c r="J19" s="762">
        <f>IF(GetFillColor(J19)&lt;0,SUM(Planning!$HD28:$IA28),0)</f>
      </c>
      <c r="K19" s="762">
        <f>IF(GetFillColor(K19)&lt;0,SUM(Planning!$IG28:$JD28),0)</f>
      </c>
      <c r="L19" s="762">
        <f>IF(GetFillColor(L19)&lt;0,SUM(Planning!$JJ28:$KG28),0)</f>
      </c>
      <c r="M19" s="762">
        <f>IF(GetFillColor(M19)&lt;0,SUM(Planning!$KM28:$LJ28),0)</f>
      </c>
      <c r="N19" s="762">
        <f>IF(GetFillColor(N19)&lt;0,SUM(Planning!$LP28:$MM28),0)</f>
      </c>
      <c r="O19" s="761">
        <v>0</v>
      </c>
      <c r="P19" s="761">
        <v>0</v>
      </c>
      <c r="Q19" s="762">
        <f>IF(GetFillColor(Q19)&lt;0,SUM(Planning!$PB28:$PY28),0)</f>
      </c>
      <c r="R19" s="762">
        <f>IF(GetFillColor(R19)&lt;0,SUM(Planning!$QE28:$RB28),0)</f>
      </c>
      <c r="S19" s="762">
        <f>IF(GetFillColor(S19)&lt;0,SUM(Planning!$RH28:$SE28),0)</f>
      </c>
      <c r="T19" s="762">
        <f>IF(GetFillColor(T19)&lt;0,SUM(Planning!$SK28:$TH28),0)</f>
      </c>
      <c r="U19" s="762">
        <f>IF(GetFillColor(U19)&lt;0,SUM(Planning!$TN28:$UK28),0)</f>
      </c>
      <c r="V19" s="761">
        <v>0</v>
      </c>
      <c r="W19" s="761">
        <v>0</v>
      </c>
      <c r="X19" s="762">
        <f>IF(GetFillColor(X19)&lt;0,SUM(Planning!$WZ28:$XW28),0)</f>
      </c>
      <c r="Y19" s="762">
        <f>IF(GetFillColor(Y19)&lt;0,SUM(Planning!$YC28:$YZ28),0)</f>
      </c>
      <c r="Z19" s="762">
        <f>IF(GetFillColor(Z19)&lt;0,SUM(Planning!$ZF28:$AAC28),0)</f>
      </c>
      <c r="AA19" s="762">
        <f>IF(GetFillColor(AA19)&lt;0,SUM(Planning!$AAI28:$ABF28),0)</f>
      </c>
      <c r="AB19" s="762">
        <f>IF(GetFillColor(AB19)&lt;0,SUM(Planning!$ABL28:$ACI28),0)</f>
      </c>
      <c r="AC19" s="761">
        <v>0</v>
      </c>
      <c r="AD19" s="761">
        <v>0</v>
      </c>
      <c r="AE19" s="762">
        <f>IF(GetFillColor(AE19)&lt;0,SUM(Planning!$AEX28:$AFU28),0)</f>
      </c>
      <c r="AF19" s="762">
        <f>IF(GetFillColor(AF19)&lt;0,SUM(Planning!$AGA28:$AGX28),0)</f>
      </c>
      <c r="AG19" s="762">
        <f>IF(GetFillColor(AG19)&lt;0,SUM(Planning!$AHD28:$AIA28),0)</f>
      </c>
      <c r="AH19" s="762">
        <f>IF(GetFillColor(AH19)&lt;0,SUM(Planning!$AIG28:$AJD28),0)</f>
      </c>
      <c r="AI19" s="762">
        <f>IF(GetFillColor(AI19)&lt;0,SUM(Planning!$AJJ28:$AKG28),0)</f>
      </c>
      <c r="AJ19" s="761">
        <v>0</v>
      </c>
      <c r="AK19" s="760">
        <v>0</v>
      </c>
      <c r="AL19" s="698">
        <f>SUM(C19:AK19)</f>
      </c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ht="20.25" customHeight="1" spans="1:50" x14ac:dyDescent="0.25">
      <c r="A20" s="4">
        <f>Planning!B29</f>
      </c>
      <c r="B20" s="4"/>
      <c r="C20" s="760">
        <f>IF(GetFillColor(C20)&lt;0,SUM(Planning!$F29:$AC29),0)</f>
      </c>
      <c r="D20" s="760">
        <f>IF(GetFillColor(D20)&lt;0,SUM(Planning!$AI29:$BF29),0)</f>
      </c>
      <c r="E20" s="760">
        <f>IF(GetFillColor(E20)&lt;0,SUM(Planning!$BL29:$CI29),0)</f>
      </c>
      <c r="F20" s="761">
        <f>IF(GetFillColor(F20)&lt;0,SUM(Planning!$CO29:$DL29),0)</f>
      </c>
      <c r="G20" s="761">
        <f>IF(GetFillColor(G20)&lt;0,SUM(Planning!$DR29:$EO29),0)</f>
      </c>
      <c r="H20" s="761">
        <v>0</v>
      </c>
      <c r="I20" s="761">
        <v>0</v>
      </c>
      <c r="J20" s="762">
        <f>IF(GetFillColor(J20)&lt;0,SUM(Planning!$HD29:$IA29),0)</f>
      </c>
      <c r="K20" s="762">
        <f>IF(GetFillColor(K20)&lt;0,SUM(Planning!$IG29:$JD29),0)</f>
      </c>
      <c r="L20" s="762">
        <f>IF(GetFillColor(L20)&lt;0,SUM(Planning!$JJ29:$KG29),0)</f>
      </c>
      <c r="M20" s="762">
        <f>IF(GetFillColor(M20)&lt;0,SUM(Planning!$KM29:$LJ29),0)</f>
      </c>
      <c r="N20" s="762">
        <f>IF(GetFillColor(N20)&lt;0,SUM(Planning!$LP29:$MM29),0)</f>
      </c>
      <c r="O20" s="761">
        <v>0</v>
      </c>
      <c r="P20" s="761">
        <v>0</v>
      </c>
      <c r="Q20" s="762">
        <f>IF(GetFillColor(Q20)&lt;0,SUM(Planning!$PB29:$PY29),0)</f>
      </c>
      <c r="R20" s="762">
        <f>IF(GetFillColor(R20)&lt;0,SUM(Planning!$QE29:$RB29),0)</f>
      </c>
      <c r="S20" s="762">
        <f>IF(GetFillColor(S20)&lt;0,SUM(Planning!$RH29:$SE29),0)</f>
      </c>
      <c r="T20" s="762">
        <f>IF(GetFillColor(T20)&lt;0,SUM(Planning!$SK29:$TH29),0)</f>
      </c>
      <c r="U20" s="762">
        <f>IF(GetFillColor(U20)&lt;0,SUM(Planning!$TN29:$UK29),0)</f>
      </c>
      <c r="V20" s="761">
        <v>0</v>
      </c>
      <c r="W20" s="761">
        <v>0</v>
      </c>
      <c r="X20" s="762">
        <f>IF(GetFillColor(X20)&lt;0,SUM(Planning!$WZ29:$XW29),0)</f>
      </c>
      <c r="Y20" s="762">
        <f>IF(GetFillColor(Y20)&lt;0,SUM(Planning!$YC29:$YZ29),0)</f>
      </c>
      <c r="Z20" s="762">
        <f>IF(GetFillColor(Z20)&lt;0,SUM(Planning!$ZF29:$AAC29),0)</f>
      </c>
      <c r="AA20" s="762">
        <f>IF(GetFillColor(AA20)&lt;0,SUM(Planning!$AAI29:$ABF29),0)</f>
      </c>
      <c r="AB20" s="762">
        <f>IF(GetFillColor(AB20)&lt;0,SUM(Planning!$ABL29:$ACI29),0)</f>
      </c>
      <c r="AC20" s="761">
        <v>0</v>
      </c>
      <c r="AD20" s="761">
        <v>0</v>
      </c>
      <c r="AE20" s="762">
        <f>IF(GetFillColor(AE20)&lt;0,SUM(Planning!$AEX29:$AFU29),0)</f>
      </c>
      <c r="AF20" s="762">
        <f>IF(GetFillColor(AF20)&lt;0,SUM(Planning!$AGA29:$AGX29),0)</f>
      </c>
      <c r="AG20" s="762">
        <f>IF(GetFillColor(AG20)&lt;0,SUM(Planning!$AHD29:$AIA29),0)</f>
      </c>
      <c r="AH20" s="762">
        <f>IF(GetFillColor(AH20)&lt;0,SUM(Planning!$AIG29:$AJD29),0)</f>
      </c>
      <c r="AI20" s="762">
        <f>IF(GetFillColor(AI20)&lt;0,SUM(Planning!$AJJ29:$AKG29),0)</f>
      </c>
      <c r="AJ20" s="761">
        <v>0</v>
      </c>
      <c r="AK20" s="760">
        <v>0</v>
      </c>
      <c r="AL20" s="698">
        <f>SUM(C20:AK20)</f>
      </c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ht="20.25" customHeight="1" spans="1:50" x14ac:dyDescent="0.25">
      <c r="A21" s="4">
        <f>Planning!B30</f>
      </c>
      <c r="B21" s="4"/>
      <c r="C21" s="760">
        <f>IF(GetFillColor(C21)&lt;0,SUM(Planning!$F30:$AC30),0)</f>
      </c>
      <c r="D21" s="760">
        <f>IF(GetFillColor(D21)&lt;0,SUM(Planning!$AI30:$BF30),0)</f>
      </c>
      <c r="E21" s="760">
        <f>IF(GetFillColor(E21)&lt;0,SUM(Planning!$BL30:$CI30),0)</f>
      </c>
      <c r="F21" s="761">
        <f>IF(GetFillColor(F21)&lt;0,SUM(Planning!$CO30:$DL30),0)</f>
      </c>
      <c r="G21" s="761">
        <f>IF(GetFillColor(G21)&lt;0,SUM(Planning!$DR30:$EO30),0)</f>
      </c>
      <c r="H21" s="761">
        <v>0</v>
      </c>
      <c r="I21" s="761">
        <v>0</v>
      </c>
      <c r="J21" s="762">
        <f>IF(GetFillColor(J21)&lt;0,SUM(Planning!$HD30:$IA30),0)</f>
      </c>
      <c r="K21" s="762">
        <f>IF(GetFillColor(K21)&lt;0,SUM(Planning!$IG30:$JD30),0)</f>
      </c>
      <c r="L21" s="762">
        <f>IF(GetFillColor(L21)&lt;0,SUM(Planning!$JJ30:$KG30),0)</f>
      </c>
      <c r="M21" s="762">
        <f>IF(GetFillColor(M21)&lt;0,SUM(Planning!$KM30:$LJ30),0)</f>
      </c>
      <c r="N21" s="762">
        <f>IF(GetFillColor(N21)&lt;0,SUM(Planning!$LP30:$MM30),0)</f>
      </c>
      <c r="O21" s="761">
        <v>0</v>
      </c>
      <c r="P21" s="761">
        <v>0</v>
      </c>
      <c r="Q21" s="762">
        <f>IF(GetFillColor(Q21)&lt;0,SUM(Planning!$PB30:$PY30),0)</f>
      </c>
      <c r="R21" s="762">
        <f>IF(GetFillColor(R21)&lt;0,SUM(Planning!$QE30:$RB30),0)</f>
      </c>
      <c r="S21" s="762">
        <f>IF(GetFillColor(S21)&lt;0,SUM(Planning!$RH30:$SE30),0)</f>
      </c>
      <c r="T21" s="762">
        <f>IF(GetFillColor(T21)&lt;0,SUM(Planning!$SK30:$TH30),0)</f>
      </c>
      <c r="U21" s="762">
        <f>IF(GetFillColor(U21)&lt;0,SUM(Planning!$TN30:$UK30),0)</f>
      </c>
      <c r="V21" s="761">
        <v>0</v>
      </c>
      <c r="W21" s="761">
        <v>0</v>
      </c>
      <c r="X21" s="762">
        <f>IF(GetFillColor(X21)&lt;0,SUM(Planning!$WZ30:$XW30),0)</f>
      </c>
      <c r="Y21" s="762">
        <f>IF(GetFillColor(Y21)&lt;0,SUM(Planning!$YC30:$YZ30),0)</f>
      </c>
      <c r="Z21" s="762">
        <f>IF(GetFillColor(Z21)&lt;0,SUM(Planning!$ZF30:$AAC30),0)</f>
      </c>
      <c r="AA21" s="762">
        <f>IF(GetFillColor(AA21)&lt;0,SUM(Planning!$AAI30:$ABF30),0)</f>
      </c>
      <c r="AB21" s="762">
        <f>IF(GetFillColor(AB21)&lt;0,SUM(Planning!$ABL30:$ACI30),0)</f>
      </c>
      <c r="AC21" s="761">
        <v>0</v>
      </c>
      <c r="AD21" s="761">
        <v>0</v>
      </c>
      <c r="AE21" s="762">
        <f>IF(GetFillColor(AE21)&lt;0,SUM(Planning!$AEX30:$AFU30),0)</f>
      </c>
      <c r="AF21" s="762">
        <f>IF(GetFillColor(AF21)&lt;0,SUM(Planning!$AGA30:$AGX30),0)</f>
      </c>
      <c r="AG21" s="762">
        <f>IF(GetFillColor(AG21)&lt;0,SUM(Planning!$AHD30:$AIA30),0)</f>
      </c>
      <c r="AH21" s="762">
        <f>IF(GetFillColor(AH21)&lt;0,SUM(Planning!$AIG30:$AJD30),0)</f>
      </c>
      <c r="AI21" s="762">
        <f>IF(GetFillColor(AI21)&lt;0,SUM(Planning!$AJJ30:$AKG30),0)</f>
      </c>
      <c r="AJ21" s="761">
        <v>0</v>
      </c>
      <c r="AK21" s="760">
        <v>0</v>
      </c>
      <c r="AL21" s="698">
        <f>SUM(C21:AK21)</f>
      </c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</row>
    <row r="22" ht="20.25" customHeight="1" spans="1:50" x14ac:dyDescent="0.25">
      <c r="A22" s="4">
        <f>Planning!B31</f>
      </c>
      <c r="B22" s="4"/>
      <c r="C22" s="760">
        <f>IF(GetFillColor(C22)&lt;0,SUM(Planning!$F31:$AC31),0)</f>
      </c>
      <c r="D22" s="760">
        <f>IF(GetFillColor(D22)&lt;0,SUM(Planning!$AI31:$BF31),0)</f>
      </c>
      <c r="E22" s="760">
        <f>IF(GetFillColor(E22)&lt;0,SUM(Planning!$BL31:$CI31),0)</f>
      </c>
      <c r="F22" s="761">
        <f>IF(GetFillColor(F22)&lt;0,SUM(Planning!$CO31:$DL31),0)</f>
      </c>
      <c r="G22" s="761">
        <f>IF(GetFillColor(G22)&lt;0,SUM(Planning!$DR31:$EO31),0)</f>
      </c>
      <c r="H22" s="761">
        <v>0</v>
      </c>
      <c r="I22" s="761">
        <v>0</v>
      </c>
      <c r="J22" s="762">
        <f>IF(GetFillColor(J22)&lt;0,SUM(Planning!$HD31:$IA31),0)</f>
      </c>
      <c r="K22" s="762">
        <f>IF(GetFillColor(K22)&lt;0,SUM(Planning!$IG31:$JD31),0)</f>
      </c>
      <c r="L22" s="762">
        <f>IF(GetFillColor(L22)&lt;0,SUM(Planning!$JJ31:$KG31),0)</f>
      </c>
      <c r="M22" s="762">
        <f>IF(GetFillColor(M22)&lt;0,SUM(Planning!$KM31:$LJ31),0)</f>
      </c>
      <c r="N22" s="762">
        <f>IF(GetFillColor(N22)&lt;0,SUM(Planning!$LP31:$MM31),0)</f>
      </c>
      <c r="O22" s="761">
        <v>0</v>
      </c>
      <c r="P22" s="761">
        <v>0</v>
      </c>
      <c r="Q22" s="762">
        <f>IF(GetFillColor(Q22)&lt;0,SUM(Planning!$PB31:$PY31),0)</f>
      </c>
      <c r="R22" s="762">
        <f>IF(GetFillColor(R22)&lt;0,SUM(Planning!$QE31:$RB31),0)</f>
      </c>
      <c r="S22" s="762">
        <f>IF(GetFillColor(S22)&lt;0,SUM(Planning!$RH31:$SE31),0)</f>
      </c>
      <c r="T22" s="762">
        <f>IF(GetFillColor(T22)&lt;0,SUM(Planning!$SK31:$TH31),0)</f>
      </c>
      <c r="U22" s="762">
        <f>IF(GetFillColor(U22)&lt;0,SUM(Planning!$TN31:$UK31),0)</f>
      </c>
      <c r="V22" s="761">
        <v>0</v>
      </c>
      <c r="W22" s="761">
        <v>0</v>
      </c>
      <c r="X22" s="762">
        <f>IF(GetFillColor(X22)&lt;0,SUM(Planning!$WZ31:$XW31),0)</f>
      </c>
      <c r="Y22" s="762">
        <f>IF(GetFillColor(Y22)&lt;0,SUM(Planning!$YC31:$YZ31),0)</f>
      </c>
      <c r="Z22" s="762">
        <f>IF(GetFillColor(Z22)&lt;0,SUM(Planning!$ZF31:$AAC31),0)</f>
      </c>
      <c r="AA22" s="762">
        <f>IF(GetFillColor(AA22)&lt;0,SUM(Planning!$AAI31:$ABF31),0)</f>
      </c>
      <c r="AB22" s="762">
        <f>IF(GetFillColor(AB22)&lt;0,SUM(Planning!$ABL31:$ACI31),0)</f>
      </c>
      <c r="AC22" s="761">
        <v>0</v>
      </c>
      <c r="AD22" s="761">
        <v>0</v>
      </c>
      <c r="AE22" s="762">
        <f>IF(GetFillColor(AE22)&lt;0,SUM(Planning!$AEX31:$AFU31),0)</f>
      </c>
      <c r="AF22" s="762">
        <f>IF(GetFillColor(AF22)&lt;0,SUM(Planning!$AGA31:$AGX31),0)</f>
      </c>
      <c r="AG22" s="762">
        <f>IF(GetFillColor(AG22)&lt;0,SUM(Planning!$AHD31:$AIA31),0)</f>
      </c>
      <c r="AH22" s="762">
        <f>IF(GetFillColor(AH22)&lt;0,SUM(Planning!$AIG31:$AJD31),0)</f>
      </c>
      <c r="AI22" s="762">
        <f>IF(GetFillColor(AI22)&lt;0,SUM(Planning!$AJJ31:$AKG31),0)</f>
      </c>
      <c r="AJ22" s="761">
        <v>0</v>
      </c>
      <c r="AK22" s="760">
        <v>0</v>
      </c>
      <c r="AL22" s="698">
        <f>SUM(C22:AK22)</f>
      </c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</row>
    <row r="23" ht="20.25" customHeight="1" spans="1:50" x14ac:dyDescent="0.25">
      <c r="A23" s="4">
        <f>Planning!B32</f>
      </c>
      <c r="B23" s="4"/>
      <c r="C23" s="760">
        <f>IF(GetFillColor(C23)&lt;0,SUM(Planning!$F32:$AC32),0)</f>
      </c>
      <c r="D23" s="760">
        <f>IF(GetFillColor(D23)&lt;0,SUM(Planning!$AI32:$BF32),0)</f>
      </c>
      <c r="E23" s="760">
        <f>IF(GetFillColor(E23)&lt;0,SUM(Planning!$BL32:$CI32),0)</f>
      </c>
      <c r="F23" s="761">
        <f>IF(GetFillColor(F23)&lt;0,SUM(Planning!$CO32:$DL32),0)</f>
      </c>
      <c r="G23" s="761">
        <f>IF(GetFillColor(G23)&lt;0,SUM(Planning!$DR32:$EO32),0)</f>
      </c>
      <c r="H23" s="761">
        <v>0</v>
      </c>
      <c r="I23" s="761">
        <v>0</v>
      </c>
      <c r="J23" s="762">
        <f>IF(GetFillColor(J23)&lt;0,SUM(Planning!$HD32:$IA32),0)</f>
      </c>
      <c r="K23" s="762">
        <f>IF(GetFillColor(K23)&lt;0,SUM(Planning!$IG32:$JD32),0)</f>
      </c>
      <c r="L23" s="762">
        <f>IF(GetFillColor(L23)&lt;0,SUM(Planning!$JJ32:$KG32),0)</f>
      </c>
      <c r="M23" s="762">
        <f>IF(GetFillColor(M23)&lt;0,SUM(Planning!$KM32:$LJ32),0)</f>
      </c>
      <c r="N23" s="762">
        <f>IF(GetFillColor(N23)&lt;0,SUM(Planning!$LP32:$MM32),0)</f>
      </c>
      <c r="O23" s="761">
        <v>0</v>
      </c>
      <c r="P23" s="761">
        <v>0</v>
      </c>
      <c r="Q23" s="762">
        <f>IF(GetFillColor(Q23)&lt;0,SUM(Planning!$PB32:$PY32),0)</f>
      </c>
      <c r="R23" s="762">
        <f>IF(GetFillColor(R23)&lt;0,SUM(Planning!$QE32:$RB32),0)</f>
      </c>
      <c r="S23" s="762">
        <f>IF(GetFillColor(S23)&lt;0,SUM(Planning!$RH32:$SE32),0)</f>
      </c>
      <c r="T23" s="762">
        <f>IF(GetFillColor(T23)&lt;0,SUM(Planning!$SK32:$TH32),0)</f>
      </c>
      <c r="U23" s="762">
        <f>IF(GetFillColor(U23)&lt;0,SUM(Planning!$TN32:$UK32),0)</f>
      </c>
      <c r="V23" s="761">
        <v>0</v>
      </c>
      <c r="W23" s="761">
        <v>0</v>
      </c>
      <c r="X23" s="762">
        <f>IF(GetFillColor(X23)&lt;0,SUM(Planning!$WZ32:$XW32),0)</f>
      </c>
      <c r="Y23" s="762">
        <f>IF(GetFillColor(Y23)&lt;0,SUM(Planning!$YC32:$YZ32),0)</f>
      </c>
      <c r="Z23" s="762">
        <f>IF(GetFillColor(Z23)&lt;0,SUM(Planning!$ZF32:$AAC32),0)</f>
      </c>
      <c r="AA23" s="762">
        <f>IF(GetFillColor(AA23)&lt;0,SUM(Planning!$AAI32:$ABF32),0)</f>
      </c>
      <c r="AB23" s="762">
        <f>IF(GetFillColor(AB23)&lt;0,SUM(Planning!$ABL32:$ACI32),0)</f>
      </c>
      <c r="AC23" s="761">
        <v>0</v>
      </c>
      <c r="AD23" s="761">
        <v>0</v>
      </c>
      <c r="AE23" s="762">
        <f>IF(GetFillColor(AE23)&lt;0,SUM(Planning!$AEX32:$AFU32),0)</f>
      </c>
      <c r="AF23" s="762">
        <f>IF(GetFillColor(AF23)&lt;0,SUM(Planning!$AGA32:$AGX32),0)</f>
      </c>
      <c r="AG23" s="762">
        <f>IF(GetFillColor(AG23)&lt;0,SUM(Planning!$AHD32:$AIA32),0)</f>
      </c>
      <c r="AH23" s="762">
        <f>IF(GetFillColor(AH23)&lt;0,SUM(Planning!$AIG32:$AJD32),0)</f>
      </c>
      <c r="AI23" s="762">
        <f>IF(GetFillColor(AI23)&lt;0,SUM(Planning!$AJJ32:$AKG32),0)</f>
      </c>
      <c r="AJ23" s="761">
        <v>0</v>
      </c>
      <c r="AK23" s="760">
        <v>0</v>
      </c>
      <c r="AL23" s="698">
        <f>SUM(C23:AK23)</f>
      </c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ht="15" customHeight="1" spans="1:5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</row>
    <row r="25" ht="80.25" customHeight="1" spans="1:50" s="754" customFormat="1" x14ac:dyDescent="0.25">
      <c r="A25" s="755" t="s">
        <v>237</v>
      </c>
      <c r="B25" s="756"/>
      <c r="C25" s="757">
        <f>C2</f>
      </c>
      <c r="D25" s="757">
        <f>D2</f>
      </c>
      <c r="E25" s="757">
        <f>E2</f>
      </c>
      <c r="F25" s="757">
        <f>F2</f>
      </c>
      <c r="G25" s="757">
        <f>G2</f>
      </c>
      <c r="H25" s="757">
        <f>H2</f>
      </c>
      <c r="I25" s="757">
        <f>I2</f>
      </c>
      <c r="J25" s="757">
        <f>J2</f>
      </c>
      <c r="K25" s="757">
        <f>K2</f>
      </c>
      <c r="L25" s="757">
        <f>L2</f>
      </c>
      <c r="M25" s="757">
        <f>M2</f>
      </c>
      <c r="N25" s="757">
        <f>N2</f>
      </c>
      <c r="O25" s="757">
        <f>O2</f>
      </c>
      <c r="P25" s="757">
        <f>P2</f>
      </c>
      <c r="Q25" s="757">
        <f>Q2</f>
      </c>
      <c r="R25" s="757">
        <f>R2</f>
      </c>
      <c r="S25" s="757">
        <f>S2</f>
      </c>
      <c r="T25" s="757">
        <f>T2</f>
      </c>
      <c r="U25" s="757">
        <f>U2</f>
      </c>
      <c r="V25" s="757">
        <f>V2</f>
      </c>
      <c r="W25" s="757">
        <f>W2</f>
      </c>
      <c r="X25" s="757">
        <f>X2</f>
      </c>
      <c r="Y25" s="757">
        <f>Y2</f>
      </c>
      <c r="Z25" s="757">
        <f>Z2</f>
      </c>
      <c r="AA25" s="757">
        <f>AA2</f>
      </c>
      <c r="AB25" s="757">
        <f>AB2</f>
      </c>
      <c r="AC25" s="757">
        <f>AC2</f>
      </c>
      <c r="AD25" s="757">
        <f>AD2</f>
      </c>
      <c r="AE25" s="757">
        <f>AE2</f>
      </c>
      <c r="AF25" s="757">
        <f>AF2</f>
      </c>
      <c r="AG25" s="757">
        <f>AG2</f>
      </c>
      <c r="AH25" s="757">
        <f>AH2</f>
      </c>
      <c r="AI25" s="757">
        <f>AI2</f>
      </c>
      <c r="AJ25" s="757">
        <f>AJ2</f>
      </c>
      <c r="AK25" s="757">
        <f>AK2</f>
      </c>
      <c r="AL25" s="758" t="s">
        <v>236</v>
      </c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</row>
    <row r="26" ht="10.5" customHeight="1" spans="1:50" s="754" customFormat="1" x14ac:dyDescent="0.25">
      <c r="A26" s="756"/>
      <c r="B26" s="756"/>
      <c r="C26" s="759"/>
      <c r="D26" s="759"/>
      <c r="E26" s="759"/>
      <c r="F26" s="759"/>
      <c r="G26" s="759"/>
      <c r="H26" s="759"/>
      <c r="I26" s="759"/>
      <c r="J26" s="759"/>
      <c r="K26" s="759"/>
      <c r="L26" s="759"/>
      <c r="M26" s="759"/>
      <c r="N26" s="759"/>
      <c r="O26" s="759"/>
      <c r="P26" s="759"/>
      <c r="Q26" s="759"/>
      <c r="R26" s="759"/>
      <c r="S26" s="759"/>
      <c r="T26" s="759"/>
      <c r="U26" s="759"/>
      <c r="V26" s="759"/>
      <c r="W26" s="759"/>
      <c r="X26" s="759"/>
      <c r="Y26" s="759"/>
      <c r="Z26" s="759"/>
      <c r="AA26" s="759"/>
      <c r="AB26" s="759"/>
      <c r="AC26" s="759"/>
      <c r="AD26" s="759"/>
      <c r="AE26" s="759"/>
      <c r="AF26" s="759"/>
      <c r="AG26" s="759"/>
      <c r="AH26" s="759"/>
      <c r="AI26" s="757"/>
      <c r="AJ26" s="757"/>
      <c r="AK26" s="757"/>
      <c r="AL26" s="758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</row>
    <row r="27" ht="20.25" customHeight="1" spans="1:50" x14ac:dyDescent="0.25">
      <c r="A27" s="4">
        <f>A4</f>
      </c>
      <c r="B27" s="4"/>
      <c r="C27" s="760">
        <f>IF(GetFillColor(C27)&lt;0,Planning!$D13+Planning!$E13+Planning!$AD13+Planning!$AE13,0)</f>
      </c>
      <c r="D27" s="760">
        <f>IF(GetFillColor(D27)&lt;0,Planning!$AG13+Planning!$AH13+Planning!$BG13+Planning!$BH13,0)</f>
      </c>
      <c r="E27" s="760">
        <f>IF(GetFillColor(E27)&lt;0,Planning!$BJ13+Planning!$BK13+Planning!$CJ13+Planning!$CK13,0)</f>
      </c>
      <c r="F27" s="761">
        <f>IF(GetFillColor(F27)&lt;0,Planning!$CM13+Planning!$CN13+Planning!$DM13+Planning!$DN13,0)</f>
      </c>
      <c r="G27" s="761">
        <f>IF(GetFillColor(G27)&lt;0,Planning!$DP13+Planning!$DQ13+Planning!$EP13+Planning!$EQ13,0)</f>
      </c>
      <c r="H27" s="761">
        <v>0</v>
      </c>
      <c r="I27" s="761">
        <v>0</v>
      </c>
      <c r="J27" s="762">
        <f>IF(GetFillColor(J27)&lt;0,Planning!$HB13+Planning!$HC13+Planning!$IB13+Planning!$IC13,0)</f>
      </c>
      <c r="K27" s="762">
        <f>IF(GetFillColor(K27)&lt;0,Planning!$IE13+Planning!$IF13+Planning!$JE13+Planning!$JF13,0)</f>
      </c>
      <c r="L27" s="762">
        <f>IF(GetFillColor(L27)&lt;0,Planning!$JH13+Planning!$JI13+Planning!$KH13+Planning!$KI13,0)</f>
      </c>
      <c r="M27" s="762">
        <f>IF(GetFillColor(M27)&lt;0,Planning!$KK13+Planning!$KL13+Planning!$LK13+Planning!$LL13,0)</f>
      </c>
      <c r="N27" s="762">
        <f>IF(GetFillColor(N27)&lt;0,Planning!$LN13+Planning!$LO13+Planning!$MN13+Planning!$MO13,0)</f>
      </c>
      <c r="O27" s="761">
        <v>0</v>
      </c>
      <c r="P27" s="761">
        <v>0</v>
      </c>
      <c r="Q27" s="762">
        <f>IF(GetFillColor(Q27)&lt;0,Planning!$OZ13+Planning!$PA13+Planning!$PZ13+Planning!$QA13,0)</f>
      </c>
      <c r="R27" s="762">
        <f>IF(GetFillColor(R27)&lt;0,Planning!$QC13+Planning!$QD13+Planning!$RC13+Planning!$RD13,0)</f>
      </c>
      <c r="S27" s="762">
        <f>IF(GetFillColor(S27)&lt;0,Planning!$RF13+Planning!$RG13+Planning!$SF13+Planning!$SG13,0)</f>
      </c>
      <c r="T27" s="762">
        <f>IF(GetFillColor(T27)&lt;0,Planning!$SI13+Planning!$SJ13+Planning!$TI13+Planning!$TJ13,0)</f>
      </c>
      <c r="U27" s="762">
        <f>IF(GetFillColor(U27)&lt;0,Planning!$TL13+Planning!$TM13+Planning!$UL13+Planning!$UM13,0)</f>
      </c>
      <c r="V27" s="761">
        <v>0</v>
      </c>
      <c r="W27" s="761">
        <v>0</v>
      </c>
      <c r="X27" s="762">
        <f>IF(GetFillColor(X27)&lt;0,Planning!$WX13+Planning!$WY13+Planning!$XX13+Planning!$XY13,0)</f>
      </c>
      <c r="Y27" s="762">
        <f>IF(GetFillColor(Y27)&lt;0,Planning!$YA13+Planning!$YB13+Planning!$ZA13+Planning!$ZB13,0)</f>
      </c>
      <c r="Z27" s="762">
        <f>IF(GetFillColor(Z27)&lt;0,Planning!$ZD13+Planning!$ZE13+Planning!$AAD13+Planning!$AAE13,0)</f>
      </c>
      <c r="AA27" s="762">
        <f>IF(GetFillColor(AA27)&lt;0,Planning!$AAG13+Planning!$AAH13+Planning!$ABG13+Planning!$ABH13,0)</f>
      </c>
      <c r="AB27" s="762">
        <f>IF(GetFillColor(AB27)&lt;0,Planning!$ABJ13+Planning!$ABK13+Planning!$ACJ13+Planning!$ACK13,0)</f>
      </c>
      <c r="AC27" s="761">
        <v>0</v>
      </c>
      <c r="AD27" s="761">
        <v>0</v>
      </c>
      <c r="AE27" s="762">
        <f>IF(GetFillColor(AE27)&lt;0,Planning!$AEV13+Planning!$AEW13+Planning!$AFV13+Planning!$AFW13,0)</f>
      </c>
      <c r="AF27" s="762">
        <f>IF(GetFillColor(AF27)&lt;0,Planning!$AFY13+Planning!$AFZ13+Planning!$AGY13+Planning!$AGZ13,0)</f>
      </c>
      <c r="AG27" s="762">
        <f>IF(GetFillColor(AG27)&lt;0,Planning!$AHB13+Planning!$AHC13+Planning!$AIB13+Planning!$AIC13,0)</f>
      </c>
      <c r="AH27" s="762">
        <f>IF(GetFillColor(AH27)&lt;0,Planning!$AIE13+Planning!$AIF13+Planning!$AJE13+Planning!$AJF13,0)</f>
      </c>
      <c r="AI27" s="762">
        <f>IF(GetFillColor(AI27)&lt;0,Planning!$AJH13+Planning!$AJI13+Planning!$AKH13+Planning!$AKI13,0)</f>
      </c>
      <c r="AJ27" s="761">
        <v>0</v>
      </c>
      <c r="AK27" s="760">
        <v>0</v>
      </c>
      <c r="AL27" s="698">
        <f>SUM(C27:AK27)</f>
      </c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  <row r="28" ht="20.25" customHeight="1" spans="1:50" x14ac:dyDescent="0.25">
      <c r="A28" s="4">
        <f>A5</f>
      </c>
      <c r="B28" s="4"/>
      <c r="C28" s="760">
        <f>IF(GetFillColor(C28)&lt;0,Planning!$D14+Planning!$E14+Planning!$AD14+Planning!$AE14,0)</f>
      </c>
      <c r="D28" s="760">
        <f>IF(GetFillColor(D28)&lt;0,Planning!$AG14+Planning!$AH14+Planning!$BG14+Planning!$BH14,0)</f>
      </c>
      <c r="E28" s="760">
        <f>IF(GetFillColor(E28)&lt;0,Planning!$BJ14+Planning!$BK14+Planning!$CJ14+Planning!$CK14,0)</f>
      </c>
      <c r="F28" s="761">
        <f>IF(GetFillColor(F28)&lt;0,Planning!$CM14+Planning!$CN14+Planning!$DM14+Planning!$DN14,0)</f>
      </c>
      <c r="G28" s="761">
        <f>IF(GetFillColor(G28)&lt;0,Planning!$DP14+Planning!$DQ14+Planning!$EP14+Planning!$EQ14,0)</f>
      </c>
      <c r="H28" s="761">
        <v>0</v>
      </c>
      <c r="I28" s="761">
        <v>0</v>
      </c>
      <c r="J28" s="762">
        <f>IF(GetFillColor(J28)&lt;0,Planning!$HB14+Planning!$HC14+Planning!$IB14+Planning!$IC14,0)</f>
      </c>
      <c r="K28" s="762">
        <f>IF(GetFillColor(K28)&lt;0,Planning!$IE14+Planning!$IF14+Planning!$JE14+Planning!$JF14,0)</f>
      </c>
      <c r="L28" s="762">
        <f>IF(GetFillColor(L28)&lt;0,Planning!$JH14+Planning!$JI14+Planning!$KH14+Planning!$KI14,0)</f>
      </c>
      <c r="M28" s="762">
        <f>IF(GetFillColor(M28)&lt;0,Planning!$KK14+Planning!$KL14+Planning!$LK14+Planning!$LL14,0)</f>
      </c>
      <c r="N28" s="762">
        <f>IF(GetFillColor(N28)&lt;0,Planning!$LN14+Planning!$LO14+Planning!$MN14+Planning!$MO14,0)</f>
      </c>
      <c r="O28" s="761">
        <v>0</v>
      </c>
      <c r="P28" s="761">
        <v>0</v>
      </c>
      <c r="Q28" s="762">
        <f>IF(GetFillColor(Q28)&lt;0,Planning!$OZ14+Planning!$PA14+Planning!$PZ14+Planning!$QA14,0)</f>
      </c>
      <c r="R28" s="762">
        <f>IF(GetFillColor(R28)&lt;0,Planning!$QC14+Planning!$QD14+Planning!$RC14+Planning!$RD14,0)</f>
      </c>
      <c r="S28" s="762">
        <f>IF(GetFillColor(S28)&lt;0,Planning!$RF14+Planning!$RG14+Planning!$SF14+Planning!$SG14,0)</f>
      </c>
      <c r="T28" s="762">
        <f>IF(GetFillColor(T28)&lt;0,Planning!$SI14+Planning!$SJ14+Planning!$TI14+Planning!$TJ14,0)</f>
      </c>
      <c r="U28" s="762">
        <f>IF(GetFillColor(U28)&lt;0,Planning!$TL14+Planning!$TM14+Planning!$UL14+Planning!$UM14,0)</f>
      </c>
      <c r="V28" s="761">
        <v>0</v>
      </c>
      <c r="W28" s="761">
        <v>0</v>
      </c>
      <c r="X28" s="762">
        <f>IF(GetFillColor(X28)&lt;0,Planning!$WX14+Planning!$WY14+Planning!$XX14+Planning!$XY14,0)</f>
      </c>
      <c r="Y28" s="762">
        <f>IF(GetFillColor(Y28)&lt;0,Planning!$YA14+Planning!$YB14+Planning!$ZA14+Planning!$ZB14,0)</f>
      </c>
      <c r="Z28" s="762">
        <f>IF(GetFillColor(Z28)&lt;0,Planning!$ZD14+Planning!$ZE14+Planning!$AAD14+Planning!$AAE14,0)</f>
      </c>
      <c r="AA28" s="762">
        <f>IF(GetFillColor(AA28)&lt;0,Planning!$AAG14+Planning!$AAH14+Planning!$ABG14+Planning!$ABH14,0)</f>
      </c>
      <c r="AB28" s="762">
        <f>IF(GetFillColor(AB28)&lt;0,Planning!$ABJ14+Planning!$ABK14+Planning!$ACJ14+Planning!$ACK14,0)</f>
      </c>
      <c r="AC28" s="761">
        <v>0</v>
      </c>
      <c r="AD28" s="761">
        <v>0</v>
      </c>
      <c r="AE28" s="762">
        <f>IF(GetFillColor(AE28)&lt;0,Planning!$AEV14+Planning!$AEW14+Planning!$AFV14+Planning!$AFW14,0)</f>
      </c>
      <c r="AF28" s="762">
        <f>IF(GetFillColor(AF28)&lt;0,Planning!$AFY14+Planning!$AFZ14+Planning!$AGY14+Planning!$AGZ14,0)</f>
      </c>
      <c r="AG28" s="762">
        <f>IF(GetFillColor(AG28)&lt;0,Planning!$AHB14+Planning!$AHC14+Planning!$AIB14+Planning!$AIC14,0)</f>
      </c>
      <c r="AH28" s="762">
        <f>IF(GetFillColor(AH28)&lt;0,Planning!$AIE14+Planning!$AIF14+Planning!$AJE14+Planning!$AJF14,0)</f>
      </c>
      <c r="AI28" s="762">
        <f>IF(GetFillColor(AI28)&lt;0,Planning!$AJH14+Planning!$AJI14+Planning!$AKH14+Planning!$AKI14,0)</f>
      </c>
      <c r="AJ28" s="761">
        <v>0</v>
      </c>
      <c r="AK28" s="760">
        <v>0</v>
      </c>
      <c r="AL28" s="698">
        <f>SUM(C28:AK28)</f>
      </c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</row>
    <row r="29" ht="20.25" customHeight="1" spans="1:50" x14ac:dyDescent="0.25">
      <c r="A29" s="4">
        <f>A6</f>
      </c>
      <c r="B29" s="4"/>
      <c r="C29" s="760">
        <f>IF(GetFillColor(C29)&lt;0,Planning!$D15+Planning!$E15+Planning!$AD15+Planning!$AE15,0)</f>
      </c>
      <c r="D29" s="760">
        <f>IF(GetFillColor(D29)&lt;0,Planning!$AG15+Planning!$AH15+Planning!$BG15+Planning!$BH15,0)</f>
      </c>
      <c r="E29" s="760">
        <f>IF(GetFillColor(E29)&lt;0,Planning!$BJ15+Planning!$BK15+Planning!$CJ15+Planning!$CK15,0)</f>
      </c>
      <c r="F29" s="761">
        <f>IF(GetFillColor(F29)&lt;0,Planning!$CM15+Planning!$CN15+Planning!$DM15+Planning!$DN15,0)</f>
      </c>
      <c r="G29" s="761">
        <f>IF(GetFillColor(G29)&lt;0,Planning!$DP15+Planning!$DQ15+Planning!$EP15+Planning!$EQ15,0)</f>
      </c>
      <c r="H29" s="761">
        <v>0</v>
      </c>
      <c r="I29" s="761">
        <v>0</v>
      </c>
      <c r="J29" s="762">
        <f>IF(GetFillColor(J29)&lt;0,Planning!$HB15+Planning!$HC15+Planning!$IB15+Planning!$IC15,0)</f>
      </c>
      <c r="K29" s="762">
        <f>IF(GetFillColor(K29)&lt;0,Planning!$IE15+Planning!$IF15+Planning!$JE15+Planning!$JF15,0)</f>
      </c>
      <c r="L29" s="762">
        <f>IF(GetFillColor(L29)&lt;0,Planning!$JH15+Planning!$JI15+Planning!$KH15+Planning!$KI15,0)</f>
      </c>
      <c r="M29" s="762">
        <f>IF(GetFillColor(M29)&lt;0,Planning!$KK15+Planning!$KL15+Planning!$LK15+Planning!$LL15,0)</f>
      </c>
      <c r="N29" s="762">
        <f>IF(GetFillColor(N29)&lt;0,Planning!$LN15+Planning!$LO15+Planning!$MN15+Planning!$MO15,0)</f>
      </c>
      <c r="O29" s="761">
        <v>0</v>
      </c>
      <c r="P29" s="761">
        <v>0</v>
      </c>
      <c r="Q29" s="762">
        <f>IF(GetFillColor(Q29)&lt;0,Planning!$OZ15+Planning!$PA15+Planning!$PZ15+Planning!$QA15,0)</f>
      </c>
      <c r="R29" s="762">
        <f>IF(GetFillColor(R29)&lt;0,Planning!$QC15+Planning!$QD15+Planning!$RC15+Planning!$RD15,0)</f>
      </c>
      <c r="S29" s="762">
        <f>IF(GetFillColor(S29)&lt;0,Planning!$RF15+Planning!$RG15+Planning!$SF15+Planning!$SG15,0)</f>
      </c>
      <c r="T29" s="762">
        <f>IF(GetFillColor(T29)&lt;0,Planning!$SI15+Planning!$SJ15+Planning!$TI15+Planning!$TJ15,0)</f>
      </c>
      <c r="U29" s="762">
        <f>IF(GetFillColor(U29)&lt;0,Planning!$TL15+Planning!$TM15+Planning!$UL15+Planning!$UM15,0)</f>
      </c>
      <c r="V29" s="761">
        <v>0</v>
      </c>
      <c r="W29" s="761">
        <v>0</v>
      </c>
      <c r="X29" s="762">
        <f>IF(GetFillColor(X29)&lt;0,Planning!$WX15+Planning!$WY15+Planning!$XX15+Planning!$XY15,0)</f>
      </c>
      <c r="Y29" s="762">
        <f>IF(GetFillColor(Y29)&lt;0,Planning!$YA15+Planning!$YB15+Planning!$ZA15+Planning!$ZB15,0)</f>
      </c>
      <c r="Z29" s="762">
        <f>IF(GetFillColor(Z29)&lt;0,Planning!$ZD15+Planning!$ZE15+Planning!$AAD15+Planning!$AAE15,0)</f>
      </c>
      <c r="AA29" s="762">
        <f>IF(GetFillColor(AA29)&lt;0,Planning!$AAG15+Planning!$AAH15+Planning!$ABG15+Planning!$ABH15,0)</f>
      </c>
      <c r="AB29" s="762">
        <f>IF(GetFillColor(AB29)&lt;0,Planning!$ABJ15+Planning!$ABK15+Planning!$ACJ15+Planning!$ACK15,0)</f>
      </c>
      <c r="AC29" s="761">
        <v>0</v>
      </c>
      <c r="AD29" s="761">
        <v>0</v>
      </c>
      <c r="AE29" s="762">
        <f>IF(GetFillColor(AE29)&lt;0,Planning!$AEV15+Planning!$AEW15+Planning!$AFV15+Planning!$AFW15,0)</f>
      </c>
      <c r="AF29" s="762">
        <f>IF(GetFillColor(AF29)&lt;0,Planning!$AFY15+Planning!$AFZ15+Planning!$AGY15+Planning!$AGZ15,0)</f>
      </c>
      <c r="AG29" s="762">
        <f>IF(GetFillColor(AG29)&lt;0,Planning!$AHB15+Planning!$AHC15+Planning!$AIB15+Planning!$AIC15,0)</f>
      </c>
      <c r="AH29" s="762">
        <f>IF(GetFillColor(AH29)&lt;0,Planning!$AIE15+Planning!$AIF15+Planning!$AJE15+Planning!$AJF15,0)</f>
      </c>
      <c r="AI29" s="762">
        <f>IF(GetFillColor(AI29)&lt;0,Planning!$AJH15+Planning!$AJI15+Planning!$AKH15+Planning!$AKI15,0)</f>
      </c>
      <c r="AJ29" s="761">
        <v>0</v>
      </c>
      <c r="AK29" s="760">
        <v>0</v>
      </c>
      <c r="AL29" s="698">
        <f>SUM(C29:AK29)</f>
      </c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</row>
    <row r="30" ht="20.25" customHeight="1" spans="1:50" x14ac:dyDescent="0.25">
      <c r="A30" s="4">
        <f>A7</f>
      </c>
      <c r="B30" s="4"/>
      <c r="C30" s="760">
        <f>IF(GetFillColor(C30)&lt;0,Planning!$D16+Planning!$E16+Planning!$AD16+Planning!$AE16,0)</f>
      </c>
      <c r="D30" s="760">
        <f>IF(GetFillColor(D30)&lt;0,Planning!$AG16+Planning!$AH16+Planning!$BG16+Planning!$BH16,0)</f>
      </c>
      <c r="E30" s="760">
        <f>IF(GetFillColor(E30)&lt;0,Planning!$BJ16+Planning!$BK16+Planning!$CJ16+Planning!$CK16,0)</f>
      </c>
      <c r="F30" s="761">
        <f>IF(GetFillColor(F30)&lt;0,Planning!$CM16+Planning!$CN16+Planning!$DM16+Planning!$DN16,0)</f>
      </c>
      <c r="G30" s="761">
        <f>IF(GetFillColor(G30)&lt;0,Planning!$DP16+Planning!$DQ16+Planning!$EP16+Planning!$EQ16,0)</f>
      </c>
      <c r="H30" s="761">
        <v>0</v>
      </c>
      <c r="I30" s="761">
        <v>0</v>
      </c>
      <c r="J30" s="762">
        <f>IF(GetFillColor(J30)&lt;0,Planning!$HB16+Planning!$HC16+Planning!$IB16+Planning!$IC16,0)</f>
      </c>
      <c r="K30" s="762">
        <f>IF(GetFillColor(K30)&lt;0,Planning!$IE16+Planning!$IF16+Planning!$JE16+Planning!$JF16,0)</f>
      </c>
      <c r="L30" s="762">
        <f>IF(GetFillColor(L30)&lt;0,Planning!$JH16+Planning!$JI16+Planning!$KH16+Planning!$KI16,0)</f>
      </c>
      <c r="M30" s="762">
        <f>IF(GetFillColor(M30)&lt;0,Planning!$KK16+Planning!$KL16+Planning!$LK16+Planning!$LL16,0)</f>
      </c>
      <c r="N30" s="762">
        <f>IF(GetFillColor(N30)&lt;0,Planning!$LN16+Planning!$LO16+Planning!$MN16+Planning!$MO16,0)</f>
      </c>
      <c r="O30" s="761">
        <v>0</v>
      </c>
      <c r="P30" s="761">
        <v>0</v>
      </c>
      <c r="Q30" s="762">
        <f>IF(GetFillColor(Q30)&lt;0,Planning!$OZ16+Planning!$PA16+Planning!$PZ16+Planning!$QA16,0)</f>
      </c>
      <c r="R30" s="762">
        <f>IF(GetFillColor(R30)&lt;0,Planning!$QC16+Planning!$QD16+Planning!$RC16+Planning!$RD16,0)</f>
      </c>
      <c r="S30" s="762">
        <f>IF(GetFillColor(S30)&lt;0,Planning!$RF16+Planning!$RG16+Planning!$SF16+Planning!$SG16,0)</f>
      </c>
      <c r="T30" s="762">
        <f>IF(GetFillColor(T30)&lt;0,Planning!$SI16+Planning!$SJ16+Planning!$TI16+Planning!$TJ16,0)</f>
      </c>
      <c r="U30" s="762">
        <f>IF(GetFillColor(U30)&lt;0,Planning!$TL16+Planning!$TM16+Planning!$UL16+Planning!$UM16,0)</f>
      </c>
      <c r="V30" s="761">
        <v>0</v>
      </c>
      <c r="W30" s="761">
        <v>0</v>
      </c>
      <c r="X30" s="762">
        <f>IF(GetFillColor(X30)&lt;0,Planning!$WX16+Planning!$WY16+Planning!$XX16+Planning!$XY16,0)</f>
      </c>
      <c r="Y30" s="762">
        <f>IF(GetFillColor(Y30)&lt;0,Planning!$YA16+Planning!$YB16+Planning!$ZA16+Planning!$ZB16,0)</f>
      </c>
      <c r="Z30" s="762">
        <f>IF(GetFillColor(Z30)&lt;0,Planning!$ZD16+Planning!$ZE16+Planning!$AAD16+Planning!$AAE16,0)</f>
      </c>
      <c r="AA30" s="762">
        <f>IF(GetFillColor(AA30)&lt;0,Planning!$AAG16+Planning!$AAH16+Planning!$ABG16+Planning!$ABH16,0)</f>
      </c>
      <c r="AB30" s="762">
        <f>IF(GetFillColor(AB30)&lt;0,Planning!$ABJ16+Planning!$ABK16+Planning!$ACJ16+Planning!$ACK16,0)</f>
      </c>
      <c r="AC30" s="761">
        <v>0</v>
      </c>
      <c r="AD30" s="761">
        <v>0</v>
      </c>
      <c r="AE30" s="762">
        <f>IF(GetFillColor(AE30)&lt;0,Planning!$AEV16+Planning!$AEW16+Planning!$AFV16+Planning!$AFW16,0)</f>
      </c>
      <c r="AF30" s="762">
        <f>IF(GetFillColor(AF30)&lt;0,Planning!$AFY16+Planning!$AFZ16+Planning!$AGY16+Planning!$AGZ16,0)</f>
      </c>
      <c r="AG30" s="762">
        <f>IF(GetFillColor(AG30)&lt;0,Planning!$AHB16+Planning!$AHC16+Planning!$AIB16+Planning!$AIC16,0)</f>
      </c>
      <c r="AH30" s="762">
        <f>IF(GetFillColor(AH30)&lt;0,Planning!$AIE16+Planning!$AIF16+Planning!$AJE16+Planning!$AJF16,0)</f>
      </c>
      <c r="AI30" s="762">
        <f>IF(GetFillColor(AI30)&lt;0,Planning!$AJH16+Planning!$AJI16+Planning!$AKH16+Planning!$AKI16,0)</f>
      </c>
      <c r="AJ30" s="761">
        <v>0</v>
      </c>
      <c r="AK30" s="760">
        <v>0</v>
      </c>
      <c r="AL30" s="698">
        <f>SUM(C30:AK30)</f>
      </c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</row>
    <row r="31" ht="20.25" customHeight="1" spans="1:50" x14ac:dyDescent="0.25">
      <c r="A31" s="4">
        <f>A8</f>
      </c>
      <c r="B31" s="4"/>
      <c r="C31" s="760">
        <f>IF(GetFillColor(C31)&lt;0,Planning!$D17+Planning!$E17+Planning!$AD17+Planning!$AE17,0)</f>
      </c>
      <c r="D31" s="760">
        <f>IF(GetFillColor(D31)&lt;0,Planning!$AG17+Planning!$AH17+Planning!$BG17+Planning!$BH17,0)</f>
      </c>
      <c r="E31" s="760">
        <f>IF(GetFillColor(E31)&lt;0,Planning!$BJ17+Planning!$BK17+Planning!$CJ17+Planning!$CK17,0)</f>
      </c>
      <c r="F31" s="761">
        <f>IF(GetFillColor(F31)&lt;0,Planning!$CM17+Planning!$CN17+Planning!$DM17+Planning!$DN17,0)</f>
      </c>
      <c r="G31" s="761">
        <f>IF(GetFillColor(G31)&lt;0,Planning!$DP17+Planning!$DQ17+Planning!$EP17+Planning!$EQ17,0)</f>
      </c>
      <c r="H31" s="761">
        <v>0</v>
      </c>
      <c r="I31" s="761">
        <v>0</v>
      </c>
      <c r="J31" s="762">
        <f>IF(GetFillColor(J31)&lt;0,Planning!$HB17+Planning!$HC17+Planning!$IB17+Planning!$IC17,0)</f>
      </c>
      <c r="K31" s="762">
        <f>IF(GetFillColor(K31)&lt;0,Planning!$IE17+Planning!$IF17+Planning!$JE17+Planning!$JF17,0)</f>
      </c>
      <c r="L31" s="762">
        <f>IF(GetFillColor(L31)&lt;0,Planning!$JH17+Planning!$JI17+Planning!$KH17+Planning!$KI17,0)</f>
      </c>
      <c r="M31" s="762">
        <f>IF(GetFillColor(M31)&lt;0,Planning!$KK17+Planning!$KL17+Planning!$LK17+Planning!$LL17,0)</f>
      </c>
      <c r="N31" s="762">
        <f>IF(GetFillColor(N31)&lt;0,Planning!$LN17+Planning!$LO17+Planning!$MN17+Planning!$MO17,0)</f>
      </c>
      <c r="O31" s="761">
        <v>0</v>
      </c>
      <c r="P31" s="761">
        <v>0</v>
      </c>
      <c r="Q31" s="762">
        <f>IF(GetFillColor(Q31)&lt;0,Planning!$OZ17+Planning!$PA17+Planning!$PZ17+Planning!$QA17,0)</f>
      </c>
      <c r="R31" s="762">
        <f>IF(GetFillColor(R31)&lt;0,Planning!$QC17+Planning!$QD17+Planning!$RC17+Planning!$RD17,0)</f>
      </c>
      <c r="S31" s="762">
        <f>IF(GetFillColor(S31)&lt;0,Planning!$RF17+Planning!$RG17+Planning!$SF17+Planning!$SG17,0)</f>
      </c>
      <c r="T31" s="762">
        <f>IF(GetFillColor(T31)&lt;0,Planning!$SI17+Planning!$SJ17+Planning!$TI17+Planning!$TJ17,0)</f>
      </c>
      <c r="U31" s="762">
        <f>IF(GetFillColor(U31)&lt;0,Planning!$TL17+Planning!$TM17+Planning!$UL17+Planning!$UM17,0)</f>
      </c>
      <c r="V31" s="761">
        <v>0</v>
      </c>
      <c r="W31" s="761">
        <v>0</v>
      </c>
      <c r="X31" s="762">
        <f>IF(GetFillColor(X31)&lt;0,Planning!$WX17+Planning!$WY17+Planning!$XX17+Planning!$XY17,0)</f>
      </c>
      <c r="Y31" s="762">
        <f>IF(GetFillColor(Y31)&lt;0,Planning!$YA17+Planning!$YB17+Planning!$ZA17+Planning!$ZB17,0)</f>
      </c>
      <c r="Z31" s="762">
        <f>IF(GetFillColor(Z31)&lt;0,Planning!$ZD17+Planning!$ZE17+Planning!$AAD17+Planning!$AAE17,0)</f>
      </c>
      <c r="AA31" s="762">
        <f>IF(GetFillColor(AA31)&lt;0,Planning!$AAG17+Planning!$AAH17+Planning!$ABG17+Planning!$ABH17,0)</f>
      </c>
      <c r="AB31" s="762">
        <f>IF(GetFillColor(AB31)&lt;0,Planning!$ABJ17+Planning!$ABK17+Planning!$ACJ17+Planning!$ACK17,0)</f>
      </c>
      <c r="AC31" s="761">
        <v>0</v>
      </c>
      <c r="AD31" s="761">
        <v>0</v>
      </c>
      <c r="AE31" s="762">
        <f>IF(GetFillColor(AE31)&lt;0,Planning!$AEV17+Planning!$AEW17+Planning!$AFV17+Planning!$AFW17,0)</f>
      </c>
      <c r="AF31" s="762">
        <f>IF(GetFillColor(AF31)&lt;0,Planning!$AFY17+Planning!$AFZ17+Planning!$AGY17+Planning!$AGZ17,0)</f>
      </c>
      <c r="AG31" s="762">
        <f>IF(GetFillColor(AG31)&lt;0,Planning!$AHB17+Planning!$AHC17+Planning!$AIB17+Planning!$AIC17,0)</f>
      </c>
      <c r="AH31" s="762">
        <f>IF(GetFillColor(AH31)&lt;0,Planning!$AIE17+Planning!$AIF17+Planning!$AJE17+Planning!$AJF17,0)</f>
      </c>
      <c r="AI31" s="762">
        <f>IF(GetFillColor(AI31)&lt;0,Planning!$AJH17+Planning!$AJI17+Planning!$AKH17+Planning!$AKI17,0)</f>
      </c>
      <c r="AJ31" s="761">
        <v>0</v>
      </c>
      <c r="AK31" s="760">
        <v>0</v>
      </c>
      <c r="AL31" s="698">
        <f>SUM(C31:AK31)</f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</row>
    <row r="32" ht="20.25" customHeight="1" spans="1:50" x14ac:dyDescent="0.25">
      <c r="A32" s="4">
        <f>A9</f>
      </c>
      <c r="B32" s="4"/>
      <c r="C32" s="760">
        <f>IF(GetFillColor(C32)&lt;0,Planning!$D18+Planning!$E18+Planning!$AD18+Planning!$AE18,0)</f>
      </c>
      <c r="D32" s="760">
        <f>IF(GetFillColor(D32)&lt;0,Planning!$AG18+Planning!$AH18+Planning!$BG18+Planning!$BH18,0)</f>
      </c>
      <c r="E32" s="760">
        <f>IF(GetFillColor(E32)&lt;0,Planning!$BJ18+Planning!$BK18+Planning!$CJ18+Planning!$CK18,0)</f>
      </c>
      <c r="F32" s="761">
        <f>IF(GetFillColor(F32)&lt;0,Planning!$CM18+Planning!$CN18+Planning!$DM18+Planning!$DN18,0)</f>
      </c>
      <c r="G32" s="761">
        <f>IF(GetFillColor(G32)&lt;0,Planning!$DP18+Planning!$DQ18+Planning!$EP18+Planning!$EQ18,0)</f>
      </c>
      <c r="H32" s="761">
        <v>0</v>
      </c>
      <c r="I32" s="761">
        <v>0</v>
      </c>
      <c r="J32" s="762">
        <f>IF(GetFillColor(J32)&lt;0,Planning!$HB18+Planning!$HC18+Planning!$IB18+Planning!$IC18,0)</f>
      </c>
      <c r="K32" s="762">
        <f>IF(GetFillColor(K32)&lt;0,Planning!$IE18+Planning!$IF18+Planning!$JE18+Planning!$JF18,0)</f>
      </c>
      <c r="L32" s="762">
        <f>IF(GetFillColor(L32)&lt;0,Planning!$JH18+Planning!$JI18+Planning!$KH18+Planning!$KI18,0)</f>
      </c>
      <c r="M32" s="762">
        <f>IF(GetFillColor(M32)&lt;0,Planning!$KK18+Planning!$KL18+Planning!$LK18+Planning!$LL18,0)</f>
      </c>
      <c r="N32" s="762">
        <f>IF(GetFillColor(N32)&lt;0,Planning!$LN18+Planning!$LO18+Planning!$MN18+Planning!$MO18,0)</f>
      </c>
      <c r="O32" s="761">
        <v>0</v>
      </c>
      <c r="P32" s="761">
        <v>0</v>
      </c>
      <c r="Q32" s="762">
        <f>IF(GetFillColor(Q32)&lt;0,Planning!$OZ18+Planning!$PA18+Planning!$PZ18+Planning!$QA18,0)</f>
      </c>
      <c r="R32" s="762">
        <f>IF(GetFillColor(R32)&lt;0,Planning!$QC18+Planning!$QD18+Planning!$RC18+Planning!$RD18,0)</f>
      </c>
      <c r="S32" s="762">
        <f>IF(GetFillColor(S32)&lt;0,Planning!$RF18+Planning!$RG18+Planning!$SF18+Planning!$SG18,0)</f>
      </c>
      <c r="T32" s="762">
        <f>IF(GetFillColor(T32)&lt;0,Planning!$SI18+Planning!$SJ18+Planning!$TI18+Planning!$TJ18,0)</f>
      </c>
      <c r="U32" s="762">
        <f>IF(GetFillColor(U32)&lt;0,Planning!$TL18+Planning!$TM18+Planning!$UL18+Planning!$UM18,0)</f>
      </c>
      <c r="V32" s="761">
        <v>0</v>
      </c>
      <c r="W32" s="761">
        <v>0</v>
      </c>
      <c r="X32" s="762">
        <f>IF(GetFillColor(X32)&lt;0,Planning!$WX18+Planning!$WY18+Planning!$XX18+Planning!$XY18,0)</f>
      </c>
      <c r="Y32" s="762">
        <f>IF(GetFillColor(Y32)&lt;0,Planning!$YA18+Planning!$YB18+Planning!$ZA18+Planning!$ZB18,0)</f>
      </c>
      <c r="Z32" s="762">
        <f>IF(GetFillColor(Z32)&lt;0,Planning!$ZD18+Planning!$ZE18+Planning!$AAD18+Planning!$AAE18,0)</f>
      </c>
      <c r="AA32" s="762">
        <f>IF(GetFillColor(AA32)&lt;0,Planning!$AAG18+Planning!$AAH18+Planning!$ABG18+Planning!$ABH18,0)</f>
      </c>
      <c r="AB32" s="762">
        <f>IF(GetFillColor(AB32)&lt;0,Planning!$ABJ18+Planning!$ABK18+Planning!$ACJ18+Planning!$ACK18,0)</f>
      </c>
      <c r="AC32" s="761">
        <v>0</v>
      </c>
      <c r="AD32" s="761">
        <v>0</v>
      </c>
      <c r="AE32" s="762">
        <f>IF(GetFillColor(AE32)&lt;0,Planning!$AEV18+Planning!$AEW18+Planning!$AFV18+Planning!$AFW18,0)</f>
      </c>
      <c r="AF32" s="762">
        <f>IF(GetFillColor(AF32)&lt;0,Planning!$AFY18+Planning!$AFZ18+Planning!$AGY18+Planning!$AGZ18,0)</f>
      </c>
      <c r="AG32" s="762">
        <f>IF(GetFillColor(AG32)&lt;0,Planning!$AHB18+Planning!$AHC18+Planning!$AIB18+Planning!$AIC18,0)</f>
      </c>
      <c r="AH32" s="762">
        <f>IF(GetFillColor(AH32)&lt;0,Planning!$AIE18+Planning!$AIF18+Planning!$AJE18+Planning!$AJF18,0)</f>
      </c>
      <c r="AI32" s="762">
        <f>IF(GetFillColor(AI32)&lt;0,Planning!$AJH18+Planning!$AJI18+Planning!$AKH18+Planning!$AKI18,0)</f>
      </c>
      <c r="AJ32" s="761">
        <v>0</v>
      </c>
      <c r="AK32" s="760">
        <v>0</v>
      </c>
      <c r="AL32" s="698">
        <f>SUM(C32:AK32)</f>
      </c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ht="20.25" customHeight="1" spans="1:50" x14ac:dyDescent="0.25">
      <c r="A33" s="4">
        <f>A10</f>
      </c>
      <c r="B33" s="4"/>
      <c r="C33" s="760">
        <f>IF(GetFillColor(C33)&lt;0,Planning!$D19+Planning!$E19+Planning!$AD19+Planning!$AE19,0)</f>
      </c>
      <c r="D33" s="760">
        <f>IF(GetFillColor(D33)&lt;0,Planning!$AG19+Planning!$AH19+Planning!$BG19+Planning!$BH19,0)</f>
      </c>
      <c r="E33" s="760">
        <f>IF(GetFillColor(E33)&lt;0,Planning!$BJ19+Planning!$BK19+Planning!$CJ19+Planning!$CK19,0)</f>
      </c>
      <c r="F33" s="761">
        <f>IF(GetFillColor(F33)&lt;0,Planning!$CM19+Planning!$CN19+Planning!$DM19+Planning!$DN19,0)</f>
      </c>
      <c r="G33" s="761">
        <f>IF(GetFillColor(G33)&lt;0,Planning!$DP19+Planning!$DQ19+Planning!$EP19+Planning!$EQ19,0)</f>
      </c>
      <c r="H33" s="761">
        <v>0</v>
      </c>
      <c r="I33" s="761">
        <v>0</v>
      </c>
      <c r="J33" s="762">
        <f>IF(GetFillColor(J33)&lt;0,Planning!$HB19+Planning!$HC19+Planning!$IB19+Planning!$IC19,0)</f>
      </c>
      <c r="K33" s="762">
        <f>IF(GetFillColor(K33)&lt;0,Planning!$IE19+Planning!$IF19+Planning!$JE19+Planning!$JF19,0)</f>
      </c>
      <c r="L33" s="762">
        <f>IF(GetFillColor(L33)&lt;0,Planning!$JH19+Planning!$JI19+Planning!$KH19+Planning!$KI19,0)</f>
      </c>
      <c r="M33" s="762">
        <f>IF(GetFillColor(M33)&lt;0,Planning!$KK19+Planning!$KL19+Planning!$LK19+Planning!$LL19,0)</f>
      </c>
      <c r="N33" s="762">
        <f>IF(GetFillColor(N33)&lt;0,Planning!$LN19+Planning!$LO19+Planning!$MN19+Planning!$MO19,0)</f>
      </c>
      <c r="O33" s="761">
        <v>0</v>
      </c>
      <c r="P33" s="761">
        <v>0</v>
      </c>
      <c r="Q33" s="762">
        <f>IF(GetFillColor(Q33)&lt;0,Planning!$OZ19+Planning!$PA19+Planning!$PZ19+Planning!$QA19,0)</f>
      </c>
      <c r="R33" s="762">
        <f>IF(GetFillColor(R33)&lt;0,Planning!$QC19+Planning!$QD19+Planning!$RC19+Planning!$RD19,0)</f>
      </c>
      <c r="S33" s="762">
        <f>IF(GetFillColor(S33)&lt;0,Planning!$RF19+Planning!$RG19+Planning!$SF19+Planning!$SG19,0)</f>
      </c>
      <c r="T33" s="762">
        <f>IF(GetFillColor(T33)&lt;0,Planning!$SI19+Planning!$SJ19+Planning!$TI19+Planning!$TJ19,0)</f>
      </c>
      <c r="U33" s="762">
        <f>IF(GetFillColor(U33)&lt;0,Planning!$TL19+Planning!$TM19+Planning!$UL19+Planning!$UM19,0)</f>
      </c>
      <c r="V33" s="761">
        <v>0</v>
      </c>
      <c r="W33" s="761">
        <v>0</v>
      </c>
      <c r="X33" s="762">
        <f>IF(GetFillColor(X33)&lt;0,Planning!$WX19+Planning!$WY19+Planning!$XX19+Planning!$XY19,0)</f>
      </c>
      <c r="Y33" s="762">
        <f>IF(GetFillColor(Y33)&lt;0,Planning!$YA19+Planning!$YB19+Planning!$ZA19+Planning!$ZB19,0)</f>
      </c>
      <c r="Z33" s="762">
        <f>IF(GetFillColor(Z33)&lt;0,Planning!$ZD19+Planning!$ZE19+Planning!$AAD19+Planning!$AAE19,0)</f>
      </c>
      <c r="AA33" s="762">
        <f>IF(GetFillColor(AA33)&lt;0,Planning!$AAG19+Planning!$AAH19+Planning!$ABG19+Planning!$ABH19,0)</f>
      </c>
      <c r="AB33" s="762">
        <f>IF(GetFillColor(AB33)&lt;0,Planning!$ABJ19+Planning!$ABK19+Planning!$ACJ19+Planning!$ACK19,0)</f>
      </c>
      <c r="AC33" s="761">
        <v>0</v>
      </c>
      <c r="AD33" s="761">
        <v>0</v>
      </c>
      <c r="AE33" s="762">
        <f>IF(GetFillColor(AE33)&lt;0,Planning!$AEV19+Planning!$AEW19+Planning!$AFV19+Planning!$AFW19,0)</f>
      </c>
      <c r="AF33" s="762">
        <f>IF(GetFillColor(AF33)&lt;0,Planning!$AFY19+Planning!$AFZ19+Planning!$AGY19+Planning!$AGZ19,0)</f>
      </c>
      <c r="AG33" s="762">
        <f>IF(GetFillColor(AG33)&lt;0,Planning!$AHB19+Planning!$AHC19+Planning!$AIB19+Planning!$AIC19,0)</f>
      </c>
      <c r="AH33" s="762">
        <f>IF(GetFillColor(AH33)&lt;0,Planning!$AIE19+Planning!$AIF19+Planning!$AJE19+Planning!$AJF19,0)</f>
      </c>
      <c r="AI33" s="762">
        <f>IF(GetFillColor(AI33)&lt;0,Planning!$AJH19+Planning!$AJI19+Planning!$AKH19+Planning!$AKI19,0)</f>
      </c>
      <c r="AJ33" s="761">
        <v>0</v>
      </c>
      <c r="AK33" s="760">
        <v>0</v>
      </c>
      <c r="AL33" s="698">
        <f>SUM(C33:AK33)</f>
      </c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</row>
    <row r="34" ht="20.25" customHeight="1" spans="1:50" x14ac:dyDescent="0.25">
      <c r="A34" s="4">
        <f>A11</f>
      </c>
      <c r="B34" s="4"/>
      <c r="C34" s="760">
        <f>IF(GetFillColor(C34)&lt;0,Planning!$D20+Planning!$E20+Planning!$AD20+Planning!$AE20,0)</f>
      </c>
      <c r="D34" s="760">
        <f>IF(GetFillColor(D34)&lt;0,Planning!$AG20+Planning!$AH20+Planning!$BG20+Planning!$BH20,0)</f>
      </c>
      <c r="E34" s="760">
        <f>IF(GetFillColor(E34)&lt;0,Planning!$BJ20+Planning!$BK20+Planning!$CJ20+Planning!$CK20,0)</f>
      </c>
      <c r="F34" s="761">
        <f>IF(GetFillColor(F34)&lt;0,Planning!$CM20+Planning!$CN20+Planning!$DM20+Planning!$DN20,0)</f>
      </c>
      <c r="G34" s="761">
        <f>IF(GetFillColor(G34)&lt;0,Planning!$DP20+Planning!$DQ20+Planning!$EP20+Planning!$EQ20,0)</f>
      </c>
      <c r="H34" s="761">
        <v>0</v>
      </c>
      <c r="I34" s="761">
        <v>0</v>
      </c>
      <c r="J34" s="762">
        <f>IF(GetFillColor(J34)&lt;0,Planning!$HB20+Planning!$HC20+Planning!$IB20+Planning!$IC20,0)</f>
      </c>
      <c r="K34" s="762">
        <f>IF(GetFillColor(K34)&lt;0,Planning!$IE20+Planning!$IF20+Planning!$JE20+Planning!$JF20,0)</f>
      </c>
      <c r="L34" s="762">
        <f>IF(GetFillColor(L34)&lt;0,Planning!$JH20+Planning!$JI20+Planning!$KH20+Planning!$KI20,0)</f>
      </c>
      <c r="M34" s="762">
        <f>IF(GetFillColor(M34)&lt;0,Planning!$KK20+Planning!$KL20+Planning!$LK20+Planning!$LL20,0)</f>
      </c>
      <c r="N34" s="762">
        <f>IF(GetFillColor(N34)&lt;0,Planning!$LN20+Planning!$LO20+Planning!$MN20+Planning!$MO20,0)</f>
      </c>
      <c r="O34" s="761">
        <v>0</v>
      </c>
      <c r="P34" s="761">
        <v>0</v>
      </c>
      <c r="Q34" s="762">
        <f>IF(GetFillColor(Q34)&lt;0,Planning!$OZ20+Planning!$PA20+Planning!$PZ20+Planning!$QA20,0)</f>
      </c>
      <c r="R34" s="762">
        <f>IF(GetFillColor(R34)&lt;0,Planning!$QC20+Planning!$QD20+Planning!$RC20+Planning!$RD20,0)</f>
      </c>
      <c r="S34" s="762">
        <f>IF(GetFillColor(S34)&lt;0,Planning!$RF20+Planning!$RG20+Planning!$SF20+Planning!$SG20,0)</f>
      </c>
      <c r="T34" s="762">
        <f>IF(GetFillColor(T34)&lt;0,Planning!$SI20+Planning!$SJ20+Planning!$TI20+Planning!$TJ20,0)</f>
      </c>
      <c r="U34" s="762">
        <f>IF(GetFillColor(U34)&lt;0,Planning!$TL20+Planning!$TM20+Planning!$UL20+Planning!$UM20,0)</f>
      </c>
      <c r="V34" s="761">
        <v>0</v>
      </c>
      <c r="W34" s="761">
        <v>0</v>
      </c>
      <c r="X34" s="762">
        <f>IF(GetFillColor(X34)&lt;0,Planning!$WX20+Planning!$WY20+Planning!$XX20+Planning!$XY20,0)</f>
      </c>
      <c r="Y34" s="762">
        <f>IF(GetFillColor(Y34)&lt;0,Planning!$YA20+Planning!$YB20+Planning!$ZA20+Planning!$ZB20,0)</f>
      </c>
      <c r="Z34" s="762">
        <f>IF(GetFillColor(Z34)&lt;0,Planning!$ZD20+Planning!$ZE20+Planning!$AAD20+Planning!$AAE20,0)</f>
      </c>
      <c r="AA34" s="762">
        <f>IF(GetFillColor(AA34)&lt;0,Planning!$AAG20+Planning!$AAH20+Planning!$ABG20+Planning!$ABH20,0)</f>
      </c>
      <c r="AB34" s="762">
        <f>IF(GetFillColor(AB34)&lt;0,Planning!$ABJ20+Planning!$ABK20+Planning!$ACJ20+Planning!$ACK20,0)</f>
      </c>
      <c r="AC34" s="761">
        <v>0</v>
      </c>
      <c r="AD34" s="761">
        <v>0</v>
      </c>
      <c r="AE34" s="762">
        <f>IF(GetFillColor(AE34)&lt;0,Planning!$AEV20+Planning!$AEW20+Planning!$AFV20+Planning!$AFW20,0)</f>
      </c>
      <c r="AF34" s="762">
        <f>IF(GetFillColor(AF34)&lt;0,Planning!$AFY20+Planning!$AFZ20+Planning!$AGY20+Planning!$AGZ20,0)</f>
      </c>
      <c r="AG34" s="762">
        <f>IF(GetFillColor(AG34)&lt;0,Planning!$AHB20+Planning!$AHC20+Planning!$AIB20+Planning!$AIC20,0)</f>
      </c>
      <c r="AH34" s="762">
        <f>IF(GetFillColor(AH34)&lt;0,Planning!$AIE20+Planning!$AIF20+Planning!$AJE20+Planning!$AJF20,0)</f>
      </c>
      <c r="AI34" s="762">
        <f>IF(GetFillColor(AI34)&lt;0,Planning!$AJH20+Planning!$AJI20+Planning!$AKH20+Planning!$AKI20,0)</f>
      </c>
      <c r="AJ34" s="761">
        <v>0</v>
      </c>
      <c r="AK34" s="760">
        <v>0</v>
      </c>
      <c r="AL34" s="698">
        <f>SUM(C34:AK34)</f>
      </c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</row>
    <row r="35" ht="20.25" customHeight="1" spans="1:50" x14ac:dyDescent="0.25">
      <c r="A35" s="4">
        <f>A12</f>
      </c>
      <c r="B35" s="4"/>
      <c r="C35" s="760">
        <f>IF(GetFillColor(C35)&lt;0,Planning!$D21+Planning!$E21+Planning!$AD21+Planning!$AE21,0)</f>
      </c>
      <c r="D35" s="760">
        <f>IF(GetFillColor(D35)&lt;0,Planning!$AG21+Planning!$AH21+Planning!$BG21+Planning!$BH21,0)</f>
      </c>
      <c r="E35" s="760">
        <f>IF(GetFillColor(E35)&lt;0,Planning!$BJ21+Planning!$BK21+Planning!$CJ21+Planning!$CK21,0)</f>
      </c>
      <c r="F35" s="761">
        <f>IF(GetFillColor(F35)&lt;0,Planning!$CM21+Planning!$CN21+Planning!$DM21+Planning!$DN21,0)</f>
      </c>
      <c r="G35" s="761">
        <f>IF(GetFillColor(G35)&lt;0,Planning!$DP21+Planning!$DQ21+Planning!$EP21+Planning!$EQ21,0)</f>
      </c>
      <c r="H35" s="761">
        <v>0</v>
      </c>
      <c r="I35" s="761">
        <v>0</v>
      </c>
      <c r="J35" s="762">
        <f>IF(GetFillColor(J35)&lt;0,Planning!$HB21+Planning!$HC21+Planning!$IB21+Planning!$IC21,0)</f>
      </c>
      <c r="K35" s="762">
        <f>IF(GetFillColor(K35)&lt;0,Planning!$IE21+Planning!$IF21+Planning!$JE21+Planning!$JF21,0)</f>
      </c>
      <c r="L35" s="762">
        <f>IF(GetFillColor(L35)&lt;0,Planning!$JH21+Planning!$JI21+Planning!$KH21+Planning!$KI21,0)</f>
      </c>
      <c r="M35" s="762">
        <f>IF(GetFillColor(M35)&lt;0,Planning!$KK21+Planning!$KL21+Planning!$LK21+Planning!$LL21,0)</f>
      </c>
      <c r="N35" s="762">
        <f>IF(GetFillColor(N35)&lt;0,Planning!$LN21+Planning!$LO21+Planning!$MN21+Planning!$MO21,0)</f>
      </c>
      <c r="O35" s="761">
        <v>0</v>
      </c>
      <c r="P35" s="761">
        <v>0</v>
      </c>
      <c r="Q35" s="762">
        <f>IF(GetFillColor(Q35)&lt;0,Planning!$OZ21+Planning!$PA21+Planning!$PZ21+Planning!$QA21,0)</f>
      </c>
      <c r="R35" s="762">
        <f>IF(GetFillColor(R35)&lt;0,Planning!$QC21+Planning!$QD21+Planning!$RC21+Planning!$RD21,0)</f>
      </c>
      <c r="S35" s="762">
        <f>IF(GetFillColor(S35)&lt;0,Planning!$RF21+Planning!$RG21+Planning!$SF21+Planning!$SG21,0)</f>
      </c>
      <c r="T35" s="762">
        <f>IF(GetFillColor(T35)&lt;0,Planning!$SI21+Planning!$SJ21+Planning!$TI21+Planning!$TJ21,0)</f>
      </c>
      <c r="U35" s="762">
        <f>IF(GetFillColor(U35)&lt;0,Planning!$TL21+Planning!$TM21+Planning!$UL21+Planning!$UM21,0)</f>
      </c>
      <c r="V35" s="761">
        <v>0</v>
      </c>
      <c r="W35" s="761">
        <v>0</v>
      </c>
      <c r="X35" s="762">
        <f>IF(GetFillColor(X35)&lt;0,Planning!$WX21+Planning!$WY21+Planning!$XX21+Planning!$XY21,0)</f>
      </c>
      <c r="Y35" s="762">
        <f>IF(GetFillColor(Y35)&lt;0,Planning!$YA21+Planning!$YB21+Planning!$ZA21+Planning!$ZB21,0)</f>
      </c>
      <c r="Z35" s="762">
        <f>IF(GetFillColor(Z35)&lt;0,Planning!$ZD21+Planning!$ZE21+Planning!$AAD21+Planning!$AAE21,0)</f>
      </c>
      <c r="AA35" s="762">
        <f>IF(GetFillColor(AA35)&lt;0,Planning!$AAG21+Planning!$AAH21+Planning!$ABG21+Planning!$ABH21,0)</f>
      </c>
      <c r="AB35" s="762">
        <f>IF(GetFillColor(AB35)&lt;0,Planning!$ABJ21+Planning!$ABK21+Planning!$ACJ21+Planning!$ACK21,0)</f>
      </c>
      <c r="AC35" s="761">
        <v>0</v>
      </c>
      <c r="AD35" s="761">
        <v>0</v>
      </c>
      <c r="AE35" s="762">
        <f>IF(GetFillColor(AE35)&lt;0,Planning!$AEV21+Planning!$AEW21+Planning!$AFV21+Planning!$AFW21,0)</f>
      </c>
      <c r="AF35" s="762">
        <f>IF(GetFillColor(AF35)&lt;0,Planning!$AFY21+Planning!$AFZ21+Planning!$AGY21+Planning!$AGZ21,0)</f>
      </c>
      <c r="AG35" s="762">
        <f>IF(GetFillColor(AG35)&lt;0,Planning!$AHB21+Planning!$AHC21+Planning!$AIB21+Planning!$AIC21,0)</f>
      </c>
      <c r="AH35" s="762">
        <f>IF(GetFillColor(AH35)&lt;0,Planning!$AIE21+Planning!$AIF21+Planning!$AJE21+Planning!$AJF21,0)</f>
      </c>
      <c r="AI35" s="762">
        <f>IF(GetFillColor(AI35)&lt;0,Planning!$AJH21+Planning!$AJI21+Planning!$AKH21+Planning!$AKI21,0)</f>
      </c>
      <c r="AJ35" s="761">
        <v>0</v>
      </c>
      <c r="AK35" s="760">
        <v>0</v>
      </c>
      <c r="AL35" s="698">
        <f>SUM(C35:AK35)</f>
      </c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</row>
    <row r="36" ht="20.25" customHeight="1" spans="1:50" x14ac:dyDescent="0.25">
      <c r="A36" s="4">
        <f>A13</f>
      </c>
      <c r="B36" s="4"/>
      <c r="C36" s="760">
        <f>IF(GetFillColor(C36)&lt;0,Planning!$D22+Planning!$E22+Planning!$AD22+Planning!$AE22,0)</f>
      </c>
      <c r="D36" s="760">
        <f>IF(GetFillColor(D36)&lt;0,Planning!$AG22+Planning!$AH22+Planning!$BG22+Planning!$BH22,0)</f>
      </c>
      <c r="E36" s="760">
        <f>IF(GetFillColor(E36)&lt;0,Planning!$BJ22+Planning!$BK22+Planning!$CJ22+Planning!$CK22,0)</f>
      </c>
      <c r="F36" s="761">
        <f>IF(GetFillColor(F36)&lt;0,Planning!$CM22+Planning!$CN22+Planning!$DM22+Planning!$DN22,0)</f>
      </c>
      <c r="G36" s="761">
        <f>IF(GetFillColor(G36)&lt;0,Planning!$DP22+Planning!$DQ22+Planning!$EP22+Planning!$EQ22,0)</f>
      </c>
      <c r="H36" s="761">
        <v>0</v>
      </c>
      <c r="I36" s="761">
        <v>0</v>
      </c>
      <c r="J36" s="762">
        <f>IF(GetFillColor(J36)&lt;0,Planning!$HB22+Planning!$HC22+Planning!$IB22+Planning!$IC22,0)</f>
      </c>
      <c r="K36" s="762">
        <f>IF(GetFillColor(K36)&lt;0,Planning!$IE22+Planning!$IF22+Planning!$JE22+Planning!$JF22,0)</f>
      </c>
      <c r="L36" s="762">
        <f>IF(GetFillColor(L36)&lt;0,Planning!$JH22+Planning!$JI22+Planning!$KH22+Planning!$KI22,0)</f>
      </c>
      <c r="M36" s="762">
        <f>IF(GetFillColor(M36)&lt;0,Planning!$KK22+Planning!$KL22+Planning!$LK22+Planning!$LL22,0)</f>
      </c>
      <c r="N36" s="762">
        <f>IF(GetFillColor(N36)&lt;0,Planning!$LN22+Planning!$LO22+Planning!$MN22+Planning!$MO22,0)</f>
      </c>
      <c r="O36" s="761">
        <v>0</v>
      </c>
      <c r="P36" s="761">
        <v>0</v>
      </c>
      <c r="Q36" s="762">
        <f>IF(GetFillColor(Q36)&lt;0,Planning!$OZ22+Planning!$PA22+Planning!$PZ22+Planning!$QA22,0)</f>
      </c>
      <c r="R36" s="762">
        <f>IF(GetFillColor(R36)&lt;0,Planning!$QC22+Planning!$QD22+Planning!$RC22+Planning!$RD22,0)</f>
      </c>
      <c r="S36" s="762">
        <f>IF(GetFillColor(S36)&lt;0,Planning!$RF22+Planning!$RG22+Planning!$SF22+Planning!$SG22,0)</f>
      </c>
      <c r="T36" s="762">
        <f>IF(GetFillColor(T36)&lt;0,Planning!$SI22+Planning!$SJ22+Planning!$TI22+Planning!$TJ22,0)</f>
      </c>
      <c r="U36" s="762">
        <f>IF(GetFillColor(U36)&lt;0,Planning!$TL22+Planning!$TM22+Planning!$UL22+Planning!$UM22,0)</f>
      </c>
      <c r="V36" s="761">
        <v>0</v>
      </c>
      <c r="W36" s="761">
        <v>0</v>
      </c>
      <c r="X36" s="762">
        <f>IF(GetFillColor(X36)&lt;0,Planning!$WX22+Planning!$WY22+Planning!$XX22+Planning!$XY22,0)</f>
      </c>
      <c r="Y36" s="762">
        <f>IF(GetFillColor(Y36)&lt;0,Planning!$YA22+Planning!$YB22+Planning!$ZA22+Planning!$ZB22,0)</f>
      </c>
      <c r="Z36" s="762">
        <f>IF(GetFillColor(Z36)&lt;0,Planning!$ZD22+Planning!$ZE22+Planning!$AAD22+Planning!$AAE22,0)</f>
      </c>
      <c r="AA36" s="762">
        <f>IF(GetFillColor(AA36)&lt;0,Planning!$AAG22+Planning!$AAH22+Planning!$ABG22+Planning!$ABH22,0)</f>
      </c>
      <c r="AB36" s="762">
        <f>IF(GetFillColor(AB36)&lt;0,Planning!$ABJ22+Planning!$ABK22+Planning!$ACJ22+Planning!$ACK22,0)</f>
      </c>
      <c r="AC36" s="761">
        <v>0</v>
      </c>
      <c r="AD36" s="761">
        <v>0</v>
      </c>
      <c r="AE36" s="762">
        <f>IF(GetFillColor(AE36)&lt;0,Planning!$AEV22+Planning!$AEW22+Planning!$AFV22+Planning!$AFW22,0)</f>
      </c>
      <c r="AF36" s="762">
        <f>IF(GetFillColor(AF36)&lt;0,Planning!$AFY22+Planning!$AFZ22+Planning!$AGY22+Planning!$AGZ22,0)</f>
      </c>
      <c r="AG36" s="762">
        <f>IF(GetFillColor(AG36)&lt;0,Planning!$AHB22+Planning!$AHC22+Planning!$AIB22+Planning!$AIC22,0)</f>
      </c>
      <c r="AH36" s="762">
        <f>IF(GetFillColor(AH36)&lt;0,Planning!$AIE22+Planning!$AIF22+Planning!$AJE22+Planning!$AJF22,0)</f>
      </c>
      <c r="AI36" s="762">
        <f>IF(GetFillColor(AI36)&lt;0,Planning!$AJH22+Planning!$AJI22+Planning!$AKH22+Planning!$AKI22,0)</f>
      </c>
      <c r="AJ36" s="761">
        <v>0</v>
      </c>
      <c r="AK36" s="760">
        <v>0</v>
      </c>
      <c r="AL36" s="698">
        <f>SUM(C36:AK36)</f>
      </c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</row>
    <row r="37" ht="20.25" customHeight="1" spans="1:50" x14ac:dyDescent="0.25">
      <c r="A37" s="4">
        <f>A14</f>
      </c>
      <c r="B37" s="4"/>
      <c r="C37" s="760">
        <f>IF(GetFillColor(C37)&lt;0,Planning!$D23+Planning!$E23+Planning!$AD23+Planning!$AE23,0)</f>
      </c>
      <c r="D37" s="760">
        <f>IF(GetFillColor(D37)&lt;0,Planning!$AG23+Planning!$AH23+Planning!$BG23+Planning!$BH23,0)</f>
      </c>
      <c r="E37" s="760">
        <f>IF(GetFillColor(E37)&lt;0,Planning!$BJ23+Planning!$BK23+Planning!$CJ23+Planning!$CK23,0)</f>
      </c>
      <c r="F37" s="761">
        <f>IF(GetFillColor(F37)&lt;0,Planning!$CM23+Planning!$CN23+Planning!$DM23+Planning!$DN23,0)</f>
      </c>
      <c r="G37" s="761">
        <f>IF(GetFillColor(G37)&lt;0,Planning!$DP23+Planning!$DQ23+Planning!$EP23+Planning!$EQ23,0)</f>
      </c>
      <c r="H37" s="761">
        <v>0</v>
      </c>
      <c r="I37" s="761">
        <v>0</v>
      </c>
      <c r="J37" s="762">
        <f>IF(GetFillColor(J37)&lt;0,Planning!$HB23+Planning!$HC23+Planning!$IB23+Planning!$IC23,0)</f>
      </c>
      <c r="K37" s="762">
        <f>IF(GetFillColor(K37)&lt;0,Planning!$IE23+Planning!$IF23+Planning!$JE23+Planning!$JF23,0)</f>
      </c>
      <c r="L37" s="762">
        <f>IF(GetFillColor(L37)&lt;0,Planning!$JH23+Planning!$JI23+Planning!$KH23+Planning!$KI23,0)</f>
      </c>
      <c r="M37" s="762">
        <f>IF(GetFillColor(M37)&lt;0,Planning!$KK23+Planning!$KL23+Planning!$LK23+Planning!$LL23,0)</f>
      </c>
      <c r="N37" s="762">
        <f>IF(GetFillColor(N37)&lt;0,Planning!$LN23+Planning!$LO23+Planning!$MN23+Planning!$MO23,0)</f>
      </c>
      <c r="O37" s="761">
        <v>0</v>
      </c>
      <c r="P37" s="761">
        <v>0</v>
      </c>
      <c r="Q37" s="762">
        <f>IF(GetFillColor(Q37)&lt;0,Planning!$OZ23+Planning!$PA23+Planning!$PZ23+Planning!$QA23,0)</f>
      </c>
      <c r="R37" s="762">
        <f>IF(GetFillColor(R37)&lt;0,Planning!$QC23+Planning!$QD23+Planning!$RC23+Planning!$RD23,0)</f>
      </c>
      <c r="S37" s="762">
        <f>IF(GetFillColor(S37)&lt;0,Planning!$RF23+Planning!$RG23+Planning!$SF23+Planning!$SG23,0)</f>
      </c>
      <c r="T37" s="762">
        <f>IF(GetFillColor(T37)&lt;0,Planning!$SI23+Planning!$SJ23+Planning!$TI23+Planning!$TJ23,0)</f>
      </c>
      <c r="U37" s="762">
        <f>IF(GetFillColor(U37)&lt;0,Planning!$TL23+Planning!$TM23+Planning!$UL23+Planning!$UM23,0)</f>
      </c>
      <c r="V37" s="761">
        <v>0</v>
      </c>
      <c r="W37" s="761">
        <v>0</v>
      </c>
      <c r="X37" s="762">
        <f>IF(GetFillColor(X37)&lt;0,Planning!$WX23+Planning!$WY23+Planning!$XX23+Planning!$XY23,0)</f>
      </c>
      <c r="Y37" s="762">
        <f>IF(GetFillColor(Y37)&lt;0,Planning!$YA23+Planning!$YB23+Planning!$ZA23+Planning!$ZB23,0)</f>
      </c>
      <c r="Z37" s="762">
        <f>IF(GetFillColor(Z37)&lt;0,Planning!$ZD23+Planning!$ZE23+Planning!$AAD23+Planning!$AAE23,0)</f>
      </c>
      <c r="AA37" s="762">
        <f>IF(GetFillColor(AA37)&lt;0,Planning!$AAG23+Planning!$AAH23+Planning!$ABG23+Planning!$ABH23,0)</f>
      </c>
      <c r="AB37" s="762">
        <f>IF(GetFillColor(AB37)&lt;0,Planning!$ABJ23+Planning!$ABK23+Planning!$ACJ23+Planning!$ACK23,0)</f>
      </c>
      <c r="AC37" s="761">
        <v>0</v>
      </c>
      <c r="AD37" s="761">
        <v>0</v>
      </c>
      <c r="AE37" s="762">
        <f>IF(GetFillColor(AE37)&lt;0,Planning!$AEV23+Planning!$AEW23+Planning!$AFV23+Planning!$AFW23,0)</f>
      </c>
      <c r="AF37" s="762">
        <f>IF(GetFillColor(AF37)&lt;0,Planning!$AFY23+Planning!$AFZ23+Planning!$AGY23+Planning!$AGZ23,0)</f>
      </c>
      <c r="AG37" s="762">
        <f>IF(GetFillColor(AG37)&lt;0,Planning!$AHB23+Planning!$AHC23+Planning!$AIB23+Planning!$AIC23,0)</f>
      </c>
      <c r="AH37" s="762">
        <f>IF(GetFillColor(AH37)&lt;0,Planning!$AIE23+Planning!$AIF23+Planning!$AJE23+Planning!$AJF23,0)</f>
      </c>
      <c r="AI37" s="762">
        <f>IF(GetFillColor(AI37)&lt;0,Planning!$AJH23+Planning!$AJI23+Planning!$AKH23+Planning!$AKI23,0)</f>
      </c>
      <c r="AJ37" s="761">
        <v>0</v>
      </c>
      <c r="AK37" s="760">
        <v>0</v>
      </c>
      <c r="AL37" s="698">
        <f>SUM(C37:AK37)</f>
      </c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</row>
    <row r="38" ht="20.25" customHeight="1" spans="1:50" x14ac:dyDescent="0.25">
      <c r="A38" s="4">
        <f>A15</f>
      </c>
      <c r="B38" s="4"/>
      <c r="C38" s="760">
        <f>IF(GetFillColor(C38)&lt;0,Planning!$D24+Planning!$E24+Planning!$AD24+Planning!$AE24,0)</f>
      </c>
      <c r="D38" s="760">
        <f>IF(GetFillColor(D38)&lt;0,Planning!$AG24+Planning!$AH24+Planning!$BG24+Planning!$BH24,0)</f>
      </c>
      <c r="E38" s="760">
        <f>IF(GetFillColor(E38)&lt;0,Planning!$BJ24+Planning!$BK24+Planning!$CJ24+Planning!$CK24,0)</f>
      </c>
      <c r="F38" s="761">
        <f>IF(GetFillColor(F38)&lt;0,Planning!$CM24+Planning!$CN24+Planning!$DM24+Planning!$DN24,0)</f>
      </c>
      <c r="G38" s="761">
        <f>IF(GetFillColor(G38)&lt;0,Planning!$DP24+Planning!$DQ24+Planning!$EP24+Planning!$EQ24,0)</f>
      </c>
      <c r="H38" s="761">
        <v>0</v>
      </c>
      <c r="I38" s="761">
        <v>0</v>
      </c>
      <c r="J38" s="762">
        <f>IF(GetFillColor(J38)&lt;0,Planning!$HB24+Planning!$HC24+Planning!$IB24+Planning!$IC24,0)</f>
      </c>
      <c r="K38" s="762">
        <f>IF(GetFillColor(K38)&lt;0,Planning!$IE24+Planning!$IF24+Planning!$JE24+Planning!$JF24,0)</f>
      </c>
      <c r="L38" s="762">
        <f>IF(GetFillColor(L38)&lt;0,Planning!$JH24+Planning!$JI24+Planning!$KH24+Planning!$KI24,0)</f>
      </c>
      <c r="M38" s="762">
        <f>IF(GetFillColor(M38)&lt;0,Planning!$KK24+Planning!$KL24+Planning!$LK24+Planning!$LL24,0)</f>
      </c>
      <c r="N38" s="762">
        <f>IF(GetFillColor(N38)&lt;0,Planning!$LN24+Planning!$LO24+Planning!$MN24+Planning!$MO24,0)</f>
      </c>
      <c r="O38" s="761">
        <v>0</v>
      </c>
      <c r="P38" s="761">
        <v>0</v>
      </c>
      <c r="Q38" s="762">
        <f>IF(GetFillColor(Q38)&lt;0,Planning!$OZ24+Planning!$PA24+Planning!$PZ24+Planning!$QA24,0)</f>
      </c>
      <c r="R38" s="762">
        <f>IF(GetFillColor(R38)&lt;0,Planning!$QC24+Planning!$QD24+Planning!$RC24+Planning!$RD24,0)</f>
      </c>
      <c r="S38" s="762">
        <f>IF(GetFillColor(S38)&lt;0,Planning!$RF24+Planning!$RG24+Planning!$SF24+Planning!$SG24,0)</f>
      </c>
      <c r="T38" s="762">
        <f>IF(GetFillColor(T38)&lt;0,Planning!$SI24+Planning!$SJ24+Planning!$TI24+Planning!$TJ24,0)</f>
      </c>
      <c r="U38" s="762">
        <f>IF(GetFillColor(U38)&lt;0,Planning!$TL24+Planning!$TM24+Planning!$UL24+Planning!$UM24,0)</f>
      </c>
      <c r="V38" s="761">
        <v>0</v>
      </c>
      <c r="W38" s="761">
        <v>0</v>
      </c>
      <c r="X38" s="762">
        <f>IF(GetFillColor(X38)&lt;0,Planning!$WX24+Planning!$WY24+Planning!$XX24+Planning!$XY24,0)</f>
      </c>
      <c r="Y38" s="762">
        <f>IF(GetFillColor(Y38)&lt;0,Planning!$YA24+Planning!$YB24+Planning!$ZA24+Planning!$ZB24,0)</f>
      </c>
      <c r="Z38" s="762">
        <f>IF(GetFillColor(Z38)&lt;0,Planning!$ZD24+Planning!$ZE24+Planning!$AAD24+Planning!$AAE24,0)</f>
      </c>
      <c r="AA38" s="762">
        <f>IF(GetFillColor(AA38)&lt;0,Planning!$AAG24+Planning!$AAH24+Planning!$ABG24+Planning!$ABH24,0)</f>
      </c>
      <c r="AB38" s="762">
        <f>IF(GetFillColor(AB38)&lt;0,Planning!$ABJ24+Planning!$ABK24+Planning!$ACJ24+Planning!$ACK24,0)</f>
      </c>
      <c r="AC38" s="761">
        <v>0</v>
      </c>
      <c r="AD38" s="761">
        <v>0</v>
      </c>
      <c r="AE38" s="762">
        <f>IF(GetFillColor(AE38)&lt;0,Planning!$AEV24+Planning!$AEW24+Planning!$AFV24+Planning!$AFW24,0)</f>
      </c>
      <c r="AF38" s="762">
        <f>IF(GetFillColor(AF38)&lt;0,Planning!$AFY24+Planning!$AFZ24+Planning!$AGY24+Planning!$AGZ24,0)</f>
      </c>
      <c r="AG38" s="762">
        <f>IF(GetFillColor(AG38)&lt;0,Planning!$AHB24+Planning!$AHC24+Planning!$AIB24+Planning!$AIC24,0)</f>
      </c>
      <c r="AH38" s="762">
        <f>IF(GetFillColor(AH38)&lt;0,Planning!$AIE24+Planning!$AIF24+Planning!$AJE24+Planning!$AJF24,0)</f>
      </c>
      <c r="AI38" s="762">
        <f>IF(GetFillColor(AI38)&lt;0,Planning!$AJH24+Planning!$AJI24+Planning!$AKH24+Planning!$AKI24,0)</f>
      </c>
      <c r="AJ38" s="761">
        <v>0</v>
      </c>
      <c r="AK38" s="760">
        <v>0</v>
      </c>
      <c r="AL38" s="698">
        <f>SUM(C38:AK38)</f>
      </c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</row>
    <row r="39" ht="20.25" customHeight="1" spans="1:50" x14ac:dyDescent="0.25">
      <c r="A39" s="4">
        <f>A16</f>
      </c>
      <c r="B39" s="4"/>
      <c r="C39" s="760">
        <f>IF(GetFillColor(C39)&lt;0,Planning!$D25+Planning!$E25+Planning!$AD25+Planning!$AE25,0)</f>
      </c>
      <c r="D39" s="760">
        <f>IF(GetFillColor(D39)&lt;0,Planning!$AG25+Planning!$AH25+Planning!$BG25+Planning!$BH25,0)</f>
      </c>
      <c r="E39" s="760">
        <f>IF(GetFillColor(E39)&lt;0,Planning!$BJ25+Planning!$BK25+Planning!$CJ25+Planning!$CK25,0)</f>
      </c>
      <c r="F39" s="761">
        <f>IF(GetFillColor(F39)&lt;0,Planning!$CM25+Planning!$CN25+Planning!$DM25+Planning!$DN25,0)</f>
      </c>
      <c r="G39" s="761">
        <f>IF(GetFillColor(G39)&lt;0,Planning!$DP25+Planning!$DQ25+Planning!$EP25+Planning!$EQ25,0)</f>
      </c>
      <c r="H39" s="761">
        <v>0</v>
      </c>
      <c r="I39" s="761">
        <v>0</v>
      </c>
      <c r="J39" s="762">
        <f>IF(GetFillColor(J39)&lt;0,Planning!$HB25+Planning!$HC25+Planning!$IB25+Planning!$IC25,0)</f>
      </c>
      <c r="K39" s="762">
        <f>IF(GetFillColor(K39)&lt;0,Planning!$IE25+Planning!$IF25+Planning!$JE25+Planning!$JF25,0)</f>
      </c>
      <c r="L39" s="762">
        <f>IF(GetFillColor(L39)&lt;0,Planning!$JH25+Planning!$JI25+Planning!$KH25+Planning!$KI25,0)</f>
      </c>
      <c r="M39" s="762">
        <f>IF(GetFillColor(M39)&lt;0,Planning!$KK25+Planning!$KL25+Planning!$LK25+Planning!$LL25,0)</f>
      </c>
      <c r="N39" s="762">
        <f>IF(GetFillColor(N39)&lt;0,Planning!$LN25+Planning!$LO25+Planning!$MN25+Planning!$MO25,0)</f>
      </c>
      <c r="O39" s="761">
        <v>0</v>
      </c>
      <c r="P39" s="761">
        <v>0</v>
      </c>
      <c r="Q39" s="762">
        <f>IF(GetFillColor(Q39)&lt;0,Planning!$OZ25+Planning!$PA25+Planning!$PZ25+Planning!$QA25,0)</f>
      </c>
      <c r="R39" s="762">
        <f>IF(GetFillColor(R39)&lt;0,Planning!$QC25+Planning!$QD25+Planning!$RC25+Planning!$RD25,0)</f>
      </c>
      <c r="S39" s="762">
        <f>IF(GetFillColor(S39)&lt;0,Planning!$RF25+Planning!$RG25+Planning!$SF25+Planning!$SG25,0)</f>
      </c>
      <c r="T39" s="762">
        <f>IF(GetFillColor(T39)&lt;0,Planning!$SI25+Planning!$SJ25+Planning!$TI25+Planning!$TJ25,0)</f>
      </c>
      <c r="U39" s="762">
        <f>IF(GetFillColor(U39)&lt;0,Planning!$TL25+Planning!$TM25+Planning!$UL25+Planning!$UM25,0)</f>
      </c>
      <c r="V39" s="761">
        <v>0</v>
      </c>
      <c r="W39" s="761">
        <v>0</v>
      </c>
      <c r="X39" s="762">
        <f>IF(GetFillColor(X39)&lt;0,Planning!$WX25+Planning!$WY25+Planning!$XX25+Planning!$XY25,0)</f>
      </c>
      <c r="Y39" s="762">
        <f>IF(GetFillColor(Y39)&lt;0,Planning!$YA25+Planning!$YB25+Planning!$ZA25+Planning!$ZB25,0)</f>
      </c>
      <c r="Z39" s="762">
        <f>IF(GetFillColor(Z39)&lt;0,Planning!$ZD25+Planning!$ZE25+Planning!$AAD25+Planning!$AAE25,0)</f>
      </c>
      <c r="AA39" s="762">
        <f>IF(GetFillColor(AA39)&lt;0,Planning!$AAG25+Planning!$AAH25+Planning!$ABG25+Planning!$ABH25,0)</f>
      </c>
      <c r="AB39" s="762">
        <f>IF(GetFillColor(AB39)&lt;0,Planning!$ABJ25+Planning!$ABK25+Planning!$ACJ25+Planning!$ACK25,0)</f>
      </c>
      <c r="AC39" s="761">
        <v>0</v>
      </c>
      <c r="AD39" s="761">
        <v>0</v>
      </c>
      <c r="AE39" s="762">
        <f>IF(GetFillColor(AE39)&lt;0,Planning!$AEV25+Planning!$AEW25+Planning!$AFV25+Planning!$AFW25,0)</f>
      </c>
      <c r="AF39" s="762">
        <f>IF(GetFillColor(AF39)&lt;0,Planning!$AFY25+Planning!$AFZ25+Planning!$AGY25+Planning!$AGZ25,0)</f>
      </c>
      <c r="AG39" s="762">
        <f>IF(GetFillColor(AG39)&lt;0,Planning!$AHB25+Planning!$AHC25+Planning!$AIB25+Planning!$AIC25,0)</f>
      </c>
      <c r="AH39" s="762">
        <f>IF(GetFillColor(AH39)&lt;0,Planning!$AIE25+Planning!$AIF25+Planning!$AJE25+Planning!$AJF25,0)</f>
      </c>
      <c r="AI39" s="762">
        <f>IF(GetFillColor(AI39)&lt;0,Planning!$AJH25+Planning!$AJI25+Planning!$AKH25+Planning!$AKI25,0)</f>
      </c>
      <c r="AJ39" s="761">
        <v>0</v>
      </c>
      <c r="AK39" s="760">
        <v>0</v>
      </c>
      <c r="AL39" s="698">
        <f>SUM(C39:AK39)</f>
      </c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</row>
    <row r="40" ht="20.25" customHeight="1" spans="1:50" x14ac:dyDescent="0.25">
      <c r="A40" s="4">
        <f>A17</f>
      </c>
      <c r="B40" s="4"/>
      <c r="C40" s="760">
        <f>IF(GetFillColor(C40)&lt;0,Planning!$D26+Planning!$E26+Planning!$AD26+Planning!$AE26,0)</f>
      </c>
      <c r="D40" s="760">
        <f>IF(GetFillColor(D40)&lt;0,Planning!$AG26+Planning!$AH26+Planning!$BG26+Planning!$BH26,0)</f>
      </c>
      <c r="E40" s="760">
        <f>IF(GetFillColor(E40)&lt;0,Planning!$BJ26+Planning!$BK26+Planning!$CJ26+Planning!$CK26,0)</f>
      </c>
      <c r="F40" s="761">
        <f>IF(GetFillColor(F40)&lt;0,Planning!$CM26+Planning!$CN26+Planning!$DM26+Planning!$DN26,0)</f>
      </c>
      <c r="G40" s="761">
        <f>IF(GetFillColor(G40)&lt;0,Planning!$DP26+Planning!$DQ26+Planning!$EP26+Planning!$EQ26,0)</f>
      </c>
      <c r="H40" s="761">
        <v>0</v>
      </c>
      <c r="I40" s="761">
        <v>0</v>
      </c>
      <c r="J40" s="762">
        <f>IF(GetFillColor(J40)&lt;0,Planning!$HB26+Planning!$HC26+Planning!$IB26+Planning!$IC26,0)</f>
      </c>
      <c r="K40" s="762">
        <f>IF(GetFillColor(K40)&lt;0,Planning!$IE26+Planning!$IF26+Planning!$JE26+Planning!$JF26,0)</f>
      </c>
      <c r="L40" s="762">
        <f>IF(GetFillColor(L40)&lt;0,Planning!$JH26+Planning!$JI26+Planning!$KH26+Planning!$KI26,0)</f>
      </c>
      <c r="M40" s="762">
        <f>IF(GetFillColor(M40)&lt;0,Planning!$KK26+Planning!$KL26+Planning!$LK26+Planning!$LL26,0)</f>
      </c>
      <c r="N40" s="762">
        <f>IF(GetFillColor(N40)&lt;0,Planning!$LN26+Planning!$LO26+Planning!$MN26+Planning!$MO26,0)</f>
      </c>
      <c r="O40" s="761">
        <v>0</v>
      </c>
      <c r="P40" s="761">
        <v>0</v>
      </c>
      <c r="Q40" s="762">
        <f>IF(GetFillColor(Q40)&lt;0,Planning!$OZ26+Planning!$PA26+Planning!$PZ26+Planning!$QA26,0)</f>
      </c>
      <c r="R40" s="762">
        <f>IF(GetFillColor(R40)&lt;0,Planning!$QC26+Planning!$QD26+Planning!$RC26+Planning!$RD26,0)</f>
      </c>
      <c r="S40" s="762">
        <f>IF(GetFillColor(S40)&lt;0,Planning!$RF26+Planning!$RG26+Planning!$SF26+Planning!$SG26,0)</f>
      </c>
      <c r="T40" s="762">
        <f>IF(GetFillColor(T40)&lt;0,Planning!$SI26+Planning!$SJ26+Planning!$TI26+Planning!$TJ26,0)</f>
      </c>
      <c r="U40" s="762">
        <f>IF(GetFillColor(U40)&lt;0,Planning!$TL26+Planning!$TM26+Planning!$UL26+Planning!$UM26,0)</f>
      </c>
      <c r="V40" s="761">
        <v>0</v>
      </c>
      <c r="W40" s="761">
        <v>0</v>
      </c>
      <c r="X40" s="762">
        <f>IF(GetFillColor(X40)&lt;0,Planning!$WX26+Planning!$WY26+Planning!$XX26+Planning!$XY26,0)</f>
      </c>
      <c r="Y40" s="762">
        <f>IF(GetFillColor(Y40)&lt;0,Planning!$YA26+Planning!$YB26+Planning!$ZA26+Planning!$ZB26,0)</f>
      </c>
      <c r="Z40" s="762">
        <f>IF(GetFillColor(Z40)&lt;0,Planning!$ZD26+Planning!$ZE26+Planning!$AAD26+Planning!$AAE26,0)</f>
      </c>
      <c r="AA40" s="762">
        <f>IF(GetFillColor(AA40)&lt;0,Planning!$AAG26+Planning!$AAH26+Planning!$ABG26+Planning!$ABH26,0)</f>
      </c>
      <c r="AB40" s="762">
        <f>IF(GetFillColor(AB40)&lt;0,Planning!$ABJ26+Planning!$ABK26+Planning!$ACJ26+Planning!$ACK26,0)</f>
      </c>
      <c r="AC40" s="761">
        <v>0</v>
      </c>
      <c r="AD40" s="761">
        <v>0</v>
      </c>
      <c r="AE40" s="762">
        <f>IF(GetFillColor(AE40)&lt;0,Planning!$AEV26+Planning!$AEW26+Planning!$AFV26+Planning!$AFW26,0)</f>
      </c>
      <c r="AF40" s="762">
        <f>IF(GetFillColor(AF40)&lt;0,Planning!$AFY26+Planning!$AFZ26+Planning!$AGY26+Planning!$AGZ26,0)</f>
      </c>
      <c r="AG40" s="762">
        <f>IF(GetFillColor(AG40)&lt;0,Planning!$AHB26+Planning!$AHC26+Planning!$AIB26+Planning!$AIC26,0)</f>
      </c>
      <c r="AH40" s="762">
        <f>IF(GetFillColor(AH40)&lt;0,Planning!$AIE26+Planning!$AIF26+Planning!$AJE26+Planning!$AJF26,0)</f>
      </c>
      <c r="AI40" s="762">
        <f>IF(GetFillColor(AI40)&lt;0,Planning!$AJH26+Planning!$AJI26+Planning!$AKH26+Planning!$AKI26,0)</f>
      </c>
      <c r="AJ40" s="761">
        <v>0</v>
      </c>
      <c r="AK40" s="760">
        <v>0</v>
      </c>
      <c r="AL40" s="698">
        <f>SUM(C40:AK40)</f>
      </c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</row>
    <row r="41" ht="20.25" customHeight="1" spans="1:50" x14ac:dyDescent="0.25">
      <c r="A41" s="4">
        <f>A18</f>
      </c>
      <c r="B41" s="4"/>
      <c r="C41" s="760">
        <f>IF(GetFillColor(C41)&lt;0,Planning!$D27+Planning!$E27+Planning!$AD27+Planning!$AE27,0)</f>
      </c>
      <c r="D41" s="760">
        <f>IF(GetFillColor(D41)&lt;0,Planning!$AG27+Planning!$AH27+Planning!$BG27+Planning!$BH27,0)</f>
      </c>
      <c r="E41" s="760">
        <f>IF(GetFillColor(E41)&lt;0,Planning!$BJ27+Planning!$BK27+Planning!$CJ27+Planning!$CK27,0)</f>
      </c>
      <c r="F41" s="761">
        <f>IF(GetFillColor(F41)&lt;0,Planning!$CM27+Planning!$CN27+Planning!$DM27+Planning!$DN27,0)</f>
      </c>
      <c r="G41" s="761">
        <f>IF(GetFillColor(G41)&lt;0,Planning!$DP27+Planning!$DQ27+Planning!$EP27+Planning!$EQ27,0)</f>
      </c>
      <c r="H41" s="761">
        <v>0</v>
      </c>
      <c r="I41" s="761">
        <v>0</v>
      </c>
      <c r="J41" s="762">
        <f>IF(GetFillColor(J41)&lt;0,Planning!$HB27+Planning!$HC27+Planning!$IB27+Planning!$IC27,0)</f>
      </c>
      <c r="K41" s="762">
        <f>IF(GetFillColor(K41)&lt;0,Planning!$IE27+Planning!$IF27+Planning!$JE27+Planning!$JF27,0)</f>
      </c>
      <c r="L41" s="762">
        <f>IF(GetFillColor(L41)&lt;0,Planning!$JH27+Planning!$JI27+Planning!$KH27+Planning!$KI27,0)</f>
      </c>
      <c r="M41" s="762">
        <f>IF(GetFillColor(M41)&lt;0,Planning!$KK27+Planning!$KL27+Planning!$LK27+Planning!$LL27,0)</f>
      </c>
      <c r="N41" s="762">
        <f>IF(GetFillColor(N41)&lt;0,Planning!$LN27+Planning!$LO27+Planning!$MN27+Planning!$MO27,0)</f>
      </c>
      <c r="O41" s="761">
        <v>0</v>
      </c>
      <c r="P41" s="761">
        <v>0</v>
      </c>
      <c r="Q41" s="762">
        <f>IF(GetFillColor(Q41)&lt;0,Planning!$OZ27+Planning!$PA27+Planning!$PZ27+Planning!$QA27,0)</f>
      </c>
      <c r="R41" s="762">
        <f>IF(GetFillColor(R41)&lt;0,Planning!$QC27+Planning!$QD27+Planning!$RC27+Planning!$RD27,0)</f>
      </c>
      <c r="S41" s="762">
        <f>IF(GetFillColor(S41)&lt;0,Planning!$RF27+Planning!$RG27+Planning!$SF27+Planning!$SG27,0)</f>
      </c>
      <c r="T41" s="762">
        <f>IF(GetFillColor(T41)&lt;0,Planning!$SI27+Planning!$SJ27+Planning!$TI27+Planning!$TJ27,0)</f>
      </c>
      <c r="U41" s="762">
        <f>IF(GetFillColor(U41)&lt;0,Planning!$TL27+Planning!$TM27+Planning!$UL27+Planning!$UM27,0)</f>
      </c>
      <c r="V41" s="761">
        <v>0</v>
      </c>
      <c r="W41" s="761">
        <v>0</v>
      </c>
      <c r="X41" s="762">
        <f>IF(GetFillColor(X41)&lt;0,Planning!$WX27+Planning!$WY27+Planning!$XX27+Planning!$XY27,0)</f>
      </c>
      <c r="Y41" s="762">
        <f>IF(GetFillColor(Y41)&lt;0,Planning!$YA27+Planning!$YB27+Planning!$ZA27+Planning!$ZB27,0)</f>
      </c>
      <c r="Z41" s="762">
        <f>IF(GetFillColor(Z41)&lt;0,Planning!$ZD27+Planning!$ZE27+Planning!$AAD27+Planning!$AAE27,0)</f>
      </c>
      <c r="AA41" s="762">
        <f>IF(GetFillColor(AA41)&lt;0,Planning!$AAG27+Planning!$AAH27+Planning!$ABG27+Planning!$ABH27,0)</f>
      </c>
      <c r="AB41" s="762">
        <f>IF(GetFillColor(AB41)&lt;0,Planning!$ABJ27+Planning!$ABK27+Planning!$ACJ27+Planning!$ACK27,0)</f>
      </c>
      <c r="AC41" s="761">
        <v>0</v>
      </c>
      <c r="AD41" s="761">
        <v>0</v>
      </c>
      <c r="AE41" s="762">
        <f>IF(GetFillColor(AE41)&lt;0,Planning!$AEV27+Planning!$AEW27+Planning!$AFV27+Planning!$AFW27,0)</f>
      </c>
      <c r="AF41" s="762">
        <f>IF(GetFillColor(AF41)&lt;0,Planning!$AFY27+Planning!$AFZ27+Planning!$AGY27+Planning!$AGZ27,0)</f>
      </c>
      <c r="AG41" s="762">
        <f>IF(GetFillColor(AG41)&lt;0,Planning!$AHB27+Planning!$AHC27+Planning!$AIB27+Planning!$AIC27,0)</f>
      </c>
      <c r="AH41" s="762">
        <f>IF(GetFillColor(AH41)&lt;0,Planning!$AIE27+Planning!$AIF27+Planning!$AJE27+Planning!$AJF27,0)</f>
      </c>
      <c r="AI41" s="762">
        <f>IF(GetFillColor(AI41)&lt;0,Planning!$AJH27+Planning!$AJI27+Planning!$AKH27+Planning!$AKI27,0)</f>
      </c>
      <c r="AJ41" s="761">
        <v>0</v>
      </c>
      <c r="AK41" s="760">
        <v>0</v>
      </c>
      <c r="AL41" s="698">
        <f>SUM(C41:AK41)</f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</row>
    <row r="42" ht="20.25" customHeight="1" spans="1:50" x14ac:dyDescent="0.25">
      <c r="A42" s="4">
        <f>A19</f>
      </c>
      <c r="B42" s="4"/>
      <c r="C42" s="760">
        <f>IF(GetFillColor(C42)&lt;0,Planning!$D28+Planning!$E28+Planning!$AD28+Planning!$AE28,0)</f>
      </c>
      <c r="D42" s="760">
        <f>IF(GetFillColor(D42)&lt;0,Planning!$AG28+Planning!$AH28+Planning!$BG28+Planning!$BH28,0)</f>
      </c>
      <c r="E42" s="760">
        <f>IF(GetFillColor(E42)&lt;0,Planning!$BJ28+Planning!$BK28+Planning!$CJ28+Planning!$CK28,0)</f>
      </c>
      <c r="F42" s="761">
        <f>IF(GetFillColor(F42)&lt;0,Planning!$CM28+Planning!$CN28+Planning!$DM28+Planning!$DN28,0)</f>
      </c>
      <c r="G42" s="761">
        <f>IF(GetFillColor(G42)&lt;0,Planning!$DP28+Planning!$DQ28+Planning!$EP28+Planning!$EQ28,0)</f>
      </c>
      <c r="H42" s="761">
        <v>0</v>
      </c>
      <c r="I42" s="761">
        <v>0</v>
      </c>
      <c r="J42" s="762">
        <f>IF(GetFillColor(J42)&lt;0,Planning!$HB28+Planning!$HC28+Planning!$IB28+Planning!$IC28,0)</f>
      </c>
      <c r="K42" s="762">
        <f>IF(GetFillColor(K42)&lt;0,Planning!$IE28+Planning!$IF28+Planning!$JE28+Planning!$JF28,0)</f>
      </c>
      <c r="L42" s="762">
        <f>IF(GetFillColor(L42)&lt;0,Planning!$JH28+Planning!$JI28+Planning!$KH28+Planning!$KI28,0)</f>
      </c>
      <c r="M42" s="762">
        <f>IF(GetFillColor(M42)&lt;0,Planning!$KK28+Planning!$KL28+Planning!$LK28+Planning!$LL28,0)</f>
      </c>
      <c r="N42" s="762">
        <f>IF(GetFillColor(N42)&lt;0,Planning!$LN28+Planning!$LO28+Planning!$MN28+Planning!$MO28,0)</f>
      </c>
      <c r="O42" s="761">
        <v>0</v>
      </c>
      <c r="P42" s="761">
        <v>0</v>
      </c>
      <c r="Q42" s="762">
        <f>IF(GetFillColor(Q42)&lt;0,Planning!$OZ28+Planning!$PA28+Planning!$PZ28+Planning!$QA28,0)</f>
      </c>
      <c r="R42" s="762">
        <f>IF(GetFillColor(R42)&lt;0,Planning!$QC28+Planning!$QD28+Planning!$RC28+Planning!$RD28,0)</f>
      </c>
      <c r="S42" s="762">
        <f>IF(GetFillColor(S42)&lt;0,Planning!$RF28+Planning!$RG28+Planning!$SF28+Planning!$SG28,0)</f>
      </c>
      <c r="T42" s="762">
        <f>IF(GetFillColor(T42)&lt;0,Planning!$SI28+Planning!$SJ28+Planning!$TI28+Planning!$TJ28,0)</f>
      </c>
      <c r="U42" s="762">
        <f>IF(GetFillColor(U42)&lt;0,Planning!$TL28+Planning!$TM28+Planning!$UL28+Planning!$UM28,0)</f>
      </c>
      <c r="V42" s="761">
        <v>0</v>
      </c>
      <c r="W42" s="761">
        <v>0</v>
      </c>
      <c r="X42" s="762">
        <f>IF(GetFillColor(X42)&lt;0,Planning!$WX28+Planning!$WY28+Planning!$XX28+Planning!$XY28,0)</f>
      </c>
      <c r="Y42" s="762">
        <f>IF(GetFillColor(Y42)&lt;0,Planning!$YA28+Planning!$YB28+Planning!$ZA28+Planning!$ZB28,0)</f>
      </c>
      <c r="Z42" s="762">
        <f>IF(GetFillColor(Z42)&lt;0,Planning!$ZD28+Planning!$ZE28+Planning!$AAD28+Planning!$AAE28,0)</f>
      </c>
      <c r="AA42" s="762">
        <f>IF(GetFillColor(AA42)&lt;0,Planning!$AAG28+Planning!$AAH28+Planning!$ABG28+Planning!$ABH28,0)</f>
      </c>
      <c r="AB42" s="762">
        <f>IF(GetFillColor(AB42)&lt;0,Planning!$ABJ28+Planning!$ABK28+Planning!$ACJ28+Planning!$ACK28,0)</f>
      </c>
      <c r="AC42" s="761">
        <v>0</v>
      </c>
      <c r="AD42" s="761">
        <v>0</v>
      </c>
      <c r="AE42" s="762">
        <f>IF(GetFillColor(AE42)&lt;0,Planning!$AEV28+Planning!$AEW28+Planning!$AFV28+Planning!$AFW28,0)</f>
      </c>
      <c r="AF42" s="762">
        <f>IF(GetFillColor(AF42)&lt;0,Planning!$AFY28+Planning!$AFZ28+Planning!$AGY28+Planning!$AGZ28,0)</f>
      </c>
      <c r="AG42" s="762">
        <f>IF(GetFillColor(AG42)&lt;0,Planning!$AHB28+Planning!$AHC28+Planning!$AIB28+Planning!$AIC28,0)</f>
      </c>
      <c r="AH42" s="762">
        <f>IF(GetFillColor(AH42)&lt;0,Planning!$AIE28+Planning!$AIF28+Planning!$AJE28+Planning!$AJF28,0)</f>
      </c>
      <c r="AI42" s="762">
        <f>IF(GetFillColor(AI42)&lt;0,Planning!$AJH28+Planning!$AJI28+Planning!$AKH28+Planning!$AKI28,0)</f>
      </c>
      <c r="AJ42" s="761">
        <v>0</v>
      </c>
      <c r="AK42" s="760">
        <v>0</v>
      </c>
      <c r="AL42" s="698">
        <f>SUM(C42:AK42)</f>
      </c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</row>
    <row r="43" ht="20.25" customHeight="1" spans="1:50" x14ac:dyDescent="0.25">
      <c r="A43" s="4">
        <f>A20</f>
      </c>
      <c r="B43" s="4"/>
      <c r="C43" s="760">
        <f>IF(GetFillColor(C43)&lt;0,Planning!$D29+Planning!$E29+Planning!$AD29+Planning!$AE29,0)</f>
      </c>
      <c r="D43" s="760">
        <f>IF(GetFillColor(D43)&lt;0,Planning!$AG29+Planning!$AH29+Planning!$BG29+Planning!$BH29,0)</f>
      </c>
      <c r="E43" s="760">
        <f>IF(GetFillColor(E43)&lt;0,Planning!$BJ29+Planning!$BK29+Planning!$CJ29+Planning!$CK29,0)</f>
      </c>
      <c r="F43" s="761">
        <f>IF(GetFillColor(F43)&lt;0,Planning!$CM29+Planning!$CN29+Planning!$DM29+Planning!$DN29,0)</f>
      </c>
      <c r="G43" s="761">
        <f>IF(GetFillColor(G43)&lt;0,Planning!$DP29+Planning!$DQ29+Planning!$EP29+Planning!$EQ29,0)</f>
      </c>
      <c r="H43" s="761">
        <v>0</v>
      </c>
      <c r="I43" s="761">
        <v>0</v>
      </c>
      <c r="J43" s="762">
        <f>IF(GetFillColor(J43)&lt;0,Planning!$HB29+Planning!$HC29+Planning!$IB29+Planning!$IC29,0)</f>
      </c>
      <c r="K43" s="762">
        <f>IF(GetFillColor(K43)&lt;0,Planning!$IE29+Planning!$IF29+Planning!$JE29+Planning!$JF29,0)</f>
      </c>
      <c r="L43" s="762">
        <f>IF(GetFillColor(L43)&lt;0,Planning!$JH29+Planning!$JI29+Planning!$KH29+Planning!$KI29,0)</f>
      </c>
      <c r="M43" s="762">
        <f>IF(GetFillColor(M43)&lt;0,Planning!$KK29+Planning!$KL29+Planning!$LK29+Planning!$LL29,0)</f>
      </c>
      <c r="N43" s="762">
        <f>IF(GetFillColor(N43)&lt;0,Planning!$LN29+Planning!$LO29+Planning!$MN29+Planning!$MO29,0)</f>
      </c>
      <c r="O43" s="761">
        <v>0</v>
      </c>
      <c r="P43" s="761">
        <v>0</v>
      </c>
      <c r="Q43" s="762">
        <f>IF(GetFillColor(Q43)&lt;0,Planning!$OZ29+Planning!$PA29+Planning!$PZ29+Planning!$QA29,0)</f>
      </c>
      <c r="R43" s="762">
        <f>IF(GetFillColor(R43)&lt;0,Planning!$QC29+Planning!$QD29+Planning!$RC29+Planning!$RD29,0)</f>
      </c>
      <c r="S43" s="762">
        <f>IF(GetFillColor(S43)&lt;0,Planning!$RF29+Planning!$RG29+Planning!$SF29+Planning!$SG29,0)</f>
      </c>
      <c r="T43" s="762">
        <f>IF(GetFillColor(T43)&lt;0,Planning!$SI29+Planning!$SJ29+Planning!$TI29+Planning!$TJ29,0)</f>
      </c>
      <c r="U43" s="762">
        <f>IF(GetFillColor(U43)&lt;0,Planning!$TL29+Planning!$TM29+Planning!$UL29+Planning!$UM29,0)</f>
      </c>
      <c r="V43" s="761">
        <v>0</v>
      </c>
      <c r="W43" s="761">
        <v>0</v>
      </c>
      <c r="X43" s="762">
        <f>IF(GetFillColor(X43)&lt;0,Planning!$WX29+Planning!$WY29+Planning!$XX29+Planning!$XY29,0)</f>
      </c>
      <c r="Y43" s="762">
        <f>IF(GetFillColor(Y43)&lt;0,Planning!$YA29+Planning!$YB29+Planning!$ZA29+Planning!$ZB29,0)</f>
      </c>
      <c r="Z43" s="762">
        <f>IF(GetFillColor(Z43)&lt;0,Planning!$ZD29+Planning!$ZE29+Planning!$AAD29+Planning!$AAE29,0)</f>
      </c>
      <c r="AA43" s="762">
        <f>IF(GetFillColor(AA43)&lt;0,Planning!$AAG29+Planning!$AAH29+Planning!$ABG29+Planning!$ABH29,0)</f>
      </c>
      <c r="AB43" s="762">
        <f>IF(GetFillColor(AB43)&lt;0,Planning!$ABJ29+Planning!$ABK29+Planning!$ACJ29+Planning!$ACK29,0)</f>
      </c>
      <c r="AC43" s="761">
        <v>0</v>
      </c>
      <c r="AD43" s="761">
        <v>0</v>
      </c>
      <c r="AE43" s="762">
        <f>IF(GetFillColor(AE43)&lt;0,Planning!$AEV29+Planning!$AEW29+Planning!$AFV29+Planning!$AFW29,0)</f>
      </c>
      <c r="AF43" s="762">
        <f>IF(GetFillColor(AF43)&lt;0,Planning!$AFY29+Planning!$AFZ29+Planning!$AGY29+Planning!$AGZ29,0)</f>
      </c>
      <c r="AG43" s="762">
        <f>IF(GetFillColor(AG43)&lt;0,Planning!$AHB29+Planning!$AHC29+Planning!$AIB29+Planning!$AIC29,0)</f>
      </c>
      <c r="AH43" s="762">
        <f>IF(GetFillColor(AH43)&lt;0,Planning!$AIE29+Planning!$AIF29+Planning!$AJE29+Planning!$AJF29,0)</f>
      </c>
      <c r="AI43" s="762">
        <f>IF(GetFillColor(AI43)&lt;0,Planning!$AJH29+Planning!$AJI29+Planning!$AKH29+Planning!$AKI29,0)</f>
      </c>
      <c r="AJ43" s="761">
        <v>0</v>
      </c>
      <c r="AK43" s="760">
        <v>0</v>
      </c>
      <c r="AL43" s="698">
        <f>SUM(C43:AK43)</f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</row>
    <row r="44" ht="20.25" customHeight="1" spans="1:50" x14ac:dyDescent="0.25">
      <c r="A44" s="4">
        <f>A21</f>
      </c>
      <c r="B44" s="4"/>
      <c r="C44" s="760">
        <f>IF(GetFillColor(C44)&lt;0,Planning!$D30+Planning!$E30+Planning!$AD30+Planning!$AE30,0)</f>
      </c>
      <c r="D44" s="760">
        <f>IF(GetFillColor(D44)&lt;0,Planning!$AG30+Planning!$AH30+Planning!$BG30+Planning!$BH30,0)</f>
      </c>
      <c r="E44" s="760">
        <f>IF(GetFillColor(E44)&lt;0,Planning!$BJ30+Planning!$BK30+Planning!$CJ30+Planning!$CK30,0)</f>
      </c>
      <c r="F44" s="761">
        <f>IF(GetFillColor(F44)&lt;0,Planning!$CM30+Planning!$CN30+Planning!$DM30+Planning!$DN30,0)</f>
      </c>
      <c r="G44" s="761">
        <f>IF(GetFillColor(G44)&lt;0,Planning!$DP30+Planning!$DQ30+Planning!$EP30+Planning!$EQ30,0)</f>
      </c>
      <c r="H44" s="761">
        <v>0</v>
      </c>
      <c r="I44" s="761">
        <v>0</v>
      </c>
      <c r="J44" s="762">
        <f>IF(GetFillColor(J44)&lt;0,Planning!$HB30+Planning!$HC30+Planning!$IB30+Planning!$IC30,0)</f>
      </c>
      <c r="K44" s="762">
        <f>IF(GetFillColor(K44)&lt;0,Planning!$IE30+Planning!$IF30+Planning!$JE30+Planning!$JF30,0)</f>
      </c>
      <c r="L44" s="762">
        <f>IF(GetFillColor(L44)&lt;0,Planning!$JH30+Planning!$JI30+Planning!$KH30+Planning!$KI30,0)</f>
      </c>
      <c r="M44" s="762">
        <f>IF(GetFillColor(M44)&lt;0,Planning!$KK30+Planning!$KL30+Planning!$LK30+Planning!$LL30,0)</f>
      </c>
      <c r="N44" s="762">
        <f>IF(GetFillColor(N44)&lt;0,Planning!$LN30+Planning!$LO30+Planning!$MN30+Planning!$MO30,0)</f>
      </c>
      <c r="O44" s="761">
        <v>0</v>
      </c>
      <c r="P44" s="761">
        <v>0</v>
      </c>
      <c r="Q44" s="762">
        <f>IF(GetFillColor(Q44)&lt;0,Planning!$OZ30+Planning!$PA30+Planning!$PZ30+Planning!$QA30,0)</f>
      </c>
      <c r="R44" s="762">
        <f>IF(GetFillColor(R44)&lt;0,Planning!$QC30+Planning!$QD30+Planning!$RC30+Planning!$RD30,0)</f>
      </c>
      <c r="S44" s="762">
        <f>IF(GetFillColor(S44)&lt;0,Planning!$RF30+Planning!$RG30+Planning!$SF30+Planning!$SG30,0)</f>
      </c>
      <c r="T44" s="762">
        <f>IF(GetFillColor(T44)&lt;0,Planning!$SI30+Planning!$SJ30+Planning!$TI30+Planning!$TJ30,0)</f>
      </c>
      <c r="U44" s="762">
        <f>IF(GetFillColor(U44)&lt;0,Planning!$TL30+Planning!$TM30+Planning!$UL30+Planning!$UM30,0)</f>
      </c>
      <c r="V44" s="761">
        <v>0</v>
      </c>
      <c r="W44" s="761">
        <v>0</v>
      </c>
      <c r="X44" s="762">
        <f>IF(GetFillColor(X44)&lt;0,Planning!$WX30+Planning!$WY30+Planning!$XX30+Planning!$XY30,0)</f>
      </c>
      <c r="Y44" s="762">
        <f>IF(GetFillColor(Y44)&lt;0,Planning!$YA30+Planning!$YB30+Planning!$ZA30+Planning!$ZB30,0)</f>
      </c>
      <c r="Z44" s="762">
        <f>IF(GetFillColor(Z44)&lt;0,Planning!$ZD30+Planning!$ZE30+Planning!$AAD30+Planning!$AAE30,0)</f>
      </c>
      <c r="AA44" s="762">
        <f>IF(GetFillColor(AA44)&lt;0,Planning!$AAG30+Planning!$AAH30+Planning!$ABG30+Planning!$ABH30,0)</f>
      </c>
      <c r="AB44" s="762">
        <f>IF(GetFillColor(AB44)&lt;0,Planning!$ABJ30+Planning!$ABK30+Planning!$ACJ30+Planning!$ACK30,0)</f>
      </c>
      <c r="AC44" s="761">
        <v>0</v>
      </c>
      <c r="AD44" s="761">
        <v>0</v>
      </c>
      <c r="AE44" s="762">
        <f>IF(GetFillColor(AE44)&lt;0,Planning!$AEV30+Planning!$AEW30+Planning!$AFV30+Planning!$AFW30,0)</f>
      </c>
      <c r="AF44" s="762">
        <f>IF(GetFillColor(AF44)&lt;0,Planning!$AFY30+Planning!$AFZ30+Planning!$AGY30+Planning!$AGZ30,0)</f>
      </c>
      <c r="AG44" s="762">
        <f>IF(GetFillColor(AG44)&lt;0,Planning!$AHB30+Planning!$AHC30+Planning!$AIB30+Planning!$AIC30,0)</f>
      </c>
      <c r="AH44" s="762">
        <f>IF(GetFillColor(AH44)&lt;0,Planning!$AIE30+Planning!$AIF30+Planning!$AJE30+Planning!$AJF30,0)</f>
      </c>
      <c r="AI44" s="762">
        <f>IF(GetFillColor(AI44)&lt;0,Planning!$AJH30+Planning!$AJI30+Planning!$AKH30+Planning!$AKI30,0)</f>
      </c>
      <c r="AJ44" s="761">
        <v>0</v>
      </c>
      <c r="AK44" s="760">
        <v>0</v>
      </c>
      <c r="AL44" s="698">
        <f>SUM(C44:AK44)</f>
      </c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</row>
    <row r="45" ht="20.25" customHeight="1" spans="1:50" x14ac:dyDescent="0.25">
      <c r="A45" s="4">
        <f>A22</f>
      </c>
      <c r="B45" s="4"/>
      <c r="C45" s="760">
        <f>IF(GetFillColor(C45)&lt;0,Planning!$D31+Planning!$E31+Planning!$AD31+Planning!$AE31,0)</f>
      </c>
      <c r="D45" s="760">
        <f>IF(GetFillColor(D45)&lt;0,Planning!$AG31+Planning!$AH31+Planning!$BG31+Planning!$BH31,0)</f>
      </c>
      <c r="E45" s="760">
        <f>IF(GetFillColor(E45)&lt;0,Planning!$BJ31+Planning!$BK31+Planning!$CJ31+Planning!$CK31,0)</f>
      </c>
      <c r="F45" s="761">
        <f>IF(GetFillColor(F45)&lt;0,Planning!$CM31+Planning!$CN31+Planning!$DM31+Planning!$DN31,0)</f>
      </c>
      <c r="G45" s="761">
        <f>IF(GetFillColor(G45)&lt;0,Planning!$DP31+Planning!$DQ31+Planning!$EP31+Planning!$EQ31,0)</f>
      </c>
      <c r="H45" s="761">
        <v>0</v>
      </c>
      <c r="I45" s="761">
        <v>0</v>
      </c>
      <c r="J45" s="762">
        <f>IF(GetFillColor(J45)&lt;0,Planning!$HB31+Planning!$HC31+Planning!$IB31+Planning!$IC31,0)</f>
      </c>
      <c r="K45" s="762">
        <f>IF(GetFillColor(K45)&lt;0,Planning!$IE31+Planning!$IF31+Planning!$JE31+Planning!$JF31,0)</f>
      </c>
      <c r="L45" s="762">
        <f>IF(GetFillColor(L45)&lt;0,Planning!$JH31+Planning!$JI31+Planning!$KH31+Planning!$KI31,0)</f>
      </c>
      <c r="M45" s="762">
        <f>IF(GetFillColor(M45)&lt;0,Planning!$KK31+Planning!$KL31+Planning!$LK31+Planning!$LL31,0)</f>
      </c>
      <c r="N45" s="762">
        <f>IF(GetFillColor(N45)&lt;0,Planning!$LN31+Planning!$LO31+Planning!$MN31+Planning!$MO31,0)</f>
      </c>
      <c r="O45" s="761">
        <v>0</v>
      </c>
      <c r="P45" s="761">
        <v>0</v>
      </c>
      <c r="Q45" s="762">
        <f>IF(GetFillColor(Q45)&lt;0,Planning!$OZ31+Planning!$PA31+Planning!$PZ31+Planning!$QA31,0)</f>
      </c>
      <c r="R45" s="762">
        <f>IF(GetFillColor(R45)&lt;0,Planning!$QC31+Planning!$QD31+Planning!$RC31+Planning!$RD31,0)</f>
      </c>
      <c r="S45" s="762">
        <f>IF(GetFillColor(S45)&lt;0,Planning!$RF31+Planning!$RG31+Planning!$SF31+Planning!$SG31,0)</f>
      </c>
      <c r="T45" s="762">
        <f>IF(GetFillColor(T45)&lt;0,Planning!$SI31+Planning!$SJ31+Planning!$TI31+Planning!$TJ31,0)</f>
      </c>
      <c r="U45" s="762">
        <f>IF(GetFillColor(U45)&lt;0,Planning!$TL31+Planning!$TM31+Planning!$UL31+Planning!$UM31,0)</f>
      </c>
      <c r="V45" s="761">
        <v>0</v>
      </c>
      <c r="W45" s="761">
        <v>0</v>
      </c>
      <c r="X45" s="762">
        <f>IF(GetFillColor(X45)&lt;0,Planning!$WX31+Planning!$WY31+Planning!$XX31+Planning!$XY31,0)</f>
      </c>
      <c r="Y45" s="762">
        <f>IF(GetFillColor(Y45)&lt;0,Planning!$YA31+Planning!$YB31+Planning!$ZA31+Planning!$ZB31,0)</f>
      </c>
      <c r="Z45" s="762">
        <f>IF(GetFillColor(Z45)&lt;0,Planning!$ZD31+Planning!$ZE31+Planning!$AAD31+Planning!$AAE31,0)</f>
      </c>
      <c r="AA45" s="762">
        <f>IF(GetFillColor(AA45)&lt;0,Planning!$AAG31+Planning!$AAH31+Planning!$ABG31+Planning!$ABH31,0)</f>
      </c>
      <c r="AB45" s="762">
        <f>IF(GetFillColor(AB45)&lt;0,Planning!$ABJ31+Planning!$ABK31+Planning!$ACJ31+Planning!$ACK31,0)</f>
      </c>
      <c r="AC45" s="761">
        <v>0</v>
      </c>
      <c r="AD45" s="761">
        <v>0</v>
      </c>
      <c r="AE45" s="762">
        <f>IF(GetFillColor(AE45)&lt;0,Planning!$AEV31+Planning!$AEW31+Planning!$AFV31+Planning!$AFW31,0)</f>
      </c>
      <c r="AF45" s="762">
        <f>IF(GetFillColor(AF45)&lt;0,Planning!$AFY31+Planning!$AFZ31+Planning!$AGY31+Planning!$AGZ31,0)</f>
      </c>
      <c r="AG45" s="762">
        <f>IF(GetFillColor(AG45)&lt;0,Planning!$AHB31+Planning!$AHC31+Planning!$AIB31+Planning!$AIC31,0)</f>
      </c>
      <c r="AH45" s="762">
        <f>IF(GetFillColor(AH45)&lt;0,Planning!$AIE31+Planning!$AIF31+Planning!$AJE31+Planning!$AJF31,0)</f>
      </c>
      <c r="AI45" s="762">
        <f>IF(GetFillColor(AI45)&lt;0,Planning!$AJH31+Planning!$AJI31+Planning!$AKH31+Planning!$AKI31,0)</f>
      </c>
      <c r="AJ45" s="761">
        <v>0</v>
      </c>
      <c r="AK45" s="760">
        <v>0</v>
      </c>
      <c r="AL45" s="698">
        <f>SUM(C45:AK45)</f>
      </c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</row>
    <row r="46" ht="20.25" customHeight="1" spans="1:50" x14ac:dyDescent="0.25">
      <c r="A46" s="4">
        <f>A23</f>
      </c>
      <c r="B46" s="4"/>
      <c r="C46" s="760">
        <f>IF(GetFillColor(C46)&lt;0,Planning!$D32+Planning!$E32+Planning!$AD32+Planning!$AE32,0)</f>
      </c>
      <c r="D46" s="760">
        <f>IF(GetFillColor(D46)&lt;0,Planning!$AG32+Planning!$AH32+Planning!$BG32+Planning!$BH32,0)</f>
      </c>
      <c r="E46" s="760">
        <f>IF(GetFillColor(E46)&lt;0,Planning!$BJ32+Planning!$BK32+Planning!$CJ32+Planning!$CK32,0)</f>
      </c>
      <c r="F46" s="761">
        <f>IF(GetFillColor(F46)&lt;0,Planning!$CM32+Planning!$CN32+Planning!$DM32+Planning!$DN32,0)</f>
      </c>
      <c r="G46" s="761">
        <f>IF(GetFillColor(G46)&lt;0,Planning!$DP32+Planning!$DQ32+Planning!$EP32+Planning!$EQ32,0)</f>
      </c>
      <c r="H46" s="761">
        <v>0</v>
      </c>
      <c r="I46" s="761">
        <v>0</v>
      </c>
      <c r="J46" s="762">
        <f>IF(GetFillColor(J46)&lt;0,Planning!$HB32+Planning!$HC32+Planning!$IB32+Planning!$IC32,0)</f>
      </c>
      <c r="K46" s="762">
        <f>IF(GetFillColor(K46)&lt;0,Planning!$IE32+Planning!$IF32+Planning!$JE32+Planning!$JF32,0)</f>
      </c>
      <c r="L46" s="762">
        <f>IF(GetFillColor(L46)&lt;0,Planning!$JH32+Planning!$JI32+Planning!$KH32+Planning!$KI32,0)</f>
      </c>
      <c r="M46" s="762">
        <f>IF(GetFillColor(M46)&lt;0,Planning!$KK32+Planning!$KL32+Planning!$LK32+Planning!$LL32,0)</f>
      </c>
      <c r="N46" s="762">
        <f>IF(GetFillColor(N46)&lt;0,Planning!$LN32+Planning!$LO32+Planning!$MN32+Planning!$MO32,0)</f>
      </c>
      <c r="O46" s="761">
        <v>0</v>
      </c>
      <c r="P46" s="761">
        <v>0</v>
      </c>
      <c r="Q46" s="762">
        <f>IF(GetFillColor(Q46)&lt;0,Planning!$OZ32+Planning!$PA32+Planning!$PZ32+Planning!$QA32,0)</f>
      </c>
      <c r="R46" s="762">
        <f>IF(GetFillColor(R46)&lt;0,Planning!$QC32+Planning!$QD32+Planning!$RC32+Planning!$RD32,0)</f>
      </c>
      <c r="S46" s="762">
        <f>IF(GetFillColor(S46)&lt;0,Planning!$RF32+Planning!$RG32+Planning!$SF32+Planning!$SG32,0)</f>
      </c>
      <c r="T46" s="762">
        <f>IF(GetFillColor(T46)&lt;0,Planning!$SI32+Planning!$SJ32+Planning!$TI32+Planning!$TJ32,0)</f>
      </c>
      <c r="U46" s="762">
        <f>IF(GetFillColor(U46)&lt;0,Planning!$TL32+Planning!$TM32+Planning!$UL32+Planning!$UM32,0)</f>
      </c>
      <c r="V46" s="761">
        <v>0</v>
      </c>
      <c r="W46" s="761">
        <v>0</v>
      </c>
      <c r="X46" s="762">
        <f>IF(GetFillColor(X46)&lt;0,Planning!$WX32+Planning!$WY32+Planning!$XX32+Planning!$XY32,0)</f>
      </c>
      <c r="Y46" s="762">
        <f>IF(GetFillColor(Y46)&lt;0,Planning!$YA32+Planning!$YB32+Planning!$ZA32+Planning!$ZB32,0)</f>
      </c>
      <c r="Z46" s="762">
        <f>IF(GetFillColor(Z46)&lt;0,Planning!$ZD32+Planning!$ZE32+Planning!$AAD32+Planning!$AAE32,0)</f>
      </c>
      <c r="AA46" s="762">
        <f>IF(GetFillColor(AA46)&lt;0,Planning!$AAG32+Planning!$AAH32+Planning!$ABG32+Planning!$ABH32,0)</f>
      </c>
      <c r="AB46" s="762">
        <f>IF(GetFillColor(AB46)&lt;0,Planning!$ABJ32+Planning!$ABK32+Planning!$ACJ32+Planning!$ACK32,0)</f>
      </c>
      <c r="AC46" s="761">
        <v>0</v>
      </c>
      <c r="AD46" s="761">
        <v>0</v>
      </c>
      <c r="AE46" s="762">
        <f>IF(GetFillColor(AE46)&lt;0,Planning!$AEV32+Planning!$AEW32+Planning!$AFV32+Planning!$AFW32,0)</f>
      </c>
      <c r="AF46" s="762">
        <f>IF(GetFillColor(AF46)&lt;0,Planning!$AFY32+Planning!$AFZ32+Planning!$AGY32+Planning!$AGZ32,0)</f>
      </c>
      <c r="AG46" s="762">
        <f>IF(GetFillColor(AG46)&lt;0,Planning!$AHB32+Planning!$AHC32+Planning!$AIB32+Planning!$AIC32,0)</f>
      </c>
      <c r="AH46" s="762">
        <f>IF(GetFillColor(AH46)&lt;0,Planning!$AIE32+Planning!$AIF32+Planning!$AJE32+Planning!$AJF32,0)</f>
      </c>
      <c r="AI46" s="762">
        <f>IF(GetFillColor(AI46)&lt;0,Planning!$AJH32+Planning!$AJI32+Planning!$AKH32+Planning!$AKI32,0)</f>
      </c>
      <c r="AJ46" s="761">
        <v>0</v>
      </c>
      <c r="AK46" s="760">
        <v>0</v>
      </c>
      <c r="AL46" s="698">
        <f>SUM(C46:AK46)</f>
      </c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</row>
    <row r="47" ht="15" customHeight="1" spans="1:5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</row>
    <row r="48" ht="80.25" customHeight="1" spans="1:50" s="754" customFormat="1" x14ac:dyDescent="0.25">
      <c r="A48" s="755" t="s">
        <v>238</v>
      </c>
      <c r="B48" s="756"/>
      <c r="C48" s="757">
        <f>C25</f>
      </c>
      <c r="D48" s="757">
        <f>D25</f>
      </c>
      <c r="E48" s="757">
        <f>E25</f>
      </c>
      <c r="F48" s="757">
        <f>F25</f>
      </c>
      <c r="G48" s="757">
        <f>G25</f>
      </c>
      <c r="H48" s="757">
        <f>H25</f>
      </c>
      <c r="I48" s="757">
        <f>I25</f>
      </c>
      <c r="J48" s="757">
        <f>J25</f>
      </c>
      <c r="K48" s="757">
        <f>K25</f>
      </c>
      <c r="L48" s="757">
        <f>L25</f>
      </c>
      <c r="M48" s="757">
        <f>M25</f>
      </c>
      <c r="N48" s="757">
        <f>N25</f>
      </c>
      <c r="O48" s="757">
        <f>O25</f>
      </c>
      <c r="P48" s="757">
        <f>P25</f>
      </c>
      <c r="Q48" s="757">
        <f>Q25</f>
      </c>
      <c r="R48" s="757">
        <f>R25</f>
      </c>
      <c r="S48" s="757">
        <f>S25</f>
      </c>
      <c r="T48" s="757">
        <f>T25</f>
      </c>
      <c r="U48" s="757">
        <f>U25</f>
      </c>
      <c r="V48" s="757">
        <f>V25</f>
      </c>
      <c r="W48" s="757">
        <f>W25</f>
      </c>
      <c r="X48" s="757">
        <f>X25</f>
      </c>
      <c r="Y48" s="757">
        <f>Y25</f>
      </c>
      <c r="Z48" s="757">
        <f>Z25</f>
      </c>
      <c r="AA48" s="757">
        <f>AA25</f>
      </c>
      <c r="AB48" s="757">
        <f>AB25</f>
      </c>
      <c r="AC48" s="757">
        <f>AC25</f>
      </c>
      <c r="AD48" s="757">
        <f>AD25</f>
      </c>
      <c r="AE48" s="757">
        <f>AE25</f>
      </c>
      <c r="AF48" s="757">
        <f>AF25</f>
      </c>
      <c r="AG48" s="757">
        <f>AG25</f>
      </c>
      <c r="AH48" s="757">
        <f>AH25</f>
      </c>
      <c r="AI48" s="757">
        <f>AI25</f>
      </c>
      <c r="AJ48" s="757">
        <f>AJ25</f>
      </c>
      <c r="AK48" s="757">
        <f>AK25</f>
      </c>
      <c r="AL48" s="758" t="s">
        <v>236</v>
      </c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</row>
    <row r="49" ht="10.5" customHeight="1" spans="1:50" s="754" customFormat="1" x14ac:dyDescent="0.25">
      <c r="A49" s="756"/>
      <c r="B49" s="756"/>
      <c r="C49" s="759"/>
      <c r="D49" s="759"/>
      <c r="E49" s="759"/>
      <c r="F49" s="759"/>
      <c r="G49" s="759"/>
      <c r="H49" s="759"/>
      <c r="I49" s="759"/>
      <c r="J49" s="759"/>
      <c r="K49" s="759"/>
      <c r="L49" s="759"/>
      <c r="M49" s="759"/>
      <c r="N49" s="759"/>
      <c r="O49" s="759"/>
      <c r="P49" s="759"/>
      <c r="Q49" s="759"/>
      <c r="R49" s="759"/>
      <c r="S49" s="759"/>
      <c r="T49" s="759"/>
      <c r="U49" s="759"/>
      <c r="V49" s="759"/>
      <c r="W49" s="759"/>
      <c r="X49" s="759"/>
      <c r="Y49" s="759"/>
      <c r="Z49" s="759"/>
      <c r="AA49" s="759"/>
      <c r="AB49" s="759"/>
      <c r="AC49" s="759"/>
      <c r="AD49" s="759"/>
      <c r="AE49" s="759"/>
      <c r="AF49" s="759"/>
      <c r="AG49" s="759"/>
      <c r="AH49" s="759"/>
      <c r="AI49" s="757"/>
      <c r="AJ49" s="757"/>
      <c r="AK49" s="757"/>
      <c r="AL49" s="758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</row>
    <row r="50" ht="20.25" customHeight="1" spans="1:50" x14ac:dyDescent="0.25">
      <c r="A50" s="4">
        <f>A4</f>
      </c>
      <c r="B50" s="4"/>
      <c r="C50" s="760">
        <f>IF(GetFillColor(C50)=15,SUM(Planning!$D13:$AE13),0)</f>
      </c>
      <c r="D50" s="760">
        <f>IF(GetFillColor(D50)=15,SUM(Planning!$AG13:$BH13),0)</f>
      </c>
      <c r="E50" s="760">
        <f>IF(GetFillColor(E50)=15,SUM(Planning!$BJ13:$CK13),0)</f>
      </c>
      <c r="F50" s="763">
        <f>IF(GetFillColor(F50)=15,SUM(Planning!$CM13:$DN13),0)</f>
      </c>
      <c r="G50" s="763">
        <f>IF(GetFillColor(G50)=15,SUM(Planning!$DP13:$EQ13),0)</f>
      </c>
      <c r="H50" s="763">
        <f>IF(GetFillColor(H50)=15,SUM(Planning!$ES13:$FT13),0)</f>
      </c>
      <c r="I50" s="763">
        <f>IF(GetFillColor(I50)=15,SUM(Planning!$FV13:$GW13),0)</f>
      </c>
      <c r="J50" s="762">
        <f>IF(GetFillColor(J50)=15,SUM(Planning!$HB13:$IC13),0)</f>
      </c>
      <c r="K50" s="762">
        <f>IF(GetFillColor(K50)=15,SUM(Planning!$IE13:$JF13),0)</f>
      </c>
      <c r="L50" s="762">
        <f>IF(GetFillColor(L50)=15,SUM(Planning!$JH13:$KI13),0)</f>
      </c>
      <c r="M50" s="762">
        <f>IF(GetFillColor(M50)=15,SUM(Planning!$KK13:$LL13),0)</f>
      </c>
      <c r="N50" s="762">
        <f>IF(GetFillColor(N50)=15,SUM(Planning!$LN13:$MO13),0)</f>
      </c>
      <c r="O50" s="763">
        <f>IF(GetFillColor(O50)=15,SUM(Planning!$MQ13:$NR13),0)</f>
      </c>
      <c r="P50" s="763">
        <f>IF(GetFillColor(P50)=15,SUM(Planning!$NT13:$OU13),0)</f>
      </c>
      <c r="Q50" s="762">
        <f>IF(GetFillColor(Q50)=15,SUM(Planning!$OZ13:$QA13),0)</f>
      </c>
      <c r="R50" s="762">
        <f>IF(GetFillColor(R50)=15,SUM(Planning!$QC13:$RD13),0)</f>
      </c>
      <c r="S50" s="762">
        <f>IF(GetFillColor(S50)=15,SUM(Planning!$RF13:$SG13),0)</f>
      </c>
      <c r="T50" s="762">
        <f>IF(GetFillColor(T50)=15,SUM(Planning!$SI13:$TJ13),0)</f>
      </c>
      <c r="U50" s="762">
        <f>IF(GetFillColor(U50)=15,SUM(Planning!$TL13:$UM13),0)</f>
      </c>
      <c r="V50" s="763">
        <f>IF(GetFillColor(V50)=15,SUM(Planning!$UO13:$VP13),0)</f>
      </c>
      <c r="W50" s="763">
        <f>IF(GetFillColor(W50)=15,SUM(Planning!$VR13:$WS13),0)</f>
      </c>
      <c r="X50" s="762">
        <f>IF(GetFillColor(X50)=15,SUM(Planning!$WX13:$XY13),0)</f>
      </c>
      <c r="Y50" s="762">
        <f>IF(GetFillColor(Y50)=15,SUM(Planning!$YA13:$ZB13),0)</f>
      </c>
      <c r="Z50" s="762">
        <f>IF(GetFillColor(Z50)=15,SUM(Planning!$ZD13:$AAE13),0)</f>
      </c>
      <c r="AA50" s="762">
        <f>IF(GetFillColor(AA50)=15,SUM(Planning!$AAG13:$ABH13),0)</f>
      </c>
      <c r="AB50" s="762">
        <f>IF(GetFillColor(AB50)=15,SUM(Planning!$ABJ13:$ACK13),0)</f>
      </c>
      <c r="AC50" s="763">
        <f>IF(GetFillColor(AC50)=15,SUM(Planning!$ACM13:$ADN13),0)</f>
      </c>
      <c r="AD50" s="763">
        <f>IF(GetFillColor(AD50)=15,SUM(Planning!$ADP13:$AEQ13),0)</f>
      </c>
      <c r="AE50" s="762">
        <f>IF(GetFillColor(AE50)=15,SUM(Planning!$AEV13:$AFW13),0)</f>
      </c>
      <c r="AF50" s="762">
        <f>IF(GetFillColor(AF50)=15,SUM(Planning!$AFY13:$AGZ13),0)</f>
      </c>
      <c r="AG50" s="762">
        <f>IF(GetFillColor(AG50)=15,SUM(Planning!$AHB13:$AIC13),0)</f>
      </c>
      <c r="AH50" s="762">
        <f>IF(GetFillColor(AH50)=15,SUM(Planning!$AIE13:$AJF13),0)</f>
      </c>
      <c r="AI50" s="762">
        <f>IF(GetFillColor(AI50)=15,SUM(Planning!$AJH13:$AKI13),0)</f>
      </c>
      <c r="AJ50" s="763">
        <f>IF(GetFillColor(AJ50)=15,SUM(Planning!$AKK13:$ALL13),0)</f>
      </c>
      <c r="AK50" s="760">
        <f>IF(GetFillColor(AK50)=15,SUM(Planning!$ALN13:$AMO13),0)</f>
      </c>
      <c r="AL50" s="698">
        <f>SUM(C50:AK50)</f>
      </c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</row>
    <row r="51" ht="20.25" customHeight="1" spans="1:50" x14ac:dyDescent="0.25">
      <c r="A51" s="4">
        <f>A5</f>
      </c>
      <c r="B51" s="4"/>
      <c r="C51" s="760">
        <f>IF(GetFillColor(C51)=15,SUM(Planning!$D14:$AE14),0)</f>
      </c>
      <c r="D51" s="760">
        <f>IF(GetFillColor(D51)=15,SUM(Planning!$AG14:$BH14),0)</f>
      </c>
      <c r="E51" s="760">
        <f>IF(GetFillColor(E51)=15,SUM(Planning!$BJ14:$CK14),0)</f>
      </c>
      <c r="F51" s="763">
        <f>IF(GetFillColor(F51)=15,SUM(Planning!$CM14:$DN14),0)</f>
      </c>
      <c r="G51" s="763">
        <f>IF(GetFillColor(G51)=15,SUM(Planning!$DP14:$EQ14),0)</f>
      </c>
      <c r="H51" s="763">
        <f>IF(GetFillColor(H51)=15,SUM(Planning!$ES14:$FT14),0)</f>
      </c>
      <c r="I51" s="763">
        <f>IF(GetFillColor(I51)=15,SUM(Planning!$FV14:$GW14),0)</f>
      </c>
      <c r="J51" s="762">
        <f>IF(GetFillColor(J51)=15,SUM(Planning!$HB14:$IC14),0)</f>
      </c>
      <c r="K51" s="762">
        <f>IF(GetFillColor(K51)=15,SUM(Planning!$IE14:$JF14),0)</f>
      </c>
      <c r="L51" s="762">
        <f>IF(GetFillColor(L51)=15,SUM(Planning!$JH14:$KI14),0)</f>
      </c>
      <c r="M51" s="762">
        <f>IF(GetFillColor(M51)=15,SUM(Planning!$KK14:$LL14),0)</f>
      </c>
      <c r="N51" s="762">
        <f>IF(GetFillColor(N51)=15,SUM(Planning!$LN14:$MO14),0)</f>
      </c>
      <c r="O51" s="763">
        <f>IF(GetFillColor(O51)=15,SUM(Planning!$MQ14:$NR14),0)</f>
      </c>
      <c r="P51" s="763">
        <f>IF(GetFillColor(P51)=15,SUM(Planning!$NT14:$OU14),0)</f>
      </c>
      <c r="Q51" s="762">
        <f>IF(GetFillColor(Q51)=15,SUM(Planning!$OZ14:$QA14),0)</f>
      </c>
      <c r="R51" s="762">
        <f>IF(GetFillColor(R51)=15,SUM(Planning!$QC14:$RD14),0)</f>
      </c>
      <c r="S51" s="762">
        <f>IF(GetFillColor(S51)=15,SUM(Planning!$RF14:$SG14),0)</f>
      </c>
      <c r="T51" s="762">
        <f>IF(GetFillColor(T51)=15,SUM(Planning!$SI14:$TJ14),0)</f>
      </c>
      <c r="U51" s="762">
        <f>IF(GetFillColor(U51)=15,SUM(Planning!$TL14:$UM14),0)</f>
      </c>
      <c r="V51" s="763">
        <f>IF(GetFillColor(V51)=15,SUM(Planning!$UO14:$VP14),0)</f>
      </c>
      <c r="W51" s="763">
        <f>IF(GetFillColor(W51)=15,SUM(Planning!$VR14:$WS14),0)</f>
      </c>
      <c r="X51" s="762">
        <f>IF(GetFillColor(X51)=15,SUM(Planning!$WX14:$XY14),0)</f>
      </c>
      <c r="Y51" s="762">
        <f>IF(GetFillColor(Y51)=15,SUM(Planning!$YA14:$ZB14),0)</f>
      </c>
      <c r="Z51" s="762">
        <f>IF(GetFillColor(Z51)=15,SUM(Planning!$ZD14:$AAE14),0)</f>
      </c>
      <c r="AA51" s="762">
        <f>IF(GetFillColor(AA51)=15,SUM(Planning!$AAG14:$ABH14),0)</f>
      </c>
      <c r="AB51" s="762">
        <f>IF(GetFillColor(AB51)=15,SUM(Planning!$ABJ14:$ACK14),0)</f>
      </c>
      <c r="AC51" s="763">
        <f>IF(GetFillColor(AC51)=15,SUM(Planning!$ACM14:$ADN14),0)</f>
      </c>
      <c r="AD51" s="763">
        <f>IF(GetFillColor(AD51)=15,SUM(Planning!$ADP14:$AEQ14),0)</f>
      </c>
      <c r="AE51" s="762">
        <f>IF(GetFillColor(AE51)=15,SUM(Planning!$AEV14:$AFW14),0)</f>
      </c>
      <c r="AF51" s="762">
        <f>IF(GetFillColor(AF51)=15,SUM(Planning!$AFY14:$AGZ14),0)</f>
      </c>
      <c r="AG51" s="762">
        <f>IF(GetFillColor(AG51)=15,SUM(Planning!$AHB14:$AIC14),0)</f>
      </c>
      <c r="AH51" s="762">
        <f>IF(GetFillColor(AH51)=15,SUM(Planning!$AIE14:$AJF14),0)</f>
      </c>
      <c r="AI51" s="762">
        <f>IF(GetFillColor(AI51)=15,SUM(Planning!$AJH14:$AKI14),0)</f>
      </c>
      <c r="AJ51" s="763">
        <f>IF(GetFillColor(AJ51)=15,SUM(Planning!$AKK14:$ALL14),0)</f>
      </c>
      <c r="AK51" s="760">
        <f>IF(GetFillColor(AK51)=15,SUM(Planning!$ALN14:$AMO14),0)</f>
      </c>
      <c r="AL51" s="698">
        <f>SUM(C51:AK51)</f>
      </c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</row>
    <row r="52" ht="20.25" customHeight="1" spans="1:50" x14ac:dyDescent="0.25">
      <c r="A52" s="4">
        <f>A6</f>
      </c>
      <c r="B52" s="4"/>
      <c r="C52" s="760">
        <f>IF(GetFillColor(C52)=15,SUM(Planning!$D15:$AE15),0)</f>
      </c>
      <c r="D52" s="760">
        <f>IF(GetFillColor(D52)=15,SUM(Planning!$AG15:$BH15),0)</f>
      </c>
      <c r="E52" s="760">
        <f>IF(GetFillColor(E52)=15,SUM(Planning!$BJ15:$CK15),0)</f>
      </c>
      <c r="F52" s="763">
        <f>IF(GetFillColor(F52)=15,SUM(Planning!$CM15:$DN15),0)</f>
      </c>
      <c r="G52" s="763">
        <f>IF(GetFillColor(G52)=15,SUM(Planning!$DP15:$EQ15),0)</f>
      </c>
      <c r="H52" s="763">
        <f>IF(GetFillColor(H52)=15,SUM(Planning!$ES15:$FT15),0)</f>
      </c>
      <c r="I52" s="763">
        <f>IF(GetFillColor(I52)=15,SUM(Planning!$FV15:$GW15),0)</f>
      </c>
      <c r="J52" s="762">
        <f>IF(GetFillColor(J52)=15,SUM(Planning!$HB15:$IC15),0)</f>
      </c>
      <c r="K52" s="762">
        <f>IF(GetFillColor(K52)=15,SUM(Planning!$IE15:$JF15),0)</f>
      </c>
      <c r="L52" s="762">
        <f>IF(GetFillColor(L52)=15,SUM(Planning!$JH15:$KI15),0)</f>
      </c>
      <c r="M52" s="762">
        <f>IF(GetFillColor(M52)=15,SUM(Planning!$KK15:$LL15),0)</f>
      </c>
      <c r="N52" s="762">
        <f>IF(GetFillColor(N52)=15,SUM(Planning!$LN15:$MO15),0)</f>
      </c>
      <c r="O52" s="763">
        <f>IF(GetFillColor(O52)=15,SUM(Planning!$MQ15:$NR15),0)</f>
      </c>
      <c r="P52" s="763">
        <f>IF(GetFillColor(P52)=15,SUM(Planning!$NT15:$OU15),0)</f>
      </c>
      <c r="Q52" s="762">
        <f>IF(GetFillColor(Q52)=15,SUM(Planning!$OZ15:$QA15),0)</f>
      </c>
      <c r="R52" s="762">
        <f>IF(GetFillColor(R52)=15,SUM(Planning!$QC15:$RD15),0)</f>
      </c>
      <c r="S52" s="762">
        <f>IF(GetFillColor(S52)=15,SUM(Planning!$RF15:$SG15),0)</f>
      </c>
      <c r="T52" s="762">
        <f>IF(GetFillColor(T52)=15,SUM(Planning!$SI15:$TJ15),0)</f>
      </c>
      <c r="U52" s="762">
        <f>IF(GetFillColor(U52)=15,SUM(Planning!$TL15:$UM15),0)</f>
      </c>
      <c r="V52" s="763">
        <f>IF(GetFillColor(V52)=15,SUM(Planning!$UO15:$VP15),0)</f>
      </c>
      <c r="W52" s="763">
        <f>IF(GetFillColor(W52)=15,SUM(Planning!$VR15:$WS15),0)</f>
      </c>
      <c r="X52" s="762">
        <f>IF(GetFillColor(X52)=15,SUM(Planning!$WX15:$XY15),0)</f>
      </c>
      <c r="Y52" s="762">
        <f>IF(GetFillColor(Y52)=15,SUM(Planning!$YA15:$ZB15),0)</f>
      </c>
      <c r="Z52" s="762">
        <f>IF(GetFillColor(Z52)=15,SUM(Planning!$ZD15:$AAE15),0)</f>
      </c>
      <c r="AA52" s="762">
        <f>IF(GetFillColor(AA52)=15,SUM(Planning!$AAG15:$ABH15),0)</f>
      </c>
      <c r="AB52" s="762">
        <f>IF(GetFillColor(AB52)=15,SUM(Planning!$ABJ15:$ACK15),0)</f>
      </c>
      <c r="AC52" s="763">
        <f>IF(GetFillColor(AC52)=15,SUM(Planning!$ACM15:$ADN15),0)</f>
      </c>
      <c r="AD52" s="763">
        <f>IF(GetFillColor(AD52)=15,SUM(Planning!$ADP15:$AEQ15),0)</f>
      </c>
      <c r="AE52" s="762">
        <f>IF(GetFillColor(AE52)=15,SUM(Planning!$AEV15:$AFW15),0)</f>
      </c>
      <c r="AF52" s="762">
        <f>IF(GetFillColor(AF52)=15,SUM(Planning!$AFY15:$AGZ15),0)</f>
      </c>
      <c r="AG52" s="762">
        <f>IF(GetFillColor(AG52)=15,SUM(Planning!$AHB15:$AIC15),0)</f>
      </c>
      <c r="AH52" s="762">
        <f>IF(GetFillColor(AH52)=15,SUM(Planning!$AIE15:$AJF15),0)</f>
      </c>
      <c r="AI52" s="762">
        <f>IF(GetFillColor(AI52)=15,SUM(Planning!$AJH15:$AKI15),0)</f>
      </c>
      <c r="AJ52" s="763">
        <f>IF(GetFillColor(AJ52)=15,SUM(Planning!$AKK15:$ALL15),0)</f>
      </c>
      <c r="AK52" s="760">
        <f>IF(GetFillColor(AK52)=15,SUM(Planning!$ALN15:$AMO15),0)</f>
      </c>
      <c r="AL52" s="698">
        <f>SUM(C52:AK52)</f>
      </c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</row>
    <row r="53" ht="20.25" customHeight="1" spans="1:50" x14ac:dyDescent="0.25">
      <c r="A53" s="4">
        <f>A7</f>
      </c>
      <c r="B53" s="4"/>
      <c r="C53" s="760">
        <f>IF(GetFillColor(C53)=15,SUM(Planning!$D16:$AE16),0)</f>
      </c>
      <c r="D53" s="760">
        <f>IF(GetFillColor(D53)=15,SUM(Planning!$AG16:$BH16),0)</f>
      </c>
      <c r="E53" s="760">
        <f>IF(GetFillColor(E53)=15,SUM(Planning!$BJ16:$CK16),0)</f>
      </c>
      <c r="F53" s="763">
        <f>IF(GetFillColor(F53)=15,SUM(Planning!$CM16:$DN16),0)</f>
      </c>
      <c r="G53" s="763">
        <f>IF(GetFillColor(G53)=15,SUM(Planning!$DP16:$EQ16),0)</f>
      </c>
      <c r="H53" s="763">
        <f>IF(GetFillColor(H53)=15,SUM(Planning!$ES16:$FT16),0)</f>
      </c>
      <c r="I53" s="763">
        <f>IF(GetFillColor(I53)=15,SUM(Planning!$FV16:$GW16),0)</f>
      </c>
      <c r="J53" s="762">
        <f>IF(GetFillColor(J53)=15,SUM(Planning!$HB16:$IC16),0)</f>
      </c>
      <c r="K53" s="762">
        <f>IF(GetFillColor(K53)=15,SUM(Planning!$IE16:$JF16),0)</f>
      </c>
      <c r="L53" s="762">
        <f>IF(GetFillColor(L53)=15,SUM(Planning!$JH16:$KI16),0)</f>
      </c>
      <c r="M53" s="762">
        <f>IF(GetFillColor(M53)=15,SUM(Planning!$KK16:$LL16),0)</f>
      </c>
      <c r="N53" s="762">
        <f>IF(GetFillColor(N53)=15,SUM(Planning!$LN16:$MO16),0)</f>
      </c>
      <c r="O53" s="763">
        <f>IF(GetFillColor(O53)=15,SUM(Planning!$MQ16:$NR16),0)</f>
      </c>
      <c r="P53" s="763">
        <f>IF(GetFillColor(P53)=15,SUM(Planning!$NT16:$OU16),0)</f>
      </c>
      <c r="Q53" s="762">
        <f>IF(GetFillColor(Q53)=15,SUM(Planning!$OZ16:$QA16),0)</f>
      </c>
      <c r="R53" s="762">
        <f>IF(GetFillColor(R53)=15,SUM(Planning!$QC16:$RD16),0)</f>
      </c>
      <c r="S53" s="762">
        <f>IF(GetFillColor(S53)=15,SUM(Planning!$RF16:$SG16),0)</f>
      </c>
      <c r="T53" s="762">
        <f>IF(GetFillColor(T53)=15,SUM(Planning!$SI16:$TJ16),0)</f>
      </c>
      <c r="U53" s="762">
        <f>IF(GetFillColor(U53)=15,SUM(Planning!$TL16:$UM16),0)</f>
      </c>
      <c r="V53" s="763">
        <f>IF(GetFillColor(V53)=15,SUM(Planning!$UO16:$VP16),0)</f>
      </c>
      <c r="W53" s="763">
        <f>IF(GetFillColor(W53)=15,SUM(Planning!$VR16:$WS16),0)</f>
      </c>
      <c r="X53" s="762">
        <f>IF(GetFillColor(X53)=15,SUM(Planning!$WX16:$XY16),0)</f>
      </c>
      <c r="Y53" s="762">
        <f>IF(GetFillColor(Y53)=15,SUM(Planning!$YA16:$ZB16),0)</f>
      </c>
      <c r="Z53" s="762">
        <f>IF(GetFillColor(Z53)=15,SUM(Planning!$ZD16:$AAE16),0)</f>
      </c>
      <c r="AA53" s="762">
        <f>IF(GetFillColor(AA53)=15,SUM(Planning!$AAG16:$ABH16),0)</f>
      </c>
      <c r="AB53" s="762">
        <f>IF(GetFillColor(AB53)=15,SUM(Planning!$ABJ16:$ACK16),0)</f>
      </c>
      <c r="AC53" s="763">
        <f>IF(GetFillColor(AC53)=15,SUM(Planning!$ACM16:$ADN16),0)</f>
      </c>
      <c r="AD53" s="763">
        <f>IF(GetFillColor(AD53)=15,SUM(Planning!$ADP16:$AEQ16),0)</f>
      </c>
      <c r="AE53" s="762">
        <f>IF(GetFillColor(AE53)=15,SUM(Planning!$AEV16:$AFW16),0)</f>
      </c>
      <c r="AF53" s="762">
        <f>IF(GetFillColor(AF53)=15,SUM(Planning!$AFY16:$AGZ16),0)</f>
      </c>
      <c r="AG53" s="762">
        <f>IF(GetFillColor(AG53)=15,SUM(Planning!$AHB16:$AIC16),0)</f>
      </c>
      <c r="AH53" s="762">
        <f>IF(GetFillColor(AH53)=15,SUM(Planning!$AIE16:$AJF16),0)</f>
      </c>
      <c r="AI53" s="762">
        <f>IF(GetFillColor(AI53)=15,SUM(Planning!$AJH16:$AKI16),0)</f>
      </c>
      <c r="AJ53" s="763">
        <f>IF(GetFillColor(AJ53)=15,SUM(Planning!$AKK16:$ALL16),0)</f>
      </c>
      <c r="AK53" s="760">
        <f>IF(GetFillColor(AK53)=15,SUM(Planning!$ALN16:$AMO16),0)</f>
      </c>
      <c r="AL53" s="698">
        <f>SUM(C53:AK53)</f>
      </c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</row>
    <row r="54" ht="20.25" customHeight="1" spans="1:50" x14ac:dyDescent="0.25">
      <c r="A54" s="4">
        <f>A8</f>
      </c>
      <c r="B54" s="4"/>
      <c r="C54" s="760">
        <f>IF(GetFillColor(C54)=15,SUM(Planning!$D17:$AE17),0)</f>
      </c>
      <c r="D54" s="760">
        <f>IF(GetFillColor(D54)=15,SUM(Planning!$AG17:$BH17),0)</f>
      </c>
      <c r="E54" s="760">
        <f>IF(GetFillColor(E54)=15,SUM(Planning!$BJ17:$CK17),0)</f>
      </c>
      <c r="F54" s="763">
        <f>IF(GetFillColor(F54)=15,SUM(Planning!$CM17:$DN17),0)</f>
      </c>
      <c r="G54" s="763">
        <f>IF(GetFillColor(G54)=15,SUM(Planning!$DP17:$EQ17),0)</f>
      </c>
      <c r="H54" s="763">
        <f>IF(GetFillColor(H54)=15,SUM(Planning!$ES17:$FT17),0)</f>
      </c>
      <c r="I54" s="763">
        <f>IF(GetFillColor(I54)=15,SUM(Planning!$FV17:$GW17),0)</f>
      </c>
      <c r="J54" s="762">
        <f>IF(GetFillColor(J54)=15,SUM(Planning!$HB17:$IC17),0)</f>
      </c>
      <c r="K54" s="762">
        <f>IF(GetFillColor(K54)=15,SUM(Planning!$IE17:$JF17),0)</f>
      </c>
      <c r="L54" s="762">
        <f>IF(GetFillColor(L54)=15,SUM(Planning!$JH17:$KI17),0)</f>
      </c>
      <c r="M54" s="762">
        <f>IF(GetFillColor(M54)=15,SUM(Planning!$KK17:$LL17),0)</f>
      </c>
      <c r="N54" s="762">
        <f>IF(GetFillColor(N54)=15,SUM(Planning!$LN17:$MO17),0)</f>
      </c>
      <c r="O54" s="763">
        <f>IF(GetFillColor(O54)=15,SUM(Planning!$MQ17:$NR17),0)</f>
      </c>
      <c r="P54" s="763">
        <f>IF(GetFillColor(P54)=15,SUM(Planning!$NT17:$OU17),0)</f>
      </c>
      <c r="Q54" s="762">
        <f>IF(GetFillColor(Q54)=15,SUM(Planning!$OZ17:$QA17),0)</f>
      </c>
      <c r="R54" s="762">
        <f>IF(GetFillColor(R54)=15,SUM(Planning!$QC17:$RD17),0)</f>
      </c>
      <c r="S54" s="762">
        <f>IF(GetFillColor(S54)=15,SUM(Planning!$RF17:$SG17),0)</f>
      </c>
      <c r="T54" s="762">
        <f>IF(GetFillColor(T54)=15,SUM(Planning!$SI17:$TJ17),0)</f>
      </c>
      <c r="U54" s="762">
        <f>IF(GetFillColor(U54)=15,SUM(Planning!$TL17:$UM17),0)</f>
      </c>
      <c r="V54" s="763">
        <f>IF(GetFillColor(V54)=15,SUM(Planning!$UO17:$VP17),0)</f>
      </c>
      <c r="W54" s="763">
        <f>IF(GetFillColor(W54)=15,SUM(Planning!$VR17:$WS17),0)</f>
      </c>
      <c r="X54" s="762">
        <f>IF(GetFillColor(X54)=15,SUM(Planning!$WX17:$XY17),0)</f>
      </c>
      <c r="Y54" s="762">
        <f>IF(GetFillColor(Y54)=15,SUM(Planning!$YA17:$ZB17),0)</f>
      </c>
      <c r="Z54" s="762">
        <f>IF(GetFillColor(Z54)=15,SUM(Planning!$ZD17:$AAE17),0)</f>
      </c>
      <c r="AA54" s="762">
        <f>IF(GetFillColor(AA54)=15,SUM(Planning!$AAG17:$ABH17),0)</f>
      </c>
      <c r="AB54" s="762">
        <f>IF(GetFillColor(AB54)=15,SUM(Planning!$ABJ17:$ACK17),0)</f>
      </c>
      <c r="AC54" s="763">
        <f>IF(GetFillColor(AC54)=15,SUM(Planning!$ACM17:$ADN17),0)</f>
      </c>
      <c r="AD54" s="763">
        <f>IF(GetFillColor(AD54)=15,SUM(Planning!$ADP17:$AEQ17),0)</f>
      </c>
      <c r="AE54" s="762">
        <f>IF(GetFillColor(AE54)=15,SUM(Planning!$AEV17:$AFW17),0)</f>
      </c>
      <c r="AF54" s="762">
        <f>IF(GetFillColor(AF54)=15,SUM(Planning!$AFY17:$AGZ17),0)</f>
      </c>
      <c r="AG54" s="762">
        <f>IF(GetFillColor(AG54)=15,SUM(Planning!$AHB17:$AIC17),0)</f>
      </c>
      <c r="AH54" s="762">
        <f>IF(GetFillColor(AH54)=15,SUM(Planning!$AIE17:$AJF17),0)</f>
      </c>
      <c r="AI54" s="762">
        <f>IF(GetFillColor(AI54)=15,SUM(Planning!$AJH17:$AKI17),0)</f>
      </c>
      <c r="AJ54" s="763">
        <f>IF(GetFillColor(AJ54)=15,SUM(Planning!$AKK17:$ALL17),0)</f>
      </c>
      <c r="AK54" s="760">
        <f>IF(GetFillColor(AK54)=15,SUM(Planning!$ALN17:$AMO17),0)</f>
      </c>
      <c r="AL54" s="698">
        <f>SUM(C54:AK54)</f>
      </c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</row>
    <row r="55" ht="20.25" customHeight="1" spans="1:50" x14ac:dyDescent="0.25">
      <c r="A55" s="4">
        <f>A9</f>
      </c>
      <c r="B55" s="4"/>
      <c r="C55" s="760">
        <f>IF(GetFillColor(C55)=15,SUM(Planning!$D18:$AE18),0)</f>
      </c>
      <c r="D55" s="760">
        <f>IF(GetFillColor(D55)=15,SUM(Planning!$AG18:$BH18),0)</f>
      </c>
      <c r="E55" s="760">
        <f>IF(GetFillColor(E55)=15,SUM(Planning!$BJ18:$CK18),0)</f>
      </c>
      <c r="F55" s="763">
        <f>IF(GetFillColor(F55)=15,SUM(Planning!$CM18:$DN18),0)</f>
      </c>
      <c r="G55" s="763">
        <f>IF(GetFillColor(G55)=15,SUM(Planning!$DP18:$EQ18),0)</f>
      </c>
      <c r="H55" s="763">
        <f>IF(GetFillColor(H55)=15,SUM(Planning!$ES18:$FT18),0)</f>
      </c>
      <c r="I55" s="763">
        <f>IF(GetFillColor(I55)=15,SUM(Planning!$FV18:$GW18),0)</f>
      </c>
      <c r="J55" s="762">
        <f>IF(GetFillColor(J55)=15,SUM(Planning!$HB18:$IC18),0)</f>
      </c>
      <c r="K55" s="762">
        <f>IF(GetFillColor(K55)=15,SUM(Planning!$IE18:$JF18),0)</f>
      </c>
      <c r="L55" s="762">
        <f>IF(GetFillColor(L55)=15,SUM(Planning!$JH18:$KI18),0)</f>
      </c>
      <c r="M55" s="762">
        <f>IF(GetFillColor(M55)=15,SUM(Planning!$KK18:$LL18),0)</f>
      </c>
      <c r="N55" s="762">
        <f>IF(GetFillColor(N55)=15,SUM(Planning!$LN18:$MO18),0)</f>
      </c>
      <c r="O55" s="763">
        <f>IF(GetFillColor(O55)=15,SUM(Planning!$MQ18:$NR18),0)</f>
      </c>
      <c r="P55" s="763">
        <f>IF(GetFillColor(P55)=15,SUM(Planning!$NT18:$OU18),0)</f>
      </c>
      <c r="Q55" s="762">
        <f>IF(GetFillColor(Q55)=15,SUM(Planning!$OZ18:$QA18),0)</f>
      </c>
      <c r="R55" s="762">
        <f>IF(GetFillColor(R55)=15,SUM(Planning!$QC18:$RD18),0)</f>
      </c>
      <c r="S55" s="762">
        <f>IF(GetFillColor(S55)=15,SUM(Planning!$RF18:$SG18),0)</f>
      </c>
      <c r="T55" s="762">
        <f>IF(GetFillColor(T55)=15,SUM(Planning!$SI18:$TJ18),0)</f>
      </c>
      <c r="U55" s="762">
        <f>IF(GetFillColor(U55)=15,SUM(Planning!$TL18:$UM18),0)</f>
      </c>
      <c r="V55" s="763">
        <f>IF(GetFillColor(V55)=15,SUM(Planning!$UO18:$VP18),0)</f>
      </c>
      <c r="W55" s="763">
        <f>IF(GetFillColor(W55)=15,SUM(Planning!$VR18:$WS18),0)</f>
      </c>
      <c r="X55" s="762">
        <f>IF(GetFillColor(X55)=15,SUM(Planning!$WX18:$XY18),0)</f>
      </c>
      <c r="Y55" s="762">
        <f>IF(GetFillColor(Y55)=15,SUM(Planning!$YA18:$ZB18),0)</f>
      </c>
      <c r="Z55" s="762">
        <f>IF(GetFillColor(Z55)=15,SUM(Planning!$ZD18:$AAE18),0)</f>
      </c>
      <c r="AA55" s="762">
        <f>IF(GetFillColor(AA55)=15,SUM(Planning!$AAG18:$ABH18),0)</f>
      </c>
      <c r="AB55" s="762">
        <f>IF(GetFillColor(AB55)=15,SUM(Planning!$ABJ18:$ACK18),0)</f>
      </c>
      <c r="AC55" s="763">
        <f>IF(GetFillColor(AC55)=15,SUM(Planning!$ACM18:$ADN18),0)</f>
      </c>
      <c r="AD55" s="763">
        <f>IF(GetFillColor(AD55)=15,SUM(Planning!$ADP18:$AEQ18),0)</f>
      </c>
      <c r="AE55" s="762">
        <f>IF(GetFillColor(AE55)=15,SUM(Planning!$AEV18:$AFW18),0)</f>
      </c>
      <c r="AF55" s="762">
        <f>IF(GetFillColor(AF55)=15,SUM(Planning!$AFY18:$AGZ18),0)</f>
      </c>
      <c r="AG55" s="762">
        <f>IF(GetFillColor(AG55)=15,SUM(Planning!$AHB18:$AIC18),0)</f>
      </c>
      <c r="AH55" s="762">
        <f>IF(GetFillColor(AH55)=15,SUM(Planning!$AIE18:$AJF18),0)</f>
      </c>
      <c r="AI55" s="762">
        <f>IF(GetFillColor(AI55)=15,SUM(Planning!$AJH18:$AKI18),0)</f>
      </c>
      <c r="AJ55" s="763">
        <f>IF(GetFillColor(AJ55)=15,SUM(Planning!$AKK18:$ALL18),0)</f>
      </c>
      <c r="AK55" s="760">
        <f>IF(GetFillColor(AK55)=15,SUM(Planning!$ALN18:$AMO18),0)</f>
      </c>
      <c r="AL55" s="698">
        <f>SUM(C55:AK55)</f>
      </c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</row>
    <row r="56" ht="20.25" customHeight="1" spans="1:50" x14ac:dyDescent="0.25">
      <c r="A56" s="4">
        <f>A10</f>
      </c>
      <c r="B56" s="4"/>
      <c r="C56" s="760">
        <f>IF(GetFillColor(C56)=15,SUM(Planning!$D19:$AE19),0)</f>
      </c>
      <c r="D56" s="760">
        <f>IF(GetFillColor(D56)=15,SUM(Planning!$AG19:$BH19),0)</f>
      </c>
      <c r="E56" s="760">
        <f>IF(GetFillColor(E56)=15,SUM(Planning!$BJ19:$CK19),0)</f>
      </c>
      <c r="F56" s="763">
        <f>IF(GetFillColor(F56)=15,SUM(Planning!$CM19:$DN19),0)</f>
      </c>
      <c r="G56" s="763">
        <f>IF(GetFillColor(G56)=15,SUM(Planning!$DP19:$EQ19),0)</f>
      </c>
      <c r="H56" s="763">
        <f>IF(GetFillColor(H56)=15,SUM(Planning!$ES19:$FT19),0)</f>
      </c>
      <c r="I56" s="763">
        <f>IF(GetFillColor(I56)=15,SUM(Planning!$FV19:$GW19),0)</f>
      </c>
      <c r="J56" s="762">
        <f>IF(GetFillColor(J56)=15,SUM(Planning!$HB19:$IC19),0)</f>
      </c>
      <c r="K56" s="762">
        <f>IF(GetFillColor(K56)=15,SUM(Planning!$IE19:$JF19),0)</f>
      </c>
      <c r="L56" s="762">
        <f>IF(GetFillColor(L56)=15,SUM(Planning!$JH19:$KI19),0)</f>
      </c>
      <c r="M56" s="762">
        <f>IF(GetFillColor(M56)=15,SUM(Planning!$KK19:$LL19),0)</f>
      </c>
      <c r="N56" s="762">
        <f>IF(GetFillColor(N56)=15,SUM(Planning!$LN19:$MO19),0)</f>
      </c>
      <c r="O56" s="763">
        <f>IF(GetFillColor(O56)=15,SUM(Planning!$MQ19:$NR19),0)</f>
      </c>
      <c r="P56" s="763">
        <f>IF(GetFillColor(P56)=15,SUM(Planning!$NT19:$OU19),0)</f>
      </c>
      <c r="Q56" s="762">
        <f>IF(GetFillColor(Q56)=15,SUM(Planning!$OZ19:$QA19),0)</f>
      </c>
      <c r="R56" s="762">
        <f>IF(GetFillColor(R56)=15,SUM(Planning!$QC19:$RD19),0)</f>
      </c>
      <c r="S56" s="762">
        <f>IF(GetFillColor(S56)=15,SUM(Planning!$RF19:$SG19),0)</f>
      </c>
      <c r="T56" s="762">
        <f>IF(GetFillColor(T56)=15,SUM(Planning!$SI19:$TJ19),0)</f>
      </c>
      <c r="U56" s="762">
        <f>IF(GetFillColor(U56)=15,SUM(Planning!$TL19:$UM19),0)</f>
      </c>
      <c r="V56" s="763">
        <f>IF(GetFillColor(V56)=15,SUM(Planning!$UO19:$VP19),0)</f>
      </c>
      <c r="W56" s="763">
        <f>IF(GetFillColor(W56)=15,SUM(Planning!$VR19:$WS19),0)</f>
      </c>
      <c r="X56" s="762">
        <f>IF(GetFillColor(X56)=15,SUM(Planning!$WX19:$XY19),0)</f>
      </c>
      <c r="Y56" s="762">
        <f>IF(GetFillColor(Y56)=15,SUM(Planning!$YA19:$ZB19),0)</f>
      </c>
      <c r="Z56" s="762">
        <f>IF(GetFillColor(Z56)=15,SUM(Planning!$ZD19:$AAE19),0)</f>
      </c>
      <c r="AA56" s="762">
        <f>IF(GetFillColor(AA56)=15,SUM(Planning!$AAG19:$ABH19),0)</f>
      </c>
      <c r="AB56" s="762">
        <f>IF(GetFillColor(AB56)=15,SUM(Planning!$ABJ19:$ACK19),0)</f>
      </c>
      <c r="AC56" s="763">
        <f>IF(GetFillColor(AC56)=15,SUM(Planning!$ACM19:$ADN19),0)</f>
      </c>
      <c r="AD56" s="763">
        <f>IF(GetFillColor(AD56)=15,SUM(Planning!$ADP19:$AEQ19),0)</f>
      </c>
      <c r="AE56" s="762">
        <f>IF(GetFillColor(AE56)=15,SUM(Planning!$AEV19:$AFW19),0)</f>
      </c>
      <c r="AF56" s="762">
        <f>IF(GetFillColor(AF56)=15,SUM(Planning!$AFY19:$AGZ19),0)</f>
      </c>
      <c r="AG56" s="762">
        <f>IF(GetFillColor(AG56)=15,SUM(Planning!$AHB19:$AIC19),0)</f>
      </c>
      <c r="AH56" s="762">
        <f>IF(GetFillColor(AH56)=15,SUM(Planning!$AIE19:$AJF19),0)</f>
      </c>
      <c r="AI56" s="762">
        <f>IF(GetFillColor(AI56)=15,SUM(Planning!$AJH19:$AKI19),0)</f>
      </c>
      <c r="AJ56" s="763">
        <f>IF(GetFillColor(AJ56)=15,SUM(Planning!$AKK19:$ALL19),0)</f>
      </c>
      <c r="AK56" s="760">
        <f>IF(GetFillColor(AK56)=15,SUM(Planning!$ALN19:$AMO19),0)</f>
      </c>
      <c r="AL56" s="698">
        <f>SUM(C56:AK56)</f>
      </c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ht="20.25" customHeight="1" spans="1:50" x14ac:dyDescent="0.25">
      <c r="A57" s="4">
        <f>A11</f>
      </c>
      <c r="B57" s="4"/>
      <c r="C57" s="760">
        <f>IF(GetFillColor(C57)=15,SUM(Planning!$D20:$AE20),0)</f>
      </c>
      <c r="D57" s="760">
        <f>IF(GetFillColor(D57)=15,SUM(Planning!$AG20:$BH20),0)</f>
      </c>
      <c r="E57" s="760">
        <f>IF(GetFillColor(E57)=15,SUM(Planning!$BJ20:$CK20),0)</f>
      </c>
      <c r="F57" s="763">
        <f>IF(GetFillColor(F57)=15,SUM(Planning!$CM20:$DN20),0)</f>
      </c>
      <c r="G57" s="763">
        <f>IF(GetFillColor(G57)=15,SUM(Planning!$DP20:$EQ20),0)</f>
      </c>
      <c r="H57" s="763">
        <f>IF(GetFillColor(H57)=15,SUM(Planning!$ES20:$FT20),0)</f>
      </c>
      <c r="I57" s="763">
        <f>IF(GetFillColor(I57)=15,SUM(Planning!$FV20:$GW20),0)</f>
      </c>
      <c r="J57" s="762">
        <f>IF(GetFillColor(J57)=15,SUM(Planning!$HB20:$IC20),0)</f>
      </c>
      <c r="K57" s="762">
        <f>IF(GetFillColor(K57)=15,SUM(Planning!$IE20:$JF20),0)</f>
      </c>
      <c r="L57" s="762">
        <f>IF(GetFillColor(L57)=15,SUM(Planning!$JH20:$KI20),0)</f>
      </c>
      <c r="M57" s="762">
        <f>IF(GetFillColor(M57)=15,SUM(Planning!$KK20:$LL20),0)</f>
      </c>
      <c r="N57" s="762">
        <f>IF(GetFillColor(N57)=15,SUM(Planning!$LN20:$MO20),0)</f>
      </c>
      <c r="O57" s="763">
        <f>IF(GetFillColor(O57)=15,SUM(Planning!$MQ20:$NR20),0)</f>
      </c>
      <c r="P57" s="763">
        <f>IF(GetFillColor(P57)=15,SUM(Planning!$NT20:$OU20),0)</f>
      </c>
      <c r="Q57" s="762">
        <f>IF(GetFillColor(Q57)=15,SUM(Planning!$OZ20:$QA20),0)</f>
      </c>
      <c r="R57" s="762">
        <f>IF(GetFillColor(R57)=15,SUM(Planning!$QC20:$RD20),0)</f>
      </c>
      <c r="S57" s="762">
        <f>IF(GetFillColor(S57)=15,SUM(Planning!$RF20:$SG20),0)</f>
      </c>
      <c r="T57" s="762">
        <f>IF(GetFillColor(T57)=15,SUM(Planning!$SI20:$TJ20),0)</f>
      </c>
      <c r="U57" s="762">
        <f>IF(GetFillColor(U57)=15,SUM(Planning!$TL20:$UM20),0)</f>
      </c>
      <c r="V57" s="763">
        <f>IF(GetFillColor(V57)=15,SUM(Planning!$UO20:$VP20),0)</f>
      </c>
      <c r="W57" s="763">
        <f>IF(GetFillColor(W57)=15,SUM(Planning!$VR20:$WS20),0)</f>
      </c>
      <c r="X57" s="762">
        <f>IF(GetFillColor(X57)=15,SUM(Planning!$WX20:$XY20),0)</f>
      </c>
      <c r="Y57" s="762">
        <f>IF(GetFillColor(Y57)=15,SUM(Planning!$YA20:$ZB20),0)</f>
      </c>
      <c r="Z57" s="762">
        <f>IF(GetFillColor(Z57)=15,SUM(Planning!$ZD20:$AAE20),0)</f>
      </c>
      <c r="AA57" s="762">
        <f>IF(GetFillColor(AA57)=15,SUM(Planning!$AAG20:$ABH20),0)</f>
      </c>
      <c r="AB57" s="762">
        <f>IF(GetFillColor(AB57)=15,SUM(Planning!$ABJ20:$ACK20),0)</f>
      </c>
      <c r="AC57" s="763">
        <f>IF(GetFillColor(AC57)=15,SUM(Planning!$ACM20:$ADN20),0)</f>
      </c>
      <c r="AD57" s="763">
        <f>IF(GetFillColor(AD57)=15,SUM(Planning!$ADP20:$AEQ20),0)</f>
      </c>
      <c r="AE57" s="762">
        <f>IF(GetFillColor(AE57)=15,SUM(Planning!$AEV20:$AFW20),0)</f>
      </c>
      <c r="AF57" s="762">
        <f>IF(GetFillColor(AF57)=15,SUM(Planning!$AFY20:$AGZ20),0)</f>
      </c>
      <c r="AG57" s="762">
        <f>IF(GetFillColor(AG57)=15,SUM(Planning!$AHB20:$AIC20),0)</f>
      </c>
      <c r="AH57" s="762">
        <f>IF(GetFillColor(AH57)=15,SUM(Planning!$AIE20:$AJF20),0)</f>
      </c>
      <c r="AI57" s="762">
        <f>IF(GetFillColor(AI57)=15,SUM(Planning!$AJH20:$AKI20),0)</f>
      </c>
      <c r="AJ57" s="763">
        <f>IF(GetFillColor(AJ57)=15,SUM(Planning!$AKK20:$ALL20),0)</f>
      </c>
      <c r="AK57" s="760">
        <f>IF(GetFillColor(AK57)=15,SUM(Planning!$ALN20:$AMO20),0)</f>
      </c>
      <c r="AL57" s="698">
        <f>SUM(C57:AK57)</f>
      </c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ht="20.25" customHeight="1" spans="1:50" x14ac:dyDescent="0.25">
      <c r="A58" s="4">
        <f>A12</f>
      </c>
      <c r="B58" s="4"/>
      <c r="C58" s="760">
        <f>IF(GetFillColor(C58)=15,SUM(Planning!$D21:$AE21),0)</f>
      </c>
      <c r="D58" s="760">
        <f>IF(GetFillColor(D58)=15,SUM(Planning!$AG21:$BH21),0)</f>
      </c>
      <c r="E58" s="760">
        <f>IF(GetFillColor(E58)=15,SUM(Planning!$BJ21:$CK21),0)</f>
      </c>
      <c r="F58" s="763">
        <f>IF(GetFillColor(F58)=15,SUM(Planning!$CM21:$DN21),0)</f>
      </c>
      <c r="G58" s="763">
        <f>IF(GetFillColor(G58)=15,SUM(Planning!$DP21:$EQ21),0)</f>
      </c>
      <c r="H58" s="763">
        <f>IF(GetFillColor(H58)=15,SUM(Planning!$ES21:$FT21),0)</f>
      </c>
      <c r="I58" s="763">
        <f>IF(GetFillColor(I58)=15,SUM(Planning!$FV21:$GW21),0)</f>
      </c>
      <c r="J58" s="762">
        <f>IF(GetFillColor(J58)=15,SUM(Planning!$HB21:$IC21),0)</f>
      </c>
      <c r="K58" s="762">
        <f>IF(GetFillColor(K58)=15,SUM(Planning!$IE21:$JF21),0)</f>
      </c>
      <c r="L58" s="762">
        <f>IF(GetFillColor(L58)=15,SUM(Planning!$JH21:$KI21),0)</f>
      </c>
      <c r="M58" s="762">
        <f>IF(GetFillColor(M58)=15,SUM(Planning!$KK21:$LL21),0)</f>
      </c>
      <c r="N58" s="762">
        <f>IF(GetFillColor(N58)=15,SUM(Planning!$LN21:$MO21),0)</f>
      </c>
      <c r="O58" s="763">
        <f>IF(GetFillColor(O58)=15,SUM(Planning!$MQ21:$NR21),0)</f>
      </c>
      <c r="P58" s="763">
        <f>IF(GetFillColor(P58)=15,SUM(Planning!$NT21:$OU21),0)</f>
      </c>
      <c r="Q58" s="762">
        <f>IF(GetFillColor(Q58)=15,SUM(Planning!$OZ21:$QA21),0)</f>
      </c>
      <c r="R58" s="762">
        <f>IF(GetFillColor(R58)=15,SUM(Planning!$QC21:$RD21),0)</f>
      </c>
      <c r="S58" s="762">
        <f>IF(GetFillColor(S58)=15,SUM(Planning!$RF21:$SG21),0)</f>
      </c>
      <c r="T58" s="762">
        <f>IF(GetFillColor(T58)=15,SUM(Planning!$SI21:$TJ21),0)</f>
      </c>
      <c r="U58" s="762">
        <f>IF(GetFillColor(U58)=15,SUM(Planning!$TL21:$UM21),0)</f>
      </c>
      <c r="V58" s="763">
        <f>IF(GetFillColor(V58)=15,SUM(Planning!$UO21:$VP21),0)</f>
      </c>
      <c r="W58" s="763">
        <f>IF(GetFillColor(W58)=15,SUM(Planning!$VR21:$WS21),0)</f>
      </c>
      <c r="X58" s="762">
        <f>IF(GetFillColor(X58)=15,SUM(Planning!$WX21:$XY21),0)</f>
      </c>
      <c r="Y58" s="762">
        <f>IF(GetFillColor(Y58)=15,SUM(Planning!$YA21:$ZB21),0)</f>
      </c>
      <c r="Z58" s="762">
        <f>IF(GetFillColor(Z58)=15,SUM(Planning!$ZD21:$AAE21),0)</f>
      </c>
      <c r="AA58" s="762">
        <f>IF(GetFillColor(AA58)=15,SUM(Planning!$AAG21:$ABH21),0)</f>
      </c>
      <c r="AB58" s="762">
        <f>IF(GetFillColor(AB58)=15,SUM(Planning!$ABJ21:$ACK21),0)</f>
      </c>
      <c r="AC58" s="763">
        <f>IF(GetFillColor(AC58)=15,SUM(Planning!$ACM21:$ADN21),0)</f>
      </c>
      <c r="AD58" s="763">
        <f>IF(GetFillColor(AD58)=15,SUM(Planning!$ADP21:$AEQ21),0)</f>
      </c>
      <c r="AE58" s="762">
        <f>IF(GetFillColor(AE58)=15,SUM(Planning!$AEV21:$AFW21),0)</f>
      </c>
      <c r="AF58" s="762">
        <f>IF(GetFillColor(AF58)=15,SUM(Planning!$AFY21:$AGZ21),0)</f>
      </c>
      <c r="AG58" s="762">
        <f>IF(GetFillColor(AG58)=15,SUM(Planning!$AHB21:$AIC21),0)</f>
      </c>
      <c r="AH58" s="762">
        <f>IF(GetFillColor(AH58)=15,SUM(Planning!$AIE21:$AJF21),0)</f>
      </c>
      <c r="AI58" s="762">
        <f>IF(GetFillColor(AI58)=15,SUM(Planning!$AJH21:$AKI21),0)</f>
      </c>
      <c r="AJ58" s="763">
        <f>IF(GetFillColor(AJ58)=15,SUM(Planning!$AKK21:$ALL21),0)</f>
      </c>
      <c r="AK58" s="760">
        <f>IF(GetFillColor(AK58)=15,SUM(Planning!$ALN21:$AMO21),0)</f>
      </c>
      <c r="AL58" s="698">
        <f>SUM(C58:AK58)</f>
      </c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ht="20.25" customHeight="1" spans="1:50" x14ac:dyDescent="0.25">
      <c r="A59" s="4">
        <f>A13</f>
      </c>
      <c r="B59" s="4"/>
      <c r="C59" s="760">
        <f>IF(GetFillColor(C59)=15,SUM(Planning!$D22:$AE22),0)</f>
      </c>
      <c r="D59" s="760">
        <f>IF(GetFillColor(D59)=15,SUM(Planning!$AG22:$BH22),0)</f>
      </c>
      <c r="E59" s="760">
        <f>IF(GetFillColor(E59)=15,SUM(Planning!$BJ22:$CK22),0)</f>
      </c>
      <c r="F59" s="763">
        <f>IF(GetFillColor(F59)=15,SUM(Planning!$CM22:$DN22),0)</f>
      </c>
      <c r="G59" s="763">
        <f>IF(GetFillColor(G59)=15,SUM(Planning!$DP22:$EQ22),0)</f>
      </c>
      <c r="H59" s="763">
        <f>IF(GetFillColor(H59)=15,SUM(Planning!$ES22:$FT22),0)</f>
      </c>
      <c r="I59" s="763">
        <f>IF(GetFillColor(I59)=15,SUM(Planning!$FV22:$GW22),0)</f>
      </c>
      <c r="J59" s="762">
        <f>IF(GetFillColor(J59)=15,SUM(Planning!$HB22:$IC22),0)</f>
      </c>
      <c r="K59" s="762">
        <f>IF(GetFillColor(K59)=15,SUM(Planning!$IE22:$JF22),0)</f>
      </c>
      <c r="L59" s="762">
        <f>IF(GetFillColor(L59)=15,SUM(Planning!$JH22:$KI22),0)</f>
      </c>
      <c r="M59" s="762">
        <f>IF(GetFillColor(M59)=15,SUM(Planning!$KK22:$LL22),0)</f>
      </c>
      <c r="N59" s="762">
        <f>IF(GetFillColor(N59)=15,SUM(Planning!$LN22:$MO22),0)</f>
      </c>
      <c r="O59" s="763">
        <f>IF(GetFillColor(O59)=15,SUM(Planning!$MQ22:$NR22),0)</f>
      </c>
      <c r="P59" s="763">
        <f>IF(GetFillColor(P59)=15,SUM(Planning!$NT22:$OU22),0)</f>
      </c>
      <c r="Q59" s="762">
        <f>IF(GetFillColor(Q59)=15,SUM(Planning!$OZ22:$QA22),0)</f>
      </c>
      <c r="R59" s="762">
        <f>IF(GetFillColor(R59)=15,SUM(Planning!$QC22:$RD22),0)</f>
      </c>
      <c r="S59" s="762">
        <f>IF(GetFillColor(S59)=15,SUM(Planning!$RF22:$SG22),0)</f>
      </c>
      <c r="T59" s="762">
        <f>IF(GetFillColor(T59)=15,SUM(Planning!$SI22:$TJ22),0)</f>
      </c>
      <c r="U59" s="762">
        <f>IF(GetFillColor(U59)=15,SUM(Planning!$TL22:$UM22),0)</f>
      </c>
      <c r="V59" s="763">
        <f>IF(GetFillColor(V59)=15,SUM(Planning!$UO22:$VP22),0)</f>
      </c>
      <c r="W59" s="763">
        <f>IF(GetFillColor(W59)=15,SUM(Planning!$VR22:$WS22),0)</f>
      </c>
      <c r="X59" s="762">
        <f>IF(GetFillColor(X59)=15,SUM(Planning!$WX22:$XY22),0)</f>
      </c>
      <c r="Y59" s="762">
        <f>IF(GetFillColor(Y59)=15,SUM(Planning!$YA22:$ZB22),0)</f>
      </c>
      <c r="Z59" s="762">
        <f>IF(GetFillColor(Z59)=15,SUM(Planning!$ZD22:$AAE22),0)</f>
      </c>
      <c r="AA59" s="762">
        <f>IF(GetFillColor(AA59)=15,SUM(Planning!$AAG22:$ABH22),0)</f>
      </c>
      <c r="AB59" s="762">
        <f>IF(GetFillColor(AB59)=15,SUM(Planning!$ABJ22:$ACK22),0)</f>
      </c>
      <c r="AC59" s="763">
        <f>IF(GetFillColor(AC59)=15,SUM(Planning!$ACM22:$ADN22),0)</f>
      </c>
      <c r="AD59" s="763">
        <f>IF(GetFillColor(AD59)=15,SUM(Planning!$ADP22:$AEQ22),0)</f>
      </c>
      <c r="AE59" s="762">
        <f>IF(GetFillColor(AE59)=15,SUM(Planning!$AEV22:$AFW22),0)</f>
      </c>
      <c r="AF59" s="762">
        <f>IF(GetFillColor(AF59)=15,SUM(Planning!$AFY22:$AGZ22),0)</f>
      </c>
      <c r="AG59" s="762">
        <f>IF(GetFillColor(AG59)=15,SUM(Planning!$AHB22:$AIC22),0)</f>
      </c>
      <c r="AH59" s="762">
        <f>IF(GetFillColor(AH59)=15,SUM(Planning!$AIE22:$AJF22),0)</f>
      </c>
      <c r="AI59" s="762">
        <f>IF(GetFillColor(AI59)=15,SUM(Planning!$AJH22:$AKI22),0)</f>
      </c>
      <c r="AJ59" s="763">
        <f>IF(GetFillColor(AJ59)=15,SUM(Planning!$AKK22:$ALL22),0)</f>
      </c>
      <c r="AK59" s="760">
        <f>IF(GetFillColor(AK59)=15,SUM(Planning!$ALN22:$AMO22),0)</f>
      </c>
      <c r="AL59" s="698">
        <f>SUM(C59:AK59)</f>
      </c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ht="20.25" customHeight="1" spans="1:50" x14ac:dyDescent="0.25">
      <c r="A60" s="4">
        <f>A14</f>
      </c>
      <c r="B60" s="4"/>
      <c r="C60" s="760">
        <f>IF(GetFillColor(C60)=15,SUM(Planning!$D23:$AE23),0)</f>
      </c>
      <c r="D60" s="760">
        <f>IF(GetFillColor(D60)=15,SUM(Planning!$AG23:$BH23),0)</f>
      </c>
      <c r="E60" s="760">
        <f>IF(GetFillColor(E60)=15,SUM(Planning!$BJ23:$CK23),0)</f>
      </c>
      <c r="F60" s="763">
        <f>IF(GetFillColor(F60)=15,SUM(Planning!$CM23:$DN23),0)</f>
      </c>
      <c r="G60" s="763">
        <f>IF(GetFillColor(G60)=15,SUM(Planning!$DP23:$EQ23),0)</f>
      </c>
      <c r="H60" s="763">
        <f>IF(GetFillColor(H60)=15,SUM(Planning!$ES23:$FT23),0)</f>
      </c>
      <c r="I60" s="763">
        <f>IF(GetFillColor(I60)=15,SUM(Planning!$FV23:$GW23),0)</f>
      </c>
      <c r="J60" s="762">
        <f>IF(GetFillColor(J60)=15,SUM(Planning!$HB23:$IC23),0)</f>
      </c>
      <c r="K60" s="762">
        <f>IF(GetFillColor(K60)=15,SUM(Planning!$IE23:$JF23),0)</f>
      </c>
      <c r="L60" s="762">
        <f>IF(GetFillColor(L60)=15,SUM(Planning!$JH23:$KI23),0)</f>
      </c>
      <c r="M60" s="762">
        <f>IF(GetFillColor(M60)=15,SUM(Planning!$KK23:$LL23),0)</f>
      </c>
      <c r="N60" s="762">
        <f>IF(GetFillColor(N60)=15,SUM(Planning!$LN23:$MO23),0)</f>
      </c>
      <c r="O60" s="763">
        <f>IF(GetFillColor(O60)=15,SUM(Planning!$MQ23:$NR23),0)</f>
      </c>
      <c r="P60" s="763">
        <f>IF(GetFillColor(P60)=15,SUM(Planning!$NT23:$OU23),0)</f>
      </c>
      <c r="Q60" s="762">
        <f>IF(GetFillColor(Q60)=15,SUM(Planning!$OZ23:$QA23),0)</f>
      </c>
      <c r="R60" s="762">
        <f>IF(GetFillColor(R60)=15,SUM(Planning!$QC23:$RD23),0)</f>
      </c>
      <c r="S60" s="762">
        <f>IF(GetFillColor(S60)=15,SUM(Planning!$RF23:$SG23),0)</f>
      </c>
      <c r="T60" s="762">
        <f>IF(GetFillColor(T60)=15,SUM(Planning!$SI23:$TJ23),0)</f>
      </c>
      <c r="U60" s="762">
        <f>IF(GetFillColor(U60)=15,SUM(Planning!$TL23:$UM23),0)</f>
      </c>
      <c r="V60" s="763">
        <f>IF(GetFillColor(V60)=15,SUM(Planning!$UO23:$VP23),0)</f>
      </c>
      <c r="W60" s="763">
        <f>IF(GetFillColor(W60)=15,SUM(Planning!$VR23:$WS23),0)</f>
      </c>
      <c r="X60" s="762">
        <f>IF(GetFillColor(X60)=15,SUM(Planning!$WX23:$XY23),0)</f>
      </c>
      <c r="Y60" s="762">
        <f>IF(GetFillColor(Y60)=15,SUM(Planning!$YA23:$ZB23),0)</f>
      </c>
      <c r="Z60" s="762">
        <f>IF(GetFillColor(Z60)=15,SUM(Planning!$ZD23:$AAE23),0)</f>
      </c>
      <c r="AA60" s="762">
        <f>IF(GetFillColor(AA60)=15,SUM(Planning!$AAG23:$ABH23),0)</f>
      </c>
      <c r="AB60" s="762">
        <f>IF(GetFillColor(AB60)=15,SUM(Planning!$ABJ23:$ACK23),0)</f>
      </c>
      <c r="AC60" s="763">
        <f>IF(GetFillColor(AC60)=15,SUM(Planning!$ACM23:$ADN23),0)</f>
      </c>
      <c r="AD60" s="763">
        <f>IF(GetFillColor(AD60)=15,SUM(Planning!$ADP23:$AEQ23),0)</f>
      </c>
      <c r="AE60" s="762">
        <f>IF(GetFillColor(AE60)=15,SUM(Planning!$AEV23:$AFW23),0)</f>
      </c>
      <c r="AF60" s="762">
        <f>IF(GetFillColor(AF60)=15,SUM(Planning!$AFY23:$AGZ23),0)</f>
      </c>
      <c r="AG60" s="762">
        <f>IF(GetFillColor(AG60)=15,SUM(Planning!$AHB23:$AIC23),0)</f>
      </c>
      <c r="AH60" s="762">
        <f>IF(GetFillColor(AH60)=15,SUM(Planning!$AIE23:$AJF23),0)</f>
      </c>
      <c r="AI60" s="762">
        <f>IF(GetFillColor(AI60)=15,SUM(Planning!$AJH23:$AKI23),0)</f>
      </c>
      <c r="AJ60" s="763">
        <f>IF(GetFillColor(AJ60)=15,SUM(Planning!$AKK23:$ALL23),0)</f>
      </c>
      <c r="AK60" s="760">
        <f>IF(GetFillColor(AK60)=15,SUM(Planning!$ALN23:$AMO23),0)</f>
      </c>
      <c r="AL60" s="698">
        <f>SUM(C60:AK60)</f>
      </c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ht="20.25" customHeight="1" spans="1:50" x14ac:dyDescent="0.25">
      <c r="A61" s="4">
        <f>A15</f>
      </c>
      <c r="B61" s="4"/>
      <c r="C61" s="760">
        <f>IF(GetFillColor(C61)=15,SUM(Planning!$D24:$AE24),0)</f>
      </c>
      <c r="D61" s="760">
        <f>IF(GetFillColor(D61)=15,SUM(Planning!$AG24:$BH24),0)</f>
      </c>
      <c r="E61" s="760">
        <f>IF(GetFillColor(E61)=15,SUM(Planning!$BJ24:$CK24),0)</f>
      </c>
      <c r="F61" s="763">
        <f>IF(GetFillColor(F61)=15,SUM(Planning!$CM24:$DN24),0)</f>
      </c>
      <c r="G61" s="763">
        <f>IF(GetFillColor(G61)=15,SUM(Planning!$DP24:$EQ24),0)</f>
      </c>
      <c r="H61" s="763">
        <f>IF(GetFillColor(H61)=15,SUM(Planning!$ES24:$FT24),0)</f>
      </c>
      <c r="I61" s="763">
        <f>IF(GetFillColor(I61)=15,SUM(Planning!$FV24:$GW24),0)</f>
      </c>
      <c r="J61" s="762">
        <f>IF(GetFillColor(J61)=15,SUM(Planning!$HB24:$IC24),0)</f>
      </c>
      <c r="K61" s="762">
        <f>IF(GetFillColor(K61)=15,SUM(Planning!$IE24:$JF24),0)</f>
      </c>
      <c r="L61" s="762">
        <f>IF(GetFillColor(L61)=15,SUM(Planning!$JH24:$KI24),0)</f>
      </c>
      <c r="M61" s="762">
        <f>IF(GetFillColor(M61)=15,SUM(Planning!$KK24:$LL24),0)</f>
      </c>
      <c r="N61" s="762">
        <f>IF(GetFillColor(N61)=15,SUM(Planning!$LN24:$MO24),0)</f>
      </c>
      <c r="O61" s="763">
        <f>IF(GetFillColor(O61)=15,SUM(Planning!$MQ24:$NR24),0)</f>
      </c>
      <c r="P61" s="763">
        <f>IF(GetFillColor(P61)=15,SUM(Planning!$NT24:$OU24),0)</f>
      </c>
      <c r="Q61" s="762">
        <f>IF(GetFillColor(Q61)=15,SUM(Planning!$OZ24:$QA24),0)</f>
      </c>
      <c r="R61" s="762">
        <f>IF(GetFillColor(R61)=15,SUM(Planning!$QC24:$RD24),0)</f>
      </c>
      <c r="S61" s="762">
        <f>IF(GetFillColor(S61)=15,SUM(Planning!$RF24:$SG24),0)</f>
      </c>
      <c r="T61" s="762">
        <f>IF(GetFillColor(T61)=15,SUM(Planning!$SI24:$TJ24),0)</f>
      </c>
      <c r="U61" s="762">
        <f>IF(GetFillColor(U61)=15,SUM(Planning!$TL24:$UM24),0)</f>
      </c>
      <c r="V61" s="763">
        <f>IF(GetFillColor(V61)=15,SUM(Planning!$UO24:$VP24),0)</f>
      </c>
      <c r="W61" s="763">
        <f>IF(GetFillColor(W61)=15,SUM(Planning!$VR24:$WS24),0)</f>
      </c>
      <c r="X61" s="762">
        <f>IF(GetFillColor(X61)=15,SUM(Planning!$WX24:$XY24),0)</f>
      </c>
      <c r="Y61" s="762">
        <f>IF(GetFillColor(Y61)=15,SUM(Planning!$YA24:$ZB24),0)</f>
      </c>
      <c r="Z61" s="762">
        <f>IF(GetFillColor(Z61)=15,SUM(Planning!$ZD24:$AAE24),0)</f>
      </c>
      <c r="AA61" s="762">
        <f>IF(GetFillColor(AA61)=15,SUM(Planning!$AAG24:$ABH24),0)</f>
      </c>
      <c r="AB61" s="762">
        <f>IF(GetFillColor(AB61)=15,SUM(Planning!$ABJ24:$ACK24),0)</f>
      </c>
      <c r="AC61" s="763">
        <f>IF(GetFillColor(AC61)=15,SUM(Planning!$ACM24:$ADN24),0)</f>
      </c>
      <c r="AD61" s="763">
        <f>IF(GetFillColor(AD61)=15,SUM(Planning!$ADP24:$AEQ24),0)</f>
      </c>
      <c r="AE61" s="762">
        <f>IF(GetFillColor(AE61)=15,SUM(Planning!$AEV24:$AFW24),0)</f>
      </c>
      <c r="AF61" s="762">
        <f>IF(GetFillColor(AF61)=15,SUM(Planning!$AFY24:$AGZ24),0)</f>
      </c>
      <c r="AG61" s="762">
        <f>IF(GetFillColor(AG61)=15,SUM(Planning!$AHB24:$AIC24),0)</f>
      </c>
      <c r="AH61" s="762">
        <f>IF(GetFillColor(AH61)=15,SUM(Planning!$AIE24:$AJF24),0)</f>
      </c>
      <c r="AI61" s="762">
        <f>IF(GetFillColor(AI61)=15,SUM(Planning!$AJH24:$AKI24),0)</f>
      </c>
      <c r="AJ61" s="763">
        <f>IF(GetFillColor(AJ61)=15,SUM(Planning!$AKK24:$ALL24),0)</f>
      </c>
      <c r="AK61" s="760">
        <f>IF(GetFillColor(AK61)=15,SUM(Planning!$ALN24:$AMO24),0)</f>
      </c>
      <c r="AL61" s="698">
        <f>SUM(C61:AK61)</f>
      </c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ht="20.25" customHeight="1" spans="1:50" x14ac:dyDescent="0.25">
      <c r="A62" s="4">
        <f>A16</f>
      </c>
      <c r="B62" s="4"/>
      <c r="C62" s="760">
        <f>IF(GetFillColor(C62)=15,SUM(Planning!$D25:$AE25),0)</f>
      </c>
      <c r="D62" s="760">
        <f>IF(GetFillColor(D62)=15,SUM(Planning!$AG25:$BH25),0)</f>
      </c>
      <c r="E62" s="760">
        <f>IF(GetFillColor(E62)=15,SUM(Planning!$BJ25:$CK25),0)</f>
      </c>
      <c r="F62" s="763">
        <f>IF(GetFillColor(F62)=15,SUM(Planning!$CM25:$DN25),0)</f>
      </c>
      <c r="G62" s="763">
        <f>IF(GetFillColor(G62)=15,SUM(Planning!$DP25:$EQ25),0)</f>
      </c>
      <c r="H62" s="763">
        <f>IF(GetFillColor(H62)=15,SUM(Planning!$ES25:$FT25),0)</f>
      </c>
      <c r="I62" s="763">
        <f>IF(GetFillColor(I62)=15,SUM(Planning!$FV25:$GW25),0)</f>
      </c>
      <c r="J62" s="762">
        <f>IF(GetFillColor(J62)=15,SUM(Planning!$HB25:$IC25),0)</f>
      </c>
      <c r="K62" s="762">
        <f>IF(GetFillColor(K62)=15,SUM(Planning!$IE25:$JF25),0)</f>
      </c>
      <c r="L62" s="762">
        <f>IF(GetFillColor(L62)=15,SUM(Planning!$JH25:$KI25),0)</f>
      </c>
      <c r="M62" s="762">
        <f>IF(GetFillColor(M62)=15,SUM(Planning!$KK25:$LL25),0)</f>
      </c>
      <c r="N62" s="762">
        <f>IF(GetFillColor(N62)=15,SUM(Planning!$LN25:$MO25),0)</f>
      </c>
      <c r="O62" s="763">
        <f>IF(GetFillColor(O62)=15,SUM(Planning!$MQ25:$NR25),0)</f>
      </c>
      <c r="P62" s="763">
        <f>IF(GetFillColor(P62)=15,SUM(Planning!$NT25:$OU25),0)</f>
      </c>
      <c r="Q62" s="762">
        <f>IF(GetFillColor(Q62)=15,SUM(Planning!$OZ25:$QA25),0)</f>
      </c>
      <c r="R62" s="762">
        <f>IF(GetFillColor(R62)=15,SUM(Planning!$QC25:$RD25),0)</f>
      </c>
      <c r="S62" s="762">
        <f>IF(GetFillColor(S62)=15,SUM(Planning!$RF25:$SG25),0)</f>
      </c>
      <c r="T62" s="762">
        <f>IF(GetFillColor(T62)=15,SUM(Planning!$SI25:$TJ25),0)</f>
      </c>
      <c r="U62" s="762">
        <f>IF(GetFillColor(U62)=15,SUM(Planning!$TL25:$UM25),0)</f>
      </c>
      <c r="V62" s="763">
        <f>IF(GetFillColor(V62)=15,SUM(Planning!$UO25:$VP25),0)</f>
      </c>
      <c r="W62" s="763">
        <f>IF(GetFillColor(W62)=15,SUM(Planning!$VR25:$WS25),0)</f>
      </c>
      <c r="X62" s="762">
        <f>IF(GetFillColor(X62)=15,SUM(Planning!$WX25:$XY25),0)</f>
      </c>
      <c r="Y62" s="762">
        <f>IF(GetFillColor(Y62)=15,SUM(Planning!$YA25:$ZB25),0)</f>
      </c>
      <c r="Z62" s="762">
        <f>IF(GetFillColor(Z62)=15,SUM(Planning!$ZD25:$AAE25),0)</f>
      </c>
      <c r="AA62" s="762">
        <f>IF(GetFillColor(AA62)=15,SUM(Planning!$AAG25:$ABH25),0)</f>
      </c>
      <c r="AB62" s="762">
        <f>IF(GetFillColor(AB62)=15,SUM(Planning!$ABJ25:$ACK25),0)</f>
      </c>
      <c r="AC62" s="763">
        <f>IF(GetFillColor(AC62)=15,SUM(Planning!$ACM25:$ADN25),0)</f>
      </c>
      <c r="AD62" s="763">
        <f>IF(GetFillColor(AD62)=15,SUM(Planning!$ADP25:$AEQ25),0)</f>
      </c>
      <c r="AE62" s="762">
        <f>IF(GetFillColor(AE62)=15,SUM(Planning!$AEV25:$AFW25),0)</f>
      </c>
      <c r="AF62" s="762">
        <f>IF(GetFillColor(AF62)=15,SUM(Planning!$AFY25:$AGZ25),0)</f>
      </c>
      <c r="AG62" s="762">
        <f>IF(GetFillColor(AG62)=15,SUM(Planning!$AHB25:$AIC25),0)</f>
      </c>
      <c r="AH62" s="762">
        <f>IF(GetFillColor(AH62)=15,SUM(Planning!$AIE25:$AJF25),0)</f>
      </c>
      <c r="AI62" s="762">
        <f>IF(GetFillColor(AI62)=15,SUM(Planning!$AJH25:$AKI25),0)</f>
      </c>
      <c r="AJ62" s="763">
        <f>IF(GetFillColor(AJ62)=15,SUM(Planning!$AKK25:$ALL25),0)</f>
      </c>
      <c r="AK62" s="760">
        <f>IF(GetFillColor(AK62)=15,SUM(Planning!$ALN25:$AMO25),0)</f>
      </c>
      <c r="AL62" s="698">
        <f>SUM(C62:AK62)</f>
      </c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ht="20.25" customHeight="1" spans="1:50" x14ac:dyDescent="0.25">
      <c r="A63" s="4">
        <f>A17</f>
      </c>
      <c r="B63" s="4"/>
      <c r="C63" s="760">
        <f>IF(GetFillColor(C63)=15,SUM(Planning!$D26:$AE26),0)</f>
      </c>
      <c r="D63" s="760">
        <f>IF(GetFillColor(D63)=15,SUM(Planning!$AG26:$BH26),0)</f>
      </c>
      <c r="E63" s="760">
        <f>IF(GetFillColor(E63)=15,SUM(Planning!$BJ26:$CK26),0)</f>
      </c>
      <c r="F63" s="763">
        <f>IF(GetFillColor(F63)=15,SUM(Planning!$CM26:$DN26),0)</f>
      </c>
      <c r="G63" s="763">
        <f>IF(GetFillColor(G63)=15,SUM(Planning!$DP26:$EQ26),0)</f>
      </c>
      <c r="H63" s="763">
        <f>IF(GetFillColor(H63)=15,SUM(Planning!$ES26:$FT26),0)</f>
      </c>
      <c r="I63" s="763">
        <f>IF(GetFillColor(I63)=15,SUM(Planning!$FV26:$GW26),0)</f>
      </c>
      <c r="J63" s="762">
        <f>IF(GetFillColor(J63)=15,SUM(Planning!$HB26:$IC26),0)</f>
      </c>
      <c r="K63" s="762">
        <f>IF(GetFillColor(K63)=15,SUM(Planning!$IE26:$JF26),0)</f>
      </c>
      <c r="L63" s="762">
        <f>IF(GetFillColor(L63)=15,SUM(Planning!$JH26:$KI26),0)</f>
      </c>
      <c r="M63" s="762">
        <f>IF(GetFillColor(M63)=15,SUM(Planning!$KK26:$LL26),0)</f>
      </c>
      <c r="N63" s="762">
        <f>IF(GetFillColor(N63)=15,SUM(Planning!$LN26:$MO26),0)</f>
      </c>
      <c r="O63" s="763">
        <f>IF(GetFillColor(O63)=15,SUM(Planning!$MQ26:$NR26),0)</f>
      </c>
      <c r="P63" s="763">
        <f>IF(GetFillColor(P63)=15,SUM(Planning!$NT26:$OU26),0)</f>
      </c>
      <c r="Q63" s="762">
        <f>IF(GetFillColor(Q63)=15,SUM(Planning!$OZ26:$QA26),0)</f>
      </c>
      <c r="R63" s="762">
        <f>IF(GetFillColor(R63)=15,SUM(Planning!$QC26:$RD26),0)</f>
      </c>
      <c r="S63" s="762">
        <f>IF(GetFillColor(S63)=15,SUM(Planning!$RF26:$SG26),0)</f>
      </c>
      <c r="T63" s="762">
        <f>IF(GetFillColor(T63)=15,SUM(Planning!$SI26:$TJ26),0)</f>
      </c>
      <c r="U63" s="762">
        <f>IF(GetFillColor(U63)=15,SUM(Planning!$TL26:$UM26),0)</f>
      </c>
      <c r="V63" s="763">
        <f>IF(GetFillColor(V63)=15,SUM(Planning!$UO26:$VP26),0)</f>
      </c>
      <c r="W63" s="763">
        <f>IF(GetFillColor(W63)=15,SUM(Planning!$VR26:$WS26),0)</f>
      </c>
      <c r="X63" s="762">
        <f>IF(GetFillColor(X63)=15,SUM(Planning!$WX26:$XY26),0)</f>
      </c>
      <c r="Y63" s="762">
        <f>IF(GetFillColor(Y63)=15,SUM(Planning!$YA26:$ZB26),0)</f>
      </c>
      <c r="Z63" s="762">
        <f>IF(GetFillColor(Z63)=15,SUM(Planning!$ZD26:$AAE26),0)</f>
      </c>
      <c r="AA63" s="762">
        <f>IF(GetFillColor(AA63)=15,SUM(Planning!$AAG26:$ABH26),0)</f>
      </c>
      <c r="AB63" s="762">
        <f>IF(GetFillColor(AB63)=15,SUM(Planning!$ABJ26:$ACK26),0)</f>
      </c>
      <c r="AC63" s="763">
        <f>IF(GetFillColor(AC63)=15,SUM(Planning!$ACM26:$ADN26),0)</f>
      </c>
      <c r="AD63" s="763">
        <f>IF(GetFillColor(AD63)=15,SUM(Planning!$ADP26:$AEQ26),0)</f>
      </c>
      <c r="AE63" s="762">
        <f>IF(GetFillColor(AE63)=15,SUM(Planning!$AEV26:$AFW26),0)</f>
      </c>
      <c r="AF63" s="762">
        <f>IF(GetFillColor(AF63)=15,SUM(Planning!$AFY26:$AGZ26),0)</f>
      </c>
      <c r="AG63" s="762">
        <f>IF(GetFillColor(AG63)=15,SUM(Planning!$AHB26:$AIC26),0)</f>
      </c>
      <c r="AH63" s="762">
        <f>IF(GetFillColor(AH63)=15,SUM(Planning!$AIE26:$AJF26),0)</f>
      </c>
      <c r="AI63" s="762">
        <f>IF(GetFillColor(AI63)=15,SUM(Planning!$AJH26:$AKI26),0)</f>
      </c>
      <c r="AJ63" s="763">
        <f>IF(GetFillColor(AJ63)=15,SUM(Planning!$AKK26:$ALL26),0)</f>
      </c>
      <c r="AK63" s="760">
        <f>IF(GetFillColor(AK63)=15,SUM(Planning!$ALN26:$AMO26),0)</f>
      </c>
      <c r="AL63" s="698">
        <f>SUM(C63:AK63)</f>
      </c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ht="20.25" customHeight="1" spans="1:50" x14ac:dyDescent="0.25">
      <c r="A64" s="4">
        <f>A18</f>
      </c>
      <c r="B64" s="4"/>
      <c r="C64" s="760">
        <f>IF(GetFillColor(C64)=15,SUM(Planning!$D27:$AE27),0)</f>
      </c>
      <c r="D64" s="760">
        <f>IF(GetFillColor(D64)=15,SUM(Planning!$AG27:$BH27),0)</f>
      </c>
      <c r="E64" s="760">
        <f>IF(GetFillColor(E64)=15,SUM(Planning!$BJ27:$CK27),0)</f>
      </c>
      <c r="F64" s="763">
        <f>IF(GetFillColor(F64)=15,SUM(Planning!$CM27:$DN27),0)</f>
      </c>
      <c r="G64" s="763">
        <f>IF(GetFillColor(G64)=15,SUM(Planning!$DP27:$EQ27),0)</f>
      </c>
      <c r="H64" s="763">
        <f>IF(GetFillColor(H64)=15,SUM(Planning!$ES27:$FT27),0)</f>
      </c>
      <c r="I64" s="763">
        <f>IF(GetFillColor(I64)=15,SUM(Planning!$FV27:$GW27),0)</f>
      </c>
      <c r="J64" s="762">
        <f>IF(GetFillColor(J64)=15,SUM(Planning!$HB27:$IC27),0)</f>
      </c>
      <c r="K64" s="762">
        <f>IF(GetFillColor(K64)=15,SUM(Planning!$IE27:$JF27),0)</f>
      </c>
      <c r="L64" s="762">
        <f>IF(GetFillColor(L64)=15,SUM(Planning!$JH27:$KI27),0)</f>
      </c>
      <c r="M64" s="762">
        <f>IF(GetFillColor(M64)=15,SUM(Planning!$KK27:$LL27),0)</f>
      </c>
      <c r="N64" s="762">
        <f>IF(GetFillColor(N64)=15,SUM(Planning!$LN27:$MO27),0)</f>
      </c>
      <c r="O64" s="763">
        <f>IF(GetFillColor(O64)=15,SUM(Planning!$MQ27:$NR27),0)</f>
      </c>
      <c r="P64" s="763">
        <f>IF(GetFillColor(P64)=15,SUM(Planning!$NT27:$OU27),0)</f>
      </c>
      <c r="Q64" s="762">
        <f>IF(GetFillColor(Q64)=15,SUM(Planning!$OZ27:$QA27),0)</f>
      </c>
      <c r="R64" s="762">
        <f>IF(GetFillColor(R64)=15,SUM(Planning!$QC27:$RD27),0)</f>
      </c>
      <c r="S64" s="762">
        <f>IF(GetFillColor(S64)=15,SUM(Planning!$RF27:$SG27),0)</f>
      </c>
      <c r="T64" s="762">
        <f>IF(GetFillColor(T64)=15,SUM(Planning!$SI27:$TJ27),0)</f>
      </c>
      <c r="U64" s="762">
        <f>IF(GetFillColor(U64)=15,SUM(Planning!$TL27:$UM27),0)</f>
      </c>
      <c r="V64" s="763">
        <f>IF(GetFillColor(V64)=15,SUM(Planning!$UO27:$VP27),0)</f>
      </c>
      <c r="W64" s="763">
        <f>IF(GetFillColor(W64)=15,SUM(Planning!$VR27:$WS27),0)</f>
      </c>
      <c r="X64" s="762">
        <f>IF(GetFillColor(X64)=15,SUM(Planning!$WX27:$XY27),0)</f>
      </c>
      <c r="Y64" s="762">
        <f>IF(GetFillColor(Y64)=15,SUM(Planning!$YA27:$ZB27),0)</f>
      </c>
      <c r="Z64" s="762">
        <f>IF(GetFillColor(Z64)=15,SUM(Planning!$ZD27:$AAE27),0)</f>
      </c>
      <c r="AA64" s="762">
        <f>IF(GetFillColor(AA64)=15,SUM(Planning!$AAG27:$ABH27),0)</f>
      </c>
      <c r="AB64" s="762">
        <f>IF(GetFillColor(AB64)=15,SUM(Planning!$ABJ27:$ACK27),0)</f>
      </c>
      <c r="AC64" s="763">
        <f>IF(GetFillColor(AC64)=15,SUM(Planning!$ACM27:$ADN27),0)</f>
      </c>
      <c r="AD64" s="763">
        <f>IF(GetFillColor(AD64)=15,SUM(Planning!$ADP27:$AEQ27),0)</f>
      </c>
      <c r="AE64" s="762">
        <f>IF(GetFillColor(AE64)=15,SUM(Planning!$AEV27:$AFW27),0)</f>
      </c>
      <c r="AF64" s="762">
        <f>IF(GetFillColor(AF64)=15,SUM(Planning!$AFY27:$AGZ27),0)</f>
      </c>
      <c r="AG64" s="762">
        <f>IF(GetFillColor(AG64)=15,SUM(Planning!$AHB27:$AIC27),0)</f>
      </c>
      <c r="AH64" s="762">
        <f>IF(GetFillColor(AH64)=15,SUM(Planning!$AIE27:$AJF27),0)</f>
      </c>
      <c r="AI64" s="762">
        <f>IF(GetFillColor(AI64)=15,SUM(Planning!$AJH27:$AKI27),0)</f>
      </c>
      <c r="AJ64" s="763">
        <f>IF(GetFillColor(AJ64)=15,SUM(Planning!$AKK27:$ALL27),0)</f>
      </c>
      <c r="AK64" s="760">
        <f>IF(GetFillColor(AK64)=15,SUM(Planning!$ALN27:$AMO27),0)</f>
      </c>
      <c r="AL64" s="698">
        <f>SUM(C64:AK64)</f>
      </c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ht="20.25" customHeight="1" spans="1:50" x14ac:dyDescent="0.25">
      <c r="A65" s="4">
        <f>A19</f>
      </c>
      <c r="B65" s="4"/>
      <c r="C65" s="760">
        <f>IF(GetFillColor(C65)=15,SUM(Planning!$D28:$AE28),0)</f>
      </c>
      <c r="D65" s="760">
        <f>IF(GetFillColor(D65)=15,SUM(Planning!$AG28:$BH28),0)</f>
      </c>
      <c r="E65" s="760">
        <f>IF(GetFillColor(E65)=15,SUM(Planning!$BJ28:$CK28),0)</f>
      </c>
      <c r="F65" s="763">
        <f>IF(GetFillColor(F65)=15,SUM(Planning!$CM28:$DN28),0)</f>
      </c>
      <c r="G65" s="763">
        <f>IF(GetFillColor(G65)=15,SUM(Planning!$DP28:$EQ28),0)</f>
      </c>
      <c r="H65" s="763">
        <f>IF(GetFillColor(H65)=15,SUM(Planning!$ES28:$FT28),0)</f>
      </c>
      <c r="I65" s="763">
        <f>IF(GetFillColor(I65)=15,SUM(Planning!$FV28:$GW28),0)</f>
      </c>
      <c r="J65" s="762">
        <f>IF(GetFillColor(J65)=15,SUM(Planning!$HB28:$IC28),0)</f>
      </c>
      <c r="K65" s="762">
        <f>IF(GetFillColor(K65)=15,SUM(Planning!$IE28:$JF28),0)</f>
      </c>
      <c r="L65" s="762">
        <f>IF(GetFillColor(L65)=15,SUM(Planning!$JH28:$KI28),0)</f>
      </c>
      <c r="M65" s="762">
        <f>IF(GetFillColor(M65)=15,SUM(Planning!$KK28:$LL28),0)</f>
      </c>
      <c r="N65" s="762">
        <f>IF(GetFillColor(N65)=15,SUM(Planning!$LN28:$MO28),0)</f>
      </c>
      <c r="O65" s="763">
        <f>IF(GetFillColor(O65)=15,SUM(Planning!$MQ28:$NR28),0)</f>
      </c>
      <c r="P65" s="763">
        <f>IF(GetFillColor(P65)=15,SUM(Planning!$NT28:$OU28),0)</f>
      </c>
      <c r="Q65" s="762">
        <f>IF(GetFillColor(Q65)=15,SUM(Planning!$OZ28:$QA28),0)</f>
      </c>
      <c r="R65" s="762">
        <f>IF(GetFillColor(R65)=15,SUM(Planning!$QC28:$RD28),0)</f>
      </c>
      <c r="S65" s="762">
        <f>IF(GetFillColor(S65)=15,SUM(Planning!$RF28:$SG28),0)</f>
      </c>
      <c r="T65" s="762">
        <f>IF(GetFillColor(T65)=15,SUM(Planning!$SI28:$TJ28),0)</f>
      </c>
      <c r="U65" s="762">
        <f>IF(GetFillColor(U65)=15,SUM(Planning!$TL28:$UM28),0)</f>
      </c>
      <c r="V65" s="763">
        <f>IF(GetFillColor(V65)=15,SUM(Planning!$UO28:$VP28),0)</f>
      </c>
      <c r="W65" s="763">
        <f>IF(GetFillColor(W65)=15,SUM(Planning!$VR28:$WS28),0)</f>
      </c>
      <c r="X65" s="762">
        <f>IF(GetFillColor(X65)=15,SUM(Planning!$WX28:$XY28),0)</f>
      </c>
      <c r="Y65" s="762">
        <f>IF(GetFillColor(Y65)=15,SUM(Planning!$YA28:$ZB28),0)</f>
      </c>
      <c r="Z65" s="762">
        <f>IF(GetFillColor(Z65)=15,SUM(Planning!$ZD28:$AAE28),0)</f>
      </c>
      <c r="AA65" s="762">
        <f>IF(GetFillColor(AA65)=15,SUM(Planning!$AAG28:$ABH28),0)</f>
      </c>
      <c r="AB65" s="762">
        <f>IF(GetFillColor(AB65)=15,SUM(Planning!$ABJ28:$ACK28),0)</f>
      </c>
      <c r="AC65" s="763">
        <f>IF(GetFillColor(AC65)=15,SUM(Planning!$ACM28:$ADN28),0)</f>
      </c>
      <c r="AD65" s="763">
        <f>IF(GetFillColor(AD65)=15,SUM(Planning!$ADP28:$AEQ28),0)</f>
      </c>
      <c r="AE65" s="762">
        <f>IF(GetFillColor(AE65)=15,SUM(Planning!$AEV28:$AFW28),0)</f>
      </c>
      <c r="AF65" s="762">
        <f>IF(GetFillColor(AF65)=15,SUM(Planning!$AFY28:$AGZ28),0)</f>
      </c>
      <c r="AG65" s="762">
        <f>IF(GetFillColor(AG65)=15,SUM(Planning!$AHB28:$AIC28),0)</f>
      </c>
      <c r="AH65" s="762">
        <f>IF(GetFillColor(AH65)=15,SUM(Planning!$AIE28:$AJF28),0)</f>
      </c>
      <c r="AI65" s="762">
        <f>IF(GetFillColor(AI65)=15,SUM(Planning!$AJH28:$AKI28),0)</f>
      </c>
      <c r="AJ65" s="763">
        <f>IF(GetFillColor(AJ65)=15,SUM(Planning!$AKK28:$ALL28),0)</f>
      </c>
      <c r="AK65" s="760">
        <f>IF(GetFillColor(AK65)=15,SUM(Planning!$ALN28:$AMO28),0)</f>
      </c>
      <c r="AL65" s="698">
        <f>SUM(C65:AK65)</f>
      </c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ht="20.25" customHeight="1" spans="1:50" x14ac:dyDescent="0.25">
      <c r="A66" s="4">
        <f>A20</f>
      </c>
      <c r="B66" s="4"/>
      <c r="C66" s="760">
        <f>IF(GetFillColor(C66)=15,SUM(Planning!$D29:$AE29),0)</f>
      </c>
      <c r="D66" s="760">
        <f>IF(GetFillColor(D66)=15,SUM(Planning!$AG29:$BH29),0)</f>
      </c>
      <c r="E66" s="760">
        <f>IF(GetFillColor(E66)=15,SUM(Planning!$BJ29:$CK29),0)</f>
      </c>
      <c r="F66" s="763">
        <f>IF(GetFillColor(F66)=15,SUM(Planning!$CM29:$DN29),0)</f>
      </c>
      <c r="G66" s="763">
        <f>IF(GetFillColor(G66)=15,SUM(Planning!$DP29:$EQ29),0)</f>
      </c>
      <c r="H66" s="763">
        <f>IF(GetFillColor(H66)=15,SUM(Planning!$ES29:$FT29),0)</f>
      </c>
      <c r="I66" s="763">
        <f>IF(GetFillColor(I66)=15,SUM(Planning!$FV29:$GW29),0)</f>
      </c>
      <c r="J66" s="762">
        <f>IF(GetFillColor(J66)=15,SUM(Planning!$HB29:$IC29),0)</f>
      </c>
      <c r="K66" s="762">
        <f>IF(GetFillColor(K66)=15,SUM(Planning!$IE29:$JF29),0)</f>
      </c>
      <c r="L66" s="762">
        <f>IF(GetFillColor(L66)=15,SUM(Planning!$JH29:$KI29),0)</f>
      </c>
      <c r="M66" s="762">
        <f>IF(GetFillColor(M66)=15,SUM(Planning!$KK29:$LL29),0)</f>
      </c>
      <c r="N66" s="762">
        <f>IF(GetFillColor(N66)=15,SUM(Planning!$LN29:$MO29),0)</f>
      </c>
      <c r="O66" s="763">
        <f>IF(GetFillColor(O66)=15,SUM(Planning!$MQ29:$NR29),0)</f>
      </c>
      <c r="P66" s="763">
        <f>IF(GetFillColor(P66)=15,SUM(Planning!$NT29:$OU29),0)</f>
      </c>
      <c r="Q66" s="762">
        <f>IF(GetFillColor(Q66)=15,SUM(Planning!$OZ29:$QA29),0)</f>
      </c>
      <c r="R66" s="762">
        <f>IF(GetFillColor(R66)=15,SUM(Planning!$QC29:$RD29),0)</f>
      </c>
      <c r="S66" s="762">
        <f>IF(GetFillColor(S66)=15,SUM(Planning!$RF29:$SG29),0)</f>
      </c>
      <c r="T66" s="762">
        <f>IF(GetFillColor(T66)=15,SUM(Planning!$SI29:$TJ29),0)</f>
      </c>
      <c r="U66" s="762">
        <f>IF(GetFillColor(U66)=15,SUM(Planning!$TL29:$UM29),0)</f>
      </c>
      <c r="V66" s="763">
        <f>IF(GetFillColor(V66)=15,SUM(Planning!$UO29:$VP29),0)</f>
      </c>
      <c r="W66" s="763">
        <f>IF(GetFillColor(W66)=15,SUM(Planning!$VR29:$WS29),0)</f>
      </c>
      <c r="X66" s="762">
        <f>IF(GetFillColor(X66)=15,SUM(Planning!$WX29:$XY29),0)</f>
      </c>
      <c r="Y66" s="762">
        <f>IF(GetFillColor(Y66)=15,SUM(Planning!$YA29:$ZB29),0)</f>
      </c>
      <c r="Z66" s="762">
        <f>IF(GetFillColor(Z66)=15,SUM(Planning!$ZD29:$AAE29),0)</f>
      </c>
      <c r="AA66" s="762">
        <f>IF(GetFillColor(AA66)=15,SUM(Planning!$AAG29:$ABH29),0)</f>
      </c>
      <c r="AB66" s="762">
        <f>IF(GetFillColor(AB66)=15,SUM(Planning!$ABJ29:$ACK29),0)</f>
      </c>
      <c r="AC66" s="763">
        <f>IF(GetFillColor(AC66)=15,SUM(Planning!$ACM29:$ADN29),0)</f>
      </c>
      <c r="AD66" s="763">
        <f>IF(GetFillColor(AD66)=15,SUM(Planning!$ADP29:$AEQ29),0)</f>
      </c>
      <c r="AE66" s="762">
        <f>IF(GetFillColor(AE66)=15,SUM(Planning!$AEV29:$AFW29),0)</f>
      </c>
      <c r="AF66" s="762">
        <f>IF(GetFillColor(AF66)=15,SUM(Planning!$AFY29:$AGZ29),0)</f>
      </c>
      <c r="AG66" s="762">
        <f>IF(GetFillColor(AG66)=15,SUM(Planning!$AHB29:$AIC29),0)</f>
      </c>
      <c r="AH66" s="762">
        <f>IF(GetFillColor(AH66)=15,SUM(Planning!$AIE29:$AJF29),0)</f>
      </c>
      <c r="AI66" s="762">
        <f>IF(GetFillColor(AI66)=15,SUM(Planning!$AJH29:$AKI29),0)</f>
      </c>
      <c r="AJ66" s="763">
        <f>IF(GetFillColor(AJ66)=15,SUM(Planning!$AKK29:$ALL29),0)</f>
      </c>
      <c r="AK66" s="760">
        <f>IF(GetFillColor(AK66)=15,SUM(Planning!$ALN29:$AMO29),0)</f>
      </c>
      <c r="AL66" s="698">
        <f>SUM(C66:AK66)</f>
      </c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ht="20.25" customHeight="1" spans="1:50" x14ac:dyDescent="0.25">
      <c r="A67" s="4">
        <f>A21</f>
      </c>
      <c r="B67" s="4"/>
      <c r="C67" s="760">
        <f>IF(GetFillColor(C67)=15,SUM(Planning!$D30:$AE30),0)</f>
      </c>
      <c r="D67" s="760">
        <f>IF(GetFillColor(D67)=15,SUM(Planning!$AG30:$BH30),0)</f>
      </c>
      <c r="E67" s="760">
        <f>IF(GetFillColor(E67)=15,SUM(Planning!$BJ30:$CK30),0)</f>
      </c>
      <c r="F67" s="763">
        <f>IF(GetFillColor(F67)=15,SUM(Planning!$CM30:$DN30),0)</f>
      </c>
      <c r="G67" s="763">
        <f>IF(GetFillColor(G67)=15,SUM(Planning!$DP30:$EQ30),0)</f>
      </c>
      <c r="H67" s="763">
        <f>IF(GetFillColor(H67)=15,SUM(Planning!$ES30:$FT30),0)</f>
      </c>
      <c r="I67" s="763">
        <f>IF(GetFillColor(I67)=15,SUM(Planning!$FV30:$GW30),0)</f>
      </c>
      <c r="J67" s="762">
        <f>IF(GetFillColor(J67)=15,SUM(Planning!$HB30:$IC30),0)</f>
      </c>
      <c r="K67" s="762">
        <f>IF(GetFillColor(K67)=15,SUM(Planning!$IE30:$JF30),0)</f>
      </c>
      <c r="L67" s="762">
        <f>IF(GetFillColor(L67)=15,SUM(Planning!$JH30:$KI30),0)</f>
      </c>
      <c r="M67" s="762">
        <f>IF(GetFillColor(M67)=15,SUM(Planning!$KK30:$LL30),0)</f>
      </c>
      <c r="N67" s="762">
        <f>IF(GetFillColor(N67)=15,SUM(Planning!$LN30:$MO30),0)</f>
      </c>
      <c r="O67" s="763">
        <f>IF(GetFillColor(O67)=15,SUM(Planning!$MQ30:$NR30),0)</f>
      </c>
      <c r="P67" s="763">
        <f>IF(GetFillColor(P67)=15,SUM(Planning!$NT30:$OU30),0)</f>
      </c>
      <c r="Q67" s="762">
        <f>IF(GetFillColor(Q67)=15,SUM(Planning!$OZ30:$QA30),0)</f>
      </c>
      <c r="R67" s="762">
        <f>IF(GetFillColor(R67)=15,SUM(Planning!$QC30:$RD30),0)</f>
      </c>
      <c r="S67" s="762">
        <f>IF(GetFillColor(S67)=15,SUM(Planning!$RF30:$SG30),0)</f>
      </c>
      <c r="T67" s="762">
        <f>IF(GetFillColor(T67)=15,SUM(Planning!$SI30:$TJ30),0)</f>
      </c>
      <c r="U67" s="762">
        <f>IF(GetFillColor(U67)=15,SUM(Planning!$TL30:$UM30),0)</f>
      </c>
      <c r="V67" s="763">
        <f>IF(GetFillColor(V67)=15,SUM(Planning!$UO30:$VP30),0)</f>
      </c>
      <c r="W67" s="763">
        <f>IF(GetFillColor(W67)=15,SUM(Planning!$VR30:$WS30),0)</f>
      </c>
      <c r="X67" s="762">
        <f>IF(GetFillColor(X67)=15,SUM(Planning!$WX30:$XY30),0)</f>
      </c>
      <c r="Y67" s="762">
        <f>IF(GetFillColor(Y67)=15,SUM(Planning!$YA30:$ZB30),0)</f>
      </c>
      <c r="Z67" s="762">
        <f>IF(GetFillColor(Z67)=15,SUM(Planning!$ZD30:$AAE30),0)</f>
      </c>
      <c r="AA67" s="762">
        <f>IF(GetFillColor(AA67)=15,SUM(Planning!$AAG30:$ABH30),0)</f>
      </c>
      <c r="AB67" s="762">
        <f>IF(GetFillColor(AB67)=15,SUM(Planning!$ABJ30:$ACK30),0)</f>
      </c>
      <c r="AC67" s="763">
        <f>IF(GetFillColor(AC67)=15,SUM(Planning!$ACM30:$ADN30),0)</f>
      </c>
      <c r="AD67" s="763">
        <f>IF(GetFillColor(AD67)=15,SUM(Planning!$ADP30:$AEQ30),0)</f>
      </c>
      <c r="AE67" s="762">
        <f>IF(GetFillColor(AE67)=15,SUM(Planning!$AEV30:$AFW30),0)</f>
      </c>
      <c r="AF67" s="762">
        <f>IF(GetFillColor(AF67)=15,SUM(Planning!$AFY30:$AGZ30),0)</f>
      </c>
      <c r="AG67" s="762">
        <f>IF(GetFillColor(AG67)=15,SUM(Planning!$AHB30:$AIC30),0)</f>
      </c>
      <c r="AH67" s="762">
        <f>IF(GetFillColor(AH67)=15,SUM(Planning!$AIE30:$AJF30),0)</f>
      </c>
      <c r="AI67" s="762">
        <f>IF(GetFillColor(AI67)=15,SUM(Planning!$AJH30:$AKI30),0)</f>
      </c>
      <c r="AJ67" s="763">
        <f>IF(GetFillColor(AJ67)=15,SUM(Planning!$AKK30:$ALL30),0)</f>
      </c>
      <c r="AK67" s="760">
        <f>IF(GetFillColor(AK67)=15,SUM(Planning!$ALN30:$AMO30),0)</f>
      </c>
      <c r="AL67" s="698">
        <f>SUM(C67:AK67)</f>
      </c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ht="20.25" customHeight="1" spans="1:50" x14ac:dyDescent="0.25">
      <c r="A68" s="4">
        <f>A22</f>
      </c>
      <c r="B68" s="4"/>
      <c r="C68" s="760">
        <f>IF(GetFillColor(C68)=15,SUM(Planning!$D31:$AE31),0)</f>
      </c>
      <c r="D68" s="760">
        <f>IF(GetFillColor(D68)=15,SUM(Planning!$AG31:$BH31),0)</f>
      </c>
      <c r="E68" s="760">
        <f>IF(GetFillColor(E68)=15,SUM(Planning!$BJ31:$CK31),0)</f>
      </c>
      <c r="F68" s="763">
        <f>IF(GetFillColor(F68)=15,SUM(Planning!$CM31:$DN31),0)</f>
      </c>
      <c r="G68" s="763">
        <f>IF(GetFillColor(G68)=15,SUM(Planning!$DP31:$EQ31),0)</f>
      </c>
      <c r="H68" s="763">
        <f>IF(GetFillColor(H68)=15,SUM(Planning!$ES31:$FT31),0)</f>
      </c>
      <c r="I68" s="763">
        <f>IF(GetFillColor(I68)=15,SUM(Planning!$FV31:$GW31),0)</f>
      </c>
      <c r="J68" s="762">
        <f>IF(GetFillColor(J68)=15,SUM(Planning!$HB31:$IC31),0)</f>
      </c>
      <c r="K68" s="762">
        <f>IF(GetFillColor(K68)=15,SUM(Planning!$IE31:$JF31),0)</f>
      </c>
      <c r="L68" s="762">
        <f>IF(GetFillColor(L68)=15,SUM(Planning!$JH31:$KI31),0)</f>
      </c>
      <c r="M68" s="762">
        <f>IF(GetFillColor(M68)=15,SUM(Planning!$KK31:$LL31),0)</f>
      </c>
      <c r="N68" s="762">
        <f>IF(GetFillColor(N68)=15,SUM(Planning!$LN31:$MO31),0)</f>
      </c>
      <c r="O68" s="763">
        <f>IF(GetFillColor(O68)=15,SUM(Planning!$MQ31:$NR31),0)</f>
      </c>
      <c r="P68" s="763">
        <f>IF(GetFillColor(P68)=15,SUM(Planning!$NT31:$OU31),0)</f>
      </c>
      <c r="Q68" s="762">
        <f>IF(GetFillColor(Q68)=15,SUM(Planning!$OZ31:$QA31),0)</f>
      </c>
      <c r="R68" s="762">
        <f>IF(GetFillColor(R68)=15,SUM(Planning!$QC31:$RD31),0)</f>
      </c>
      <c r="S68" s="762">
        <f>IF(GetFillColor(S68)=15,SUM(Planning!$RF31:$SG31),0)</f>
      </c>
      <c r="T68" s="762">
        <f>IF(GetFillColor(T68)=15,SUM(Planning!$SI31:$TJ31),0)</f>
      </c>
      <c r="U68" s="762">
        <f>IF(GetFillColor(U68)=15,SUM(Planning!$TL31:$UM31),0)</f>
      </c>
      <c r="V68" s="763">
        <f>IF(GetFillColor(V68)=15,SUM(Planning!$UO31:$VP31),0)</f>
      </c>
      <c r="W68" s="763">
        <f>IF(GetFillColor(W68)=15,SUM(Planning!$VR31:$WS31),0)</f>
      </c>
      <c r="X68" s="762">
        <f>IF(GetFillColor(X68)=15,SUM(Planning!$WX31:$XY31),0)</f>
      </c>
      <c r="Y68" s="762">
        <f>IF(GetFillColor(Y68)=15,SUM(Planning!$YA31:$ZB31),0)</f>
      </c>
      <c r="Z68" s="762">
        <f>IF(GetFillColor(Z68)=15,SUM(Planning!$ZD31:$AAE31),0)</f>
      </c>
      <c r="AA68" s="762">
        <f>IF(GetFillColor(AA68)=15,SUM(Planning!$AAG31:$ABH31),0)</f>
      </c>
      <c r="AB68" s="762">
        <f>IF(GetFillColor(AB68)=15,SUM(Planning!$ABJ31:$ACK31),0)</f>
      </c>
      <c r="AC68" s="763">
        <f>IF(GetFillColor(AC68)=15,SUM(Planning!$ACM31:$ADN31),0)</f>
      </c>
      <c r="AD68" s="763">
        <f>IF(GetFillColor(AD68)=15,SUM(Planning!$ADP31:$AEQ31),0)</f>
      </c>
      <c r="AE68" s="762">
        <f>IF(GetFillColor(AE68)=15,SUM(Planning!$AEV31:$AFW31),0)</f>
      </c>
      <c r="AF68" s="762">
        <f>IF(GetFillColor(AF68)=15,SUM(Planning!$AFY31:$AGZ31),0)</f>
      </c>
      <c r="AG68" s="762">
        <f>IF(GetFillColor(AG68)=15,SUM(Planning!$AHB31:$AIC31),0)</f>
      </c>
      <c r="AH68" s="762">
        <f>IF(GetFillColor(AH68)=15,SUM(Planning!$AIE31:$AJF31),0)</f>
      </c>
      <c r="AI68" s="762">
        <f>IF(GetFillColor(AI68)=15,SUM(Planning!$AJH31:$AKI31),0)</f>
      </c>
      <c r="AJ68" s="763">
        <f>IF(GetFillColor(AJ68)=15,SUM(Planning!$AKK31:$ALL31),0)</f>
      </c>
      <c r="AK68" s="760">
        <f>IF(GetFillColor(AK68)=15,SUM(Planning!$ALN31:$AMO31),0)</f>
      </c>
      <c r="AL68" s="698">
        <f>SUM(C68:AK68)</f>
      </c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ht="20.25" customHeight="1" spans="1:50" x14ac:dyDescent="0.25">
      <c r="A69" s="4">
        <f>A23</f>
      </c>
      <c r="B69" s="4"/>
      <c r="C69" s="760">
        <f>IF(GetFillColor(C69)=15,SUM(Planning!$D32:$AE32),0)</f>
      </c>
      <c r="D69" s="760">
        <f>IF(GetFillColor(D69)=15,SUM(Planning!$AG32:$BH32),0)</f>
      </c>
      <c r="E69" s="760">
        <f>IF(GetFillColor(E69)=15,SUM(Planning!$BJ32:$CK32),0)</f>
      </c>
      <c r="F69" s="763">
        <f>IF(GetFillColor(F69)=15,SUM(Planning!$CM32:$DN32),0)</f>
      </c>
      <c r="G69" s="763">
        <f>IF(GetFillColor(G69)=15,SUM(Planning!$DP32:$EQ32),0)</f>
      </c>
      <c r="H69" s="763">
        <f>IF(GetFillColor(H69)=15,SUM(Planning!$ES32:$FT32),0)</f>
      </c>
      <c r="I69" s="763">
        <f>IF(GetFillColor(I69)=15,SUM(Planning!$FV32:$GW32),0)</f>
      </c>
      <c r="J69" s="762">
        <f>IF(GetFillColor(J69)=15,SUM(Planning!$HB32:$IC32),0)</f>
      </c>
      <c r="K69" s="762">
        <f>IF(GetFillColor(K69)=15,SUM(Planning!$IE32:$JF32),0)</f>
      </c>
      <c r="L69" s="762">
        <f>IF(GetFillColor(L69)=15,SUM(Planning!$JH32:$KI32),0)</f>
      </c>
      <c r="M69" s="762">
        <f>IF(GetFillColor(M69)=15,SUM(Planning!$KK32:$LL32),0)</f>
      </c>
      <c r="N69" s="762">
        <f>IF(GetFillColor(N69)=15,SUM(Planning!$LN32:$MO32),0)</f>
      </c>
      <c r="O69" s="763">
        <f>IF(GetFillColor(O69)=15,SUM(Planning!$MQ32:$NR32),0)</f>
      </c>
      <c r="P69" s="763">
        <f>IF(GetFillColor(P69)=15,SUM(Planning!$NT32:$OU32),0)</f>
      </c>
      <c r="Q69" s="762">
        <f>IF(GetFillColor(Q69)=15,SUM(Planning!$OZ32:$QA32),0)</f>
      </c>
      <c r="R69" s="762">
        <f>IF(GetFillColor(R69)=15,SUM(Planning!$QC32:$RD32),0)</f>
      </c>
      <c r="S69" s="762">
        <f>IF(GetFillColor(S69)=15,SUM(Planning!$RF32:$SG32),0)</f>
      </c>
      <c r="T69" s="762">
        <f>IF(GetFillColor(T69)=15,SUM(Planning!$SI32:$TJ32),0)</f>
      </c>
      <c r="U69" s="762">
        <f>IF(GetFillColor(U69)=15,SUM(Planning!$TL32:$UM32),0)</f>
      </c>
      <c r="V69" s="763">
        <f>IF(GetFillColor(V69)=15,SUM(Planning!$UO32:$VP32),0)</f>
      </c>
      <c r="W69" s="763">
        <f>IF(GetFillColor(W69)=15,SUM(Planning!$VR32:$WS32),0)</f>
      </c>
      <c r="X69" s="762">
        <f>IF(GetFillColor(X69)=15,SUM(Planning!$WX32:$XY32),0)</f>
      </c>
      <c r="Y69" s="762">
        <f>IF(GetFillColor(Y69)=15,SUM(Planning!$YA32:$ZB32),0)</f>
      </c>
      <c r="Z69" s="762">
        <f>IF(GetFillColor(Z69)=15,SUM(Planning!$ZD32:$AAE32),0)</f>
      </c>
      <c r="AA69" s="762">
        <f>IF(GetFillColor(AA69)=15,SUM(Planning!$AAG32:$ABH32),0)</f>
      </c>
      <c r="AB69" s="762">
        <f>IF(GetFillColor(AB69)=15,SUM(Planning!$ABJ32:$ACK32),0)</f>
      </c>
      <c r="AC69" s="763">
        <f>IF(GetFillColor(AC69)=15,SUM(Planning!$ACM32:$ADN32),0)</f>
      </c>
      <c r="AD69" s="763">
        <f>IF(GetFillColor(AD69)=15,SUM(Planning!$ADP32:$AEQ32),0)</f>
      </c>
      <c r="AE69" s="762">
        <f>IF(GetFillColor(AE69)=15,SUM(Planning!$AEV32:$AFW32),0)</f>
      </c>
      <c r="AF69" s="762">
        <f>IF(GetFillColor(AF69)=15,SUM(Planning!$AFY32:$AGZ32),0)</f>
      </c>
      <c r="AG69" s="762">
        <f>IF(GetFillColor(AG69)=15,SUM(Planning!$AHB32:$AIC32),0)</f>
      </c>
      <c r="AH69" s="762">
        <f>IF(GetFillColor(AH69)=15,SUM(Planning!$AIE32:$AJF32),0)</f>
      </c>
      <c r="AI69" s="762">
        <f>IF(GetFillColor(AI69)=15,SUM(Planning!$AJH32:$AKI32),0)</f>
      </c>
      <c r="AJ69" s="763">
        <f>IF(GetFillColor(AJ69)=15,SUM(Planning!$AKK32:$ALL32),0)</f>
      </c>
      <c r="AK69" s="760">
        <f>IF(GetFillColor(AK69)=15,SUM(Planning!$ALN32:$AMO32),0)</f>
      </c>
      <c r="AL69" s="698">
        <f>SUM(C69:AK69)</f>
      </c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585" priority="2670">
      <formula>NOT(ISERROR(SEARCH("Session",AD1)))</formula>
    </cfRule>
    <cfRule type="containsText" dxfId="4586" priority="2671">
      <formula>NOT(ISERROR(SEARCH("Pre",AD1)))</formula>
    </cfRule>
    <cfRule type="containsText" dxfId="4587" priority="2672">
      <formula>NOT(ISERROR(SEARCH("Normal",AD1)))</formula>
    </cfRule>
  </conditionalFormatting>
  <conditionalFormatting sqref="C1:G1 J1:N1 Q1:U1 X1:AB1 AE1:AK1">
    <cfRule type="cellIs" dxfId="4588" priority="2649" operator="equal">
      <formula>"Session"</formula>
    </cfRule>
  </conditionalFormatting>
  <conditionalFormatting sqref="C4:E23 C27:E46 J4:J5 J6:N14 J27:L28 J29:N37 N4:N5 N27:N28 Q6:T6 Q7:S7 Q29:T29 Q30:R30 S30:T37 T4:U5 T7:T14 T27:T28 U6:U23 X4:X5 X6:Y6 X7 X27:X28 X29:Y29 X30 Y7:Y14 Y30:Y37 AK4:AK23 AK27:AK46">
    <cfRule type="cellIs" dxfId="4589" priority="2292" operator="equal">
      <formula>0</formula>
    </cfRule>
    <cfRule type="cellIs" dxfId="4590" priority="2293" operator="greaterThan">
      <formula>0</formula>
    </cfRule>
  </conditionalFormatting>
  <conditionalFormatting sqref="S27:S28">
    <cfRule type="cellIs" dxfId="4591" priority="2290" operator="equal">
      <formula>0</formula>
    </cfRule>
    <cfRule type="cellIs" dxfId="4592" priority="2291" operator="greaterThan">
      <formula>0</formula>
    </cfRule>
  </conditionalFormatting>
  <conditionalFormatting sqref="C50:G69 H50:H51 H52:Y52 H53:P60 J50:N51 Q50:U51 Q53:T53 U53:U69 V53:W60 X50:X51 X53 Y53:Y60 Z50:AK69">
    <cfRule type="cellIs" dxfId="4593" priority="2277" operator="greaterThan">
      <formula>0</formula>
    </cfRule>
    <cfRule type="cellIs" dxfId="4594" priority="2276" operator="equal">
      <formula>0</formula>
    </cfRule>
  </conditionalFormatting>
  <conditionalFormatting sqref="I50:I51">
    <cfRule type="cellIs" dxfId="4595" priority="2275" operator="greaterThan">
      <formula>0</formula>
    </cfRule>
    <cfRule type="cellIs" dxfId="4596" priority="2274" operator="equal">
      <formula>0</formula>
    </cfRule>
  </conditionalFormatting>
  <conditionalFormatting sqref="O50:P51">
    <cfRule type="cellIs" dxfId="4597" priority="2273" operator="greaterThan">
      <formula>0</formula>
    </cfRule>
    <cfRule type="cellIs" dxfId="4598" priority="2272" operator="equal">
      <formula>0</formula>
    </cfRule>
  </conditionalFormatting>
  <conditionalFormatting sqref="V50:W51">
    <cfRule type="cellIs" dxfId="4599" priority="2271" operator="greaterThan">
      <formula>0</formula>
    </cfRule>
    <cfRule type="cellIs" dxfId="4600" priority="2270" operator="equal">
      <formula>0</formula>
    </cfRule>
  </conditionalFormatting>
  <conditionalFormatting sqref="AC50:AD51">
    <cfRule type="cellIs" dxfId="4601" priority="2269" operator="greaterThan">
      <formula>0</formula>
    </cfRule>
    <cfRule type="cellIs" dxfId="4602" priority="2268" operator="equal">
      <formula>0</formula>
    </cfRule>
  </conditionalFormatting>
  <conditionalFormatting sqref="Q27:R28">
    <cfRule type="cellIs" dxfId="4603" priority="1886" operator="equal">
      <formula>0</formula>
    </cfRule>
    <cfRule type="cellIs" dxfId="4604" priority="1887" operator="greaterThan">
      <formula>0</formula>
    </cfRule>
  </conditionalFormatting>
  <conditionalFormatting sqref="K4:L5">
    <cfRule type="cellIs" dxfId="4605" priority="1803" operator="equal">
      <formula>0</formula>
    </cfRule>
    <cfRule type="cellIs" dxfId="4606" priority="1804" operator="greaterThan">
      <formula>0</formula>
    </cfRule>
  </conditionalFormatting>
  <conditionalFormatting sqref="Q4:S5">
    <cfRule type="cellIs" dxfId="4607" priority="1801" operator="equal">
      <formula>0</formula>
    </cfRule>
    <cfRule type="cellIs" dxfId="4608" priority="1802" operator="greaterThan">
      <formula>0</formula>
    </cfRule>
  </conditionalFormatting>
  <conditionalFormatting sqref="M4:M5">
    <cfRule type="cellIs" dxfId="4609" priority="1715" operator="equal">
      <formula>0</formula>
    </cfRule>
    <cfRule type="cellIs" dxfId="4610" priority="1716" operator="greaterThan">
      <formula>0</formula>
    </cfRule>
  </conditionalFormatting>
  <conditionalFormatting sqref="M27:M28">
    <cfRule type="cellIs" dxfId="4611" priority="1709" operator="equal">
      <formula>0</formula>
    </cfRule>
    <cfRule type="cellIs" dxfId="4612" priority="1710" operator="greaterThan">
      <formula>0</formula>
    </cfRule>
  </conditionalFormatting>
  <conditionalFormatting sqref="Y4:Y5 Z4:AB23">
    <cfRule type="cellIs" dxfId="4613" priority="1605" operator="equal">
      <formula>0</formula>
    </cfRule>
    <cfRule type="cellIs" dxfId="4614" priority="1606" operator="greaterThan">
      <formula>0</formula>
    </cfRule>
  </conditionalFormatting>
  <conditionalFormatting sqref="Y27:Y28 Z27:AB46">
    <cfRule type="cellIs" dxfId="4615" priority="1599" operator="equal">
      <formula>0</formula>
    </cfRule>
    <cfRule type="cellIs" dxfId="4616" priority="1600" operator="greaterThan">
      <formula>0</formula>
    </cfRule>
  </conditionalFormatting>
  <conditionalFormatting sqref="Y50:Y51">
    <cfRule type="cellIs" dxfId="4617" priority="1592" operator="greaterThan">
      <formula>0</formula>
    </cfRule>
    <cfRule type="cellIs" dxfId="4618" priority="1591" operator="equal">
      <formula>0</formula>
    </cfRule>
  </conditionalFormatting>
  <conditionalFormatting sqref="AE50:AE51">
    <cfRule type="cellIs" dxfId="4619" priority="1590" operator="greaterThan">
      <formula>0</formula>
    </cfRule>
    <cfRule type="cellIs" dxfId="4620" priority="1589" operator="equal">
      <formula>0</formula>
    </cfRule>
  </conditionalFormatting>
  <conditionalFormatting sqref="R8:S14">
    <cfRule type="cellIs" dxfId="4621" priority="317" operator="equal">
      <formula>0</formula>
    </cfRule>
    <cfRule type="cellIs" dxfId="4622" priority="318" operator="greaterThan">
      <formula>0</formula>
    </cfRule>
  </conditionalFormatting>
  <conditionalFormatting sqref="X8:X14">
    <cfRule type="cellIs" dxfId="4623" priority="321" operator="equal">
      <formula>0</formula>
    </cfRule>
    <cfRule type="cellIs" dxfId="4624" priority="322" operator="greaterThan">
      <formula>0</formula>
    </cfRule>
  </conditionalFormatting>
  <conditionalFormatting sqref="X31:X37">
    <cfRule type="cellIs" dxfId="4625" priority="293" operator="equal">
      <formula>0</formula>
    </cfRule>
    <cfRule type="cellIs" dxfId="4626" priority="294" operator="greaterThan">
      <formula>0</formula>
    </cfRule>
  </conditionalFormatting>
  <conditionalFormatting sqref="R31:R37">
    <cfRule type="cellIs" dxfId="4627" priority="289" operator="equal">
      <formula>0</formula>
    </cfRule>
    <cfRule type="cellIs" dxfId="4628" priority="290" operator="greaterThan">
      <formula>0</formula>
    </cfRule>
  </conditionalFormatting>
  <conditionalFormatting sqref="R54:T60 X54:X60">
    <cfRule type="cellIs" dxfId="4629" priority="264" operator="greaterThan">
      <formula>0</formula>
    </cfRule>
    <cfRule type="cellIs" dxfId="4630" priority="263" operator="equal">
      <formula>0</formula>
    </cfRule>
  </conditionalFormatting>
  <conditionalFormatting sqref="Q8:Q14">
    <cfRule type="cellIs" dxfId="4631" priority="191" operator="equal">
      <formula>0</formula>
    </cfRule>
    <cfRule type="cellIs" dxfId="4632" priority="192" operator="greaterThan">
      <formula>0</formula>
    </cfRule>
  </conditionalFormatting>
  <conditionalFormatting sqref="Q31:Q37">
    <cfRule type="cellIs" dxfId="4633" priority="185" operator="equal">
      <formula>0</formula>
    </cfRule>
    <cfRule type="cellIs" dxfId="4634" priority="186" operator="greaterThan">
      <formula>0</formula>
    </cfRule>
  </conditionalFormatting>
  <conditionalFormatting sqref="Q54:Q60">
    <cfRule type="cellIs" dxfId="4635" priority="180" operator="greaterThan">
      <formula>0</formula>
    </cfRule>
    <cfRule type="cellIs" dxfId="4636" priority="179" operator="equal">
      <formula>0</formula>
    </cfRule>
  </conditionalFormatting>
  <conditionalFormatting sqref="J22:N22 T22 Y22">
    <cfRule type="cellIs" dxfId="4637" priority="131" operator="equal">
      <formula>0</formula>
    </cfRule>
    <cfRule type="cellIs" dxfId="4638" priority="132" operator="greaterThan">
      <formula>0</formula>
    </cfRule>
  </conditionalFormatting>
  <conditionalFormatting sqref="R22:S22">
    <cfRule type="cellIs" dxfId="4639" priority="127" operator="equal">
      <formula>0</formula>
    </cfRule>
    <cfRule type="cellIs" dxfId="4640" priority="128" operator="greaterThan">
      <formula>0</formula>
    </cfRule>
  </conditionalFormatting>
  <conditionalFormatting sqref="X22">
    <cfRule type="cellIs" dxfId="4641" priority="129" operator="equal">
      <formula>0</formula>
    </cfRule>
    <cfRule type="cellIs" dxfId="4642" priority="130" operator="greaterThan">
      <formula>0</formula>
    </cfRule>
  </conditionalFormatting>
  <conditionalFormatting sqref="Q22">
    <cfRule type="cellIs" dxfId="4643" priority="125" operator="equal">
      <formula>0</formula>
    </cfRule>
    <cfRule type="cellIs" dxfId="4644" priority="126" operator="greaterThan">
      <formula>0</formula>
    </cfRule>
  </conditionalFormatting>
  <conditionalFormatting sqref="J21:N21 T21 Y21">
    <cfRule type="cellIs" dxfId="4645" priority="139" operator="equal">
      <formula>0</formula>
    </cfRule>
    <cfRule type="cellIs" dxfId="4646" priority="140" operator="greaterThan">
      <formula>0</formula>
    </cfRule>
  </conditionalFormatting>
  <conditionalFormatting sqref="R21:S21">
    <cfRule type="cellIs" dxfId="4647" priority="135" operator="equal">
      <formula>0</formula>
    </cfRule>
    <cfRule type="cellIs" dxfId="4648" priority="136" operator="greaterThan">
      <formula>0</formula>
    </cfRule>
  </conditionalFormatting>
  <conditionalFormatting sqref="X21">
    <cfRule type="cellIs" dxfId="4649" priority="137" operator="equal">
      <formula>0</formula>
    </cfRule>
    <cfRule type="cellIs" dxfId="4650" priority="138" operator="greaterThan">
      <formula>0</formula>
    </cfRule>
  </conditionalFormatting>
  <conditionalFormatting sqref="Q21">
    <cfRule type="cellIs" dxfId="4651" priority="133" operator="equal">
      <formula>0</formula>
    </cfRule>
    <cfRule type="cellIs" dxfId="4652" priority="134" operator="greaterThan">
      <formula>0</formula>
    </cfRule>
  </conditionalFormatting>
  <conditionalFormatting sqref="J15:N17 T15:T17 Y15:Y17">
    <cfRule type="cellIs" dxfId="4653" priority="155" operator="equal">
      <formula>0</formula>
    </cfRule>
    <cfRule type="cellIs" dxfId="4654" priority="156" operator="greaterThan">
      <formula>0</formula>
    </cfRule>
  </conditionalFormatting>
  <conditionalFormatting sqref="R15:S17">
    <cfRule type="cellIs" dxfId="4655" priority="151" operator="equal">
      <formula>0</formula>
    </cfRule>
    <cfRule type="cellIs" dxfId="4656" priority="152" operator="greaterThan">
      <formula>0</formula>
    </cfRule>
  </conditionalFormatting>
  <conditionalFormatting sqref="X15:X17">
    <cfRule type="cellIs" dxfId="4657" priority="153" operator="equal">
      <formula>0</formula>
    </cfRule>
    <cfRule type="cellIs" dxfId="4658" priority="154" operator="greaterThan">
      <formula>0</formula>
    </cfRule>
  </conditionalFormatting>
  <conditionalFormatting sqref="Q15:Q17">
    <cfRule type="cellIs" dxfId="4659" priority="149" operator="equal">
      <formula>0</formula>
    </cfRule>
    <cfRule type="cellIs" dxfId="4660" priority="150" operator="greaterThan">
      <formula>0</formula>
    </cfRule>
  </conditionalFormatting>
  <conditionalFormatting sqref="J18:N20 T18:T20 Y18:Y20">
    <cfRule type="cellIs" dxfId="4661" priority="147" operator="equal">
      <formula>0</formula>
    </cfRule>
    <cfRule type="cellIs" dxfId="4662" priority="148" operator="greaterThan">
      <formula>0</formula>
    </cfRule>
  </conditionalFormatting>
  <conditionalFormatting sqref="R18:S20">
    <cfRule type="cellIs" dxfId="4663" priority="143" operator="equal">
      <formula>0</formula>
    </cfRule>
    <cfRule type="cellIs" dxfId="4664" priority="144" operator="greaterThan">
      <formula>0</formula>
    </cfRule>
  </conditionalFormatting>
  <conditionalFormatting sqref="X18:X20">
    <cfRule type="cellIs" dxfId="4665" priority="145" operator="equal">
      <formula>0</formula>
    </cfRule>
    <cfRule type="cellIs" dxfId="4666" priority="146" operator="greaterThan">
      <formula>0</formula>
    </cfRule>
  </conditionalFormatting>
  <conditionalFormatting sqref="Q18:Q20">
    <cfRule type="cellIs" dxfId="4667" priority="141" operator="equal">
      <formula>0</formula>
    </cfRule>
    <cfRule type="cellIs" dxfId="4668" priority="142" operator="greaterThan">
      <formula>0</formula>
    </cfRule>
  </conditionalFormatting>
  <conditionalFormatting sqref="J23:N23 T23 Y23">
    <cfRule type="cellIs" dxfId="4669" priority="123" operator="equal">
      <formula>0</formula>
    </cfRule>
    <cfRule type="cellIs" dxfId="4670" priority="124" operator="greaterThan">
      <formula>0</formula>
    </cfRule>
  </conditionalFormatting>
  <conditionalFormatting sqref="R23:S23">
    <cfRule type="cellIs" dxfId="4671" priority="119" operator="equal">
      <formula>0</formula>
    </cfRule>
    <cfRule type="cellIs" dxfId="4672" priority="120" operator="greaterThan">
      <formula>0</formula>
    </cfRule>
  </conditionalFormatting>
  <conditionalFormatting sqref="X23">
    <cfRule type="cellIs" dxfId="4673" priority="121" operator="equal">
      <formula>0</formula>
    </cfRule>
    <cfRule type="cellIs" dxfId="4674" priority="122" operator="greaterThan">
      <formula>0</formula>
    </cfRule>
  </conditionalFormatting>
  <conditionalFormatting sqref="Q23">
    <cfRule type="cellIs" dxfId="4675" priority="117" operator="equal">
      <formula>0</formula>
    </cfRule>
    <cfRule type="cellIs" dxfId="4676" priority="118" operator="greaterThan">
      <formula>0</formula>
    </cfRule>
  </conditionalFormatting>
  <conditionalFormatting sqref="J45:N45 S45:T45 Y45">
    <cfRule type="cellIs" dxfId="4677" priority="75" operator="equal">
      <formula>0</formula>
    </cfRule>
    <cfRule type="cellIs" dxfId="4678" priority="76" operator="greaterThan">
      <formula>0</formula>
    </cfRule>
  </conditionalFormatting>
  <conditionalFormatting sqref="X45">
    <cfRule type="cellIs" dxfId="4679" priority="73" operator="equal">
      <formula>0</formula>
    </cfRule>
    <cfRule type="cellIs" dxfId="4680" priority="74" operator="greaterThan">
      <formula>0</formula>
    </cfRule>
  </conditionalFormatting>
  <conditionalFormatting sqref="R45">
    <cfRule type="cellIs" dxfId="4681" priority="71" operator="equal">
      <formula>0</formula>
    </cfRule>
    <cfRule type="cellIs" dxfId="4682" priority="72" operator="greaterThan">
      <formula>0</formula>
    </cfRule>
  </conditionalFormatting>
  <conditionalFormatting sqref="Q45">
    <cfRule type="cellIs" dxfId="4683" priority="69" operator="equal">
      <formula>0</formula>
    </cfRule>
    <cfRule type="cellIs" dxfId="4684" priority="70" operator="greaterThan">
      <formula>0</formula>
    </cfRule>
  </conditionalFormatting>
  <conditionalFormatting sqref="J44:N44 S44:T44 Y44">
    <cfRule type="cellIs" dxfId="4685" priority="83" operator="equal">
      <formula>0</formula>
    </cfRule>
    <cfRule type="cellIs" dxfId="4686" priority="84" operator="greaterThan">
      <formula>0</formula>
    </cfRule>
  </conditionalFormatting>
  <conditionalFormatting sqref="X44">
    <cfRule type="cellIs" dxfId="4687" priority="81" operator="equal">
      <formula>0</formula>
    </cfRule>
    <cfRule type="cellIs" dxfId="4688" priority="82" operator="greaterThan">
      <formula>0</formula>
    </cfRule>
  </conditionalFormatting>
  <conditionalFormatting sqref="R44">
    <cfRule type="cellIs" dxfId="4689" priority="79" operator="equal">
      <formula>0</formula>
    </cfRule>
    <cfRule type="cellIs" dxfId="4690" priority="80" operator="greaterThan">
      <formula>0</formula>
    </cfRule>
  </conditionalFormatting>
  <conditionalFormatting sqref="Q44">
    <cfRule type="cellIs" dxfId="4691" priority="77" operator="equal">
      <formula>0</formula>
    </cfRule>
    <cfRule type="cellIs" dxfId="4692" priority="78" operator="greaterThan">
      <formula>0</formula>
    </cfRule>
  </conditionalFormatting>
  <conditionalFormatting sqref="Q46">
    <cfRule type="cellIs" dxfId="4693" priority="61" operator="equal">
      <formula>0</formula>
    </cfRule>
    <cfRule type="cellIs" dxfId="4694" priority="62" operator="greaterThan">
      <formula>0</formula>
    </cfRule>
  </conditionalFormatting>
  <conditionalFormatting sqref="J38:N40 S38:T40 Y38:Y40">
    <cfRule type="cellIs" dxfId="4695" priority="99" operator="equal">
      <formula>0</formula>
    </cfRule>
    <cfRule type="cellIs" dxfId="4696" priority="100" operator="greaterThan">
      <formula>0</formula>
    </cfRule>
  </conditionalFormatting>
  <conditionalFormatting sqref="X38:X40">
    <cfRule type="cellIs" dxfId="4697" priority="97" operator="equal">
      <formula>0</formula>
    </cfRule>
    <cfRule type="cellIs" dxfId="4698" priority="98" operator="greaterThan">
      <formula>0</formula>
    </cfRule>
  </conditionalFormatting>
  <conditionalFormatting sqref="R38:R40">
    <cfRule type="cellIs" dxfId="4699" priority="95" operator="equal">
      <formula>0</formula>
    </cfRule>
    <cfRule type="cellIs" dxfId="4700" priority="96" operator="greaterThan">
      <formula>0</formula>
    </cfRule>
  </conditionalFormatting>
  <conditionalFormatting sqref="Q38:Q40">
    <cfRule type="cellIs" dxfId="4701" priority="93" operator="equal">
      <formula>0</formula>
    </cfRule>
    <cfRule type="cellIs" dxfId="4702" priority="94" operator="greaterThan">
      <formula>0</formula>
    </cfRule>
  </conditionalFormatting>
  <conditionalFormatting sqref="J41:N43 S41:T43 Y41:Y43">
    <cfRule type="cellIs" dxfId="4703" priority="91" operator="equal">
      <formula>0</formula>
    </cfRule>
    <cfRule type="cellIs" dxfId="4704" priority="92" operator="greaterThan">
      <formula>0</formula>
    </cfRule>
  </conditionalFormatting>
  <conditionalFormatting sqref="X41:X43">
    <cfRule type="cellIs" dxfId="4705" priority="89" operator="equal">
      <formula>0</formula>
    </cfRule>
    <cfRule type="cellIs" dxfId="4706" priority="90" operator="greaterThan">
      <formula>0</formula>
    </cfRule>
  </conditionalFormatting>
  <conditionalFormatting sqref="R41:R43">
    <cfRule type="cellIs" dxfId="4707" priority="87" operator="equal">
      <formula>0</formula>
    </cfRule>
    <cfRule type="cellIs" dxfId="4708" priority="88" operator="greaterThan">
      <formula>0</formula>
    </cfRule>
  </conditionalFormatting>
  <conditionalFormatting sqref="Q41:Q43">
    <cfRule type="cellIs" dxfId="4709" priority="85" operator="equal">
      <formula>0</formula>
    </cfRule>
    <cfRule type="cellIs" dxfId="4710" priority="86" operator="greaterThan">
      <formula>0</formula>
    </cfRule>
  </conditionalFormatting>
  <conditionalFormatting sqref="J46:N46 S46:T46 Y46">
    <cfRule type="cellIs" dxfId="4711" priority="67" operator="equal">
      <formula>0</formula>
    </cfRule>
    <cfRule type="cellIs" dxfId="4712" priority="68" operator="greaterThan">
      <formula>0</formula>
    </cfRule>
  </conditionalFormatting>
  <conditionalFormatting sqref="X46">
    <cfRule type="cellIs" dxfId="4713" priority="65" operator="equal">
      <formula>0</formula>
    </cfRule>
    <cfRule type="cellIs" dxfId="4714" priority="66" operator="greaterThan">
      <formula>0</formula>
    </cfRule>
  </conditionalFormatting>
  <conditionalFormatting sqref="R46">
    <cfRule type="cellIs" dxfId="4715" priority="63" operator="equal">
      <formula>0</formula>
    </cfRule>
    <cfRule type="cellIs" dxfId="4716" priority="64" operator="greaterThan">
      <formula>0</formula>
    </cfRule>
  </conditionalFormatting>
  <conditionalFormatting sqref="H64:P66 V64:W66 Y64:Y66 AC64:AF66">
    <cfRule type="cellIs" dxfId="4717" priority="42" operator="greaterThan">
      <formula>0</formula>
    </cfRule>
    <cfRule type="cellIs" dxfId="4718" priority="41" operator="equal">
      <formula>0</formula>
    </cfRule>
  </conditionalFormatting>
  <conditionalFormatting sqref="R64:T66 X64:X66">
    <cfRule type="cellIs" dxfId="4719" priority="40" operator="greaterThan">
      <formula>0</formula>
    </cfRule>
    <cfRule type="cellIs" dxfId="4720" priority="39" operator="equal">
      <formula>0</formula>
    </cfRule>
  </conditionalFormatting>
  <conditionalFormatting sqref="Q64:Q66">
    <cfRule type="cellIs" dxfId="4721" priority="38" operator="greaterThan">
      <formula>0</formula>
    </cfRule>
    <cfRule type="cellIs" dxfId="4722" priority="37" operator="equal">
      <formula>0</formula>
    </cfRule>
  </conditionalFormatting>
  <conditionalFormatting sqref="H69:P69 V69:W69 Y69 AC69:AF69">
    <cfRule type="cellIs" dxfId="4723" priority="24" operator="greaterThan">
      <formula>0</formula>
    </cfRule>
    <cfRule type="cellIs" dxfId="4724" priority="23" operator="equal">
      <formula>0</formula>
    </cfRule>
  </conditionalFormatting>
  <conditionalFormatting sqref="R69:T69 X69">
    <cfRule type="cellIs" dxfId="4725" priority="22" operator="greaterThan">
      <formula>0</formula>
    </cfRule>
    <cfRule type="cellIs" dxfId="4726" priority="21" operator="equal">
      <formula>0</formula>
    </cfRule>
  </conditionalFormatting>
  <conditionalFormatting sqref="Q69">
    <cfRule type="cellIs" dxfId="4727" priority="20" operator="greaterThan">
      <formula>0</formula>
    </cfRule>
    <cfRule type="cellIs" dxfId="4728" priority="19" operator="equal">
      <formula>0</formula>
    </cfRule>
  </conditionalFormatting>
  <conditionalFormatting sqref="H61:P63 V61:W63 Y61:Y63 AC61:AF63">
    <cfRule type="cellIs" dxfId="4729" priority="48" operator="greaterThan">
      <formula>0</formula>
    </cfRule>
    <cfRule type="cellIs" dxfId="4730" priority="47" operator="equal">
      <formula>0</formula>
    </cfRule>
  </conditionalFormatting>
  <conditionalFormatting sqref="R61:T63 X61:X63">
    <cfRule type="cellIs" dxfId="4731" priority="46" operator="greaterThan">
      <formula>0</formula>
    </cfRule>
    <cfRule type="cellIs" dxfId="4732" priority="45" operator="equal">
      <formula>0</formula>
    </cfRule>
  </conditionalFormatting>
  <conditionalFormatting sqref="Q61:Q63">
    <cfRule type="cellIs" dxfId="4733" priority="44" operator="greaterThan">
      <formula>0</formula>
    </cfRule>
    <cfRule type="cellIs" dxfId="4734" priority="43" operator="equal">
      <formula>0</formula>
    </cfRule>
  </conditionalFormatting>
  <conditionalFormatting sqref="H67:P67 V67:W67 Y67 AC67:AF67">
    <cfRule type="cellIs" dxfId="4735" priority="36" operator="greaterThan">
      <formula>0</formula>
    </cfRule>
    <cfRule type="cellIs" dxfId="4736" priority="35" operator="equal">
      <formula>0</formula>
    </cfRule>
  </conditionalFormatting>
  <conditionalFormatting sqref="R67:T67 X67">
    <cfRule type="cellIs" dxfId="4737" priority="34" operator="greaterThan">
      <formula>0</formula>
    </cfRule>
    <cfRule type="cellIs" dxfId="4738" priority="33" operator="equal">
      <formula>0</formula>
    </cfRule>
  </conditionalFormatting>
  <conditionalFormatting sqref="Q67">
    <cfRule type="cellIs" dxfId="4739" priority="32" operator="greaterThan">
      <formula>0</formula>
    </cfRule>
    <cfRule type="cellIs" dxfId="4740" priority="31" operator="equal">
      <formula>0</formula>
    </cfRule>
  </conditionalFormatting>
  <conditionalFormatting sqref="H68:P68 V68:W68 Y68 AC68:AF68">
    <cfRule type="cellIs" dxfId="4741" priority="30" operator="greaterThan">
      <formula>0</formula>
    </cfRule>
    <cfRule type="cellIs" dxfId="4742" priority="29" operator="equal">
      <formula>0</formula>
    </cfRule>
  </conditionalFormatting>
  <conditionalFormatting sqref="R68:T68 X68">
    <cfRule type="cellIs" dxfId="4743" priority="28" operator="greaterThan">
      <formula>0</formula>
    </cfRule>
    <cfRule type="cellIs" dxfId="4744" priority="27" operator="equal">
      <formula>0</formula>
    </cfRule>
  </conditionalFormatting>
  <conditionalFormatting sqref="Q68">
    <cfRule type="cellIs" dxfId="4745" priority="26" operator="greaterThan">
      <formula>0</formula>
    </cfRule>
    <cfRule type="cellIs" dxfId="4746" priority="25" operator="equal">
      <formula>0</formula>
    </cfRule>
  </conditionalFormatting>
  <conditionalFormatting sqref="U27:U46">
    <cfRule type="cellIs" dxfId="4747" priority="15" operator="equal">
      <formula>0</formula>
    </cfRule>
    <cfRule type="cellIs" dxfId="4748" priority="16" operator="greaterThan">
      <formula>0</formula>
    </cfRule>
  </conditionalFormatting>
  <conditionalFormatting sqref="AE4:AI23">
    <cfRule type="cellIs" dxfId="4749" priority="3" operator="equal">
      <formula>0</formula>
    </cfRule>
    <cfRule type="cellIs" dxfId="4750" priority="4" operator="greaterThan">
      <formula>0</formula>
    </cfRule>
  </conditionalFormatting>
  <conditionalFormatting sqref="AE27:AI46">
    <cfRule type="cellIs" dxfId="4751" priority="1" operator="equal">
      <formula>0</formula>
    </cfRule>
    <cfRule type="cellIs" dxfId="4752" priority="2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"/>
    <outlinePr summaryBelow="1" summaryRight="1"/>
  </sheetPr>
  <dimension ref="A1:AN50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52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64"/>
    </row>
    <row r="2" ht="80.25" customHeight="1" spans="1:40" s="754" customFormat="1" x14ac:dyDescent="0.25">
      <c r="A2" s="755" t="s">
        <v>239</v>
      </c>
      <c r="B2" s="765"/>
      <c r="C2" s="757">
        <f>Config!D3</f>
      </c>
      <c r="D2" s="757">
        <f>Config!D4</f>
      </c>
      <c r="E2" s="757">
        <f>Config!D5</f>
      </c>
      <c r="F2" s="757">
        <f>Config!D6</f>
      </c>
      <c r="G2" s="757">
        <f>Config!D7</f>
      </c>
      <c r="H2" s="757">
        <f>Config!D8</f>
      </c>
      <c r="I2" s="757">
        <f>Config!D9</f>
      </c>
      <c r="J2" s="757">
        <f>Config!D10</f>
      </c>
      <c r="K2" s="757">
        <f>Config!D11</f>
      </c>
      <c r="L2" s="757">
        <f>Config!D12</f>
      </c>
      <c r="M2" s="757">
        <f>Config!D13</f>
      </c>
      <c r="N2" s="757">
        <f>Config!D14</f>
      </c>
      <c r="O2" s="757">
        <f>Config!D15</f>
      </c>
      <c r="P2" s="757">
        <f>Config!D16</f>
      </c>
      <c r="Q2" s="757">
        <f>Config!D17</f>
      </c>
      <c r="R2" s="757">
        <f>Config!D18</f>
      </c>
      <c r="S2" s="757">
        <f>Config!D19</f>
      </c>
      <c r="T2" s="757">
        <f>Config!D20</f>
      </c>
      <c r="U2" s="757">
        <f>Config!D21</f>
      </c>
      <c r="V2" s="757">
        <f>Config!D22</f>
      </c>
      <c r="W2" s="757">
        <f>Config!D23</f>
      </c>
      <c r="X2" s="757">
        <f>Config!D24</f>
      </c>
      <c r="Y2" s="757">
        <f>Config!D25</f>
      </c>
      <c r="Z2" s="757">
        <f>Config!D26</f>
      </c>
      <c r="AA2" s="757">
        <f>Config!D27</f>
      </c>
      <c r="AB2" s="757">
        <f>Config!D28</f>
      </c>
      <c r="AC2" s="757">
        <f>Config!D29</f>
      </c>
      <c r="AD2" s="757">
        <f>Config!D30</f>
      </c>
      <c r="AE2" s="757">
        <f>Config!D31</f>
      </c>
      <c r="AF2" s="757">
        <f>Config!D32</f>
      </c>
      <c r="AG2" s="757">
        <f>Config!D33</f>
      </c>
      <c r="AH2" s="757">
        <f>Config!D34</f>
      </c>
      <c r="AI2" s="757">
        <f>Config!D35</f>
      </c>
      <c r="AJ2" s="757">
        <f>Config!D36</f>
      </c>
      <c r="AK2" s="757">
        <f>Config!D37</f>
      </c>
      <c r="AL2" s="758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Planning!B38</f>
      </c>
      <c r="B4" s="4"/>
      <c r="C4" s="760">
        <f>IF(GetFillColor(C4)&lt;0,SUM(Planning!$F38:$AC38),0)</f>
      </c>
      <c r="D4" s="760">
        <f>IF(GetFillColor(D4)&lt;0,SUM(Planning!$AI38:$BF38),0)</f>
      </c>
      <c r="E4" s="760">
        <f>IF(GetFillColor(E4)&lt;0,SUM(Planning!$BL38:$CI38),0)</f>
      </c>
      <c r="F4" s="761">
        <f>IF(GetFillColor(F4)&lt;0,SUM(Planning!$CO38:$DL38),0)</f>
      </c>
      <c r="G4" s="761">
        <f>IF(GetFillColor(G4)&lt;0,SUM(Planning!$DR38:$EO38),0)</f>
      </c>
      <c r="H4" s="761">
        <v>0</v>
      </c>
      <c r="I4" s="761">
        <v>0</v>
      </c>
      <c r="J4" s="762">
        <f>IF(GetFillColor(J4)&lt;0,SUM(Planning!$HD38:$IA38),0)</f>
      </c>
      <c r="K4" s="762">
        <f>IF(GetFillColor(K4)&lt;0,SUM(Planning!$IG38:$JD38),0)</f>
      </c>
      <c r="L4" s="762">
        <f>IF(GetFillColor(L4)&lt;0,SUM(Planning!$JJ38:$KG38),0)</f>
      </c>
      <c r="M4" s="762">
        <f>IF(GetFillColor(M4)&lt;0,SUM(Planning!$KM38:$LJ38),0)</f>
      </c>
      <c r="N4" s="762">
        <f>IF(GetFillColor(N4)&lt;0,SUM(Planning!$LP38:$MM38),0)</f>
      </c>
      <c r="O4" s="761">
        <v>0</v>
      </c>
      <c r="P4" s="761">
        <v>0</v>
      </c>
      <c r="Q4" s="762">
        <f>IF(GetFillColor(Q4)&lt;0,SUM(Planning!$PB38:$PY38),0)</f>
      </c>
      <c r="R4" s="762">
        <f>IF(GetFillColor(R4)&lt;0,SUM(Planning!$QE38:$RB38),0)</f>
      </c>
      <c r="S4" s="762">
        <f>IF(GetFillColor(S4)&lt;0,SUM(Planning!$RH38:$SE38),0)</f>
      </c>
      <c r="T4" s="762">
        <f>IF(GetFillColor(T4)&lt;0,SUM(Planning!$SK38:$TH38),0)</f>
      </c>
      <c r="U4" s="762">
        <f>IF(GetFillColor(U4)&lt;0,SUM(Planning!$TN38:$UK38),0)</f>
      </c>
      <c r="V4" s="761">
        <v>0</v>
      </c>
      <c r="W4" s="761">
        <v>0</v>
      </c>
      <c r="X4" s="762">
        <f>IF(GetFillColor(X4)&lt;0,SUM(Planning!$WZ38:$XW38),0)</f>
      </c>
      <c r="Y4" s="762">
        <f>IF(GetFillColor(Y4)&lt;0,SUM(Planning!$YC38:$YZ38),0)</f>
      </c>
      <c r="Z4" s="762">
        <f>IF(GetFillColor(Z4)&lt;0,SUM(Planning!$ZF38:$AAC38),0)</f>
      </c>
      <c r="AA4" s="762">
        <f>IF(GetFillColor(AA4)&lt;0,SUM(Planning!$AAI38:$ABF38),0)</f>
      </c>
      <c r="AB4" s="762">
        <f>IF(GetFillColor(AB4)&lt;0,SUM(Planning!$ABL38:$ACI38),0)</f>
      </c>
      <c r="AC4" s="761">
        <v>0</v>
      </c>
      <c r="AD4" s="761">
        <v>0</v>
      </c>
      <c r="AE4" s="762">
        <f>IF(GetFillColor(AE4)&lt;0,SUM(Planning!$AEX38:$AFU38),0)</f>
      </c>
      <c r="AF4" s="762">
        <f>IF(GetFillColor(AF4)&lt;0,SUM(Planning!$AGA38:$AGX38),0)</f>
      </c>
      <c r="AG4" s="762">
        <f>IF(GetFillColor(AG4)&lt;0,SUM(Planning!$AHD38:$AIA38),0)</f>
      </c>
      <c r="AH4" s="762">
        <f>IF(GetFillColor(AH4)&lt;0,SUM(Planning!$AIG38:$AJD38),0)</f>
      </c>
      <c r="AI4" s="762">
        <f>IF(GetFillColor(AI4)&lt;0,SUM(Planning!$AJJ38:$AKG38),0)</f>
      </c>
      <c r="AJ4" s="761">
        <v>0</v>
      </c>
      <c r="AK4" s="760">
        <v>0</v>
      </c>
      <c r="AL4" s="698">
        <f>SUM(C4:AK4)</f>
      </c>
      <c r="AM4" s="4"/>
      <c r="AN4" s="4"/>
    </row>
    <row r="5" ht="20.25" customHeight="1" spans="1:40" x14ac:dyDescent="0.25">
      <c r="A5" s="4">
        <f>Planning!B39</f>
      </c>
      <c r="B5" s="4"/>
      <c r="C5" s="760">
        <f>IF(GetFillColor(C5)&lt;0,SUM(Planning!$F39:$AC39),0)</f>
      </c>
      <c r="D5" s="760">
        <f>IF(GetFillColor(D5)&lt;0,SUM(Planning!$AI39:$BF39),0)</f>
      </c>
      <c r="E5" s="760">
        <f>IF(GetFillColor(E5)&lt;0,SUM(Planning!$BL39:$CI39),0)</f>
      </c>
      <c r="F5" s="761">
        <f>IF(GetFillColor(F5)&lt;0,SUM(Planning!$CO39:$DL39),0)</f>
      </c>
      <c r="G5" s="761">
        <f>IF(GetFillColor(G5)&lt;0,SUM(Planning!$DR39:$EO39),0)</f>
      </c>
      <c r="H5" s="761">
        <v>0</v>
      </c>
      <c r="I5" s="761">
        <v>0</v>
      </c>
      <c r="J5" s="762">
        <f>IF(GetFillColor(J5)&lt;0,SUM(Planning!$HD39:$IA39),0)</f>
      </c>
      <c r="K5" s="762">
        <f>IF(GetFillColor(K5)&lt;0,SUM(Planning!$IG39:$JD39),0)</f>
      </c>
      <c r="L5" s="762">
        <f>IF(GetFillColor(L5)&lt;0,SUM(Planning!$JJ39:$KG39),0)</f>
      </c>
      <c r="M5" s="762">
        <f>IF(GetFillColor(M5)&lt;0,SUM(Planning!$KM39:$LJ39),0)</f>
      </c>
      <c r="N5" s="762">
        <f>IF(GetFillColor(N5)&lt;0,SUM(Planning!$LP39:$MM39),0)</f>
      </c>
      <c r="O5" s="761">
        <v>0</v>
      </c>
      <c r="P5" s="761">
        <v>0</v>
      </c>
      <c r="Q5" s="762">
        <f>IF(GetFillColor(Q5)&lt;0,SUM(Planning!$PB39:$PY39),0)</f>
      </c>
      <c r="R5" s="762">
        <f>IF(GetFillColor(R5)&lt;0,SUM(Planning!$QE39:$RB39),0)</f>
      </c>
      <c r="S5" s="762">
        <f>IF(GetFillColor(S5)&lt;0,SUM(Planning!$RH39:$SE39),0)</f>
      </c>
      <c r="T5" s="762">
        <f>IF(GetFillColor(T5)&lt;0,SUM(Planning!$SK39:$TH39),0)</f>
      </c>
      <c r="U5" s="762">
        <f>IF(GetFillColor(U5)&lt;0,SUM(Planning!$TN39:$UK39),0)</f>
      </c>
      <c r="V5" s="761">
        <v>0</v>
      </c>
      <c r="W5" s="761">
        <v>0</v>
      </c>
      <c r="X5" s="762">
        <f>IF(GetFillColor(X5)&lt;0,SUM(Planning!$WZ39:$XW39),0)</f>
      </c>
      <c r="Y5" s="762">
        <f>IF(GetFillColor(Y5)&lt;0,SUM(Planning!$YC39:$YZ39),0)</f>
      </c>
      <c r="Z5" s="762">
        <f>IF(GetFillColor(Z5)&lt;0,SUM(Planning!$ZF39:$AAC39),0)</f>
      </c>
      <c r="AA5" s="762">
        <f>IF(GetFillColor(AA5)&lt;0,SUM(Planning!$AAI39:$ABF39),0)</f>
      </c>
      <c r="AB5" s="762">
        <f>IF(GetFillColor(AB5)&lt;0,SUM(Planning!$ABL39:$ACI39),0)</f>
      </c>
      <c r="AC5" s="761">
        <v>0</v>
      </c>
      <c r="AD5" s="761">
        <v>0</v>
      </c>
      <c r="AE5" s="762">
        <f>IF(GetFillColor(AE5)&lt;0,SUM(Planning!$AEX39:$AFU39),0)</f>
      </c>
      <c r="AF5" s="762">
        <f>IF(GetFillColor(AF5)&lt;0,SUM(Planning!$AGA39:$AGX39),0)</f>
      </c>
      <c r="AG5" s="762">
        <f>IF(GetFillColor(AG5)&lt;0,SUM(Planning!$AHD39:$AIA39),0)</f>
      </c>
      <c r="AH5" s="762">
        <f>IF(GetFillColor(AH5)&lt;0,SUM(Planning!$AIG39:$AJD39),0)</f>
      </c>
      <c r="AI5" s="762">
        <f>IF(GetFillColor(AI5)&lt;0,SUM(Planning!$AJJ39:$AKG39),0)</f>
      </c>
      <c r="AJ5" s="761">
        <v>0</v>
      </c>
      <c r="AK5" s="760">
        <v>0</v>
      </c>
      <c r="AL5" s="698">
        <f>SUM(C5:AK5)</f>
      </c>
      <c r="AM5" s="4"/>
      <c r="AN5" s="4"/>
    </row>
    <row r="6" ht="20.25" customHeight="1" spans="1:40" x14ac:dyDescent="0.25">
      <c r="A6" s="4">
        <f>Planning!B40</f>
      </c>
      <c r="B6" s="4"/>
      <c r="C6" s="760">
        <f>IF(GetFillColor(C6)&lt;0,SUM(Planning!$F40:$AC40),0)</f>
      </c>
      <c r="D6" s="760">
        <f>IF(GetFillColor(D6)&lt;0,SUM(Planning!$AI40:$BF40),0)</f>
      </c>
      <c r="E6" s="760">
        <f>IF(GetFillColor(E6)&lt;0,SUM(Planning!$BL40:$CI40),0)</f>
      </c>
      <c r="F6" s="761">
        <f>IF(GetFillColor(F6)&lt;0,SUM(Planning!$CO40:$DL40),0)</f>
      </c>
      <c r="G6" s="761">
        <f>IF(GetFillColor(G6)&lt;0,SUM(Planning!$DR40:$EO40),0)</f>
      </c>
      <c r="H6" s="761">
        <v>0</v>
      </c>
      <c r="I6" s="761">
        <v>0</v>
      </c>
      <c r="J6" s="762">
        <f>IF(GetFillColor(J6)&lt;0,SUM(Planning!$HD40:$IA40),0)</f>
      </c>
      <c r="K6" s="762">
        <f>IF(GetFillColor(K6)&lt;0,SUM(Planning!$IG40:$JD40),0)</f>
      </c>
      <c r="L6" s="762">
        <f>IF(GetFillColor(L6)&lt;0,SUM(Planning!$JJ40:$KG40),0)</f>
      </c>
      <c r="M6" s="762">
        <f>IF(GetFillColor(M6)&lt;0,SUM(Planning!$KM40:$LJ40),0)</f>
      </c>
      <c r="N6" s="762">
        <f>IF(GetFillColor(N6)&lt;0,SUM(Planning!$LP40:$MM40),0)</f>
      </c>
      <c r="O6" s="761">
        <v>0</v>
      </c>
      <c r="P6" s="761">
        <v>0</v>
      </c>
      <c r="Q6" s="762">
        <f>IF(GetFillColor(Q6)&lt;0,SUM(Planning!$PB40:$PY40),0)</f>
      </c>
      <c r="R6" s="762">
        <f>IF(GetFillColor(R6)&lt;0,SUM(Planning!$QE40:$RB40),0)</f>
      </c>
      <c r="S6" s="762">
        <f>IF(GetFillColor(S6)&lt;0,SUM(Planning!$RH40:$SE40),0)</f>
      </c>
      <c r="T6" s="762">
        <f>IF(GetFillColor(T6)&lt;0,SUM(Planning!$SK40:$TH40),0)</f>
      </c>
      <c r="U6" s="762">
        <f>IF(GetFillColor(U6)&lt;0,SUM(Planning!$TN40:$UK40),0)</f>
      </c>
      <c r="V6" s="761">
        <v>0</v>
      </c>
      <c r="W6" s="761">
        <v>0</v>
      </c>
      <c r="X6" s="762">
        <f>IF(GetFillColor(X6)&lt;0,SUM(Planning!$WZ40:$XW40),0)</f>
      </c>
      <c r="Y6" s="762">
        <f>IF(GetFillColor(Y6)&lt;0,SUM(Planning!$YC40:$YZ40),0)</f>
      </c>
      <c r="Z6" s="762">
        <f>IF(GetFillColor(Z6)&lt;0,SUM(Planning!$ZF40:$AAC40),0)</f>
      </c>
      <c r="AA6" s="762">
        <f>IF(GetFillColor(AA6)&lt;0,SUM(Planning!$AAI40:$ABF40),0)</f>
      </c>
      <c r="AB6" s="762">
        <f>IF(GetFillColor(AB6)&lt;0,SUM(Planning!$ABL40:$ACI40),0)</f>
      </c>
      <c r="AC6" s="761">
        <v>0</v>
      </c>
      <c r="AD6" s="761">
        <v>0</v>
      </c>
      <c r="AE6" s="762">
        <f>IF(GetFillColor(AE6)&lt;0,SUM(Planning!$AEX40:$AFU40),0)</f>
      </c>
      <c r="AF6" s="762">
        <f>IF(GetFillColor(AF6)&lt;0,SUM(Planning!$AGA40:$AGX40),0)</f>
      </c>
      <c r="AG6" s="762">
        <f>IF(GetFillColor(AG6)&lt;0,SUM(Planning!$AHD40:$AIA40),0)</f>
      </c>
      <c r="AH6" s="762">
        <f>IF(GetFillColor(AH6)&lt;0,SUM(Planning!$AIG40:$AJD40),0)</f>
      </c>
      <c r="AI6" s="762">
        <f>IF(GetFillColor(AI6)&lt;0,SUM(Planning!$AJJ40:$AKG40),0)</f>
      </c>
      <c r="AJ6" s="761">
        <v>0</v>
      </c>
      <c r="AK6" s="760">
        <v>0</v>
      </c>
      <c r="AL6" s="698">
        <f>SUM(C6:AK6)</f>
      </c>
      <c r="AM6" s="4"/>
      <c r="AN6" s="4"/>
    </row>
    <row r="7" ht="20.25" customHeight="1" spans="1:40" x14ac:dyDescent="0.25">
      <c r="A7" s="4">
        <f>Planning!B41</f>
      </c>
      <c r="B7" s="4"/>
      <c r="C7" s="760">
        <f>IF(GetFillColor(C7)&lt;0,SUM(Planning!$F41:$AC41),0)</f>
      </c>
      <c r="D7" s="760">
        <f>IF(GetFillColor(D7)&lt;0,SUM(Planning!$AI41:$BF41),0)</f>
      </c>
      <c r="E7" s="760">
        <f>IF(GetFillColor(E7)&lt;0,SUM(Planning!$BL41:$CI41),0)</f>
      </c>
      <c r="F7" s="761">
        <f>IF(GetFillColor(F7)&lt;0,SUM(Planning!$CO41:$DL41),0)</f>
      </c>
      <c r="G7" s="761">
        <f>IF(GetFillColor(G7)&lt;0,SUM(Planning!$DR41:$EO41),0)</f>
      </c>
      <c r="H7" s="761">
        <v>0</v>
      </c>
      <c r="I7" s="761">
        <v>0</v>
      </c>
      <c r="J7" s="762">
        <f>IF(GetFillColor(J7)&lt;0,SUM(Planning!$HD41:$IA41),0)</f>
      </c>
      <c r="K7" s="762">
        <f>IF(GetFillColor(K7)&lt;0,SUM(Planning!$IG41:$JD41),0)</f>
      </c>
      <c r="L7" s="762">
        <f>IF(GetFillColor(L7)&lt;0,SUM(Planning!$JJ41:$KG41),0)</f>
      </c>
      <c r="M7" s="762">
        <f>IF(GetFillColor(M7)&lt;0,SUM(Planning!$KM41:$LJ41),0)</f>
      </c>
      <c r="N7" s="762">
        <f>IF(GetFillColor(N7)&lt;0,SUM(Planning!$LP41:$MM41),0)</f>
      </c>
      <c r="O7" s="761">
        <v>0</v>
      </c>
      <c r="P7" s="761">
        <v>0</v>
      </c>
      <c r="Q7" s="762">
        <f>IF(GetFillColor(Q7)&lt;0,SUM(Planning!$PB41:$PY41),0)</f>
      </c>
      <c r="R7" s="762">
        <f>IF(GetFillColor(R7)&lt;0,SUM(Planning!$QE41:$RB41),0)</f>
      </c>
      <c r="S7" s="762">
        <f>IF(GetFillColor(S7)&lt;0,SUM(Planning!$RH41:$SE41),0)</f>
      </c>
      <c r="T7" s="762">
        <f>IF(GetFillColor(T7)&lt;0,SUM(Planning!$SK41:$TH41),0)</f>
      </c>
      <c r="U7" s="762">
        <f>IF(GetFillColor(U7)&lt;0,SUM(Planning!$TN41:$UK41),0)</f>
      </c>
      <c r="V7" s="761">
        <v>0</v>
      </c>
      <c r="W7" s="761">
        <v>0</v>
      </c>
      <c r="X7" s="762">
        <f>IF(GetFillColor(X7)&lt;0,SUM(Planning!$WZ41:$XW41),0)</f>
      </c>
      <c r="Y7" s="762">
        <f>IF(GetFillColor(Y7)&lt;0,SUM(Planning!$YC41:$YZ41),0)</f>
      </c>
      <c r="Z7" s="762">
        <f>IF(GetFillColor(Z7)&lt;0,SUM(Planning!$ZF41:$AAC41),0)</f>
      </c>
      <c r="AA7" s="762">
        <f>IF(GetFillColor(AA7)&lt;0,SUM(Planning!$AAI41:$ABF41),0)</f>
      </c>
      <c r="AB7" s="762">
        <f>IF(GetFillColor(AB7)&lt;0,SUM(Planning!$ABL41:$ACI41),0)</f>
      </c>
      <c r="AC7" s="761">
        <v>0</v>
      </c>
      <c r="AD7" s="761">
        <v>0</v>
      </c>
      <c r="AE7" s="762">
        <f>IF(GetFillColor(AE7)&lt;0,SUM(Planning!$AEX41:$AFU41),0)</f>
      </c>
      <c r="AF7" s="762">
        <f>IF(GetFillColor(AF7)&lt;0,SUM(Planning!$AGA41:$AGX41),0)</f>
      </c>
      <c r="AG7" s="762">
        <f>IF(GetFillColor(AG7)&lt;0,SUM(Planning!$AHD41:$AIA41),0)</f>
      </c>
      <c r="AH7" s="762">
        <f>IF(GetFillColor(AH7)&lt;0,SUM(Planning!$AIG41:$AJD41),0)</f>
      </c>
      <c r="AI7" s="762">
        <f>IF(GetFillColor(AI7)&lt;0,SUM(Planning!$AJJ41:$AKG41),0)</f>
      </c>
      <c r="AJ7" s="761">
        <v>0</v>
      </c>
      <c r="AK7" s="760">
        <v>0</v>
      </c>
      <c r="AL7" s="698">
        <f>SUM(C7:AK7)</f>
      </c>
      <c r="AM7" s="4"/>
      <c r="AN7" s="4"/>
    </row>
    <row r="8" ht="20.25" customHeight="1" spans="1:40" x14ac:dyDescent="0.25">
      <c r="A8" s="4">
        <f>Planning!B42</f>
      </c>
      <c r="B8" s="4"/>
      <c r="C8" s="760">
        <f>IF(GetFillColor(C8)&lt;0,SUM(Planning!$F42:$AC42),0)</f>
      </c>
      <c r="D8" s="760">
        <f>IF(GetFillColor(D8)&lt;0,SUM(Planning!$AI42:$BF42),0)</f>
      </c>
      <c r="E8" s="760">
        <f>IF(GetFillColor(E8)&lt;0,SUM(Planning!$BL42:$CI42),0)</f>
      </c>
      <c r="F8" s="761">
        <f>IF(GetFillColor(F8)&lt;0,SUM(Planning!$CO42:$DL42),0)</f>
      </c>
      <c r="G8" s="761">
        <f>IF(GetFillColor(G8)&lt;0,SUM(Planning!$DR42:$EO42),0)</f>
      </c>
      <c r="H8" s="761">
        <v>0</v>
      </c>
      <c r="I8" s="761">
        <v>0</v>
      </c>
      <c r="J8" s="762">
        <f>IF(GetFillColor(J8)&lt;0,SUM(Planning!$HD42:$IA42),0)</f>
      </c>
      <c r="K8" s="762">
        <f>IF(GetFillColor(K8)&lt;0,SUM(Planning!$IG42:$JD42),0)</f>
      </c>
      <c r="L8" s="762">
        <f>IF(GetFillColor(L8)&lt;0,SUM(Planning!$JJ42:$KG42),0)</f>
      </c>
      <c r="M8" s="762">
        <f>IF(GetFillColor(M8)&lt;0,SUM(Planning!$KM42:$LJ42),0)</f>
      </c>
      <c r="N8" s="762">
        <f>IF(GetFillColor(N8)&lt;0,SUM(Planning!$LP42:$MM42),0)</f>
      </c>
      <c r="O8" s="761">
        <v>0</v>
      </c>
      <c r="P8" s="761">
        <v>0</v>
      </c>
      <c r="Q8" s="762">
        <f>IF(GetFillColor(Q8)&lt;0,SUM(Planning!$PB42:$PY42),0)</f>
      </c>
      <c r="R8" s="762">
        <f>IF(GetFillColor(R8)&lt;0,SUM(Planning!$QE42:$RB42),0)</f>
      </c>
      <c r="S8" s="762">
        <f>IF(GetFillColor(S8)&lt;0,SUM(Planning!$RH42:$SE42),0)</f>
      </c>
      <c r="T8" s="762">
        <f>IF(GetFillColor(T8)&lt;0,SUM(Planning!$SK42:$TH42),0)</f>
      </c>
      <c r="U8" s="762">
        <f>IF(GetFillColor(U8)&lt;0,SUM(Planning!$TN42:$UK42),0)</f>
      </c>
      <c r="V8" s="761">
        <v>0</v>
      </c>
      <c r="W8" s="761">
        <v>0</v>
      </c>
      <c r="X8" s="762">
        <f>IF(GetFillColor(X8)&lt;0,SUM(Planning!$WZ42:$XW42),0)</f>
      </c>
      <c r="Y8" s="762">
        <f>IF(GetFillColor(Y8)&lt;0,SUM(Planning!$YC42:$YZ42),0)</f>
      </c>
      <c r="Z8" s="762">
        <f>IF(GetFillColor(Z8)&lt;0,SUM(Planning!$ZF42:$AAC42),0)</f>
      </c>
      <c r="AA8" s="762">
        <f>IF(GetFillColor(AA8)&lt;0,SUM(Planning!$AAI42:$ABF42),0)</f>
      </c>
      <c r="AB8" s="762">
        <f>IF(GetFillColor(AB8)&lt;0,SUM(Planning!$ABL42:$ACI42),0)</f>
      </c>
      <c r="AC8" s="761">
        <v>0</v>
      </c>
      <c r="AD8" s="761">
        <v>0</v>
      </c>
      <c r="AE8" s="762">
        <f>IF(GetFillColor(AE8)&lt;0,SUM(Planning!$AEX42:$AFU42),0)</f>
      </c>
      <c r="AF8" s="762">
        <f>IF(GetFillColor(AF8)&lt;0,SUM(Planning!$AGA42:$AGX42),0)</f>
      </c>
      <c r="AG8" s="762">
        <f>IF(GetFillColor(AG8)&lt;0,SUM(Planning!$AHD42:$AIA42),0)</f>
      </c>
      <c r="AH8" s="762">
        <f>IF(GetFillColor(AH8)&lt;0,SUM(Planning!$AIG42:$AJD42),0)</f>
      </c>
      <c r="AI8" s="762">
        <f>IF(GetFillColor(AI8)&lt;0,SUM(Planning!$AJJ42:$AKG42),0)</f>
      </c>
      <c r="AJ8" s="761">
        <v>0</v>
      </c>
      <c r="AK8" s="760">
        <v>0</v>
      </c>
      <c r="AL8" s="698">
        <f>SUM(C8:AK8)</f>
      </c>
      <c r="AM8" s="4"/>
      <c r="AN8" s="4"/>
    </row>
    <row r="9" ht="20.25" customHeight="1" spans="1:40" x14ac:dyDescent="0.25">
      <c r="A9" s="4">
        <f>Planning!B43</f>
      </c>
      <c r="B9" s="4"/>
      <c r="C9" s="760">
        <f>IF(GetFillColor(C9)&lt;0,SUM(Planning!$F43:$AC43),0)</f>
      </c>
      <c r="D9" s="760">
        <f>IF(GetFillColor(D9)&lt;0,SUM(Planning!$AI43:$BF43),0)</f>
      </c>
      <c r="E9" s="760">
        <f>IF(GetFillColor(E9)&lt;0,SUM(Planning!$BL43:$CI43),0)</f>
      </c>
      <c r="F9" s="761">
        <f>IF(GetFillColor(F9)&lt;0,SUM(Planning!$CO43:$DL43),0)</f>
      </c>
      <c r="G9" s="761">
        <f>IF(GetFillColor(G9)&lt;0,SUM(Planning!$DR43:$EO43),0)</f>
      </c>
      <c r="H9" s="761">
        <v>0</v>
      </c>
      <c r="I9" s="761">
        <v>0</v>
      </c>
      <c r="J9" s="762">
        <f>IF(GetFillColor(J9)&lt;0,SUM(Planning!$HD43:$IA43),0)</f>
      </c>
      <c r="K9" s="762">
        <f>IF(GetFillColor(K9)&lt;0,SUM(Planning!$IG43:$JD43),0)</f>
      </c>
      <c r="L9" s="762">
        <f>IF(GetFillColor(L9)&lt;0,SUM(Planning!$JJ43:$KG43),0)</f>
      </c>
      <c r="M9" s="762">
        <f>IF(GetFillColor(M9)&lt;0,SUM(Planning!$KM43:$LJ43),0)</f>
      </c>
      <c r="N9" s="762">
        <f>IF(GetFillColor(N9)&lt;0,SUM(Planning!$LP43:$MM43),0)</f>
      </c>
      <c r="O9" s="761">
        <v>0</v>
      </c>
      <c r="P9" s="761">
        <v>0</v>
      </c>
      <c r="Q9" s="762">
        <f>IF(GetFillColor(Q9)&lt;0,SUM(Planning!$PB43:$PY43),0)</f>
      </c>
      <c r="R9" s="762">
        <f>IF(GetFillColor(R9)&lt;0,SUM(Planning!$QE43:$RB43),0)</f>
      </c>
      <c r="S9" s="762">
        <f>IF(GetFillColor(S9)&lt;0,SUM(Planning!$RH43:$SE43),0)</f>
      </c>
      <c r="T9" s="762">
        <f>IF(GetFillColor(T9)&lt;0,SUM(Planning!$SK43:$TH43),0)</f>
      </c>
      <c r="U9" s="762">
        <f>IF(GetFillColor(U9)&lt;0,SUM(Planning!$TN43:$UK43),0)</f>
      </c>
      <c r="V9" s="761">
        <v>0</v>
      </c>
      <c r="W9" s="761">
        <v>0</v>
      </c>
      <c r="X9" s="762">
        <f>IF(GetFillColor(X9)&lt;0,SUM(Planning!$WZ43:$XW43),0)</f>
      </c>
      <c r="Y9" s="762">
        <f>IF(GetFillColor(Y9)&lt;0,SUM(Planning!$YC43:$YZ43),0)</f>
      </c>
      <c r="Z9" s="762">
        <f>IF(GetFillColor(Z9)&lt;0,SUM(Planning!$ZF43:$AAC43),0)</f>
      </c>
      <c r="AA9" s="762">
        <f>IF(GetFillColor(AA9)&lt;0,SUM(Planning!$AAI43:$ABF43),0)</f>
      </c>
      <c r="AB9" s="762">
        <f>IF(GetFillColor(AB9)&lt;0,SUM(Planning!$ABL43:$ACI43),0)</f>
      </c>
      <c r="AC9" s="761">
        <v>0</v>
      </c>
      <c r="AD9" s="761">
        <v>0</v>
      </c>
      <c r="AE9" s="762">
        <f>IF(GetFillColor(AE9)&lt;0,SUM(Planning!$AEX43:$AFU43),0)</f>
      </c>
      <c r="AF9" s="762">
        <f>IF(GetFillColor(AF9)&lt;0,SUM(Planning!$AGA43:$AGX43),0)</f>
      </c>
      <c r="AG9" s="762">
        <f>IF(GetFillColor(AG9)&lt;0,SUM(Planning!$AHD43:$AIA43),0)</f>
      </c>
      <c r="AH9" s="762">
        <f>IF(GetFillColor(AH9)&lt;0,SUM(Planning!$AIG43:$AJD43),0)</f>
      </c>
      <c r="AI9" s="762">
        <f>IF(GetFillColor(AI9)&lt;0,SUM(Planning!$AJJ43:$AKG43),0)</f>
      </c>
      <c r="AJ9" s="761">
        <v>0</v>
      </c>
      <c r="AK9" s="760">
        <v>0</v>
      </c>
      <c r="AL9" s="698">
        <f>SUM(C9:AK9)</f>
      </c>
      <c r="AM9" s="4"/>
      <c r="AN9" s="4"/>
    </row>
    <row r="10" ht="20.25" customHeight="1" spans="1:40" x14ac:dyDescent="0.25">
      <c r="A10" s="4">
        <f>Planning!B44</f>
      </c>
      <c r="B10" s="4"/>
      <c r="C10" s="760">
        <f>IF(GetFillColor(C10)&lt;0,SUM(Planning!$F44:$AC44),0)</f>
      </c>
      <c r="D10" s="760">
        <f>IF(GetFillColor(D10)&lt;0,SUM(Planning!$AI44:$BF44),0)</f>
      </c>
      <c r="E10" s="760">
        <f>IF(GetFillColor(E10)&lt;0,SUM(Planning!$BL44:$CI44),0)</f>
      </c>
      <c r="F10" s="761">
        <f>IF(GetFillColor(F10)&lt;0,SUM(Planning!$CO44:$DL44),0)</f>
      </c>
      <c r="G10" s="761">
        <f>IF(GetFillColor(G10)&lt;0,SUM(Planning!$DR44:$EO44),0)</f>
      </c>
      <c r="H10" s="761">
        <v>0</v>
      </c>
      <c r="I10" s="761">
        <v>0</v>
      </c>
      <c r="J10" s="762">
        <f>IF(GetFillColor(J10)&lt;0,SUM(Planning!$HD44:$IA44),0)</f>
      </c>
      <c r="K10" s="762">
        <f>IF(GetFillColor(K10)&lt;0,SUM(Planning!$IG44:$JD44),0)</f>
      </c>
      <c r="L10" s="762">
        <f>IF(GetFillColor(L10)&lt;0,SUM(Planning!$JJ44:$KG44),0)</f>
      </c>
      <c r="M10" s="762">
        <f>IF(GetFillColor(M10)&lt;0,SUM(Planning!$KM44:$LJ44),0)</f>
      </c>
      <c r="N10" s="762">
        <f>IF(GetFillColor(N10)&lt;0,SUM(Planning!$LP44:$MM44),0)</f>
      </c>
      <c r="O10" s="761">
        <v>0</v>
      </c>
      <c r="P10" s="761">
        <v>0</v>
      </c>
      <c r="Q10" s="762">
        <f>IF(GetFillColor(Q10)&lt;0,SUM(Planning!$PB44:$PY44),0)</f>
      </c>
      <c r="R10" s="762">
        <f>IF(GetFillColor(R10)&lt;0,SUM(Planning!$QE44:$RB44),0)</f>
      </c>
      <c r="S10" s="762">
        <f>IF(GetFillColor(S10)&lt;0,SUM(Planning!$RH44:$SE44),0)</f>
      </c>
      <c r="T10" s="762">
        <f>IF(GetFillColor(T10)&lt;0,SUM(Planning!$SK44:$TH44),0)</f>
      </c>
      <c r="U10" s="762">
        <f>IF(GetFillColor(U10)&lt;0,SUM(Planning!$TN44:$UK44),0)</f>
      </c>
      <c r="V10" s="761">
        <v>0</v>
      </c>
      <c r="W10" s="761">
        <v>0</v>
      </c>
      <c r="X10" s="762">
        <f>IF(GetFillColor(X10)&lt;0,SUM(Planning!$WZ44:$XW44),0)</f>
      </c>
      <c r="Y10" s="762">
        <f>IF(GetFillColor(Y10)&lt;0,SUM(Planning!$YC44:$YZ44),0)</f>
      </c>
      <c r="Z10" s="762">
        <f>IF(GetFillColor(Z10)&lt;0,SUM(Planning!$ZF44:$AAC44),0)</f>
      </c>
      <c r="AA10" s="762">
        <f>IF(GetFillColor(AA10)&lt;0,SUM(Planning!$AAI44:$ABF44),0)</f>
      </c>
      <c r="AB10" s="762">
        <f>IF(GetFillColor(AB10)&lt;0,SUM(Planning!$ABL44:$ACI44),0)</f>
      </c>
      <c r="AC10" s="761">
        <v>0</v>
      </c>
      <c r="AD10" s="761">
        <v>0</v>
      </c>
      <c r="AE10" s="762">
        <f>IF(GetFillColor(AE10)&lt;0,SUM(Planning!$AEX44:$AFU44),0)</f>
      </c>
      <c r="AF10" s="762">
        <f>IF(GetFillColor(AF10)&lt;0,SUM(Planning!$AGA44:$AGX44),0)</f>
      </c>
      <c r="AG10" s="762">
        <f>IF(GetFillColor(AG10)&lt;0,SUM(Planning!$AHD44:$AIA44),0)</f>
      </c>
      <c r="AH10" s="762">
        <f>IF(GetFillColor(AH10)&lt;0,SUM(Planning!$AIG44:$AJD44),0)</f>
      </c>
      <c r="AI10" s="762">
        <f>IF(GetFillColor(AI10)&lt;0,SUM(Planning!$AJJ44:$AKG44),0)</f>
      </c>
      <c r="AJ10" s="761">
        <v>0</v>
      </c>
      <c r="AK10" s="760">
        <v>0</v>
      </c>
      <c r="AL10" s="698">
        <f>SUM(C10:AK10)</f>
      </c>
      <c r="AM10" s="4"/>
      <c r="AN10" s="4"/>
    </row>
    <row r="11" ht="20.25" customHeight="1" spans="1:40" x14ac:dyDescent="0.25">
      <c r="A11" s="4">
        <f>Planning!B45</f>
      </c>
      <c r="B11" s="4"/>
      <c r="C11" s="760">
        <f>IF(GetFillColor(C11)&lt;0,SUM(Planning!$F45:$AC45),0)</f>
      </c>
      <c r="D11" s="760">
        <f>IF(GetFillColor(D11)&lt;0,SUM(Planning!$AI45:$BF45),0)</f>
      </c>
      <c r="E11" s="760">
        <f>IF(GetFillColor(E11)&lt;0,SUM(Planning!$BL45:$CI45),0)</f>
      </c>
      <c r="F11" s="761">
        <f>IF(GetFillColor(F11)&lt;0,SUM(Planning!$CO45:$DL45),0)</f>
      </c>
      <c r="G11" s="761">
        <f>IF(GetFillColor(G11)&lt;0,SUM(Planning!$DR45:$EO45),0)</f>
      </c>
      <c r="H11" s="761">
        <v>0</v>
      </c>
      <c r="I11" s="761">
        <v>0</v>
      </c>
      <c r="J11" s="762">
        <f>IF(GetFillColor(J11)&lt;0,SUM(Planning!$HD45:$IA45),0)</f>
      </c>
      <c r="K11" s="762">
        <f>IF(GetFillColor(K11)&lt;0,SUM(Planning!$IG45:$JD45),0)</f>
      </c>
      <c r="L11" s="762">
        <f>IF(GetFillColor(L11)&lt;0,SUM(Planning!$JJ45:$KG45),0)</f>
      </c>
      <c r="M11" s="762">
        <f>IF(GetFillColor(M11)&lt;0,SUM(Planning!$KM45:$LJ45),0)</f>
      </c>
      <c r="N11" s="762">
        <f>IF(GetFillColor(N11)&lt;0,SUM(Planning!$LP45:$MM45),0)</f>
      </c>
      <c r="O11" s="761">
        <v>0</v>
      </c>
      <c r="P11" s="761">
        <v>0</v>
      </c>
      <c r="Q11" s="762">
        <f>IF(GetFillColor(Q11)&lt;0,SUM(Planning!$PB45:$PY45),0)</f>
      </c>
      <c r="R11" s="762">
        <f>IF(GetFillColor(R11)&lt;0,SUM(Planning!$QE45:$RB45),0)</f>
      </c>
      <c r="S11" s="762">
        <f>IF(GetFillColor(S11)&lt;0,SUM(Planning!$RH45:$SE45),0)</f>
      </c>
      <c r="T11" s="762">
        <f>IF(GetFillColor(T11)&lt;0,SUM(Planning!$SK45:$TH45),0)</f>
      </c>
      <c r="U11" s="762">
        <f>IF(GetFillColor(U11)&lt;0,SUM(Planning!$TN45:$UK45),0)</f>
      </c>
      <c r="V11" s="761">
        <v>0</v>
      </c>
      <c r="W11" s="761">
        <v>0</v>
      </c>
      <c r="X11" s="762">
        <f>IF(GetFillColor(X11)&lt;0,SUM(Planning!$WZ45:$XW45),0)</f>
      </c>
      <c r="Y11" s="762">
        <f>IF(GetFillColor(Y11)&lt;0,SUM(Planning!$YC45:$YZ45),0)</f>
      </c>
      <c r="Z11" s="762">
        <f>IF(GetFillColor(Z11)&lt;0,SUM(Planning!$ZF45:$AAC45),0)</f>
      </c>
      <c r="AA11" s="762">
        <f>IF(GetFillColor(AA11)&lt;0,SUM(Planning!$AAI45:$ABF45),0)</f>
      </c>
      <c r="AB11" s="762">
        <f>IF(GetFillColor(AB11)&lt;0,SUM(Planning!$ABL45:$ACI45),0)</f>
      </c>
      <c r="AC11" s="761">
        <v>0</v>
      </c>
      <c r="AD11" s="761">
        <v>0</v>
      </c>
      <c r="AE11" s="762">
        <f>IF(GetFillColor(AE11)&lt;0,SUM(Planning!$AEX45:$AFU45),0)</f>
      </c>
      <c r="AF11" s="762">
        <f>IF(GetFillColor(AF11)&lt;0,SUM(Planning!$AGA45:$AGX45),0)</f>
      </c>
      <c r="AG11" s="762">
        <f>IF(GetFillColor(AG11)&lt;0,SUM(Planning!$AHD45:$AIA45),0)</f>
      </c>
      <c r="AH11" s="762">
        <f>IF(GetFillColor(AH11)&lt;0,SUM(Planning!$AIG45:$AJD45),0)</f>
      </c>
      <c r="AI11" s="762">
        <f>IF(GetFillColor(AI11)&lt;0,SUM(Planning!$AJJ45:$AKG45),0)</f>
      </c>
      <c r="AJ11" s="761">
        <v>0</v>
      </c>
      <c r="AK11" s="760">
        <v>0</v>
      </c>
      <c r="AL11" s="698">
        <f>SUM(C11:AK11)</f>
      </c>
      <c r="AM11" s="4"/>
      <c r="AN11" s="4"/>
    </row>
    <row r="12" ht="20.25" customHeight="1" spans="1:40" x14ac:dyDescent="0.25">
      <c r="A12" s="4">
        <f>Planning!B46</f>
      </c>
      <c r="B12" s="4"/>
      <c r="C12" s="760">
        <f>IF(GetFillColor(C12)&lt;0,SUM(Planning!$F46:$AC46),0)</f>
      </c>
      <c r="D12" s="760">
        <f>IF(GetFillColor(D12)&lt;0,SUM(Planning!$AI46:$BF46),0)</f>
      </c>
      <c r="E12" s="760">
        <f>IF(GetFillColor(E12)&lt;0,SUM(Planning!$BL46:$CI46),0)</f>
      </c>
      <c r="F12" s="761">
        <f>IF(GetFillColor(F12)&lt;0,SUM(Planning!$CO46:$DL46),0)</f>
      </c>
      <c r="G12" s="761">
        <f>IF(GetFillColor(G12)&lt;0,SUM(Planning!$DR46:$EO46),0)</f>
      </c>
      <c r="H12" s="761">
        <v>0</v>
      </c>
      <c r="I12" s="761">
        <v>0</v>
      </c>
      <c r="J12" s="762">
        <f>IF(GetFillColor(J12)&lt;0,SUM(Planning!$HD46:$IA46),0)</f>
      </c>
      <c r="K12" s="762">
        <f>IF(GetFillColor(K12)&lt;0,SUM(Planning!$IG46:$JD46),0)</f>
      </c>
      <c r="L12" s="762">
        <f>IF(GetFillColor(L12)&lt;0,SUM(Planning!$JJ46:$KG46),0)</f>
      </c>
      <c r="M12" s="762">
        <f>IF(GetFillColor(M12)&lt;0,SUM(Planning!$KM46:$LJ46),0)</f>
      </c>
      <c r="N12" s="762">
        <f>IF(GetFillColor(N12)&lt;0,SUM(Planning!$LP46:$MM46),0)</f>
      </c>
      <c r="O12" s="761">
        <v>0</v>
      </c>
      <c r="P12" s="761">
        <v>0</v>
      </c>
      <c r="Q12" s="762">
        <f>IF(GetFillColor(Q12)&lt;0,SUM(Planning!$PB46:$PY46),0)</f>
      </c>
      <c r="R12" s="762">
        <f>IF(GetFillColor(R12)&lt;0,SUM(Planning!$QE46:$RB46),0)</f>
      </c>
      <c r="S12" s="762">
        <f>IF(GetFillColor(S12)&lt;0,SUM(Planning!$RH46:$SE46),0)</f>
      </c>
      <c r="T12" s="762">
        <f>IF(GetFillColor(T12)&lt;0,SUM(Planning!$SK46:$TH46),0)</f>
      </c>
      <c r="U12" s="762">
        <f>IF(GetFillColor(U12)&lt;0,SUM(Planning!$TN46:$UK46),0)</f>
      </c>
      <c r="V12" s="761">
        <v>0</v>
      </c>
      <c r="W12" s="761">
        <v>0</v>
      </c>
      <c r="X12" s="762">
        <f>IF(GetFillColor(X12)&lt;0,SUM(Planning!$WZ46:$XW46),0)</f>
      </c>
      <c r="Y12" s="762">
        <f>IF(GetFillColor(Y12)&lt;0,SUM(Planning!$YC46:$YZ46),0)</f>
      </c>
      <c r="Z12" s="762">
        <f>IF(GetFillColor(Z12)&lt;0,SUM(Planning!$ZF46:$AAC46),0)</f>
      </c>
      <c r="AA12" s="762">
        <f>IF(GetFillColor(AA12)&lt;0,SUM(Planning!$AAI46:$ABF46),0)</f>
      </c>
      <c r="AB12" s="762">
        <f>IF(GetFillColor(AB12)&lt;0,SUM(Planning!$ABL46:$ACI46),0)</f>
      </c>
      <c r="AC12" s="761">
        <v>0</v>
      </c>
      <c r="AD12" s="761">
        <v>0</v>
      </c>
      <c r="AE12" s="762">
        <f>IF(GetFillColor(AE12)&lt;0,SUM(Planning!$AEX46:$AFU46),0)</f>
      </c>
      <c r="AF12" s="762">
        <f>IF(GetFillColor(AF12)&lt;0,SUM(Planning!$AGA46:$AGX46),0)</f>
      </c>
      <c r="AG12" s="762">
        <f>IF(GetFillColor(AG12)&lt;0,SUM(Planning!$AHD46:$AIA46),0)</f>
      </c>
      <c r="AH12" s="762">
        <f>IF(GetFillColor(AH12)&lt;0,SUM(Planning!$AIG46:$AJD46),0)</f>
      </c>
      <c r="AI12" s="762">
        <f>IF(GetFillColor(AI12)&lt;0,SUM(Planning!$AJJ46:$AKG46),0)</f>
      </c>
      <c r="AJ12" s="761">
        <v>0</v>
      </c>
      <c r="AK12" s="760">
        <v>0</v>
      </c>
      <c r="AL12" s="698">
        <f>SUM(C12:AK12)</f>
      </c>
      <c r="AM12" s="4"/>
      <c r="AN12" s="4"/>
    </row>
    <row r="13" ht="20.25" customHeight="1" spans="1:40" x14ac:dyDescent="0.25">
      <c r="A13" s="4">
        <f>Planning!B47</f>
      </c>
      <c r="B13" s="4"/>
      <c r="C13" s="760">
        <f>IF(GetFillColor(C13)&lt;0,SUM(Planning!$F47:$AC47),0)</f>
      </c>
      <c r="D13" s="760">
        <f>IF(GetFillColor(D13)&lt;0,SUM(Planning!$AI47:$BF47),0)</f>
      </c>
      <c r="E13" s="760">
        <f>IF(GetFillColor(E13)&lt;0,SUM(Planning!$BL47:$CI47),0)</f>
      </c>
      <c r="F13" s="761">
        <f>IF(GetFillColor(F13)&lt;0,SUM(Planning!$CO47:$DL47),0)</f>
      </c>
      <c r="G13" s="761">
        <f>IF(GetFillColor(G13)&lt;0,SUM(Planning!$DR47:$EO47),0)</f>
      </c>
      <c r="H13" s="761">
        <v>0</v>
      </c>
      <c r="I13" s="761">
        <v>0</v>
      </c>
      <c r="J13" s="762">
        <f>IF(GetFillColor(J13)&lt;0,SUM(Planning!$HD47:$IA47),0)</f>
      </c>
      <c r="K13" s="762">
        <f>IF(GetFillColor(K13)&lt;0,SUM(Planning!$IG47:$JD47),0)</f>
      </c>
      <c r="L13" s="762">
        <f>IF(GetFillColor(L13)&lt;0,SUM(Planning!$JJ47:$KG47),0)</f>
      </c>
      <c r="M13" s="762">
        <f>IF(GetFillColor(M13)&lt;0,SUM(Planning!$KM47:$LJ47),0)</f>
      </c>
      <c r="N13" s="762">
        <f>IF(GetFillColor(N13)&lt;0,SUM(Planning!$LP47:$MM47),0)</f>
      </c>
      <c r="O13" s="761">
        <v>0</v>
      </c>
      <c r="P13" s="761">
        <v>0</v>
      </c>
      <c r="Q13" s="762">
        <f>IF(GetFillColor(Q13)&lt;0,SUM(Planning!$PB47:$PY47),0)</f>
      </c>
      <c r="R13" s="762">
        <f>IF(GetFillColor(R13)&lt;0,SUM(Planning!$QE47:$RB47),0)</f>
      </c>
      <c r="S13" s="762">
        <f>IF(GetFillColor(S13)&lt;0,SUM(Planning!$RH47:$SE47),0)</f>
      </c>
      <c r="T13" s="762">
        <f>IF(GetFillColor(T13)&lt;0,SUM(Planning!$SK47:$TH47),0)</f>
      </c>
      <c r="U13" s="762">
        <f>IF(GetFillColor(U13)&lt;0,SUM(Planning!$TN47:$UK47),0)</f>
      </c>
      <c r="V13" s="761">
        <v>0</v>
      </c>
      <c r="W13" s="761">
        <v>0</v>
      </c>
      <c r="X13" s="762">
        <f>IF(GetFillColor(X13)&lt;0,SUM(Planning!$WZ47:$XW47),0)</f>
      </c>
      <c r="Y13" s="762">
        <f>IF(GetFillColor(Y13)&lt;0,SUM(Planning!$YC47:$YZ47),0)</f>
      </c>
      <c r="Z13" s="762">
        <f>IF(GetFillColor(Z13)&lt;0,SUM(Planning!$ZF47:$AAC47),0)</f>
      </c>
      <c r="AA13" s="762">
        <f>IF(GetFillColor(AA13)&lt;0,SUM(Planning!$AAI47:$ABF47),0)</f>
      </c>
      <c r="AB13" s="762">
        <f>IF(GetFillColor(AB13)&lt;0,SUM(Planning!$ABL47:$ACI47),0)</f>
      </c>
      <c r="AC13" s="761">
        <v>0</v>
      </c>
      <c r="AD13" s="761">
        <v>0</v>
      </c>
      <c r="AE13" s="762">
        <f>IF(GetFillColor(AE13)&lt;0,SUM(Planning!$AEX47:$AFU47),0)</f>
      </c>
      <c r="AF13" s="762">
        <f>IF(GetFillColor(AF13)&lt;0,SUM(Planning!$AGA47:$AGX47),0)</f>
      </c>
      <c r="AG13" s="762">
        <f>IF(GetFillColor(AG13)&lt;0,SUM(Planning!$AHD47:$AIA47),0)</f>
      </c>
      <c r="AH13" s="762">
        <f>IF(GetFillColor(AH13)&lt;0,SUM(Planning!$AIG47:$AJD47),0)</f>
      </c>
      <c r="AI13" s="762">
        <f>IF(GetFillColor(AI13)&lt;0,SUM(Planning!$AJJ47:$AKG47),0)</f>
      </c>
      <c r="AJ13" s="761">
        <v>0</v>
      </c>
      <c r="AK13" s="760">
        <v>0</v>
      </c>
      <c r="AL13" s="698">
        <f>SUM(C13:AK13)</f>
      </c>
      <c r="AM13" s="4"/>
      <c r="AN13" s="4"/>
    </row>
    <row r="14" ht="20.25" customHeight="1" spans="1:40" x14ac:dyDescent="0.25">
      <c r="A14" s="4">
        <f>Planning!B48</f>
      </c>
      <c r="B14" s="4"/>
      <c r="C14" s="760">
        <f>IF(GetFillColor(C14)&lt;0,SUM(Planning!$F48:$AC48),0)</f>
      </c>
      <c r="D14" s="760">
        <f>IF(GetFillColor(D14)&lt;0,SUM(Planning!$AI48:$BF48),0)</f>
      </c>
      <c r="E14" s="760">
        <f>IF(GetFillColor(E14)&lt;0,SUM(Planning!$BL48:$CI48),0)</f>
      </c>
      <c r="F14" s="761">
        <f>IF(GetFillColor(F14)&lt;0,SUM(Planning!$CO48:$DL48),0)</f>
      </c>
      <c r="G14" s="761">
        <f>IF(GetFillColor(G14)&lt;0,SUM(Planning!$DR48:$EO48),0)</f>
      </c>
      <c r="H14" s="761">
        <v>0</v>
      </c>
      <c r="I14" s="761">
        <v>0</v>
      </c>
      <c r="J14" s="762">
        <f>IF(GetFillColor(J14)&lt;0,SUM(Planning!$HD48:$IA48),0)</f>
      </c>
      <c r="K14" s="762">
        <f>IF(GetFillColor(K14)&lt;0,SUM(Planning!$IG48:$JD48),0)</f>
      </c>
      <c r="L14" s="762">
        <f>IF(GetFillColor(L14)&lt;0,SUM(Planning!$JJ48:$KG48),0)</f>
      </c>
      <c r="M14" s="762">
        <f>IF(GetFillColor(M14)&lt;0,SUM(Planning!$KM48:$LJ48),0)</f>
      </c>
      <c r="N14" s="762">
        <f>IF(GetFillColor(N14)&lt;0,SUM(Planning!$LP48:$MM48),0)</f>
      </c>
      <c r="O14" s="761">
        <v>0</v>
      </c>
      <c r="P14" s="761">
        <v>0</v>
      </c>
      <c r="Q14" s="762">
        <f>IF(GetFillColor(Q14)&lt;0,SUM(Planning!$PB48:$PY48),0)</f>
      </c>
      <c r="R14" s="762">
        <f>IF(GetFillColor(R14)&lt;0,SUM(Planning!$QE48:$RB48),0)</f>
      </c>
      <c r="S14" s="762">
        <f>IF(GetFillColor(S14)&lt;0,SUM(Planning!$RH48:$SE48),0)</f>
      </c>
      <c r="T14" s="762">
        <f>IF(GetFillColor(T14)&lt;0,SUM(Planning!$SK48:$TH48),0)</f>
      </c>
      <c r="U14" s="762">
        <f>IF(GetFillColor(U14)&lt;0,SUM(Planning!$TN48:$UK48),0)</f>
      </c>
      <c r="V14" s="761">
        <v>0</v>
      </c>
      <c r="W14" s="761">
        <v>0</v>
      </c>
      <c r="X14" s="762">
        <f>IF(GetFillColor(X14)&lt;0,SUM(Planning!$WZ48:$XW48),0)</f>
      </c>
      <c r="Y14" s="762">
        <f>IF(GetFillColor(Y14)&lt;0,SUM(Planning!$YC48:$YZ48),0)</f>
      </c>
      <c r="Z14" s="762">
        <f>IF(GetFillColor(Z14)&lt;0,SUM(Planning!$ZF48:$AAC48),0)</f>
      </c>
      <c r="AA14" s="762">
        <f>IF(GetFillColor(AA14)&lt;0,SUM(Planning!$AAI48:$ABF48),0)</f>
      </c>
      <c r="AB14" s="762">
        <f>IF(GetFillColor(AB14)&lt;0,SUM(Planning!$ABL48:$ACI48),0)</f>
      </c>
      <c r="AC14" s="761">
        <v>0</v>
      </c>
      <c r="AD14" s="761">
        <v>0</v>
      </c>
      <c r="AE14" s="762">
        <f>IF(GetFillColor(AE14)&lt;0,SUM(Planning!$AEX48:$AFU48),0)</f>
      </c>
      <c r="AF14" s="762">
        <f>IF(GetFillColor(AF14)&lt;0,SUM(Planning!$AGA48:$AGX48),0)</f>
      </c>
      <c r="AG14" s="762">
        <f>IF(GetFillColor(AG14)&lt;0,SUM(Planning!$AHD48:$AIA48),0)</f>
      </c>
      <c r="AH14" s="762">
        <f>IF(GetFillColor(AH14)&lt;0,SUM(Planning!$AIG48:$AJD48),0)</f>
      </c>
      <c r="AI14" s="762">
        <f>IF(GetFillColor(AI14)&lt;0,SUM(Planning!$AJJ48:$AKG48),0)</f>
      </c>
      <c r="AJ14" s="761">
        <v>0</v>
      </c>
      <c r="AK14" s="760">
        <v>0</v>
      </c>
      <c r="AL14" s="698">
        <f>SUM(C14:AK14)</f>
      </c>
      <c r="AM14" s="4"/>
      <c r="AN14" s="4"/>
    </row>
    <row r="15" ht="20.25" customHeight="1" spans="1:40" x14ac:dyDescent="0.25">
      <c r="A15" s="4">
        <f>Planning!B49</f>
      </c>
      <c r="B15" s="4"/>
      <c r="C15" s="760">
        <f>IF(GetFillColor(C15)&lt;0,SUM(Planning!$F49:$AC49),0)</f>
      </c>
      <c r="D15" s="760">
        <f>IF(GetFillColor(D15)&lt;0,SUM(Planning!$AI49:$BF49),0)</f>
      </c>
      <c r="E15" s="760">
        <f>IF(GetFillColor(E15)&lt;0,SUM(Planning!$BL49:$CI49),0)</f>
      </c>
      <c r="F15" s="761">
        <f>IF(GetFillColor(F15)&lt;0,SUM(Planning!$CO49:$DL49),0)</f>
      </c>
      <c r="G15" s="761">
        <f>IF(GetFillColor(G15)&lt;0,SUM(Planning!$DR49:$EO49),0)</f>
      </c>
      <c r="H15" s="761">
        <v>0</v>
      </c>
      <c r="I15" s="761">
        <v>0</v>
      </c>
      <c r="J15" s="762">
        <f>IF(GetFillColor(J15)&lt;0,SUM(Planning!$HD49:$IA49),0)</f>
      </c>
      <c r="K15" s="762">
        <f>IF(GetFillColor(K15)&lt;0,SUM(Planning!$IG49:$JD49),0)</f>
      </c>
      <c r="L15" s="762">
        <f>IF(GetFillColor(L15)&lt;0,SUM(Planning!$JJ49:$KG49),0)</f>
      </c>
      <c r="M15" s="762">
        <f>IF(GetFillColor(M15)&lt;0,SUM(Planning!$KM49:$LJ49),0)</f>
      </c>
      <c r="N15" s="762">
        <f>IF(GetFillColor(N15)&lt;0,SUM(Planning!$LP49:$MM49),0)</f>
      </c>
      <c r="O15" s="761">
        <v>0</v>
      </c>
      <c r="P15" s="761">
        <v>0</v>
      </c>
      <c r="Q15" s="762">
        <f>IF(GetFillColor(Q15)&lt;0,SUM(Planning!$PB49:$PY49),0)</f>
      </c>
      <c r="R15" s="762">
        <f>IF(GetFillColor(R15)&lt;0,SUM(Planning!$QE49:$RB49),0)</f>
      </c>
      <c r="S15" s="762">
        <f>IF(GetFillColor(S15)&lt;0,SUM(Planning!$RH49:$SE49),0)</f>
      </c>
      <c r="T15" s="762">
        <f>IF(GetFillColor(T15)&lt;0,SUM(Planning!$SK49:$TH49),0)</f>
      </c>
      <c r="U15" s="762">
        <f>IF(GetFillColor(U15)&lt;0,SUM(Planning!$TN49:$UK49),0)</f>
      </c>
      <c r="V15" s="761">
        <v>0</v>
      </c>
      <c r="W15" s="761">
        <v>0</v>
      </c>
      <c r="X15" s="762">
        <f>IF(GetFillColor(X15)&lt;0,SUM(Planning!$WZ49:$XW49),0)</f>
      </c>
      <c r="Y15" s="762">
        <f>IF(GetFillColor(Y15)&lt;0,SUM(Planning!$YC49:$YZ49),0)</f>
      </c>
      <c r="Z15" s="762">
        <f>IF(GetFillColor(Z15)&lt;0,SUM(Planning!$ZF49:$AAC49),0)</f>
      </c>
      <c r="AA15" s="762">
        <f>IF(GetFillColor(AA15)&lt;0,SUM(Planning!$AAI49:$ABF49),0)</f>
      </c>
      <c r="AB15" s="762">
        <f>IF(GetFillColor(AB15)&lt;0,SUM(Planning!$ABL49:$ACI49),0)</f>
      </c>
      <c r="AC15" s="761">
        <v>0</v>
      </c>
      <c r="AD15" s="761">
        <v>0</v>
      </c>
      <c r="AE15" s="762">
        <f>IF(GetFillColor(AE15)&lt;0,SUM(Planning!$AEX49:$AFU49),0)</f>
      </c>
      <c r="AF15" s="762">
        <f>IF(GetFillColor(AF15)&lt;0,SUM(Planning!$AGA49:$AGX49),0)</f>
      </c>
      <c r="AG15" s="762">
        <f>IF(GetFillColor(AG15)&lt;0,SUM(Planning!$AHD49:$AIA49),0)</f>
      </c>
      <c r="AH15" s="762">
        <f>IF(GetFillColor(AH15)&lt;0,SUM(Planning!$AIG49:$AJD49),0)</f>
      </c>
      <c r="AI15" s="762">
        <f>IF(GetFillColor(AI15)&lt;0,SUM(Planning!$AJJ49:$AKG49),0)</f>
      </c>
      <c r="AJ15" s="761">
        <v>0</v>
      </c>
      <c r="AK15" s="760">
        <v>0</v>
      </c>
      <c r="AL15" s="698">
        <f>SUM(C15:AK15)</f>
      </c>
      <c r="AM15" s="4"/>
      <c r="AN15" s="4"/>
    </row>
    <row r="16" ht="20.25" customHeight="1" spans="1:40" x14ac:dyDescent="0.25">
      <c r="A16" s="4">
        <f>Planning!B50</f>
      </c>
      <c r="B16" s="4"/>
      <c r="C16" s="760">
        <f>IF(GetFillColor(C16)&lt;0,SUM(Planning!$F50:$AC50),0)</f>
      </c>
      <c r="D16" s="760">
        <f>IF(GetFillColor(D16)&lt;0,SUM(Planning!$AI50:$BF50),0)</f>
      </c>
      <c r="E16" s="760">
        <f>IF(GetFillColor(E16)&lt;0,SUM(Planning!$BL50:$CI50),0)</f>
      </c>
      <c r="F16" s="761">
        <f>IF(GetFillColor(F16)&lt;0,SUM(Planning!$CO50:$DL50),0)</f>
      </c>
      <c r="G16" s="761">
        <f>IF(GetFillColor(G16)&lt;0,SUM(Planning!$DR50:$EO50),0)</f>
      </c>
      <c r="H16" s="761">
        <v>0</v>
      </c>
      <c r="I16" s="761">
        <v>0</v>
      </c>
      <c r="J16" s="762">
        <f>IF(GetFillColor(J16)&lt;0,SUM(Planning!$HD50:$IA50),0)</f>
      </c>
      <c r="K16" s="762">
        <f>IF(GetFillColor(K16)&lt;0,SUM(Planning!$IG50:$JD50),0)</f>
      </c>
      <c r="L16" s="762">
        <f>IF(GetFillColor(L16)&lt;0,SUM(Planning!$JJ50:$KG50),0)</f>
      </c>
      <c r="M16" s="762">
        <f>IF(GetFillColor(M16)&lt;0,SUM(Planning!$KM50:$LJ50),0)</f>
      </c>
      <c r="N16" s="762">
        <f>IF(GetFillColor(N16)&lt;0,SUM(Planning!$LP50:$MM50),0)</f>
      </c>
      <c r="O16" s="761">
        <v>0</v>
      </c>
      <c r="P16" s="761">
        <v>0</v>
      </c>
      <c r="Q16" s="762">
        <f>IF(GetFillColor(Q16)&lt;0,SUM(Planning!$PB50:$PY50),0)</f>
      </c>
      <c r="R16" s="762">
        <f>IF(GetFillColor(R16)&lt;0,SUM(Planning!$QE50:$RB50),0)</f>
      </c>
      <c r="S16" s="762">
        <f>IF(GetFillColor(S16)&lt;0,SUM(Planning!$RH50:$SE50),0)</f>
      </c>
      <c r="T16" s="762">
        <f>IF(GetFillColor(T16)&lt;0,SUM(Planning!$SK50:$TH50),0)</f>
      </c>
      <c r="U16" s="762">
        <f>IF(GetFillColor(U16)&lt;0,SUM(Planning!$TN50:$UK50),0)</f>
      </c>
      <c r="V16" s="761">
        <v>0</v>
      </c>
      <c r="W16" s="761">
        <v>0</v>
      </c>
      <c r="X16" s="762">
        <f>IF(GetFillColor(X16)&lt;0,SUM(Planning!$WZ50:$XW50),0)</f>
      </c>
      <c r="Y16" s="762">
        <f>IF(GetFillColor(Y16)&lt;0,SUM(Planning!$YC50:$YZ50),0)</f>
      </c>
      <c r="Z16" s="762">
        <f>IF(GetFillColor(Z16)&lt;0,SUM(Planning!$ZF50:$AAC50),0)</f>
      </c>
      <c r="AA16" s="762">
        <f>IF(GetFillColor(AA16)&lt;0,SUM(Planning!$AAI50:$ABF50),0)</f>
      </c>
      <c r="AB16" s="762">
        <f>IF(GetFillColor(AB16)&lt;0,SUM(Planning!$ABL50:$ACI50),0)</f>
      </c>
      <c r="AC16" s="761">
        <v>0</v>
      </c>
      <c r="AD16" s="761">
        <v>0</v>
      </c>
      <c r="AE16" s="762">
        <f>IF(GetFillColor(AE16)&lt;0,SUM(Planning!$AEX50:$AFU50),0)</f>
      </c>
      <c r="AF16" s="762">
        <f>IF(GetFillColor(AF16)&lt;0,SUM(Planning!$AGA50:$AGX50),0)</f>
      </c>
      <c r="AG16" s="762">
        <f>IF(GetFillColor(AG16)&lt;0,SUM(Planning!$AHD50:$AIA50),0)</f>
      </c>
      <c r="AH16" s="762">
        <f>IF(GetFillColor(AH16)&lt;0,SUM(Planning!$AIG50:$AJD50),0)</f>
      </c>
      <c r="AI16" s="762">
        <f>IF(GetFillColor(AI16)&lt;0,SUM(Planning!$AJJ50:$AKG50),0)</f>
      </c>
      <c r="AJ16" s="761">
        <v>0</v>
      </c>
      <c r="AK16" s="760">
        <v>0</v>
      </c>
      <c r="AL16" s="698">
        <f>SUM(C16:AK16)</f>
      </c>
      <c r="AM16" s="4"/>
      <c r="AN16" s="4"/>
    </row>
    <row r="17" ht="20.25" customHeight="1" spans="1:40" x14ac:dyDescent="0.25">
      <c r="A17" s="4">
        <f>Planning!B51</f>
      </c>
      <c r="B17" s="4"/>
      <c r="C17" s="760">
        <f>IF(GetFillColor(C17)&lt;0,SUM(Planning!$F51:$AC51),0)</f>
      </c>
      <c r="D17" s="760">
        <f>IF(GetFillColor(D17)&lt;0,SUM(Planning!$AI51:$BF51),0)</f>
      </c>
      <c r="E17" s="760">
        <f>IF(GetFillColor(E17)&lt;0,SUM(Planning!$BL51:$CI51),0)</f>
      </c>
      <c r="F17" s="761">
        <f>IF(GetFillColor(F17)&lt;0,SUM(Planning!$CO51:$DL51),0)</f>
      </c>
      <c r="G17" s="761">
        <f>IF(GetFillColor(G17)&lt;0,SUM(Planning!$DR51:$EO51),0)</f>
      </c>
      <c r="H17" s="761">
        <v>0</v>
      </c>
      <c r="I17" s="761">
        <v>0</v>
      </c>
      <c r="J17" s="762">
        <f>IF(GetFillColor(J17)&lt;0,SUM(Planning!$HD51:$IA51),0)</f>
      </c>
      <c r="K17" s="762">
        <f>IF(GetFillColor(K17)&lt;0,SUM(Planning!$IG51:$JD51),0)</f>
      </c>
      <c r="L17" s="762">
        <f>IF(GetFillColor(L17)&lt;0,SUM(Planning!$JJ51:$KG51),0)</f>
      </c>
      <c r="M17" s="762">
        <f>IF(GetFillColor(M17)&lt;0,SUM(Planning!$KM51:$LJ51),0)</f>
      </c>
      <c r="N17" s="762">
        <f>IF(GetFillColor(N17)&lt;0,SUM(Planning!$LP51:$MM51),0)</f>
      </c>
      <c r="O17" s="761">
        <v>0</v>
      </c>
      <c r="P17" s="761">
        <v>0</v>
      </c>
      <c r="Q17" s="762">
        <f>IF(GetFillColor(Q17)&lt;0,SUM(Planning!$PB51:$PY51),0)</f>
      </c>
      <c r="R17" s="762">
        <f>IF(GetFillColor(R17)&lt;0,SUM(Planning!$QE51:$RB51),0)</f>
      </c>
      <c r="S17" s="762">
        <f>IF(GetFillColor(S17)&lt;0,SUM(Planning!$RH51:$SE51),0)</f>
      </c>
      <c r="T17" s="762">
        <f>IF(GetFillColor(T17)&lt;0,SUM(Planning!$SK51:$TH51),0)</f>
      </c>
      <c r="U17" s="762">
        <f>IF(GetFillColor(U17)&lt;0,SUM(Planning!$TN51:$UK51),0)</f>
      </c>
      <c r="V17" s="761">
        <v>0</v>
      </c>
      <c r="W17" s="761">
        <v>0</v>
      </c>
      <c r="X17" s="762">
        <f>IF(GetFillColor(X17)&lt;0,SUM(Planning!$WZ51:$XW51),0)</f>
      </c>
      <c r="Y17" s="762">
        <f>IF(GetFillColor(Y17)&lt;0,SUM(Planning!$YC51:$YZ51),0)</f>
      </c>
      <c r="Z17" s="762">
        <f>IF(GetFillColor(Z17)&lt;0,SUM(Planning!$ZF51:$AAC51),0)</f>
      </c>
      <c r="AA17" s="762">
        <f>IF(GetFillColor(AA17)&lt;0,SUM(Planning!$AAI51:$ABF51),0)</f>
      </c>
      <c r="AB17" s="762">
        <f>IF(GetFillColor(AB17)&lt;0,SUM(Planning!$ABL51:$ACI51),0)</f>
      </c>
      <c r="AC17" s="761">
        <v>0</v>
      </c>
      <c r="AD17" s="761">
        <v>0</v>
      </c>
      <c r="AE17" s="762">
        <f>IF(GetFillColor(AE17)&lt;0,SUM(Planning!$AEX51:$AFU51),0)</f>
      </c>
      <c r="AF17" s="762">
        <f>IF(GetFillColor(AF17)&lt;0,SUM(Planning!$AGA51:$AGX51),0)</f>
      </c>
      <c r="AG17" s="762">
        <f>IF(GetFillColor(AG17)&lt;0,SUM(Planning!$AHD51:$AIA51),0)</f>
      </c>
      <c r="AH17" s="762">
        <f>IF(GetFillColor(AH17)&lt;0,SUM(Planning!$AIG51:$AJD51),0)</f>
      </c>
      <c r="AI17" s="762">
        <f>IF(GetFillColor(AI17)&lt;0,SUM(Planning!$AJJ51:$AKG51),0)</f>
      </c>
      <c r="AJ17" s="761">
        <v>0</v>
      </c>
      <c r="AK17" s="760">
        <v>0</v>
      </c>
      <c r="AL17" s="698">
        <f>SUM(C17:AK17)</f>
      </c>
      <c r="AM17" s="4"/>
      <c r="AN17" s="4"/>
    </row>
    <row r="18" ht="15" customHeight="1" spans="1:4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ht="80.25" customHeight="1" spans="1:40" s="754" customFormat="1" x14ac:dyDescent="0.25">
      <c r="A19" s="755" t="s">
        <v>240</v>
      </c>
      <c r="B19" s="765"/>
      <c r="C19" s="757">
        <f>C2</f>
      </c>
      <c r="D19" s="757">
        <f>D2</f>
      </c>
      <c r="E19" s="757">
        <f>E2</f>
      </c>
      <c r="F19" s="757">
        <f>F2</f>
      </c>
      <c r="G19" s="757">
        <f>G2</f>
      </c>
      <c r="H19" s="757">
        <f>H2</f>
      </c>
      <c r="I19" s="757">
        <f>I2</f>
      </c>
      <c r="J19" s="757">
        <f>J2</f>
      </c>
      <c r="K19" s="757">
        <f>K2</f>
      </c>
      <c r="L19" s="757">
        <f>L2</f>
      </c>
      <c r="M19" s="757">
        <f>M2</f>
      </c>
      <c r="N19" s="757">
        <f>N2</f>
      </c>
      <c r="O19" s="757">
        <f>O2</f>
      </c>
      <c r="P19" s="757">
        <f>P2</f>
      </c>
      <c r="Q19" s="757">
        <f>Q2</f>
      </c>
      <c r="R19" s="757">
        <f>R2</f>
      </c>
      <c r="S19" s="757">
        <f>S2</f>
      </c>
      <c r="T19" s="757">
        <f>T2</f>
      </c>
      <c r="U19" s="757">
        <f>U2</f>
      </c>
      <c r="V19" s="757">
        <f>V2</f>
      </c>
      <c r="W19" s="757">
        <f>W2</f>
      </c>
      <c r="X19" s="757">
        <f>X2</f>
      </c>
      <c r="Y19" s="757">
        <f>Y2</f>
      </c>
      <c r="Z19" s="757">
        <f>Z2</f>
      </c>
      <c r="AA19" s="757">
        <f>AA2</f>
      </c>
      <c r="AB19" s="757">
        <f>AB2</f>
      </c>
      <c r="AC19" s="757">
        <f>AC2</f>
      </c>
      <c r="AD19" s="757">
        <f>AD2</f>
      </c>
      <c r="AE19" s="757">
        <f>AE2</f>
      </c>
      <c r="AF19" s="757">
        <f>AF2</f>
      </c>
      <c r="AG19" s="757">
        <f>AG2</f>
      </c>
      <c r="AH19" s="757">
        <f>AH2</f>
      </c>
      <c r="AI19" s="757">
        <f>AI2</f>
      </c>
      <c r="AJ19" s="757">
        <f>AJ2</f>
      </c>
      <c r="AK19" s="757">
        <f>AK2</f>
      </c>
      <c r="AL19" s="758" t="s">
        <v>236</v>
      </c>
      <c r="AM19" s="4"/>
      <c r="AN19" s="4"/>
    </row>
    <row r="20" ht="10.5" customHeight="1" spans="1:4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ht="20.25" customHeight="1" spans="1:40" x14ac:dyDescent="0.25">
      <c r="A21" s="4">
        <f>A4</f>
      </c>
      <c r="B21" s="4"/>
      <c r="C21" s="760">
        <f>IF(GetFillColor(C21)&lt;0,Planning!$D38+Planning!$E38+Planning!$AD38+Planning!$AE38,0)</f>
      </c>
      <c r="D21" s="760">
        <f>IF(GetFillColor(D21)&lt;0,Planning!$AG38+Planning!$AH38+Planning!$BG38+Planning!$BH38,0)</f>
      </c>
      <c r="E21" s="760">
        <f>IF(GetFillColor(E21)&lt;0,Planning!$BJ38+Planning!$BK38+Planning!$CJ38+Planning!$CK38,0)</f>
      </c>
      <c r="F21" s="761">
        <f>IF(GetFillColor(F21)&lt;0,Planning!$CM38+Planning!$CN38+Planning!$DM38+Planning!$DN38,0)</f>
      </c>
      <c r="G21" s="761">
        <f>IF(GetFillColor(G21)&lt;0,Planning!$DP38+Planning!$DQ38+Planning!$EP38+Planning!$EQ38,0)</f>
      </c>
      <c r="H21" s="761">
        <v>0</v>
      </c>
      <c r="I21" s="761">
        <v>0</v>
      </c>
      <c r="J21" s="762">
        <f>IF(GetFillColor(J21)&lt;0,Planning!$HB38+Planning!$HC38+Planning!$IB38+Planning!$IC38,0)</f>
      </c>
      <c r="K21" s="762">
        <f>IF(GetFillColor(K21)&lt;0,Planning!$IE38+Planning!$IF38+Planning!$JE38+Planning!$JF38,0)</f>
      </c>
      <c r="L21" s="762">
        <f>IF(GetFillColor(L21)&lt;0,Planning!$JH38+Planning!$JI38+Planning!$KH38+Planning!$KI38,0)</f>
      </c>
      <c r="M21" s="762">
        <f>IF(GetFillColor(M21)&lt;0,Planning!$KK38+Planning!$KL38+Planning!$LK38+Planning!$LL38,0)</f>
      </c>
      <c r="N21" s="762">
        <f>IF(GetFillColor(N21)&lt;0,Planning!$LN38+Planning!$LO38+Planning!$MN38+Planning!$MO38,0)</f>
      </c>
      <c r="O21" s="761">
        <v>0</v>
      </c>
      <c r="P21" s="761">
        <v>0</v>
      </c>
      <c r="Q21" s="762">
        <f>IF(GetFillColor(Q21)&lt;0,Planning!$OZ38+Planning!$PA38+Planning!$PZ38+Planning!$QA38,0)</f>
      </c>
      <c r="R21" s="762">
        <f>IF(GetFillColor(R21)&lt;0,Planning!$QC38+Planning!$QD38+Planning!$RC38+Planning!$RD38,0)</f>
      </c>
      <c r="S21" s="762">
        <f>IF(GetFillColor(S21)&lt;0,Planning!$RF38+Planning!$RG38+Planning!$SF38+Planning!$SG38,0)</f>
      </c>
      <c r="T21" s="762">
        <f>IF(GetFillColor(T21)&lt;0,Planning!$SI38+Planning!$SJ38+Planning!$TI38+Planning!$TJ38,0)</f>
      </c>
      <c r="U21" s="762">
        <f>IF(GetFillColor(U21)&lt;0,Planning!$TL38+Planning!$TM38+Planning!$UL38+Planning!$UM38,0)</f>
      </c>
      <c r="V21" s="761">
        <v>0</v>
      </c>
      <c r="W21" s="761">
        <v>0</v>
      </c>
      <c r="X21" s="762">
        <f>IF(GetFillColor(X21)&lt;0,Planning!$WX38+Planning!$WY38+Planning!$XX38+Planning!$XY38,0)</f>
      </c>
      <c r="Y21" s="762">
        <f>IF(GetFillColor(Y21)&lt;0,Planning!$YA38+Planning!$YB38+Planning!$ZA38+Planning!$ZB38,0)</f>
      </c>
      <c r="Z21" s="762">
        <f>IF(GetFillColor(Z21)&lt;0,Planning!$ZD38+Planning!$ZE38+Planning!$AAD38+Planning!$AAE38,0)</f>
      </c>
      <c r="AA21" s="762">
        <f>IF(GetFillColor(AA21)&lt;0,Planning!$AAG38+Planning!$AAH38+Planning!$ABG38+Planning!$ABH38,0)</f>
      </c>
      <c r="AB21" s="762">
        <f>IF(GetFillColor(AB21)&lt;0,Planning!$ABJ38+Planning!$ABK38+Planning!$ACJ38+Planning!$ACK38,0)</f>
      </c>
      <c r="AC21" s="761">
        <v>0</v>
      </c>
      <c r="AD21" s="761">
        <v>0</v>
      </c>
      <c r="AE21" s="762">
        <f>IF(GetFillColor(AE21)&lt;0,Planning!$AEV38+Planning!$AEW38+Planning!$AFV38+Planning!$AFW38,0)</f>
      </c>
      <c r="AF21" s="762">
        <f>IF(GetFillColor(AF21)&lt;0,Planning!$AFY38+Planning!$AFZ38+Planning!$AGY38+Planning!$AGZ38,0)</f>
      </c>
      <c r="AG21" s="762">
        <f>IF(GetFillColor(AG21)&lt;0,Planning!$AHB38+Planning!$AHC38+Planning!$AIB38+Planning!$AIC38,0)</f>
      </c>
      <c r="AH21" s="762">
        <f>IF(GetFillColor(AH21)&lt;0,Planning!$AIE38+Planning!$AIF38+Planning!$AJE38+Planning!$AJF38,0)</f>
      </c>
      <c r="AI21" s="762">
        <f>IF(GetFillColor(AI21)&lt;0,Planning!$AJH38+Planning!$AJI38+Planning!$AKH38+Planning!$AKI38,0)</f>
      </c>
      <c r="AJ21" s="761">
        <v>0</v>
      </c>
      <c r="AK21" s="760">
        <v>0</v>
      </c>
      <c r="AL21" s="698">
        <f>SUM(C21:AK21)</f>
      </c>
      <c r="AM21" s="4"/>
      <c r="AN21" s="4"/>
    </row>
    <row r="22" ht="20.25" customHeight="1" spans="1:40" x14ac:dyDescent="0.25">
      <c r="A22" s="4">
        <f>A5</f>
      </c>
      <c r="B22" s="4"/>
      <c r="C22" s="760">
        <f>IF(GetFillColor(C22)&lt;0,Planning!$D39+Planning!$E39+Planning!$AD39+Planning!$AE39,0)</f>
      </c>
      <c r="D22" s="760">
        <f>IF(GetFillColor(D22)&lt;0,Planning!$AG39+Planning!$AH39+Planning!$BG39+Planning!$BH39,0)</f>
      </c>
      <c r="E22" s="760">
        <f>IF(GetFillColor(E22)&lt;0,Planning!$BJ39+Planning!$BK39+Planning!$CJ39+Planning!$CK39,0)</f>
      </c>
      <c r="F22" s="761">
        <f>IF(GetFillColor(F22)&lt;0,Planning!$CM39+Planning!$CN39+Planning!$DM39+Planning!$DN39,0)</f>
      </c>
      <c r="G22" s="761">
        <f>IF(GetFillColor(G22)&lt;0,Planning!$DP39+Planning!$DQ39+Planning!$EP39+Planning!$EQ39,0)</f>
      </c>
      <c r="H22" s="761">
        <v>0</v>
      </c>
      <c r="I22" s="761">
        <v>0</v>
      </c>
      <c r="J22" s="762">
        <f>IF(GetFillColor(J22)&lt;0,Planning!$HB39+Planning!$HC39+Planning!$IB39+Planning!$IC39,0)</f>
      </c>
      <c r="K22" s="762">
        <f>IF(GetFillColor(K22)&lt;0,Planning!$IE39+Planning!$IF39+Planning!$JE39+Planning!$JF39,0)</f>
      </c>
      <c r="L22" s="762">
        <f>IF(GetFillColor(L22)&lt;0,Planning!$JH39+Planning!$JI39+Planning!$KH39+Planning!$KI39,0)</f>
      </c>
      <c r="M22" s="762">
        <f>IF(GetFillColor(M22)&lt;0,Planning!$KK39+Planning!$KL39+Planning!$LK39+Planning!$LL39,0)</f>
      </c>
      <c r="N22" s="762">
        <f>IF(GetFillColor(N22)&lt;0,Planning!$LN39+Planning!$LO39+Planning!$MN39+Planning!$MO39,0)</f>
      </c>
      <c r="O22" s="761">
        <v>0</v>
      </c>
      <c r="P22" s="761">
        <v>0</v>
      </c>
      <c r="Q22" s="762">
        <f>IF(GetFillColor(Q22)&lt;0,Planning!$OZ39+Planning!$PA39+Planning!$PZ39+Planning!$QA39,0)</f>
      </c>
      <c r="R22" s="762">
        <f>IF(GetFillColor(R22)&lt;0,Planning!$QC39+Planning!$QD39+Planning!$RC39+Planning!$RD39,0)</f>
      </c>
      <c r="S22" s="762">
        <f>IF(GetFillColor(S22)&lt;0,Planning!$RF39+Planning!$RG39+Planning!$SF39+Planning!$SG39,0)</f>
      </c>
      <c r="T22" s="762">
        <f>IF(GetFillColor(T22)&lt;0,Planning!$SI39+Planning!$SJ39+Planning!$TI39+Planning!$TJ39,0)</f>
      </c>
      <c r="U22" s="762">
        <f>IF(GetFillColor(U22)&lt;0,Planning!$TL39+Planning!$TM39+Planning!$UL39+Planning!$UM39,0)</f>
      </c>
      <c r="V22" s="761">
        <v>0</v>
      </c>
      <c r="W22" s="761">
        <v>0</v>
      </c>
      <c r="X22" s="762">
        <f>IF(GetFillColor(X22)&lt;0,Planning!$WX39+Planning!$WY39+Planning!$XX39+Planning!$XY39,0)</f>
      </c>
      <c r="Y22" s="762">
        <f>IF(GetFillColor(Y22)&lt;0,Planning!$YA39+Planning!$YB39+Planning!$ZA39+Planning!$ZB39,0)</f>
      </c>
      <c r="Z22" s="762">
        <f>IF(GetFillColor(Z22)&lt;0,Planning!$ZD39+Planning!$ZE39+Planning!$AAD39+Planning!$AAE39,0)</f>
      </c>
      <c r="AA22" s="762">
        <f>IF(GetFillColor(AA22)&lt;0,Planning!$AAG39+Planning!$AAH39+Planning!$ABG39+Planning!$ABH39,0)</f>
      </c>
      <c r="AB22" s="762">
        <f>IF(GetFillColor(AB22)&lt;0,Planning!$ABJ39+Planning!$ABK39+Planning!$ACJ39+Planning!$ACK39,0)</f>
      </c>
      <c r="AC22" s="761">
        <v>0</v>
      </c>
      <c r="AD22" s="761">
        <v>0</v>
      </c>
      <c r="AE22" s="762">
        <f>IF(GetFillColor(AE22)&lt;0,Planning!$AEV39+Planning!$AEW39+Planning!$AFV39+Planning!$AFW39,0)</f>
      </c>
      <c r="AF22" s="762">
        <f>IF(GetFillColor(AF22)&lt;0,Planning!$AFY39+Planning!$AFZ39+Planning!$AGY39+Planning!$AGZ39,0)</f>
      </c>
      <c r="AG22" s="762">
        <f>IF(GetFillColor(AG22)&lt;0,Planning!$AHB39+Planning!$AHC39+Planning!$AIB39+Planning!$AIC39,0)</f>
      </c>
      <c r="AH22" s="762">
        <f>IF(GetFillColor(AH22)&lt;0,Planning!$AIE39+Planning!$AIF39+Planning!$AJE39+Planning!$AJF39,0)</f>
      </c>
      <c r="AI22" s="762">
        <f>IF(GetFillColor(AI22)&lt;0,Planning!$AJH39+Planning!$AJI39+Planning!$AKH39+Planning!$AKI39,0)</f>
      </c>
      <c r="AJ22" s="761">
        <v>0</v>
      </c>
      <c r="AK22" s="760">
        <v>0</v>
      </c>
      <c r="AL22" s="698">
        <f>SUM(C22:AK22)</f>
      </c>
      <c r="AM22" s="4"/>
      <c r="AN22" s="4"/>
    </row>
    <row r="23" ht="20.25" customHeight="1" spans="1:40" x14ac:dyDescent="0.25">
      <c r="A23" s="4">
        <f>A6</f>
      </c>
      <c r="B23" s="4"/>
      <c r="C23" s="760">
        <f>IF(GetFillColor(C23)&lt;0,Planning!$D40+Planning!$E40+Planning!$AD40+Planning!$AE40,0)</f>
      </c>
      <c r="D23" s="760">
        <f>IF(GetFillColor(D23)&lt;0,Planning!$AG40+Planning!$AH40+Planning!$BG40+Planning!$BH40,0)</f>
      </c>
      <c r="E23" s="760">
        <f>IF(GetFillColor(E23)&lt;0,Planning!$BJ40+Planning!$BK40+Planning!$CJ40+Planning!$CK40,0)</f>
      </c>
      <c r="F23" s="761">
        <f>IF(GetFillColor(F23)&lt;0,Planning!$CM40+Planning!$CN40+Planning!$DM40+Planning!$DN40,0)</f>
      </c>
      <c r="G23" s="761">
        <f>IF(GetFillColor(G23)&lt;0,Planning!$DP40+Planning!$DQ40+Planning!$EP40+Planning!$EQ40,0)</f>
      </c>
      <c r="H23" s="761">
        <v>0</v>
      </c>
      <c r="I23" s="761">
        <v>0</v>
      </c>
      <c r="J23" s="762">
        <f>IF(GetFillColor(J23)&lt;0,Planning!$HB40+Planning!$HC40+Planning!$IB40+Planning!$IC40,0)</f>
      </c>
      <c r="K23" s="762">
        <f>IF(GetFillColor(K23)&lt;0,Planning!$IE40+Planning!$IF40+Planning!$JE40+Planning!$JF40,0)</f>
      </c>
      <c r="L23" s="762">
        <f>IF(GetFillColor(L23)&lt;0,Planning!$JH40+Planning!$JI40+Planning!$KH40+Planning!$KI40,0)</f>
      </c>
      <c r="M23" s="762">
        <f>IF(GetFillColor(M23)&lt;0,Planning!$KK40+Planning!$KL40+Planning!$LK40+Planning!$LL40,0)</f>
      </c>
      <c r="N23" s="762">
        <f>IF(GetFillColor(N23)&lt;0,Planning!$LN40+Planning!$LO40+Planning!$MN40+Planning!$MO40,0)</f>
      </c>
      <c r="O23" s="761">
        <v>0</v>
      </c>
      <c r="P23" s="761">
        <v>0</v>
      </c>
      <c r="Q23" s="762">
        <f>IF(GetFillColor(Q23)&lt;0,Planning!$OZ40+Planning!$PA40+Planning!$PZ40+Planning!$QA40,0)</f>
      </c>
      <c r="R23" s="762">
        <f>IF(GetFillColor(R23)&lt;0,Planning!$QC40+Planning!$QD40+Planning!$RC40+Planning!$RD40,0)</f>
      </c>
      <c r="S23" s="762">
        <f>IF(GetFillColor(S23)&lt;0,Planning!$RF40+Planning!$RG40+Planning!$SF40+Planning!$SG40,0)</f>
      </c>
      <c r="T23" s="762">
        <f>IF(GetFillColor(T23)&lt;0,Planning!$SI40+Planning!$SJ40+Planning!$TI40+Planning!$TJ40,0)</f>
      </c>
      <c r="U23" s="762">
        <f>IF(GetFillColor(U23)&lt;0,Planning!$TL40+Planning!$TM40+Planning!$UL40+Planning!$UM40,0)</f>
      </c>
      <c r="V23" s="761">
        <v>0</v>
      </c>
      <c r="W23" s="761">
        <v>0</v>
      </c>
      <c r="X23" s="762">
        <f>IF(GetFillColor(X23)&lt;0,Planning!$WX40+Planning!$WY40+Planning!$XX40+Planning!$XY40,0)</f>
      </c>
      <c r="Y23" s="762">
        <f>IF(GetFillColor(Y23)&lt;0,Planning!$YA40+Planning!$YB40+Planning!$ZA40+Planning!$ZB40,0)</f>
      </c>
      <c r="Z23" s="762">
        <f>IF(GetFillColor(Z23)&lt;0,Planning!$ZD40+Planning!$ZE40+Planning!$AAD40+Planning!$AAE40,0)</f>
      </c>
      <c r="AA23" s="762">
        <f>IF(GetFillColor(AA23)&lt;0,Planning!$AAG40+Planning!$AAH40+Planning!$ABG40+Planning!$ABH40,0)</f>
      </c>
      <c r="AB23" s="762">
        <f>IF(GetFillColor(AB23)&lt;0,Planning!$ABJ40+Planning!$ABK40+Planning!$ACJ40+Planning!$ACK40,0)</f>
      </c>
      <c r="AC23" s="761">
        <v>0</v>
      </c>
      <c r="AD23" s="761">
        <v>0</v>
      </c>
      <c r="AE23" s="762">
        <f>IF(GetFillColor(AE23)&lt;0,Planning!$AEV40+Planning!$AEW40+Planning!$AFV40+Planning!$AFW40,0)</f>
      </c>
      <c r="AF23" s="762">
        <f>IF(GetFillColor(AF23)&lt;0,Planning!$AFY40+Planning!$AFZ40+Planning!$AGY40+Planning!$AGZ40,0)</f>
      </c>
      <c r="AG23" s="762">
        <f>IF(GetFillColor(AG23)&lt;0,Planning!$AHB40+Planning!$AHC40+Planning!$AIB40+Planning!$AIC40,0)</f>
      </c>
      <c r="AH23" s="762">
        <f>IF(GetFillColor(AH23)&lt;0,Planning!$AIE40+Planning!$AIF40+Planning!$AJE40+Planning!$AJF40,0)</f>
      </c>
      <c r="AI23" s="762">
        <f>IF(GetFillColor(AI23)&lt;0,Planning!$AJH40+Planning!$AJI40+Planning!$AKH40+Planning!$AKI40,0)</f>
      </c>
      <c r="AJ23" s="761">
        <v>0</v>
      </c>
      <c r="AK23" s="760">
        <v>0</v>
      </c>
      <c r="AL23" s="698">
        <f>SUM(C23:AK23)</f>
      </c>
      <c r="AM23" s="4"/>
      <c r="AN23" s="4"/>
    </row>
    <row r="24" ht="20.25" customHeight="1" spans="1:40" x14ac:dyDescent="0.25">
      <c r="A24" s="4">
        <f>A7</f>
      </c>
      <c r="B24" s="4"/>
      <c r="C24" s="760">
        <f>IF(GetFillColor(C24)&lt;0,Planning!$D41+Planning!$E41+Planning!$AD41+Planning!$AE41,0)</f>
      </c>
      <c r="D24" s="760">
        <f>IF(GetFillColor(D24)&lt;0,Planning!$AG41+Planning!$AH41+Planning!$BG41+Planning!$BH41,0)</f>
      </c>
      <c r="E24" s="760">
        <f>IF(GetFillColor(E24)&lt;0,Planning!$BJ41+Planning!$BK41+Planning!$CJ41+Planning!$CK41,0)</f>
      </c>
      <c r="F24" s="761">
        <f>IF(GetFillColor(F24)&lt;0,Planning!$CM41+Planning!$CN41+Planning!$DM41+Planning!$DN41,0)</f>
      </c>
      <c r="G24" s="761">
        <f>IF(GetFillColor(G24)&lt;0,Planning!$DP41+Planning!$DQ41+Planning!$EP41+Planning!$EQ41,0)</f>
      </c>
      <c r="H24" s="761">
        <v>0</v>
      </c>
      <c r="I24" s="761">
        <v>0</v>
      </c>
      <c r="J24" s="762">
        <f>IF(GetFillColor(J24)&lt;0,Planning!$HB41+Planning!$HC41+Planning!$IB41+Planning!$IC41,0)</f>
      </c>
      <c r="K24" s="762">
        <f>IF(GetFillColor(K24)&lt;0,Planning!$IE41+Planning!$IF41+Planning!$JE41+Planning!$JF41,0)</f>
      </c>
      <c r="L24" s="762">
        <f>IF(GetFillColor(L24)&lt;0,Planning!$JH41+Planning!$JI41+Planning!$KH41+Planning!$KI41,0)</f>
      </c>
      <c r="M24" s="762">
        <f>IF(GetFillColor(M24)&lt;0,Planning!$KK41+Planning!$KL41+Planning!$LK41+Planning!$LL41,0)</f>
      </c>
      <c r="N24" s="762">
        <f>IF(GetFillColor(N24)&lt;0,Planning!$LN41+Planning!$LO41+Planning!$MN41+Planning!$MO41,0)</f>
      </c>
      <c r="O24" s="761">
        <v>0</v>
      </c>
      <c r="P24" s="761">
        <v>0</v>
      </c>
      <c r="Q24" s="762">
        <f>IF(GetFillColor(Q24)&lt;0,Planning!$OZ41+Planning!$PA41+Planning!$PZ41+Planning!$QA41,0)</f>
      </c>
      <c r="R24" s="762">
        <f>IF(GetFillColor(R24)&lt;0,Planning!$QC41+Planning!$QD41+Planning!$RC41+Planning!$RD41,0)</f>
      </c>
      <c r="S24" s="762">
        <f>IF(GetFillColor(S24)&lt;0,Planning!$RF41+Planning!$RG41+Planning!$SF41+Planning!$SG41,0)</f>
      </c>
      <c r="T24" s="762">
        <f>IF(GetFillColor(T24)&lt;0,Planning!$SI41+Planning!$SJ41+Planning!$TI41+Planning!$TJ41,0)</f>
      </c>
      <c r="U24" s="762">
        <f>IF(GetFillColor(U24)&lt;0,Planning!$TL41+Planning!$TM41+Planning!$UL41+Planning!$UM41,0)</f>
      </c>
      <c r="V24" s="761">
        <v>0</v>
      </c>
      <c r="W24" s="761">
        <v>0</v>
      </c>
      <c r="X24" s="762">
        <f>IF(GetFillColor(X24)&lt;0,Planning!$WX41+Planning!$WY41+Planning!$XX41+Planning!$XY41,0)</f>
      </c>
      <c r="Y24" s="762">
        <f>IF(GetFillColor(Y24)&lt;0,Planning!$YA41+Planning!$YB41+Planning!$ZA41+Planning!$ZB41,0)</f>
      </c>
      <c r="Z24" s="762">
        <f>IF(GetFillColor(Z24)&lt;0,Planning!$ZD41+Planning!$ZE41+Planning!$AAD41+Planning!$AAE41,0)</f>
      </c>
      <c r="AA24" s="762">
        <f>IF(GetFillColor(AA24)&lt;0,Planning!$AAG41+Planning!$AAH41+Planning!$ABG41+Planning!$ABH41,0)</f>
      </c>
      <c r="AB24" s="762">
        <f>IF(GetFillColor(AB24)&lt;0,Planning!$ABJ41+Planning!$ABK41+Planning!$ACJ41+Planning!$ACK41,0)</f>
      </c>
      <c r="AC24" s="761">
        <v>0</v>
      </c>
      <c r="AD24" s="761">
        <v>0</v>
      </c>
      <c r="AE24" s="762">
        <f>IF(GetFillColor(AE24)&lt;0,Planning!$AEV41+Planning!$AEW41+Planning!$AFV41+Planning!$AFW41,0)</f>
      </c>
      <c r="AF24" s="762">
        <f>IF(GetFillColor(AF24)&lt;0,Planning!$AFY41+Planning!$AFZ41+Planning!$AGY41+Planning!$AGZ41,0)</f>
      </c>
      <c r="AG24" s="762">
        <f>IF(GetFillColor(AG24)&lt;0,Planning!$AHB41+Planning!$AHC41+Planning!$AIB41+Planning!$AIC41,0)</f>
      </c>
      <c r="AH24" s="762">
        <f>IF(GetFillColor(AH24)&lt;0,Planning!$AIE41+Planning!$AIF41+Planning!$AJE41+Planning!$AJF41,0)</f>
      </c>
      <c r="AI24" s="762">
        <f>IF(GetFillColor(AI24)&lt;0,Planning!$AJH41+Planning!$AJI41+Planning!$AKH41+Planning!$AKI41,0)</f>
      </c>
      <c r="AJ24" s="761">
        <v>0</v>
      </c>
      <c r="AK24" s="760">
        <v>0</v>
      </c>
      <c r="AL24" s="698">
        <f>SUM(C24:AK24)</f>
      </c>
      <c r="AM24" s="4"/>
      <c r="AN24" s="4"/>
    </row>
    <row r="25" ht="20.25" customHeight="1" spans="1:40" x14ac:dyDescent="0.25">
      <c r="A25" s="4">
        <f>A8</f>
      </c>
      <c r="B25" s="4"/>
      <c r="C25" s="760">
        <f>IF(GetFillColor(C25)&lt;0,Planning!$D42+Planning!$E42+Planning!$AD42+Planning!$AE42,0)</f>
      </c>
      <c r="D25" s="760">
        <f>IF(GetFillColor(D25)&lt;0,Planning!$AG42+Planning!$AH42+Planning!$BG42+Planning!$BH42,0)</f>
      </c>
      <c r="E25" s="760">
        <f>IF(GetFillColor(E25)&lt;0,Planning!$BJ42+Planning!$BK42+Planning!$CJ42+Planning!$CK42,0)</f>
      </c>
      <c r="F25" s="761">
        <f>IF(GetFillColor(F25)&lt;0,Planning!$CM42+Planning!$CN42+Planning!$DM42+Planning!$DN42,0)</f>
      </c>
      <c r="G25" s="761">
        <f>IF(GetFillColor(G25)&lt;0,Planning!$DP42+Planning!$DQ42+Planning!$EP42+Planning!$EQ42,0)</f>
      </c>
      <c r="H25" s="761">
        <v>0</v>
      </c>
      <c r="I25" s="761">
        <v>0</v>
      </c>
      <c r="J25" s="762">
        <f>IF(GetFillColor(J25)&lt;0,Planning!$HB42+Planning!$HC42+Planning!$IB42+Planning!$IC42,0)</f>
      </c>
      <c r="K25" s="762">
        <f>IF(GetFillColor(K25)&lt;0,Planning!$IE42+Planning!$IF42+Planning!$JE42+Planning!$JF42,0)</f>
      </c>
      <c r="L25" s="762">
        <f>IF(GetFillColor(L25)&lt;0,Planning!$JH42+Planning!$JI42+Planning!$KH42+Planning!$KI42,0)</f>
      </c>
      <c r="M25" s="762">
        <f>IF(GetFillColor(M25)&lt;0,Planning!$KK42+Planning!$KL42+Planning!$LK42+Planning!$LL42,0)</f>
      </c>
      <c r="N25" s="762">
        <f>IF(GetFillColor(N25)&lt;0,Planning!$LN42+Planning!$LO42+Planning!$MN42+Planning!$MO42,0)</f>
      </c>
      <c r="O25" s="761">
        <v>0</v>
      </c>
      <c r="P25" s="761">
        <v>0</v>
      </c>
      <c r="Q25" s="762">
        <f>IF(GetFillColor(Q25)&lt;0,Planning!$OZ42+Planning!$PA42+Planning!$PZ42+Planning!$QA42,0)</f>
      </c>
      <c r="R25" s="762">
        <f>IF(GetFillColor(R25)&lt;0,Planning!$QC42+Planning!$QD42+Planning!$RC42+Planning!$RD42,0)</f>
      </c>
      <c r="S25" s="762">
        <f>IF(GetFillColor(S25)&lt;0,Planning!$RF42+Planning!$RG42+Planning!$SF42+Planning!$SG42,0)</f>
      </c>
      <c r="T25" s="762">
        <f>IF(GetFillColor(T25)&lt;0,Planning!$SI42+Planning!$SJ42+Planning!$TI42+Planning!$TJ42,0)</f>
      </c>
      <c r="U25" s="762">
        <f>IF(GetFillColor(U25)&lt;0,Planning!$TL42+Planning!$TM42+Planning!$UL42+Planning!$UM42,0)</f>
      </c>
      <c r="V25" s="761">
        <v>0</v>
      </c>
      <c r="W25" s="761">
        <v>0</v>
      </c>
      <c r="X25" s="762">
        <f>IF(GetFillColor(X25)&lt;0,Planning!$WX42+Planning!$WY42+Planning!$XX42+Planning!$XY42,0)</f>
      </c>
      <c r="Y25" s="762">
        <f>IF(GetFillColor(Y25)&lt;0,Planning!$YA42+Planning!$YB42+Planning!$ZA42+Planning!$ZB42,0)</f>
      </c>
      <c r="Z25" s="762">
        <f>IF(GetFillColor(Z25)&lt;0,Planning!$ZD42+Planning!$ZE42+Planning!$AAD42+Planning!$AAE42,0)</f>
      </c>
      <c r="AA25" s="762">
        <f>IF(GetFillColor(AA25)&lt;0,Planning!$AAG42+Planning!$AAH42+Planning!$ABG42+Planning!$ABH42,0)</f>
      </c>
      <c r="AB25" s="762">
        <f>IF(GetFillColor(AB25)&lt;0,Planning!$ABJ42+Planning!$ABK42+Planning!$ACJ42+Planning!$ACK42,0)</f>
      </c>
      <c r="AC25" s="761">
        <v>0</v>
      </c>
      <c r="AD25" s="761">
        <v>0</v>
      </c>
      <c r="AE25" s="762">
        <f>IF(GetFillColor(AE25)&lt;0,Planning!$AEV42+Planning!$AEW42+Planning!$AFV42+Planning!$AFW42,0)</f>
      </c>
      <c r="AF25" s="762">
        <f>IF(GetFillColor(AF25)&lt;0,Planning!$AFY42+Planning!$AFZ42+Planning!$AGY42+Planning!$AGZ42,0)</f>
      </c>
      <c r="AG25" s="762">
        <f>IF(GetFillColor(AG25)&lt;0,Planning!$AHB42+Planning!$AHC42+Planning!$AIB42+Planning!$AIC42,0)</f>
      </c>
      <c r="AH25" s="762">
        <f>IF(GetFillColor(AH25)&lt;0,Planning!$AIE42+Planning!$AIF42+Planning!$AJE42+Planning!$AJF42,0)</f>
      </c>
      <c r="AI25" s="762">
        <f>IF(GetFillColor(AI25)&lt;0,Planning!$AJH42+Planning!$AJI42+Planning!$AKH42+Planning!$AKI42,0)</f>
      </c>
      <c r="AJ25" s="761">
        <v>0</v>
      </c>
      <c r="AK25" s="760">
        <v>0</v>
      </c>
      <c r="AL25" s="698">
        <f>SUM(C25:AK25)</f>
      </c>
      <c r="AM25" s="4"/>
      <c r="AN25" s="4"/>
    </row>
    <row r="26" ht="20.25" customHeight="1" spans="1:40" x14ac:dyDescent="0.25">
      <c r="A26" s="4">
        <f>A9</f>
      </c>
      <c r="B26" s="4"/>
      <c r="C26" s="760">
        <f>IF(GetFillColor(C26)&lt;0,Planning!$D43+Planning!$E43+Planning!$AD43+Planning!$AE43,0)</f>
      </c>
      <c r="D26" s="760">
        <f>IF(GetFillColor(D26)&lt;0,Planning!$AG43+Planning!$AH43+Planning!$BG43+Planning!$BH43,0)</f>
      </c>
      <c r="E26" s="760">
        <f>IF(GetFillColor(E26)&lt;0,Planning!$BJ43+Planning!$BK43+Planning!$CJ43+Planning!$CK43,0)</f>
      </c>
      <c r="F26" s="761">
        <f>IF(GetFillColor(F26)&lt;0,Planning!$CM43+Planning!$CN43+Planning!$DM43+Planning!$DN43,0)</f>
      </c>
      <c r="G26" s="761">
        <f>IF(GetFillColor(G26)&lt;0,Planning!$DP43+Planning!$DQ43+Planning!$EP43+Planning!$EQ43,0)</f>
      </c>
      <c r="H26" s="761">
        <v>0</v>
      </c>
      <c r="I26" s="761">
        <v>0</v>
      </c>
      <c r="J26" s="762">
        <f>IF(GetFillColor(J26)&lt;0,Planning!$HB43+Planning!$HC43+Planning!$IB43+Planning!$IC43,0)</f>
      </c>
      <c r="K26" s="762">
        <f>IF(GetFillColor(K26)&lt;0,Planning!$IE43+Planning!$IF43+Planning!$JE43+Planning!$JF43,0)</f>
      </c>
      <c r="L26" s="762">
        <f>IF(GetFillColor(L26)&lt;0,Planning!$JH43+Planning!$JI43+Planning!$KH43+Planning!$KI43,0)</f>
      </c>
      <c r="M26" s="762">
        <f>IF(GetFillColor(M26)&lt;0,Planning!$KK43+Planning!$KL43+Planning!$LK43+Planning!$LL43,0)</f>
      </c>
      <c r="N26" s="762">
        <f>IF(GetFillColor(N26)&lt;0,Planning!$LN43+Planning!$LO43+Planning!$MN43+Planning!$MO43,0)</f>
      </c>
      <c r="O26" s="761">
        <v>0</v>
      </c>
      <c r="P26" s="761">
        <v>0</v>
      </c>
      <c r="Q26" s="762">
        <f>IF(GetFillColor(Q26)&lt;0,Planning!$OZ43+Planning!$PA43+Planning!$PZ43+Planning!$QA43,0)</f>
      </c>
      <c r="R26" s="762">
        <f>IF(GetFillColor(R26)&lt;0,Planning!$QC43+Planning!$QD43+Planning!$RC43+Planning!$RD43,0)</f>
      </c>
      <c r="S26" s="762">
        <f>IF(GetFillColor(S26)&lt;0,Planning!$RF43+Planning!$RG43+Planning!$SF43+Planning!$SG43,0)</f>
      </c>
      <c r="T26" s="762">
        <f>IF(GetFillColor(T26)&lt;0,Planning!$SI43+Planning!$SJ43+Planning!$TI43+Planning!$TJ43,0)</f>
      </c>
      <c r="U26" s="762">
        <f>IF(GetFillColor(U26)&lt;0,Planning!$TL43+Planning!$TM43+Planning!$UL43+Planning!$UM43,0)</f>
      </c>
      <c r="V26" s="761">
        <v>0</v>
      </c>
      <c r="W26" s="761">
        <v>0</v>
      </c>
      <c r="X26" s="762">
        <f>IF(GetFillColor(X26)&lt;0,Planning!$WX43+Planning!$WY43+Planning!$XX43+Planning!$XY43,0)</f>
      </c>
      <c r="Y26" s="762">
        <f>IF(GetFillColor(Y26)&lt;0,Planning!$YA43+Planning!$YB43+Planning!$ZA43+Planning!$ZB43,0)</f>
      </c>
      <c r="Z26" s="762">
        <f>IF(GetFillColor(Z26)&lt;0,Planning!$ZD43+Planning!$ZE43+Planning!$AAD43+Planning!$AAE43,0)</f>
      </c>
      <c r="AA26" s="762">
        <f>IF(GetFillColor(AA26)&lt;0,Planning!$AAG43+Planning!$AAH43+Planning!$ABG43+Planning!$ABH43,0)</f>
      </c>
      <c r="AB26" s="762">
        <f>IF(GetFillColor(AB26)&lt;0,Planning!$ABJ43+Planning!$ABK43+Planning!$ACJ43+Planning!$ACK43,0)</f>
      </c>
      <c r="AC26" s="761">
        <v>0</v>
      </c>
      <c r="AD26" s="761">
        <v>0</v>
      </c>
      <c r="AE26" s="762">
        <f>IF(GetFillColor(AE26)&lt;0,Planning!$AEV43+Planning!$AEW43+Planning!$AFV43+Planning!$AFW43,0)</f>
      </c>
      <c r="AF26" s="762">
        <f>IF(GetFillColor(AF26)&lt;0,Planning!$AFY43+Planning!$AFZ43+Planning!$AGY43+Planning!$AGZ43,0)</f>
      </c>
      <c r="AG26" s="762">
        <f>IF(GetFillColor(AG26)&lt;0,Planning!$AHB43+Planning!$AHC43+Planning!$AIB43+Planning!$AIC43,0)</f>
      </c>
      <c r="AH26" s="762">
        <f>IF(GetFillColor(AH26)&lt;0,Planning!$AIE43+Planning!$AIF43+Planning!$AJE43+Planning!$AJF43,0)</f>
      </c>
      <c r="AI26" s="762">
        <f>IF(GetFillColor(AI26)&lt;0,Planning!$AJH43+Planning!$AJI43+Planning!$AKH43+Planning!$AKI43,0)</f>
      </c>
      <c r="AJ26" s="761">
        <v>0</v>
      </c>
      <c r="AK26" s="760">
        <v>0</v>
      </c>
      <c r="AL26" s="698">
        <f>SUM(C26:AK26)</f>
      </c>
      <c r="AM26" s="4"/>
      <c r="AN26" s="4"/>
    </row>
    <row r="27" ht="20.25" customHeight="1" spans="1:40" x14ac:dyDescent="0.25">
      <c r="A27" s="4">
        <f>A10</f>
      </c>
      <c r="B27" s="4"/>
      <c r="C27" s="760">
        <f>IF(GetFillColor(C27)&lt;0,Planning!$D44+Planning!$E44+Planning!$AD44+Planning!$AE44,0)</f>
      </c>
      <c r="D27" s="760">
        <f>IF(GetFillColor(D27)&lt;0,Planning!$AG44+Planning!$AH44+Planning!$BG44+Planning!$BH44,0)</f>
      </c>
      <c r="E27" s="760">
        <f>IF(GetFillColor(E27)&lt;0,Planning!$BJ44+Planning!$BK44+Planning!$CJ44+Planning!$CK44,0)</f>
      </c>
      <c r="F27" s="761">
        <f>IF(GetFillColor(F27)&lt;0,Planning!$CM44+Planning!$CN44+Planning!$DM44+Planning!$DN44,0)</f>
      </c>
      <c r="G27" s="761">
        <f>IF(GetFillColor(G27)&lt;0,Planning!$DP44+Planning!$DQ44+Planning!$EP44+Planning!$EQ44,0)</f>
      </c>
      <c r="H27" s="761">
        <v>0</v>
      </c>
      <c r="I27" s="761">
        <v>0</v>
      </c>
      <c r="J27" s="762">
        <f>IF(GetFillColor(J27)&lt;0,Planning!$HB44+Planning!$HC44+Planning!$IB44+Planning!$IC44,0)</f>
      </c>
      <c r="K27" s="762">
        <f>IF(GetFillColor(K27)&lt;0,Planning!$IE44+Planning!$IF44+Planning!$JE44+Planning!$JF44,0)</f>
      </c>
      <c r="L27" s="762">
        <f>IF(GetFillColor(L27)&lt;0,Planning!$JH44+Planning!$JI44+Planning!$KH44+Planning!$KI44,0)</f>
      </c>
      <c r="M27" s="762">
        <f>IF(GetFillColor(M27)&lt;0,Planning!$KK44+Planning!$KL44+Planning!$LK44+Planning!$LL44,0)</f>
      </c>
      <c r="N27" s="762">
        <f>IF(GetFillColor(N27)&lt;0,Planning!$LN44+Planning!$LO44+Planning!$MN44+Planning!$MO44,0)</f>
      </c>
      <c r="O27" s="761">
        <v>0</v>
      </c>
      <c r="P27" s="761">
        <v>0</v>
      </c>
      <c r="Q27" s="762">
        <f>IF(GetFillColor(Q27)&lt;0,Planning!$OZ44+Planning!$PA44+Planning!$PZ44+Planning!$QA44,0)</f>
      </c>
      <c r="R27" s="762">
        <f>IF(GetFillColor(R27)&lt;0,Planning!$QC44+Planning!$QD44+Planning!$RC44+Planning!$RD44,0)</f>
      </c>
      <c r="S27" s="762">
        <f>IF(GetFillColor(S27)&lt;0,Planning!$RF44+Planning!$RG44+Planning!$SF44+Planning!$SG44,0)</f>
      </c>
      <c r="T27" s="762">
        <f>IF(GetFillColor(T27)&lt;0,Planning!$SI44+Planning!$SJ44+Planning!$TI44+Planning!$TJ44,0)</f>
      </c>
      <c r="U27" s="762">
        <f>IF(GetFillColor(U27)&lt;0,Planning!$TL44+Planning!$TM44+Planning!$UL44+Planning!$UM44,0)</f>
      </c>
      <c r="V27" s="761">
        <v>0</v>
      </c>
      <c r="W27" s="761">
        <v>0</v>
      </c>
      <c r="X27" s="762">
        <f>IF(GetFillColor(X27)&lt;0,Planning!$WX44+Planning!$WY44+Planning!$XX44+Planning!$XY44,0)</f>
      </c>
      <c r="Y27" s="762">
        <f>IF(GetFillColor(Y27)&lt;0,Planning!$YA44+Planning!$YB44+Planning!$ZA44+Planning!$ZB44,0)</f>
      </c>
      <c r="Z27" s="762">
        <f>IF(GetFillColor(Z27)&lt;0,Planning!$ZD44+Planning!$ZE44+Planning!$AAD44+Planning!$AAE44,0)</f>
      </c>
      <c r="AA27" s="762">
        <f>IF(GetFillColor(AA27)&lt;0,Planning!$AAG44+Planning!$AAH44+Planning!$ABG44+Planning!$ABH44,0)</f>
      </c>
      <c r="AB27" s="762">
        <f>IF(GetFillColor(AB27)&lt;0,Planning!$ABJ44+Planning!$ABK44+Planning!$ACJ44+Planning!$ACK44,0)</f>
      </c>
      <c r="AC27" s="761">
        <v>0</v>
      </c>
      <c r="AD27" s="761">
        <v>0</v>
      </c>
      <c r="AE27" s="762">
        <f>IF(GetFillColor(AE27)&lt;0,Planning!$AEV44+Planning!$AEW44+Planning!$AFV44+Planning!$AFW44,0)</f>
      </c>
      <c r="AF27" s="762">
        <f>IF(GetFillColor(AF27)&lt;0,Planning!$AFY44+Planning!$AFZ44+Planning!$AGY44+Planning!$AGZ44,0)</f>
      </c>
      <c r="AG27" s="762">
        <f>IF(GetFillColor(AG27)&lt;0,Planning!$AHB44+Planning!$AHC44+Planning!$AIB44+Planning!$AIC44,0)</f>
      </c>
      <c r="AH27" s="762">
        <f>IF(GetFillColor(AH27)&lt;0,Planning!$AIE44+Planning!$AIF44+Planning!$AJE44+Planning!$AJF44,0)</f>
      </c>
      <c r="AI27" s="762">
        <f>IF(GetFillColor(AI27)&lt;0,Planning!$AJH44+Planning!$AJI44+Planning!$AKH44+Planning!$AKI44,0)</f>
      </c>
      <c r="AJ27" s="761">
        <v>0</v>
      </c>
      <c r="AK27" s="760">
        <v>0</v>
      </c>
      <c r="AL27" s="698">
        <f>SUM(C27:AK27)</f>
      </c>
      <c r="AM27" s="4"/>
      <c r="AN27" s="4"/>
    </row>
    <row r="28" ht="20.25" customHeight="1" spans="1:40" x14ac:dyDescent="0.25">
      <c r="A28" s="4">
        <f>A11</f>
      </c>
      <c r="B28" s="4"/>
      <c r="C28" s="760">
        <f>IF(GetFillColor(C28)&lt;0,Planning!$D45+Planning!$E45+Planning!$AD45+Planning!$AE45,0)</f>
      </c>
      <c r="D28" s="760">
        <f>IF(GetFillColor(D28)&lt;0,Planning!$AG45+Planning!$AH45+Planning!$BG45+Planning!$BH45,0)</f>
      </c>
      <c r="E28" s="760">
        <f>IF(GetFillColor(E28)&lt;0,Planning!$BJ45+Planning!$BK45+Planning!$CJ45+Planning!$CK45,0)</f>
      </c>
      <c r="F28" s="761">
        <f>IF(GetFillColor(F28)&lt;0,Planning!$CM45+Planning!$CN45+Planning!$DM45+Planning!$DN45,0)</f>
      </c>
      <c r="G28" s="761">
        <f>IF(GetFillColor(G28)&lt;0,Planning!$DP45+Planning!$DQ45+Planning!$EP45+Planning!$EQ45,0)</f>
      </c>
      <c r="H28" s="761">
        <v>0</v>
      </c>
      <c r="I28" s="761">
        <v>0</v>
      </c>
      <c r="J28" s="762">
        <f>IF(GetFillColor(J28)&lt;0,Planning!$HB45+Planning!$HC45+Planning!$IB45+Planning!$IC45,0)</f>
      </c>
      <c r="K28" s="762">
        <f>IF(GetFillColor(K28)&lt;0,Planning!$IE45+Planning!$IF45+Planning!$JE45+Planning!$JF45,0)</f>
      </c>
      <c r="L28" s="762">
        <f>IF(GetFillColor(L28)&lt;0,Planning!$JH45+Planning!$JI45+Planning!$KH45+Planning!$KI45,0)</f>
      </c>
      <c r="M28" s="762">
        <f>IF(GetFillColor(M28)&lt;0,Planning!$KK45+Planning!$KL45+Planning!$LK45+Planning!$LL45,0)</f>
      </c>
      <c r="N28" s="762">
        <f>IF(GetFillColor(N28)&lt;0,Planning!$LN45+Planning!$LO45+Planning!$MN45+Planning!$MO45,0)</f>
      </c>
      <c r="O28" s="761">
        <v>0</v>
      </c>
      <c r="P28" s="761">
        <v>0</v>
      </c>
      <c r="Q28" s="762">
        <f>IF(GetFillColor(Q28)&lt;0,Planning!$OZ45+Planning!$PA45+Planning!$PZ45+Planning!$QA45,0)</f>
      </c>
      <c r="R28" s="762">
        <f>IF(GetFillColor(R28)&lt;0,Planning!$QC45+Planning!$QD45+Planning!$RC45+Planning!$RD45,0)</f>
      </c>
      <c r="S28" s="762">
        <f>IF(GetFillColor(S28)&lt;0,Planning!$RF45+Planning!$RG45+Planning!$SF45+Planning!$SG45,0)</f>
      </c>
      <c r="T28" s="762">
        <f>IF(GetFillColor(T28)&lt;0,Planning!$SI45+Planning!$SJ45+Planning!$TI45+Planning!$TJ45,0)</f>
      </c>
      <c r="U28" s="762">
        <f>IF(GetFillColor(U28)&lt;0,Planning!$TL45+Planning!$TM45+Planning!$UL45+Planning!$UM45,0)</f>
      </c>
      <c r="V28" s="761">
        <v>0</v>
      </c>
      <c r="W28" s="761">
        <v>0</v>
      </c>
      <c r="X28" s="762">
        <f>IF(GetFillColor(X28)&lt;0,Planning!$WX45+Planning!$WY45+Planning!$XX45+Planning!$XY45,0)</f>
      </c>
      <c r="Y28" s="762">
        <f>IF(GetFillColor(Y28)&lt;0,Planning!$YA45+Planning!$YB45+Planning!$ZA45+Planning!$ZB45,0)</f>
      </c>
      <c r="Z28" s="762">
        <f>IF(GetFillColor(Z28)&lt;0,Planning!$ZD45+Planning!$ZE45+Planning!$AAD45+Planning!$AAE45,0)</f>
      </c>
      <c r="AA28" s="762">
        <f>IF(GetFillColor(AA28)&lt;0,Planning!$AAG45+Planning!$AAH45+Planning!$ABG45+Planning!$ABH45,0)</f>
      </c>
      <c r="AB28" s="762">
        <f>IF(GetFillColor(AB28)&lt;0,Planning!$ABJ45+Planning!$ABK45+Planning!$ACJ45+Planning!$ACK45,0)</f>
      </c>
      <c r="AC28" s="761">
        <v>0</v>
      </c>
      <c r="AD28" s="761">
        <v>0</v>
      </c>
      <c r="AE28" s="762">
        <f>IF(GetFillColor(AE28)&lt;0,Planning!$AEV45+Planning!$AEW45+Planning!$AFV45+Planning!$AFW45,0)</f>
      </c>
      <c r="AF28" s="762">
        <f>IF(GetFillColor(AF28)&lt;0,Planning!$AFY45+Planning!$AFZ45+Planning!$AGY45+Planning!$AGZ45,0)</f>
      </c>
      <c r="AG28" s="762">
        <f>IF(GetFillColor(AG28)&lt;0,Planning!$AHB45+Planning!$AHC45+Planning!$AIB45+Planning!$AIC45,0)</f>
      </c>
      <c r="AH28" s="762">
        <f>IF(GetFillColor(AH28)&lt;0,Planning!$AIE45+Planning!$AIF45+Planning!$AJE45+Planning!$AJF45,0)</f>
      </c>
      <c r="AI28" s="762">
        <f>IF(GetFillColor(AI28)&lt;0,Planning!$AJH45+Planning!$AJI45+Planning!$AKH45+Planning!$AKI45,0)</f>
      </c>
      <c r="AJ28" s="761">
        <v>0</v>
      </c>
      <c r="AK28" s="760">
        <v>0</v>
      </c>
      <c r="AL28" s="698">
        <f>SUM(C28:AK28)</f>
      </c>
      <c r="AM28" s="4"/>
      <c r="AN28" s="4"/>
    </row>
    <row r="29" ht="20.25" customHeight="1" spans="1:40" x14ac:dyDescent="0.25">
      <c r="A29" s="4">
        <f>A12</f>
      </c>
      <c r="B29" s="4"/>
      <c r="C29" s="760">
        <f>IF(GetFillColor(C29)&lt;0,Planning!$D46+Planning!$E46+Planning!$AD46+Planning!$AE46,0)</f>
      </c>
      <c r="D29" s="760">
        <f>IF(GetFillColor(D29)&lt;0,Planning!$AG46+Planning!$AH46+Planning!$BG46+Planning!$BH46,0)</f>
      </c>
      <c r="E29" s="760">
        <f>IF(GetFillColor(E29)&lt;0,Planning!$BJ46+Planning!$BK46+Planning!$CJ46+Planning!$CK46,0)</f>
      </c>
      <c r="F29" s="761">
        <f>IF(GetFillColor(F29)&lt;0,Planning!$CM46+Planning!$CN46+Planning!$DM46+Planning!$DN46,0)</f>
      </c>
      <c r="G29" s="761">
        <f>IF(GetFillColor(G29)&lt;0,Planning!$DP46+Planning!$DQ46+Planning!$EP46+Planning!$EQ46,0)</f>
      </c>
      <c r="H29" s="761">
        <v>0</v>
      </c>
      <c r="I29" s="761">
        <v>0</v>
      </c>
      <c r="J29" s="762">
        <f>IF(GetFillColor(J29)&lt;0,Planning!$HB46+Planning!$HC46+Planning!$IB46+Planning!$IC46,0)</f>
      </c>
      <c r="K29" s="762">
        <f>IF(GetFillColor(K29)&lt;0,Planning!$IE46+Planning!$IF46+Planning!$JE46+Planning!$JF46,0)</f>
      </c>
      <c r="L29" s="762">
        <f>IF(GetFillColor(L29)&lt;0,Planning!$JH46+Planning!$JI46+Planning!$KH46+Planning!$KI46,0)</f>
      </c>
      <c r="M29" s="762">
        <f>IF(GetFillColor(M29)&lt;0,Planning!$KK46+Planning!$KL46+Planning!$LK46+Planning!$LL46,0)</f>
      </c>
      <c r="N29" s="762">
        <f>IF(GetFillColor(N29)&lt;0,Planning!$LN46+Planning!$LO46+Planning!$MN46+Planning!$MO46,0)</f>
      </c>
      <c r="O29" s="761">
        <v>0</v>
      </c>
      <c r="P29" s="761">
        <v>0</v>
      </c>
      <c r="Q29" s="762">
        <f>IF(GetFillColor(Q29)&lt;0,Planning!$OZ46+Planning!$PA46+Planning!$PZ46+Planning!$QA46,0)</f>
      </c>
      <c r="R29" s="762">
        <f>IF(GetFillColor(R29)&lt;0,Planning!$QC46+Planning!$QD46+Planning!$RC46+Planning!$RD46,0)</f>
      </c>
      <c r="S29" s="762">
        <f>IF(GetFillColor(S29)&lt;0,Planning!$RF46+Planning!$RG46+Planning!$SF46+Planning!$SG46,0)</f>
      </c>
      <c r="T29" s="762">
        <f>IF(GetFillColor(T29)&lt;0,Planning!$SI46+Planning!$SJ46+Planning!$TI46+Planning!$TJ46,0)</f>
      </c>
      <c r="U29" s="762">
        <f>IF(GetFillColor(U29)&lt;0,Planning!$TL46+Planning!$TM46+Planning!$UL46+Planning!$UM46,0)</f>
      </c>
      <c r="V29" s="761">
        <v>0</v>
      </c>
      <c r="W29" s="761">
        <v>0</v>
      </c>
      <c r="X29" s="762">
        <f>IF(GetFillColor(X29)&lt;0,Planning!$WX46+Planning!$WY46+Planning!$XX46+Planning!$XY46,0)</f>
      </c>
      <c r="Y29" s="762">
        <f>IF(GetFillColor(Y29)&lt;0,Planning!$YA46+Planning!$YB46+Planning!$ZA46+Planning!$ZB46,0)</f>
      </c>
      <c r="Z29" s="762">
        <f>IF(GetFillColor(Z29)&lt;0,Planning!$ZD46+Planning!$ZE46+Planning!$AAD46+Planning!$AAE46,0)</f>
      </c>
      <c r="AA29" s="762">
        <f>IF(GetFillColor(AA29)&lt;0,Planning!$AAG46+Planning!$AAH46+Planning!$ABG46+Planning!$ABH46,0)</f>
      </c>
      <c r="AB29" s="762">
        <f>IF(GetFillColor(AB29)&lt;0,Planning!$ABJ46+Planning!$ABK46+Planning!$ACJ46+Planning!$ACK46,0)</f>
      </c>
      <c r="AC29" s="761">
        <v>0</v>
      </c>
      <c r="AD29" s="761">
        <v>0</v>
      </c>
      <c r="AE29" s="762">
        <f>IF(GetFillColor(AE29)&lt;0,Planning!$AEV46+Planning!$AEW46+Planning!$AFV46+Planning!$AFW46,0)</f>
      </c>
      <c r="AF29" s="762">
        <f>IF(GetFillColor(AF29)&lt;0,Planning!$AFY46+Planning!$AFZ46+Planning!$AGY46+Planning!$AGZ46,0)</f>
      </c>
      <c r="AG29" s="762">
        <f>IF(GetFillColor(AG29)&lt;0,Planning!$AHB46+Planning!$AHC46+Planning!$AIB46+Planning!$AIC46,0)</f>
      </c>
      <c r="AH29" s="762">
        <f>IF(GetFillColor(AH29)&lt;0,Planning!$AIE46+Planning!$AIF46+Planning!$AJE46+Planning!$AJF46,0)</f>
      </c>
      <c r="AI29" s="762">
        <f>IF(GetFillColor(AI29)&lt;0,Planning!$AJH46+Planning!$AJI46+Planning!$AKH46+Planning!$AKI46,0)</f>
      </c>
      <c r="AJ29" s="761">
        <v>0</v>
      </c>
      <c r="AK29" s="760">
        <v>0</v>
      </c>
      <c r="AL29" s="698">
        <f>SUM(C29:AK29)</f>
      </c>
      <c r="AM29" s="4"/>
      <c r="AN29" s="4"/>
    </row>
    <row r="30" ht="20.25" customHeight="1" spans="1:40" x14ac:dyDescent="0.25">
      <c r="A30" s="4">
        <f>A13</f>
      </c>
      <c r="B30" s="4"/>
      <c r="C30" s="760">
        <f>IF(GetFillColor(C30)&lt;0,Planning!$D47+Planning!$E47+Planning!$AD47+Planning!$AE47,0)</f>
      </c>
      <c r="D30" s="760">
        <f>IF(GetFillColor(D30)&lt;0,Planning!$AG47+Planning!$AH47+Planning!$BG47+Planning!$BH47,0)</f>
      </c>
      <c r="E30" s="760">
        <f>IF(GetFillColor(E30)&lt;0,Planning!$BJ47+Planning!$BK47+Planning!$CJ47+Planning!$CK47,0)</f>
      </c>
      <c r="F30" s="761">
        <f>IF(GetFillColor(F30)&lt;0,Planning!$CM47+Planning!$CN47+Planning!$DM47+Planning!$DN47,0)</f>
      </c>
      <c r="G30" s="761">
        <f>IF(GetFillColor(G30)&lt;0,Planning!$DP47+Planning!$DQ47+Planning!$EP47+Planning!$EQ47,0)</f>
      </c>
      <c r="H30" s="761">
        <v>0</v>
      </c>
      <c r="I30" s="761">
        <v>0</v>
      </c>
      <c r="J30" s="762">
        <f>IF(GetFillColor(J30)&lt;0,Planning!$HB47+Planning!$HC47+Planning!$IB47+Planning!$IC47,0)</f>
      </c>
      <c r="K30" s="762">
        <f>IF(GetFillColor(K30)&lt;0,Planning!$IE47+Planning!$IF47+Planning!$JE47+Planning!$JF47,0)</f>
      </c>
      <c r="L30" s="762">
        <f>IF(GetFillColor(L30)&lt;0,Planning!$JH47+Planning!$JI47+Planning!$KH47+Planning!$KI47,0)</f>
      </c>
      <c r="M30" s="762">
        <f>IF(GetFillColor(M30)&lt;0,Planning!$KK47+Planning!$KL47+Planning!$LK47+Planning!$LL47,0)</f>
      </c>
      <c r="N30" s="762">
        <f>IF(GetFillColor(N30)&lt;0,Planning!$LN47+Planning!$LO47+Planning!$MN47+Planning!$MO47,0)</f>
      </c>
      <c r="O30" s="761">
        <v>0</v>
      </c>
      <c r="P30" s="761">
        <v>0</v>
      </c>
      <c r="Q30" s="762">
        <f>IF(GetFillColor(Q30)&lt;0,Planning!$OZ47+Planning!$PA47+Planning!$PZ47+Planning!$QA47,0)</f>
      </c>
      <c r="R30" s="762">
        <f>IF(GetFillColor(R30)&lt;0,Planning!$QC47+Planning!$QD47+Planning!$RC47+Planning!$RD47,0)</f>
      </c>
      <c r="S30" s="762">
        <f>IF(GetFillColor(S30)&lt;0,Planning!$RF47+Planning!$RG47+Planning!$SF47+Planning!$SG47,0)</f>
      </c>
      <c r="T30" s="762">
        <f>IF(GetFillColor(T30)&lt;0,Planning!$SI47+Planning!$SJ47+Planning!$TI47+Planning!$TJ47,0)</f>
      </c>
      <c r="U30" s="762">
        <f>IF(GetFillColor(U30)&lt;0,Planning!$TL47+Planning!$TM47+Planning!$UL47+Planning!$UM47,0)</f>
      </c>
      <c r="V30" s="761">
        <v>0</v>
      </c>
      <c r="W30" s="761">
        <v>0</v>
      </c>
      <c r="X30" s="762">
        <f>IF(GetFillColor(X30)&lt;0,Planning!$WX47+Planning!$WY47+Planning!$XX47+Planning!$XY47,0)</f>
      </c>
      <c r="Y30" s="762">
        <f>IF(GetFillColor(Y30)&lt;0,Planning!$YA47+Planning!$YB47+Planning!$ZA47+Planning!$ZB47,0)</f>
      </c>
      <c r="Z30" s="762">
        <f>IF(GetFillColor(Z30)&lt;0,Planning!$ZD47+Planning!$ZE47+Planning!$AAD47+Planning!$AAE47,0)</f>
      </c>
      <c r="AA30" s="762">
        <f>IF(GetFillColor(AA30)&lt;0,Planning!$AAG47+Planning!$AAH47+Planning!$ABG47+Planning!$ABH47,0)</f>
      </c>
      <c r="AB30" s="762">
        <f>IF(GetFillColor(AB30)&lt;0,Planning!$ABJ47+Planning!$ABK47+Planning!$ACJ47+Planning!$ACK47,0)</f>
      </c>
      <c r="AC30" s="761">
        <v>0</v>
      </c>
      <c r="AD30" s="761">
        <v>0</v>
      </c>
      <c r="AE30" s="762">
        <f>IF(GetFillColor(AE30)&lt;0,Planning!$AEV47+Planning!$AEW47+Planning!$AFV47+Planning!$AFW47,0)</f>
      </c>
      <c r="AF30" s="762">
        <f>IF(GetFillColor(AF30)&lt;0,Planning!$AFY47+Planning!$AFZ47+Planning!$AGY47+Planning!$AGZ47,0)</f>
      </c>
      <c r="AG30" s="762">
        <f>IF(GetFillColor(AG30)&lt;0,Planning!$AHB47+Planning!$AHC47+Planning!$AIB47+Planning!$AIC47,0)</f>
      </c>
      <c r="AH30" s="762">
        <f>IF(GetFillColor(AH30)&lt;0,Planning!$AIE47+Planning!$AIF47+Planning!$AJE47+Planning!$AJF47,0)</f>
      </c>
      <c r="AI30" s="762">
        <f>IF(GetFillColor(AI30)&lt;0,Planning!$AJH47+Planning!$AJI47+Planning!$AKH47+Planning!$AKI47,0)</f>
      </c>
      <c r="AJ30" s="761">
        <v>0</v>
      </c>
      <c r="AK30" s="760">
        <v>0</v>
      </c>
      <c r="AL30" s="698">
        <f>SUM(C30:AK30)</f>
      </c>
      <c r="AM30" s="4"/>
      <c r="AN30" s="4"/>
    </row>
    <row r="31" ht="20.25" customHeight="1" spans="1:40" x14ac:dyDescent="0.25">
      <c r="A31" s="4">
        <f>A14</f>
      </c>
      <c r="B31" s="4"/>
      <c r="C31" s="760">
        <f>IF(GetFillColor(C31)&lt;0,Planning!$D48+Planning!$E48+Planning!$AD48+Planning!$AE48,0)</f>
      </c>
      <c r="D31" s="760">
        <f>IF(GetFillColor(D31)&lt;0,Planning!$AG48+Planning!$AH48+Planning!$BG48+Planning!$BH48,0)</f>
      </c>
      <c r="E31" s="760">
        <f>IF(GetFillColor(E31)&lt;0,Planning!$BJ48+Planning!$BK48+Planning!$CJ48+Planning!$CK48,0)</f>
      </c>
      <c r="F31" s="761">
        <f>IF(GetFillColor(F31)&lt;0,Planning!$CM48+Planning!$CN48+Planning!$DM48+Planning!$DN48,0)</f>
      </c>
      <c r="G31" s="761">
        <f>IF(GetFillColor(G31)&lt;0,Planning!$DP48+Planning!$DQ48+Planning!$EP48+Planning!$EQ48,0)</f>
      </c>
      <c r="H31" s="761">
        <v>0</v>
      </c>
      <c r="I31" s="761">
        <v>0</v>
      </c>
      <c r="J31" s="762">
        <f>IF(GetFillColor(J31)&lt;0,Planning!$HB48+Planning!$HC48+Planning!$IB48+Planning!$IC48,0)</f>
      </c>
      <c r="K31" s="762">
        <f>IF(GetFillColor(K31)&lt;0,Planning!$IE48+Planning!$IF48+Planning!$JE48+Planning!$JF48,0)</f>
      </c>
      <c r="L31" s="762">
        <f>IF(GetFillColor(L31)&lt;0,Planning!$JH48+Planning!$JI48+Planning!$KH48+Planning!$KI48,0)</f>
      </c>
      <c r="M31" s="762">
        <f>IF(GetFillColor(M31)&lt;0,Planning!$KK48+Planning!$KL48+Planning!$LK48+Planning!$LL48,0)</f>
      </c>
      <c r="N31" s="762">
        <f>IF(GetFillColor(N31)&lt;0,Planning!$LN48+Planning!$LO48+Planning!$MN48+Planning!$MO48,0)</f>
      </c>
      <c r="O31" s="761">
        <v>0</v>
      </c>
      <c r="P31" s="761">
        <v>0</v>
      </c>
      <c r="Q31" s="762">
        <f>IF(GetFillColor(Q31)&lt;0,Planning!$OZ48+Planning!$PA48+Planning!$PZ48+Planning!$QA48,0)</f>
      </c>
      <c r="R31" s="762">
        <f>IF(GetFillColor(R31)&lt;0,Planning!$QC48+Planning!$QD48+Planning!$RC48+Planning!$RD48,0)</f>
      </c>
      <c r="S31" s="762">
        <f>IF(GetFillColor(S31)&lt;0,Planning!$RF48+Planning!$RG48+Planning!$SF48+Planning!$SG48,0)</f>
      </c>
      <c r="T31" s="762">
        <f>IF(GetFillColor(T31)&lt;0,Planning!$SI48+Planning!$SJ48+Planning!$TI48+Planning!$TJ48,0)</f>
      </c>
      <c r="U31" s="762">
        <f>IF(GetFillColor(U31)&lt;0,Planning!$TL48+Planning!$TM48+Planning!$UL48+Planning!$UM48,0)</f>
      </c>
      <c r="V31" s="761">
        <v>0</v>
      </c>
      <c r="W31" s="761">
        <v>0</v>
      </c>
      <c r="X31" s="762">
        <f>IF(GetFillColor(X31)&lt;0,Planning!$WX48+Planning!$WY48+Planning!$XX48+Planning!$XY48,0)</f>
      </c>
      <c r="Y31" s="762">
        <f>IF(GetFillColor(Y31)&lt;0,Planning!$YA48+Planning!$YB48+Planning!$ZA48+Planning!$ZB48,0)</f>
      </c>
      <c r="Z31" s="762">
        <f>IF(GetFillColor(Z31)&lt;0,Planning!$ZD48+Planning!$ZE48+Planning!$AAD48+Planning!$AAE48,0)</f>
      </c>
      <c r="AA31" s="762">
        <f>IF(GetFillColor(AA31)&lt;0,Planning!$AAG48+Planning!$AAH48+Planning!$ABG48+Planning!$ABH48,0)</f>
      </c>
      <c r="AB31" s="762">
        <f>IF(GetFillColor(AB31)&lt;0,Planning!$ABJ48+Planning!$ABK48+Planning!$ACJ48+Planning!$ACK48,0)</f>
      </c>
      <c r="AC31" s="761">
        <v>0</v>
      </c>
      <c r="AD31" s="761">
        <v>0</v>
      </c>
      <c r="AE31" s="762">
        <f>IF(GetFillColor(AE31)&lt;0,Planning!$AEV48+Planning!$AEW48+Planning!$AFV48+Planning!$AFW48,0)</f>
      </c>
      <c r="AF31" s="762">
        <f>IF(GetFillColor(AF31)&lt;0,Planning!$AFY48+Planning!$AFZ48+Planning!$AGY48+Planning!$AGZ48,0)</f>
      </c>
      <c r="AG31" s="762">
        <f>IF(GetFillColor(AG31)&lt;0,Planning!$AHB48+Planning!$AHC48+Planning!$AIB48+Planning!$AIC48,0)</f>
      </c>
      <c r="AH31" s="762">
        <f>IF(GetFillColor(AH31)&lt;0,Planning!$AIE48+Planning!$AIF48+Planning!$AJE48+Planning!$AJF48,0)</f>
      </c>
      <c r="AI31" s="762">
        <f>IF(GetFillColor(AI31)&lt;0,Planning!$AJH48+Planning!$AJI48+Planning!$AKH48+Planning!$AKI48,0)</f>
      </c>
      <c r="AJ31" s="761">
        <v>0</v>
      </c>
      <c r="AK31" s="760">
        <v>0</v>
      </c>
      <c r="AL31" s="698">
        <f>SUM(C31:AK31)</f>
      </c>
      <c r="AM31" s="4"/>
      <c r="AN31" s="4"/>
    </row>
    <row r="32" ht="20.25" customHeight="1" spans="1:40" x14ac:dyDescent="0.25">
      <c r="A32" s="4">
        <f>A15</f>
      </c>
      <c r="B32" s="4"/>
      <c r="C32" s="760">
        <f>IF(GetFillColor(C32)&lt;0,Planning!$D49+Planning!$E49+Planning!$AD49+Planning!$AE49,0)</f>
      </c>
      <c r="D32" s="760">
        <f>IF(GetFillColor(D32)&lt;0,Planning!$AG49+Planning!$AH49+Planning!$BG49+Planning!$BH49,0)</f>
      </c>
      <c r="E32" s="760">
        <f>IF(GetFillColor(E32)&lt;0,Planning!$BJ49+Planning!$BK49+Planning!$CJ49+Planning!$CK49,0)</f>
      </c>
      <c r="F32" s="761">
        <f>IF(GetFillColor(F32)&lt;0,Planning!$CM49+Planning!$CN49+Planning!$DM49+Planning!$DN49,0)</f>
      </c>
      <c r="G32" s="761">
        <f>IF(GetFillColor(G32)&lt;0,Planning!$DP49+Planning!$DQ49+Planning!$EP49+Planning!$EQ49,0)</f>
      </c>
      <c r="H32" s="761">
        <v>0</v>
      </c>
      <c r="I32" s="761">
        <v>0</v>
      </c>
      <c r="J32" s="762">
        <f>IF(GetFillColor(J32)&lt;0,Planning!$HB49+Planning!$HC49+Planning!$IB49+Planning!$IC49,0)</f>
      </c>
      <c r="K32" s="762">
        <f>IF(GetFillColor(K32)&lt;0,Planning!$IE49+Planning!$IF49+Planning!$JE49+Planning!$JF49,0)</f>
      </c>
      <c r="L32" s="762">
        <f>IF(GetFillColor(L32)&lt;0,Planning!$JH49+Planning!$JI49+Planning!$KH49+Planning!$KI49,0)</f>
      </c>
      <c r="M32" s="762">
        <f>IF(GetFillColor(M32)&lt;0,Planning!$KK49+Planning!$KL49+Planning!$LK49+Planning!$LL49,0)</f>
      </c>
      <c r="N32" s="762">
        <f>IF(GetFillColor(N32)&lt;0,Planning!$LN49+Planning!$LO49+Planning!$MN49+Planning!$MO49,0)</f>
      </c>
      <c r="O32" s="761">
        <v>0</v>
      </c>
      <c r="P32" s="761">
        <v>0</v>
      </c>
      <c r="Q32" s="762">
        <f>IF(GetFillColor(Q32)&lt;0,Planning!$OZ49+Planning!$PA49+Planning!$PZ49+Planning!$QA49,0)</f>
      </c>
      <c r="R32" s="762">
        <f>IF(GetFillColor(R32)&lt;0,Planning!$QC49+Planning!$QD49+Planning!$RC49+Planning!$RD49,0)</f>
      </c>
      <c r="S32" s="762">
        <f>IF(GetFillColor(S32)&lt;0,Planning!$RF49+Planning!$RG49+Planning!$SF49+Planning!$SG49,0)</f>
      </c>
      <c r="T32" s="762">
        <f>IF(GetFillColor(T32)&lt;0,Planning!$SI49+Planning!$SJ49+Planning!$TI49+Planning!$TJ49,0)</f>
      </c>
      <c r="U32" s="762">
        <f>IF(GetFillColor(U32)&lt;0,Planning!$TL49+Planning!$TM49+Planning!$UL49+Planning!$UM49,0)</f>
      </c>
      <c r="V32" s="761">
        <v>0</v>
      </c>
      <c r="W32" s="761">
        <v>0</v>
      </c>
      <c r="X32" s="762">
        <f>IF(GetFillColor(X32)&lt;0,Planning!$WX49+Planning!$WY49+Planning!$XX49+Planning!$XY49,0)</f>
      </c>
      <c r="Y32" s="762">
        <f>IF(GetFillColor(Y32)&lt;0,Planning!$YA49+Planning!$YB49+Planning!$ZA49+Planning!$ZB49,0)</f>
      </c>
      <c r="Z32" s="762">
        <f>IF(GetFillColor(Z32)&lt;0,Planning!$ZD49+Planning!$ZE49+Planning!$AAD49+Planning!$AAE49,0)</f>
      </c>
      <c r="AA32" s="762">
        <f>IF(GetFillColor(AA32)&lt;0,Planning!$AAG49+Planning!$AAH49+Planning!$ABG49+Planning!$ABH49,0)</f>
      </c>
      <c r="AB32" s="762">
        <f>IF(GetFillColor(AB32)&lt;0,Planning!$ABJ49+Planning!$ABK49+Planning!$ACJ49+Planning!$ACK49,0)</f>
      </c>
      <c r="AC32" s="761">
        <v>0</v>
      </c>
      <c r="AD32" s="761">
        <v>0</v>
      </c>
      <c r="AE32" s="762">
        <f>IF(GetFillColor(AE32)&lt;0,Planning!$AEV49+Planning!$AEW49+Planning!$AFV49+Planning!$AFW49,0)</f>
      </c>
      <c r="AF32" s="762">
        <f>IF(GetFillColor(AF32)&lt;0,Planning!$AFY49+Planning!$AFZ49+Planning!$AGY49+Planning!$AGZ49,0)</f>
      </c>
      <c r="AG32" s="762">
        <f>IF(GetFillColor(AG32)&lt;0,Planning!$AHB49+Planning!$AHC49+Planning!$AIB49+Planning!$AIC49,0)</f>
      </c>
      <c r="AH32" s="762">
        <f>IF(GetFillColor(AH32)&lt;0,Planning!$AIE49+Planning!$AIF49+Planning!$AJE49+Planning!$AJF49,0)</f>
      </c>
      <c r="AI32" s="762">
        <f>IF(GetFillColor(AI32)&lt;0,Planning!$AJH49+Planning!$AJI49+Planning!$AKH49+Planning!$AKI49,0)</f>
      </c>
      <c r="AJ32" s="761">
        <v>0</v>
      </c>
      <c r="AK32" s="760">
        <v>0</v>
      </c>
      <c r="AL32" s="698">
        <f>SUM(C32:AK32)</f>
      </c>
      <c r="AM32" s="4"/>
      <c r="AN32" s="4"/>
    </row>
    <row r="33" ht="20.25" customHeight="1" spans="1:40" x14ac:dyDescent="0.25">
      <c r="A33" s="4">
        <f>A16</f>
      </c>
      <c r="B33" s="4"/>
      <c r="C33" s="760">
        <f>IF(GetFillColor(C33)&lt;0,Planning!$D50+Planning!$E50+Planning!$AD50+Planning!$AE50,0)</f>
      </c>
      <c r="D33" s="760">
        <f>IF(GetFillColor(D33)&lt;0,Planning!$AG50+Planning!$AH50+Planning!$BG50+Planning!$BH50,0)</f>
      </c>
      <c r="E33" s="760">
        <f>IF(GetFillColor(E33)&lt;0,Planning!$BJ50+Planning!$BK50+Planning!$CJ50+Planning!$CK50,0)</f>
      </c>
      <c r="F33" s="761">
        <f>IF(GetFillColor(F33)&lt;0,Planning!$CM50+Planning!$CN50+Planning!$DM50+Planning!$DN50,0)</f>
      </c>
      <c r="G33" s="761">
        <f>IF(GetFillColor(G33)&lt;0,Planning!$DP50+Planning!$DQ50+Planning!$EP50+Planning!$EQ50,0)</f>
      </c>
      <c r="H33" s="761">
        <v>0</v>
      </c>
      <c r="I33" s="761">
        <v>0</v>
      </c>
      <c r="J33" s="762">
        <f>IF(GetFillColor(J33)&lt;0,Planning!$HB50+Planning!$HC50+Planning!$IB50+Planning!$IC50,0)</f>
      </c>
      <c r="K33" s="762">
        <f>IF(GetFillColor(K33)&lt;0,Planning!$IE50+Planning!$IF50+Planning!$JE50+Planning!$JF50,0)</f>
      </c>
      <c r="L33" s="762">
        <f>IF(GetFillColor(L33)&lt;0,Planning!$JH50+Planning!$JI50+Planning!$KH50+Planning!$KI50,0)</f>
      </c>
      <c r="M33" s="762">
        <f>IF(GetFillColor(M33)&lt;0,Planning!$KK50+Planning!$KL50+Planning!$LK50+Planning!$LL50,0)</f>
      </c>
      <c r="N33" s="762">
        <f>IF(GetFillColor(N33)&lt;0,Planning!$LN50+Planning!$LO50+Planning!$MN50+Planning!$MO50,0)</f>
      </c>
      <c r="O33" s="761">
        <v>0</v>
      </c>
      <c r="P33" s="761">
        <v>0</v>
      </c>
      <c r="Q33" s="762">
        <f>IF(GetFillColor(Q33)&lt;0,Planning!$OZ50+Planning!$PA50+Planning!$PZ50+Planning!$QA50,0)</f>
      </c>
      <c r="R33" s="762">
        <f>IF(GetFillColor(R33)&lt;0,Planning!$QC50+Planning!$QD50+Planning!$RC50+Planning!$RD50,0)</f>
      </c>
      <c r="S33" s="762">
        <f>IF(GetFillColor(S33)&lt;0,Planning!$RF50+Planning!$RG50+Planning!$SF50+Planning!$SG50,0)</f>
      </c>
      <c r="T33" s="762">
        <f>IF(GetFillColor(T33)&lt;0,Planning!$SI50+Planning!$SJ50+Planning!$TI50+Planning!$TJ50,0)</f>
      </c>
      <c r="U33" s="762">
        <f>IF(GetFillColor(U33)&lt;0,Planning!$TL50+Planning!$TM50+Planning!$UL50+Planning!$UM50,0)</f>
      </c>
      <c r="V33" s="761">
        <v>0</v>
      </c>
      <c r="W33" s="761">
        <v>0</v>
      </c>
      <c r="X33" s="762">
        <f>IF(GetFillColor(X33)&lt;0,Planning!$WX50+Planning!$WY50+Planning!$XX50+Planning!$XY50,0)</f>
      </c>
      <c r="Y33" s="762">
        <f>IF(GetFillColor(Y33)&lt;0,Planning!$YA50+Planning!$YB50+Planning!$ZA50+Planning!$ZB50,0)</f>
      </c>
      <c r="Z33" s="762">
        <f>IF(GetFillColor(Z33)&lt;0,Planning!$ZD50+Planning!$ZE50+Planning!$AAD50+Planning!$AAE50,0)</f>
      </c>
      <c r="AA33" s="762">
        <f>IF(GetFillColor(AA33)&lt;0,Planning!$AAG50+Planning!$AAH50+Planning!$ABG50+Planning!$ABH50,0)</f>
      </c>
      <c r="AB33" s="762">
        <f>IF(GetFillColor(AB33)&lt;0,Planning!$ABJ50+Planning!$ABK50+Planning!$ACJ50+Planning!$ACK50,0)</f>
      </c>
      <c r="AC33" s="761">
        <v>0</v>
      </c>
      <c r="AD33" s="761">
        <v>0</v>
      </c>
      <c r="AE33" s="762">
        <f>IF(GetFillColor(AE33)&lt;0,Planning!$AEV50+Planning!$AEW50+Planning!$AFV50+Planning!$AFW50,0)</f>
      </c>
      <c r="AF33" s="762">
        <f>IF(GetFillColor(AF33)&lt;0,Planning!$AFY50+Planning!$AFZ50+Planning!$AGY50+Planning!$AGZ50,0)</f>
      </c>
      <c r="AG33" s="762">
        <f>IF(GetFillColor(AG33)&lt;0,Planning!$AHB50+Planning!$AHC50+Planning!$AIB50+Planning!$AIC50,0)</f>
      </c>
      <c r="AH33" s="762">
        <f>IF(GetFillColor(AH33)&lt;0,Planning!$AIE50+Planning!$AIF50+Planning!$AJE50+Planning!$AJF50,0)</f>
      </c>
      <c r="AI33" s="762">
        <f>IF(GetFillColor(AI33)&lt;0,Planning!$AJH50+Planning!$AJI50+Planning!$AKH50+Planning!$AKI50,0)</f>
      </c>
      <c r="AJ33" s="761">
        <v>0</v>
      </c>
      <c r="AK33" s="760">
        <v>0</v>
      </c>
      <c r="AL33" s="698">
        <f>SUM(C33:AK33)</f>
      </c>
      <c r="AM33" s="4"/>
      <c r="AN33" s="4"/>
    </row>
    <row r="34" ht="20.25" customHeight="1" spans="1:40" x14ac:dyDescent="0.25">
      <c r="A34" s="4">
        <f>A17</f>
      </c>
      <c r="B34" s="4"/>
      <c r="C34" s="760">
        <f>IF(GetFillColor(C34)&lt;0,Planning!$D51+Planning!$E51+Planning!$AD51+Planning!$AE51,0)</f>
      </c>
      <c r="D34" s="760">
        <f>IF(GetFillColor(D34)&lt;0,Planning!$AG51+Planning!$AH51+Planning!$BG51+Planning!$BH51,0)</f>
      </c>
      <c r="E34" s="760">
        <f>IF(GetFillColor(E34)&lt;0,Planning!$BJ51+Planning!$BK51+Planning!$CJ51+Planning!$CK51,0)</f>
      </c>
      <c r="F34" s="761">
        <f>IF(GetFillColor(F34)&lt;0,Planning!$CM51+Planning!$CN51+Planning!$DM51+Planning!$DN51,0)</f>
      </c>
      <c r="G34" s="761">
        <f>IF(GetFillColor(G34)&lt;0,Planning!$DP51+Planning!$DQ51+Planning!$EP51+Planning!$EQ51,0)</f>
      </c>
      <c r="H34" s="761">
        <v>0</v>
      </c>
      <c r="I34" s="761">
        <v>0</v>
      </c>
      <c r="J34" s="762">
        <f>IF(GetFillColor(J34)&lt;0,Planning!$HB51+Planning!$HC51+Planning!$IB51+Planning!$IC51,0)</f>
      </c>
      <c r="K34" s="762">
        <f>IF(GetFillColor(K34)&lt;0,Planning!$IE51+Planning!$IF51+Planning!$JE51+Planning!$JF51,0)</f>
      </c>
      <c r="L34" s="762">
        <f>IF(GetFillColor(L34)&lt;0,Planning!$JH51+Planning!$JI51+Planning!$KH51+Planning!$KI51,0)</f>
      </c>
      <c r="M34" s="762">
        <f>IF(GetFillColor(M34)&lt;0,Planning!$KK51+Planning!$KL51+Planning!$LK51+Planning!$LL51,0)</f>
      </c>
      <c r="N34" s="762">
        <f>IF(GetFillColor(N34)&lt;0,Planning!$LN51+Planning!$LO51+Planning!$MN51+Planning!$MO51,0)</f>
      </c>
      <c r="O34" s="761">
        <v>0</v>
      </c>
      <c r="P34" s="761">
        <v>0</v>
      </c>
      <c r="Q34" s="762">
        <f>IF(GetFillColor(Q34)&lt;0,Planning!$OZ51+Planning!$PA51+Planning!$PZ51+Planning!$QA51,0)</f>
      </c>
      <c r="R34" s="762">
        <f>IF(GetFillColor(R34)&lt;0,Planning!$QC51+Planning!$QD51+Planning!$RC51+Planning!$RD51,0)</f>
      </c>
      <c r="S34" s="762">
        <f>IF(GetFillColor(S34)&lt;0,Planning!$RF51+Planning!$RG51+Planning!$SF51+Planning!$SG51,0)</f>
      </c>
      <c r="T34" s="762">
        <f>IF(GetFillColor(T34)&lt;0,Planning!$SI51+Planning!$SJ51+Planning!$TI51+Planning!$TJ51,0)</f>
      </c>
      <c r="U34" s="762">
        <f>IF(GetFillColor(U34)&lt;0,Planning!$TL51+Planning!$TM51+Planning!$UL51+Planning!$UM51,0)</f>
      </c>
      <c r="V34" s="761">
        <v>0</v>
      </c>
      <c r="W34" s="761">
        <v>0</v>
      </c>
      <c r="X34" s="762">
        <f>IF(GetFillColor(X34)&lt;0,Planning!$WX51+Planning!$WY51+Planning!$XX51+Planning!$XY51,0)</f>
      </c>
      <c r="Y34" s="762">
        <f>IF(GetFillColor(Y34)&lt;0,Planning!$YA51+Planning!$YB51+Planning!$ZA51+Planning!$ZB51,0)</f>
      </c>
      <c r="Z34" s="762">
        <f>IF(GetFillColor(Z34)&lt;0,Planning!$ZD51+Planning!$ZE51+Planning!$AAD51+Planning!$AAE51,0)</f>
      </c>
      <c r="AA34" s="762">
        <f>IF(GetFillColor(AA34)&lt;0,Planning!$AAG51+Planning!$AAH51+Planning!$ABG51+Planning!$ABH51,0)</f>
      </c>
      <c r="AB34" s="762">
        <f>IF(GetFillColor(AB34)&lt;0,Planning!$ABJ51+Planning!$ABK51+Planning!$ACJ51+Planning!$ACK51,0)</f>
      </c>
      <c r="AC34" s="761">
        <v>0</v>
      </c>
      <c r="AD34" s="761">
        <v>0</v>
      </c>
      <c r="AE34" s="762">
        <f>IF(GetFillColor(AE34)&lt;0,Planning!$AEV51+Planning!$AEW51+Planning!$AFV51+Planning!$AFW51,0)</f>
      </c>
      <c r="AF34" s="762">
        <f>IF(GetFillColor(AF34)&lt;0,Planning!$AFY51+Planning!$AFZ51+Planning!$AGY51+Planning!$AGZ51,0)</f>
      </c>
      <c r="AG34" s="762">
        <f>IF(GetFillColor(AG34)&lt;0,Planning!$AHB51+Planning!$AHC51+Planning!$AIB51+Planning!$AIC51,0)</f>
      </c>
      <c r="AH34" s="762">
        <f>IF(GetFillColor(AH34)&lt;0,Planning!$AIE51+Planning!$AIF51+Planning!$AJE51+Planning!$AJF51,0)</f>
      </c>
      <c r="AI34" s="762">
        <f>IF(GetFillColor(AI34)&lt;0,Planning!$AJH51+Planning!$AJI51+Planning!$AKH51+Planning!$AKI51,0)</f>
      </c>
      <c r="AJ34" s="761">
        <v>0</v>
      </c>
      <c r="AK34" s="760">
        <v>0</v>
      </c>
      <c r="AL34" s="698">
        <f>SUM(C34:AK34)</f>
      </c>
      <c r="AM34" s="4"/>
      <c r="AN34" s="4"/>
    </row>
    <row r="35" ht="15" customHeight="1" spans="1:40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ht="80.25" customHeight="1" spans="1:40" s="754" customFormat="1" x14ac:dyDescent="0.25">
      <c r="A36" s="755" t="s">
        <v>241</v>
      </c>
      <c r="B36" s="765"/>
      <c r="C36" s="757">
        <f>C19</f>
      </c>
      <c r="D36" s="757">
        <f>D19</f>
      </c>
      <c r="E36" s="757">
        <f>E19</f>
      </c>
      <c r="F36" s="757">
        <f>F19</f>
      </c>
      <c r="G36" s="757">
        <f>G19</f>
      </c>
      <c r="H36" s="757">
        <f>H19</f>
      </c>
      <c r="I36" s="757">
        <f>I19</f>
      </c>
      <c r="J36" s="757">
        <f>J19</f>
      </c>
      <c r="K36" s="757">
        <f>K19</f>
      </c>
      <c r="L36" s="757">
        <f>L19</f>
      </c>
      <c r="M36" s="757">
        <f>M19</f>
      </c>
      <c r="N36" s="757">
        <f>N19</f>
      </c>
      <c r="O36" s="757">
        <f>O19</f>
      </c>
      <c r="P36" s="757">
        <f>P19</f>
      </c>
      <c r="Q36" s="757">
        <f>Q19</f>
      </c>
      <c r="R36" s="757">
        <f>R19</f>
      </c>
      <c r="S36" s="757">
        <f>S19</f>
      </c>
      <c r="T36" s="757">
        <f>T19</f>
      </c>
      <c r="U36" s="757">
        <f>U19</f>
      </c>
      <c r="V36" s="757">
        <f>V19</f>
      </c>
      <c r="W36" s="757">
        <f>W19</f>
      </c>
      <c r="X36" s="757">
        <f>X19</f>
      </c>
      <c r="Y36" s="757">
        <f>Y19</f>
      </c>
      <c r="Z36" s="757">
        <f>Z19</f>
      </c>
      <c r="AA36" s="757">
        <f>AA19</f>
      </c>
      <c r="AB36" s="757">
        <f>AB19</f>
      </c>
      <c r="AC36" s="757">
        <f>AC19</f>
      </c>
      <c r="AD36" s="757">
        <f>AD19</f>
      </c>
      <c r="AE36" s="757">
        <f>AE19</f>
      </c>
      <c r="AF36" s="757">
        <f>AF19</f>
      </c>
      <c r="AG36" s="757">
        <f>AG19</f>
      </c>
      <c r="AH36" s="757">
        <f>AH19</f>
      </c>
      <c r="AI36" s="757">
        <f>AI19</f>
      </c>
      <c r="AJ36" s="757">
        <f>AJ19</f>
      </c>
      <c r="AK36" s="757">
        <f>AK19</f>
      </c>
      <c r="AL36" s="758" t="s">
        <v>236</v>
      </c>
      <c r="AM36" s="4"/>
      <c r="AN36" s="4"/>
    </row>
    <row r="37" ht="20.25" customHeight="1" spans="1:40" x14ac:dyDescent="0.25">
      <c r="A37" s="4">
        <f>A4</f>
      </c>
      <c r="B37" s="4"/>
      <c r="C37" s="760">
        <f>IF(GetFillColor(C37)=15,SUM(Planning!$D38:$AE38),0)</f>
      </c>
      <c r="D37" s="760">
        <f>IF(GetFillColor(D37)=15,SUM(Planning!$AG38:$BH38),0)</f>
      </c>
      <c r="E37" s="760">
        <f>IF(GetFillColor(E37)=15,SUM(Planning!$BJ38:$CK38),0)</f>
      </c>
      <c r="F37" s="763">
        <f>IF(GetFillColor(F37)=15,SUM(Planning!$CM38:$DN38),0)</f>
      </c>
      <c r="G37" s="763">
        <f>IF(GetFillColor(G37)=15,SUM(Planning!$DP38:$EQ38),0)</f>
      </c>
      <c r="H37" s="763">
        <f>IF(GetFillColor(H37)=15,SUM(Planning!$ES38:$FT38),0)</f>
      </c>
      <c r="I37" s="763">
        <f>IF(GetFillColor(I37)=15,SUM(Planning!$FV38:$GW38),0)</f>
      </c>
      <c r="J37" s="762">
        <f>IF(GetFillColor(J37)=15,SUM(Planning!$HB38:$IC38),0)</f>
      </c>
      <c r="K37" s="762">
        <f>IF(GetFillColor(K37)=15,SUM(Planning!$IE38:$JF38),0)</f>
      </c>
      <c r="L37" s="762">
        <f>IF(GetFillColor(L37)=15,SUM(Planning!$JH38:$KI38),0)</f>
      </c>
      <c r="M37" s="762">
        <f>IF(GetFillColor(M37)=15,SUM(Planning!$KK38:$LL38),0)</f>
      </c>
      <c r="N37" s="762">
        <f>IF(GetFillColor(N37)=15,SUM(Planning!$LN38:$MO38),0)</f>
      </c>
      <c r="O37" s="763">
        <f>IF(GetFillColor(O37)=15,SUM(Planning!$MQ38:$NR38),0)</f>
      </c>
      <c r="P37" s="763">
        <f>IF(GetFillColor(P37)=15,SUM(Planning!$NT38:$OU38),0)</f>
      </c>
      <c r="Q37" s="762">
        <f>IF(GetFillColor(Q37)=15,SUM(Planning!$OZ38:$QA38),0)</f>
      </c>
      <c r="R37" s="762">
        <f>IF(GetFillColor(R37)=15,SUM(Planning!$QC38:$RD38),0)</f>
      </c>
      <c r="S37" s="762">
        <f>IF(GetFillColor(S37)=15,SUM(Planning!$RF38:$SG38),0)</f>
      </c>
      <c r="T37" s="762">
        <f>IF(GetFillColor(T37)=15,SUM(Planning!$SI38:$TJ38),0)</f>
      </c>
      <c r="U37" s="762">
        <f>IF(GetFillColor(U37)=15,SUM(Planning!$TL38:$UM38),0)</f>
      </c>
      <c r="V37" s="763">
        <f>IF(GetFillColor(V37)=15,SUM(Planning!$UO38:$VP38),0)</f>
      </c>
      <c r="W37" s="763">
        <f>IF(GetFillColor(W37)=15,SUM(Planning!$VR38:$WS38),0)</f>
      </c>
      <c r="X37" s="762">
        <f>IF(GetFillColor(X37)=15,SUM(Planning!$WX38:$XY38),0)</f>
      </c>
      <c r="Y37" s="762">
        <f>IF(GetFillColor(Y37)=15,SUM(Planning!$YA38:$ZB38),0)</f>
      </c>
      <c r="Z37" s="762">
        <f>IF(GetFillColor(Z37)=15,SUM(Planning!$ZD38:$AAE38),0)</f>
      </c>
      <c r="AA37" s="762">
        <f>IF(GetFillColor(AA37)=15,SUM(Planning!$AAG38:$ABH38),0)</f>
      </c>
      <c r="AB37" s="762">
        <f>IF(GetFillColor(AB37)=15,SUM(Planning!$ABJ38:$ACK38),0)</f>
      </c>
      <c r="AC37" s="763">
        <f>IF(GetFillColor(AC37)=15,SUM(Planning!$ACM38:$ADN38),0)</f>
      </c>
      <c r="AD37" s="763">
        <f>IF(GetFillColor(AD37)=15,SUM(Planning!$ADP38:$AEQ38),0)</f>
      </c>
      <c r="AE37" s="762">
        <f>IF(GetFillColor(AE37)=15,SUM(Planning!$AEV38:$AFW38),0)</f>
      </c>
      <c r="AF37" s="762">
        <f>IF(GetFillColor(AF37)=15,SUM(Planning!$AFY38:$AGZ38),0)</f>
      </c>
      <c r="AG37" s="762">
        <f>IF(GetFillColor(AG37)=15,SUM(Planning!$AHB38:$AIC38),0)</f>
      </c>
      <c r="AH37" s="762">
        <f>IF(GetFillColor(AH37)=15,SUM(Planning!$AIE38:$AJF38),0)</f>
      </c>
      <c r="AI37" s="762">
        <f>IF(GetFillColor(AI37)=15,SUM(Planning!$AJH38:$AKI38),0)</f>
      </c>
      <c r="AJ37" s="763">
        <f>IF(GetFillColor(AJ37)=15,SUM(Planning!$AKK38:$ALL38),0)</f>
      </c>
      <c r="AK37" s="760">
        <f>IF(GetFillColor(AK37)=15,SUM(Planning!$ALN38:$AMO38),0)</f>
      </c>
      <c r="AL37" s="698">
        <f>SUM(C37:AK37)</f>
      </c>
      <c r="AM37" s="4"/>
      <c r="AN37" s="4"/>
    </row>
    <row r="38" ht="20.25" customHeight="1" spans="1:40" x14ac:dyDescent="0.25">
      <c r="A38" s="4">
        <f>A5</f>
      </c>
      <c r="B38" s="4"/>
      <c r="C38" s="760">
        <f>IF(GetFillColor(C38)=15,SUM(Planning!$D39:$AE39),0)</f>
      </c>
      <c r="D38" s="760">
        <f>IF(GetFillColor(D38)=15,SUM(Planning!$AG39:$BH39),0)</f>
      </c>
      <c r="E38" s="760">
        <f>IF(GetFillColor(E38)=15,SUM(Planning!$BJ39:$CK39),0)</f>
      </c>
      <c r="F38" s="763">
        <f>IF(GetFillColor(F38)=15,SUM(Planning!$CM39:$DN39),0)</f>
      </c>
      <c r="G38" s="763">
        <f>IF(GetFillColor(G38)=15,SUM(Planning!$DP39:$EQ39),0)</f>
      </c>
      <c r="H38" s="763">
        <f>IF(GetFillColor(H38)=15,SUM(Planning!$ES39:$FT39),0)</f>
      </c>
      <c r="I38" s="763">
        <f>IF(GetFillColor(I38)=15,SUM(Planning!$FV39:$GW39),0)</f>
      </c>
      <c r="J38" s="762">
        <f>IF(GetFillColor(J38)=15,SUM(Planning!$HB39:$IC39),0)</f>
      </c>
      <c r="K38" s="762">
        <f>IF(GetFillColor(K38)=15,SUM(Planning!$IE39:$JF39),0)</f>
      </c>
      <c r="L38" s="762">
        <f>IF(GetFillColor(L38)=15,SUM(Planning!$JH39:$KI39),0)</f>
      </c>
      <c r="M38" s="762">
        <f>IF(GetFillColor(M38)=15,SUM(Planning!$KK39:$LL39),0)</f>
      </c>
      <c r="N38" s="762">
        <f>IF(GetFillColor(N38)=15,SUM(Planning!$LN39:$MO39),0)</f>
      </c>
      <c r="O38" s="763">
        <f>IF(GetFillColor(O38)=15,SUM(Planning!$MQ39:$NR39),0)</f>
      </c>
      <c r="P38" s="763">
        <f>IF(GetFillColor(P38)=15,SUM(Planning!$NT39:$OU39),0)</f>
      </c>
      <c r="Q38" s="762">
        <f>IF(GetFillColor(Q38)=15,SUM(Planning!$OZ39:$QA39),0)</f>
      </c>
      <c r="R38" s="762">
        <f>IF(GetFillColor(R38)=15,SUM(Planning!$QC39:$RD39),0)</f>
      </c>
      <c r="S38" s="762">
        <f>IF(GetFillColor(S38)=15,SUM(Planning!$RF39:$SG39),0)</f>
      </c>
      <c r="T38" s="762">
        <f>IF(GetFillColor(T38)=15,SUM(Planning!$SI39:$TJ39),0)</f>
      </c>
      <c r="U38" s="762">
        <f>IF(GetFillColor(U38)=15,SUM(Planning!$TL39:$UM39),0)</f>
      </c>
      <c r="V38" s="763">
        <f>IF(GetFillColor(V38)=15,SUM(Planning!$UO39:$VP39),0)</f>
      </c>
      <c r="W38" s="763">
        <f>IF(GetFillColor(W38)=15,SUM(Planning!$VR39:$WS39),0)</f>
      </c>
      <c r="X38" s="762">
        <f>IF(GetFillColor(X38)=15,SUM(Planning!$WX39:$XY39),0)</f>
      </c>
      <c r="Y38" s="762">
        <f>IF(GetFillColor(Y38)=15,SUM(Planning!$YA39:$ZB39),0)</f>
      </c>
      <c r="Z38" s="762">
        <f>IF(GetFillColor(Z38)=15,SUM(Planning!$ZD39:$AAE39),0)</f>
      </c>
      <c r="AA38" s="762">
        <f>IF(GetFillColor(AA38)=15,SUM(Planning!$AAG39:$ABH39),0)</f>
      </c>
      <c r="AB38" s="762">
        <f>IF(GetFillColor(AB38)=15,SUM(Planning!$ABJ39:$ACK39),0)</f>
      </c>
      <c r="AC38" s="763">
        <f>IF(GetFillColor(AC38)=15,SUM(Planning!$ACM39:$ADN39),0)</f>
      </c>
      <c r="AD38" s="763">
        <f>IF(GetFillColor(AD38)=15,SUM(Planning!$ADP39:$AEQ39),0)</f>
      </c>
      <c r="AE38" s="762">
        <f>IF(GetFillColor(AE38)=15,SUM(Planning!$AEV39:$AFW39),0)</f>
      </c>
      <c r="AF38" s="762">
        <f>IF(GetFillColor(AF38)=15,SUM(Planning!$AFY39:$AGZ39),0)</f>
      </c>
      <c r="AG38" s="762">
        <f>IF(GetFillColor(AG38)=15,SUM(Planning!$AHB39:$AIC39),0)</f>
      </c>
      <c r="AH38" s="762">
        <f>IF(GetFillColor(AH38)=15,SUM(Planning!$AIE39:$AJF39),0)</f>
      </c>
      <c r="AI38" s="762">
        <f>IF(GetFillColor(AI38)=15,SUM(Planning!$AJH39:$AKI39),0)</f>
      </c>
      <c r="AJ38" s="763">
        <f>IF(GetFillColor(AJ38)=15,SUM(Planning!$AKK39:$ALL39),0)</f>
      </c>
      <c r="AK38" s="760">
        <f>IF(GetFillColor(AK38)=15,SUM(Planning!$ALN39:$AMO39),0)</f>
      </c>
      <c r="AL38" s="698">
        <f>SUM(C38:AK38)</f>
      </c>
      <c r="AM38" s="4"/>
      <c r="AN38" s="4"/>
    </row>
    <row r="39" ht="20.25" customHeight="1" spans="1:40" x14ac:dyDescent="0.25">
      <c r="A39" s="4">
        <f>A6</f>
      </c>
      <c r="B39" s="4"/>
      <c r="C39" s="760">
        <f>IF(GetFillColor(C39)=15,SUM(Planning!$D40:$AE40),0)</f>
      </c>
      <c r="D39" s="760">
        <f>IF(GetFillColor(D39)=15,SUM(Planning!$AG40:$BH40),0)</f>
      </c>
      <c r="E39" s="760">
        <f>IF(GetFillColor(E39)=15,SUM(Planning!$BJ40:$CK40),0)</f>
      </c>
      <c r="F39" s="763">
        <f>IF(GetFillColor(F39)=15,SUM(Planning!$CM40:$DN40),0)</f>
      </c>
      <c r="G39" s="763">
        <f>IF(GetFillColor(G39)=15,SUM(Planning!$DP40:$EQ40),0)</f>
      </c>
      <c r="H39" s="763">
        <f>IF(GetFillColor(H39)=15,SUM(Planning!$ES40:$FT40),0)</f>
      </c>
      <c r="I39" s="763">
        <f>IF(GetFillColor(I39)=15,SUM(Planning!$FV40:$GW40),0)</f>
      </c>
      <c r="J39" s="762">
        <f>IF(GetFillColor(J39)=15,SUM(Planning!$HB40:$IC40),0)</f>
      </c>
      <c r="K39" s="762">
        <f>IF(GetFillColor(K39)=15,SUM(Planning!$IE40:$JF40),0)</f>
      </c>
      <c r="L39" s="762">
        <f>IF(GetFillColor(L39)=15,SUM(Planning!$JH40:$KI40),0)</f>
      </c>
      <c r="M39" s="762">
        <f>IF(GetFillColor(M39)=15,SUM(Planning!$KK40:$LL40),0)</f>
      </c>
      <c r="N39" s="762">
        <f>IF(GetFillColor(N39)=15,SUM(Planning!$LN40:$MO40),0)</f>
      </c>
      <c r="O39" s="763">
        <f>IF(GetFillColor(O39)=15,SUM(Planning!$MQ40:$NR40),0)</f>
      </c>
      <c r="P39" s="763">
        <f>IF(GetFillColor(P39)=15,SUM(Planning!$NT40:$OU40),0)</f>
      </c>
      <c r="Q39" s="762">
        <f>IF(GetFillColor(Q39)=15,SUM(Planning!$OZ40:$QA40),0)</f>
      </c>
      <c r="R39" s="762">
        <f>IF(GetFillColor(R39)=15,SUM(Planning!$QC40:$RD40),0)</f>
      </c>
      <c r="S39" s="762">
        <f>IF(GetFillColor(S39)=15,SUM(Planning!$RF40:$SG40),0)</f>
      </c>
      <c r="T39" s="762">
        <f>IF(GetFillColor(T39)=15,SUM(Planning!$SI40:$TJ40),0)</f>
      </c>
      <c r="U39" s="762">
        <f>IF(GetFillColor(U39)=15,SUM(Planning!$TL40:$UM40),0)</f>
      </c>
      <c r="V39" s="763">
        <f>IF(GetFillColor(V39)=15,SUM(Planning!$UO40:$VP40),0)</f>
      </c>
      <c r="W39" s="763">
        <f>IF(GetFillColor(W39)=15,SUM(Planning!$VR40:$WS40),0)</f>
      </c>
      <c r="X39" s="762">
        <f>IF(GetFillColor(X39)=15,SUM(Planning!$WX40:$XY40),0)</f>
      </c>
      <c r="Y39" s="762">
        <f>IF(GetFillColor(Y39)=15,SUM(Planning!$YA40:$ZB40),0)</f>
      </c>
      <c r="Z39" s="762">
        <f>IF(GetFillColor(Z39)=15,SUM(Planning!$ZD40:$AAE40),0)</f>
      </c>
      <c r="AA39" s="762">
        <f>IF(GetFillColor(AA39)=15,SUM(Planning!$AAG40:$ABH40),0)</f>
      </c>
      <c r="AB39" s="762">
        <f>IF(GetFillColor(AB39)=15,SUM(Planning!$ABJ40:$ACK40),0)</f>
      </c>
      <c r="AC39" s="763">
        <f>IF(GetFillColor(AC39)=15,SUM(Planning!$ACM40:$ADN40),0)</f>
      </c>
      <c r="AD39" s="763">
        <f>IF(GetFillColor(AD39)=15,SUM(Planning!$ADP40:$AEQ40),0)</f>
      </c>
      <c r="AE39" s="762">
        <f>IF(GetFillColor(AE39)=15,SUM(Planning!$AEV40:$AFW40),0)</f>
      </c>
      <c r="AF39" s="762">
        <f>IF(GetFillColor(AF39)=15,SUM(Planning!$AFY40:$AGZ40),0)</f>
      </c>
      <c r="AG39" s="762">
        <f>IF(GetFillColor(AG39)=15,SUM(Planning!$AHB40:$AIC40),0)</f>
      </c>
      <c r="AH39" s="762">
        <f>IF(GetFillColor(AH39)=15,SUM(Planning!$AIE40:$AJF40),0)</f>
      </c>
      <c r="AI39" s="762">
        <f>IF(GetFillColor(AI39)=15,SUM(Planning!$AJH40:$AKI40),0)</f>
      </c>
      <c r="AJ39" s="763">
        <f>IF(GetFillColor(AJ39)=15,SUM(Planning!$AKK40:$ALL40),0)</f>
      </c>
      <c r="AK39" s="760">
        <f>IF(GetFillColor(AK39)=15,SUM(Planning!$ALN40:$AMO40),0)</f>
      </c>
      <c r="AL39" s="698">
        <f>SUM(C39:AK39)</f>
      </c>
      <c r="AM39" s="4"/>
      <c r="AN39" s="4"/>
    </row>
    <row r="40" ht="20.25" customHeight="1" spans="1:40" x14ac:dyDescent="0.25">
      <c r="A40" s="4">
        <f>A7</f>
      </c>
      <c r="B40" s="4"/>
      <c r="C40" s="760">
        <f>IF(GetFillColor(C40)=15,SUM(Planning!$D41:$AE41),0)</f>
      </c>
      <c r="D40" s="760">
        <f>IF(GetFillColor(D40)=15,SUM(Planning!$AG41:$BH41),0)</f>
      </c>
      <c r="E40" s="760">
        <f>IF(GetFillColor(E40)=15,SUM(Planning!$BJ41:$CK41),0)</f>
      </c>
      <c r="F40" s="763">
        <f>IF(GetFillColor(F40)=15,SUM(Planning!$CM41:$DN41),0)</f>
      </c>
      <c r="G40" s="763">
        <f>IF(GetFillColor(G40)=15,SUM(Planning!$DP41:$EQ41),0)</f>
      </c>
      <c r="H40" s="763">
        <f>IF(GetFillColor(H40)=15,SUM(Planning!$ES41:$FT41),0)</f>
      </c>
      <c r="I40" s="763">
        <f>IF(GetFillColor(I40)=15,SUM(Planning!$FV41:$GW41),0)</f>
      </c>
      <c r="J40" s="762">
        <f>IF(GetFillColor(J40)=15,SUM(Planning!$HB41:$IC41),0)</f>
      </c>
      <c r="K40" s="762">
        <f>IF(GetFillColor(K40)=15,SUM(Planning!$IE41:$JF41),0)</f>
      </c>
      <c r="L40" s="762">
        <f>IF(GetFillColor(L40)=15,SUM(Planning!$JH41:$KI41),0)</f>
      </c>
      <c r="M40" s="762">
        <f>IF(GetFillColor(M40)=15,SUM(Planning!$KK41:$LL41),0)</f>
      </c>
      <c r="N40" s="762">
        <f>IF(GetFillColor(N40)=15,SUM(Planning!$LN41:$MO41),0)</f>
      </c>
      <c r="O40" s="763">
        <f>IF(GetFillColor(O40)=15,SUM(Planning!$MQ41:$NR41),0)</f>
      </c>
      <c r="P40" s="763">
        <f>IF(GetFillColor(P40)=15,SUM(Planning!$NT41:$OU41),0)</f>
      </c>
      <c r="Q40" s="762">
        <f>IF(GetFillColor(Q40)=15,SUM(Planning!$OZ41:$QA41),0)</f>
      </c>
      <c r="R40" s="762">
        <f>IF(GetFillColor(R40)=15,SUM(Planning!$QC41:$RD41),0)</f>
      </c>
      <c r="S40" s="762">
        <f>IF(GetFillColor(S40)=15,SUM(Planning!$RF41:$SG41),0)</f>
      </c>
      <c r="T40" s="762">
        <f>IF(GetFillColor(T40)=15,SUM(Planning!$SI41:$TJ41),0)</f>
      </c>
      <c r="U40" s="762">
        <f>IF(GetFillColor(U40)=15,SUM(Planning!$TL41:$UM41),0)</f>
      </c>
      <c r="V40" s="763">
        <f>IF(GetFillColor(V40)=15,SUM(Planning!$UO41:$VP41),0)</f>
      </c>
      <c r="W40" s="763">
        <f>IF(GetFillColor(W40)=15,SUM(Planning!$VR41:$WS41),0)</f>
      </c>
      <c r="X40" s="762">
        <f>IF(GetFillColor(X40)=15,SUM(Planning!$WX41:$XY41),0)</f>
      </c>
      <c r="Y40" s="762">
        <f>IF(GetFillColor(Y40)=15,SUM(Planning!$YA41:$ZB41),0)</f>
      </c>
      <c r="Z40" s="762">
        <f>IF(GetFillColor(Z40)=15,SUM(Planning!$ZD41:$AAE41),0)</f>
      </c>
      <c r="AA40" s="762">
        <f>IF(GetFillColor(AA40)=15,SUM(Planning!$AAG41:$ABH41),0)</f>
      </c>
      <c r="AB40" s="762">
        <f>IF(GetFillColor(AB40)=15,SUM(Planning!$ABJ41:$ACK41),0)</f>
      </c>
      <c r="AC40" s="763">
        <f>IF(GetFillColor(AC40)=15,SUM(Planning!$ACM41:$ADN41),0)</f>
      </c>
      <c r="AD40" s="763">
        <f>IF(GetFillColor(AD40)=15,SUM(Planning!$ADP41:$AEQ41),0)</f>
      </c>
      <c r="AE40" s="762">
        <f>IF(GetFillColor(AE40)=15,SUM(Planning!$AEV41:$AFW41),0)</f>
      </c>
      <c r="AF40" s="762">
        <f>IF(GetFillColor(AF40)=15,SUM(Planning!$AFY41:$AGZ41),0)</f>
      </c>
      <c r="AG40" s="762">
        <f>IF(GetFillColor(AG40)=15,SUM(Planning!$AHB41:$AIC41),0)</f>
      </c>
      <c r="AH40" s="762">
        <f>IF(GetFillColor(AH40)=15,SUM(Planning!$AIE41:$AJF41),0)</f>
      </c>
      <c r="AI40" s="762">
        <f>IF(GetFillColor(AI40)=15,SUM(Planning!$AJH41:$AKI41),0)</f>
      </c>
      <c r="AJ40" s="763">
        <f>IF(GetFillColor(AJ40)=15,SUM(Planning!$AKK41:$ALL41),0)</f>
      </c>
      <c r="AK40" s="760">
        <f>IF(GetFillColor(AK40)=15,SUM(Planning!$ALN41:$AMO41),0)</f>
      </c>
      <c r="AL40" s="698">
        <f>SUM(C40:AK40)</f>
      </c>
      <c r="AM40" s="4"/>
      <c r="AN40" s="4"/>
    </row>
    <row r="41" ht="20.25" customHeight="1" spans="1:40" x14ac:dyDescent="0.25">
      <c r="A41" s="4">
        <f>A8</f>
      </c>
      <c r="B41" s="4"/>
      <c r="C41" s="760">
        <f>IF(GetFillColor(C41)=15,SUM(Planning!$D42:$AE42),0)</f>
      </c>
      <c r="D41" s="760">
        <f>IF(GetFillColor(D41)=15,SUM(Planning!$AG42:$BH42),0)</f>
      </c>
      <c r="E41" s="760">
        <f>IF(GetFillColor(E41)=15,SUM(Planning!$BJ42:$CK42),0)</f>
      </c>
      <c r="F41" s="763">
        <f>IF(GetFillColor(F41)=15,SUM(Planning!$CM42:$DN42),0)</f>
      </c>
      <c r="G41" s="763">
        <f>IF(GetFillColor(G41)=15,SUM(Planning!$DP42:$EQ42),0)</f>
      </c>
      <c r="H41" s="763">
        <f>IF(GetFillColor(H41)=15,SUM(Planning!$ES42:$FT42),0)</f>
      </c>
      <c r="I41" s="763">
        <f>IF(GetFillColor(I41)=15,SUM(Planning!$FV42:$GW42),0)</f>
      </c>
      <c r="J41" s="762">
        <f>IF(GetFillColor(J41)=15,SUM(Planning!$HB42:$IC42),0)</f>
      </c>
      <c r="K41" s="762">
        <f>IF(GetFillColor(K41)=15,SUM(Planning!$IE42:$JF42),0)</f>
      </c>
      <c r="L41" s="762">
        <f>IF(GetFillColor(L41)=15,SUM(Planning!$JH42:$KI42),0)</f>
      </c>
      <c r="M41" s="762">
        <f>IF(GetFillColor(M41)=15,SUM(Planning!$KK42:$LL42),0)</f>
      </c>
      <c r="N41" s="762">
        <f>IF(GetFillColor(N41)=15,SUM(Planning!$LN42:$MO42),0)</f>
      </c>
      <c r="O41" s="763">
        <f>IF(GetFillColor(O41)=15,SUM(Planning!$MQ42:$NR42),0)</f>
      </c>
      <c r="P41" s="763">
        <f>IF(GetFillColor(P41)=15,SUM(Planning!$NT42:$OU42),0)</f>
      </c>
      <c r="Q41" s="762">
        <f>IF(GetFillColor(Q41)=15,SUM(Planning!$OZ42:$QA42),0)</f>
      </c>
      <c r="R41" s="762">
        <f>IF(GetFillColor(R41)=15,SUM(Planning!$QC42:$RD42),0)</f>
      </c>
      <c r="S41" s="762">
        <f>IF(GetFillColor(S41)=15,SUM(Planning!$RF42:$SG42),0)</f>
      </c>
      <c r="T41" s="762">
        <f>IF(GetFillColor(T41)=15,SUM(Planning!$SI42:$TJ42),0)</f>
      </c>
      <c r="U41" s="762">
        <f>IF(GetFillColor(U41)=15,SUM(Planning!$TL42:$UM42),0)</f>
      </c>
      <c r="V41" s="763">
        <f>IF(GetFillColor(V41)=15,SUM(Planning!$UO42:$VP42),0)</f>
      </c>
      <c r="W41" s="763">
        <f>IF(GetFillColor(W41)=15,SUM(Planning!$VR42:$WS42),0)</f>
      </c>
      <c r="X41" s="762">
        <f>IF(GetFillColor(X41)=15,SUM(Planning!$WX42:$XY42),0)</f>
      </c>
      <c r="Y41" s="762">
        <f>IF(GetFillColor(Y41)=15,SUM(Planning!$YA42:$ZB42),0)</f>
      </c>
      <c r="Z41" s="762">
        <f>IF(GetFillColor(Z41)=15,SUM(Planning!$ZD42:$AAE42),0)</f>
      </c>
      <c r="AA41" s="762">
        <f>IF(GetFillColor(AA41)=15,SUM(Planning!$AAG42:$ABH42),0)</f>
      </c>
      <c r="AB41" s="762">
        <f>IF(GetFillColor(AB41)=15,SUM(Planning!$ABJ42:$ACK42),0)</f>
      </c>
      <c r="AC41" s="763">
        <f>IF(GetFillColor(AC41)=15,SUM(Planning!$ACM42:$ADN42),0)</f>
      </c>
      <c r="AD41" s="763">
        <f>IF(GetFillColor(AD41)=15,SUM(Planning!$ADP42:$AEQ42),0)</f>
      </c>
      <c r="AE41" s="762">
        <f>IF(GetFillColor(AE41)=15,SUM(Planning!$AEV42:$AFW42),0)</f>
      </c>
      <c r="AF41" s="762">
        <f>IF(GetFillColor(AF41)=15,SUM(Planning!$AFY42:$AGZ42),0)</f>
      </c>
      <c r="AG41" s="762">
        <f>IF(GetFillColor(AG41)=15,SUM(Planning!$AHB42:$AIC42),0)</f>
      </c>
      <c r="AH41" s="762">
        <f>IF(GetFillColor(AH41)=15,SUM(Planning!$AIE42:$AJF42),0)</f>
      </c>
      <c r="AI41" s="762">
        <f>IF(GetFillColor(AI41)=15,SUM(Planning!$AJH42:$AKI42),0)</f>
      </c>
      <c r="AJ41" s="763">
        <f>IF(GetFillColor(AJ41)=15,SUM(Planning!$AKK42:$ALL42),0)</f>
      </c>
      <c r="AK41" s="760">
        <f>IF(GetFillColor(AK41)=15,SUM(Planning!$ALN42:$AMO42),0)</f>
      </c>
      <c r="AL41" s="698">
        <f>SUM(C41:AK41)</f>
      </c>
      <c r="AM41" s="4"/>
      <c r="AN41" s="4"/>
    </row>
    <row r="42" ht="20.25" customHeight="1" spans="1:40" x14ac:dyDescent="0.25">
      <c r="A42" s="4">
        <f>A9</f>
      </c>
      <c r="B42" s="4"/>
      <c r="C42" s="760">
        <f>IF(GetFillColor(C42)=15,SUM(Planning!$D43:$AE43),0)</f>
      </c>
      <c r="D42" s="760">
        <f>IF(GetFillColor(D42)=15,SUM(Planning!$AG43:$BH43),0)</f>
      </c>
      <c r="E42" s="760">
        <f>IF(GetFillColor(E42)=15,SUM(Planning!$BJ43:$CK43),0)</f>
      </c>
      <c r="F42" s="763">
        <f>IF(GetFillColor(F42)=15,SUM(Planning!$CM43:$DN43),0)</f>
      </c>
      <c r="G42" s="763">
        <f>IF(GetFillColor(G42)=15,SUM(Planning!$DP43:$EQ43),0)</f>
      </c>
      <c r="H42" s="763">
        <f>IF(GetFillColor(H42)=15,SUM(Planning!$ES43:$FT43),0)</f>
      </c>
      <c r="I42" s="763">
        <f>IF(GetFillColor(I42)=15,SUM(Planning!$FV43:$GW43),0)</f>
      </c>
      <c r="J42" s="762">
        <f>IF(GetFillColor(J42)=15,SUM(Planning!$HB43:$IC43),0)</f>
      </c>
      <c r="K42" s="762">
        <f>IF(GetFillColor(K42)=15,SUM(Planning!$IE43:$JF43),0)</f>
      </c>
      <c r="L42" s="762">
        <f>IF(GetFillColor(L42)=15,SUM(Planning!$JH43:$KI43),0)</f>
      </c>
      <c r="M42" s="762">
        <f>IF(GetFillColor(M42)=15,SUM(Planning!$KK43:$LL43),0)</f>
      </c>
      <c r="N42" s="762">
        <f>IF(GetFillColor(N42)=15,SUM(Planning!$LN43:$MO43),0)</f>
      </c>
      <c r="O42" s="763">
        <f>IF(GetFillColor(O42)=15,SUM(Planning!$MQ43:$NR43),0)</f>
      </c>
      <c r="P42" s="763">
        <f>IF(GetFillColor(P42)=15,SUM(Planning!$NT43:$OU43),0)</f>
      </c>
      <c r="Q42" s="762">
        <f>IF(GetFillColor(Q42)=15,SUM(Planning!$OZ43:$QA43),0)</f>
      </c>
      <c r="R42" s="762">
        <f>IF(GetFillColor(R42)=15,SUM(Planning!$QC43:$RD43),0)</f>
      </c>
      <c r="S42" s="762">
        <f>IF(GetFillColor(S42)=15,SUM(Planning!$RF43:$SG43),0)</f>
      </c>
      <c r="T42" s="762">
        <f>IF(GetFillColor(T42)=15,SUM(Planning!$SI43:$TJ43),0)</f>
      </c>
      <c r="U42" s="762">
        <f>IF(GetFillColor(U42)=15,SUM(Planning!$TL43:$UM43),0)</f>
      </c>
      <c r="V42" s="763">
        <f>IF(GetFillColor(V42)=15,SUM(Planning!$UO43:$VP43),0)</f>
      </c>
      <c r="W42" s="763">
        <f>IF(GetFillColor(W42)=15,SUM(Planning!$VR43:$WS43),0)</f>
      </c>
      <c r="X42" s="762">
        <f>IF(GetFillColor(X42)=15,SUM(Planning!$WX43:$XY43),0)</f>
      </c>
      <c r="Y42" s="762">
        <f>IF(GetFillColor(Y42)=15,SUM(Planning!$YA43:$ZB43),0)</f>
      </c>
      <c r="Z42" s="762">
        <f>IF(GetFillColor(Z42)=15,SUM(Planning!$ZD43:$AAE43),0)</f>
      </c>
      <c r="AA42" s="762">
        <f>IF(GetFillColor(AA42)=15,SUM(Planning!$AAG43:$ABH43),0)</f>
      </c>
      <c r="AB42" s="762">
        <f>IF(GetFillColor(AB42)=15,SUM(Planning!$ABJ43:$ACK43),0)</f>
      </c>
      <c r="AC42" s="763">
        <f>IF(GetFillColor(AC42)=15,SUM(Planning!$ACM43:$ADN43),0)</f>
      </c>
      <c r="AD42" s="763">
        <f>IF(GetFillColor(AD42)=15,SUM(Planning!$ADP43:$AEQ43),0)</f>
      </c>
      <c r="AE42" s="762">
        <f>IF(GetFillColor(AE42)=15,SUM(Planning!$AEV43:$AFW43),0)</f>
      </c>
      <c r="AF42" s="762">
        <f>IF(GetFillColor(AF42)=15,SUM(Planning!$AFY43:$AGZ43),0)</f>
      </c>
      <c r="AG42" s="762">
        <f>IF(GetFillColor(AG42)=15,SUM(Planning!$AHB43:$AIC43),0)</f>
      </c>
      <c r="AH42" s="762">
        <f>IF(GetFillColor(AH42)=15,SUM(Planning!$AIE43:$AJF43),0)</f>
      </c>
      <c r="AI42" s="762">
        <f>IF(GetFillColor(AI42)=15,SUM(Planning!$AJH43:$AKI43),0)</f>
      </c>
      <c r="AJ42" s="763">
        <f>IF(GetFillColor(AJ42)=15,SUM(Planning!$AKK43:$ALL43),0)</f>
      </c>
      <c r="AK42" s="760">
        <f>IF(GetFillColor(AK42)=15,SUM(Planning!$ALN43:$AMO43),0)</f>
      </c>
      <c r="AL42" s="698">
        <f>SUM(C42:AK42)</f>
      </c>
      <c r="AM42" s="4"/>
      <c r="AN42" s="4"/>
    </row>
    <row r="43" ht="20.25" customHeight="1" spans="1:40" x14ac:dyDescent="0.25">
      <c r="A43" s="4">
        <f>A10</f>
      </c>
      <c r="B43" s="4"/>
      <c r="C43" s="760">
        <f>IF(GetFillColor(C43)=15,SUM(Planning!$D44:$AE44),0)</f>
      </c>
      <c r="D43" s="760">
        <f>IF(GetFillColor(D43)=15,SUM(Planning!$AG44:$BH44),0)</f>
      </c>
      <c r="E43" s="760">
        <f>IF(GetFillColor(E43)=15,SUM(Planning!$BJ44:$CK44),0)</f>
      </c>
      <c r="F43" s="763">
        <f>IF(GetFillColor(F43)=15,SUM(Planning!$CM44:$DN44),0)</f>
      </c>
      <c r="G43" s="763">
        <f>IF(GetFillColor(G43)=15,SUM(Planning!$DP44:$EQ44),0)</f>
      </c>
      <c r="H43" s="763">
        <f>IF(GetFillColor(H43)=15,SUM(Planning!$ES44:$FT44),0)</f>
      </c>
      <c r="I43" s="763">
        <f>IF(GetFillColor(I43)=15,SUM(Planning!$FV44:$GW44),0)</f>
      </c>
      <c r="J43" s="762">
        <f>IF(GetFillColor(J43)=15,SUM(Planning!$HB44:$IC44),0)</f>
      </c>
      <c r="K43" s="762">
        <f>IF(GetFillColor(K43)=15,SUM(Planning!$IE44:$JF44),0)</f>
      </c>
      <c r="L43" s="762">
        <f>IF(GetFillColor(L43)=15,SUM(Planning!$JH44:$KI44),0)</f>
      </c>
      <c r="M43" s="762">
        <f>IF(GetFillColor(M43)=15,SUM(Planning!$KK44:$LL44),0)</f>
      </c>
      <c r="N43" s="762">
        <f>IF(GetFillColor(N43)=15,SUM(Planning!$LN44:$MO44),0)</f>
      </c>
      <c r="O43" s="763">
        <f>IF(GetFillColor(O43)=15,SUM(Planning!$MQ44:$NR44),0)</f>
      </c>
      <c r="P43" s="763">
        <f>IF(GetFillColor(P43)=15,SUM(Planning!$NT44:$OU44),0)</f>
      </c>
      <c r="Q43" s="762">
        <f>IF(GetFillColor(Q43)=15,SUM(Planning!$OZ44:$QA44),0)</f>
      </c>
      <c r="R43" s="762">
        <f>IF(GetFillColor(R43)=15,SUM(Planning!$QC44:$RD44),0)</f>
      </c>
      <c r="S43" s="762">
        <f>IF(GetFillColor(S43)=15,SUM(Planning!$RF44:$SG44),0)</f>
      </c>
      <c r="T43" s="762">
        <f>IF(GetFillColor(T43)=15,SUM(Planning!$SI44:$TJ44),0)</f>
      </c>
      <c r="U43" s="762">
        <f>IF(GetFillColor(U43)=15,SUM(Planning!$TL44:$UM44),0)</f>
      </c>
      <c r="V43" s="763">
        <f>IF(GetFillColor(V43)=15,SUM(Planning!$UO44:$VP44),0)</f>
      </c>
      <c r="W43" s="763">
        <f>IF(GetFillColor(W43)=15,SUM(Planning!$VR44:$WS44),0)</f>
      </c>
      <c r="X43" s="762">
        <f>IF(GetFillColor(X43)=15,SUM(Planning!$WX44:$XY44),0)</f>
      </c>
      <c r="Y43" s="762">
        <f>IF(GetFillColor(Y43)=15,SUM(Planning!$YA44:$ZB44),0)</f>
      </c>
      <c r="Z43" s="762">
        <f>IF(GetFillColor(Z43)=15,SUM(Planning!$ZD44:$AAE44),0)</f>
      </c>
      <c r="AA43" s="762">
        <f>IF(GetFillColor(AA43)=15,SUM(Planning!$AAG44:$ABH44),0)</f>
      </c>
      <c r="AB43" s="762">
        <f>IF(GetFillColor(AB43)=15,SUM(Planning!$ABJ44:$ACK44),0)</f>
      </c>
      <c r="AC43" s="763">
        <f>IF(GetFillColor(AC43)=15,SUM(Planning!$ACM44:$ADN44),0)</f>
      </c>
      <c r="AD43" s="763">
        <f>IF(GetFillColor(AD43)=15,SUM(Planning!$ADP44:$AEQ44),0)</f>
      </c>
      <c r="AE43" s="762">
        <f>IF(GetFillColor(AE43)=15,SUM(Planning!$AEV44:$AFW44),0)</f>
      </c>
      <c r="AF43" s="762">
        <f>IF(GetFillColor(AF43)=15,SUM(Planning!$AFY44:$AGZ44),0)</f>
      </c>
      <c r="AG43" s="762">
        <f>IF(GetFillColor(AG43)=15,SUM(Planning!$AHB44:$AIC44),0)</f>
      </c>
      <c r="AH43" s="762">
        <f>IF(GetFillColor(AH43)=15,SUM(Planning!$AIE44:$AJF44),0)</f>
      </c>
      <c r="AI43" s="762">
        <f>IF(GetFillColor(AI43)=15,SUM(Planning!$AJH44:$AKI44),0)</f>
      </c>
      <c r="AJ43" s="763">
        <f>IF(GetFillColor(AJ43)=15,SUM(Planning!$AKK44:$ALL44),0)</f>
      </c>
      <c r="AK43" s="760">
        <f>IF(GetFillColor(AK43)=15,SUM(Planning!$ALN44:$AMO44),0)</f>
      </c>
      <c r="AL43" s="698">
        <f>SUM(C43:AK43)</f>
      </c>
      <c r="AM43" s="4"/>
      <c r="AN43" s="4"/>
    </row>
    <row r="44" ht="20.25" customHeight="1" spans="1:40" x14ac:dyDescent="0.25">
      <c r="A44" s="4">
        <f>A11</f>
      </c>
      <c r="B44" s="4"/>
      <c r="C44" s="760">
        <f>IF(GetFillColor(C44)=15,SUM(Planning!$D45:$AE45),0)</f>
      </c>
      <c r="D44" s="760">
        <f>IF(GetFillColor(D44)=15,SUM(Planning!$AG45:$BH45),0)</f>
      </c>
      <c r="E44" s="760">
        <f>IF(GetFillColor(E44)=15,SUM(Planning!$BJ45:$CK45),0)</f>
      </c>
      <c r="F44" s="763">
        <f>IF(GetFillColor(F44)=15,SUM(Planning!$CM45:$DN45),0)</f>
      </c>
      <c r="G44" s="763">
        <f>IF(GetFillColor(G44)=15,SUM(Planning!$DP45:$EQ45),0)</f>
      </c>
      <c r="H44" s="763">
        <f>IF(GetFillColor(H44)=15,SUM(Planning!$ES45:$FT45),0)</f>
      </c>
      <c r="I44" s="763">
        <f>IF(GetFillColor(I44)=15,SUM(Planning!$FV45:$GW45),0)</f>
      </c>
      <c r="J44" s="762">
        <f>IF(GetFillColor(J44)=15,SUM(Planning!$HB45:$IC45),0)</f>
      </c>
      <c r="K44" s="762">
        <f>IF(GetFillColor(K44)=15,SUM(Planning!$IE45:$JF45),0)</f>
      </c>
      <c r="L44" s="762">
        <f>IF(GetFillColor(L44)=15,SUM(Planning!$JH45:$KI45),0)</f>
      </c>
      <c r="M44" s="762">
        <f>IF(GetFillColor(M44)=15,SUM(Planning!$KK45:$LL45),0)</f>
      </c>
      <c r="N44" s="762">
        <f>IF(GetFillColor(N44)=15,SUM(Planning!$LN45:$MO45),0)</f>
      </c>
      <c r="O44" s="763">
        <f>IF(GetFillColor(O44)=15,SUM(Planning!$MQ45:$NR45),0)</f>
      </c>
      <c r="P44" s="763">
        <f>IF(GetFillColor(P44)=15,SUM(Planning!$NT45:$OU45),0)</f>
      </c>
      <c r="Q44" s="762">
        <f>IF(GetFillColor(Q44)=15,SUM(Planning!$OZ45:$QA45),0)</f>
      </c>
      <c r="R44" s="762">
        <f>IF(GetFillColor(R44)=15,SUM(Planning!$QC45:$RD45),0)</f>
      </c>
      <c r="S44" s="762">
        <f>IF(GetFillColor(S44)=15,SUM(Planning!$RF45:$SG45),0)</f>
      </c>
      <c r="T44" s="762">
        <f>IF(GetFillColor(T44)=15,SUM(Planning!$SI45:$TJ45),0)</f>
      </c>
      <c r="U44" s="762">
        <f>IF(GetFillColor(U44)=15,SUM(Planning!$TL45:$UM45),0)</f>
      </c>
      <c r="V44" s="763">
        <f>IF(GetFillColor(V44)=15,SUM(Planning!$UO45:$VP45),0)</f>
      </c>
      <c r="W44" s="763">
        <f>IF(GetFillColor(W44)=15,SUM(Planning!$VR45:$WS45),0)</f>
      </c>
      <c r="X44" s="762">
        <f>IF(GetFillColor(X44)=15,SUM(Planning!$WX45:$XY45),0)</f>
      </c>
      <c r="Y44" s="762">
        <f>IF(GetFillColor(Y44)=15,SUM(Planning!$YA45:$ZB45),0)</f>
      </c>
      <c r="Z44" s="762">
        <f>IF(GetFillColor(Z44)=15,SUM(Planning!$ZD45:$AAE45),0)</f>
      </c>
      <c r="AA44" s="762">
        <f>IF(GetFillColor(AA44)=15,SUM(Planning!$AAG45:$ABH45),0)</f>
      </c>
      <c r="AB44" s="762">
        <f>IF(GetFillColor(AB44)=15,SUM(Planning!$ABJ45:$ACK45),0)</f>
      </c>
      <c r="AC44" s="763">
        <f>IF(GetFillColor(AC44)=15,SUM(Planning!$ACM45:$ADN45),0)</f>
      </c>
      <c r="AD44" s="763">
        <f>IF(GetFillColor(AD44)=15,SUM(Planning!$ADP45:$AEQ45),0)</f>
      </c>
      <c r="AE44" s="762">
        <f>IF(GetFillColor(AE44)=15,SUM(Planning!$AEV45:$AFW45),0)</f>
      </c>
      <c r="AF44" s="762">
        <f>IF(GetFillColor(AF44)=15,SUM(Planning!$AFY45:$AGZ45),0)</f>
      </c>
      <c r="AG44" s="762">
        <f>IF(GetFillColor(AG44)=15,SUM(Planning!$AHB45:$AIC45),0)</f>
      </c>
      <c r="AH44" s="762">
        <f>IF(GetFillColor(AH44)=15,SUM(Planning!$AIE45:$AJF45),0)</f>
      </c>
      <c r="AI44" s="762">
        <f>IF(GetFillColor(AI44)=15,SUM(Planning!$AJH45:$AKI45),0)</f>
      </c>
      <c r="AJ44" s="763">
        <f>IF(GetFillColor(AJ44)=15,SUM(Planning!$AKK45:$ALL45),0)</f>
      </c>
      <c r="AK44" s="760">
        <f>IF(GetFillColor(AK44)=15,SUM(Planning!$ALN45:$AMO45),0)</f>
      </c>
      <c r="AL44" s="698">
        <f>SUM(C44:AK44)</f>
      </c>
      <c r="AM44" s="4"/>
      <c r="AN44" s="4"/>
    </row>
    <row r="45" ht="20.25" customHeight="1" spans="1:40" x14ac:dyDescent="0.25">
      <c r="A45" s="4">
        <f>A12</f>
      </c>
      <c r="B45" s="4"/>
      <c r="C45" s="760">
        <f>IF(GetFillColor(C45)=15,SUM(Planning!$D46:$AE46),0)</f>
      </c>
      <c r="D45" s="760">
        <f>IF(GetFillColor(D45)=15,SUM(Planning!$AG46:$BH46),0)</f>
      </c>
      <c r="E45" s="760">
        <f>IF(GetFillColor(E45)=15,SUM(Planning!$BJ46:$CK46),0)</f>
      </c>
      <c r="F45" s="763">
        <f>IF(GetFillColor(F45)=15,SUM(Planning!$CM46:$DN46),0)</f>
      </c>
      <c r="G45" s="763">
        <f>IF(GetFillColor(G45)=15,SUM(Planning!$DP46:$EQ46),0)</f>
      </c>
      <c r="H45" s="763">
        <f>IF(GetFillColor(H45)=15,SUM(Planning!$ES46:$FT46),0)</f>
      </c>
      <c r="I45" s="763">
        <f>IF(GetFillColor(I45)=15,SUM(Planning!$FV46:$GW46),0)</f>
      </c>
      <c r="J45" s="762">
        <f>IF(GetFillColor(J45)=15,SUM(Planning!$HB46:$IC46),0)</f>
      </c>
      <c r="K45" s="762">
        <f>IF(GetFillColor(K45)=15,SUM(Planning!$IE46:$JF46),0)</f>
      </c>
      <c r="L45" s="762">
        <f>IF(GetFillColor(L45)=15,SUM(Planning!$JH46:$KI46),0)</f>
      </c>
      <c r="M45" s="762">
        <f>IF(GetFillColor(M45)=15,SUM(Planning!$KK46:$LL46),0)</f>
      </c>
      <c r="N45" s="762">
        <f>IF(GetFillColor(N45)=15,SUM(Planning!$LN46:$MO46),0)</f>
      </c>
      <c r="O45" s="763">
        <f>IF(GetFillColor(O45)=15,SUM(Planning!$MQ46:$NR46),0)</f>
      </c>
      <c r="P45" s="763">
        <f>IF(GetFillColor(P45)=15,SUM(Planning!$NT46:$OU46),0)</f>
      </c>
      <c r="Q45" s="762">
        <f>IF(GetFillColor(Q45)=15,SUM(Planning!$OZ46:$QA46),0)</f>
      </c>
      <c r="R45" s="762">
        <f>IF(GetFillColor(R45)=15,SUM(Planning!$QC46:$RD46),0)</f>
      </c>
      <c r="S45" s="762">
        <f>IF(GetFillColor(S45)=15,SUM(Planning!$RF46:$SG46),0)</f>
      </c>
      <c r="T45" s="762">
        <f>IF(GetFillColor(T45)=15,SUM(Planning!$SI46:$TJ46),0)</f>
      </c>
      <c r="U45" s="762">
        <f>IF(GetFillColor(U45)=15,SUM(Planning!$TL46:$UM46),0)</f>
      </c>
      <c r="V45" s="763">
        <f>IF(GetFillColor(V45)=15,SUM(Planning!$UO46:$VP46),0)</f>
      </c>
      <c r="W45" s="763">
        <f>IF(GetFillColor(W45)=15,SUM(Planning!$VR46:$WS46),0)</f>
      </c>
      <c r="X45" s="762">
        <f>IF(GetFillColor(X45)=15,SUM(Planning!$WX46:$XY46),0)</f>
      </c>
      <c r="Y45" s="762">
        <f>IF(GetFillColor(Y45)=15,SUM(Planning!$YA46:$ZB46),0)</f>
      </c>
      <c r="Z45" s="762">
        <f>IF(GetFillColor(Z45)=15,SUM(Planning!$ZD46:$AAE46),0)</f>
      </c>
      <c r="AA45" s="762">
        <f>IF(GetFillColor(AA45)=15,SUM(Planning!$AAG46:$ABH46),0)</f>
      </c>
      <c r="AB45" s="762">
        <f>IF(GetFillColor(AB45)=15,SUM(Planning!$ABJ46:$ACK46),0)</f>
      </c>
      <c r="AC45" s="763">
        <f>IF(GetFillColor(AC45)=15,SUM(Planning!$ACM46:$ADN46),0)</f>
      </c>
      <c r="AD45" s="763">
        <f>IF(GetFillColor(AD45)=15,SUM(Planning!$ADP46:$AEQ46),0)</f>
      </c>
      <c r="AE45" s="762">
        <f>IF(GetFillColor(AE45)=15,SUM(Planning!$AEV46:$AFW46),0)</f>
      </c>
      <c r="AF45" s="762">
        <f>IF(GetFillColor(AF45)=15,SUM(Planning!$AFY46:$AGZ46),0)</f>
      </c>
      <c r="AG45" s="762">
        <f>IF(GetFillColor(AG45)=15,SUM(Planning!$AHB46:$AIC46),0)</f>
      </c>
      <c r="AH45" s="762">
        <f>IF(GetFillColor(AH45)=15,SUM(Planning!$AIE46:$AJF46),0)</f>
      </c>
      <c r="AI45" s="762">
        <f>IF(GetFillColor(AI45)=15,SUM(Planning!$AJH46:$AKI46),0)</f>
      </c>
      <c r="AJ45" s="763">
        <f>IF(GetFillColor(AJ45)=15,SUM(Planning!$AKK46:$ALL46),0)</f>
      </c>
      <c r="AK45" s="760">
        <f>IF(GetFillColor(AK45)=15,SUM(Planning!$ALN46:$AMO46),0)</f>
      </c>
      <c r="AL45" s="698">
        <f>SUM(C45:AK45)</f>
      </c>
      <c r="AM45" s="4"/>
      <c r="AN45" s="4"/>
    </row>
    <row r="46" ht="20.25" customHeight="1" spans="1:40" x14ac:dyDescent="0.25">
      <c r="A46" s="4">
        <f>A13</f>
      </c>
      <c r="B46" s="4"/>
      <c r="C46" s="760">
        <f>IF(GetFillColor(C46)=15,SUM(Planning!$D47:$AE47),0)</f>
      </c>
      <c r="D46" s="760">
        <f>IF(GetFillColor(D46)=15,SUM(Planning!$AG47:$BH47),0)</f>
      </c>
      <c r="E46" s="760">
        <f>IF(GetFillColor(E46)=15,SUM(Planning!$BJ47:$CK47),0)</f>
      </c>
      <c r="F46" s="763">
        <f>IF(GetFillColor(F46)=15,SUM(Planning!$CM47:$DN47),0)</f>
      </c>
      <c r="G46" s="763">
        <f>IF(GetFillColor(G46)=15,SUM(Planning!$DP47:$EQ47),0)</f>
      </c>
      <c r="H46" s="763">
        <f>IF(GetFillColor(H46)=15,SUM(Planning!$ES47:$FT47),0)</f>
      </c>
      <c r="I46" s="763">
        <f>IF(GetFillColor(I46)=15,SUM(Planning!$FV47:$GW47),0)</f>
      </c>
      <c r="J46" s="762">
        <f>IF(GetFillColor(J46)=15,SUM(Planning!$HB47:$IC47),0)</f>
      </c>
      <c r="K46" s="762">
        <f>IF(GetFillColor(K46)=15,SUM(Planning!$IE47:$JF47),0)</f>
      </c>
      <c r="L46" s="762">
        <f>IF(GetFillColor(L46)=15,SUM(Planning!$JH47:$KI47),0)</f>
      </c>
      <c r="M46" s="762">
        <f>IF(GetFillColor(M46)=15,SUM(Planning!$KK47:$LL47),0)</f>
      </c>
      <c r="N46" s="762">
        <f>IF(GetFillColor(N46)=15,SUM(Planning!$LN47:$MO47),0)</f>
      </c>
      <c r="O46" s="763">
        <f>IF(GetFillColor(O46)=15,SUM(Planning!$MQ47:$NR47),0)</f>
      </c>
      <c r="P46" s="763">
        <f>IF(GetFillColor(P46)=15,SUM(Planning!$NT47:$OU47),0)</f>
      </c>
      <c r="Q46" s="762">
        <f>IF(GetFillColor(Q46)=15,SUM(Planning!$OZ47:$QA47),0)</f>
      </c>
      <c r="R46" s="762">
        <f>IF(GetFillColor(R46)=15,SUM(Planning!$QC47:$RD47),0)</f>
      </c>
      <c r="S46" s="762">
        <f>IF(GetFillColor(S46)=15,SUM(Planning!$RF47:$SG47),0)</f>
      </c>
      <c r="T46" s="762">
        <f>IF(GetFillColor(T46)=15,SUM(Planning!$SI47:$TJ47),0)</f>
      </c>
      <c r="U46" s="762">
        <f>IF(GetFillColor(U46)=15,SUM(Planning!$TL47:$UM47),0)</f>
      </c>
      <c r="V46" s="763">
        <f>IF(GetFillColor(V46)=15,SUM(Planning!$UO47:$VP47),0)</f>
      </c>
      <c r="W46" s="763">
        <f>IF(GetFillColor(W46)=15,SUM(Planning!$VR47:$WS47),0)</f>
      </c>
      <c r="X46" s="762">
        <f>IF(GetFillColor(X46)=15,SUM(Planning!$WX47:$XY47),0)</f>
      </c>
      <c r="Y46" s="762">
        <f>IF(GetFillColor(Y46)=15,SUM(Planning!$YA47:$ZB47),0)</f>
      </c>
      <c r="Z46" s="762">
        <f>IF(GetFillColor(Z46)=15,SUM(Planning!$ZD47:$AAE47),0)</f>
      </c>
      <c r="AA46" s="762">
        <f>IF(GetFillColor(AA46)=15,SUM(Planning!$AAG47:$ABH47),0)</f>
      </c>
      <c r="AB46" s="762">
        <f>IF(GetFillColor(AB46)=15,SUM(Planning!$ABJ47:$ACK47),0)</f>
      </c>
      <c r="AC46" s="763">
        <f>IF(GetFillColor(AC46)=15,SUM(Planning!$ACM47:$ADN47),0)</f>
      </c>
      <c r="AD46" s="763">
        <f>IF(GetFillColor(AD46)=15,SUM(Planning!$ADP47:$AEQ47),0)</f>
      </c>
      <c r="AE46" s="762">
        <f>IF(GetFillColor(AE46)=15,SUM(Planning!$AEV47:$AFW47),0)</f>
      </c>
      <c r="AF46" s="762">
        <f>IF(GetFillColor(AF46)=15,SUM(Planning!$AFY47:$AGZ47),0)</f>
      </c>
      <c r="AG46" s="762">
        <f>IF(GetFillColor(AG46)=15,SUM(Planning!$AHB47:$AIC47),0)</f>
      </c>
      <c r="AH46" s="762">
        <f>IF(GetFillColor(AH46)=15,SUM(Planning!$AIE47:$AJF47),0)</f>
      </c>
      <c r="AI46" s="762">
        <f>IF(GetFillColor(AI46)=15,SUM(Planning!$AJH47:$AKI47),0)</f>
      </c>
      <c r="AJ46" s="763">
        <f>IF(GetFillColor(AJ46)=15,SUM(Planning!$AKK47:$ALL47),0)</f>
      </c>
      <c r="AK46" s="760">
        <f>IF(GetFillColor(AK46)=15,SUM(Planning!$ALN47:$AMO47),0)</f>
      </c>
      <c r="AL46" s="698">
        <f>SUM(C46:AK46)</f>
      </c>
      <c r="AM46" s="4"/>
      <c r="AN46" s="4"/>
    </row>
    <row r="47" ht="20.25" customHeight="1" spans="1:40" x14ac:dyDescent="0.25">
      <c r="A47" s="4">
        <f>A14</f>
      </c>
      <c r="B47" s="4"/>
      <c r="C47" s="760">
        <f>IF(GetFillColor(C47)=15,SUM(Planning!$D48:$AE48),0)</f>
      </c>
      <c r="D47" s="760">
        <f>IF(GetFillColor(D47)=15,SUM(Planning!$AG48:$BH48),0)</f>
      </c>
      <c r="E47" s="760">
        <f>IF(GetFillColor(E47)=15,SUM(Planning!$BJ48:$CK48),0)</f>
      </c>
      <c r="F47" s="763">
        <f>IF(GetFillColor(F47)=15,SUM(Planning!$CM48:$DN48),0)</f>
      </c>
      <c r="G47" s="763">
        <f>IF(GetFillColor(G47)=15,SUM(Planning!$DP48:$EQ48),0)</f>
      </c>
      <c r="H47" s="763">
        <f>IF(GetFillColor(H47)=15,SUM(Planning!$ES48:$FT48),0)</f>
      </c>
      <c r="I47" s="763">
        <f>IF(GetFillColor(I47)=15,SUM(Planning!$FV48:$GW48),0)</f>
      </c>
      <c r="J47" s="762">
        <f>IF(GetFillColor(J47)=15,SUM(Planning!$HB48:$IC48),0)</f>
      </c>
      <c r="K47" s="762">
        <f>IF(GetFillColor(K47)=15,SUM(Planning!$IE48:$JF48),0)</f>
      </c>
      <c r="L47" s="762">
        <f>IF(GetFillColor(L47)=15,SUM(Planning!$JH48:$KI48),0)</f>
      </c>
      <c r="M47" s="762">
        <f>IF(GetFillColor(M47)=15,SUM(Planning!$KK48:$LL48),0)</f>
      </c>
      <c r="N47" s="762">
        <f>IF(GetFillColor(N47)=15,SUM(Planning!$LN48:$MO48),0)</f>
      </c>
      <c r="O47" s="763">
        <f>IF(GetFillColor(O47)=15,SUM(Planning!$MQ48:$NR48),0)</f>
      </c>
      <c r="P47" s="763">
        <f>IF(GetFillColor(P47)=15,SUM(Planning!$NT48:$OU48),0)</f>
      </c>
      <c r="Q47" s="762">
        <f>IF(GetFillColor(Q47)=15,SUM(Planning!$OZ48:$QA48),0)</f>
      </c>
      <c r="R47" s="762">
        <f>IF(GetFillColor(R47)=15,SUM(Planning!$QC48:$RD48),0)</f>
      </c>
      <c r="S47" s="762">
        <f>IF(GetFillColor(S47)=15,SUM(Planning!$RF48:$SG48),0)</f>
      </c>
      <c r="T47" s="762">
        <f>IF(GetFillColor(T47)=15,SUM(Planning!$SI48:$TJ48),0)</f>
      </c>
      <c r="U47" s="762">
        <f>IF(GetFillColor(U47)=15,SUM(Planning!$TL48:$UM48),0)</f>
      </c>
      <c r="V47" s="763">
        <f>IF(GetFillColor(V47)=15,SUM(Planning!$UO48:$VP48),0)</f>
      </c>
      <c r="W47" s="763">
        <f>IF(GetFillColor(W47)=15,SUM(Planning!$VR48:$WS48),0)</f>
      </c>
      <c r="X47" s="762">
        <f>IF(GetFillColor(X47)=15,SUM(Planning!$WX48:$XY48),0)</f>
      </c>
      <c r="Y47" s="762">
        <f>IF(GetFillColor(Y47)=15,SUM(Planning!$YA48:$ZB48),0)</f>
      </c>
      <c r="Z47" s="762">
        <f>IF(GetFillColor(Z47)=15,SUM(Planning!$ZD48:$AAE48),0)</f>
      </c>
      <c r="AA47" s="762">
        <f>IF(GetFillColor(AA47)=15,SUM(Planning!$AAG48:$ABH48),0)</f>
      </c>
      <c r="AB47" s="762">
        <f>IF(GetFillColor(AB47)=15,SUM(Planning!$ABJ48:$ACK48),0)</f>
      </c>
      <c r="AC47" s="763">
        <f>IF(GetFillColor(AC47)=15,SUM(Planning!$ACM48:$ADN48),0)</f>
      </c>
      <c r="AD47" s="763">
        <f>IF(GetFillColor(AD47)=15,SUM(Planning!$ADP48:$AEQ48),0)</f>
      </c>
      <c r="AE47" s="762">
        <f>IF(GetFillColor(AE47)=15,SUM(Planning!$AEV48:$AFW48),0)</f>
      </c>
      <c r="AF47" s="762">
        <f>IF(GetFillColor(AF47)=15,SUM(Planning!$AFY48:$AGZ48),0)</f>
      </c>
      <c r="AG47" s="762">
        <f>IF(GetFillColor(AG47)=15,SUM(Planning!$AHB48:$AIC48),0)</f>
      </c>
      <c r="AH47" s="762">
        <f>IF(GetFillColor(AH47)=15,SUM(Planning!$AIE48:$AJF48),0)</f>
      </c>
      <c r="AI47" s="762">
        <f>IF(GetFillColor(AI47)=15,SUM(Planning!$AJH48:$AKI48),0)</f>
      </c>
      <c r="AJ47" s="763">
        <f>IF(GetFillColor(AJ47)=15,SUM(Planning!$AKK48:$ALL48),0)</f>
      </c>
      <c r="AK47" s="760">
        <f>IF(GetFillColor(AK47)=15,SUM(Planning!$ALN48:$AMO48),0)</f>
      </c>
      <c r="AL47" s="698">
        <f>SUM(C47:AK47)</f>
      </c>
      <c r="AM47" s="4"/>
      <c r="AN47" s="4"/>
    </row>
    <row r="48" ht="20.25" customHeight="1" spans="1:40" x14ac:dyDescent="0.25">
      <c r="A48" s="4">
        <f>A15</f>
      </c>
      <c r="B48" s="4"/>
      <c r="C48" s="760">
        <f>IF(GetFillColor(C48)=15,SUM(Planning!$D49:$AE49),0)</f>
      </c>
      <c r="D48" s="760">
        <f>IF(GetFillColor(D48)=15,SUM(Planning!$AG49:$BH49),0)</f>
      </c>
      <c r="E48" s="760">
        <f>IF(GetFillColor(E48)=15,SUM(Planning!$BJ49:$CK49),0)</f>
      </c>
      <c r="F48" s="763">
        <f>IF(GetFillColor(F48)=15,SUM(Planning!$CM49:$DN49),0)</f>
      </c>
      <c r="G48" s="763">
        <f>IF(GetFillColor(G48)=15,SUM(Planning!$DP49:$EQ49),0)</f>
      </c>
      <c r="H48" s="763">
        <f>IF(GetFillColor(H48)=15,SUM(Planning!$ES49:$FT49),0)</f>
      </c>
      <c r="I48" s="763">
        <f>IF(GetFillColor(I48)=15,SUM(Planning!$FV49:$GW49),0)</f>
      </c>
      <c r="J48" s="762">
        <f>IF(GetFillColor(J48)=15,SUM(Planning!$HB49:$IC49),0)</f>
      </c>
      <c r="K48" s="762">
        <f>IF(GetFillColor(K48)=15,SUM(Planning!$IE49:$JF49),0)</f>
      </c>
      <c r="L48" s="762">
        <f>IF(GetFillColor(L48)=15,SUM(Planning!$JH49:$KI49),0)</f>
      </c>
      <c r="M48" s="762">
        <f>IF(GetFillColor(M48)=15,SUM(Planning!$KK49:$LL49),0)</f>
      </c>
      <c r="N48" s="762">
        <f>IF(GetFillColor(N48)=15,SUM(Planning!$LN49:$MO49),0)</f>
      </c>
      <c r="O48" s="763">
        <f>IF(GetFillColor(O48)=15,SUM(Planning!$MQ49:$NR49),0)</f>
      </c>
      <c r="P48" s="763">
        <f>IF(GetFillColor(P48)=15,SUM(Planning!$NT49:$OU49),0)</f>
      </c>
      <c r="Q48" s="762">
        <f>IF(GetFillColor(Q48)=15,SUM(Planning!$OZ49:$QA49),0)</f>
      </c>
      <c r="R48" s="762">
        <f>IF(GetFillColor(R48)=15,SUM(Planning!$QC49:$RD49),0)</f>
      </c>
      <c r="S48" s="762">
        <f>IF(GetFillColor(S48)=15,SUM(Planning!$RF49:$SG49),0)</f>
      </c>
      <c r="T48" s="762">
        <f>IF(GetFillColor(T48)=15,SUM(Planning!$SI49:$TJ49),0)</f>
      </c>
      <c r="U48" s="762">
        <f>IF(GetFillColor(U48)=15,SUM(Planning!$TL49:$UM49),0)</f>
      </c>
      <c r="V48" s="763">
        <f>IF(GetFillColor(V48)=15,SUM(Planning!$UO49:$VP49),0)</f>
      </c>
      <c r="W48" s="763">
        <f>IF(GetFillColor(W48)=15,SUM(Planning!$VR49:$WS49),0)</f>
      </c>
      <c r="X48" s="762">
        <f>IF(GetFillColor(X48)=15,SUM(Planning!$WX49:$XY49),0)</f>
      </c>
      <c r="Y48" s="762">
        <f>IF(GetFillColor(Y48)=15,SUM(Planning!$YA49:$ZB49),0)</f>
      </c>
      <c r="Z48" s="762">
        <f>IF(GetFillColor(Z48)=15,SUM(Planning!$ZD49:$AAE49),0)</f>
      </c>
      <c r="AA48" s="762">
        <f>IF(GetFillColor(AA48)=15,SUM(Planning!$AAG49:$ABH49),0)</f>
      </c>
      <c r="AB48" s="762">
        <f>IF(GetFillColor(AB48)=15,SUM(Planning!$ABJ49:$ACK49),0)</f>
      </c>
      <c r="AC48" s="763">
        <f>IF(GetFillColor(AC48)=15,SUM(Planning!$ACM49:$ADN49),0)</f>
      </c>
      <c r="AD48" s="763">
        <f>IF(GetFillColor(AD48)=15,SUM(Planning!$ADP49:$AEQ49),0)</f>
      </c>
      <c r="AE48" s="762">
        <f>IF(GetFillColor(AE48)=15,SUM(Planning!$AEV49:$AFW49),0)</f>
      </c>
      <c r="AF48" s="762">
        <f>IF(GetFillColor(AF48)=15,SUM(Planning!$AFY49:$AGZ49),0)</f>
      </c>
      <c r="AG48" s="762">
        <f>IF(GetFillColor(AG48)=15,SUM(Planning!$AHB49:$AIC49),0)</f>
      </c>
      <c r="AH48" s="762">
        <f>IF(GetFillColor(AH48)=15,SUM(Planning!$AIE49:$AJF49),0)</f>
      </c>
      <c r="AI48" s="762">
        <f>IF(GetFillColor(AI48)=15,SUM(Planning!$AJH49:$AKI49),0)</f>
      </c>
      <c r="AJ48" s="763">
        <f>IF(GetFillColor(AJ48)=15,SUM(Planning!$AKK49:$ALL49),0)</f>
      </c>
      <c r="AK48" s="760">
        <f>IF(GetFillColor(AK48)=15,SUM(Planning!$ALN49:$AMO49),0)</f>
      </c>
      <c r="AL48" s="698">
        <f>SUM(C48:AK48)</f>
      </c>
      <c r="AM48" s="4"/>
      <c r="AN48" s="4"/>
    </row>
    <row r="49" ht="20.25" customHeight="1" spans="1:40" x14ac:dyDescent="0.25">
      <c r="A49" s="4">
        <f>A16</f>
      </c>
      <c r="B49" s="4"/>
      <c r="C49" s="760">
        <f>IF(GetFillColor(C49)=15,SUM(Planning!$D50:$AE50),0)</f>
      </c>
      <c r="D49" s="760">
        <f>IF(GetFillColor(D49)=15,SUM(Planning!$AG50:$BH50),0)</f>
      </c>
      <c r="E49" s="760">
        <f>IF(GetFillColor(E49)=15,SUM(Planning!$BJ50:$CK50),0)</f>
      </c>
      <c r="F49" s="763">
        <f>IF(GetFillColor(F49)=15,SUM(Planning!$CM50:$DN50),0)</f>
      </c>
      <c r="G49" s="763">
        <f>IF(GetFillColor(G49)=15,SUM(Planning!$DP50:$EQ50),0)</f>
      </c>
      <c r="H49" s="763">
        <f>IF(GetFillColor(H49)=15,SUM(Planning!$ES50:$FT50),0)</f>
      </c>
      <c r="I49" s="763">
        <f>IF(GetFillColor(I49)=15,SUM(Planning!$FV50:$GW50),0)</f>
      </c>
      <c r="J49" s="762">
        <f>IF(GetFillColor(J49)=15,SUM(Planning!$HB50:$IC50),0)</f>
      </c>
      <c r="K49" s="762">
        <f>IF(GetFillColor(K49)=15,SUM(Planning!$IE50:$JF50),0)</f>
      </c>
      <c r="L49" s="762">
        <f>IF(GetFillColor(L49)=15,SUM(Planning!$JH50:$KI50),0)</f>
      </c>
      <c r="M49" s="762">
        <f>IF(GetFillColor(M49)=15,SUM(Planning!$KK50:$LL50),0)</f>
      </c>
      <c r="N49" s="762">
        <f>IF(GetFillColor(N49)=15,SUM(Planning!$LN50:$MO50),0)</f>
      </c>
      <c r="O49" s="763">
        <f>IF(GetFillColor(O49)=15,SUM(Planning!$MQ50:$NR50),0)</f>
      </c>
      <c r="P49" s="763">
        <f>IF(GetFillColor(P49)=15,SUM(Planning!$NT50:$OU50),0)</f>
      </c>
      <c r="Q49" s="762">
        <f>IF(GetFillColor(Q49)=15,SUM(Planning!$OZ50:$QA50),0)</f>
      </c>
      <c r="R49" s="762">
        <f>IF(GetFillColor(R49)=15,SUM(Planning!$QC50:$RD50),0)</f>
      </c>
      <c r="S49" s="762">
        <f>IF(GetFillColor(S49)=15,SUM(Planning!$RF50:$SG50),0)</f>
      </c>
      <c r="T49" s="762">
        <f>IF(GetFillColor(T49)=15,SUM(Planning!$SI50:$TJ50),0)</f>
      </c>
      <c r="U49" s="762">
        <f>IF(GetFillColor(U49)=15,SUM(Planning!$TL50:$UM50),0)</f>
      </c>
      <c r="V49" s="763">
        <f>IF(GetFillColor(V49)=15,SUM(Planning!$UO50:$VP50),0)</f>
      </c>
      <c r="W49" s="763">
        <f>IF(GetFillColor(W49)=15,SUM(Planning!$VR50:$WS50),0)</f>
      </c>
      <c r="X49" s="762">
        <f>IF(GetFillColor(X49)=15,SUM(Planning!$WX50:$XY50),0)</f>
      </c>
      <c r="Y49" s="762">
        <f>IF(GetFillColor(Y49)=15,SUM(Planning!$YA50:$ZB50),0)</f>
      </c>
      <c r="Z49" s="762">
        <f>IF(GetFillColor(Z49)=15,SUM(Planning!$ZD50:$AAE50),0)</f>
      </c>
      <c r="AA49" s="762">
        <f>IF(GetFillColor(AA49)=15,SUM(Planning!$AAG50:$ABH50),0)</f>
      </c>
      <c r="AB49" s="762">
        <f>IF(GetFillColor(AB49)=15,SUM(Planning!$ABJ50:$ACK50),0)</f>
      </c>
      <c r="AC49" s="763">
        <f>IF(GetFillColor(AC49)=15,SUM(Planning!$ACM50:$ADN50),0)</f>
      </c>
      <c r="AD49" s="763">
        <f>IF(GetFillColor(AD49)=15,SUM(Planning!$ADP50:$AEQ50),0)</f>
      </c>
      <c r="AE49" s="762">
        <f>IF(GetFillColor(AE49)=15,SUM(Planning!$AEV50:$AFW50),0)</f>
      </c>
      <c r="AF49" s="762">
        <f>IF(GetFillColor(AF49)=15,SUM(Planning!$AFY50:$AGZ50),0)</f>
      </c>
      <c r="AG49" s="762">
        <f>IF(GetFillColor(AG49)=15,SUM(Planning!$AHB50:$AIC50),0)</f>
      </c>
      <c r="AH49" s="762">
        <f>IF(GetFillColor(AH49)=15,SUM(Planning!$AIE50:$AJF50),0)</f>
      </c>
      <c r="AI49" s="762">
        <f>IF(GetFillColor(AI49)=15,SUM(Planning!$AJH50:$AKI50),0)</f>
      </c>
      <c r="AJ49" s="763">
        <f>IF(GetFillColor(AJ49)=15,SUM(Planning!$AKK50:$ALL50),0)</f>
      </c>
      <c r="AK49" s="760">
        <f>IF(GetFillColor(AK49)=15,SUM(Planning!$ALN50:$AMO50),0)</f>
      </c>
      <c r="AL49" s="698">
        <f>SUM(C49:AK49)</f>
      </c>
      <c r="AM49" s="4"/>
      <c r="AN49" s="4"/>
    </row>
    <row r="50" ht="20.25" customHeight="1" spans="1:40" x14ac:dyDescent="0.25">
      <c r="A50" s="4">
        <f>A17</f>
      </c>
      <c r="B50" s="4"/>
      <c r="C50" s="760">
        <f>IF(GetFillColor(C50)=15,SUM(Planning!$D51:$AE51),0)</f>
      </c>
      <c r="D50" s="760">
        <f>IF(GetFillColor(D50)=15,SUM(Planning!$AG51:$BH51),0)</f>
      </c>
      <c r="E50" s="760">
        <f>IF(GetFillColor(E50)=15,SUM(Planning!$BJ51:$CK51),0)</f>
      </c>
      <c r="F50" s="763">
        <f>IF(GetFillColor(F50)=15,SUM(Planning!$CM51:$DN51),0)</f>
      </c>
      <c r="G50" s="763">
        <f>IF(GetFillColor(G50)=15,SUM(Planning!$DP51:$EQ51),0)</f>
      </c>
      <c r="H50" s="763">
        <f>IF(GetFillColor(H50)=15,SUM(Planning!$ES51:$FT51),0)</f>
      </c>
      <c r="I50" s="763">
        <f>IF(GetFillColor(I50)=15,SUM(Planning!$FV51:$GW51),0)</f>
      </c>
      <c r="J50" s="762">
        <f>IF(GetFillColor(J50)=15,SUM(Planning!$HB51:$IC51),0)</f>
      </c>
      <c r="K50" s="762">
        <f>IF(GetFillColor(K50)=15,SUM(Planning!$IE51:$JF51),0)</f>
      </c>
      <c r="L50" s="762">
        <f>IF(GetFillColor(L50)=15,SUM(Planning!$JH51:$KI51),0)</f>
      </c>
      <c r="M50" s="762">
        <f>IF(GetFillColor(M50)=15,SUM(Planning!$KK51:$LL51),0)</f>
      </c>
      <c r="N50" s="762">
        <f>IF(GetFillColor(N50)=15,SUM(Planning!$LN51:$MO51),0)</f>
      </c>
      <c r="O50" s="763">
        <f>IF(GetFillColor(O50)=15,SUM(Planning!$MQ51:$NR51),0)</f>
      </c>
      <c r="P50" s="763">
        <f>IF(GetFillColor(P50)=15,SUM(Planning!$NT51:$OU51),0)</f>
      </c>
      <c r="Q50" s="762">
        <f>IF(GetFillColor(Q50)=15,SUM(Planning!$OZ51:$QA51),0)</f>
      </c>
      <c r="R50" s="762">
        <f>IF(GetFillColor(R50)=15,SUM(Planning!$QC51:$RD51),0)</f>
      </c>
      <c r="S50" s="762">
        <f>IF(GetFillColor(S50)=15,SUM(Planning!$RF51:$SG51),0)</f>
      </c>
      <c r="T50" s="762">
        <f>IF(GetFillColor(T50)=15,SUM(Planning!$SI51:$TJ51),0)</f>
      </c>
      <c r="U50" s="762">
        <f>IF(GetFillColor(U50)=15,SUM(Planning!$TL51:$UM51),0)</f>
      </c>
      <c r="V50" s="763">
        <f>IF(GetFillColor(V50)=15,SUM(Planning!$UO51:$VP51),0)</f>
      </c>
      <c r="W50" s="763">
        <f>IF(GetFillColor(W50)=15,SUM(Planning!$VR51:$WS51),0)</f>
      </c>
      <c r="X50" s="762">
        <f>IF(GetFillColor(X50)=15,SUM(Planning!$WX51:$XY51),0)</f>
      </c>
      <c r="Y50" s="762">
        <f>IF(GetFillColor(Y50)=15,SUM(Planning!$YA51:$ZB51),0)</f>
      </c>
      <c r="Z50" s="762">
        <f>IF(GetFillColor(Z50)=15,SUM(Planning!$ZD51:$AAE51),0)</f>
      </c>
      <c r="AA50" s="762">
        <f>IF(GetFillColor(AA50)=15,SUM(Planning!$AAG51:$ABH51),0)</f>
      </c>
      <c r="AB50" s="762">
        <f>IF(GetFillColor(AB50)=15,SUM(Planning!$ABJ51:$ACK51),0)</f>
      </c>
      <c r="AC50" s="763">
        <f>IF(GetFillColor(AC50)=15,SUM(Planning!$ACM51:$ADN51),0)</f>
      </c>
      <c r="AD50" s="763">
        <f>IF(GetFillColor(AD50)=15,SUM(Planning!$ADP51:$AEQ51),0)</f>
      </c>
      <c r="AE50" s="762">
        <f>IF(GetFillColor(AE50)=15,SUM(Planning!$AEV51:$AFW51),0)</f>
      </c>
      <c r="AF50" s="762">
        <f>IF(GetFillColor(AF50)=15,SUM(Planning!$AFY51:$AGZ51),0)</f>
      </c>
      <c r="AG50" s="762">
        <f>IF(GetFillColor(AG50)=15,SUM(Planning!$AHB51:$AIC51),0)</f>
      </c>
      <c r="AH50" s="762">
        <f>IF(GetFillColor(AH50)=15,SUM(Planning!$AIE51:$AJF51),0)</f>
      </c>
      <c r="AI50" s="762">
        <f>IF(GetFillColor(AI50)=15,SUM(Planning!$AJH51:$AKI51),0)</f>
      </c>
      <c r="AJ50" s="763">
        <f>IF(GetFillColor(AJ50)=15,SUM(Planning!$AKK51:$ALL51),0)</f>
      </c>
      <c r="AK50" s="760">
        <f>IF(GetFillColor(AK50)=15,SUM(Planning!$ALN51:$AMO51),0)</f>
      </c>
      <c r="AL50" s="698">
        <f>SUM(C50:AK50)</f>
      </c>
      <c r="AM50" s="4"/>
      <c r="AN50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753" priority="2892">
      <formula>NOT(ISERROR(SEARCH("Session",AD1)))</formula>
    </cfRule>
    <cfRule type="containsText" dxfId="4754" priority="2893">
      <formula>NOT(ISERROR(SEARCH("Pre",AD1)))</formula>
    </cfRule>
    <cfRule type="containsText" dxfId="4755" priority="2894">
      <formula>NOT(ISERROR(SEARCH("Normal",AD1)))</formula>
    </cfRule>
  </conditionalFormatting>
  <conditionalFormatting sqref="C1:G1 J1:N1 Q1:U1 X1:AB1 AE1:AK1">
    <cfRule type="cellIs" dxfId="4756" priority="2879" operator="equal">
      <formula>"Session"</formula>
    </cfRule>
  </conditionalFormatting>
  <conditionalFormatting sqref="K5:L12 K13:M17 K22:L29 K30:M34 M4:M12 M21:M29 Q5:S17 Q22:S34">
    <cfRule type="cellIs" dxfId="4757" priority="371" operator="equal">
      <formula>0</formula>
    </cfRule>
    <cfRule type="cellIs" dxfId="4758" priority="360" operator="greaterThan">
      <formula>0</formula>
    </cfRule>
  </conditionalFormatting>
  <conditionalFormatting sqref="K21:L21">
    <cfRule type="cellIs" dxfId="4759" priority="358" operator="greaterThan">
      <formula>0</formula>
    </cfRule>
    <cfRule type="cellIs" dxfId="4760" priority="357" operator="equal">
      <formula>0</formula>
    </cfRule>
  </conditionalFormatting>
  <conditionalFormatting sqref="K4:L4">
    <cfRule type="cellIs" dxfId="4761" priority="375" operator="equal">
      <formula>0</formula>
    </cfRule>
    <cfRule type="cellIs" dxfId="4762" priority="376" operator="greaterThan">
      <formula>0</formula>
    </cfRule>
  </conditionalFormatting>
  <conditionalFormatting sqref="Q4:S4">
    <cfRule type="cellIs" dxfId="4763" priority="373" operator="equal">
      <formula>0</formula>
    </cfRule>
    <cfRule type="cellIs" dxfId="4764" priority="374" operator="greaterThan">
      <formula>0</formula>
    </cfRule>
  </conditionalFormatting>
  <conditionalFormatting sqref="S21">
    <cfRule type="cellIs" dxfId="4765" priority="355" operator="equal">
      <formula>0</formula>
    </cfRule>
    <cfRule type="cellIs" dxfId="4766" priority="356" operator="greaterThan">
      <formula>0</formula>
    </cfRule>
  </conditionalFormatting>
  <conditionalFormatting sqref="Q21:R21">
    <cfRule type="cellIs" dxfId="4767" priority="341" operator="equal">
      <formula>0</formula>
    </cfRule>
    <cfRule type="cellIs" dxfId="4768" priority="342" operator="greaterThan">
      <formula>0</formula>
    </cfRule>
  </conditionalFormatting>
  <conditionalFormatting sqref="C37:AK50">
    <cfRule type="cellIs" dxfId="4769" priority="260" operator="greaterThan">
      <formula>0</formula>
    </cfRule>
    <cfRule type="cellIs" dxfId="4770" priority="259" operator="equal">
      <formula>0</formula>
    </cfRule>
  </conditionalFormatting>
  <conditionalFormatting sqref="Y4:Y17">
    <cfRule type="cellIs" dxfId="4771" priority="128" operator="equal">
      <formula>0</formula>
    </cfRule>
    <cfRule type="cellIs" dxfId="4772" priority="127" operator="greaterThan">
      <formula>0</formula>
    </cfRule>
  </conditionalFormatting>
  <conditionalFormatting sqref="Y21:Y34">
    <cfRule type="cellIs" dxfId="4773" priority="121" operator="equal">
      <formula>0</formula>
    </cfRule>
    <cfRule type="cellIs" dxfId="4774" priority="122" operator="greaterThan">
      <formula>0</formula>
    </cfRule>
  </conditionalFormatting>
  <conditionalFormatting sqref="T4:T17">
    <cfRule type="cellIs" dxfId="4775" priority="93" operator="equal">
      <formula>0</formula>
    </cfRule>
    <cfRule type="cellIs" dxfId="4776" priority="94" operator="greaterThan">
      <formula>0</formula>
    </cfRule>
  </conditionalFormatting>
  <conditionalFormatting sqref="T21:T34">
    <cfRule type="cellIs" dxfId="4777" priority="87" operator="equal">
      <formula>0</formula>
    </cfRule>
    <cfRule type="cellIs" dxfId="4778" priority="88" operator="greaterThan">
      <formula>0</formula>
    </cfRule>
  </conditionalFormatting>
  <conditionalFormatting sqref="N4:N17">
    <cfRule type="cellIs" dxfId="4779" priority="76" operator="equal">
      <formula>0</formula>
    </cfRule>
    <cfRule type="cellIs" dxfId="4780" priority="75" operator="greaterThan">
      <formula>0</formula>
    </cfRule>
  </conditionalFormatting>
  <conditionalFormatting sqref="N21:N34">
    <cfRule type="cellIs" dxfId="4781" priority="74" operator="equal">
      <formula>0</formula>
    </cfRule>
    <cfRule type="cellIs" dxfId="4782" priority="73" operator="greaterThan">
      <formula>0</formula>
    </cfRule>
  </conditionalFormatting>
  <conditionalFormatting sqref="J4:J17">
    <cfRule type="cellIs" dxfId="4783" priority="69" operator="equal">
      <formula>0</formula>
    </cfRule>
    <cfRule type="cellIs" dxfId="4784" priority="70" operator="greaterThan">
      <formula>0</formula>
    </cfRule>
  </conditionalFormatting>
  <conditionalFormatting sqref="X4:X17">
    <cfRule type="cellIs" dxfId="4785" priority="66" operator="equal">
      <formula>0</formula>
    </cfRule>
    <cfRule type="cellIs" dxfId="4786" priority="65" operator="greaterThan">
      <formula>0</formula>
    </cfRule>
  </conditionalFormatting>
  <conditionalFormatting sqref="J21:J34">
    <cfRule type="cellIs" dxfId="4787" priority="62" operator="greaterThan">
      <formula>0</formula>
    </cfRule>
    <cfRule type="cellIs" dxfId="4788" priority="61" operator="equal">
      <formula>0</formula>
    </cfRule>
  </conditionalFormatting>
  <conditionalFormatting sqref="X21:X34">
    <cfRule type="cellIs" dxfId="4789" priority="59" operator="equal">
      <formula>0</formula>
    </cfRule>
    <cfRule type="cellIs" dxfId="4790" priority="60" operator="greaterThan">
      <formula>0</formula>
    </cfRule>
  </conditionalFormatting>
  <conditionalFormatting sqref="U4:U17">
    <cfRule type="cellIs" dxfId="4791" priority="43" operator="equal">
      <formula>0</formula>
    </cfRule>
    <cfRule type="cellIs" dxfId="4792" priority="44" operator="greaterThan">
      <formula>0</formula>
    </cfRule>
  </conditionalFormatting>
  <conditionalFormatting sqref="U21:U34">
    <cfRule type="cellIs" dxfId="4793" priority="37" operator="equal">
      <formula>0</formula>
    </cfRule>
    <cfRule type="cellIs" dxfId="4794" priority="38" operator="greaterThan">
      <formula>0</formula>
    </cfRule>
  </conditionalFormatting>
  <conditionalFormatting sqref="AK4:AK17">
    <cfRule type="cellIs" dxfId="4795" priority="20" operator="equal">
      <formula>0</formula>
    </cfRule>
    <cfRule type="cellIs" dxfId="4796" priority="19" operator="greaterThan">
      <formula>0</formula>
    </cfRule>
  </conditionalFormatting>
  <conditionalFormatting sqref="AK21:AK34">
    <cfRule type="cellIs" dxfId="4797" priority="16" operator="equal">
      <formula>0</formula>
    </cfRule>
    <cfRule type="cellIs" dxfId="4798" priority="15" operator="greaterThan">
      <formula>0</formula>
    </cfRule>
  </conditionalFormatting>
  <conditionalFormatting sqref="C4:E17">
    <cfRule type="cellIs" dxfId="4799" priority="12" operator="equal">
      <formula>0</formula>
    </cfRule>
    <cfRule type="cellIs" dxfId="4800" priority="11" operator="greaterThan">
      <formula>0</formula>
    </cfRule>
  </conditionalFormatting>
  <conditionalFormatting sqref="Z4:AB17">
    <cfRule type="cellIs" dxfId="4801" priority="9" operator="equal">
      <formula>0</formula>
    </cfRule>
    <cfRule type="cellIs" dxfId="4802" priority="10" operator="greaterThan">
      <formula>0</formula>
    </cfRule>
  </conditionalFormatting>
  <conditionalFormatting sqref="AE4:AI17">
    <cfRule type="cellIs" dxfId="4803" priority="7" operator="equal">
      <formula>0</formula>
    </cfRule>
    <cfRule type="cellIs" dxfId="4804" priority="8" operator="greaterThan">
      <formula>0</formula>
    </cfRule>
  </conditionalFormatting>
  <conditionalFormatting sqref="C21:E34">
    <cfRule type="cellIs" dxfId="4805" priority="6" operator="equal">
      <formula>0</formula>
    </cfRule>
    <cfRule type="cellIs" dxfId="4806" priority="5" operator="greaterThan">
      <formula>0</formula>
    </cfRule>
  </conditionalFormatting>
  <conditionalFormatting sqref="Z21:AB34">
    <cfRule type="cellIs" dxfId="4807" priority="3" operator="equal">
      <formula>0</formula>
    </cfRule>
    <cfRule type="cellIs" dxfId="4808" priority="4" operator="greaterThan">
      <formula>0</formula>
    </cfRule>
  </conditionalFormatting>
  <conditionalFormatting sqref="AE21:AI34">
    <cfRule type="cellIs" dxfId="4809" priority="1" operator="equal">
      <formula>0</formula>
    </cfRule>
    <cfRule type="cellIs" dxfId="4810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7999816888943144"/>
    <outlinePr summaryBelow="1" summaryRight="1"/>
  </sheetPr>
  <dimension ref="A1:AN132"/>
  <sheetViews>
    <sheetView workbookViewId="0" showGridLines="0" zoomScale="80" zoomScaleNormal="80">
      <pane xSplit="1" ySplit="2" topLeftCell="B115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ht="15" customHeight="1" spans="1:40" s="752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64" t="s">
        <v>234</v>
      </c>
    </row>
    <row r="2" ht="80.25" customHeight="1" spans="1:40" s="754" customFormat="1" x14ac:dyDescent="0.25">
      <c r="A2" s="755" t="s">
        <v>242</v>
      </c>
      <c r="B2" s="756"/>
      <c r="C2" s="757">
        <f>Config!D3</f>
      </c>
      <c r="D2" s="757">
        <f>Config!D4</f>
      </c>
      <c r="E2" s="757">
        <f>Config!D5</f>
      </c>
      <c r="F2" s="757">
        <f>Config!D6</f>
      </c>
      <c r="G2" s="757">
        <f>Config!D7</f>
      </c>
      <c r="H2" s="757">
        <f>Config!D8</f>
      </c>
      <c r="I2" s="757">
        <f>Config!D9</f>
      </c>
      <c r="J2" s="757">
        <f>Config!D10</f>
      </c>
      <c r="K2" s="757">
        <f>Config!D11</f>
      </c>
      <c r="L2" s="757">
        <f>Config!D12</f>
      </c>
      <c r="M2" s="757">
        <f>Config!D13</f>
      </c>
      <c r="N2" s="757">
        <f>Config!D14</f>
      </c>
      <c r="O2" s="757">
        <f>Config!D15</f>
      </c>
      <c r="P2" s="757">
        <f>Config!D16</f>
      </c>
      <c r="Q2" s="757">
        <f>Config!D17</f>
      </c>
      <c r="R2" s="757">
        <f>Config!D18</f>
      </c>
      <c r="S2" s="757">
        <f>Config!D19</f>
      </c>
      <c r="T2" s="757">
        <f>Config!D20</f>
      </c>
      <c r="U2" s="757">
        <f>Config!D21</f>
      </c>
      <c r="V2" s="757">
        <f>Config!D22</f>
      </c>
      <c r="W2" s="757">
        <f>Config!D23</f>
      </c>
      <c r="X2" s="757">
        <f>Config!D24</f>
      </c>
      <c r="Y2" s="757">
        <f>Config!D25</f>
      </c>
      <c r="Z2" s="757">
        <f>Config!D26</f>
      </c>
      <c r="AA2" s="757">
        <f>Config!D27</f>
      </c>
      <c r="AB2" s="757">
        <f>Config!D28</f>
      </c>
      <c r="AC2" s="757">
        <f>Config!D29</f>
      </c>
      <c r="AD2" s="757">
        <f>Config!D30</f>
      </c>
      <c r="AE2" s="757">
        <f>Config!D31</f>
      </c>
      <c r="AF2" s="757">
        <f>Config!D32</f>
      </c>
      <c r="AG2" s="757">
        <f>Config!D33</f>
      </c>
      <c r="AH2" s="757">
        <f>Config!D34</f>
      </c>
      <c r="AI2" s="757">
        <f>Config!D35</f>
      </c>
      <c r="AJ2" s="757">
        <f>Config!D36</f>
      </c>
      <c r="AK2" s="757">
        <f>Config!D37</f>
      </c>
      <c r="AL2" s="758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Planning!B57</f>
      </c>
      <c r="B4" s="4"/>
      <c r="C4" s="766">
        <f>IF(GetFillColor(C4)&lt;0,SUM(Planning!$F57:$AC57),0)</f>
      </c>
      <c r="D4" s="766">
        <f>IF(GetFillColor(D4)&lt;0,SUM(Planning!$AI57:$BF57),0)</f>
      </c>
      <c r="E4" s="766">
        <f>IF(GetFillColor(E4)&lt;0,SUM(Planning!$BL57:$CI57),0)</f>
      </c>
      <c r="F4" s="761">
        <f>IF(GetFillColor(F4)&lt;0,SUM(Planning!$CO57:$DL57),0)</f>
      </c>
      <c r="G4" s="761">
        <f>IF(GetFillColor(G4)&lt;0,SUM(Planning!$DR57:$EO57),0)</f>
      </c>
      <c r="H4" s="761">
        <v>0</v>
      </c>
      <c r="I4" s="761">
        <v>0</v>
      </c>
      <c r="J4" s="762">
        <f>IF(GetFillColor(J4)&lt;0,SUM(Planning!$HD57:$IA57),0)</f>
      </c>
      <c r="K4" s="762">
        <f>IF(GetFillColor(K4)&lt;0,SUM(Planning!$IG57:$JD57),0)</f>
      </c>
      <c r="L4" s="762">
        <f>IF(GetFillColor(L4)&lt;0,SUM(Planning!$JJ57:$KG57),0)</f>
      </c>
      <c r="M4" s="762">
        <f>IF(GetFillColor(M4)&lt;0,SUM(Planning!$KM57:$LJ57),0)</f>
      </c>
      <c r="N4" s="762">
        <f>IF(GetFillColor(N4)&lt;0,SUM(Planning!$LP57:$MM57),0)</f>
      </c>
      <c r="O4" s="761">
        <v>0</v>
      </c>
      <c r="P4" s="761">
        <v>0</v>
      </c>
      <c r="Q4" s="762">
        <f>IF(GetFillColor(Q4)&lt;0,SUM(Planning!$PB57:$PY57),0)</f>
      </c>
      <c r="R4" s="762">
        <f>IF(GetFillColor(R4)&lt;0,SUM(Planning!$QE57:$RB57),0)</f>
      </c>
      <c r="S4" s="762">
        <f>IF(GetFillColor(S4)&lt;0,SUM(Planning!$RH57:$SE57),0)</f>
      </c>
      <c r="T4" s="762">
        <f>IF(GetFillColor(T4)&lt;0,SUM(Planning!$SK57:$TH57),0)</f>
      </c>
      <c r="U4" s="762">
        <f>IF(GetFillColor(U4)&lt;0,SUM(Planning!$TN57:$UK57),0)</f>
      </c>
      <c r="V4" s="761">
        <v>0</v>
      </c>
      <c r="W4" s="761">
        <v>0</v>
      </c>
      <c r="X4" s="762">
        <f>IF(GetFillColor(X4)&lt;0,SUM(Planning!$WZ57:$XW57),0)</f>
      </c>
      <c r="Y4" s="762">
        <f>IF(GetFillColor(Y4)&lt;0,SUM(Planning!$YC57:$YZ57),0)</f>
      </c>
      <c r="Z4" s="762">
        <f>IF(GetFillColor(Z4)&lt;0,SUM(Planning!$ZF57:$AAC57),0)</f>
      </c>
      <c r="AA4" s="762">
        <f>IF(GetFillColor(AA4)&lt;0,SUM(Planning!$AAI57:$ABF57),0)</f>
      </c>
      <c r="AB4" s="762">
        <f>IF(GetFillColor(AB4)&lt;0,SUM(Planning!$ABL57:$ACI57),0)</f>
      </c>
      <c r="AC4" s="761">
        <v>0</v>
      </c>
      <c r="AD4" s="761">
        <v>0</v>
      </c>
      <c r="AE4" s="762">
        <f>IF(GetFillColor(AE4)&lt;0,SUM(Planning!$AEX57:$AFU57),0)</f>
      </c>
      <c r="AF4" s="762">
        <f>IF(GetFillColor(AF4)&lt;0,SUM(Planning!$AGA57:$AGX57),0)</f>
      </c>
      <c r="AG4" s="762">
        <f>IF(GetFillColor(AG4)&lt;0,SUM(Planning!$AHD57:$AIA57),0)</f>
      </c>
      <c r="AH4" s="762">
        <f>IF(GetFillColor(AH4)&lt;0,SUM(Planning!$AIG57:$AJD57),0)</f>
      </c>
      <c r="AI4" s="762">
        <f>IF(GetFillColor(AI4)&lt;0,SUM(Planning!$AJJ57:$AKG57),0)</f>
      </c>
      <c r="AJ4" s="761">
        <v>0</v>
      </c>
      <c r="AK4" s="766">
        <v>0</v>
      </c>
      <c r="AL4" s="698">
        <f>SUM(C4:AK4)</f>
      </c>
      <c r="AM4" s="4"/>
      <c r="AN4" s="4"/>
    </row>
    <row r="5" ht="20.25" customHeight="1" spans="1:40" x14ac:dyDescent="0.25">
      <c r="A5" s="4">
        <f>Planning!B58</f>
      </c>
      <c r="B5" s="4"/>
      <c r="C5" s="766">
        <f>IF(GetFillColor(C5)&lt;0,SUM(Planning!$F58:$AC58),0)</f>
      </c>
      <c r="D5" s="766">
        <f>IF(GetFillColor(D5)&lt;0,SUM(Planning!$AI58:$BF58),0)</f>
      </c>
      <c r="E5" s="766">
        <f>IF(GetFillColor(E5)&lt;0,SUM(Planning!$BL58:$CI58),0)</f>
      </c>
      <c r="F5" s="761">
        <f>IF(GetFillColor(F5)&lt;0,SUM(Planning!$CO58:$DL58),0)</f>
      </c>
      <c r="G5" s="761">
        <f>IF(GetFillColor(G5)&lt;0,SUM(Planning!$DR58:$EO58),0)</f>
      </c>
      <c r="H5" s="761">
        <v>0</v>
      </c>
      <c r="I5" s="761">
        <v>0</v>
      </c>
      <c r="J5" s="762">
        <f>IF(GetFillColor(J5)&lt;0,SUM(Planning!$HD58:$IA58),0)</f>
      </c>
      <c r="K5" s="762">
        <f>IF(GetFillColor(K5)&lt;0,SUM(Planning!$IG58:$JD58),0)</f>
      </c>
      <c r="L5" s="762">
        <f>IF(GetFillColor(L5)&lt;0,SUM(Planning!$JJ58:$KG58),0)</f>
      </c>
      <c r="M5" s="762">
        <f>IF(GetFillColor(M5)&lt;0,SUM(Planning!$KM58:$LJ58),0)</f>
      </c>
      <c r="N5" s="762">
        <f>IF(GetFillColor(N5)&lt;0,SUM(Planning!$LP58:$MM58),0)</f>
      </c>
      <c r="O5" s="761">
        <v>0</v>
      </c>
      <c r="P5" s="761">
        <v>0</v>
      </c>
      <c r="Q5" s="762">
        <f>IF(GetFillColor(Q5)&lt;0,SUM(Planning!$PB58:$PY58),0)</f>
      </c>
      <c r="R5" s="762">
        <f>IF(GetFillColor(R5)&lt;0,SUM(Planning!$QE58:$RB58),0)</f>
      </c>
      <c r="S5" s="762">
        <f>IF(GetFillColor(S5)&lt;0,SUM(Planning!$RH58:$SE58),0)</f>
      </c>
      <c r="T5" s="762">
        <f>IF(GetFillColor(T5)&lt;0,SUM(Planning!$SK58:$TH58),0)</f>
      </c>
      <c r="U5" s="762">
        <f>IF(GetFillColor(U5)&lt;0,SUM(Planning!$TN58:$UK58),0)</f>
      </c>
      <c r="V5" s="761">
        <v>0</v>
      </c>
      <c r="W5" s="761">
        <v>0</v>
      </c>
      <c r="X5" s="762">
        <f>IF(GetFillColor(X5)&lt;0,SUM(Planning!$WZ58:$XW58),0)</f>
      </c>
      <c r="Y5" s="762">
        <f>IF(GetFillColor(Y5)&lt;0,SUM(Planning!$YC58:$YZ58),0)</f>
      </c>
      <c r="Z5" s="762">
        <f>IF(GetFillColor(Z5)&lt;0,SUM(Planning!$ZF58:$AAC58),0)</f>
      </c>
      <c r="AA5" s="762">
        <f>IF(GetFillColor(AA5)&lt;0,SUM(Planning!$AAI58:$ABF58),0)</f>
      </c>
      <c r="AB5" s="762">
        <f>IF(GetFillColor(AB5)&lt;0,SUM(Planning!$ABL58:$ACI58),0)</f>
      </c>
      <c r="AC5" s="761">
        <v>0</v>
      </c>
      <c r="AD5" s="761">
        <v>0</v>
      </c>
      <c r="AE5" s="762">
        <f>IF(GetFillColor(AE5)&lt;0,SUM(Planning!$AEX58:$AFU58),0)</f>
      </c>
      <c r="AF5" s="762">
        <f>IF(GetFillColor(AF5)&lt;0,SUM(Planning!$AGA58:$AGX58),0)</f>
      </c>
      <c r="AG5" s="762">
        <f>IF(GetFillColor(AG5)&lt;0,SUM(Planning!$AHD58:$AIA58),0)</f>
      </c>
      <c r="AH5" s="762">
        <f>IF(GetFillColor(AH5)&lt;0,SUM(Planning!$AIG58:$AJD58),0)</f>
      </c>
      <c r="AI5" s="762">
        <f>IF(GetFillColor(AI5)&lt;0,SUM(Planning!$AJJ58:$AKG58),0)</f>
      </c>
      <c r="AJ5" s="761">
        <v>0</v>
      </c>
      <c r="AK5" s="766">
        <v>0</v>
      </c>
      <c r="AL5" s="698">
        <f>SUM(C5:AK5)</f>
      </c>
      <c r="AM5" s="4"/>
      <c r="AN5" s="4"/>
    </row>
    <row r="6" ht="20.25" customHeight="1" spans="1:40" x14ac:dyDescent="0.25">
      <c r="A6" s="4">
        <f>Planning!B59</f>
      </c>
      <c r="B6" s="4"/>
      <c r="C6" s="766">
        <f>IF(GetFillColor(C6)&lt;0,SUM(Planning!$F59:$AC59),0)</f>
      </c>
      <c r="D6" s="766">
        <f>IF(GetFillColor(D6)&lt;0,SUM(Planning!$AI59:$BF59),0)</f>
      </c>
      <c r="E6" s="766">
        <f>IF(GetFillColor(E6)&lt;0,SUM(Planning!$BL59:$CI59),0)</f>
      </c>
      <c r="F6" s="761">
        <f>IF(GetFillColor(F6)&lt;0,SUM(Planning!$CO59:$DL59),0)</f>
      </c>
      <c r="G6" s="761">
        <f>IF(GetFillColor(G6)&lt;0,SUM(Planning!$DR59:$EO59),0)</f>
      </c>
      <c r="H6" s="761">
        <v>0</v>
      </c>
      <c r="I6" s="761">
        <v>0</v>
      </c>
      <c r="J6" s="762">
        <f>IF(GetFillColor(J6)&lt;0,SUM(Planning!$HD59:$IA59),0)</f>
      </c>
      <c r="K6" s="762">
        <f>IF(GetFillColor(K6)&lt;0,SUM(Planning!$IG59:$JD59),0)</f>
      </c>
      <c r="L6" s="762">
        <f>IF(GetFillColor(L6)&lt;0,SUM(Planning!$JJ59:$KG59),0)</f>
      </c>
      <c r="M6" s="762">
        <f>IF(GetFillColor(M6)&lt;0,SUM(Planning!$KM59:$LJ59),0)</f>
      </c>
      <c r="N6" s="762">
        <f>IF(GetFillColor(N6)&lt;0,SUM(Planning!$LP59:$MM59),0)</f>
      </c>
      <c r="O6" s="761">
        <v>0</v>
      </c>
      <c r="P6" s="761">
        <v>0</v>
      </c>
      <c r="Q6" s="762">
        <f>IF(GetFillColor(Q6)&lt;0,SUM(Planning!$PB59:$PY59),0)</f>
      </c>
      <c r="R6" s="762">
        <f>IF(GetFillColor(R6)&lt;0,SUM(Planning!$QE59:$RB59),0)</f>
      </c>
      <c r="S6" s="762">
        <f>IF(GetFillColor(S6)&lt;0,SUM(Planning!$RH59:$SE59),0)</f>
      </c>
      <c r="T6" s="762">
        <f>IF(GetFillColor(T6)&lt;0,SUM(Planning!$SK59:$TH59),0)</f>
      </c>
      <c r="U6" s="762">
        <f>IF(GetFillColor(U6)&lt;0,SUM(Planning!$TN59:$UK59),0)</f>
      </c>
      <c r="V6" s="761">
        <v>0</v>
      </c>
      <c r="W6" s="761">
        <v>0</v>
      </c>
      <c r="X6" s="762">
        <f>IF(GetFillColor(X6)&lt;0,SUM(Planning!$WZ59:$XW59),0)</f>
      </c>
      <c r="Y6" s="762">
        <f>IF(GetFillColor(Y6)&lt;0,SUM(Planning!$YC59:$YZ59),0)</f>
      </c>
      <c r="Z6" s="762">
        <f>IF(GetFillColor(Z6)&lt;0,SUM(Planning!$ZF59:$AAC59),0)</f>
      </c>
      <c r="AA6" s="762">
        <f>IF(GetFillColor(AA6)&lt;0,SUM(Planning!$AAI59:$ABF59),0)</f>
      </c>
      <c r="AB6" s="762">
        <f>IF(GetFillColor(AB6)&lt;0,SUM(Planning!$ABL59:$ACI59),0)</f>
      </c>
      <c r="AC6" s="761">
        <v>0</v>
      </c>
      <c r="AD6" s="761">
        <v>0</v>
      </c>
      <c r="AE6" s="762">
        <f>IF(GetFillColor(AE6)&lt;0,SUM(Planning!$AEX59:$AFU59),0)</f>
      </c>
      <c r="AF6" s="762">
        <f>IF(GetFillColor(AF6)&lt;0,SUM(Planning!$AGA59:$AGX59),0)</f>
      </c>
      <c r="AG6" s="762">
        <f>IF(GetFillColor(AG6)&lt;0,SUM(Planning!$AHD59:$AIA59),0)</f>
      </c>
      <c r="AH6" s="762">
        <f>IF(GetFillColor(AH6)&lt;0,SUM(Planning!$AIG59:$AJD59),0)</f>
      </c>
      <c r="AI6" s="762">
        <f>IF(GetFillColor(AI6)&lt;0,SUM(Planning!$AJJ59:$AKG59),0)</f>
      </c>
      <c r="AJ6" s="761">
        <v>0</v>
      </c>
      <c r="AK6" s="766">
        <v>0</v>
      </c>
      <c r="AL6" s="698">
        <f>SUM(C6:AK6)</f>
      </c>
      <c r="AM6" s="4"/>
      <c r="AN6" s="4"/>
    </row>
    <row r="7" ht="20.25" customHeight="1" spans="1:40" x14ac:dyDescent="0.25">
      <c r="A7" s="4">
        <f>Planning!B60</f>
      </c>
      <c r="B7" s="4"/>
      <c r="C7" s="766">
        <f>IF(GetFillColor(C7)&lt;0,SUM(Planning!$F60:$AC60),0)</f>
      </c>
      <c r="D7" s="766">
        <f>IF(GetFillColor(D7)&lt;0,SUM(Planning!$AI60:$BF60),0)</f>
      </c>
      <c r="E7" s="766">
        <f>IF(GetFillColor(E7)&lt;0,SUM(Planning!$BL60:$CI60),0)</f>
      </c>
      <c r="F7" s="761">
        <f>IF(GetFillColor(F7)&lt;0,SUM(Planning!$CO60:$DL60),0)</f>
      </c>
      <c r="G7" s="761">
        <f>IF(GetFillColor(G7)&lt;0,SUM(Planning!$DR60:$EO60),0)</f>
      </c>
      <c r="H7" s="761">
        <v>0</v>
      </c>
      <c r="I7" s="761">
        <v>0</v>
      </c>
      <c r="J7" s="762">
        <f>IF(GetFillColor(J7)&lt;0,SUM(Planning!$HD60:$IA60),0)</f>
      </c>
      <c r="K7" s="762">
        <f>IF(GetFillColor(K7)&lt;0,SUM(Planning!$IG60:$JD60),0)</f>
      </c>
      <c r="L7" s="762">
        <f>IF(GetFillColor(L7)&lt;0,SUM(Planning!$JJ60:$KG60),0)</f>
      </c>
      <c r="M7" s="762">
        <f>IF(GetFillColor(M7)&lt;0,SUM(Planning!$KM60:$LJ60),0)</f>
      </c>
      <c r="N7" s="762">
        <f>IF(GetFillColor(N7)&lt;0,SUM(Planning!$LP60:$MM60),0)</f>
      </c>
      <c r="O7" s="761">
        <v>0</v>
      </c>
      <c r="P7" s="761">
        <v>0</v>
      </c>
      <c r="Q7" s="762">
        <f>IF(GetFillColor(Q7)&lt;0,SUM(Planning!$PB60:$PY60),0)</f>
      </c>
      <c r="R7" s="762">
        <f>IF(GetFillColor(R7)&lt;0,SUM(Planning!$QE60:$RB60),0)</f>
      </c>
      <c r="S7" s="762">
        <f>IF(GetFillColor(S7)&lt;0,SUM(Planning!$RH60:$SE60),0)</f>
      </c>
      <c r="T7" s="762">
        <f>IF(GetFillColor(T7)&lt;0,SUM(Planning!$SK60:$TH60),0)</f>
      </c>
      <c r="U7" s="762">
        <f>IF(GetFillColor(U7)&lt;0,SUM(Planning!$TN60:$UK60),0)</f>
      </c>
      <c r="V7" s="761">
        <v>0</v>
      </c>
      <c r="W7" s="761">
        <v>0</v>
      </c>
      <c r="X7" s="762">
        <f>IF(GetFillColor(X7)&lt;0,SUM(Planning!$WZ60:$XW60),0)</f>
      </c>
      <c r="Y7" s="762">
        <f>IF(GetFillColor(Y7)&lt;0,SUM(Planning!$YC60:$YZ60),0)</f>
      </c>
      <c r="Z7" s="762">
        <f>IF(GetFillColor(Z7)&lt;0,SUM(Planning!$ZF60:$AAC60),0)</f>
      </c>
      <c r="AA7" s="762">
        <f>IF(GetFillColor(AA7)&lt;0,SUM(Planning!$AAI60:$ABF60),0)</f>
      </c>
      <c r="AB7" s="762">
        <f>IF(GetFillColor(AB7)&lt;0,SUM(Planning!$ABL60:$ACI60),0)</f>
      </c>
      <c r="AC7" s="761">
        <v>0</v>
      </c>
      <c r="AD7" s="761">
        <v>0</v>
      </c>
      <c r="AE7" s="762">
        <f>IF(GetFillColor(AE7)&lt;0,SUM(Planning!$AEX60:$AFU60),0)</f>
      </c>
      <c r="AF7" s="762">
        <f>IF(GetFillColor(AF7)&lt;0,SUM(Planning!$AGA60:$AGX60),0)</f>
      </c>
      <c r="AG7" s="762">
        <f>IF(GetFillColor(AG7)&lt;0,SUM(Planning!$AHD60:$AIA60),0)</f>
      </c>
      <c r="AH7" s="762">
        <f>IF(GetFillColor(AH7)&lt;0,SUM(Planning!$AIG60:$AJD60),0)</f>
      </c>
      <c r="AI7" s="762">
        <f>IF(GetFillColor(AI7)&lt;0,SUM(Planning!$AJJ60:$AKG60),0)</f>
      </c>
      <c r="AJ7" s="761">
        <v>0</v>
      </c>
      <c r="AK7" s="766">
        <v>0</v>
      </c>
      <c r="AL7" s="698">
        <f>SUM(C7:AK7)</f>
      </c>
      <c r="AM7" s="4"/>
      <c r="AN7" s="4"/>
    </row>
    <row r="8" ht="20.25" customHeight="1" spans="1:40" x14ac:dyDescent="0.25">
      <c r="A8" s="4">
        <f>Planning!B61</f>
      </c>
      <c r="B8" s="4"/>
      <c r="C8" s="766">
        <f>IF(GetFillColor(C8)&lt;0,SUM(Planning!$F61:$AC61),0)</f>
      </c>
      <c r="D8" s="766">
        <f>IF(GetFillColor(D8)&lt;0,SUM(Planning!$AI61:$BF61),0)</f>
      </c>
      <c r="E8" s="766">
        <f>IF(GetFillColor(E8)&lt;0,SUM(Planning!$BL61:$CI61),0)</f>
      </c>
      <c r="F8" s="761">
        <f>IF(GetFillColor(F8)&lt;0,SUM(Planning!$CO61:$DL61),0)</f>
      </c>
      <c r="G8" s="761">
        <f>IF(GetFillColor(G8)&lt;0,SUM(Planning!$DR61:$EO61),0)</f>
      </c>
      <c r="H8" s="761">
        <v>0</v>
      </c>
      <c r="I8" s="761">
        <v>0</v>
      </c>
      <c r="J8" s="762">
        <f>IF(GetFillColor(J8)&lt;0,SUM(Planning!$HD61:$IA61),0)</f>
      </c>
      <c r="K8" s="762">
        <f>IF(GetFillColor(K8)&lt;0,SUM(Planning!$IG61:$JD61),0)</f>
      </c>
      <c r="L8" s="762">
        <f>IF(GetFillColor(L8)&lt;0,SUM(Planning!$JJ61:$KG61),0)</f>
      </c>
      <c r="M8" s="762">
        <f>IF(GetFillColor(M8)&lt;0,SUM(Planning!$KM61:$LJ61),0)</f>
      </c>
      <c r="N8" s="762">
        <f>IF(GetFillColor(N8)&lt;0,SUM(Planning!$LP61:$MM61),0)</f>
      </c>
      <c r="O8" s="761">
        <v>0</v>
      </c>
      <c r="P8" s="761">
        <v>0</v>
      </c>
      <c r="Q8" s="762">
        <f>IF(GetFillColor(Q8)&lt;0,SUM(Planning!$PB61:$PY61),0)</f>
      </c>
      <c r="R8" s="762">
        <f>IF(GetFillColor(R8)&lt;0,SUM(Planning!$QE61:$RB61),0)</f>
      </c>
      <c r="S8" s="762">
        <f>IF(GetFillColor(S8)&lt;0,SUM(Planning!$RH61:$SE61),0)</f>
      </c>
      <c r="T8" s="762">
        <f>IF(GetFillColor(T8)&lt;0,SUM(Planning!$SK61:$TH61),0)</f>
      </c>
      <c r="U8" s="762">
        <f>IF(GetFillColor(U8)&lt;0,SUM(Planning!$TN61:$UK61),0)</f>
      </c>
      <c r="V8" s="761">
        <v>0</v>
      </c>
      <c r="W8" s="761">
        <v>0</v>
      </c>
      <c r="X8" s="762">
        <f>IF(GetFillColor(X8)&lt;0,SUM(Planning!$WZ61:$XW61),0)</f>
      </c>
      <c r="Y8" s="762">
        <f>IF(GetFillColor(Y8)&lt;0,SUM(Planning!$YC61:$YZ61),0)</f>
      </c>
      <c r="Z8" s="762">
        <f>IF(GetFillColor(Z8)&lt;0,SUM(Planning!$ZF61:$AAC61),0)</f>
      </c>
      <c r="AA8" s="762">
        <f>IF(GetFillColor(AA8)&lt;0,SUM(Planning!$AAI61:$ABF61),0)</f>
      </c>
      <c r="AB8" s="762">
        <f>IF(GetFillColor(AB8)&lt;0,SUM(Planning!$ABL61:$ACI61),0)</f>
      </c>
      <c r="AC8" s="761">
        <v>0</v>
      </c>
      <c r="AD8" s="761">
        <v>0</v>
      </c>
      <c r="AE8" s="762">
        <f>IF(GetFillColor(AE8)&lt;0,SUM(Planning!$AEX61:$AFU61),0)</f>
      </c>
      <c r="AF8" s="762">
        <f>IF(GetFillColor(AF8)&lt;0,SUM(Planning!$AGA61:$AGX61),0)</f>
      </c>
      <c r="AG8" s="762">
        <f>IF(GetFillColor(AG8)&lt;0,SUM(Planning!$AHD61:$AIA61),0)</f>
      </c>
      <c r="AH8" s="762">
        <f>IF(GetFillColor(AH8)&lt;0,SUM(Planning!$AIG61:$AJD61),0)</f>
      </c>
      <c r="AI8" s="762">
        <f>IF(GetFillColor(AI8)&lt;0,SUM(Planning!$AJJ61:$AKG61),0)</f>
      </c>
      <c r="AJ8" s="761">
        <v>0</v>
      </c>
      <c r="AK8" s="766">
        <v>0</v>
      </c>
      <c r="AL8" s="698">
        <f>SUM(C8:AK8)</f>
      </c>
      <c r="AM8" s="4"/>
      <c r="AN8" s="4"/>
    </row>
    <row r="9" ht="20.25" customHeight="1" spans="1:40" x14ac:dyDescent="0.25">
      <c r="A9" s="4">
        <f>Planning!B62</f>
      </c>
      <c r="B9" s="4"/>
      <c r="C9" s="766">
        <f>IF(GetFillColor(C9)&lt;0,SUM(Planning!$F62:$AC62),0)</f>
      </c>
      <c r="D9" s="766">
        <f>IF(GetFillColor(D9)&lt;0,SUM(Planning!$AI62:$BF62),0)</f>
      </c>
      <c r="E9" s="766">
        <f>IF(GetFillColor(E9)&lt;0,SUM(Planning!$BL62:$CI62),0)</f>
      </c>
      <c r="F9" s="761">
        <f>IF(GetFillColor(F9)&lt;0,SUM(Planning!$CO62:$DL62),0)</f>
      </c>
      <c r="G9" s="761">
        <f>IF(GetFillColor(G9)&lt;0,SUM(Planning!$DR62:$EO62),0)</f>
      </c>
      <c r="H9" s="761">
        <v>0</v>
      </c>
      <c r="I9" s="761">
        <v>0</v>
      </c>
      <c r="J9" s="762">
        <f>IF(GetFillColor(J9)&lt;0,SUM(Planning!$HD62:$IA62),0)</f>
      </c>
      <c r="K9" s="762">
        <f>IF(GetFillColor(K9)&lt;0,SUM(Planning!$IG62:$JD62),0)</f>
      </c>
      <c r="L9" s="762">
        <f>IF(GetFillColor(L9)&lt;0,SUM(Planning!$JJ62:$KG62),0)</f>
      </c>
      <c r="M9" s="762">
        <f>IF(GetFillColor(M9)&lt;0,SUM(Planning!$KM62:$LJ62),0)</f>
      </c>
      <c r="N9" s="762">
        <f>IF(GetFillColor(N9)&lt;0,SUM(Planning!$LP62:$MM62),0)</f>
      </c>
      <c r="O9" s="761">
        <v>0</v>
      </c>
      <c r="P9" s="761">
        <v>0</v>
      </c>
      <c r="Q9" s="762">
        <f>IF(GetFillColor(Q9)&lt;0,SUM(Planning!$PB62:$PY62),0)</f>
      </c>
      <c r="R9" s="762">
        <f>IF(GetFillColor(R9)&lt;0,SUM(Planning!$QE62:$RB62),0)</f>
      </c>
      <c r="S9" s="762">
        <f>IF(GetFillColor(S9)&lt;0,SUM(Planning!$RH62:$SE62),0)</f>
      </c>
      <c r="T9" s="762">
        <f>IF(GetFillColor(T9)&lt;0,SUM(Planning!$SK62:$TH62),0)</f>
      </c>
      <c r="U9" s="762">
        <f>IF(GetFillColor(U9)&lt;0,SUM(Planning!$TN62:$UK62),0)</f>
      </c>
      <c r="V9" s="761">
        <v>0</v>
      </c>
      <c r="W9" s="761">
        <v>0</v>
      </c>
      <c r="X9" s="762">
        <f>IF(GetFillColor(X9)&lt;0,SUM(Planning!$WZ62:$XW62),0)</f>
      </c>
      <c r="Y9" s="762">
        <f>IF(GetFillColor(Y9)&lt;0,SUM(Planning!$YC62:$YZ62),0)</f>
      </c>
      <c r="Z9" s="762">
        <f>IF(GetFillColor(Z9)&lt;0,SUM(Planning!$ZF62:$AAC62),0)</f>
      </c>
      <c r="AA9" s="762">
        <f>IF(GetFillColor(AA9)&lt;0,SUM(Planning!$AAI62:$ABF62),0)</f>
      </c>
      <c r="AB9" s="762">
        <f>IF(GetFillColor(AB9)&lt;0,SUM(Planning!$ABL62:$ACI62),0)</f>
      </c>
      <c r="AC9" s="761">
        <v>0</v>
      </c>
      <c r="AD9" s="761">
        <v>0</v>
      </c>
      <c r="AE9" s="762">
        <f>IF(GetFillColor(AE9)&lt;0,SUM(Planning!$AEX62:$AFU62),0)</f>
      </c>
      <c r="AF9" s="762">
        <f>IF(GetFillColor(AF9)&lt;0,SUM(Planning!$AGA62:$AGX62),0)</f>
      </c>
      <c r="AG9" s="762">
        <f>IF(GetFillColor(AG9)&lt;0,SUM(Planning!$AHD62:$AIA62),0)</f>
      </c>
      <c r="AH9" s="762">
        <f>IF(GetFillColor(AH9)&lt;0,SUM(Planning!$AIG62:$AJD62),0)</f>
      </c>
      <c r="AI9" s="762">
        <f>IF(GetFillColor(AI9)&lt;0,SUM(Planning!$AJJ62:$AKG62),0)</f>
      </c>
      <c r="AJ9" s="761">
        <v>0</v>
      </c>
      <c r="AK9" s="766">
        <v>0</v>
      </c>
      <c r="AL9" s="698">
        <f>SUM(C9:AK9)</f>
      </c>
      <c r="AM9" s="4"/>
      <c r="AN9" s="4"/>
    </row>
    <row r="10" ht="20.25" customHeight="1" spans="1:40" x14ac:dyDescent="0.25">
      <c r="A10" s="4">
        <f>Planning!B63</f>
      </c>
      <c r="B10" s="4"/>
      <c r="C10" s="766">
        <f>IF(GetFillColor(C10)&lt;0,SUM(Planning!$F63:$AC63),0)</f>
      </c>
      <c r="D10" s="766">
        <f>IF(GetFillColor(D10)&lt;0,SUM(Planning!$AI63:$BF63),0)</f>
      </c>
      <c r="E10" s="766">
        <f>IF(GetFillColor(E10)&lt;0,SUM(Planning!$BL63:$CI63),0)</f>
      </c>
      <c r="F10" s="761">
        <f>IF(GetFillColor(F10)&lt;0,SUM(Planning!$CO63:$DL63),0)</f>
      </c>
      <c r="G10" s="761">
        <f>IF(GetFillColor(G10)&lt;0,SUM(Planning!$DR63:$EO63),0)</f>
      </c>
      <c r="H10" s="761">
        <v>0</v>
      </c>
      <c r="I10" s="761">
        <v>0</v>
      </c>
      <c r="J10" s="762">
        <f>IF(GetFillColor(J10)&lt;0,SUM(Planning!$HD63:$IA63),0)</f>
      </c>
      <c r="K10" s="762">
        <f>IF(GetFillColor(K10)&lt;0,SUM(Planning!$IG63:$JD63),0)</f>
      </c>
      <c r="L10" s="762">
        <f>IF(GetFillColor(L10)&lt;0,SUM(Planning!$JJ63:$KG63),0)</f>
      </c>
      <c r="M10" s="762">
        <f>IF(GetFillColor(M10)&lt;0,SUM(Planning!$KM63:$LJ63),0)</f>
      </c>
      <c r="N10" s="762">
        <f>IF(GetFillColor(N10)&lt;0,SUM(Planning!$LP63:$MM63),0)</f>
      </c>
      <c r="O10" s="761">
        <v>0</v>
      </c>
      <c r="P10" s="761">
        <v>0</v>
      </c>
      <c r="Q10" s="762">
        <f>IF(GetFillColor(Q10)&lt;0,SUM(Planning!$PB63:$PY63),0)</f>
      </c>
      <c r="R10" s="762">
        <f>IF(GetFillColor(R10)&lt;0,SUM(Planning!$QE63:$RB63),0)</f>
      </c>
      <c r="S10" s="762">
        <f>IF(GetFillColor(S10)&lt;0,SUM(Planning!$RH63:$SE63),0)</f>
      </c>
      <c r="T10" s="762">
        <f>IF(GetFillColor(T10)&lt;0,SUM(Planning!$SK63:$TH63),0)</f>
      </c>
      <c r="U10" s="762">
        <f>IF(GetFillColor(U10)&lt;0,SUM(Planning!$TN63:$UK63),0)</f>
      </c>
      <c r="V10" s="761">
        <v>0</v>
      </c>
      <c r="W10" s="761">
        <v>0</v>
      </c>
      <c r="X10" s="762">
        <f>IF(GetFillColor(X10)&lt;0,SUM(Planning!$WZ63:$XW63),0)</f>
      </c>
      <c r="Y10" s="762">
        <f>IF(GetFillColor(Y10)&lt;0,SUM(Planning!$YC63:$YZ63),0)</f>
      </c>
      <c r="Z10" s="762">
        <f>IF(GetFillColor(Z10)&lt;0,SUM(Planning!$ZF63:$AAC63),0)</f>
      </c>
      <c r="AA10" s="762">
        <f>IF(GetFillColor(AA10)&lt;0,SUM(Planning!$AAI63:$ABF63),0)</f>
      </c>
      <c r="AB10" s="762">
        <f>IF(GetFillColor(AB10)&lt;0,SUM(Planning!$ABL63:$ACI63),0)</f>
      </c>
      <c r="AC10" s="761">
        <v>0</v>
      </c>
      <c r="AD10" s="761">
        <v>0</v>
      </c>
      <c r="AE10" s="762">
        <f>IF(GetFillColor(AE10)&lt;0,SUM(Planning!$AEX63:$AFU63),0)</f>
      </c>
      <c r="AF10" s="762">
        <f>IF(GetFillColor(AF10)&lt;0,SUM(Planning!$AGA63:$AGX63),0)</f>
      </c>
      <c r="AG10" s="762">
        <f>IF(GetFillColor(AG10)&lt;0,SUM(Planning!$AHD63:$AIA63),0)</f>
      </c>
      <c r="AH10" s="762">
        <f>IF(GetFillColor(AH10)&lt;0,SUM(Planning!$AIG63:$AJD63),0)</f>
      </c>
      <c r="AI10" s="762">
        <f>IF(GetFillColor(AI10)&lt;0,SUM(Planning!$AJJ63:$AKG63),0)</f>
      </c>
      <c r="AJ10" s="761">
        <v>0</v>
      </c>
      <c r="AK10" s="766">
        <v>0</v>
      </c>
      <c r="AL10" s="698">
        <f>SUM(C10:AK10)</f>
      </c>
      <c r="AM10" s="4"/>
      <c r="AN10" s="4"/>
    </row>
    <row r="11" ht="20.25" customHeight="1" spans="1:40" x14ac:dyDescent="0.25">
      <c r="A11" s="4">
        <f>Planning!B64</f>
      </c>
      <c r="B11" s="4"/>
      <c r="C11" s="766">
        <f>IF(GetFillColor(C11)&lt;0,SUM(Planning!$F64:$AC64),0)</f>
      </c>
      <c r="D11" s="766">
        <f>IF(GetFillColor(D11)&lt;0,SUM(Planning!$AI64:$BF64),0)</f>
      </c>
      <c r="E11" s="766">
        <f>IF(GetFillColor(E11)&lt;0,SUM(Planning!$BL64:$CI64),0)</f>
      </c>
      <c r="F11" s="761">
        <f>IF(GetFillColor(F11)&lt;0,SUM(Planning!$CO64:$DL64),0)</f>
      </c>
      <c r="G11" s="761">
        <f>IF(GetFillColor(G11)&lt;0,SUM(Planning!$DR64:$EO64),0)</f>
      </c>
      <c r="H11" s="761">
        <v>0</v>
      </c>
      <c r="I11" s="761">
        <v>0</v>
      </c>
      <c r="J11" s="762">
        <f>IF(GetFillColor(J11)&lt;0,SUM(Planning!$HD64:$IA64),0)</f>
      </c>
      <c r="K11" s="762">
        <f>IF(GetFillColor(K11)&lt;0,SUM(Planning!$IG64:$JD64),0)</f>
      </c>
      <c r="L11" s="762">
        <f>IF(GetFillColor(L11)&lt;0,SUM(Planning!$JJ64:$KG64),0)</f>
      </c>
      <c r="M11" s="762">
        <f>IF(GetFillColor(M11)&lt;0,SUM(Planning!$KM64:$LJ64),0)</f>
      </c>
      <c r="N11" s="762">
        <f>IF(GetFillColor(N11)&lt;0,SUM(Planning!$LP64:$MM64),0)</f>
      </c>
      <c r="O11" s="761">
        <v>0</v>
      </c>
      <c r="P11" s="761">
        <v>0</v>
      </c>
      <c r="Q11" s="762">
        <f>IF(GetFillColor(Q11)&lt;0,SUM(Planning!$PB64:$PY64),0)</f>
      </c>
      <c r="R11" s="762">
        <f>IF(GetFillColor(R11)&lt;0,SUM(Planning!$QE64:$RB64),0)</f>
      </c>
      <c r="S11" s="762">
        <f>IF(GetFillColor(S11)&lt;0,SUM(Planning!$RH64:$SE64),0)</f>
      </c>
      <c r="T11" s="762">
        <f>IF(GetFillColor(T11)&lt;0,SUM(Planning!$SK64:$TH64),0)</f>
      </c>
      <c r="U11" s="762">
        <f>IF(GetFillColor(U11)&lt;0,SUM(Planning!$TN64:$UK64),0)</f>
      </c>
      <c r="V11" s="761">
        <v>0</v>
      </c>
      <c r="W11" s="761">
        <v>0</v>
      </c>
      <c r="X11" s="762">
        <f>IF(GetFillColor(X11)&lt;0,SUM(Planning!$WZ64:$XW64),0)</f>
      </c>
      <c r="Y11" s="762">
        <f>IF(GetFillColor(Y11)&lt;0,SUM(Planning!$YC64:$YZ64),0)</f>
      </c>
      <c r="Z11" s="762">
        <f>IF(GetFillColor(Z11)&lt;0,SUM(Planning!$ZF64:$AAC64),0)</f>
      </c>
      <c r="AA11" s="762">
        <f>IF(GetFillColor(AA11)&lt;0,SUM(Planning!$AAI64:$ABF64),0)</f>
      </c>
      <c r="AB11" s="762">
        <f>IF(GetFillColor(AB11)&lt;0,SUM(Planning!$ABL64:$ACI64),0)</f>
      </c>
      <c r="AC11" s="761">
        <v>0</v>
      </c>
      <c r="AD11" s="761">
        <v>0</v>
      </c>
      <c r="AE11" s="762">
        <f>IF(GetFillColor(AE11)&lt;0,SUM(Planning!$AEX64:$AFU64),0)</f>
      </c>
      <c r="AF11" s="762">
        <f>IF(GetFillColor(AF11)&lt;0,SUM(Planning!$AGA64:$AGX64),0)</f>
      </c>
      <c r="AG11" s="762">
        <f>IF(GetFillColor(AG11)&lt;0,SUM(Planning!$AHD64:$AIA64),0)</f>
      </c>
      <c r="AH11" s="762">
        <f>IF(GetFillColor(AH11)&lt;0,SUM(Planning!$AIG64:$AJD64),0)</f>
      </c>
      <c r="AI11" s="762">
        <f>IF(GetFillColor(AI11)&lt;0,SUM(Planning!$AJJ64:$AKG64),0)</f>
      </c>
      <c r="AJ11" s="761">
        <v>0</v>
      </c>
      <c r="AK11" s="766">
        <v>0</v>
      </c>
      <c r="AL11" s="698">
        <f>SUM(C11:AK11)</f>
      </c>
      <c r="AM11" s="4"/>
      <c r="AN11" s="4"/>
    </row>
    <row r="12" ht="20.25" customHeight="1" spans="1:40" x14ac:dyDescent="0.25">
      <c r="A12" s="4">
        <f>Planning!B65</f>
      </c>
      <c r="B12" s="4"/>
      <c r="C12" s="766">
        <f>IF(GetFillColor(C12)&lt;0,SUM(Planning!$F65:$AC65),0)</f>
      </c>
      <c r="D12" s="766">
        <f>IF(GetFillColor(D12)&lt;0,SUM(Planning!$AI65:$BF65),0)</f>
      </c>
      <c r="E12" s="766">
        <f>IF(GetFillColor(E12)&lt;0,SUM(Planning!$BL65:$CI65),0)</f>
      </c>
      <c r="F12" s="761">
        <f>IF(GetFillColor(F12)&lt;0,SUM(Planning!$CO65:$DL65),0)</f>
      </c>
      <c r="G12" s="761">
        <f>IF(GetFillColor(G12)&lt;0,SUM(Planning!$DR65:$EO65),0)</f>
      </c>
      <c r="H12" s="761">
        <v>0</v>
      </c>
      <c r="I12" s="761">
        <v>0</v>
      </c>
      <c r="J12" s="762">
        <f>IF(GetFillColor(J12)&lt;0,SUM(Planning!$HD65:$IA65),0)</f>
      </c>
      <c r="K12" s="762">
        <f>IF(GetFillColor(K12)&lt;0,SUM(Planning!$IG65:$JD65),0)</f>
      </c>
      <c r="L12" s="762">
        <f>IF(GetFillColor(L12)&lt;0,SUM(Planning!$JJ65:$KG65),0)</f>
      </c>
      <c r="M12" s="762">
        <f>IF(GetFillColor(M12)&lt;0,SUM(Planning!$KM65:$LJ65),0)</f>
      </c>
      <c r="N12" s="762">
        <f>IF(GetFillColor(N12)&lt;0,SUM(Planning!$LP65:$MM65),0)</f>
      </c>
      <c r="O12" s="761">
        <v>0</v>
      </c>
      <c r="P12" s="761">
        <v>0</v>
      </c>
      <c r="Q12" s="762">
        <f>IF(GetFillColor(Q12)&lt;0,SUM(Planning!$PB65:$PY65),0)</f>
      </c>
      <c r="R12" s="762">
        <f>IF(GetFillColor(R12)&lt;0,SUM(Planning!$QE65:$RB65),0)</f>
      </c>
      <c r="S12" s="762">
        <f>IF(GetFillColor(S12)&lt;0,SUM(Planning!$RH65:$SE65),0)</f>
      </c>
      <c r="T12" s="762">
        <f>IF(GetFillColor(T12)&lt;0,SUM(Planning!$SK65:$TH65),0)</f>
      </c>
      <c r="U12" s="762">
        <f>IF(GetFillColor(U12)&lt;0,SUM(Planning!$TN65:$UK65),0)</f>
      </c>
      <c r="V12" s="761">
        <v>0</v>
      </c>
      <c r="W12" s="761">
        <v>0</v>
      </c>
      <c r="X12" s="762">
        <f>IF(GetFillColor(X12)&lt;0,SUM(Planning!$WZ65:$XW65),0)</f>
      </c>
      <c r="Y12" s="762">
        <f>IF(GetFillColor(Y12)&lt;0,SUM(Planning!$YC65:$YZ65),0)</f>
      </c>
      <c r="Z12" s="762">
        <f>IF(GetFillColor(Z12)&lt;0,SUM(Planning!$ZF65:$AAC65),0)</f>
      </c>
      <c r="AA12" s="762">
        <f>IF(GetFillColor(AA12)&lt;0,SUM(Planning!$AAI65:$ABF65),0)</f>
      </c>
      <c r="AB12" s="762">
        <f>IF(GetFillColor(AB12)&lt;0,SUM(Planning!$ABL65:$ACI65),0)</f>
      </c>
      <c r="AC12" s="761">
        <v>0</v>
      </c>
      <c r="AD12" s="761">
        <v>0</v>
      </c>
      <c r="AE12" s="762">
        <f>IF(GetFillColor(AE12)&lt;0,SUM(Planning!$AEX65:$AFU65),0)</f>
      </c>
      <c r="AF12" s="762">
        <f>IF(GetFillColor(AF12)&lt;0,SUM(Planning!$AGA65:$AGX65),0)</f>
      </c>
      <c r="AG12" s="762">
        <f>IF(GetFillColor(AG12)&lt;0,SUM(Planning!$AHD65:$AIA65),0)</f>
      </c>
      <c r="AH12" s="762">
        <f>IF(GetFillColor(AH12)&lt;0,SUM(Planning!$AIG65:$AJD65),0)</f>
      </c>
      <c r="AI12" s="762">
        <f>IF(GetFillColor(AI12)&lt;0,SUM(Planning!$AJJ65:$AKG65),0)</f>
      </c>
      <c r="AJ12" s="761">
        <v>0</v>
      </c>
      <c r="AK12" s="766">
        <v>0</v>
      </c>
      <c r="AL12" s="698">
        <f>SUM(C12:AK12)</f>
      </c>
      <c r="AM12" s="4"/>
      <c r="AN12" s="4"/>
    </row>
    <row r="13" ht="20.25" customHeight="1" spans="1:40" x14ac:dyDescent="0.25">
      <c r="A13" s="4">
        <f>Planning!B66</f>
      </c>
      <c r="B13" s="4"/>
      <c r="C13" s="766">
        <f>IF(GetFillColor(C13)&lt;0,SUM(Planning!$F66:$AC66),0)</f>
      </c>
      <c r="D13" s="766">
        <f>IF(GetFillColor(D13)&lt;0,SUM(Planning!$AI66:$BF66),0)</f>
      </c>
      <c r="E13" s="766">
        <f>IF(GetFillColor(E13)&lt;0,SUM(Planning!$BL66:$CI66),0)</f>
      </c>
      <c r="F13" s="761">
        <f>IF(GetFillColor(F13)&lt;0,SUM(Planning!$CO66:$DL66),0)</f>
      </c>
      <c r="G13" s="761">
        <f>IF(GetFillColor(G13)&lt;0,SUM(Planning!$DR66:$EO66),0)</f>
      </c>
      <c r="H13" s="761">
        <v>0</v>
      </c>
      <c r="I13" s="761">
        <v>0</v>
      </c>
      <c r="J13" s="762">
        <f>IF(GetFillColor(J13)&lt;0,SUM(Planning!$HD66:$IA66),0)</f>
      </c>
      <c r="K13" s="762">
        <f>IF(GetFillColor(K13)&lt;0,SUM(Planning!$IG66:$JD66),0)</f>
      </c>
      <c r="L13" s="762">
        <f>IF(GetFillColor(L13)&lt;0,SUM(Planning!$JJ66:$KG66),0)</f>
      </c>
      <c r="M13" s="762">
        <f>IF(GetFillColor(M13)&lt;0,SUM(Planning!$KM66:$LJ66),0)</f>
      </c>
      <c r="N13" s="762">
        <f>IF(GetFillColor(N13)&lt;0,SUM(Planning!$LP66:$MM66),0)</f>
      </c>
      <c r="O13" s="761">
        <v>0</v>
      </c>
      <c r="P13" s="761">
        <v>0</v>
      </c>
      <c r="Q13" s="762">
        <f>IF(GetFillColor(Q13)&lt;0,SUM(Planning!$PB66:$PY66),0)</f>
      </c>
      <c r="R13" s="762">
        <f>IF(GetFillColor(R13)&lt;0,SUM(Planning!$QE66:$RB66),0)</f>
      </c>
      <c r="S13" s="762">
        <f>IF(GetFillColor(S13)&lt;0,SUM(Planning!$RH66:$SE66),0)</f>
      </c>
      <c r="T13" s="762">
        <f>IF(GetFillColor(T13)&lt;0,SUM(Planning!$SK66:$TH66),0)</f>
      </c>
      <c r="U13" s="762">
        <f>IF(GetFillColor(U13)&lt;0,SUM(Planning!$TN66:$UK66),0)</f>
      </c>
      <c r="V13" s="761">
        <v>0</v>
      </c>
      <c r="W13" s="761">
        <v>0</v>
      </c>
      <c r="X13" s="762">
        <f>IF(GetFillColor(X13)&lt;0,SUM(Planning!$WZ66:$XW66),0)</f>
      </c>
      <c r="Y13" s="762">
        <f>IF(GetFillColor(Y13)&lt;0,SUM(Planning!$YC66:$YZ66),0)</f>
      </c>
      <c r="Z13" s="762">
        <f>IF(GetFillColor(Z13)&lt;0,SUM(Planning!$ZF66:$AAC66),0)</f>
      </c>
      <c r="AA13" s="762">
        <f>IF(GetFillColor(AA13)&lt;0,SUM(Planning!$AAI66:$ABF66),0)</f>
      </c>
      <c r="AB13" s="762">
        <f>IF(GetFillColor(AB13)&lt;0,SUM(Planning!$ABL66:$ACI66),0)</f>
      </c>
      <c r="AC13" s="761">
        <v>0</v>
      </c>
      <c r="AD13" s="761">
        <v>0</v>
      </c>
      <c r="AE13" s="762">
        <f>IF(GetFillColor(AE13)&lt;0,SUM(Planning!$AEX66:$AFU66),0)</f>
      </c>
      <c r="AF13" s="762">
        <f>IF(GetFillColor(AF13)&lt;0,SUM(Planning!$AGA66:$AGX66),0)</f>
      </c>
      <c r="AG13" s="762">
        <f>IF(GetFillColor(AG13)&lt;0,SUM(Planning!$AHD66:$AIA66),0)</f>
      </c>
      <c r="AH13" s="762">
        <f>IF(GetFillColor(AH13)&lt;0,SUM(Planning!$AIG66:$AJD66),0)</f>
      </c>
      <c r="AI13" s="762">
        <f>IF(GetFillColor(AI13)&lt;0,SUM(Planning!$AJJ66:$AKG66),0)</f>
      </c>
      <c r="AJ13" s="761">
        <v>0</v>
      </c>
      <c r="AK13" s="766">
        <v>0</v>
      </c>
      <c r="AL13" s="698">
        <f>SUM(C13:AK13)</f>
      </c>
      <c r="AM13" s="4"/>
      <c r="AN13" s="4"/>
    </row>
    <row r="14" ht="20.25" customHeight="1" spans="1:40" x14ac:dyDescent="0.25">
      <c r="A14" s="4">
        <f>Planning!B67</f>
      </c>
      <c r="B14" s="4"/>
      <c r="C14" s="766">
        <f>IF(GetFillColor(C14)&lt;0,SUM(Planning!$F67:$AC67),0)</f>
      </c>
      <c r="D14" s="766">
        <f>IF(GetFillColor(D14)&lt;0,SUM(Planning!$AI67:$BF67),0)</f>
      </c>
      <c r="E14" s="766">
        <f>IF(GetFillColor(E14)&lt;0,SUM(Planning!$BL67:$CI67),0)</f>
      </c>
      <c r="F14" s="761">
        <f>IF(GetFillColor(F14)&lt;0,SUM(Planning!$CO67:$DL67),0)</f>
      </c>
      <c r="G14" s="761">
        <f>IF(GetFillColor(G14)&lt;0,SUM(Planning!$DR67:$EO67),0)</f>
      </c>
      <c r="H14" s="761">
        <v>0</v>
      </c>
      <c r="I14" s="761">
        <v>0</v>
      </c>
      <c r="J14" s="762">
        <f>IF(GetFillColor(J14)&lt;0,SUM(Planning!$HD67:$IA67),0)</f>
      </c>
      <c r="K14" s="762">
        <f>IF(GetFillColor(K14)&lt;0,SUM(Planning!$IG67:$JD67),0)</f>
      </c>
      <c r="L14" s="762">
        <f>IF(GetFillColor(L14)&lt;0,SUM(Planning!$JJ67:$KG67),0)</f>
      </c>
      <c r="M14" s="762">
        <f>IF(GetFillColor(M14)&lt;0,SUM(Planning!$KM67:$LJ67),0)</f>
      </c>
      <c r="N14" s="762">
        <f>IF(GetFillColor(N14)&lt;0,SUM(Planning!$LP67:$MM67),0)</f>
      </c>
      <c r="O14" s="761">
        <v>0</v>
      </c>
      <c r="P14" s="761">
        <v>0</v>
      </c>
      <c r="Q14" s="762">
        <f>IF(GetFillColor(Q14)&lt;0,SUM(Planning!$PB67:$PY67),0)</f>
      </c>
      <c r="R14" s="762">
        <f>IF(GetFillColor(R14)&lt;0,SUM(Planning!$QE67:$RB67),0)</f>
      </c>
      <c r="S14" s="762">
        <f>IF(GetFillColor(S14)&lt;0,SUM(Planning!$RH67:$SE67),0)</f>
      </c>
      <c r="T14" s="762">
        <f>IF(GetFillColor(T14)&lt;0,SUM(Planning!$SK67:$TH67),0)</f>
      </c>
      <c r="U14" s="762">
        <f>IF(GetFillColor(U14)&lt;0,SUM(Planning!$TN67:$UK67),0)</f>
      </c>
      <c r="V14" s="761">
        <v>0</v>
      </c>
      <c r="W14" s="761">
        <v>0</v>
      </c>
      <c r="X14" s="762">
        <f>IF(GetFillColor(X14)&lt;0,SUM(Planning!$WZ67:$XW67),0)</f>
      </c>
      <c r="Y14" s="762">
        <f>IF(GetFillColor(Y14)&lt;0,SUM(Planning!$YC67:$YZ67),0)</f>
      </c>
      <c r="Z14" s="762">
        <f>IF(GetFillColor(Z14)&lt;0,SUM(Planning!$ZF67:$AAC67),0)</f>
      </c>
      <c r="AA14" s="762">
        <f>IF(GetFillColor(AA14)&lt;0,SUM(Planning!$AAI67:$ABF67),0)</f>
      </c>
      <c r="AB14" s="762">
        <f>IF(GetFillColor(AB14)&lt;0,SUM(Planning!$ABL67:$ACI67),0)</f>
      </c>
      <c r="AC14" s="761">
        <v>0</v>
      </c>
      <c r="AD14" s="761">
        <v>0</v>
      </c>
      <c r="AE14" s="762">
        <f>IF(GetFillColor(AE14)&lt;0,SUM(Planning!$AEX67:$AFU67),0)</f>
      </c>
      <c r="AF14" s="762">
        <f>IF(GetFillColor(AF14)&lt;0,SUM(Planning!$AGA67:$AGX67),0)</f>
      </c>
      <c r="AG14" s="762">
        <f>IF(GetFillColor(AG14)&lt;0,SUM(Planning!$AHD67:$AIA67),0)</f>
      </c>
      <c r="AH14" s="762">
        <f>IF(GetFillColor(AH14)&lt;0,SUM(Planning!$AIG67:$AJD67),0)</f>
      </c>
      <c r="AI14" s="762">
        <f>IF(GetFillColor(AI14)&lt;0,SUM(Planning!$AJJ67:$AKG67),0)</f>
      </c>
      <c r="AJ14" s="761">
        <v>0</v>
      </c>
      <c r="AK14" s="766">
        <v>0</v>
      </c>
      <c r="AL14" s="698">
        <f>SUM(C14:AK14)</f>
      </c>
      <c r="AM14" s="4"/>
      <c r="AN14" s="4"/>
    </row>
    <row r="15" ht="20.25" customHeight="1" spans="1:40" x14ac:dyDescent="0.25">
      <c r="A15" s="4">
        <f>Planning!B68</f>
      </c>
      <c r="B15" s="4"/>
      <c r="C15" s="766">
        <f>IF(GetFillColor(C15)&lt;0,SUM(Planning!$F68:$AC68),0)</f>
      </c>
      <c r="D15" s="766">
        <f>IF(GetFillColor(D15)&lt;0,SUM(Planning!$AI68:$BF68),0)</f>
      </c>
      <c r="E15" s="766">
        <f>IF(GetFillColor(E15)&lt;0,SUM(Planning!$BL68:$CI68),0)</f>
      </c>
      <c r="F15" s="761">
        <f>IF(GetFillColor(F15)&lt;0,SUM(Planning!$CO68:$DL68),0)</f>
      </c>
      <c r="G15" s="761">
        <f>IF(GetFillColor(G15)&lt;0,SUM(Planning!$DR68:$EO68),0)</f>
      </c>
      <c r="H15" s="761">
        <v>0</v>
      </c>
      <c r="I15" s="761">
        <v>0</v>
      </c>
      <c r="J15" s="762">
        <f>IF(GetFillColor(J15)&lt;0,SUM(Planning!$HD68:$IA68),0)</f>
      </c>
      <c r="K15" s="762">
        <f>IF(GetFillColor(K15)&lt;0,SUM(Planning!$IG68:$JD68),0)</f>
      </c>
      <c r="L15" s="762">
        <f>IF(GetFillColor(L15)&lt;0,SUM(Planning!$JJ68:$KG68),0)</f>
      </c>
      <c r="M15" s="762">
        <f>IF(GetFillColor(M15)&lt;0,SUM(Planning!$KM68:$LJ68),0)</f>
      </c>
      <c r="N15" s="762">
        <f>IF(GetFillColor(N15)&lt;0,SUM(Planning!$LP68:$MM68),0)</f>
      </c>
      <c r="O15" s="761">
        <v>0</v>
      </c>
      <c r="P15" s="761">
        <v>0</v>
      </c>
      <c r="Q15" s="762">
        <f>IF(GetFillColor(Q15)&lt;0,SUM(Planning!$PB68:$PY68),0)</f>
      </c>
      <c r="R15" s="762">
        <f>IF(GetFillColor(R15)&lt;0,SUM(Planning!$QE68:$RB68),0)</f>
      </c>
      <c r="S15" s="762">
        <f>IF(GetFillColor(S15)&lt;0,SUM(Planning!$RH68:$SE68),0)</f>
      </c>
      <c r="T15" s="762">
        <f>IF(GetFillColor(T15)&lt;0,SUM(Planning!$SK68:$TH68),0)</f>
      </c>
      <c r="U15" s="762">
        <f>IF(GetFillColor(U15)&lt;0,SUM(Planning!$TN68:$UK68),0)</f>
      </c>
      <c r="V15" s="761">
        <v>0</v>
      </c>
      <c r="W15" s="761">
        <v>0</v>
      </c>
      <c r="X15" s="762">
        <f>IF(GetFillColor(X15)&lt;0,SUM(Planning!$WZ68:$XW68),0)</f>
      </c>
      <c r="Y15" s="762">
        <f>IF(GetFillColor(Y15)&lt;0,SUM(Planning!$YC68:$YZ68),0)</f>
      </c>
      <c r="Z15" s="762">
        <f>IF(GetFillColor(Z15)&lt;0,SUM(Planning!$ZF68:$AAC68),0)</f>
      </c>
      <c r="AA15" s="762">
        <f>IF(GetFillColor(AA15)&lt;0,SUM(Planning!$AAI68:$ABF68),0)</f>
      </c>
      <c r="AB15" s="762">
        <f>IF(GetFillColor(AB15)&lt;0,SUM(Planning!$ABL68:$ACI68),0)</f>
      </c>
      <c r="AC15" s="761">
        <v>0</v>
      </c>
      <c r="AD15" s="761">
        <v>0</v>
      </c>
      <c r="AE15" s="762">
        <f>IF(GetFillColor(AE15)&lt;0,SUM(Planning!$AEX68:$AFU68),0)</f>
      </c>
      <c r="AF15" s="762">
        <f>IF(GetFillColor(AF15)&lt;0,SUM(Planning!$AGA68:$AGX68),0)</f>
      </c>
      <c r="AG15" s="762">
        <f>IF(GetFillColor(AG15)&lt;0,SUM(Planning!$AHD68:$AIA68),0)</f>
      </c>
      <c r="AH15" s="762">
        <f>IF(GetFillColor(AH15)&lt;0,SUM(Planning!$AIG68:$AJD68),0)</f>
      </c>
      <c r="AI15" s="762">
        <f>IF(GetFillColor(AI15)&lt;0,SUM(Planning!$AJJ68:$AKG68),0)</f>
      </c>
      <c r="AJ15" s="761">
        <v>0</v>
      </c>
      <c r="AK15" s="766">
        <v>0</v>
      </c>
      <c r="AL15" s="698">
        <f>SUM(C15:AK15)</f>
      </c>
      <c r="AM15" s="4"/>
      <c r="AN15" s="4"/>
    </row>
    <row r="16" ht="20.25" customHeight="1" spans="1:40" x14ac:dyDescent="0.25">
      <c r="A16" s="4">
        <f>Planning!B69</f>
      </c>
      <c r="B16" s="4"/>
      <c r="C16" s="766">
        <f>IF(GetFillColor(C16)&lt;0,SUM(Planning!$F69:$AC69),0)</f>
      </c>
      <c r="D16" s="766">
        <f>IF(GetFillColor(D16)&lt;0,SUM(Planning!$AI69:$BF69),0)</f>
      </c>
      <c r="E16" s="766">
        <f>IF(GetFillColor(E16)&lt;0,SUM(Planning!$BL69:$CI69),0)</f>
      </c>
      <c r="F16" s="761">
        <f>IF(GetFillColor(F16)&lt;0,SUM(Planning!$CO69:$DL69),0)</f>
      </c>
      <c r="G16" s="761">
        <f>IF(GetFillColor(G16)&lt;0,SUM(Planning!$DR69:$EO69),0)</f>
      </c>
      <c r="H16" s="761">
        <v>0</v>
      </c>
      <c r="I16" s="761">
        <v>0</v>
      </c>
      <c r="J16" s="762">
        <f>IF(GetFillColor(J16)&lt;0,SUM(Planning!$HD69:$IA69),0)</f>
      </c>
      <c r="K16" s="762">
        <f>IF(GetFillColor(K16)&lt;0,SUM(Planning!$IG69:$JD69),0)</f>
      </c>
      <c r="L16" s="762">
        <f>IF(GetFillColor(L16)&lt;0,SUM(Planning!$JJ69:$KG69),0)</f>
      </c>
      <c r="M16" s="762">
        <f>IF(GetFillColor(M16)&lt;0,SUM(Planning!$KM69:$LJ69),0)</f>
      </c>
      <c r="N16" s="762">
        <f>IF(GetFillColor(N16)&lt;0,SUM(Planning!$LP69:$MM69),0)</f>
      </c>
      <c r="O16" s="761">
        <v>0</v>
      </c>
      <c r="P16" s="761">
        <v>0</v>
      </c>
      <c r="Q16" s="762">
        <f>IF(GetFillColor(Q16)&lt;0,SUM(Planning!$PB69:$PY69),0)</f>
      </c>
      <c r="R16" s="762">
        <f>IF(GetFillColor(R16)&lt;0,SUM(Planning!$QE69:$RB69),0)</f>
      </c>
      <c r="S16" s="762">
        <f>IF(GetFillColor(S16)&lt;0,SUM(Planning!$RH69:$SE69),0)</f>
      </c>
      <c r="T16" s="762">
        <f>IF(GetFillColor(T16)&lt;0,SUM(Planning!$SK69:$TH69),0)</f>
      </c>
      <c r="U16" s="762">
        <f>IF(GetFillColor(U16)&lt;0,SUM(Planning!$TN69:$UK69),0)</f>
      </c>
      <c r="V16" s="761">
        <v>0</v>
      </c>
      <c r="W16" s="761">
        <v>0</v>
      </c>
      <c r="X16" s="762">
        <f>IF(GetFillColor(X16)&lt;0,SUM(Planning!$WZ69:$XW69),0)</f>
      </c>
      <c r="Y16" s="762">
        <f>IF(GetFillColor(Y16)&lt;0,SUM(Planning!$YC69:$YZ69),0)</f>
      </c>
      <c r="Z16" s="762">
        <f>IF(GetFillColor(Z16)&lt;0,SUM(Planning!$ZF69:$AAC69),0)</f>
      </c>
      <c r="AA16" s="762">
        <f>IF(GetFillColor(AA16)&lt;0,SUM(Planning!$AAI69:$ABF69),0)</f>
      </c>
      <c r="AB16" s="762">
        <f>IF(GetFillColor(AB16)&lt;0,SUM(Planning!$ABL69:$ACI69),0)</f>
      </c>
      <c r="AC16" s="761">
        <v>0</v>
      </c>
      <c r="AD16" s="761">
        <v>0</v>
      </c>
      <c r="AE16" s="762">
        <f>IF(GetFillColor(AE16)&lt;0,SUM(Planning!$AEX69:$AFU69),0)</f>
      </c>
      <c r="AF16" s="762">
        <f>IF(GetFillColor(AF16)&lt;0,SUM(Planning!$AGA69:$AGX69),0)</f>
      </c>
      <c r="AG16" s="762">
        <f>IF(GetFillColor(AG16)&lt;0,SUM(Planning!$AHD69:$AIA69),0)</f>
      </c>
      <c r="AH16" s="762">
        <f>IF(GetFillColor(AH16)&lt;0,SUM(Planning!$AIG69:$AJD69),0)</f>
      </c>
      <c r="AI16" s="762">
        <f>IF(GetFillColor(AI16)&lt;0,SUM(Planning!$AJJ69:$AKG69),0)</f>
      </c>
      <c r="AJ16" s="761">
        <v>0</v>
      </c>
      <c r="AK16" s="766">
        <v>0</v>
      </c>
      <c r="AL16" s="698">
        <f>SUM(C16:AK16)</f>
      </c>
      <c r="AM16" s="4"/>
      <c r="AN16" s="4"/>
    </row>
    <row r="17" ht="20.25" customHeight="1" spans="1:40" x14ac:dyDescent="0.25">
      <c r="A17" s="4">
        <f>Planning!B70</f>
      </c>
      <c r="B17" s="4"/>
      <c r="C17" s="766">
        <f>IF(GetFillColor(C17)&lt;0,SUM(Planning!$F70:$AC70),0)</f>
      </c>
      <c r="D17" s="766">
        <f>IF(GetFillColor(D17)&lt;0,SUM(Planning!$AI70:$BF70),0)</f>
      </c>
      <c r="E17" s="766">
        <f>IF(GetFillColor(E17)&lt;0,SUM(Planning!$BL70:$CI70),0)</f>
      </c>
      <c r="F17" s="761">
        <f>IF(GetFillColor(F17)&lt;0,SUM(Planning!$CO70:$DL70),0)</f>
      </c>
      <c r="G17" s="761">
        <f>IF(GetFillColor(G17)&lt;0,SUM(Planning!$DR70:$EO70),0)</f>
      </c>
      <c r="H17" s="761">
        <v>0</v>
      </c>
      <c r="I17" s="761">
        <v>0</v>
      </c>
      <c r="J17" s="762">
        <f>IF(GetFillColor(J17)&lt;0,SUM(Planning!$HD70:$IA70),0)</f>
      </c>
      <c r="K17" s="762">
        <f>IF(GetFillColor(K17)&lt;0,SUM(Planning!$IG70:$JD70),0)</f>
      </c>
      <c r="L17" s="762">
        <f>IF(GetFillColor(L17)&lt;0,SUM(Planning!$JJ70:$KG70),0)</f>
      </c>
      <c r="M17" s="762">
        <f>IF(GetFillColor(M17)&lt;0,SUM(Planning!$KM70:$LJ70),0)</f>
      </c>
      <c r="N17" s="762">
        <f>IF(GetFillColor(N17)&lt;0,SUM(Planning!$LP70:$MM70),0)</f>
      </c>
      <c r="O17" s="761">
        <v>0</v>
      </c>
      <c r="P17" s="761">
        <v>0</v>
      </c>
      <c r="Q17" s="762">
        <f>IF(GetFillColor(Q17)&lt;0,SUM(Planning!$PB70:$PY70),0)</f>
      </c>
      <c r="R17" s="762">
        <f>IF(GetFillColor(R17)&lt;0,SUM(Planning!$QE70:$RB70),0)</f>
      </c>
      <c r="S17" s="762">
        <f>IF(GetFillColor(S17)&lt;0,SUM(Planning!$RH70:$SE70),0)</f>
      </c>
      <c r="T17" s="762">
        <f>IF(GetFillColor(T17)&lt;0,SUM(Planning!$SK70:$TH70),0)</f>
      </c>
      <c r="U17" s="762">
        <f>IF(GetFillColor(U17)&lt;0,SUM(Planning!$TN70:$UK70),0)</f>
      </c>
      <c r="V17" s="761">
        <v>0</v>
      </c>
      <c r="W17" s="761">
        <v>0</v>
      </c>
      <c r="X17" s="762">
        <f>IF(GetFillColor(X17)&lt;0,SUM(Planning!$WZ70:$XW70),0)</f>
      </c>
      <c r="Y17" s="762">
        <f>IF(GetFillColor(Y17)&lt;0,SUM(Planning!$YC70:$YZ70),0)</f>
      </c>
      <c r="Z17" s="762">
        <f>IF(GetFillColor(Z17)&lt;0,SUM(Planning!$ZF70:$AAC70),0)</f>
      </c>
      <c r="AA17" s="762">
        <f>IF(GetFillColor(AA17)&lt;0,SUM(Planning!$AAI70:$ABF70),0)</f>
      </c>
      <c r="AB17" s="762">
        <f>IF(GetFillColor(AB17)&lt;0,SUM(Planning!$ABL70:$ACI70),0)</f>
      </c>
      <c r="AC17" s="761">
        <v>0</v>
      </c>
      <c r="AD17" s="761">
        <v>0</v>
      </c>
      <c r="AE17" s="762">
        <f>IF(GetFillColor(AE17)&lt;0,SUM(Planning!$AEX70:$AFU70),0)</f>
      </c>
      <c r="AF17" s="762">
        <f>IF(GetFillColor(AF17)&lt;0,SUM(Planning!$AGA70:$AGX70),0)</f>
      </c>
      <c r="AG17" s="762">
        <f>IF(GetFillColor(AG17)&lt;0,SUM(Planning!$AHD70:$AIA70),0)</f>
      </c>
      <c r="AH17" s="762">
        <f>IF(GetFillColor(AH17)&lt;0,SUM(Planning!$AIG70:$AJD70),0)</f>
      </c>
      <c r="AI17" s="762">
        <f>IF(GetFillColor(AI17)&lt;0,SUM(Planning!$AJJ70:$AKG70),0)</f>
      </c>
      <c r="AJ17" s="761">
        <v>0</v>
      </c>
      <c r="AK17" s="766">
        <v>0</v>
      </c>
      <c r="AL17" s="698">
        <f>SUM(C17:AK17)</f>
      </c>
      <c r="AM17" s="4"/>
      <c r="AN17" s="4"/>
    </row>
    <row r="18" ht="20.25" customHeight="1" spans="1:40" x14ac:dyDescent="0.25">
      <c r="A18" s="4">
        <f>Planning!B71</f>
      </c>
      <c r="B18" s="4"/>
      <c r="C18" s="766">
        <f>IF(GetFillColor(C18)&lt;0,SUM(Planning!$F71:$AC71),0)</f>
      </c>
      <c r="D18" s="766">
        <f>IF(GetFillColor(D18)&lt;0,SUM(Planning!$AI71:$BF71),0)</f>
      </c>
      <c r="E18" s="766">
        <f>IF(GetFillColor(E18)&lt;0,SUM(Planning!$BL71:$CI71),0)</f>
      </c>
      <c r="F18" s="761">
        <f>IF(GetFillColor(F18)&lt;0,SUM(Planning!$CO71:$DL71),0)</f>
      </c>
      <c r="G18" s="761">
        <f>IF(GetFillColor(G18)&lt;0,SUM(Planning!$DR71:$EO71),0)</f>
      </c>
      <c r="H18" s="761">
        <v>0</v>
      </c>
      <c r="I18" s="761">
        <v>0</v>
      </c>
      <c r="J18" s="762">
        <f>IF(GetFillColor(J18)&lt;0,SUM(Planning!$HD71:$IA71),0)</f>
      </c>
      <c r="K18" s="762">
        <f>IF(GetFillColor(K18)&lt;0,SUM(Planning!$IG71:$JD71),0)</f>
      </c>
      <c r="L18" s="762">
        <f>IF(GetFillColor(L18)&lt;0,SUM(Planning!$JJ71:$KG71),0)</f>
      </c>
      <c r="M18" s="762">
        <f>IF(GetFillColor(M18)&lt;0,SUM(Planning!$KM71:$LJ71),0)</f>
      </c>
      <c r="N18" s="762">
        <f>IF(GetFillColor(N18)&lt;0,SUM(Planning!$LP71:$MM71),0)</f>
      </c>
      <c r="O18" s="761">
        <v>0</v>
      </c>
      <c r="P18" s="761">
        <v>0</v>
      </c>
      <c r="Q18" s="762">
        <f>IF(GetFillColor(Q18)&lt;0,SUM(Planning!$PB71:$PY71),0)</f>
      </c>
      <c r="R18" s="762">
        <f>IF(GetFillColor(R18)&lt;0,SUM(Planning!$QE71:$RB71),0)</f>
      </c>
      <c r="S18" s="762">
        <f>IF(GetFillColor(S18)&lt;0,SUM(Planning!$RH71:$SE71),0)</f>
      </c>
      <c r="T18" s="762">
        <f>IF(GetFillColor(T18)&lt;0,SUM(Planning!$SK71:$TH71),0)</f>
      </c>
      <c r="U18" s="762">
        <f>IF(GetFillColor(U18)&lt;0,SUM(Planning!$TN71:$UK71),0)</f>
      </c>
      <c r="V18" s="761">
        <v>0</v>
      </c>
      <c r="W18" s="761">
        <v>0</v>
      </c>
      <c r="X18" s="762">
        <f>IF(GetFillColor(X18)&lt;0,SUM(Planning!$WZ71:$XW71),0)</f>
      </c>
      <c r="Y18" s="762">
        <f>IF(GetFillColor(Y18)&lt;0,SUM(Planning!$YC71:$YZ71),0)</f>
      </c>
      <c r="Z18" s="762">
        <f>IF(GetFillColor(Z18)&lt;0,SUM(Planning!$ZF71:$AAC71),0)</f>
      </c>
      <c r="AA18" s="762">
        <f>IF(GetFillColor(AA18)&lt;0,SUM(Planning!$AAI71:$ABF71),0)</f>
      </c>
      <c r="AB18" s="762">
        <f>IF(GetFillColor(AB18)&lt;0,SUM(Planning!$ABL71:$ACI71),0)</f>
      </c>
      <c r="AC18" s="761">
        <v>0</v>
      </c>
      <c r="AD18" s="761">
        <v>0</v>
      </c>
      <c r="AE18" s="762">
        <f>IF(GetFillColor(AE18)&lt;0,SUM(Planning!$AEX71:$AFU71),0)</f>
      </c>
      <c r="AF18" s="762">
        <f>IF(GetFillColor(AF18)&lt;0,SUM(Planning!$AGA71:$AGX71),0)</f>
      </c>
      <c r="AG18" s="762">
        <f>IF(GetFillColor(AG18)&lt;0,SUM(Planning!$AHD71:$AIA71),0)</f>
      </c>
      <c r="AH18" s="762">
        <f>IF(GetFillColor(AH18)&lt;0,SUM(Planning!$AIG71:$AJD71),0)</f>
      </c>
      <c r="AI18" s="762">
        <f>IF(GetFillColor(AI18)&lt;0,SUM(Planning!$AJJ71:$AKG71),0)</f>
      </c>
      <c r="AJ18" s="761">
        <v>0</v>
      </c>
      <c r="AK18" s="766">
        <v>0</v>
      </c>
      <c r="AL18" s="698">
        <f>SUM(C18:AK18)</f>
      </c>
      <c r="AM18" s="4"/>
      <c r="AN18" s="4"/>
    </row>
    <row r="19" ht="20.25" customHeight="1" spans="1:40" x14ac:dyDescent="0.25">
      <c r="A19" s="4">
        <f>Planning!B72</f>
      </c>
      <c r="B19" s="4"/>
      <c r="C19" s="766">
        <f>IF(GetFillColor(C19)&lt;0,SUM(Planning!$F72:$AC72),0)</f>
      </c>
      <c r="D19" s="766">
        <f>IF(GetFillColor(D19)&lt;0,SUM(Planning!$AI72:$BF72),0)</f>
      </c>
      <c r="E19" s="766">
        <f>IF(GetFillColor(E19)&lt;0,SUM(Planning!$BL72:$CI72),0)</f>
      </c>
      <c r="F19" s="761">
        <f>IF(GetFillColor(F19)&lt;0,SUM(Planning!$CO72:$DL72),0)</f>
      </c>
      <c r="G19" s="761">
        <f>IF(GetFillColor(G19)&lt;0,SUM(Planning!$DR72:$EO72),0)</f>
      </c>
      <c r="H19" s="761">
        <v>0</v>
      </c>
      <c r="I19" s="761">
        <v>0</v>
      </c>
      <c r="J19" s="762">
        <f>IF(GetFillColor(J19)&lt;0,SUM(Planning!$HD72:$IA72),0)</f>
      </c>
      <c r="K19" s="762">
        <f>IF(GetFillColor(K19)&lt;0,SUM(Planning!$IG72:$JD72),0)</f>
      </c>
      <c r="L19" s="762">
        <f>IF(GetFillColor(L19)&lt;0,SUM(Planning!$JJ72:$KG72),0)</f>
      </c>
      <c r="M19" s="762">
        <f>IF(GetFillColor(M19)&lt;0,SUM(Planning!$KM72:$LJ72),0)</f>
      </c>
      <c r="N19" s="762">
        <f>IF(GetFillColor(N19)&lt;0,SUM(Planning!$LP72:$MM72),0)</f>
      </c>
      <c r="O19" s="761">
        <v>0</v>
      </c>
      <c r="P19" s="761">
        <v>0</v>
      </c>
      <c r="Q19" s="762">
        <f>IF(GetFillColor(Q19)&lt;0,SUM(Planning!$PB72:$PY72),0)</f>
      </c>
      <c r="R19" s="762">
        <f>IF(GetFillColor(R19)&lt;0,SUM(Planning!$QE72:$RB72),0)</f>
      </c>
      <c r="S19" s="762">
        <f>IF(GetFillColor(S19)&lt;0,SUM(Planning!$RH72:$SE72),0)</f>
      </c>
      <c r="T19" s="762">
        <f>IF(GetFillColor(T19)&lt;0,SUM(Planning!$SK72:$TH72),0)</f>
      </c>
      <c r="U19" s="762">
        <f>IF(GetFillColor(U19)&lt;0,SUM(Planning!$TN72:$UK72),0)</f>
      </c>
      <c r="V19" s="761">
        <v>0</v>
      </c>
      <c r="W19" s="761">
        <v>0</v>
      </c>
      <c r="X19" s="762">
        <f>IF(GetFillColor(X19)&lt;0,SUM(Planning!$WZ72:$XW72),0)</f>
      </c>
      <c r="Y19" s="762">
        <f>IF(GetFillColor(Y19)&lt;0,SUM(Planning!$YC72:$YZ72),0)</f>
      </c>
      <c r="Z19" s="762">
        <f>IF(GetFillColor(Z19)&lt;0,SUM(Planning!$ZF72:$AAC72),0)</f>
      </c>
      <c r="AA19" s="762">
        <f>IF(GetFillColor(AA19)&lt;0,SUM(Planning!$AAI72:$ABF72),0)</f>
      </c>
      <c r="AB19" s="762">
        <f>IF(GetFillColor(AB19)&lt;0,SUM(Planning!$ABL72:$ACI72),0)</f>
      </c>
      <c r="AC19" s="761">
        <v>0</v>
      </c>
      <c r="AD19" s="761">
        <v>0</v>
      </c>
      <c r="AE19" s="762">
        <f>IF(GetFillColor(AE19)&lt;0,SUM(Planning!$AEX72:$AFU72),0)</f>
      </c>
      <c r="AF19" s="762">
        <f>IF(GetFillColor(AF19)&lt;0,SUM(Planning!$AGA72:$AGX72),0)</f>
      </c>
      <c r="AG19" s="762">
        <f>IF(GetFillColor(AG19)&lt;0,SUM(Planning!$AHD72:$AIA72),0)</f>
      </c>
      <c r="AH19" s="762">
        <f>IF(GetFillColor(AH19)&lt;0,SUM(Planning!$AIG72:$AJD72),0)</f>
      </c>
      <c r="AI19" s="762">
        <f>IF(GetFillColor(AI19)&lt;0,SUM(Planning!$AJJ72:$AKG72),0)</f>
      </c>
      <c r="AJ19" s="761">
        <v>0</v>
      </c>
      <c r="AK19" s="766">
        <v>0</v>
      </c>
      <c r="AL19" s="698">
        <f>SUM(C19:AK19)</f>
      </c>
      <c r="AM19" s="4"/>
      <c r="AN19" s="4"/>
    </row>
    <row r="20" ht="20.25" customHeight="1" spans="1:40" x14ac:dyDescent="0.25">
      <c r="A20" s="4">
        <f>Planning!B73</f>
      </c>
      <c r="B20" s="4"/>
      <c r="C20" s="766">
        <f>IF(GetFillColor(C20)&lt;0,SUM(Planning!$F73:$AC73),0)</f>
      </c>
      <c r="D20" s="766">
        <f>IF(GetFillColor(D20)&lt;0,SUM(Planning!$AI73:$BF73),0)</f>
      </c>
      <c r="E20" s="766">
        <f>IF(GetFillColor(E20)&lt;0,SUM(Planning!$BL73:$CI73),0)</f>
      </c>
      <c r="F20" s="761">
        <f>IF(GetFillColor(F20)&lt;0,SUM(Planning!$CO73:$DL73),0)</f>
      </c>
      <c r="G20" s="761">
        <f>IF(GetFillColor(G20)&lt;0,SUM(Planning!$DR73:$EO73),0)</f>
      </c>
      <c r="H20" s="761">
        <v>0</v>
      </c>
      <c r="I20" s="761">
        <v>0</v>
      </c>
      <c r="J20" s="762">
        <f>IF(GetFillColor(J20)&lt;0,SUM(Planning!$HD73:$IA73),0)</f>
      </c>
      <c r="K20" s="762">
        <f>IF(GetFillColor(K20)&lt;0,SUM(Planning!$IG73:$JD73),0)</f>
      </c>
      <c r="L20" s="762">
        <f>IF(GetFillColor(L20)&lt;0,SUM(Planning!$JJ73:$KG73),0)</f>
      </c>
      <c r="M20" s="762">
        <f>IF(GetFillColor(M20)&lt;0,SUM(Planning!$KM73:$LJ73),0)</f>
      </c>
      <c r="N20" s="762">
        <f>IF(GetFillColor(N20)&lt;0,SUM(Planning!$LP73:$MM73),0)</f>
      </c>
      <c r="O20" s="761">
        <v>0</v>
      </c>
      <c r="P20" s="761">
        <v>0</v>
      </c>
      <c r="Q20" s="762">
        <f>IF(GetFillColor(Q20)&lt;0,SUM(Planning!$PB73:$PY73),0)</f>
      </c>
      <c r="R20" s="762">
        <f>IF(GetFillColor(R20)&lt;0,SUM(Planning!$QE73:$RB73),0)</f>
      </c>
      <c r="S20" s="762">
        <f>IF(GetFillColor(S20)&lt;0,SUM(Planning!$RH73:$SE73),0)</f>
      </c>
      <c r="T20" s="762">
        <f>IF(GetFillColor(T20)&lt;0,SUM(Planning!$SK73:$TH73),0)</f>
      </c>
      <c r="U20" s="762">
        <f>IF(GetFillColor(U20)&lt;0,SUM(Planning!$TN73:$UK73),0)</f>
      </c>
      <c r="V20" s="761">
        <v>0</v>
      </c>
      <c r="W20" s="761">
        <v>0</v>
      </c>
      <c r="X20" s="762">
        <f>IF(GetFillColor(X20)&lt;0,SUM(Planning!$WZ73:$XW73),0)</f>
      </c>
      <c r="Y20" s="762">
        <f>IF(GetFillColor(Y20)&lt;0,SUM(Planning!$YC73:$YZ73),0)</f>
      </c>
      <c r="Z20" s="762">
        <f>IF(GetFillColor(Z20)&lt;0,SUM(Planning!$ZF73:$AAC73),0)</f>
      </c>
      <c r="AA20" s="762">
        <f>IF(GetFillColor(AA20)&lt;0,SUM(Planning!$AAI73:$ABF73),0)</f>
      </c>
      <c r="AB20" s="762">
        <f>IF(GetFillColor(AB20)&lt;0,SUM(Planning!$ABL73:$ACI73),0)</f>
      </c>
      <c r="AC20" s="761">
        <v>0</v>
      </c>
      <c r="AD20" s="761">
        <v>0</v>
      </c>
      <c r="AE20" s="762">
        <f>IF(GetFillColor(AE20)&lt;0,SUM(Planning!$AEX73:$AFU73),0)</f>
      </c>
      <c r="AF20" s="762">
        <f>IF(GetFillColor(AF20)&lt;0,SUM(Planning!$AGA73:$AGX73),0)</f>
      </c>
      <c r="AG20" s="762">
        <f>IF(GetFillColor(AG20)&lt;0,SUM(Planning!$AHD73:$AIA73),0)</f>
      </c>
      <c r="AH20" s="762">
        <f>IF(GetFillColor(AH20)&lt;0,SUM(Planning!$AIG73:$AJD73),0)</f>
      </c>
      <c r="AI20" s="762">
        <f>IF(GetFillColor(AI20)&lt;0,SUM(Planning!$AJJ73:$AKG73),0)</f>
      </c>
      <c r="AJ20" s="761">
        <v>0</v>
      </c>
      <c r="AK20" s="766">
        <v>0</v>
      </c>
      <c r="AL20" s="698">
        <f>SUM(C20:AK20)</f>
      </c>
      <c r="AM20" s="4"/>
      <c r="AN20" s="4"/>
    </row>
    <row r="21" ht="20.25" customHeight="1" spans="1:40" x14ac:dyDescent="0.25">
      <c r="A21" s="4">
        <f>Planning!B74</f>
      </c>
      <c r="B21" s="4"/>
      <c r="C21" s="766">
        <f>IF(GetFillColor(C21)&lt;0,SUM(Planning!$F74:$AC74),0)</f>
      </c>
      <c r="D21" s="766">
        <f>IF(GetFillColor(D21)&lt;0,SUM(Planning!$AI74:$BF74),0)</f>
      </c>
      <c r="E21" s="766">
        <f>IF(GetFillColor(E21)&lt;0,SUM(Planning!$BL74:$CI74),0)</f>
      </c>
      <c r="F21" s="761">
        <f>IF(GetFillColor(F21)&lt;0,SUM(Planning!$CO74:$DL74),0)</f>
      </c>
      <c r="G21" s="761">
        <f>IF(GetFillColor(G21)&lt;0,SUM(Planning!$DR74:$EO74),0)</f>
      </c>
      <c r="H21" s="761">
        <v>0</v>
      </c>
      <c r="I21" s="761">
        <v>0</v>
      </c>
      <c r="J21" s="762">
        <f>IF(GetFillColor(J21)&lt;0,SUM(Planning!$HD74:$IA74),0)</f>
      </c>
      <c r="K21" s="762">
        <f>IF(GetFillColor(K21)&lt;0,SUM(Planning!$IG74:$JD74),0)</f>
      </c>
      <c r="L21" s="762">
        <f>IF(GetFillColor(L21)&lt;0,SUM(Planning!$JJ74:$KG74),0)</f>
      </c>
      <c r="M21" s="762">
        <f>IF(GetFillColor(M21)&lt;0,SUM(Planning!$KM74:$LJ74),0)</f>
      </c>
      <c r="N21" s="762">
        <f>IF(GetFillColor(N21)&lt;0,SUM(Planning!$LP74:$MM74),0)</f>
      </c>
      <c r="O21" s="761">
        <v>0</v>
      </c>
      <c r="P21" s="761">
        <v>0</v>
      </c>
      <c r="Q21" s="762">
        <f>IF(GetFillColor(Q21)&lt;0,SUM(Planning!$PB74:$PY74),0)</f>
      </c>
      <c r="R21" s="762">
        <f>IF(GetFillColor(R21)&lt;0,SUM(Planning!$QE74:$RB74),0)</f>
      </c>
      <c r="S21" s="762">
        <f>IF(GetFillColor(S21)&lt;0,SUM(Planning!$RH74:$SE74),0)</f>
      </c>
      <c r="T21" s="762">
        <f>IF(GetFillColor(T21)&lt;0,SUM(Planning!$SK74:$TH74),0)</f>
      </c>
      <c r="U21" s="762">
        <f>IF(GetFillColor(U21)&lt;0,SUM(Planning!$TN74:$UK74),0)</f>
      </c>
      <c r="V21" s="761">
        <v>0</v>
      </c>
      <c r="W21" s="761">
        <v>0</v>
      </c>
      <c r="X21" s="762">
        <f>IF(GetFillColor(X21)&lt;0,SUM(Planning!$WZ74:$XW74),0)</f>
      </c>
      <c r="Y21" s="762">
        <f>IF(GetFillColor(Y21)&lt;0,SUM(Planning!$YC74:$YZ74),0)</f>
      </c>
      <c r="Z21" s="762">
        <f>IF(GetFillColor(Z21)&lt;0,SUM(Planning!$ZF74:$AAC74),0)</f>
      </c>
      <c r="AA21" s="762">
        <f>IF(GetFillColor(AA21)&lt;0,SUM(Planning!$AAI74:$ABF74),0)</f>
      </c>
      <c r="AB21" s="762">
        <f>IF(GetFillColor(AB21)&lt;0,SUM(Planning!$ABL74:$ACI74),0)</f>
      </c>
      <c r="AC21" s="761">
        <v>0</v>
      </c>
      <c r="AD21" s="761">
        <v>0</v>
      </c>
      <c r="AE21" s="762">
        <f>IF(GetFillColor(AE21)&lt;0,SUM(Planning!$AEX74:$AFU74),0)</f>
      </c>
      <c r="AF21" s="762">
        <f>IF(GetFillColor(AF21)&lt;0,SUM(Planning!$AGA74:$AGX74),0)</f>
      </c>
      <c r="AG21" s="762">
        <f>IF(GetFillColor(AG21)&lt;0,SUM(Planning!$AHD74:$AIA74),0)</f>
      </c>
      <c r="AH21" s="762">
        <f>IF(GetFillColor(AH21)&lt;0,SUM(Planning!$AIG74:$AJD74),0)</f>
      </c>
      <c r="AI21" s="762">
        <f>IF(GetFillColor(AI21)&lt;0,SUM(Planning!$AJJ74:$AKG74),0)</f>
      </c>
      <c r="AJ21" s="761">
        <v>0</v>
      </c>
      <c r="AK21" s="766">
        <v>0</v>
      </c>
      <c r="AL21" s="698">
        <f>SUM(C21:AK21)</f>
      </c>
      <c r="AM21" s="4"/>
      <c r="AN21" s="4"/>
    </row>
    <row r="22" ht="20.25" customHeight="1" spans="1:40" x14ac:dyDescent="0.25">
      <c r="A22" s="4">
        <f>Planning!B75</f>
      </c>
      <c r="B22" s="4"/>
      <c r="C22" s="766">
        <f>IF(GetFillColor(C22)&lt;0,SUM(Planning!$F75:$AC75),0)</f>
      </c>
      <c r="D22" s="766">
        <f>IF(GetFillColor(D22)&lt;0,SUM(Planning!$AI75:$BF75),0)</f>
      </c>
      <c r="E22" s="766">
        <f>IF(GetFillColor(E22)&lt;0,SUM(Planning!$BL75:$CI75),0)</f>
      </c>
      <c r="F22" s="761">
        <f>IF(GetFillColor(F22)&lt;0,SUM(Planning!$CO75:$DL75),0)</f>
      </c>
      <c r="G22" s="761">
        <f>IF(GetFillColor(G22)&lt;0,SUM(Planning!$DR75:$EO75),0)</f>
      </c>
      <c r="H22" s="761">
        <v>0</v>
      </c>
      <c r="I22" s="761">
        <v>0</v>
      </c>
      <c r="J22" s="762">
        <f>IF(GetFillColor(J22)&lt;0,SUM(Planning!$HD75:$IA75),0)</f>
      </c>
      <c r="K22" s="762">
        <f>IF(GetFillColor(K22)&lt;0,SUM(Planning!$IG75:$JD75),0)</f>
      </c>
      <c r="L22" s="762">
        <f>IF(GetFillColor(L22)&lt;0,SUM(Planning!$JJ75:$KG75),0)</f>
      </c>
      <c r="M22" s="762">
        <f>IF(GetFillColor(M22)&lt;0,SUM(Planning!$KM75:$LJ75),0)</f>
      </c>
      <c r="N22" s="762">
        <f>IF(GetFillColor(N22)&lt;0,SUM(Planning!$LP75:$MM75),0)</f>
      </c>
      <c r="O22" s="761">
        <v>0</v>
      </c>
      <c r="P22" s="761">
        <v>0</v>
      </c>
      <c r="Q22" s="762">
        <f>IF(GetFillColor(Q22)&lt;0,SUM(Planning!$PB75:$PY75),0)</f>
      </c>
      <c r="R22" s="762">
        <f>IF(GetFillColor(R22)&lt;0,SUM(Planning!$QE75:$RB75),0)</f>
      </c>
      <c r="S22" s="762">
        <f>IF(GetFillColor(S22)&lt;0,SUM(Planning!$RH75:$SE75),0)</f>
      </c>
      <c r="T22" s="762">
        <f>IF(GetFillColor(T22)&lt;0,SUM(Planning!$SK75:$TH75),0)</f>
      </c>
      <c r="U22" s="762">
        <f>IF(GetFillColor(U22)&lt;0,SUM(Planning!$TN75:$UK75),0)</f>
      </c>
      <c r="V22" s="761">
        <v>0</v>
      </c>
      <c r="W22" s="761">
        <v>0</v>
      </c>
      <c r="X22" s="762">
        <f>IF(GetFillColor(X22)&lt;0,SUM(Planning!$WZ75:$XW75),0)</f>
      </c>
      <c r="Y22" s="762">
        <f>IF(GetFillColor(Y22)&lt;0,SUM(Planning!$YC75:$YZ75),0)</f>
      </c>
      <c r="Z22" s="762">
        <f>IF(GetFillColor(Z22)&lt;0,SUM(Planning!$ZF75:$AAC75),0)</f>
      </c>
      <c r="AA22" s="762">
        <f>IF(GetFillColor(AA22)&lt;0,SUM(Planning!$AAI75:$ABF75),0)</f>
      </c>
      <c r="AB22" s="762">
        <f>IF(GetFillColor(AB22)&lt;0,SUM(Planning!$ABL75:$ACI75),0)</f>
      </c>
      <c r="AC22" s="761">
        <v>0</v>
      </c>
      <c r="AD22" s="761">
        <v>0</v>
      </c>
      <c r="AE22" s="762">
        <f>IF(GetFillColor(AE22)&lt;0,SUM(Planning!$AEX75:$AFU75),0)</f>
      </c>
      <c r="AF22" s="762">
        <f>IF(GetFillColor(AF22)&lt;0,SUM(Planning!$AGA75:$AGX75),0)</f>
      </c>
      <c r="AG22" s="762">
        <f>IF(GetFillColor(AG22)&lt;0,SUM(Planning!$AHD75:$AIA75),0)</f>
      </c>
      <c r="AH22" s="762">
        <f>IF(GetFillColor(AH22)&lt;0,SUM(Planning!$AIG75:$AJD75),0)</f>
      </c>
      <c r="AI22" s="762">
        <f>IF(GetFillColor(AI22)&lt;0,SUM(Planning!$AJJ75:$AKG75),0)</f>
      </c>
      <c r="AJ22" s="761">
        <v>0</v>
      </c>
      <c r="AK22" s="766">
        <v>0</v>
      </c>
      <c r="AL22" s="698">
        <f>SUM(C22:AK22)</f>
      </c>
      <c r="AM22" s="4"/>
      <c r="AN22" s="4"/>
    </row>
    <row r="23" ht="20.25" customHeight="1" spans="1:40" x14ac:dyDescent="0.25">
      <c r="A23" s="4">
        <f>Planning!B76</f>
      </c>
      <c r="B23" s="4"/>
      <c r="C23" s="766">
        <f>IF(GetFillColor(C23)&lt;0,SUM(Planning!$F76:$AC76),0)</f>
      </c>
      <c r="D23" s="766">
        <f>IF(GetFillColor(D23)&lt;0,SUM(Planning!$AI76:$BF76),0)</f>
      </c>
      <c r="E23" s="766">
        <f>IF(GetFillColor(E23)&lt;0,SUM(Planning!$BL76:$CI76),0)</f>
      </c>
      <c r="F23" s="761">
        <f>IF(GetFillColor(F23)&lt;0,SUM(Planning!$CO76:$DL76),0)</f>
      </c>
      <c r="G23" s="761">
        <f>IF(GetFillColor(G23)&lt;0,SUM(Planning!$DR76:$EO76),0)</f>
      </c>
      <c r="H23" s="761">
        <v>0</v>
      </c>
      <c r="I23" s="761">
        <v>0</v>
      </c>
      <c r="J23" s="762">
        <f>IF(GetFillColor(J23)&lt;0,SUM(Planning!$HD76:$IA76),0)</f>
      </c>
      <c r="K23" s="762">
        <f>IF(GetFillColor(K23)&lt;0,SUM(Planning!$IG76:$JD76),0)</f>
      </c>
      <c r="L23" s="762">
        <f>IF(GetFillColor(L23)&lt;0,SUM(Planning!$JJ76:$KG76),0)</f>
      </c>
      <c r="M23" s="762">
        <f>IF(GetFillColor(M23)&lt;0,SUM(Planning!$KM76:$LJ76),0)</f>
      </c>
      <c r="N23" s="762">
        <f>IF(GetFillColor(N23)&lt;0,SUM(Planning!$LP76:$MM76),0)</f>
      </c>
      <c r="O23" s="761">
        <v>0</v>
      </c>
      <c r="P23" s="761">
        <v>0</v>
      </c>
      <c r="Q23" s="762">
        <f>IF(GetFillColor(Q23)&lt;0,SUM(Planning!$PB76:$PY76),0)</f>
      </c>
      <c r="R23" s="762">
        <f>IF(GetFillColor(R23)&lt;0,SUM(Planning!$QE76:$RB76),0)</f>
      </c>
      <c r="S23" s="762">
        <f>IF(GetFillColor(S23)&lt;0,SUM(Planning!$RH76:$SE76),0)</f>
      </c>
      <c r="T23" s="762">
        <f>IF(GetFillColor(T23)&lt;0,SUM(Planning!$SK76:$TH76),0)</f>
      </c>
      <c r="U23" s="762">
        <f>IF(GetFillColor(U23)&lt;0,SUM(Planning!$TN76:$UK76),0)</f>
      </c>
      <c r="V23" s="761">
        <v>0</v>
      </c>
      <c r="W23" s="761">
        <v>0</v>
      </c>
      <c r="X23" s="762">
        <f>IF(GetFillColor(X23)&lt;0,SUM(Planning!$WZ76:$XW76),0)</f>
      </c>
      <c r="Y23" s="762">
        <f>IF(GetFillColor(Y23)&lt;0,SUM(Planning!$YC76:$YZ76),0)</f>
      </c>
      <c r="Z23" s="762">
        <f>IF(GetFillColor(Z23)&lt;0,SUM(Planning!$ZF76:$AAC76),0)</f>
      </c>
      <c r="AA23" s="762">
        <f>IF(GetFillColor(AA23)&lt;0,SUM(Planning!$AAI76:$ABF76),0)</f>
      </c>
      <c r="AB23" s="762">
        <f>IF(GetFillColor(AB23)&lt;0,SUM(Planning!$ABL76:$ACI76),0)</f>
      </c>
      <c r="AC23" s="761">
        <v>0</v>
      </c>
      <c r="AD23" s="761">
        <v>0</v>
      </c>
      <c r="AE23" s="762">
        <f>IF(GetFillColor(AE23)&lt;0,SUM(Planning!$AEX76:$AFU76),0)</f>
      </c>
      <c r="AF23" s="762">
        <f>IF(GetFillColor(AF23)&lt;0,SUM(Planning!$AGA76:$AGX76),0)</f>
      </c>
      <c r="AG23" s="762">
        <f>IF(GetFillColor(AG23)&lt;0,SUM(Planning!$AHD76:$AIA76),0)</f>
      </c>
      <c r="AH23" s="762">
        <f>IF(GetFillColor(AH23)&lt;0,SUM(Planning!$AIG76:$AJD76),0)</f>
      </c>
      <c r="AI23" s="762">
        <f>IF(GetFillColor(AI23)&lt;0,SUM(Planning!$AJJ76:$AKG76),0)</f>
      </c>
      <c r="AJ23" s="761">
        <v>0</v>
      </c>
      <c r="AK23" s="766">
        <v>0</v>
      </c>
      <c r="AL23" s="698">
        <f>SUM(C23:AK23)</f>
      </c>
      <c r="AM23" s="4"/>
      <c r="AN23" s="4"/>
    </row>
    <row r="24" ht="20.25" customHeight="1" spans="1:40" x14ac:dyDescent="0.25">
      <c r="A24" s="4">
        <f>Planning!B77</f>
      </c>
      <c r="B24" s="4"/>
      <c r="C24" s="766">
        <f>IF(GetFillColor(C24)&lt;0,SUM(Planning!$F77:$AC77),0)</f>
      </c>
      <c r="D24" s="766">
        <f>IF(GetFillColor(D24)&lt;0,SUM(Planning!$AI77:$BF77),0)</f>
      </c>
      <c r="E24" s="766">
        <f>IF(GetFillColor(E24)&lt;0,SUM(Planning!$BL77:$CI77),0)</f>
      </c>
      <c r="F24" s="761">
        <f>IF(GetFillColor(F24)&lt;0,SUM(Planning!$CO77:$DL77),0)</f>
      </c>
      <c r="G24" s="761">
        <f>IF(GetFillColor(G24)&lt;0,SUM(Planning!$DR77:$EO77),0)</f>
      </c>
      <c r="H24" s="761">
        <v>0</v>
      </c>
      <c r="I24" s="761">
        <v>0</v>
      </c>
      <c r="J24" s="762">
        <f>IF(GetFillColor(J24)&lt;0,SUM(Planning!$HD77:$IA77),0)</f>
      </c>
      <c r="K24" s="762">
        <f>IF(GetFillColor(K24)&lt;0,SUM(Planning!$IG77:$JD77),0)</f>
      </c>
      <c r="L24" s="762">
        <f>IF(GetFillColor(L24)&lt;0,SUM(Planning!$JJ77:$KG77),0)</f>
      </c>
      <c r="M24" s="762">
        <f>IF(GetFillColor(M24)&lt;0,SUM(Planning!$KM77:$LJ77),0)</f>
      </c>
      <c r="N24" s="762">
        <f>IF(GetFillColor(N24)&lt;0,SUM(Planning!$LP77:$MM77),0)</f>
      </c>
      <c r="O24" s="761">
        <v>0</v>
      </c>
      <c r="P24" s="761">
        <v>0</v>
      </c>
      <c r="Q24" s="762">
        <f>IF(GetFillColor(Q24)&lt;0,SUM(Planning!$PB77:$PY77),0)</f>
      </c>
      <c r="R24" s="762">
        <f>IF(GetFillColor(R24)&lt;0,SUM(Planning!$QE77:$RB77),0)</f>
      </c>
      <c r="S24" s="762">
        <f>IF(GetFillColor(S24)&lt;0,SUM(Planning!$RH77:$SE77),0)</f>
      </c>
      <c r="T24" s="762">
        <f>IF(GetFillColor(T24)&lt;0,SUM(Planning!$SK77:$TH77),0)</f>
      </c>
      <c r="U24" s="762">
        <f>IF(GetFillColor(U24)&lt;0,SUM(Planning!$TN77:$UK77),0)</f>
      </c>
      <c r="V24" s="761">
        <v>0</v>
      </c>
      <c r="W24" s="761">
        <v>0</v>
      </c>
      <c r="X24" s="762">
        <f>IF(GetFillColor(X24)&lt;0,SUM(Planning!$WZ77:$XW77),0)</f>
      </c>
      <c r="Y24" s="762">
        <f>IF(GetFillColor(Y24)&lt;0,SUM(Planning!$YC77:$YZ77),0)</f>
      </c>
      <c r="Z24" s="762">
        <f>IF(GetFillColor(Z24)&lt;0,SUM(Planning!$ZF77:$AAC77),0)</f>
      </c>
      <c r="AA24" s="762">
        <f>IF(GetFillColor(AA24)&lt;0,SUM(Planning!$AAI77:$ABF77),0)</f>
      </c>
      <c r="AB24" s="762">
        <f>IF(GetFillColor(AB24)&lt;0,SUM(Planning!$ABL77:$ACI77),0)</f>
      </c>
      <c r="AC24" s="761">
        <v>0</v>
      </c>
      <c r="AD24" s="761">
        <v>0</v>
      </c>
      <c r="AE24" s="762">
        <f>IF(GetFillColor(AE24)&lt;0,SUM(Planning!$AEX77:$AFU77),0)</f>
      </c>
      <c r="AF24" s="762">
        <f>IF(GetFillColor(AF24)&lt;0,SUM(Planning!$AGA77:$AGX77),0)</f>
      </c>
      <c r="AG24" s="762">
        <f>IF(GetFillColor(AG24)&lt;0,SUM(Planning!$AHD77:$AIA77),0)</f>
      </c>
      <c r="AH24" s="762">
        <f>IF(GetFillColor(AH24)&lt;0,SUM(Planning!$AIG77:$AJD77),0)</f>
      </c>
      <c r="AI24" s="762">
        <f>IF(GetFillColor(AI24)&lt;0,SUM(Planning!$AJJ77:$AKG77),0)</f>
      </c>
      <c r="AJ24" s="761">
        <v>0</v>
      </c>
      <c r="AK24" s="766">
        <v>0</v>
      </c>
      <c r="AL24" s="698">
        <f>SUM(C24:AK24)</f>
      </c>
      <c r="AM24" s="4"/>
      <c r="AN24" s="4"/>
    </row>
    <row r="25" ht="20.25" customHeight="1" spans="1:40" x14ac:dyDescent="0.25">
      <c r="A25" s="4">
        <f>Planning!B78</f>
      </c>
      <c r="B25" s="4"/>
      <c r="C25" s="766">
        <f>IF(GetFillColor(C25)&lt;0,SUM(Planning!$F78:$AC78),0)</f>
      </c>
      <c r="D25" s="766">
        <f>IF(GetFillColor(D25)&lt;0,SUM(Planning!$AI78:$BF78),0)</f>
      </c>
      <c r="E25" s="766">
        <f>IF(GetFillColor(E25)&lt;0,SUM(Planning!$BL78:$CI78),0)</f>
      </c>
      <c r="F25" s="761">
        <f>IF(GetFillColor(F25)&lt;0,SUM(Planning!$CO78:$DL78),0)</f>
      </c>
      <c r="G25" s="761">
        <f>IF(GetFillColor(G25)&lt;0,SUM(Planning!$DR78:$EO78),0)</f>
      </c>
      <c r="H25" s="761">
        <v>0</v>
      </c>
      <c r="I25" s="761">
        <v>0</v>
      </c>
      <c r="J25" s="762">
        <f>IF(GetFillColor(J25)&lt;0,SUM(Planning!$HD78:$IA78),0)</f>
      </c>
      <c r="K25" s="762">
        <f>IF(GetFillColor(K25)&lt;0,SUM(Planning!$IG78:$JD78),0)</f>
      </c>
      <c r="L25" s="762">
        <f>IF(GetFillColor(L25)&lt;0,SUM(Planning!$JJ78:$KG78),0)</f>
      </c>
      <c r="M25" s="762">
        <f>IF(GetFillColor(M25)&lt;0,SUM(Planning!$KM78:$LJ78),0)</f>
      </c>
      <c r="N25" s="762">
        <f>IF(GetFillColor(N25)&lt;0,SUM(Planning!$LP78:$MM78),0)</f>
      </c>
      <c r="O25" s="761">
        <v>0</v>
      </c>
      <c r="P25" s="761">
        <v>0</v>
      </c>
      <c r="Q25" s="762">
        <f>IF(GetFillColor(Q25)&lt;0,SUM(Planning!$PB78:$PY78),0)</f>
      </c>
      <c r="R25" s="762">
        <f>IF(GetFillColor(R25)&lt;0,SUM(Planning!$QE78:$RB78),0)</f>
      </c>
      <c r="S25" s="762">
        <f>IF(GetFillColor(S25)&lt;0,SUM(Planning!$RH78:$SE78),0)</f>
      </c>
      <c r="T25" s="762">
        <f>IF(GetFillColor(T25)&lt;0,SUM(Planning!$SK78:$TH78),0)</f>
      </c>
      <c r="U25" s="762">
        <f>IF(GetFillColor(U25)&lt;0,SUM(Planning!$TN78:$UK78),0)</f>
      </c>
      <c r="V25" s="761">
        <v>0</v>
      </c>
      <c r="W25" s="761">
        <v>0</v>
      </c>
      <c r="X25" s="762">
        <f>IF(GetFillColor(X25)&lt;0,SUM(Planning!$WZ78:$XW78),0)</f>
      </c>
      <c r="Y25" s="762">
        <f>IF(GetFillColor(Y25)&lt;0,SUM(Planning!$YC78:$YZ78),0)</f>
      </c>
      <c r="Z25" s="762">
        <f>IF(GetFillColor(Z25)&lt;0,SUM(Planning!$ZF78:$AAC78),0)</f>
      </c>
      <c r="AA25" s="762">
        <f>IF(GetFillColor(AA25)&lt;0,SUM(Planning!$AAI78:$ABF78),0)</f>
      </c>
      <c r="AB25" s="762">
        <f>IF(GetFillColor(AB25)&lt;0,SUM(Planning!$ABL78:$ACI78),0)</f>
      </c>
      <c r="AC25" s="761">
        <v>0</v>
      </c>
      <c r="AD25" s="761">
        <v>0</v>
      </c>
      <c r="AE25" s="762">
        <f>IF(GetFillColor(AE25)&lt;0,SUM(Planning!$AEX78:$AFU78),0)</f>
      </c>
      <c r="AF25" s="762">
        <f>IF(GetFillColor(AF25)&lt;0,SUM(Planning!$AGA78:$AGX78),0)</f>
      </c>
      <c r="AG25" s="762">
        <f>IF(GetFillColor(AG25)&lt;0,SUM(Planning!$AHD78:$AIA78),0)</f>
      </c>
      <c r="AH25" s="762">
        <f>IF(GetFillColor(AH25)&lt;0,SUM(Planning!$AIG78:$AJD78),0)</f>
      </c>
      <c r="AI25" s="762">
        <f>IF(GetFillColor(AI25)&lt;0,SUM(Planning!$AJJ78:$AKG78),0)</f>
      </c>
      <c r="AJ25" s="761">
        <v>0</v>
      </c>
      <c r="AK25" s="766">
        <v>0</v>
      </c>
      <c r="AL25" s="698">
        <f>SUM(C25:AK25)</f>
      </c>
      <c r="AM25" s="4"/>
      <c r="AN25" s="4"/>
    </row>
    <row r="26" ht="20.25" customHeight="1" spans="1:40" x14ac:dyDescent="0.25">
      <c r="A26" s="4">
        <f>Planning!B79</f>
      </c>
      <c r="B26" s="4"/>
      <c r="C26" s="766">
        <f>IF(GetFillColor(C26)&lt;0,SUM(Planning!$F79:$AC79),0)</f>
      </c>
      <c r="D26" s="766">
        <f>IF(GetFillColor(D26)&lt;0,SUM(Planning!$AI79:$BF79),0)</f>
      </c>
      <c r="E26" s="766">
        <f>IF(GetFillColor(E26)&lt;0,SUM(Planning!$BL79:$CI79),0)</f>
      </c>
      <c r="F26" s="761">
        <f>IF(GetFillColor(F26)&lt;0,SUM(Planning!$CO79:$DL79),0)</f>
      </c>
      <c r="G26" s="761">
        <f>IF(GetFillColor(G26)&lt;0,SUM(Planning!$DR79:$EO79),0)</f>
      </c>
      <c r="H26" s="761">
        <v>0</v>
      </c>
      <c r="I26" s="761">
        <v>0</v>
      </c>
      <c r="J26" s="762">
        <f>IF(GetFillColor(J26)&lt;0,SUM(Planning!$HD79:$IA79),0)</f>
      </c>
      <c r="K26" s="762">
        <f>IF(GetFillColor(K26)&lt;0,SUM(Planning!$IG79:$JD79),0)</f>
      </c>
      <c r="L26" s="762">
        <f>IF(GetFillColor(L26)&lt;0,SUM(Planning!$JJ79:$KG79),0)</f>
      </c>
      <c r="M26" s="762">
        <f>IF(GetFillColor(M26)&lt;0,SUM(Planning!$KM79:$LJ79),0)</f>
      </c>
      <c r="N26" s="762">
        <f>IF(GetFillColor(N26)&lt;0,SUM(Planning!$LP79:$MM79),0)</f>
      </c>
      <c r="O26" s="761">
        <v>0</v>
      </c>
      <c r="P26" s="761">
        <v>0</v>
      </c>
      <c r="Q26" s="762">
        <f>IF(GetFillColor(Q26)&lt;0,SUM(Planning!$PB79:$PY79),0)</f>
      </c>
      <c r="R26" s="762">
        <f>IF(GetFillColor(R26)&lt;0,SUM(Planning!$QE79:$RB79),0)</f>
      </c>
      <c r="S26" s="762">
        <f>IF(GetFillColor(S26)&lt;0,SUM(Planning!$RH79:$SE79),0)</f>
      </c>
      <c r="T26" s="762">
        <f>IF(GetFillColor(T26)&lt;0,SUM(Planning!$SK79:$TH79),0)</f>
      </c>
      <c r="U26" s="762">
        <f>IF(GetFillColor(U26)&lt;0,SUM(Planning!$TN79:$UK79),0)</f>
      </c>
      <c r="V26" s="761">
        <v>0</v>
      </c>
      <c r="W26" s="761">
        <v>0</v>
      </c>
      <c r="X26" s="762">
        <f>IF(GetFillColor(X26)&lt;0,SUM(Planning!$WZ79:$XW79),0)</f>
      </c>
      <c r="Y26" s="762">
        <f>IF(GetFillColor(Y26)&lt;0,SUM(Planning!$YC79:$YZ79),0)</f>
      </c>
      <c r="Z26" s="762">
        <f>IF(GetFillColor(Z26)&lt;0,SUM(Planning!$ZF79:$AAC79),0)</f>
      </c>
      <c r="AA26" s="762">
        <f>IF(GetFillColor(AA26)&lt;0,SUM(Planning!$AAI79:$ABF79),0)</f>
      </c>
      <c r="AB26" s="762">
        <f>IF(GetFillColor(AB26)&lt;0,SUM(Planning!$ABL79:$ACI79),0)</f>
      </c>
      <c r="AC26" s="761">
        <v>0</v>
      </c>
      <c r="AD26" s="761">
        <v>0</v>
      </c>
      <c r="AE26" s="762">
        <f>IF(GetFillColor(AE26)&lt;0,SUM(Planning!$AEX79:$AFU79),0)</f>
      </c>
      <c r="AF26" s="762">
        <f>IF(GetFillColor(AF26)&lt;0,SUM(Planning!$AGA79:$AGX79),0)</f>
      </c>
      <c r="AG26" s="762">
        <f>IF(GetFillColor(AG26)&lt;0,SUM(Planning!$AHD79:$AIA79),0)</f>
      </c>
      <c r="AH26" s="762">
        <f>IF(GetFillColor(AH26)&lt;0,SUM(Planning!$AIG79:$AJD79),0)</f>
      </c>
      <c r="AI26" s="762">
        <f>IF(GetFillColor(AI26)&lt;0,SUM(Planning!$AJJ79:$AKG79),0)</f>
      </c>
      <c r="AJ26" s="761">
        <v>0</v>
      </c>
      <c r="AK26" s="766">
        <v>0</v>
      </c>
      <c r="AL26" s="698">
        <f>SUM(C26:AK26)</f>
      </c>
      <c r="AM26" s="4"/>
      <c r="AN26" s="4"/>
    </row>
    <row r="27" ht="20.25" customHeight="1" spans="1:40" x14ac:dyDescent="0.25">
      <c r="A27" s="4">
        <f>Planning!B80</f>
      </c>
      <c r="B27" s="4"/>
      <c r="C27" s="766">
        <f>IF(GetFillColor(C27)&lt;0,SUM(Planning!$F80:$AC80),0)</f>
      </c>
      <c r="D27" s="766">
        <f>IF(GetFillColor(D27)&lt;0,SUM(Planning!$AI80:$BF80),0)</f>
      </c>
      <c r="E27" s="766">
        <f>IF(GetFillColor(E27)&lt;0,SUM(Planning!$BL80:$CI80),0)</f>
      </c>
      <c r="F27" s="761">
        <f>IF(GetFillColor(F27)&lt;0,SUM(Planning!$CO80:$DL80),0)</f>
      </c>
      <c r="G27" s="761">
        <f>IF(GetFillColor(G27)&lt;0,SUM(Planning!$DR80:$EO80),0)</f>
      </c>
      <c r="H27" s="761">
        <v>0</v>
      </c>
      <c r="I27" s="761">
        <v>0</v>
      </c>
      <c r="J27" s="762">
        <f>IF(GetFillColor(J27)&lt;0,SUM(Planning!$HD80:$IA80),0)</f>
      </c>
      <c r="K27" s="762">
        <f>IF(GetFillColor(K27)&lt;0,SUM(Planning!$IG80:$JD80),0)</f>
      </c>
      <c r="L27" s="762">
        <f>IF(GetFillColor(L27)&lt;0,SUM(Planning!$JJ80:$KG80),0)</f>
      </c>
      <c r="M27" s="762">
        <f>IF(GetFillColor(M27)&lt;0,SUM(Planning!$KM80:$LJ80),0)</f>
      </c>
      <c r="N27" s="762">
        <f>IF(GetFillColor(N27)&lt;0,SUM(Planning!$LP80:$MM80),0)</f>
      </c>
      <c r="O27" s="761">
        <v>0</v>
      </c>
      <c r="P27" s="761">
        <v>0</v>
      </c>
      <c r="Q27" s="762">
        <f>IF(GetFillColor(Q27)&lt;0,SUM(Planning!$PB80:$PY80),0)</f>
      </c>
      <c r="R27" s="762">
        <f>IF(GetFillColor(R27)&lt;0,SUM(Planning!$QE80:$RB80),0)</f>
      </c>
      <c r="S27" s="762">
        <f>IF(GetFillColor(S27)&lt;0,SUM(Planning!$RH80:$SE80),0)</f>
      </c>
      <c r="T27" s="762">
        <f>IF(GetFillColor(T27)&lt;0,SUM(Planning!$SK80:$TH80),0)</f>
      </c>
      <c r="U27" s="762">
        <f>IF(GetFillColor(U27)&lt;0,SUM(Planning!$TN80:$UK80),0)</f>
      </c>
      <c r="V27" s="761">
        <v>0</v>
      </c>
      <c r="W27" s="761">
        <v>0</v>
      </c>
      <c r="X27" s="762">
        <f>IF(GetFillColor(X27)&lt;0,SUM(Planning!$WZ80:$XW80),0)</f>
      </c>
      <c r="Y27" s="762">
        <f>IF(GetFillColor(Y27)&lt;0,SUM(Planning!$YC80:$YZ80),0)</f>
      </c>
      <c r="Z27" s="762">
        <f>IF(GetFillColor(Z27)&lt;0,SUM(Planning!$ZF80:$AAC80),0)</f>
      </c>
      <c r="AA27" s="762">
        <f>IF(GetFillColor(AA27)&lt;0,SUM(Planning!$AAI80:$ABF80),0)</f>
      </c>
      <c r="AB27" s="762">
        <f>IF(GetFillColor(AB27)&lt;0,SUM(Planning!$ABL80:$ACI80),0)</f>
      </c>
      <c r="AC27" s="761">
        <v>0</v>
      </c>
      <c r="AD27" s="761">
        <v>0</v>
      </c>
      <c r="AE27" s="762">
        <f>IF(GetFillColor(AE27)&lt;0,SUM(Planning!$AEX80:$AFU80),0)</f>
      </c>
      <c r="AF27" s="762">
        <f>IF(GetFillColor(AF27)&lt;0,SUM(Planning!$AGA80:$AGX80),0)</f>
      </c>
      <c r="AG27" s="762">
        <f>IF(GetFillColor(AG27)&lt;0,SUM(Planning!$AHD80:$AIA80),0)</f>
      </c>
      <c r="AH27" s="762">
        <f>IF(GetFillColor(AH27)&lt;0,SUM(Planning!$AIG80:$AJD80),0)</f>
      </c>
      <c r="AI27" s="762">
        <f>IF(GetFillColor(AI27)&lt;0,SUM(Planning!$AJJ80:$AKG80),0)</f>
      </c>
      <c r="AJ27" s="761">
        <v>0</v>
      </c>
      <c r="AK27" s="766">
        <v>0</v>
      </c>
      <c r="AL27" s="698">
        <f>SUM(C27:AK27)</f>
      </c>
      <c r="AM27" s="4"/>
      <c r="AN27" s="4"/>
    </row>
    <row r="28" ht="20.25" customHeight="1" spans="1:40" x14ac:dyDescent="0.25">
      <c r="A28" s="4">
        <f>Planning!B81</f>
      </c>
      <c r="B28" s="4"/>
      <c r="C28" s="766">
        <f>IF(GetFillColor(C28)&lt;0,SUM(Planning!$F81:$AC81),0)</f>
      </c>
      <c r="D28" s="766">
        <f>IF(GetFillColor(D28)&lt;0,SUM(Planning!$AI81:$BF81),0)</f>
      </c>
      <c r="E28" s="766">
        <f>IF(GetFillColor(E28)&lt;0,SUM(Planning!$BL81:$CI81),0)</f>
      </c>
      <c r="F28" s="761">
        <f>IF(GetFillColor(F28)&lt;0,SUM(Planning!$CO81:$DL81),0)</f>
      </c>
      <c r="G28" s="761">
        <f>IF(GetFillColor(G28)&lt;0,SUM(Planning!$DR81:$EO81),0)</f>
      </c>
      <c r="H28" s="761">
        <v>0</v>
      </c>
      <c r="I28" s="761">
        <v>0</v>
      </c>
      <c r="J28" s="762">
        <f>IF(GetFillColor(J28)&lt;0,SUM(Planning!$HD81:$IA81),0)</f>
      </c>
      <c r="K28" s="762">
        <f>IF(GetFillColor(K28)&lt;0,SUM(Planning!$IG81:$JD81),0)</f>
      </c>
      <c r="L28" s="762">
        <f>IF(GetFillColor(L28)&lt;0,SUM(Planning!$JJ81:$KG81),0)</f>
      </c>
      <c r="M28" s="762">
        <f>IF(GetFillColor(M28)&lt;0,SUM(Planning!$KM81:$LJ81),0)</f>
      </c>
      <c r="N28" s="762">
        <f>IF(GetFillColor(N28)&lt;0,SUM(Planning!$LP81:$MM81),0)</f>
      </c>
      <c r="O28" s="761">
        <v>0</v>
      </c>
      <c r="P28" s="761">
        <v>0</v>
      </c>
      <c r="Q28" s="762">
        <f>IF(GetFillColor(Q28)&lt;0,SUM(Planning!$PB81:$PY81),0)</f>
      </c>
      <c r="R28" s="762">
        <f>IF(GetFillColor(R28)&lt;0,SUM(Planning!$QE81:$RB81),0)</f>
      </c>
      <c r="S28" s="762">
        <f>IF(GetFillColor(S28)&lt;0,SUM(Planning!$RH81:$SE81),0)</f>
      </c>
      <c r="T28" s="762">
        <f>IF(GetFillColor(T28)&lt;0,SUM(Planning!$SK81:$TH81),0)</f>
      </c>
      <c r="U28" s="762">
        <f>IF(GetFillColor(U28)&lt;0,SUM(Planning!$TN81:$UK81),0)</f>
      </c>
      <c r="V28" s="761">
        <v>0</v>
      </c>
      <c r="W28" s="761">
        <v>0</v>
      </c>
      <c r="X28" s="762">
        <f>IF(GetFillColor(X28)&lt;0,SUM(Planning!$WZ81:$XW81),0)</f>
      </c>
      <c r="Y28" s="762">
        <f>IF(GetFillColor(Y28)&lt;0,SUM(Planning!$YC81:$YZ81),0)</f>
      </c>
      <c r="Z28" s="762">
        <f>IF(GetFillColor(Z28)&lt;0,SUM(Planning!$ZF81:$AAC81),0)</f>
      </c>
      <c r="AA28" s="762">
        <f>IF(GetFillColor(AA28)&lt;0,SUM(Planning!$AAI81:$ABF81),0)</f>
      </c>
      <c r="AB28" s="762">
        <f>IF(GetFillColor(AB28)&lt;0,SUM(Planning!$ABL81:$ACI81),0)</f>
      </c>
      <c r="AC28" s="761">
        <v>0</v>
      </c>
      <c r="AD28" s="761">
        <v>0</v>
      </c>
      <c r="AE28" s="762">
        <f>IF(GetFillColor(AE28)&lt;0,SUM(Planning!$AEX81:$AFU81),0)</f>
      </c>
      <c r="AF28" s="762">
        <f>IF(GetFillColor(AF28)&lt;0,SUM(Planning!$AGA81:$AGX81),0)</f>
      </c>
      <c r="AG28" s="762">
        <f>IF(GetFillColor(AG28)&lt;0,SUM(Planning!$AHD81:$AIA81),0)</f>
      </c>
      <c r="AH28" s="762">
        <f>IF(GetFillColor(AH28)&lt;0,SUM(Planning!$AIG81:$AJD81),0)</f>
      </c>
      <c r="AI28" s="762">
        <f>IF(GetFillColor(AI28)&lt;0,SUM(Planning!$AJJ81:$AKG81),0)</f>
      </c>
      <c r="AJ28" s="761">
        <v>0</v>
      </c>
      <c r="AK28" s="766">
        <v>0</v>
      </c>
      <c r="AL28" s="698">
        <f>SUM(C28:AK28)</f>
      </c>
      <c r="AM28" s="4"/>
      <c r="AN28" s="4"/>
    </row>
    <row r="29" ht="20.25" customHeight="1" spans="1:40" x14ac:dyDescent="0.25">
      <c r="A29" s="4">
        <f>Planning!B82</f>
      </c>
      <c r="B29" s="4"/>
      <c r="C29" s="766">
        <f>IF(GetFillColor(C29)&lt;0,SUM(Planning!$F82:$AC82),0)</f>
      </c>
      <c r="D29" s="766">
        <f>IF(GetFillColor(D29)&lt;0,SUM(Planning!$AI82:$BF82),0)</f>
      </c>
      <c r="E29" s="766">
        <f>IF(GetFillColor(E29)&lt;0,SUM(Planning!$BL82:$CI82),0)</f>
      </c>
      <c r="F29" s="761">
        <f>IF(GetFillColor(F29)&lt;0,SUM(Planning!$CO82:$DL82),0)</f>
      </c>
      <c r="G29" s="761">
        <f>IF(GetFillColor(G29)&lt;0,SUM(Planning!$DR82:$EO82),0)</f>
      </c>
      <c r="H29" s="761">
        <v>0</v>
      </c>
      <c r="I29" s="761">
        <v>0</v>
      </c>
      <c r="J29" s="762">
        <f>IF(GetFillColor(J29)&lt;0,SUM(Planning!$HD82:$IA82),0)</f>
      </c>
      <c r="K29" s="762">
        <f>IF(GetFillColor(K29)&lt;0,SUM(Planning!$IG82:$JD82),0)</f>
      </c>
      <c r="L29" s="762">
        <f>IF(GetFillColor(L29)&lt;0,SUM(Planning!$JJ82:$KG82),0)</f>
      </c>
      <c r="M29" s="762">
        <f>IF(GetFillColor(M29)&lt;0,SUM(Planning!$KM82:$LJ82),0)</f>
      </c>
      <c r="N29" s="762">
        <f>IF(GetFillColor(N29)&lt;0,SUM(Planning!$LP82:$MM82),0)</f>
      </c>
      <c r="O29" s="761">
        <v>0</v>
      </c>
      <c r="P29" s="761">
        <v>0</v>
      </c>
      <c r="Q29" s="762">
        <f>IF(GetFillColor(Q29)&lt;0,SUM(Planning!$PB82:$PY82),0)</f>
      </c>
      <c r="R29" s="762">
        <f>IF(GetFillColor(R29)&lt;0,SUM(Planning!$QE82:$RB82),0)</f>
      </c>
      <c r="S29" s="762">
        <f>IF(GetFillColor(S29)&lt;0,SUM(Planning!$RH82:$SE82),0)</f>
      </c>
      <c r="T29" s="762">
        <f>IF(GetFillColor(T29)&lt;0,SUM(Planning!$SK82:$TH82),0)</f>
      </c>
      <c r="U29" s="762">
        <f>IF(GetFillColor(U29)&lt;0,SUM(Planning!$TN82:$UK82),0)</f>
      </c>
      <c r="V29" s="761">
        <v>0</v>
      </c>
      <c r="W29" s="761">
        <v>0</v>
      </c>
      <c r="X29" s="762">
        <f>IF(GetFillColor(X29)&lt;0,SUM(Planning!$WZ82:$XW82),0)</f>
      </c>
      <c r="Y29" s="762">
        <f>IF(GetFillColor(Y29)&lt;0,SUM(Planning!$YC82:$YZ82),0)</f>
      </c>
      <c r="Z29" s="762">
        <f>IF(GetFillColor(Z29)&lt;0,SUM(Planning!$ZF82:$AAC82),0)</f>
      </c>
      <c r="AA29" s="762">
        <f>IF(GetFillColor(AA29)&lt;0,SUM(Planning!$AAI82:$ABF82),0)</f>
      </c>
      <c r="AB29" s="762">
        <f>IF(GetFillColor(AB29)&lt;0,SUM(Planning!$ABL82:$ACI82),0)</f>
      </c>
      <c r="AC29" s="761">
        <v>0</v>
      </c>
      <c r="AD29" s="761">
        <v>0</v>
      </c>
      <c r="AE29" s="762">
        <f>IF(GetFillColor(AE29)&lt;0,SUM(Planning!$AEX82:$AFU82),0)</f>
      </c>
      <c r="AF29" s="762">
        <f>IF(GetFillColor(AF29)&lt;0,SUM(Planning!$AGA82:$AGX82),0)</f>
      </c>
      <c r="AG29" s="762">
        <f>IF(GetFillColor(AG29)&lt;0,SUM(Planning!$AHD82:$AIA82),0)</f>
      </c>
      <c r="AH29" s="762">
        <f>IF(GetFillColor(AH29)&lt;0,SUM(Planning!$AIG82:$AJD82),0)</f>
      </c>
      <c r="AI29" s="762">
        <f>IF(GetFillColor(AI29)&lt;0,SUM(Planning!$AJJ82:$AKG82),0)</f>
      </c>
      <c r="AJ29" s="761">
        <v>0</v>
      </c>
      <c r="AK29" s="766">
        <v>0</v>
      </c>
      <c r="AL29" s="698">
        <f>SUM(C29:AK29)</f>
      </c>
      <c r="AM29" s="4"/>
      <c r="AN29" s="4"/>
    </row>
    <row r="30" ht="20.25" customHeight="1" spans="1:40" x14ac:dyDescent="0.25">
      <c r="A30" s="4">
        <f>Planning!B83</f>
      </c>
      <c r="B30" s="4"/>
      <c r="C30" s="766">
        <f>IF(GetFillColor(C30)&lt;0,SUM(Planning!$F83:$AC83),0)</f>
      </c>
      <c r="D30" s="766">
        <f>IF(GetFillColor(D30)&lt;0,SUM(Planning!$AI83:$BF83),0)</f>
      </c>
      <c r="E30" s="766">
        <f>IF(GetFillColor(E30)&lt;0,SUM(Planning!$BL83:$CI83),0)</f>
      </c>
      <c r="F30" s="761">
        <f>IF(GetFillColor(F30)&lt;0,SUM(Planning!$CO83:$DL83),0)</f>
      </c>
      <c r="G30" s="761">
        <f>IF(GetFillColor(G30)&lt;0,SUM(Planning!$DR83:$EO83),0)</f>
      </c>
      <c r="H30" s="761">
        <v>0</v>
      </c>
      <c r="I30" s="761">
        <v>0</v>
      </c>
      <c r="J30" s="762">
        <f>IF(GetFillColor(J30)&lt;0,SUM(Planning!$HD83:$IA83),0)</f>
      </c>
      <c r="K30" s="762">
        <f>IF(GetFillColor(K30)&lt;0,SUM(Planning!$IG83:$JD83),0)</f>
      </c>
      <c r="L30" s="762">
        <f>IF(GetFillColor(L30)&lt;0,SUM(Planning!$JJ83:$KG83),0)</f>
      </c>
      <c r="M30" s="762">
        <f>IF(GetFillColor(M30)&lt;0,SUM(Planning!$KM83:$LJ83),0)</f>
      </c>
      <c r="N30" s="762">
        <f>IF(GetFillColor(N30)&lt;0,SUM(Planning!$LP83:$MM83),0)</f>
      </c>
      <c r="O30" s="761">
        <v>0</v>
      </c>
      <c r="P30" s="761">
        <v>0</v>
      </c>
      <c r="Q30" s="762">
        <f>IF(GetFillColor(Q30)&lt;0,SUM(Planning!$PB83:$PY83),0)</f>
      </c>
      <c r="R30" s="762">
        <f>IF(GetFillColor(R30)&lt;0,SUM(Planning!$QE83:$RB83),0)</f>
      </c>
      <c r="S30" s="762">
        <f>IF(GetFillColor(S30)&lt;0,SUM(Planning!$RH83:$SE83),0)</f>
      </c>
      <c r="T30" s="762">
        <f>IF(GetFillColor(T30)&lt;0,SUM(Planning!$SK83:$TH83),0)</f>
      </c>
      <c r="U30" s="762">
        <f>IF(GetFillColor(U30)&lt;0,SUM(Planning!$TN83:$UK83),0)</f>
      </c>
      <c r="V30" s="761">
        <v>0</v>
      </c>
      <c r="W30" s="761">
        <v>0</v>
      </c>
      <c r="X30" s="762">
        <f>IF(GetFillColor(X30)&lt;0,SUM(Planning!$WZ83:$XW83),0)</f>
      </c>
      <c r="Y30" s="762">
        <f>IF(GetFillColor(Y30)&lt;0,SUM(Planning!$YC83:$YZ83),0)</f>
      </c>
      <c r="Z30" s="762">
        <f>IF(GetFillColor(Z30)&lt;0,SUM(Planning!$ZF83:$AAC83),0)</f>
      </c>
      <c r="AA30" s="762">
        <f>IF(GetFillColor(AA30)&lt;0,SUM(Planning!$AAI83:$ABF83),0)</f>
      </c>
      <c r="AB30" s="762">
        <f>IF(GetFillColor(AB30)&lt;0,SUM(Planning!$ABL83:$ACI83),0)</f>
      </c>
      <c r="AC30" s="761">
        <v>0</v>
      </c>
      <c r="AD30" s="761">
        <v>0</v>
      </c>
      <c r="AE30" s="762">
        <f>IF(GetFillColor(AE30)&lt;0,SUM(Planning!$AEX83:$AFU83),0)</f>
      </c>
      <c r="AF30" s="762">
        <f>IF(GetFillColor(AF30)&lt;0,SUM(Planning!$AGA83:$AGX83),0)</f>
      </c>
      <c r="AG30" s="762">
        <f>IF(GetFillColor(AG30)&lt;0,SUM(Planning!$AHD83:$AIA83),0)</f>
      </c>
      <c r="AH30" s="762">
        <f>IF(GetFillColor(AH30)&lt;0,SUM(Planning!$AIG83:$AJD83),0)</f>
      </c>
      <c r="AI30" s="762">
        <f>IF(GetFillColor(AI30)&lt;0,SUM(Planning!$AJJ83:$AKG83),0)</f>
      </c>
      <c r="AJ30" s="761">
        <v>0</v>
      </c>
      <c r="AK30" s="766">
        <v>0</v>
      </c>
      <c r="AL30" s="698">
        <f>SUM(C30:AK30)</f>
      </c>
      <c r="AM30" s="4"/>
      <c r="AN30" s="4"/>
    </row>
    <row r="31" ht="20.25" customHeight="1" spans="1:40" x14ac:dyDescent="0.25">
      <c r="A31" s="4">
        <f>Planning!B84</f>
      </c>
      <c r="B31" s="4"/>
      <c r="C31" s="766">
        <f>IF(GetFillColor(C31)&lt;0,SUM(Planning!$F84:$AC84),0)</f>
      </c>
      <c r="D31" s="766">
        <f>IF(GetFillColor(D31)&lt;0,SUM(Planning!$AI84:$BF84),0)</f>
      </c>
      <c r="E31" s="766">
        <f>IF(GetFillColor(E31)&lt;0,SUM(Planning!$BL84:$CI84),0)</f>
      </c>
      <c r="F31" s="761">
        <f>IF(GetFillColor(F31)&lt;0,SUM(Planning!$CO84:$DL84),0)</f>
      </c>
      <c r="G31" s="761">
        <f>IF(GetFillColor(G31)&lt;0,SUM(Planning!$DR84:$EO84),0)</f>
      </c>
      <c r="H31" s="761">
        <v>0</v>
      </c>
      <c r="I31" s="761">
        <v>0</v>
      </c>
      <c r="J31" s="762">
        <f>IF(GetFillColor(J31)&lt;0,SUM(Planning!$HD84:$IA84),0)</f>
      </c>
      <c r="K31" s="762">
        <f>IF(GetFillColor(K31)&lt;0,SUM(Planning!$IG84:$JD84),0)</f>
      </c>
      <c r="L31" s="762">
        <f>IF(GetFillColor(L31)&lt;0,SUM(Planning!$JJ84:$KG84),0)</f>
      </c>
      <c r="M31" s="762">
        <f>IF(GetFillColor(M31)&lt;0,SUM(Planning!$KM84:$LJ84),0)</f>
      </c>
      <c r="N31" s="762">
        <f>IF(GetFillColor(N31)&lt;0,SUM(Planning!$LP84:$MM84),0)</f>
      </c>
      <c r="O31" s="761">
        <v>0</v>
      </c>
      <c r="P31" s="761">
        <v>0</v>
      </c>
      <c r="Q31" s="762">
        <f>IF(GetFillColor(Q31)&lt;0,SUM(Planning!$PB84:$PY84),0)</f>
      </c>
      <c r="R31" s="762">
        <f>IF(GetFillColor(R31)&lt;0,SUM(Planning!$QE84:$RB84),0)</f>
      </c>
      <c r="S31" s="762">
        <f>IF(GetFillColor(S31)&lt;0,SUM(Planning!$RH84:$SE84),0)</f>
      </c>
      <c r="T31" s="762">
        <f>IF(GetFillColor(T31)&lt;0,SUM(Planning!$SK84:$TH84),0)</f>
      </c>
      <c r="U31" s="762">
        <f>IF(GetFillColor(U31)&lt;0,SUM(Planning!$TN84:$UK84),0)</f>
      </c>
      <c r="V31" s="761">
        <v>0</v>
      </c>
      <c r="W31" s="761">
        <v>0</v>
      </c>
      <c r="X31" s="762">
        <f>IF(GetFillColor(X31)&lt;0,SUM(Planning!$WZ84:$XW84),0)</f>
      </c>
      <c r="Y31" s="762">
        <f>IF(GetFillColor(Y31)&lt;0,SUM(Planning!$YC84:$YZ84),0)</f>
      </c>
      <c r="Z31" s="762">
        <f>IF(GetFillColor(Z31)&lt;0,SUM(Planning!$ZF84:$AAC84),0)</f>
      </c>
      <c r="AA31" s="762">
        <f>IF(GetFillColor(AA31)&lt;0,SUM(Planning!$AAI84:$ABF84),0)</f>
      </c>
      <c r="AB31" s="762">
        <f>IF(GetFillColor(AB31)&lt;0,SUM(Planning!$ABL84:$ACI84),0)</f>
      </c>
      <c r="AC31" s="761">
        <v>0</v>
      </c>
      <c r="AD31" s="761">
        <v>0</v>
      </c>
      <c r="AE31" s="762">
        <f>IF(GetFillColor(AE31)&lt;0,SUM(Planning!$AEX84:$AFU84),0)</f>
      </c>
      <c r="AF31" s="762">
        <f>IF(GetFillColor(AF31)&lt;0,SUM(Planning!$AGA84:$AGX84),0)</f>
      </c>
      <c r="AG31" s="762">
        <f>IF(GetFillColor(AG31)&lt;0,SUM(Planning!$AHD84:$AIA84),0)</f>
      </c>
      <c r="AH31" s="762">
        <f>IF(GetFillColor(AH31)&lt;0,SUM(Planning!$AIG84:$AJD84),0)</f>
      </c>
      <c r="AI31" s="762">
        <f>IF(GetFillColor(AI31)&lt;0,SUM(Planning!$AJJ84:$AKG84),0)</f>
      </c>
      <c r="AJ31" s="761">
        <v>0</v>
      </c>
      <c r="AK31" s="766">
        <v>0</v>
      </c>
      <c r="AL31" s="698">
        <f>SUM(C31:AK31)</f>
      </c>
      <c r="AM31" s="4"/>
      <c r="AN31" s="4"/>
    </row>
    <row r="32" ht="20.25" customHeight="1" spans="1:40" x14ac:dyDescent="0.25">
      <c r="A32" s="4">
        <f>Planning!B86</f>
      </c>
      <c r="B32" s="4"/>
      <c r="C32" s="766">
        <f>IF(GetFillColor(C32)&lt;0,SUM(Planning!$F86:$AC86),0)</f>
      </c>
      <c r="D32" s="766">
        <f>IF(GetFillColor(D32)&lt;0,SUM(Planning!$AI86:$BF86),0)</f>
      </c>
      <c r="E32" s="766">
        <f>IF(GetFillColor(E32)&lt;0,SUM(Planning!$BL86:$CI86),0)</f>
      </c>
      <c r="F32" s="761">
        <f>IF(GetFillColor(F32)&lt;0,SUM(Planning!$CO86:$DL86),0)</f>
      </c>
      <c r="G32" s="761">
        <f>IF(GetFillColor(G32)&lt;0,SUM(Planning!$DR86:$EO86),0)</f>
      </c>
      <c r="H32" s="761">
        <v>0</v>
      </c>
      <c r="I32" s="761">
        <v>0</v>
      </c>
      <c r="J32" s="762">
        <f>IF(GetFillColor(J32)&lt;0,SUM(Planning!$HD86:$IA86),0)</f>
      </c>
      <c r="K32" s="762">
        <f>IF(GetFillColor(K32)&lt;0,SUM(Planning!$IG86:$JD86),0)</f>
      </c>
      <c r="L32" s="762">
        <f>IF(GetFillColor(L32)&lt;0,SUM(Planning!$JJ86:$KG86),0)</f>
      </c>
      <c r="M32" s="762">
        <f>IF(GetFillColor(M32)&lt;0,SUM(Planning!$KM86:$LJ86),0)</f>
      </c>
      <c r="N32" s="762">
        <f>IF(GetFillColor(N32)&lt;0,SUM(Planning!$LP86:$MM86),0)</f>
      </c>
      <c r="O32" s="761">
        <v>0</v>
      </c>
      <c r="P32" s="761">
        <v>0</v>
      </c>
      <c r="Q32" s="762">
        <f>IF(GetFillColor(Q32)&lt;0,SUM(Planning!$PB86:$PY86),0)</f>
      </c>
      <c r="R32" s="762">
        <f>IF(GetFillColor(R32)&lt;0,SUM(Planning!$QE86:$RB86),0)</f>
      </c>
      <c r="S32" s="762">
        <f>IF(GetFillColor(S32)&lt;0,SUM(Planning!$RH86:$SE86),0)</f>
      </c>
      <c r="T32" s="762">
        <f>IF(GetFillColor(T32)&lt;0,SUM(Planning!$SK86:$TH86),0)</f>
      </c>
      <c r="U32" s="762">
        <f>IF(GetFillColor(U32)&lt;0,SUM(Planning!$TN86:$UK86),0)</f>
      </c>
      <c r="V32" s="761">
        <v>0</v>
      </c>
      <c r="W32" s="761">
        <v>0</v>
      </c>
      <c r="X32" s="762">
        <f>IF(GetFillColor(X32)&lt;0,SUM(Planning!$WZ86:$XW86),0)</f>
      </c>
      <c r="Y32" s="762">
        <f>IF(GetFillColor(Y32)&lt;0,SUM(Planning!$YC86:$YZ86),0)</f>
      </c>
      <c r="Z32" s="762">
        <f>IF(GetFillColor(Z32)&lt;0,SUM(Planning!$ZF86:$AAC86),0)</f>
      </c>
      <c r="AA32" s="762">
        <f>IF(GetFillColor(AA32)&lt;0,SUM(Planning!$AAI86:$ABF86),0)</f>
      </c>
      <c r="AB32" s="762">
        <f>IF(GetFillColor(AB32)&lt;0,SUM(Planning!$ABL86:$ACI86),0)</f>
      </c>
      <c r="AC32" s="761">
        <v>0</v>
      </c>
      <c r="AD32" s="761">
        <v>0</v>
      </c>
      <c r="AE32" s="762">
        <f>IF(GetFillColor(AE32)&lt;0,SUM(Planning!$AEX86:$AFU86),0)</f>
      </c>
      <c r="AF32" s="762">
        <f>IF(GetFillColor(AF32)&lt;0,SUM(Planning!$AGA86:$AGX86),0)</f>
      </c>
      <c r="AG32" s="762">
        <f>IF(GetFillColor(AG32)&lt;0,SUM(Planning!$AHD86:$AIA86),0)</f>
      </c>
      <c r="AH32" s="762">
        <f>IF(GetFillColor(AH32)&lt;0,SUM(Planning!$AIG86:$AJD86),0)</f>
      </c>
      <c r="AI32" s="762">
        <f>IF(GetFillColor(AI32)&lt;0,SUM(Planning!$AJJ86:$AKG86),0)</f>
      </c>
      <c r="AJ32" s="761">
        <v>0</v>
      </c>
      <c r="AK32" s="766">
        <v>0</v>
      </c>
      <c r="AL32" s="698">
        <f>SUM(C32:AK32)</f>
      </c>
      <c r="AM32" s="4"/>
      <c r="AN32" s="4"/>
    </row>
    <row r="33" ht="20.25" customHeight="1" spans="1:40" x14ac:dyDescent="0.25">
      <c r="A33" s="4">
        <f>Planning!B87</f>
      </c>
      <c r="B33" s="4"/>
      <c r="C33" s="766">
        <f>IF(GetFillColor(C33)&lt;0,SUM(Planning!$F87:$AC87),0)</f>
      </c>
      <c r="D33" s="766">
        <f>IF(GetFillColor(D33)&lt;0,SUM(Planning!$AI87:$BF87),0)</f>
      </c>
      <c r="E33" s="766">
        <f>IF(GetFillColor(E33)&lt;0,SUM(Planning!$BL87:$CI87),0)</f>
      </c>
      <c r="F33" s="761">
        <f>IF(GetFillColor(F33)&lt;0,SUM(Planning!$CO87:$DL87),0)</f>
      </c>
      <c r="G33" s="761">
        <f>IF(GetFillColor(G33)&lt;0,SUM(Planning!$DR87:$EO87),0)</f>
      </c>
      <c r="H33" s="761">
        <v>0</v>
      </c>
      <c r="I33" s="761">
        <v>0</v>
      </c>
      <c r="J33" s="762">
        <f>IF(GetFillColor(J33)&lt;0,SUM(Planning!$HD87:$IA87),0)</f>
      </c>
      <c r="K33" s="762">
        <f>IF(GetFillColor(K33)&lt;0,SUM(Planning!$IG87:$JD87),0)</f>
      </c>
      <c r="L33" s="762">
        <f>IF(GetFillColor(L33)&lt;0,SUM(Planning!$JJ87:$KG87),0)</f>
      </c>
      <c r="M33" s="762">
        <f>IF(GetFillColor(M33)&lt;0,SUM(Planning!$KM87:$LJ87),0)</f>
      </c>
      <c r="N33" s="762">
        <f>IF(GetFillColor(N33)&lt;0,SUM(Planning!$LP87:$MM87),0)</f>
      </c>
      <c r="O33" s="761">
        <v>0</v>
      </c>
      <c r="P33" s="761">
        <v>0</v>
      </c>
      <c r="Q33" s="762">
        <f>IF(GetFillColor(Q33)&lt;0,SUM(Planning!$PB87:$PY87),0)</f>
      </c>
      <c r="R33" s="762">
        <f>IF(GetFillColor(R33)&lt;0,SUM(Planning!$QE87:$RB87),0)</f>
      </c>
      <c r="S33" s="762">
        <f>IF(GetFillColor(S33)&lt;0,SUM(Planning!$RH87:$SE87),0)</f>
      </c>
      <c r="T33" s="762">
        <f>IF(GetFillColor(T33)&lt;0,SUM(Planning!$SK87:$TH87),0)</f>
      </c>
      <c r="U33" s="762">
        <f>IF(GetFillColor(U33)&lt;0,SUM(Planning!$TN87:$UK87),0)</f>
      </c>
      <c r="V33" s="761">
        <v>0</v>
      </c>
      <c r="W33" s="761">
        <v>0</v>
      </c>
      <c r="X33" s="762">
        <f>IF(GetFillColor(X33)&lt;0,SUM(Planning!$WZ87:$XW87),0)</f>
      </c>
      <c r="Y33" s="762">
        <f>IF(GetFillColor(Y33)&lt;0,SUM(Planning!$YC87:$YZ87),0)</f>
      </c>
      <c r="Z33" s="762">
        <f>IF(GetFillColor(Z33)&lt;0,SUM(Planning!$ZF87:$AAC87),0)</f>
      </c>
      <c r="AA33" s="762">
        <f>IF(GetFillColor(AA33)&lt;0,SUM(Planning!$AAI87:$ABF87),0)</f>
      </c>
      <c r="AB33" s="762">
        <f>IF(GetFillColor(AB33)&lt;0,SUM(Planning!$ABL87:$ACI87),0)</f>
      </c>
      <c r="AC33" s="761">
        <v>0</v>
      </c>
      <c r="AD33" s="761">
        <v>0</v>
      </c>
      <c r="AE33" s="762">
        <f>IF(GetFillColor(AE33)&lt;0,SUM(Planning!$AEX87:$AFU87),0)</f>
      </c>
      <c r="AF33" s="762">
        <f>IF(GetFillColor(AF33)&lt;0,SUM(Planning!$AGA87:$AGX87),0)</f>
      </c>
      <c r="AG33" s="762">
        <f>IF(GetFillColor(AG33)&lt;0,SUM(Planning!$AHD87:$AIA87),0)</f>
      </c>
      <c r="AH33" s="762">
        <f>IF(GetFillColor(AH33)&lt;0,SUM(Planning!$AIG87:$AJD87),0)</f>
      </c>
      <c r="AI33" s="762">
        <f>IF(GetFillColor(AI33)&lt;0,SUM(Planning!$AJJ87:$AKG87),0)</f>
      </c>
      <c r="AJ33" s="761">
        <v>0</v>
      </c>
      <c r="AK33" s="766">
        <v>0</v>
      </c>
      <c r="AL33" s="698">
        <f>SUM(C33:AK33)</f>
      </c>
      <c r="AM33" s="4"/>
      <c r="AN33" s="4"/>
    </row>
    <row r="34" ht="20.25" customHeight="1" spans="1:40" x14ac:dyDescent="0.25">
      <c r="A34" s="4">
        <f>Planning!B88</f>
      </c>
      <c r="B34" s="4"/>
      <c r="C34" s="766">
        <f>IF(GetFillColor(C34)&lt;0,SUM(Planning!$F88:$AC88),0)</f>
      </c>
      <c r="D34" s="766">
        <f>IF(GetFillColor(D34)&lt;0,SUM(Planning!$AI88:$BF88),0)</f>
      </c>
      <c r="E34" s="766">
        <f>IF(GetFillColor(E34)&lt;0,SUM(Planning!$BL88:$CI88),0)</f>
      </c>
      <c r="F34" s="761">
        <f>IF(GetFillColor(F34)&lt;0,SUM(Planning!$CO88:$DL88),0)</f>
      </c>
      <c r="G34" s="761">
        <f>IF(GetFillColor(G34)&lt;0,SUM(Planning!$DR88:$EO88),0)</f>
      </c>
      <c r="H34" s="761">
        <v>0</v>
      </c>
      <c r="I34" s="761">
        <v>0</v>
      </c>
      <c r="J34" s="762">
        <f>IF(GetFillColor(J34)&lt;0,SUM(Planning!$HD88:$IA88),0)</f>
      </c>
      <c r="K34" s="762">
        <f>IF(GetFillColor(K34)&lt;0,SUM(Planning!$IG88:$JD88),0)</f>
      </c>
      <c r="L34" s="762">
        <f>IF(GetFillColor(L34)&lt;0,SUM(Planning!$JJ88:$KG88),0)</f>
      </c>
      <c r="M34" s="762">
        <f>IF(GetFillColor(M34)&lt;0,SUM(Planning!$KM88:$LJ88),0)</f>
      </c>
      <c r="N34" s="762">
        <f>IF(GetFillColor(N34)&lt;0,SUM(Planning!$LP88:$MM88),0)</f>
      </c>
      <c r="O34" s="761">
        <v>0</v>
      </c>
      <c r="P34" s="761">
        <v>0</v>
      </c>
      <c r="Q34" s="762">
        <f>IF(GetFillColor(Q34)&lt;0,SUM(Planning!$PB88:$PY88),0)</f>
      </c>
      <c r="R34" s="762">
        <f>IF(GetFillColor(R34)&lt;0,SUM(Planning!$QE88:$RB88),0)</f>
      </c>
      <c r="S34" s="762">
        <f>IF(GetFillColor(S34)&lt;0,SUM(Planning!$RH88:$SE88),0)</f>
      </c>
      <c r="T34" s="762">
        <f>IF(GetFillColor(T34)&lt;0,SUM(Planning!$SK88:$TH88),0)</f>
      </c>
      <c r="U34" s="762">
        <f>IF(GetFillColor(U34)&lt;0,SUM(Planning!$TN88:$UK88),0)</f>
      </c>
      <c r="V34" s="761">
        <v>0</v>
      </c>
      <c r="W34" s="761">
        <v>0</v>
      </c>
      <c r="X34" s="762">
        <f>IF(GetFillColor(X34)&lt;0,SUM(Planning!$WZ88:$XW88),0)</f>
      </c>
      <c r="Y34" s="762">
        <f>IF(GetFillColor(Y34)&lt;0,SUM(Planning!$YC88:$YZ88),0)</f>
      </c>
      <c r="Z34" s="762">
        <f>IF(GetFillColor(Z34)&lt;0,SUM(Planning!$ZF88:$AAC88),0)</f>
      </c>
      <c r="AA34" s="762">
        <f>IF(GetFillColor(AA34)&lt;0,SUM(Planning!$AAI88:$ABF88),0)</f>
      </c>
      <c r="AB34" s="762">
        <f>IF(GetFillColor(AB34)&lt;0,SUM(Planning!$ABL88:$ACI88),0)</f>
      </c>
      <c r="AC34" s="761">
        <v>0</v>
      </c>
      <c r="AD34" s="761">
        <v>0</v>
      </c>
      <c r="AE34" s="762">
        <f>IF(GetFillColor(AE34)&lt;0,SUM(Planning!$AEX88:$AFU88),0)</f>
      </c>
      <c r="AF34" s="762">
        <f>IF(GetFillColor(AF34)&lt;0,SUM(Planning!$AGA88:$AGX88),0)</f>
      </c>
      <c r="AG34" s="762">
        <f>IF(GetFillColor(AG34)&lt;0,SUM(Planning!$AHD88:$AIA88),0)</f>
      </c>
      <c r="AH34" s="762">
        <f>IF(GetFillColor(AH34)&lt;0,SUM(Planning!$AIG88:$AJD88),0)</f>
      </c>
      <c r="AI34" s="762">
        <f>IF(GetFillColor(AI34)&lt;0,SUM(Planning!$AJJ88:$AKG88),0)</f>
      </c>
      <c r="AJ34" s="761">
        <v>0</v>
      </c>
      <c r="AK34" s="766">
        <v>0</v>
      </c>
      <c r="AL34" s="698">
        <f>SUM(C34:AK34)</f>
      </c>
      <c r="AM34" s="4"/>
      <c r="AN34" s="4"/>
    </row>
    <row r="35" ht="20.25" customHeight="1" spans="1:40" x14ac:dyDescent="0.25">
      <c r="A35" s="4">
        <f>Planning!B89</f>
      </c>
      <c r="B35" s="4"/>
      <c r="C35" s="766">
        <f>IF(GetFillColor(C35)&lt;0,SUM(Planning!$F89:$AC89),0)</f>
      </c>
      <c r="D35" s="766">
        <f>IF(GetFillColor(D35)&lt;0,SUM(Planning!$AI89:$BF89),0)</f>
      </c>
      <c r="E35" s="766">
        <f>IF(GetFillColor(E35)&lt;0,SUM(Planning!$BL89:$CI89),0)</f>
      </c>
      <c r="F35" s="761">
        <f>IF(GetFillColor(F35)&lt;0,SUM(Planning!$CO89:$DL89),0)</f>
      </c>
      <c r="G35" s="761">
        <f>IF(GetFillColor(G35)&lt;0,SUM(Planning!$DR89:$EO89),0)</f>
      </c>
      <c r="H35" s="761">
        <v>0</v>
      </c>
      <c r="I35" s="761">
        <v>0</v>
      </c>
      <c r="J35" s="762">
        <f>IF(GetFillColor(J35)&lt;0,SUM(Planning!$HD89:$IA89),0)</f>
      </c>
      <c r="K35" s="762">
        <f>IF(GetFillColor(K35)&lt;0,SUM(Planning!$IG89:$JD89),0)</f>
      </c>
      <c r="L35" s="762">
        <f>IF(GetFillColor(L35)&lt;0,SUM(Planning!$JJ89:$KG89),0)</f>
      </c>
      <c r="M35" s="762">
        <f>IF(GetFillColor(M35)&lt;0,SUM(Planning!$KM89:$LJ89),0)</f>
      </c>
      <c r="N35" s="762">
        <f>IF(GetFillColor(N35)&lt;0,SUM(Planning!$LP89:$MM89),0)</f>
      </c>
      <c r="O35" s="761">
        <v>0</v>
      </c>
      <c r="P35" s="761">
        <v>0</v>
      </c>
      <c r="Q35" s="762">
        <f>IF(GetFillColor(Q35)&lt;0,SUM(Planning!$PB89:$PY89),0)</f>
      </c>
      <c r="R35" s="762">
        <f>IF(GetFillColor(R35)&lt;0,SUM(Planning!$QE89:$RB89),0)</f>
      </c>
      <c r="S35" s="762">
        <f>IF(GetFillColor(S35)&lt;0,SUM(Planning!$RH89:$SE89),0)</f>
      </c>
      <c r="T35" s="762">
        <f>IF(GetFillColor(T35)&lt;0,SUM(Planning!$SK89:$TH89),0)</f>
      </c>
      <c r="U35" s="762">
        <f>IF(GetFillColor(U35)&lt;0,SUM(Planning!$TN89:$UK89),0)</f>
      </c>
      <c r="V35" s="761">
        <v>0</v>
      </c>
      <c r="W35" s="761">
        <v>0</v>
      </c>
      <c r="X35" s="762">
        <f>IF(GetFillColor(X35)&lt;0,SUM(Planning!$WZ89:$XW89),0)</f>
      </c>
      <c r="Y35" s="762">
        <f>IF(GetFillColor(Y35)&lt;0,SUM(Planning!$YC89:$YZ89),0)</f>
      </c>
      <c r="Z35" s="762">
        <f>IF(GetFillColor(Z35)&lt;0,SUM(Planning!$ZF89:$AAC89),0)</f>
      </c>
      <c r="AA35" s="762">
        <f>IF(GetFillColor(AA35)&lt;0,SUM(Planning!$AAI89:$ABF89),0)</f>
      </c>
      <c r="AB35" s="762">
        <f>IF(GetFillColor(AB35)&lt;0,SUM(Planning!$ABL89:$ACI89),0)</f>
      </c>
      <c r="AC35" s="761">
        <v>0</v>
      </c>
      <c r="AD35" s="761">
        <v>0</v>
      </c>
      <c r="AE35" s="762">
        <f>IF(GetFillColor(AE35)&lt;0,SUM(Planning!$AEX89:$AFU89),0)</f>
      </c>
      <c r="AF35" s="762">
        <f>IF(GetFillColor(AF35)&lt;0,SUM(Planning!$AGA89:$AGX89),0)</f>
      </c>
      <c r="AG35" s="762">
        <f>IF(GetFillColor(AG35)&lt;0,SUM(Planning!$AHD89:$AIA89),0)</f>
      </c>
      <c r="AH35" s="762">
        <f>IF(GetFillColor(AH35)&lt;0,SUM(Planning!$AIG89:$AJD89),0)</f>
      </c>
      <c r="AI35" s="762">
        <f>IF(GetFillColor(AI35)&lt;0,SUM(Planning!$AJJ89:$AKG89),0)</f>
      </c>
      <c r="AJ35" s="761">
        <v>0</v>
      </c>
      <c r="AK35" s="766">
        <v>0</v>
      </c>
      <c r="AL35" s="698">
        <f>SUM(C35:AK35)</f>
      </c>
      <c r="AM35" s="4"/>
      <c r="AN35" s="4"/>
    </row>
    <row r="36" ht="20.25" customHeight="1" spans="1:40" x14ac:dyDescent="0.25">
      <c r="A36" s="4">
        <f>Planning!B90</f>
      </c>
      <c r="B36" s="4"/>
      <c r="C36" s="766">
        <f>IF(GetFillColor(C36)&lt;0,SUM(Planning!$F90:$AC90),0)</f>
      </c>
      <c r="D36" s="766">
        <f>IF(GetFillColor(D36)&lt;0,SUM(Planning!$AI90:$BF90),0)</f>
      </c>
      <c r="E36" s="766">
        <f>IF(GetFillColor(E36)&lt;0,SUM(Planning!$BL90:$CI90),0)</f>
      </c>
      <c r="F36" s="761">
        <f>IF(GetFillColor(F36)&lt;0,SUM(Planning!$CO90:$DL90),0)</f>
      </c>
      <c r="G36" s="761">
        <f>IF(GetFillColor(G36)&lt;0,SUM(Planning!$DR90:$EO90),0)</f>
      </c>
      <c r="H36" s="761">
        <v>0</v>
      </c>
      <c r="I36" s="761">
        <v>0</v>
      </c>
      <c r="J36" s="762">
        <f>IF(GetFillColor(J36)&lt;0,SUM(Planning!$HD90:$IA90),0)</f>
      </c>
      <c r="K36" s="762">
        <f>IF(GetFillColor(K36)&lt;0,SUM(Planning!$IG90:$JD90),0)</f>
      </c>
      <c r="L36" s="762">
        <f>IF(GetFillColor(L36)&lt;0,SUM(Planning!$JJ90:$KG90),0)</f>
      </c>
      <c r="M36" s="762">
        <f>IF(GetFillColor(M36)&lt;0,SUM(Planning!$KM90:$LJ90),0)</f>
      </c>
      <c r="N36" s="762">
        <f>IF(GetFillColor(N36)&lt;0,SUM(Planning!$LP90:$MM90),0)</f>
      </c>
      <c r="O36" s="761">
        <v>0</v>
      </c>
      <c r="P36" s="761">
        <v>0</v>
      </c>
      <c r="Q36" s="762">
        <f>IF(GetFillColor(Q36)&lt;0,SUM(Planning!$PB90:$PY90),0)</f>
      </c>
      <c r="R36" s="762">
        <f>IF(GetFillColor(R36)&lt;0,SUM(Planning!$QE90:$RB90),0)</f>
      </c>
      <c r="S36" s="762">
        <f>IF(GetFillColor(S36)&lt;0,SUM(Planning!$RH90:$SE90),0)</f>
      </c>
      <c r="T36" s="762">
        <f>IF(GetFillColor(T36)&lt;0,SUM(Planning!$SK90:$TH90),0)</f>
      </c>
      <c r="U36" s="762">
        <f>IF(GetFillColor(U36)&lt;0,SUM(Planning!$TN90:$UK90),0)</f>
      </c>
      <c r="V36" s="761">
        <v>0</v>
      </c>
      <c r="W36" s="761">
        <v>0</v>
      </c>
      <c r="X36" s="762">
        <f>IF(GetFillColor(X36)&lt;0,SUM(Planning!$WZ90:$XW90),0)</f>
      </c>
      <c r="Y36" s="762">
        <f>IF(GetFillColor(Y36)&lt;0,SUM(Planning!$YC90:$YZ90),0)</f>
      </c>
      <c r="Z36" s="762">
        <f>IF(GetFillColor(Z36)&lt;0,SUM(Planning!$ZF90:$AAC90),0)</f>
      </c>
      <c r="AA36" s="762">
        <f>IF(GetFillColor(AA36)&lt;0,SUM(Planning!$AAI90:$ABF90),0)</f>
      </c>
      <c r="AB36" s="762">
        <f>IF(GetFillColor(AB36)&lt;0,SUM(Planning!$ABL90:$ACI90),0)</f>
      </c>
      <c r="AC36" s="761">
        <v>0</v>
      </c>
      <c r="AD36" s="761">
        <v>0</v>
      </c>
      <c r="AE36" s="762">
        <f>IF(GetFillColor(AE36)&lt;0,SUM(Planning!$AEX90:$AFU90),0)</f>
      </c>
      <c r="AF36" s="762">
        <f>IF(GetFillColor(AF36)&lt;0,SUM(Planning!$AGA90:$AGX90),0)</f>
      </c>
      <c r="AG36" s="762">
        <f>IF(GetFillColor(AG36)&lt;0,SUM(Planning!$AHD90:$AIA90),0)</f>
      </c>
      <c r="AH36" s="762">
        <f>IF(GetFillColor(AH36)&lt;0,SUM(Planning!$AIG90:$AJD90),0)</f>
      </c>
      <c r="AI36" s="762">
        <f>IF(GetFillColor(AI36)&lt;0,SUM(Planning!$AJJ90:$AKG90),0)</f>
      </c>
      <c r="AJ36" s="761">
        <v>0</v>
      </c>
      <c r="AK36" s="766">
        <v>0</v>
      </c>
      <c r="AL36" s="698">
        <f>SUM(C36:AK36)</f>
      </c>
      <c r="AM36" s="4"/>
      <c r="AN36" s="4"/>
    </row>
    <row r="37" ht="20.25" customHeight="1" spans="1:40" x14ac:dyDescent="0.25">
      <c r="A37" s="4">
        <f>Planning!B91</f>
      </c>
      <c r="B37" s="4"/>
      <c r="C37" s="766">
        <f>IF(GetFillColor(C37)&lt;0,SUM(Planning!$F91:$AC91),0)</f>
      </c>
      <c r="D37" s="766">
        <f>IF(GetFillColor(D37)&lt;0,SUM(Planning!$AI91:$BF91),0)</f>
      </c>
      <c r="E37" s="766">
        <f>IF(GetFillColor(E37)&lt;0,SUM(Planning!$BL91:$CI91),0)</f>
      </c>
      <c r="F37" s="761">
        <f>IF(GetFillColor(F37)&lt;0,SUM(Planning!$CO91:$DL91),0)</f>
      </c>
      <c r="G37" s="761">
        <f>IF(GetFillColor(G37)&lt;0,SUM(Planning!$DR91:$EO91),0)</f>
      </c>
      <c r="H37" s="761">
        <v>0</v>
      </c>
      <c r="I37" s="761">
        <v>0</v>
      </c>
      <c r="J37" s="762">
        <f>IF(GetFillColor(J37)&lt;0,SUM(Planning!$HD91:$IA91),0)</f>
      </c>
      <c r="K37" s="762">
        <f>IF(GetFillColor(K37)&lt;0,SUM(Planning!$IG91:$JD91),0)</f>
      </c>
      <c r="L37" s="762">
        <f>IF(GetFillColor(L37)&lt;0,SUM(Planning!$JJ91:$KG91),0)</f>
      </c>
      <c r="M37" s="762">
        <f>IF(GetFillColor(M37)&lt;0,SUM(Planning!$KM91:$LJ91),0)</f>
      </c>
      <c r="N37" s="762">
        <f>IF(GetFillColor(N37)&lt;0,SUM(Planning!$LP91:$MM91),0)</f>
      </c>
      <c r="O37" s="761">
        <v>0</v>
      </c>
      <c r="P37" s="761">
        <v>0</v>
      </c>
      <c r="Q37" s="762">
        <f>IF(GetFillColor(Q37)&lt;0,SUM(Planning!$PB91:$PY91),0)</f>
      </c>
      <c r="R37" s="762">
        <f>IF(GetFillColor(R37)&lt;0,SUM(Planning!$QE91:$RB91),0)</f>
      </c>
      <c r="S37" s="762">
        <f>IF(GetFillColor(S37)&lt;0,SUM(Planning!$RH91:$SE91),0)</f>
      </c>
      <c r="T37" s="762">
        <f>IF(GetFillColor(T37)&lt;0,SUM(Planning!$SK91:$TH91),0)</f>
      </c>
      <c r="U37" s="762">
        <f>IF(GetFillColor(U37)&lt;0,SUM(Planning!$TN91:$UK91),0)</f>
      </c>
      <c r="V37" s="761">
        <v>0</v>
      </c>
      <c r="W37" s="761">
        <v>0</v>
      </c>
      <c r="X37" s="762">
        <f>IF(GetFillColor(X37)&lt;0,SUM(Planning!$WZ91:$XW91),0)</f>
      </c>
      <c r="Y37" s="762">
        <f>IF(GetFillColor(Y37)&lt;0,SUM(Planning!$YC91:$YZ91),0)</f>
      </c>
      <c r="Z37" s="762">
        <f>IF(GetFillColor(Z37)&lt;0,SUM(Planning!$ZF91:$AAC91),0)</f>
      </c>
      <c r="AA37" s="762">
        <f>IF(GetFillColor(AA37)&lt;0,SUM(Planning!$AAI91:$ABF91),0)</f>
      </c>
      <c r="AB37" s="762">
        <f>IF(GetFillColor(AB37)&lt;0,SUM(Planning!$ABL91:$ACI91),0)</f>
      </c>
      <c r="AC37" s="761">
        <v>0</v>
      </c>
      <c r="AD37" s="761">
        <v>0</v>
      </c>
      <c r="AE37" s="762">
        <f>IF(GetFillColor(AE37)&lt;0,SUM(Planning!$AEX91:$AFU91),0)</f>
      </c>
      <c r="AF37" s="762">
        <f>IF(GetFillColor(AF37)&lt;0,SUM(Planning!$AGA91:$AGX91),0)</f>
      </c>
      <c r="AG37" s="762">
        <f>IF(GetFillColor(AG37)&lt;0,SUM(Planning!$AHD91:$AIA91),0)</f>
      </c>
      <c r="AH37" s="762">
        <f>IF(GetFillColor(AH37)&lt;0,SUM(Planning!$AIG91:$AJD91),0)</f>
      </c>
      <c r="AI37" s="762">
        <f>IF(GetFillColor(AI37)&lt;0,SUM(Planning!$AJJ91:$AKG91),0)</f>
      </c>
      <c r="AJ37" s="761">
        <v>0</v>
      </c>
      <c r="AK37" s="766">
        <v>0</v>
      </c>
      <c r="AL37" s="698">
        <f>SUM(C37:AK37)</f>
      </c>
      <c r="AM37" s="4"/>
      <c r="AN37" s="4"/>
    </row>
    <row r="38" ht="20.25" customHeight="1" spans="1:40" x14ac:dyDescent="0.25">
      <c r="A38" s="4">
        <f>Planning!B92</f>
      </c>
      <c r="B38" s="4"/>
      <c r="C38" s="766">
        <f>IF(GetFillColor(C38)&lt;0,SUM(Planning!$F92:$AC92),0)</f>
      </c>
      <c r="D38" s="766">
        <f>IF(GetFillColor(D38)&lt;0,SUM(Planning!$AI92:$BF92),0)</f>
      </c>
      <c r="E38" s="766">
        <f>IF(GetFillColor(E38)&lt;0,SUM(Planning!$BL92:$CI92),0)</f>
      </c>
      <c r="F38" s="761">
        <f>IF(GetFillColor(F38)&lt;0,SUM(Planning!$CO92:$DL92),0)</f>
      </c>
      <c r="G38" s="761">
        <f>IF(GetFillColor(G38)&lt;0,SUM(Planning!$DR92:$EO92),0)</f>
      </c>
      <c r="H38" s="761">
        <v>0</v>
      </c>
      <c r="I38" s="761">
        <v>0</v>
      </c>
      <c r="J38" s="762">
        <f>IF(GetFillColor(J38)&lt;0,SUM(Planning!$HD92:$IA92),0)</f>
      </c>
      <c r="K38" s="762">
        <f>IF(GetFillColor(K38)&lt;0,SUM(Planning!$IG92:$JD92),0)</f>
      </c>
      <c r="L38" s="762">
        <f>IF(GetFillColor(L38)&lt;0,SUM(Planning!$JJ92:$KG92),0)</f>
      </c>
      <c r="M38" s="762">
        <f>IF(GetFillColor(M38)&lt;0,SUM(Planning!$KM92:$LJ92),0)</f>
      </c>
      <c r="N38" s="762">
        <f>IF(GetFillColor(N38)&lt;0,SUM(Planning!$LP92:$MM92),0)</f>
      </c>
      <c r="O38" s="761">
        <v>0</v>
      </c>
      <c r="P38" s="761">
        <v>0</v>
      </c>
      <c r="Q38" s="762">
        <f>IF(GetFillColor(Q38)&lt;0,SUM(Planning!$PB92:$PY92),0)</f>
      </c>
      <c r="R38" s="762">
        <f>IF(GetFillColor(R38)&lt;0,SUM(Planning!$QE92:$RB92),0)</f>
      </c>
      <c r="S38" s="762">
        <f>IF(GetFillColor(S38)&lt;0,SUM(Planning!$RH92:$SE92),0)</f>
      </c>
      <c r="T38" s="762">
        <f>IF(GetFillColor(T38)&lt;0,SUM(Planning!$SK92:$TH92),0)</f>
      </c>
      <c r="U38" s="762">
        <f>IF(GetFillColor(U38)&lt;0,SUM(Planning!$TN92:$UK92),0)</f>
      </c>
      <c r="V38" s="761">
        <v>0</v>
      </c>
      <c r="W38" s="761">
        <v>0</v>
      </c>
      <c r="X38" s="762">
        <f>IF(GetFillColor(X38)&lt;0,SUM(Planning!$WZ92:$XW92),0)</f>
      </c>
      <c r="Y38" s="762">
        <f>IF(GetFillColor(Y38)&lt;0,SUM(Planning!$YC92:$YZ92),0)</f>
      </c>
      <c r="Z38" s="762">
        <f>IF(GetFillColor(Z38)&lt;0,SUM(Planning!$ZF92:$AAC92),0)</f>
      </c>
      <c r="AA38" s="762">
        <f>IF(GetFillColor(AA38)&lt;0,SUM(Planning!$AAI92:$ABF92),0)</f>
      </c>
      <c r="AB38" s="762">
        <f>IF(GetFillColor(AB38)&lt;0,SUM(Planning!$ABL92:$ACI92),0)</f>
      </c>
      <c r="AC38" s="761">
        <v>0</v>
      </c>
      <c r="AD38" s="761">
        <v>0</v>
      </c>
      <c r="AE38" s="762">
        <f>IF(GetFillColor(AE38)&lt;0,SUM(Planning!$AEX92:$AFU92),0)</f>
      </c>
      <c r="AF38" s="762">
        <f>IF(GetFillColor(AF38)&lt;0,SUM(Planning!$AGA92:$AGX92),0)</f>
      </c>
      <c r="AG38" s="762">
        <f>IF(GetFillColor(AG38)&lt;0,SUM(Planning!$AHD92:$AIA92),0)</f>
      </c>
      <c r="AH38" s="762">
        <f>IF(GetFillColor(AH38)&lt;0,SUM(Planning!$AIG92:$AJD92),0)</f>
      </c>
      <c r="AI38" s="762">
        <f>IF(GetFillColor(AI38)&lt;0,SUM(Planning!$AJJ92:$AKG92),0)</f>
      </c>
      <c r="AJ38" s="761">
        <v>0</v>
      </c>
      <c r="AK38" s="766">
        <v>0</v>
      </c>
      <c r="AL38" s="698">
        <f>SUM(C38:AK38)</f>
      </c>
      <c r="AM38" s="4"/>
      <c r="AN38" s="4"/>
    </row>
    <row r="39" ht="20.25" customHeight="1" spans="1:40" x14ac:dyDescent="0.25">
      <c r="A39" s="4">
        <f>Planning!B93</f>
      </c>
      <c r="B39" s="4"/>
      <c r="C39" s="766">
        <f>IF(GetFillColor(C39)&lt;0,SUM(Planning!$F93:$AC93),0)</f>
      </c>
      <c r="D39" s="766">
        <f>IF(GetFillColor(D39)&lt;0,SUM(Planning!$AI93:$BF93),0)</f>
      </c>
      <c r="E39" s="766">
        <f>IF(GetFillColor(E39)&lt;0,SUM(Planning!$BL93:$CI93),0)</f>
      </c>
      <c r="F39" s="761">
        <f>IF(GetFillColor(F39)&lt;0,SUM(Planning!$CO93:$DL93),0)</f>
      </c>
      <c r="G39" s="761">
        <f>IF(GetFillColor(G39)&lt;0,SUM(Planning!$DR93:$EO93),0)</f>
      </c>
      <c r="H39" s="761">
        <v>0</v>
      </c>
      <c r="I39" s="761">
        <v>0</v>
      </c>
      <c r="J39" s="762">
        <f>IF(GetFillColor(J39)&lt;0,SUM(Planning!$HD93:$IA93),0)</f>
      </c>
      <c r="K39" s="762">
        <f>IF(GetFillColor(K39)&lt;0,SUM(Planning!$IG93:$JD93),0)</f>
      </c>
      <c r="L39" s="762">
        <f>IF(GetFillColor(L39)&lt;0,SUM(Planning!$JJ93:$KG93),0)</f>
      </c>
      <c r="M39" s="762">
        <f>IF(GetFillColor(M39)&lt;0,SUM(Planning!$KM93:$LJ93),0)</f>
      </c>
      <c r="N39" s="762">
        <f>IF(GetFillColor(N39)&lt;0,SUM(Planning!$LP93:$MM93),0)</f>
      </c>
      <c r="O39" s="761">
        <v>0</v>
      </c>
      <c r="P39" s="761">
        <v>0</v>
      </c>
      <c r="Q39" s="762">
        <f>IF(GetFillColor(Q39)&lt;0,SUM(Planning!$PB93:$PY93),0)</f>
      </c>
      <c r="R39" s="762">
        <f>IF(GetFillColor(R39)&lt;0,SUM(Planning!$QE93:$RB93),0)</f>
      </c>
      <c r="S39" s="762">
        <f>IF(GetFillColor(S39)&lt;0,SUM(Planning!$RH93:$SE93),0)</f>
      </c>
      <c r="T39" s="762">
        <f>IF(GetFillColor(T39)&lt;0,SUM(Planning!$SK93:$TH93),0)</f>
      </c>
      <c r="U39" s="762">
        <f>IF(GetFillColor(U39)&lt;0,SUM(Planning!$TN93:$UK93),0)</f>
      </c>
      <c r="V39" s="761">
        <v>0</v>
      </c>
      <c r="W39" s="761">
        <v>0</v>
      </c>
      <c r="X39" s="762">
        <f>IF(GetFillColor(X39)&lt;0,SUM(Planning!$WZ93:$XW93),0)</f>
      </c>
      <c r="Y39" s="762">
        <f>IF(GetFillColor(Y39)&lt;0,SUM(Planning!$YC93:$YZ93),0)</f>
      </c>
      <c r="Z39" s="762">
        <f>IF(GetFillColor(Z39)&lt;0,SUM(Planning!$ZF93:$AAC93),0)</f>
      </c>
      <c r="AA39" s="762">
        <f>IF(GetFillColor(AA39)&lt;0,SUM(Planning!$AAI93:$ABF93),0)</f>
      </c>
      <c r="AB39" s="762">
        <f>IF(GetFillColor(AB39)&lt;0,SUM(Planning!$ABL93:$ACI93),0)</f>
      </c>
      <c r="AC39" s="761">
        <v>0</v>
      </c>
      <c r="AD39" s="761">
        <v>0</v>
      </c>
      <c r="AE39" s="762">
        <f>IF(GetFillColor(AE39)&lt;0,SUM(Planning!$AEX93:$AFU93),0)</f>
      </c>
      <c r="AF39" s="762">
        <f>IF(GetFillColor(AF39)&lt;0,SUM(Planning!$AGA93:$AGX93),0)</f>
      </c>
      <c r="AG39" s="762">
        <f>IF(GetFillColor(AG39)&lt;0,SUM(Planning!$AHD93:$AIA93),0)</f>
      </c>
      <c r="AH39" s="762">
        <f>IF(GetFillColor(AH39)&lt;0,SUM(Planning!$AIG93:$AJD93),0)</f>
      </c>
      <c r="AI39" s="762">
        <f>IF(GetFillColor(AI39)&lt;0,SUM(Planning!$AJJ93:$AKG93),0)</f>
      </c>
      <c r="AJ39" s="761">
        <v>0</v>
      </c>
      <c r="AK39" s="766">
        <v>0</v>
      </c>
      <c r="AL39" s="698">
        <f>SUM(C39:AK39)</f>
      </c>
      <c r="AM39" s="4"/>
      <c r="AN39" s="4"/>
    </row>
    <row r="40" ht="20.25" customHeight="1" spans="1:40" x14ac:dyDescent="0.25">
      <c r="A40" s="4">
        <f>Planning!B94</f>
      </c>
      <c r="B40" s="4"/>
      <c r="C40" s="766">
        <f>IF(GetFillColor(C40)&lt;0,SUM(Planning!$F94:$AC94),0)</f>
      </c>
      <c r="D40" s="766">
        <f>IF(GetFillColor(D40)&lt;0,SUM(Planning!$AI94:$BF94),0)</f>
      </c>
      <c r="E40" s="766">
        <f>IF(GetFillColor(E40)&lt;0,SUM(Planning!$BL94:$CI94),0)</f>
      </c>
      <c r="F40" s="761">
        <f>IF(GetFillColor(F40)&lt;0,SUM(Planning!$CO94:$DL94),0)</f>
      </c>
      <c r="G40" s="761">
        <f>IF(GetFillColor(G40)&lt;0,SUM(Planning!$DR94:$EO94),0)</f>
      </c>
      <c r="H40" s="761">
        <v>0</v>
      </c>
      <c r="I40" s="761">
        <v>0</v>
      </c>
      <c r="J40" s="762">
        <f>IF(GetFillColor(J40)&lt;0,SUM(Planning!$HD94:$IA94),0)</f>
      </c>
      <c r="K40" s="762">
        <f>IF(GetFillColor(K40)&lt;0,SUM(Planning!$IG94:$JD94),0)</f>
      </c>
      <c r="L40" s="762">
        <f>IF(GetFillColor(L40)&lt;0,SUM(Planning!$JJ94:$KG94),0)</f>
      </c>
      <c r="M40" s="762">
        <f>IF(GetFillColor(M40)&lt;0,SUM(Planning!$KM94:$LJ94),0)</f>
      </c>
      <c r="N40" s="762">
        <f>IF(GetFillColor(N40)&lt;0,SUM(Planning!$LP94:$MM94),0)</f>
      </c>
      <c r="O40" s="761">
        <v>0</v>
      </c>
      <c r="P40" s="761">
        <v>0</v>
      </c>
      <c r="Q40" s="762">
        <f>IF(GetFillColor(Q40)&lt;0,SUM(Planning!$PB94:$PY94),0)</f>
      </c>
      <c r="R40" s="762">
        <f>IF(GetFillColor(R40)&lt;0,SUM(Planning!$QE94:$RB94),0)</f>
      </c>
      <c r="S40" s="762">
        <f>IF(GetFillColor(S40)&lt;0,SUM(Planning!$RH94:$SE94),0)</f>
      </c>
      <c r="T40" s="762">
        <f>IF(GetFillColor(T40)&lt;0,SUM(Planning!$SK94:$TH94),0)</f>
      </c>
      <c r="U40" s="762">
        <f>IF(GetFillColor(U40)&lt;0,SUM(Planning!$TN94:$UK94),0)</f>
      </c>
      <c r="V40" s="761">
        <v>0</v>
      </c>
      <c r="W40" s="761">
        <v>0</v>
      </c>
      <c r="X40" s="762">
        <f>IF(GetFillColor(X40)&lt;0,SUM(Planning!$WZ94:$XW94),0)</f>
      </c>
      <c r="Y40" s="762">
        <f>IF(GetFillColor(Y40)&lt;0,SUM(Planning!$YC94:$YZ94),0)</f>
      </c>
      <c r="Z40" s="762">
        <f>IF(GetFillColor(Z40)&lt;0,SUM(Planning!$ZF94:$AAC94),0)</f>
      </c>
      <c r="AA40" s="762">
        <f>IF(GetFillColor(AA40)&lt;0,SUM(Planning!$AAI94:$ABF94),0)</f>
      </c>
      <c r="AB40" s="762">
        <f>IF(GetFillColor(AB40)&lt;0,SUM(Planning!$ABL94:$ACI94),0)</f>
      </c>
      <c r="AC40" s="761">
        <v>0</v>
      </c>
      <c r="AD40" s="761">
        <v>0</v>
      </c>
      <c r="AE40" s="762">
        <f>IF(GetFillColor(AE40)&lt;0,SUM(Planning!$AEX94:$AFU94),0)</f>
      </c>
      <c r="AF40" s="762">
        <f>IF(GetFillColor(AF40)&lt;0,SUM(Planning!$AGA94:$AGX94),0)</f>
      </c>
      <c r="AG40" s="762">
        <f>IF(GetFillColor(AG40)&lt;0,SUM(Planning!$AHD94:$AIA94),0)</f>
      </c>
      <c r="AH40" s="762">
        <f>IF(GetFillColor(AH40)&lt;0,SUM(Planning!$AIG94:$AJD94),0)</f>
      </c>
      <c r="AI40" s="762">
        <f>IF(GetFillColor(AI40)&lt;0,SUM(Planning!$AJJ94:$AKG94),0)</f>
      </c>
      <c r="AJ40" s="761">
        <v>0</v>
      </c>
      <c r="AK40" s="766">
        <v>0</v>
      </c>
      <c r="AL40" s="698">
        <f>SUM(C40:AK40)</f>
      </c>
      <c r="AM40" s="4"/>
      <c r="AN40" s="4"/>
    </row>
    <row r="41" ht="20.25" customHeight="1" spans="1:40" x14ac:dyDescent="0.25">
      <c r="A41" s="4">
        <f>Planning!B95</f>
      </c>
      <c r="B41" s="4"/>
      <c r="C41" s="766">
        <f>IF(GetFillColor(C41)&lt;0,SUM(Planning!$F95:$AC95),0)</f>
      </c>
      <c r="D41" s="766">
        <f>IF(GetFillColor(D41)&lt;0,SUM(Planning!$AI95:$BF95),0)</f>
      </c>
      <c r="E41" s="766">
        <f>IF(GetFillColor(E41)&lt;0,SUM(Planning!$BL95:$CI95),0)</f>
      </c>
      <c r="F41" s="761">
        <f>IF(GetFillColor(F41)&lt;0,SUM(Planning!$CO95:$DL95),0)</f>
      </c>
      <c r="G41" s="761">
        <f>IF(GetFillColor(G41)&lt;0,SUM(Planning!$DR95:$EO95),0)</f>
      </c>
      <c r="H41" s="761">
        <v>0</v>
      </c>
      <c r="I41" s="761">
        <v>0</v>
      </c>
      <c r="J41" s="762">
        <f>IF(GetFillColor(J41)&lt;0,SUM(Planning!$HD95:$IA95),0)</f>
      </c>
      <c r="K41" s="762">
        <f>IF(GetFillColor(K41)&lt;0,SUM(Planning!$IG95:$JD95),0)</f>
      </c>
      <c r="L41" s="762">
        <f>IF(GetFillColor(L41)&lt;0,SUM(Planning!$JJ95:$KG95),0)</f>
      </c>
      <c r="M41" s="762">
        <f>IF(GetFillColor(M41)&lt;0,SUM(Planning!$KM95:$LJ95),0)</f>
      </c>
      <c r="N41" s="762">
        <f>IF(GetFillColor(N41)&lt;0,SUM(Planning!$LP95:$MM95),0)</f>
      </c>
      <c r="O41" s="761">
        <v>0</v>
      </c>
      <c r="P41" s="761">
        <v>0</v>
      </c>
      <c r="Q41" s="762">
        <f>IF(GetFillColor(Q41)&lt;0,SUM(Planning!$PB95:$PY95),0)</f>
      </c>
      <c r="R41" s="762">
        <f>IF(GetFillColor(R41)&lt;0,SUM(Planning!$QE95:$RB95),0)</f>
      </c>
      <c r="S41" s="762">
        <f>IF(GetFillColor(S41)&lt;0,SUM(Planning!$RH95:$SE95),0)</f>
      </c>
      <c r="T41" s="762">
        <f>IF(GetFillColor(T41)&lt;0,SUM(Planning!$SK95:$TH95),0)</f>
      </c>
      <c r="U41" s="762">
        <f>IF(GetFillColor(U41)&lt;0,SUM(Planning!$TN95:$UK95),0)</f>
      </c>
      <c r="V41" s="761">
        <v>0</v>
      </c>
      <c r="W41" s="761">
        <v>0</v>
      </c>
      <c r="X41" s="762">
        <f>IF(GetFillColor(X41)&lt;0,SUM(Planning!$WZ95:$XW95),0)</f>
      </c>
      <c r="Y41" s="762">
        <f>IF(GetFillColor(Y41)&lt;0,SUM(Planning!$YC95:$YZ95),0)</f>
      </c>
      <c r="Z41" s="762">
        <f>IF(GetFillColor(Z41)&lt;0,SUM(Planning!$ZF95:$AAC95),0)</f>
      </c>
      <c r="AA41" s="762">
        <f>IF(GetFillColor(AA41)&lt;0,SUM(Planning!$AAI95:$ABF95),0)</f>
      </c>
      <c r="AB41" s="762">
        <f>IF(GetFillColor(AB41)&lt;0,SUM(Planning!$ABL95:$ACI95),0)</f>
      </c>
      <c r="AC41" s="761">
        <v>0</v>
      </c>
      <c r="AD41" s="761">
        <v>0</v>
      </c>
      <c r="AE41" s="762">
        <f>IF(GetFillColor(AE41)&lt;0,SUM(Planning!$AEX95:$AFU95),0)</f>
      </c>
      <c r="AF41" s="762">
        <f>IF(GetFillColor(AF41)&lt;0,SUM(Planning!$AGA95:$AGX95),0)</f>
      </c>
      <c r="AG41" s="762">
        <f>IF(GetFillColor(AG41)&lt;0,SUM(Planning!$AHD95:$AIA95),0)</f>
      </c>
      <c r="AH41" s="762">
        <f>IF(GetFillColor(AH41)&lt;0,SUM(Planning!$AIG95:$AJD95),0)</f>
      </c>
      <c r="AI41" s="762">
        <f>IF(GetFillColor(AI41)&lt;0,SUM(Planning!$AJJ95:$AKG95),0)</f>
      </c>
      <c r="AJ41" s="761">
        <v>0</v>
      </c>
      <c r="AK41" s="766">
        <v>0</v>
      </c>
      <c r="AL41" s="698">
        <f>SUM(C41:AK41)</f>
      </c>
      <c r="AM41" s="4"/>
      <c r="AN41" s="4"/>
    </row>
    <row r="42" ht="20.25" customHeight="1" spans="1:40" x14ac:dyDescent="0.25">
      <c r="A42" s="4">
        <f>Planning!B96</f>
      </c>
      <c r="B42" s="4"/>
      <c r="C42" s="766">
        <f>IF(GetFillColor(C42)&lt;0,SUM(Planning!$F96:$AC96),0)</f>
      </c>
      <c r="D42" s="766">
        <f>IF(GetFillColor(D42)&lt;0,SUM(Planning!$AI96:$BF96),0)</f>
      </c>
      <c r="E42" s="766">
        <f>IF(GetFillColor(E42)&lt;0,SUM(Planning!$BL96:$CI96),0)</f>
      </c>
      <c r="F42" s="761">
        <f>IF(GetFillColor(F42)&lt;0,SUM(Planning!$CO96:$DL96),0)</f>
      </c>
      <c r="G42" s="761">
        <f>IF(GetFillColor(G42)&lt;0,SUM(Planning!$DR96:$EO96),0)</f>
      </c>
      <c r="H42" s="761">
        <v>0</v>
      </c>
      <c r="I42" s="761">
        <v>0</v>
      </c>
      <c r="J42" s="762">
        <f>IF(GetFillColor(J42)&lt;0,SUM(Planning!$HD96:$IA96),0)</f>
      </c>
      <c r="K42" s="762">
        <f>IF(GetFillColor(K42)&lt;0,SUM(Planning!$IG96:$JD96),0)</f>
      </c>
      <c r="L42" s="762">
        <f>IF(GetFillColor(L42)&lt;0,SUM(Planning!$JJ96:$KG96),0)</f>
      </c>
      <c r="M42" s="762">
        <f>IF(GetFillColor(M42)&lt;0,SUM(Planning!$KM96:$LJ96),0)</f>
      </c>
      <c r="N42" s="762">
        <f>IF(GetFillColor(N42)&lt;0,SUM(Planning!$LP96:$MM96),0)</f>
      </c>
      <c r="O42" s="761">
        <v>0</v>
      </c>
      <c r="P42" s="761">
        <v>0</v>
      </c>
      <c r="Q42" s="762">
        <f>IF(GetFillColor(Q42)&lt;0,SUM(Planning!$PB96:$PY96),0)</f>
      </c>
      <c r="R42" s="762">
        <f>IF(GetFillColor(R42)&lt;0,SUM(Planning!$QE96:$RB96),0)</f>
      </c>
      <c r="S42" s="762">
        <f>IF(GetFillColor(S42)&lt;0,SUM(Planning!$RH96:$SE96),0)</f>
      </c>
      <c r="T42" s="762">
        <f>IF(GetFillColor(T42)&lt;0,SUM(Planning!$SK96:$TH96),0)</f>
      </c>
      <c r="U42" s="762">
        <f>IF(GetFillColor(U42)&lt;0,SUM(Planning!$TN96:$UK96),0)</f>
      </c>
      <c r="V42" s="761">
        <v>0</v>
      </c>
      <c r="W42" s="761">
        <v>0</v>
      </c>
      <c r="X42" s="762">
        <f>IF(GetFillColor(X42)&lt;0,SUM(Planning!$WZ96:$XW96),0)</f>
      </c>
      <c r="Y42" s="762">
        <f>IF(GetFillColor(Y42)&lt;0,SUM(Planning!$YC96:$YZ96),0)</f>
      </c>
      <c r="Z42" s="762">
        <f>IF(GetFillColor(Z42)&lt;0,SUM(Planning!$ZF96:$AAC96),0)</f>
      </c>
      <c r="AA42" s="762">
        <f>IF(GetFillColor(AA42)&lt;0,SUM(Planning!$AAI96:$ABF96),0)</f>
      </c>
      <c r="AB42" s="762">
        <f>IF(GetFillColor(AB42)&lt;0,SUM(Planning!$ABL96:$ACI96),0)</f>
      </c>
      <c r="AC42" s="761">
        <v>0</v>
      </c>
      <c r="AD42" s="761">
        <v>0</v>
      </c>
      <c r="AE42" s="762">
        <f>IF(GetFillColor(AE42)&lt;0,SUM(Planning!$AEX96:$AFU96),0)</f>
      </c>
      <c r="AF42" s="762">
        <f>IF(GetFillColor(AF42)&lt;0,SUM(Planning!$AGA96:$AGX96),0)</f>
      </c>
      <c r="AG42" s="762">
        <f>IF(GetFillColor(AG42)&lt;0,SUM(Planning!$AHD96:$AIA96),0)</f>
      </c>
      <c r="AH42" s="762">
        <f>IF(GetFillColor(AH42)&lt;0,SUM(Planning!$AIG96:$AJD96),0)</f>
      </c>
      <c r="AI42" s="762">
        <f>IF(GetFillColor(AI42)&lt;0,SUM(Planning!$AJJ96:$AKG96),0)</f>
      </c>
      <c r="AJ42" s="761">
        <v>0</v>
      </c>
      <c r="AK42" s="766">
        <v>0</v>
      </c>
      <c r="AL42" s="698">
        <f>SUM(C42:AK42)</f>
      </c>
      <c r="AM42" s="4"/>
      <c r="AN42" s="4"/>
    </row>
    <row r="43" ht="20.25" customHeight="1" spans="1:40" x14ac:dyDescent="0.25">
      <c r="A43" s="4">
        <f>Planning!B97</f>
      </c>
      <c r="B43" s="4"/>
      <c r="C43" s="766">
        <f>IF(GetFillColor(C43)&lt;0,SUM(Planning!$F97:$AC97),0)</f>
      </c>
      <c r="D43" s="766">
        <f>IF(GetFillColor(D43)&lt;0,SUM(Planning!$AI97:$BF97),0)</f>
      </c>
      <c r="E43" s="766">
        <f>IF(GetFillColor(E43)&lt;0,SUM(Planning!$BL97:$CI97),0)</f>
      </c>
      <c r="F43" s="761">
        <f>IF(GetFillColor(F43)&lt;0,SUM(Planning!$CO97:$DL97),0)</f>
      </c>
      <c r="G43" s="761">
        <f>IF(GetFillColor(G43)&lt;0,SUM(Planning!$DR97:$EO97),0)</f>
      </c>
      <c r="H43" s="761">
        <v>0</v>
      </c>
      <c r="I43" s="761">
        <v>0</v>
      </c>
      <c r="J43" s="762">
        <f>IF(GetFillColor(J43)&lt;0,SUM(Planning!$HD97:$IA97),0)</f>
      </c>
      <c r="K43" s="762">
        <f>IF(GetFillColor(K43)&lt;0,SUM(Planning!$IG97:$JD97),0)</f>
      </c>
      <c r="L43" s="762">
        <f>IF(GetFillColor(L43)&lt;0,SUM(Planning!$JJ97:$KG97),0)</f>
      </c>
      <c r="M43" s="762">
        <f>IF(GetFillColor(M43)&lt;0,SUM(Planning!$KM97:$LJ97),0)</f>
      </c>
      <c r="N43" s="762">
        <f>IF(GetFillColor(N43)&lt;0,SUM(Planning!$LP97:$MM97),0)</f>
      </c>
      <c r="O43" s="761">
        <v>0</v>
      </c>
      <c r="P43" s="761">
        <v>0</v>
      </c>
      <c r="Q43" s="762">
        <f>IF(GetFillColor(Q43)&lt;0,SUM(Planning!$PB97:$PY97),0)</f>
      </c>
      <c r="R43" s="762">
        <f>IF(GetFillColor(R43)&lt;0,SUM(Planning!$QE97:$RB97),0)</f>
      </c>
      <c r="S43" s="762">
        <f>IF(GetFillColor(S43)&lt;0,SUM(Planning!$RH97:$SE97),0)</f>
      </c>
      <c r="T43" s="762">
        <f>IF(GetFillColor(T43)&lt;0,SUM(Planning!$SK97:$TH97),0)</f>
      </c>
      <c r="U43" s="762">
        <f>IF(GetFillColor(U43)&lt;0,SUM(Planning!$TN97:$UK97),0)</f>
      </c>
      <c r="V43" s="761">
        <v>0</v>
      </c>
      <c r="W43" s="761">
        <v>0</v>
      </c>
      <c r="X43" s="762">
        <f>IF(GetFillColor(X43)&lt;0,SUM(Planning!$WZ97:$XW97),0)</f>
      </c>
      <c r="Y43" s="762">
        <f>IF(GetFillColor(Y43)&lt;0,SUM(Planning!$YC97:$YZ97),0)</f>
      </c>
      <c r="Z43" s="762">
        <f>IF(GetFillColor(Z43)&lt;0,SUM(Planning!$ZF97:$AAC97),0)</f>
      </c>
      <c r="AA43" s="762">
        <f>IF(GetFillColor(AA43)&lt;0,SUM(Planning!$AAI97:$ABF97),0)</f>
      </c>
      <c r="AB43" s="762">
        <f>IF(GetFillColor(AB43)&lt;0,SUM(Planning!$ABL97:$ACI97),0)</f>
      </c>
      <c r="AC43" s="761">
        <v>0</v>
      </c>
      <c r="AD43" s="761">
        <v>0</v>
      </c>
      <c r="AE43" s="762">
        <f>IF(GetFillColor(AE43)&lt;0,SUM(Planning!$AEX97:$AFU97),0)</f>
      </c>
      <c r="AF43" s="762">
        <f>IF(GetFillColor(AF43)&lt;0,SUM(Planning!$AGA97:$AGX97),0)</f>
      </c>
      <c r="AG43" s="762">
        <f>IF(GetFillColor(AG43)&lt;0,SUM(Planning!$AHD97:$AIA97),0)</f>
      </c>
      <c r="AH43" s="762">
        <f>IF(GetFillColor(AH43)&lt;0,SUM(Planning!$AIG97:$AJD97),0)</f>
      </c>
      <c r="AI43" s="762">
        <f>IF(GetFillColor(AI43)&lt;0,SUM(Planning!$AJJ97:$AKG97),0)</f>
      </c>
      <c r="AJ43" s="761">
        <v>0</v>
      </c>
      <c r="AK43" s="766">
        <v>0</v>
      </c>
      <c r="AL43" s="698">
        <f>SUM(C43:AK43)</f>
      </c>
      <c r="AM43" s="4"/>
      <c r="AN43" s="4"/>
    </row>
    <row r="44" ht="20.25" customHeight="1" spans="1:40" x14ac:dyDescent="0.25">
      <c r="A44" s="4">
        <f>Planning!B98</f>
      </c>
      <c r="B44" s="4"/>
      <c r="C44" s="766">
        <f>IF(GetFillColor(C44)&lt;0,SUM(Planning!$F98:$AC98),0)</f>
      </c>
      <c r="D44" s="766">
        <f>IF(GetFillColor(D44)&lt;0,SUM(Planning!$AI98:$BF98),0)</f>
      </c>
      <c r="E44" s="766">
        <f>IF(GetFillColor(E44)&lt;0,SUM(Planning!$BL98:$CI98),0)</f>
      </c>
      <c r="F44" s="761">
        <f>IF(GetFillColor(F44)&lt;0,SUM(Planning!$CO98:$DL98),0)</f>
      </c>
      <c r="G44" s="761">
        <f>IF(GetFillColor(G44)&lt;0,SUM(Planning!$DR98:$EO98),0)</f>
      </c>
      <c r="H44" s="761">
        <v>0</v>
      </c>
      <c r="I44" s="761">
        <v>0</v>
      </c>
      <c r="J44" s="762">
        <f>IF(GetFillColor(J44)&lt;0,SUM(Planning!$HD98:$IA98),0)</f>
      </c>
      <c r="K44" s="762">
        <f>IF(GetFillColor(K44)&lt;0,SUM(Planning!$IG98:$JD98),0)</f>
      </c>
      <c r="L44" s="762">
        <f>IF(GetFillColor(L44)&lt;0,SUM(Planning!$JJ98:$KG98),0)</f>
      </c>
      <c r="M44" s="762">
        <f>IF(GetFillColor(M44)&lt;0,SUM(Planning!$KM98:$LJ98),0)</f>
      </c>
      <c r="N44" s="762">
        <f>IF(GetFillColor(N44)&lt;0,SUM(Planning!$LP98:$MM98),0)</f>
      </c>
      <c r="O44" s="761">
        <v>0</v>
      </c>
      <c r="P44" s="761">
        <v>0</v>
      </c>
      <c r="Q44" s="762">
        <f>IF(GetFillColor(Q44)&lt;0,SUM(Planning!$PB98:$PY98),0)</f>
      </c>
      <c r="R44" s="762">
        <f>IF(GetFillColor(R44)&lt;0,SUM(Planning!$QE98:$RB98),0)</f>
      </c>
      <c r="S44" s="762">
        <f>IF(GetFillColor(S44)&lt;0,SUM(Planning!$RH98:$SE98),0)</f>
      </c>
      <c r="T44" s="762">
        <f>IF(GetFillColor(T44)&lt;0,SUM(Planning!$SK98:$TH98),0)</f>
      </c>
      <c r="U44" s="762">
        <f>IF(GetFillColor(U44)&lt;0,SUM(Planning!$TN98:$UK98),0)</f>
      </c>
      <c r="V44" s="761">
        <v>0</v>
      </c>
      <c r="W44" s="761">
        <v>0</v>
      </c>
      <c r="X44" s="762">
        <f>IF(GetFillColor(X44)&lt;0,SUM(Planning!$WZ98:$XW98),0)</f>
      </c>
      <c r="Y44" s="762">
        <f>IF(GetFillColor(Y44)&lt;0,SUM(Planning!$YC98:$YZ98),0)</f>
      </c>
      <c r="Z44" s="762">
        <f>IF(GetFillColor(Z44)&lt;0,SUM(Planning!$ZF98:$AAC98),0)</f>
      </c>
      <c r="AA44" s="762">
        <f>IF(GetFillColor(AA44)&lt;0,SUM(Planning!$AAI98:$ABF98),0)</f>
      </c>
      <c r="AB44" s="762">
        <f>IF(GetFillColor(AB44)&lt;0,SUM(Planning!$ABL98:$ACI98),0)</f>
      </c>
      <c r="AC44" s="761">
        <v>0</v>
      </c>
      <c r="AD44" s="761">
        <v>0</v>
      </c>
      <c r="AE44" s="762">
        <f>IF(GetFillColor(AE44)&lt;0,SUM(Planning!$AEX98:$AFU98),0)</f>
      </c>
      <c r="AF44" s="762">
        <f>IF(GetFillColor(AF44)&lt;0,SUM(Planning!$AGA98:$AGX98),0)</f>
      </c>
      <c r="AG44" s="762">
        <f>IF(GetFillColor(AG44)&lt;0,SUM(Planning!$AHD98:$AIA98),0)</f>
      </c>
      <c r="AH44" s="762">
        <f>IF(GetFillColor(AH44)&lt;0,SUM(Planning!$AIG98:$AJD98),0)</f>
      </c>
      <c r="AI44" s="762">
        <f>IF(GetFillColor(AI44)&lt;0,SUM(Planning!$AJJ98:$AKG98),0)</f>
      </c>
      <c r="AJ44" s="761">
        <v>0</v>
      </c>
      <c r="AK44" s="766">
        <v>0</v>
      </c>
      <c r="AL44" s="698">
        <f>SUM(C44:AK44)</f>
      </c>
      <c r="AM44" s="4"/>
      <c r="AN44" s="4"/>
    </row>
    <row r="45" ht="15" customHeight="1" spans="1:40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ht="80.25" customHeight="1" spans="1:40" s="754" customFormat="1" x14ac:dyDescent="0.25">
      <c r="A46" s="755" t="s">
        <v>243</v>
      </c>
      <c r="B46" s="756"/>
      <c r="C46" s="757">
        <f>C2</f>
      </c>
      <c r="D46" s="757">
        <f>D2</f>
      </c>
      <c r="E46" s="757">
        <f>E2</f>
      </c>
      <c r="F46" s="757">
        <f>F2</f>
      </c>
      <c r="G46" s="757">
        <f>G2</f>
      </c>
      <c r="H46" s="757">
        <f>H2</f>
      </c>
      <c r="I46" s="757">
        <f>I2</f>
      </c>
      <c r="J46" s="757">
        <f>J2</f>
      </c>
      <c r="K46" s="757">
        <f>K2</f>
      </c>
      <c r="L46" s="757">
        <f>L2</f>
      </c>
      <c r="M46" s="757">
        <f>M2</f>
      </c>
      <c r="N46" s="757">
        <f>N2</f>
      </c>
      <c r="O46" s="757">
        <f>O2</f>
      </c>
      <c r="P46" s="757">
        <f>P2</f>
      </c>
      <c r="Q46" s="757">
        <f>Q2</f>
      </c>
      <c r="R46" s="757">
        <f>R2</f>
      </c>
      <c r="S46" s="757">
        <f>S2</f>
      </c>
      <c r="T46" s="757">
        <f>T2</f>
      </c>
      <c r="U46" s="757">
        <f>U2</f>
      </c>
      <c r="V46" s="757">
        <f>V2</f>
      </c>
      <c r="W46" s="757">
        <f>W2</f>
      </c>
      <c r="X46" s="757">
        <f>X2</f>
      </c>
      <c r="Y46" s="757">
        <f>Y2</f>
      </c>
      <c r="Z46" s="757">
        <f>Z2</f>
      </c>
      <c r="AA46" s="757">
        <f>AA2</f>
      </c>
      <c r="AB46" s="757">
        <f>AB2</f>
      </c>
      <c r="AC46" s="757">
        <f>AC2</f>
      </c>
      <c r="AD46" s="757">
        <f>AD2</f>
      </c>
      <c r="AE46" s="757">
        <f>AE2</f>
      </c>
      <c r="AF46" s="757">
        <f>AF2</f>
      </c>
      <c r="AG46" s="757">
        <f>AG2</f>
      </c>
      <c r="AH46" s="757">
        <f>AH2</f>
      </c>
      <c r="AI46" s="757">
        <f>AI2</f>
      </c>
      <c r="AJ46" s="757">
        <f>AJ2</f>
      </c>
      <c r="AK46" s="757">
        <f>AK2</f>
      </c>
      <c r="AL46" s="758" t="s">
        <v>236</v>
      </c>
      <c r="AM46" s="4"/>
      <c r="AN46" s="4"/>
    </row>
    <row r="47" ht="10.5" customHeight="1" spans="1:4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ht="20.25" customHeight="1" spans="1:40" x14ac:dyDescent="0.25">
      <c r="A48" s="4">
        <f>A4</f>
      </c>
      <c r="B48" s="4"/>
      <c r="C48" s="760">
        <f>IF(GetFillColor(C48)&lt;0,Planning!$D57+Planning!$E57+Planning!$AD57+Planning!$AE57,0)</f>
      </c>
      <c r="D48" s="760">
        <f>IF(GetFillColor(D48)&lt;0,Planning!$AG57+Planning!$AH57+Planning!$BG57+Planning!$BH57,0)</f>
      </c>
      <c r="E48" s="760">
        <f>IF(GetFillColor(E48)&lt;0,Planning!$BJ57+Planning!$BK57+Planning!$CJ57+Planning!$CK57,0)</f>
      </c>
      <c r="F48" s="761">
        <f>IF(GetFillColor(F48)&lt;0,Planning!$CM57+Planning!$CN57+Planning!$DM57+Planning!$DN57,0)</f>
      </c>
      <c r="G48" s="761">
        <f>IF(GetFillColor(G48)&lt;0,Planning!$DP57+Planning!$DQ57+Planning!$EP57+Planning!$EQ57,0)</f>
      </c>
      <c r="H48" s="761">
        <v>0</v>
      </c>
      <c r="I48" s="761">
        <v>0</v>
      </c>
      <c r="J48" s="762">
        <f>IF(GetFillColor(J48)&lt;0,Planning!$HB57+Planning!$HC57+Planning!$IB57+Planning!$IC57,0)</f>
      </c>
      <c r="K48" s="762">
        <f>IF(GetFillColor(K48)&lt;0,Planning!$IE57+Planning!$IF57+Planning!$JE57+Planning!$JF57,0)</f>
      </c>
      <c r="L48" s="762">
        <f>IF(GetFillColor(L48)&lt;0,Planning!$JH57+Planning!$JI57+Planning!$KH57+Planning!$KI57,0)</f>
      </c>
      <c r="M48" s="762">
        <f>IF(GetFillColor(M48)&lt;0,Planning!$KK57+Planning!$KL57+Planning!$LK57+Planning!$LL57,0)</f>
      </c>
      <c r="N48" s="762">
        <f>IF(GetFillColor(N48)&lt;0,Planning!$LN57+Planning!$LO57+Planning!$MN57+Planning!$MO57,0)</f>
      </c>
      <c r="O48" s="761">
        <v>0</v>
      </c>
      <c r="P48" s="761">
        <v>0</v>
      </c>
      <c r="Q48" s="762">
        <f>IF(GetFillColor(Q48)&lt;0,Planning!$OZ57+Planning!$PA57+Planning!$PZ57+Planning!$QA57,0)</f>
      </c>
      <c r="R48" s="762">
        <f>IF(GetFillColor(R48)&lt;0,Planning!$QC57+Planning!$QD57+Planning!$RC57+Planning!$RD57,0)</f>
      </c>
      <c r="S48" s="762">
        <f>IF(GetFillColor(S48)&lt;0,Planning!$RF57+Planning!$RG57+Planning!$SF57+Planning!$SG57,0)</f>
      </c>
      <c r="T48" s="762">
        <f>IF(GetFillColor(T48)&lt;0,Planning!$SI57+Planning!$SJ57+Planning!$TI57+Planning!$TJ57,0)</f>
      </c>
      <c r="U48" s="762">
        <f>IF(GetFillColor(U48)&lt;0,Planning!$TL57+Planning!$TM57+Planning!$UL57+Planning!$UM57,0)</f>
      </c>
      <c r="V48" s="761">
        <v>0</v>
      </c>
      <c r="W48" s="761">
        <v>0</v>
      </c>
      <c r="X48" s="762">
        <f>IF(GetFillColor(X48)&lt;0,Planning!$WX57+Planning!$WY57+Planning!$XX57+Planning!$XY57,0)</f>
      </c>
      <c r="Y48" s="762">
        <f>IF(GetFillColor(Y48)&lt;0,Planning!$YA57+Planning!$YB57+Planning!$ZA57+Planning!$ZB57,0)</f>
      </c>
      <c r="Z48" s="762">
        <f>IF(GetFillColor(Z48)&lt;0,Planning!$ZD57+Planning!$ZE57+Planning!$AAD57+Planning!$AAE57,0)</f>
      </c>
      <c r="AA48" s="762">
        <f>IF(GetFillColor(AA48)&lt;0,Planning!$AAG57+Planning!$AAH57+Planning!$ABG57+Planning!$ABH57,0)</f>
      </c>
      <c r="AB48" s="762">
        <f>IF(GetFillColor(AB48)&lt;0,Planning!$ABJ57+Planning!$ABK57+Planning!$ACJ57+Planning!$ACK57,0)</f>
      </c>
      <c r="AC48" s="761">
        <v>0</v>
      </c>
      <c r="AD48" s="761">
        <v>0</v>
      </c>
      <c r="AE48" s="762">
        <f>IF(GetFillColor(AE48)&lt;0,Planning!$AEV57+Planning!$AEW57+Planning!$AFV57+Planning!$AFW57,0)</f>
      </c>
      <c r="AF48" s="762">
        <f>IF(GetFillColor(AF48)&lt;0,Planning!$AFY57+Planning!$AFZ57+Planning!$AGY57+Planning!$AGZ57,0)</f>
      </c>
      <c r="AG48" s="762">
        <f>IF(GetFillColor(AG48)&lt;0,Planning!$AHB57+Planning!$AHC57+Planning!$AIB57+Planning!$AIC57,0)</f>
      </c>
      <c r="AH48" s="762">
        <f>IF(GetFillColor(AH48)&lt;0,Planning!$AIE57+Planning!$AIF57+Planning!$AJE57+Planning!$AJF57,0)</f>
      </c>
      <c r="AI48" s="762">
        <f>IF(GetFillColor(AI48)&lt;0,Planning!$AJH57+Planning!$AJI57+Planning!$AKH57+Planning!$AKI57,0)</f>
      </c>
      <c r="AJ48" s="761">
        <v>0</v>
      </c>
      <c r="AK48" s="760">
        <v>0</v>
      </c>
      <c r="AL48" s="698">
        <f>SUM(C48:AK48)</f>
      </c>
      <c r="AM48" s="4"/>
      <c r="AN48" s="4"/>
    </row>
    <row r="49" ht="20.25" customHeight="1" spans="1:40" x14ac:dyDescent="0.25">
      <c r="A49" s="4">
        <f>A5</f>
      </c>
      <c r="B49" s="4"/>
      <c r="C49" s="760">
        <f>IF(GetFillColor(C49)&lt;0,Planning!$D58+Planning!$E58+Planning!$AD58+Planning!$AE58,0)</f>
      </c>
      <c r="D49" s="760">
        <f>IF(GetFillColor(D49)&lt;0,Planning!$AG58+Planning!$AH58+Planning!$BG58+Planning!$BH58,0)</f>
      </c>
      <c r="E49" s="760">
        <f>IF(GetFillColor(E49)&lt;0,Planning!$BJ58+Planning!$BK58+Planning!$CJ58+Planning!$CK58,0)</f>
      </c>
      <c r="F49" s="761">
        <f>IF(GetFillColor(F49)&lt;0,Planning!$CM58+Planning!$CN58+Planning!$DM58+Planning!$DN58,0)</f>
      </c>
      <c r="G49" s="761">
        <f>IF(GetFillColor(G49)&lt;0,Planning!$DP58+Planning!$DQ58+Planning!$EP58+Planning!$EQ58,0)</f>
      </c>
      <c r="H49" s="761">
        <v>0</v>
      </c>
      <c r="I49" s="761">
        <v>0</v>
      </c>
      <c r="J49" s="762">
        <f>IF(GetFillColor(J49)&lt;0,Planning!$HB58+Planning!$HC58+Planning!$IB58+Planning!$IC58,0)</f>
      </c>
      <c r="K49" s="762">
        <f>IF(GetFillColor(K49)&lt;0,Planning!$IE58+Planning!$IF58+Planning!$JE58+Planning!$JF58,0)</f>
      </c>
      <c r="L49" s="762">
        <f>IF(GetFillColor(L49)&lt;0,Planning!$JH58+Planning!$JI58+Planning!$KH58+Planning!$KI58,0)</f>
      </c>
      <c r="M49" s="762">
        <f>IF(GetFillColor(M49)&lt;0,Planning!$KK58+Planning!$KL58+Planning!$LK58+Planning!$LL58,0)</f>
      </c>
      <c r="N49" s="762">
        <f>IF(GetFillColor(N49)&lt;0,Planning!$LN58+Planning!$LO58+Planning!$MN58+Planning!$MO58,0)</f>
      </c>
      <c r="O49" s="761">
        <v>0</v>
      </c>
      <c r="P49" s="761">
        <v>0</v>
      </c>
      <c r="Q49" s="762">
        <f>IF(GetFillColor(Q49)&lt;0,Planning!$OZ58+Planning!$PA58+Planning!$PZ58+Planning!$QA58,0)</f>
      </c>
      <c r="R49" s="762">
        <f>IF(GetFillColor(R49)&lt;0,Planning!$QC58+Planning!$QD58+Planning!$RC58+Planning!$RD58,0)</f>
      </c>
      <c r="S49" s="762">
        <f>IF(GetFillColor(S49)&lt;0,Planning!$RF58+Planning!$RG58+Planning!$SF58+Planning!$SG58,0)</f>
      </c>
      <c r="T49" s="762">
        <f>IF(GetFillColor(T49)&lt;0,Planning!$SI58+Planning!$SJ58+Planning!$TI58+Planning!$TJ58,0)</f>
      </c>
      <c r="U49" s="762">
        <f>IF(GetFillColor(U49)&lt;0,Planning!$TL58+Planning!$TM58+Planning!$UL58+Planning!$UM58,0)</f>
      </c>
      <c r="V49" s="761">
        <v>0</v>
      </c>
      <c r="W49" s="761">
        <v>0</v>
      </c>
      <c r="X49" s="762">
        <f>IF(GetFillColor(X49)&lt;0,Planning!$WX58+Planning!$WY58+Planning!$XX58+Planning!$XY58,0)</f>
      </c>
      <c r="Y49" s="762">
        <f>IF(GetFillColor(Y49)&lt;0,Planning!$YA58+Planning!$YB58+Planning!$ZA58+Planning!$ZB58,0)</f>
      </c>
      <c r="Z49" s="762">
        <f>IF(GetFillColor(Z49)&lt;0,Planning!$ZD58+Planning!$ZE58+Planning!$AAD58+Planning!$AAE58,0)</f>
      </c>
      <c r="AA49" s="762">
        <f>IF(GetFillColor(AA49)&lt;0,Planning!$AAG58+Planning!$AAH58+Planning!$ABG58+Planning!$ABH58,0)</f>
      </c>
      <c r="AB49" s="762">
        <f>IF(GetFillColor(AB49)&lt;0,Planning!$ABJ58+Planning!$ABK58+Planning!$ACJ58+Planning!$ACK58,0)</f>
      </c>
      <c r="AC49" s="761">
        <v>0</v>
      </c>
      <c r="AD49" s="761">
        <v>0</v>
      </c>
      <c r="AE49" s="762">
        <f>IF(GetFillColor(AE49)&lt;0,Planning!$AEV58+Planning!$AEW58+Planning!$AFV58+Planning!$AFW58,0)</f>
      </c>
      <c r="AF49" s="762">
        <f>IF(GetFillColor(AF49)&lt;0,Planning!$AFY58+Planning!$AFZ58+Planning!$AGY58+Planning!$AGZ58,0)</f>
      </c>
      <c r="AG49" s="762">
        <f>IF(GetFillColor(AG49)&lt;0,Planning!$AHB58+Planning!$AHC58+Planning!$AIB58+Planning!$AIC58,0)</f>
      </c>
      <c r="AH49" s="762">
        <f>IF(GetFillColor(AH49)&lt;0,Planning!$AIE58+Planning!$AIF58+Planning!$AJE58+Planning!$AJF58,0)</f>
      </c>
      <c r="AI49" s="762">
        <f>IF(GetFillColor(AI49)&lt;0,Planning!$AJH58+Planning!$AJI58+Planning!$AKH58+Planning!$AKI58,0)</f>
      </c>
      <c r="AJ49" s="761">
        <v>0</v>
      </c>
      <c r="AK49" s="760">
        <v>0</v>
      </c>
      <c r="AL49" s="698">
        <f>SUM(C49:AK49)</f>
      </c>
      <c r="AM49" s="4"/>
      <c r="AN49" s="4"/>
    </row>
    <row r="50" ht="20.25" customHeight="1" spans="1:40" x14ac:dyDescent="0.25">
      <c r="A50" s="4">
        <f>A6</f>
      </c>
      <c r="B50" s="4"/>
      <c r="C50" s="760">
        <f>IF(GetFillColor(C50)&lt;0,Planning!$D59+Planning!$E59+Planning!$AD59+Planning!$AE59,0)</f>
      </c>
      <c r="D50" s="760">
        <f>IF(GetFillColor(D50)&lt;0,Planning!$AG59+Planning!$AH59+Planning!$BG59+Planning!$BH59,0)</f>
      </c>
      <c r="E50" s="760">
        <f>IF(GetFillColor(E50)&lt;0,Planning!$BJ59+Planning!$BK59+Planning!$CJ59+Planning!$CK59,0)</f>
      </c>
      <c r="F50" s="761">
        <f>IF(GetFillColor(F50)&lt;0,Planning!$CM59+Planning!$CN59+Planning!$DM59+Planning!$DN59,0)</f>
      </c>
      <c r="G50" s="761">
        <f>IF(GetFillColor(G50)&lt;0,Planning!$DP59+Planning!$DQ59+Planning!$EP59+Planning!$EQ59,0)</f>
      </c>
      <c r="H50" s="761">
        <v>0</v>
      </c>
      <c r="I50" s="761">
        <v>0</v>
      </c>
      <c r="J50" s="762">
        <f>IF(GetFillColor(J50)&lt;0,Planning!$HB59+Planning!$HC59+Planning!$IB59+Planning!$IC59,0)</f>
      </c>
      <c r="K50" s="762">
        <f>IF(GetFillColor(K50)&lt;0,Planning!$IE59+Planning!$IF59+Planning!$JE59+Planning!$JF59,0)</f>
      </c>
      <c r="L50" s="762">
        <f>IF(GetFillColor(L50)&lt;0,Planning!$JH59+Planning!$JI59+Planning!$KH59+Planning!$KI59,0)</f>
      </c>
      <c r="M50" s="762">
        <f>IF(GetFillColor(M50)&lt;0,Planning!$KK59+Planning!$KL59+Planning!$LK59+Planning!$LL59,0)</f>
      </c>
      <c r="N50" s="762">
        <f>IF(GetFillColor(N50)&lt;0,Planning!$LN59+Planning!$LO59+Planning!$MN59+Planning!$MO59,0)</f>
      </c>
      <c r="O50" s="761">
        <v>0</v>
      </c>
      <c r="P50" s="761">
        <v>0</v>
      </c>
      <c r="Q50" s="762">
        <f>IF(GetFillColor(Q50)&lt;0,Planning!$OZ59+Planning!$PA59+Planning!$PZ59+Planning!$QA59,0)</f>
      </c>
      <c r="R50" s="762">
        <f>IF(GetFillColor(R50)&lt;0,Planning!$QC59+Planning!$QD59+Planning!$RC59+Planning!$RD59,0)</f>
      </c>
      <c r="S50" s="762">
        <f>IF(GetFillColor(S50)&lt;0,Planning!$RF59+Planning!$RG59+Planning!$SF59+Planning!$SG59,0)</f>
      </c>
      <c r="T50" s="762">
        <f>IF(GetFillColor(T50)&lt;0,Planning!$SI59+Planning!$SJ59+Planning!$TI59+Planning!$TJ59,0)</f>
      </c>
      <c r="U50" s="762">
        <f>IF(GetFillColor(U50)&lt;0,Planning!$TL59+Planning!$TM59+Planning!$UL59+Planning!$UM59,0)</f>
      </c>
      <c r="V50" s="761">
        <v>0</v>
      </c>
      <c r="W50" s="761">
        <v>0</v>
      </c>
      <c r="X50" s="762">
        <f>IF(GetFillColor(X50)&lt;0,Planning!$WX59+Planning!$WY59+Planning!$XX59+Planning!$XY59,0)</f>
      </c>
      <c r="Y50" s="762">
        <f>IF(GetFillColor(Y50)&lt;0,Planning!$YA59+Planning!$YB59+Planning!$ZA59+Planning!$ZB59,0)</f>
      </c>
      <c r="Z50" s="762">
        <f>IF(GetFillColor(Z50)&lt;0,Planning!$ZD59+Planning!$ZE59+Planning!$AAD59+Planning!$AAE59,0)</f>
      </c>
      <c r="AA50" s="762">
        <f>IF(GetFillColor(AA50)&lt;0,Planning!$AAG59+Planning!$AAH59+Planning!$ABG59+Planning!$ABH59,0)</f>
      </c>
      <c r="AB50" s="762">
        <f>IF(GetFillColor(AB50)&lt;0,Planning!$ABJ59+Planning!$ABK59+Planning!$ACJ59+Planning!$ACK59,0)</f>
      </c>
      <c r="AC50" s="761">
        <v>0</v>
      </c>
      <c r="AD50" s="761">
        <v>0</v>
      </c>
      <c r="AE50" s="762">
        <f>IF(GetFillColor(AE50)&lt;0,Planning!$AEV59+Planning!$AEW59+Planning!$AFV59+Planning!$AFW59,0)</f>
      </c>
      <c r="AF50" s="762">
        <f>IF(GetFillColor(AF50)&lt;0,Planning!$AFY59+Planning!$AFZ59+Planning!$AGY59+Planning!$AGZ59,0)</f>
      </c>
      <c r="AG50" s="762">
        <f>IF(GetFillColor(AG50)&lt;0,Planning!$AHB59+Planning!$AHC59+Planning!$AIB59+Planning!$AIC59,0)</f>
      </c>
      <c r="AH50" s="762">
        <f>IF(GetFillColor(AH50)&lt;0,Planning!$AIE59+Planning!$AIF59+Planning!$AJE59+Planning!$AJF59,0)</f>
      </c>
      <c r="AI50" s="762">
        <f>IF(GetFillColor(AI50)&lt;0,Planning!$AJH59+Planning!$AJI59+Planning!$AKH59+Planning!$AKI59,0)</f>
      </c>
      <c r="AJ50" s="761">
        <v>0</v>
      </c>
      <c r="AK50" s="760">
        <v>0</v>
      </c>
      <c r="AL50" s="698">
        <f>SUM(C50:AK50)</f>
      </c>
      <c r="AM50" s="4"/>
      <c r="AN50" s="4"/>
    </row>
    <row r="51" ht="20.25" customHeight="1" spans="1:40" x14ac:dyDescent="0.25">
      <c r="A51" s="4">
        <f>A7</f>
      </c>
      <c r="B51" s="4"/>
      <c r="C51" s="760">
        <f>IF(GetFillColor(C51)&lt;0,Planning!$D60+Planning!$E60+Planning!$AD60+Planning!$AE60,0)</f>
      </c>
      <c r="D51" s="760">
        <f>IF(GetFillColor(D51)&lt;0,Planning!$AG60+Planning!$AH60+Planning!$BG60+Planning!$BH60,0)</f>
      </c>
      <c r="E51" s="760">
        <f>IF(GetFillColor(E51)&lt;0,Planning!$BJ60+Planning!$BK60+Planning!$CJ60+Planning!$CK60,0)</f>
      </c>
      <c r="F51" s="761">
        <f>IF(GetFillColor(F51)&lt;0,Planning!$CM60+Planning!$CN60+Planning!$DM60+Planning!$DN60,0)</f>
      </c>
      <c r="G51" s="761">
        <f>IF(GetFillColor(G51)&lt;0,Planning!$DP60+Planning!$DQ60+Planning!$EP60+Planning!$EQ60,0)</f>
      </c>
      <c r="H51" s="761">
        <v>0</v>
      </c>
      <c r="I51" s="761">
        <v>0</v>
      </c>
      <c r="J51" s="762">
        <f>IF(GetFillColor(J51)&lt;0,Planning!$HB60+Planning!$HC60+Planning!$IB60+Planning!$IC60,0)</f>
      </c>
      <c r="K51" s="762">
        <f>IF(GetFillColor(K51)&lt;0,Planning!$IE60+Planning!$IF60+Planning!$JE60+Planning!$JF60,0)</f>
      </c>
      <c r="L51" s="762">
        <f>IF(GetFillColor(L51)&lt;0,Planning!$JH60+Planning!$JI60+Planning!$KH60+Planning!$KI60,0)</f>
      </c>
      <c r="M51" s="762">
        <f>IF(GetFillColor(M51)&lt;0,Planning!$KK60+Planning!$KL60+Planning!$LK60+Planning!$LL60,0)</f>
      </c>
      <c r="N51" s="762">
        <f>IF(GetFillColor(N51)&lt;0,Planning!$LN60+Planning!$LO60+Planning!$MN60+Planning!$MO60,0)</f>
      </c>
      <c r="O51" s="761">
        <v>0</v>
      </c>
      <c r="P51" s="761">
        <v>0</v>
      </c>
      <c r="Q51" s="762">
        <f>IF(GetFillColor(Q51)&lt;0,Planning!$OZ60+Planning!$PA60+Planning!$PZ60+Planning!$QA60,0)</f>
      </c>
      <c r="R51" s="762">
        <f>IF(GetFillColor(R51)&lt;0,Planning!$QC60+Planning!$QD60+Planning!$RC60+Planning!$RD60,0)</f>
      </c>
      <c r="S51" s="762">
        <f>IF(GetFillColor(S51)&lt;0,Planning!$RF60+Planning!$RG60+Planning!$SF60+Planning!$SG60,0)</f>
      </c>
      <c r="T51" s="762">
        <f>IF(GetFillColor(T51)&lt;0,Planning!$SI60+Planning!$SJ60+Planning!$TI60+Planning!$TJ60,0)</f>
      </c>
      <c r="U51" s="762">
        <f>IF(GetFillColor(U51)&lt;0,Planning!$TL60+Planning!$TM60+Planning!$UL60+Planning!$UM60,0)</f>
      </c>
      <c r="V51" s="761">
        <v>0</v>
      </c>
      <c r="W51" s="761">
        <v>0</v>
      </c>
      <c r="X51" s="762">
        <f>IF(GetFillColor(X51)&lt;0,Planning!$WX60+Planning!$WY60+Planning!$XX60+Planning!$XY60,0)</f>
      </c>
      <c r="Y51" s="762">
        <f>IF(GetFillColor(Y51)&lt;0,Planning!$YA60+Planning!$YB60+Planning!$ZA60+Planning!$ZB60,0)</f>
      </c>
      <c r="Z51" s="762">
        <f>IF(GetFillColor(Z51)&lt;0,Planning!$ZD60+Planning!$ZE60+Planning!$AAD60+Planning!$AAE60,0)</f>
      </c>
      <c r="AA51" s="762">
        <f>IF(GetFillColor(AA51)&lt;0,Planning!$AAG60+Planning!$AAH60+Planning!$ABG60+Planning!$ABH60,0)</f>
      </c>
      <c r="AB51" s="762">
        <f>IF(GetFillColor(AB51)&lt;0,Planning!$ABJ60+Planning!$ABK60+Planning!$ACJ60+Planning!$ACK60,0)</f>
      </c>
      <c r="AC51" s="761">
        <v>0</v>
      </c>
      <c r="AD51" s="761">
        <v>0</v>
      </c>
      <c r="AE51" s="762">
        <f>IF(GetFillColor(AE51)&lt;0,Planning!$AEV60+Planning!$AEW60+Planning!$AFV60+Planning!$AFW60,0)</f>
      </c>
      <c r="AF51" s="762">
        <f>IF(GetFillColor(AF51)&lt;0,Planning!$AFY60+Planning!$AFZ60+Planning!$AGY60+Planning!$AGZ60,0)</f>
      </c>
      <c r="AG51" s="762">
        <f>IF(GetFillColor(AG51)&lt;0,Planning!$AHB60+Planning!$AHC60+Planning!$AIB60+Planning!$AIC60,0)</f>
      </c>
      <c r="AH51" s="762">
        <f>IF(GetFillColor(AH51)&lt;0,Planning!$AIE60+Planning!$AIF60+Planning!$AJE60+Planning!$AJF60,0)</f>
      </c>
      <c r="AI51" s="762">
        <f>IF(GetFillColor(AI51)&lt;0,Planning!$AJH60+Planning!$AJI60+Planning!$AKH60+Planning!$AKI60,0)</f>
      </c>
      <c r="AJ51" s="761">
        <v>0</v>
      </c>
      <c r="AK51" s="760">
        <v>0</v>
      </c>
      <c r="AL51" s="698">
        <f>SUM(C51:AK51)</f>
      </c>
      <c r="AM51" s="4"/>
      <c r="AN51" s="4"/>
    </row>
    <row r="52" ht="20.25" customHeight="1" spans="1:40" x14ac:dyDescent="0.25">
      <c r="A52" s="4">
        <f>A8</f>
      </c>
      <c r="B52" s="4"/>
      <c r="C52" s="760">
        <f>IF(GetFillColor(C52)&lt;0,Planning!$D61+Planning!$E61+Planning!$AD61+Planning!$AE61,0)</f>
      </c>
      <c r="D52" s="760">
        <f>IF(GetFillColor(D52)&lt;0,Planning!$AG61+Planning!$AH61+Planning!$BG61+Planning!$BH61,0)</f>
      </c>
      <c r="E52" s="760">
        <f>IF(GetFillColor(E52)&lt;0,Planning!$BJ61+Planning!$BK61+Planning!$CJ61+Planning!$CK61,0)</f>
      </c>
      <c r="F52" s="761">
        <f>IF(GetFillColor(F52)&lt;0,Planning!$CM61+Planning!$CN61+Planning!$DM61+Planning!$DN61,0)</f>
      </c>
      <c r="G52" s="761">
        <f>IF(GetFillColor(G52)&lt;0,Planning!$DP61+Planning!$DQ61+Planning!$EP61+Planning!$EQ61,0)</f>
      </c>
      <c r="H52" s="761">
        <v>0</v>
      </c>
      <c r="I52" s="761">
        <v>0</v>
      </c>
      <c r="J52" s="762">
        <f>IF(GetFillColor(J52)&lt;0,Planning!$HB61+Planning!$HC61+Planning!$IB61+Planning!$IC61,0)</f>
      </c>
      <c r="K52" s="762">
        <f>IF(GetFillColor(K52)&lt;0,Planning!$IE61+Planning!$IF61+Planning!$JE61+Planning!$JF61,0)</f>
      </c>
      <c r="L52" s="762">
        <f>IF(GetFillColor(L52)&lt;0,Planning!$JH61+Planning!$JI61+Planning!$KH61+Planning!$KI61,0)</f>
      </c>
      <c r="M52" s="762">
        <f>IF(GetFillColor(M52)&lt;0,Planning!$KK61+Planning!$KL61+Planning!$LK61+Planning!$LL61,0)</f>
      </c>
      <c r="N52" s="762">
        <f>IF(GetFillColor(N52)&lt;0,Planning!$LN61+Planning!$LO61+Planning!$MN61+Planning!$MO61,0)</f>
      </c>
      <c r="O52" s="761">
        <v>0</v>
      </c>
      <c r="P52" s="761">
        <v>0</v>
      </c>
      <c r="Q52" s="762">
        <f>IF(GetFillColor(Q52)&lt;0,Planning!$OZ61+Planning!$PA61+Planning!$PZ61+Planning!$QA61,0)</f>
      </c>
      <c r="R52" s="762">
        <f>IF(GetFillColor(R52)&lt;0,Planning!$QC61+Planning!$QD61+Planning!$RC61+Planning!$RD61,0)</f>
      </c>
      <c r="S52" s="762">
        <f>IF(GetFillColor(S52)&lt;0,Planning!$RF61+Planning!$RG61+Planning!$SF61+Planning!$SG61,0)</f>
      </c>
      <c r="T52" s="762">
        <f>IF(GetFillColor(T52)&lt;0,Planning!$SI61+Planning!$SJ61+Planning!$TI61+Planning!$TJ61,0)</f>
      </c>
      <c r="U52" s="762">
        <f>IF(GetFillColor(U52)&lt;0,Planning!$TL61+Planning!$TM61+Planning!$UL61+Planning!$UM61,0)</f>
      </c>
      <c r="V52" s="761">
        <v>0</v>
      </c>
      <c r="W52" s="761">
        <v>0</v>
      </c>
      <c r="X52" s="762">
        <f>IF(GetFillColor(X52)&lt;0,Planning!$WX61+Planning!$WY61+Planning!$XX61+Planning!$XY61,0)</f>
      </c>
      <c r="Y52" s="762">
        <f>IF(GetFillColor(Y52)&lt;0,Planning!$YA61+Planning!$YB61+Planning!$ZA61+Planning!$ZB61,0)</f>
      </c>
      <c r="Z52" s="762">
        <f>IF(GetFillColor(Z52)&lt;0,Planning!$ZD61+Planning!$ZE61+Planning!$AAD61+Planning!$AAE61,0)</f>
      </c>
      <c r="AA52" s="762">
        <f>IF(GetFillColor(AA52)&lt;0,Planning!$AAG61+Planning!$AAH61+Planning!$ABG61+Planning!$ABH61,0)</f>
      </c>
      <c r="AB52" s="762">
        <f>IF(GetFillColor(AB52)&lt;0,Planning!$ABJ61+Planning!$ABK61+Planning!$ACJ61+Planning!$ACK61,0)</f>
      </c>
      <c r="AC52" s="761">
        <v>0</v>
      </c>
      <c r="AD52" s="761">
        <v>0</v>
      </c>
      <c r="AE52" s="762">
        <f>IF(GetFillColor(AE52)&lt;0,Planning!$AEV61+Planning!$AEW61+Planning!$AFV61+Planning!$AFW61,0)</f>
      </c>
      <c r="AF52" s="762">
        <f>IF(GetFillColor(AF52)&lt;0,Planning!$AFY61+Planning!$AFZ61+Planning!$AGY61+Planning!$AGZ61,0)</f>
      </c>
      <c r="AG52" s="762">
        <f>IF(GetFillColor(AG52)&lt;0,Planning!$AHB61+Planning!$AHC61+Planning!$AIB61+Planning!$AIC61,0)</f>
      </c>
      <c r="AH52" s="762">
        <f>IF(GetFillColor(AH52)&lt;0,Planning!$AIE61+Planning!$AIF61+Planning!$AJE61+Planning!$AJF61,0)</f>
      </c>
      <c r="AI52" s="762">
        <f>IF(GetFillColor(AI52)&lt;0,Planning!$AJH61+Planning!$AJI61+Planning!$AKH61+Planning!$AKI61,0)</f>
      </c>
      <c r="AJ52" s="761">
        <v>0</v>
      </c>
      <c r="AK52" s="760">
        <v>0</v>
      </c>
      <c r="AL52" s="698">
        <f>SUM(C52:AK52)</f>
      </c>
      <c r="AM52" s="4"/>
      <c r="AN52" s="4"/>
    </row>
    <row r="53" ht="20.25" customHeight="1" spans="1:40" x14ac:dyDescent="0.25">
      <c r="A53" s="4">
        <f>A9</f>
      </c>
      <c r="B53" s="4"/>
      <c r="C53" s="760">
        <f>IF(GetFillColor(C53)&lt;0,Planning!$D62+Planning!$E62+Planning!$AD62+Planning!$AE62,0)</f>
      </c>
      <c r="D53" s="760">
        <f>IF(GetFillColor(D53)&lt;0,Planning!$AG62+Planning!$AH62+Planning!$BG62+Planning!$BH62,0)</f>
      </c>
      <c r="E53" s="760">
        <f>IF(GetFillColor(E53)&lt;0,Planning!$BJ62+Planning!$BK62+Planning!$CJ62+Planning!$CK62,0)</f>
      </c>
      <c r="F53" s="761">
        <f>IF(GetFillColor(F53)&lt;0,Planning!$CM62+Planning!$CN62+Planning!$DM62+Planning!$DN62,0)</f>
      </c>
      <c r="G53" s="761">
        <f>IF(GetFillColor(G53)&lt;0,Planning!$DP62+Planning!$DQ62+Planning!$EP62+Planning!$EQ62,0)</f>
      </c>
      <c r="H53" s="761">
        <v>0</v>
      </c>
      <c r="I53" s="761">
        <v>0</v>
      </c>
      <c r="J53" s="762">
        <f>IF(GetFillColor(J53)&lt;0,Planning!$HB62+Planning!$HC62+Planning!$IB62+Planning!$IC62,0)</f>
      </c>
      <c r="K53" s="762">
        <f>IF(GetFillColor(K53)&lt;0,Planning!$IE62+Planning!$IF62+Planning!$JE62+Planning!$JF62,0)</f>
      </c>
      <c r="L53" s="762">
        <f>IF(GetFillColor(L53)&lt;0,Planning!$JH62+Planning!$JI62+Planning!$KH62+Planning!$KI62,0)</f>
      </c>
      <c r="M53" s="762">
        <f>IF(GetFillColor(M53)&lt;0,Planning!$KK62+Planning!$KL62+Planning!$LK62+Planning!$LL62,0)</f>
      </c>
      <c r="N53" s="762">
        <f>IF(GetFillColor(N53)&lt;0,Planning!$LN62+Planning!$LO62+Planning!$MN62+Planning!$MO62,0)</f>
      </c>
      <c r="O53" s="761">
        <v>0</v>
      </c>
      <c r="P53" s="761">
        <v>0</v>
      </c>
      <c r="Q53" s="762">
        <f>IF(GetFillColor(Q53)&lt;0,Planning!$OZ62+Planning!$PA62+Planning!$PZ62+Planning!$QA62,0)</f>
      </c>
      <c r="R53" s="762">
        <f>IF(GetFillColor(R53)&lt;0,Planning!$QC62+Planning!$QD62+Planning!$RC62+Planning!$RD62,0)</f>
      </c>
      <c r="S53" s="762">
        <f>IF(GetFillColor(S53)&lt;0,Planning!$RF62+Planning!$RG62+Planning!$SF62+Planning!$SG62,0)</f>
      </c>
      <c r="T53" s="762">
        <f>IF(GetFillColor(T53)&lt;0,Planning!$SI62+Planning!$SJ62+Planning!$TI62+Planning!$TJ62,0)</f>
      </c>
      <c r="U53" s="762">
        <f>IF(GetFillColor(U53)&lt;0,Planning!$TL62+Planning!$TM62+Planning!$UL62+Planning!$UM62,0)</f>
      </c>
      <c r="V53" s="761">
        <v>0</v>
      </c>
      <c r="W53" s="761">
        <v>0</v>
      </c>
      <c r="X53" s="762">
        <f>IF(GetFillColor(X53)&lt;0,Planning!$WX62+Planning!$WY62+Planning!$XX62+Planning!$XY62,0)</f>
      </c>
      <c r="Y53" s="762">
        <f>IF(GetFillColor(Y53)&lt;0,Planning!$YA62+Planning!$YB62+Planning!$ZA62+Planning!$ZB62,0)</f>
      </c>
      <c r="Z53" s="762">
        <f>IF(GetFillColor(Z53)&lt;0,Planning!$ZD62+Planning!$ZE62+Planning!$AAD62+Planning!$AAE62,0)</f>
      </c>
      <c r="AA53" s="762">
        <f>IF(GetFillColor(AA53)&lt;0,Planning!$AAG62+Planning!$AAH62+Planning!$ABG62+Planning!$ABH62,0)</f>
      </c>
      <c r="AB53" s="762">
        <f>IF(GetFillColor(AB53)&lt;0,Planning!$ABJ62+Planning!$ABK62+Planning!$ACJ62+Planning!$ACK62,0)</f>
      </c>
      <c r="AC53" s="761">
        <v>0</v>
      </c>
      <c r="AD53" s="761">
        <v>0</v>
      </c>
      <c r="AE53" s="762">
        <f>IF(GetFillColor(AE53)&lt;0,Planning!$AEV62+Planning!$AEW62+Planning!$AFV62+Planning!$AFW62,0)</f>
      </c>
      <c r="AF53" s="762">
        <f>IF(GetFillColor(AF53)&lt;0,Planning!$AFY62+Planning!$AFZ62+Planning!$AGY62+Planning!$AGZ62,0)</f>
      </c>
      <c r="AG53" s="762">
        <f>IF(GetFillColor(AG53)&lt;0,Planning!$AHB62+Planning!$AHC62+Planning!$AIB62+Planning!$AIC62,0)</f>
      </c>
      <c r="AH53" s="762">
        <f>IF(GetFillColor(AH53)&lt;0,Planning!$AIE62+Planning!$AIF62+Planning!$AJE62+Planning!$AJF62,0)</f>
      </c>
      <c r="AI53" s="762">
        <f>IF(GetFillColor(AI53)&lt;0,Planning!$AJH62+Planning!$AJI62+Planning!$AKH62+Planning!$AKI62,0)</f>
      </c>
      <c r="AJ53" s="761">
        <v>0</v>
      </c>
      <c r="AK53" s="760">
        <v>0</v>
      </c>
      <c r="AL53" s="698">
        <f>SUM(C53:AK53)</f>
      </c>
      <c r="AM53" s="4"/>
      <c r="AN53" s="4"/>
    </row>
    <row r="54" ht="20.25" customHeight="1" spans="1:40" x14ac:dyDescent="0.25">
      <c r="A54" s="4">
        <f>A10</f>
      </c>
      <c r="B54" s="4"/>
      <c r="C54" s="760">
        <f>IF(GetFillColor(C54)&lt;0,Planning!$D63+Planning!$E63+Planning!$AD63+Planning!$AE63,0)</f>
      </c>
      <c r="D54" s="760">
        <f>IF(GetFillColor(D54)&lt;0,Planning!$AG63+Planning!$AH63+Planning!$BG63+Planning!$BH63,0)</f>
      </c>
      <c r="E54" s="760">
        <f>IF(GetFillColor(E54)&lt;0,Planning!$BJ63+Planning!$BK63+Planning!$CJ63+Planning!$CK63,0)</f>
      </c>
      <c r="F54" s="761">
        <f>IF(GetFillColor(F54)&lt;0,Planning!$CM63+Planning!$CN63+Planning!$DM63+Planning!$DN63,0)</f>
      </c>
      <c r="G54" s="761">
        <f>IF(GetFillColor(G54)&lt;0,Planning!$DP63+Planning!$DQ63+Planning!$EP63+Planning!$EQ63,0)</f>
      </c>
      <c r="H54" s="761">
        <v>0</v>
      </c>
      <c r="I54" s="761">
        <v>0</v>
      </c>
      <c r="J54" s="762">
        <f>IF(GetFillColor(J54)&lt;0,Planning!$HB63+Planning!$HC63+Planning!$IB63+Planning!$IC63,0)</f>
      </c>
      <c r="K54" s="762">
        <f>IF(GetFillColor(K54)&lt;0,Planning!$IE63+Planning!$IF63+Planning!$JE63+Planning!$JF63,0)</f>
      </c>
      <c r="L54" s="762">
        <f>IF(GetFillColor(L54)&lt;0,Planning!$JH63+Planning!$JI63+Planning!$KH63+Planning!$KI63,0)</f>
      </c>
      <c r="M54" s="762">
        <f>IF(GetFillColor(M54)&lt;0,Planning!$KK63+Planning!$KL63+Planning!$LK63+Planning!$LL63,0)</f>
      </c>
      <c r="N54" s="762">
        <f>IF(GetFillColor(N54)&lt;0,Planning!$LN63+Planning!$LO63+Planning!$MN63+Planning!$MO63,0)</f>
      </c>
      <c r="O54" s="761">
        <v>0</v>
      </c>
      <c r="P54" s="761">
        <v>0</v>
      </c>
      <c r="Q54" s="762">
        <f>IF(GetFillColor(Q54)&lt;0,Planning!$OZ63+Planning!$PA63+Planning!$PZ63+Planning!$QA63,0)</f>
      </c>
      <c r="R54" s="762">
        <f>IF(GetFillColor(R54)&lt;0,Planning!$QC63+Planning!$QD63+Planning!$RC63+Planning!$RD63,0)</f>
      </c>
      <c r="S54" s="762">
        <f>IF(GetFillColor(S54)&lt;0,Planning!$RF63+Planning!$RG63+Planning!$SF63+Planning!$SG63,0)</f>
      </c>
      <c r="T54" s="762">
        <f>IF(GetFillColor(T54)&lt;0,Planning!$SI63+Planning!$SJ63+Planning!$TI63+Planning!$TJ63,0)</f>
      </c>
      <c r="U54" s="762">
        <f>IF(GetFillColor(U54)&lt;0,Planning!$TL63+Planning!$TM63+Planning!$UL63+Planning!$UM63,0)</f>
      </c>
      <c r="V54" s="761">
        <v>0</v>
      </c>
      <c r="W54" s="761">
        <v>0</v>
      </c>
      <c r="X54" s="762">
        <f>IF(GetFillColor(X54)&lt;0,Planning!$WX63+Planning!$WY63+Planning!$XX63+Planning!$XY63,0)</f>
      </c>
      <c r="Y54" s="762">
        <f>IF(GetFillColor(Y54)&lt;0,Planning!$YA63+Planning!$YB63+Planning!$ZA63+Planning!$ZB63,0)</f>
      </c>
      <c r="Z54" s="762">
        <f>IF(GetFillColor(Z54)&lt;0,Planning!$ZD63+Planning!$ZE63+Planning!$AAD63+Planning!$AAE63,0)</f>
      </c>
      <c r="AA54" s="762">
        <f>IF(GetFillColor(AA54)&lt;0,Planning!$AAG63+Planning!$AAH63+Planning!$ABG63+Planning!$ABH63,0)</f>
      </c>
      <c r="AB54" s="762">
        <f>IF(GetFillColor(AB54)&lt;0,Planning!$ABJ63+Planning!$ABK63+Planning!$ACJ63+Planning!$ACK63,0)</f>
      </c>
      <c r="AC54" s="761">
        <v>0</v>
      </c>
      <c r="AD54" s="761">
        <v>0</v>
      </c>
      <c r="AE54" s="762">
        <f>IF(GetFillColor(AE54)&lt;0,Planning!$AEV63+Planning!$AEW63+Planning!$AFV63+Planning!$AFW63,0)</f>
      </c>
      <c r="AF54" s="762">
        <f>IF(GetFillColor(AF54)&lt;0,Planning!$AFY63+Planning!$AFZ63+Planning!$AGY63+Planning!$AGZ63,0)</f>
      </c>
      <c r="AG54" s="762">
        <f>IF(GetFillColor(AG54)&lt;0,Planning!$AHB63+Planning!$AHC63+Planning!$AIB63+Planning!$AIC63,0)</f>
      </c>
      <c r="AH54" s="762">
        <f>IF(GetFillColor(AH54)&lt;0,Planning!$AIE63+Planning!$AIF63+Planning!$AJE63+Planning!$AJF63,0)</f>
      </c>
      <c r="AI54" s="762">
        <f>IF(GetFillColor(AI54)&lt;0,Planning!$AJH63+Planning!$AJI63+Planning!$AKH63+Planning!$AKI63,0)</f>
      </c>
      <c r="AJ54" s="761">
        <v>0</v>
      </c>
      <c r="AK54" s="760">
        <v>0</v>
      </c>
      <c r="AL54" s="698">
        <f>SUM(C54:AK54)</f>
      </c>
      <c r="AM54" s="4"/>
      <c r="AN54" s="4"/>
    </row>
    <row r="55" ht="20.25" customHeight="1" spans="1:40" x14ac:dyDescent="0.25">
      <c r="A55" s="4">
        <f>A11</f>
      </c>
      <c r="B55" s="4"/>
      <c r="C55" s="760">
        <f>IF(GetFillColor(C55)&lt;0,Planning!$D64+Planning!$E64+Planning!$AD64+Planning!$AE64,0)</f>
      </c>
      <c r="D55" s="760">
        <f>IF(GetFillColor(D55)&lt;0,Planning!$AG64+Planning!$AH64+Planning!$BG64+Planning!$BH64,0)</f>
      </c>
      <c r="E55" s="760">
        <f>IF(GetFillColor(E55)&lt;0,Planning!$BJ64+Planning!$BK64+Planning!$CJ64+Planning!$CK64,0)</f>
      </c>
      <c r="F55" s="761">
        <f>IF(GetFillColor(F55)&lt;0,Planning!$CM64+Planning!$CN64+Planning!$DM64+Planning!$DN64,0)</f>
      </c>
      <c r="G55" s="761">
        <f>IF(GetFillColor(G55)&lt;0,Planning!$DP64+Planning!$DQ64+Planning!$EP64+Planning!$EQ64,0)</f>
      </c>
      <c r="H55" s="761">
        <v>0</v>
      </c>
      <c r="I55" s="761">
        <v>0</v>
      </c>
      <c r="J55" s="762">
        <f>IF(GetFillColor(J55)&lt;0,Planning!$HB64+Planning!$HC64+Planning!$IB64+Planning!$IC64,0)</f>
      </c>
      <c r="K55" s="762">
        <f>IF(GetFillColor(K55)&lt;0,Planning!$IE64+Planning!$IF64+Planning!$JE64+Planning!$JF64,0)</f>
      </c>
      <c r="L55" s="762">
        <f>IF(GetFillColor(L55)&lt;0,Planning!$JH64+Planning!$JI64+Planning!$KH64+Planning!$KI64,0)</f>
      </c>
      <c r="M55" s="762">
        <f>IF(GetFillColor(M55)&lt;0,Planning!$KK64+Planning!$KL64+Planning!$LK64+Planning!$LL64,0)</f>
      </c>
      <c r="N55" s="762">
        <f>IF(GetFillColor(N55)&lt;0,Planning!$LN64+Planning!$LO64+Planning!$MN64+Planning!$MO64,0)</f>
      </c>
      <c r="O55" s="761">
        <v>0</v>
      </c>
      <c r="P55" s="761">
        <v>0</v>
      </c>
      <c r="Q55" s="762">
        <f>IF(GetFillColor(Q55)&lt;0,Planning!$OZ64+Planning!$PA64+Planning!$PZ64+Planning!$QA64,0)</f>
      </c>
      <c r="R55" s="762">
        <f>IF(GetFillColor(R55)&lt;0,Planning!$QC64+Planning!$QD64+Planning!$RC64+Planning!$RD64,0)</f>
      </c>
      <c r="S55" s="762">
        <f>IF(GetFillColor(S55)&lt;0,Planning!$RF64+Planning!$RG64+Planning!$SF64+Planning!$SG64,0)</f>
      </c>
      <c r="T55" s="762">
        <f>IF(GetFillColor(T55)&lt;0,Planning!$SI64+Planning!$SJ64+Planning!$TI64+Planning!$TJ64,0)</f>
      </c>
      <c r="U55" s="762">
        <f>IF(GetFillColor(U55)&lt;0,Planning!$TL64+Planning!$TM64+Planning!$UL64+Planning!$UM64,0)</f>
      </c>
      <c r="V55" s="761">
        <v>0</v>
      </c>
      <c r="W55" s="761">
        <v>0</v>
      </c>
      <c r="X55" s="762">
        <f>IF(GetFillColor(X55)&lt;0,Planning!$WX64+Planning!$WY64+Planning!$XX64+Planning!$XY64,0)</f>
      </c>
      <c r="Y55" s="762">
        <f>IF(GetFillColor(Y55)&lt;0,Planning!$YA64+Planning!$YB64+Planning!$ZA64+Planning!$ZB64,0)</f>
      </c>
      <c r="Z55" s="762">
        <f>IF(GetFillColor(Z55)&lt;0,Planning!$ZD64+Planning!$ZE64+Planning!$AAD64+Planning!$AAE64,0)</f>
      </c>
      <c r="AA55" s="762">
        <f>IF(GetFillColor(AA55)&lt;0,Planning!$AAG64+Planning!$AAH64+Planning!$ABG64+Planning!$ABH64,0)</f>
      </c>
      <c r="AB55" s="762">
        <f>IF(GetFillColor(AB55)&lt;0,Planning!$ABJ64+Planning!$ABK64+Planning!$ACJ64+Planning!$ACK64,0)</f>
      </c>
      <c r="AC55" s="761">
        <v>0</v>
      </c>
      <c r="AD55" s="761">
        <v>0</v>
      </c>
      <c r="AE55" s="762">
        <f>IF(GetFillColor(AE55)&lt;0,Planning!$AEV64+Planning!$AEW64+Planning!$AFV64+Planning!$AFW64,0)</f>
      </c>
      <c r="AF55" s="762">
        <f>IF(GetFillColor(AF55)&lt;0,Planning!$AFY64+Planning!$AFZ64+Planning!$AGY64+Planning!$AGZ64,0)</f>
      </c>
      <c r="AG55" s="762">
        <f>IF(GetFillColor(AG55)&lt;0,Planning!$AHB64+Planning!$AHC64+Planning!$AIB64+Planning!$AIC64,0)</f>
      </c>
      <c r="AH55" s="762">
        <f>IF(GetFillColor(AH55)&lt;0,Planning!$AIE64+Planning!$AIF64+Planning!$AJE64+Planning!$AJF64,0)</f>
      </c>
      <c r="AI55" s="762">
        <f>IF(GetFillColor(AI55)&lt;0,Planning!$AJH64+Planning!$AJI64+Planning!$AKH64+Planning!$AKI64,0)</f>
      </c>
      <c r="AJ55" s="761">
        <v>0</v>
      </c>
      <c r="AK55" s="760">
        <v>0</v>
      </c>
      <c r="AL55" s="698">
        <f>SUM(C55:AK55)</f>
      </c>
      <c r="AM55" s="4"/>
      <c r="AN55" s="4"/>
    </row>
    <row r="56" ht="20.25" customHeight="1" spans="1:40" x14ac:dyDescent="0.25">
      <c r="A56" s="4">
        <f>A12</f>
      </c>
      <c r="B56" s="4"/>
      <c r="C56" s="760">
        <f>IF(GetFillColor(C56)&lt;0,Planning!$D65+Planning!$E65+Planning!$AD65+Planning!$AE65,0)</f>
      </c>
      <c r="D56" s="760">
        <f>IF(GetFillColor(D56)&lt;0,Planning!$AG65+Planning!$AH65+Planning!$BG65+Planning!$BH65,0)</f>
      </c>
      <c r="E56" s="760">
        <f>IF(GetFillColor(E56)&lt;0,Planning!$BJ65+Planning!$BK65+Planning!$CJ65+Planning!$CK65,0)</f>
      </c>
      <c r="F56" s="761">
        <f>IF(GetFillColor(F56)&lt;0,Planning!$CM65+Planning!$CN65+Planning!$DM65+Planning!$DN65,0)</f>
      </c>
      <c r="G56" s="761">
        <f>IF(GetFillColor(G56)&lt;0,Planning!$DP65+Planning!$DQ65+Planning!$EP65+Planning!$EQ65,0)</f>
      </c>
      <c r="H56" s="761">
        <v>0</v>
      </c>
      <c r="I56" s="761">
        <v>0</v>
      </c>
      <c r="J56" s="762">
        <f>IF(GetFillColor(J56)&lt;0,Planning!$HB65+Planning!$HC65+Planning!$IB65+Planning!$IC65,0)</f>
      </c>
      <c r="K56" s="762">
        <f>IF(GetFillColor(K56)&lt;0,Planning!$IE65+Planning!$IF65+Planning!$JE65+Planning!$JF65,0)</f>
      </c>
      <c r="L56" s="762">
        <f>IF(GetFillColor(L56)&lt;0,Planning!$JH65+Planning!$JI65+Planning!$KH65+Planning!$KI65,0)</f>
      </c>
      <c r="M56" s="762">
        <f>IF(GetFillColor(M56)&lt;0,Planning!$KK65+Planning!$KL65+Planning!$LK65+Planning!$LL65,0)</f>
      </c>
      <c r="N56" s="762">
        <f>IF(GetFillColor(N56)&lt;0,Planning!$LN65+Planning!$LO65+Planning!$MN65+Planning!$MO65,0)</f>
      </c>
      <c r="O56" s="761">
        <v>0</v>
      </c>
      <c r="P56" s="761">
        <v>0</v>
      </c>
      <c r="Q56" s="762">
        <f>IF(GetFillColor(Q56)&lt;0,Planning!$OZ65+Planning!$PA65+Planning!$PZ65+Planning!$QA65,0)</f>
      </c>
      <c r="R56" s="762">
        <f>IF(GetFillColor(R56)&lt;0,Planning!$QC65+Planning!$QD65+Planning!$RC65+Planning!$RD65,0)</f>
      </c>
      <c r="S56" s="762">
        <f>IF(GetFillColor(S56)&lt;0,Planning!$RF65+Planning!$RG65+Planning!$SF65+Planning!$SG65,0)</f>
      </c>
      <c r="T56" s="762">
        <f>IF(GetFillColor(T56)&lt;0,Planning!$SI65+Planning!$SJ65+Planning!$TI65+Planning!$TJ65,0)</f>
      </c>
      <c r="U56" s="762">
        <f>IF(GetFillColor(U56)&lt;0,Planning!$TL65+Planning!$TM65+Planning!$UL65+Planning!$UM65,0)</f>
      </c>
      <c r="V56" s="761">
        <v>0</v>
      </c>
      <c r="W56" s="761">
        <v>0</v>
      </c>
      <c r="X56" s="762">
        <f>IF(GetFillColor(X56)&lt;0,Planning!$WX65+Planning!$WY65+Planning!$XX65+Planning!$XY65,0)</f>
      </c>
      <c r="Y56" s="762">
        <f>IF(GetFillColor(Y56)&lt;0,Planning!$YA65+Planning!$YB65+Planning!$ZA65+Planning!$ZB65,0)</f>
      </c>
      <c r="Z56" s="762">
        <f>IF(GetFillColor(Z56)&lt;0,Planning!$ZD65+Planning!$ZE65+Planning!$AAD65+Planning!$AAE65,0)</f>
      </c>
      <c r="AA56" s="762">
        <f>IF(GetFillColor(AA56)&lt;0,Planning!$AAG65+Planning!$AAH65+Planning!$ABG65+Planning!$ABH65,0)</f>
      </c>
      <c r="AB56" s="762">
        <f>IF(GetFillColor(AB56)&lt;0,Planning!$ABJ65+Planning!$ABK65+Planning!$ACJ65+Planning!$ACK65,0)</f>
      </c>
      <c r="AC56" s="761">
        <v>0</v>
      </c>
      <c r="AD56" s="761">
        <v>0</v>
      </c>
      <c r="AE56" s="762">
        <f>IF(GetFillColor(AE56)&lt;0,Planning!$AEV65+Planning!$AEW65+Planning!$AFV65+Planning!$AFW65,0)</f>
      </c>
      <c r="AF56" s="762">
        <f>IF(GetFillColor(AF56)&lt;0,Planning!$AFY65+Planning!$AFZ65+Planning!$AGY65+Planning!$AGZ65,0)</f>
      </c>
      <c r="AG56" s="762">
        <f>IF(GetFillColor(AG56)&lt;0,Planning!$AHB65+Planning!$AHC65+Planning!$AIB65+Planning!$AIC65,0)</f>
      </c>
      <c r="AH56" s="762">
        <f>IF(GetFillColor(AH56)&lt;0,Planning!$AIE65+Planning!$AIF65+Planning!$AJE65+Planning!$AJF65,0)</f>
      </c>
      <c r="AI56" s="762">
        <f>IF(GetFillColor(AI56)&lt;0,Planning!$AJH65+Planning!$AJI65+Planning!$AKH65+Planning!$AKI65,0)</f>
      </c>
      <c r="AJ56" s="761">
        <v>0</v>
      </c>
      <c r="AK56" s="760">
        <v>0</v>
      </c>
      <c r="AL56" s="698">
        <f>SUM(C56:AK56)</f>
      </c>
      <c r="AM56" s="4"/>
      <c r="AN56" s="4"/>
    </row>
    <row r="57" ht="20.25" customHeight="1" spans="1:40" x14ac:dyDescent="0.25">
      <c r="A57" s="4">
        <f>A13</f>
      </c>
      <c r="B57" s="4"/>
      <c r="C57" s="760">
        <f>IF(GetFillColor(C57)&lt;0,Planning!$D66+Planning!$E66+Planning!$AD66+Planning!$AE66,0)</f>
      </c>
      <c r="D57" s="760">
        <f>IF(GetFillColor(D57)&lt;0,Planning!$AG66+Planning!$AH66+Planning!$BG66+Planning!$BH66,0)</f>
      </c>
      <c r="E57" s="760">
        <f>IF(GetFillColor(E57)&lt;0,Planning!$BJ66+Planning!$BK66+Planning!$CJ66+Planning!$CK66,0)</f>
      </c>
      <c r="F57" s="761">
        <f>IF(GetFillColor(F57)&lt;0,Planning!$CM66+Planning!$CN66+Planning!$DM66+Planning!$DN66,0)</f>
      </c>
      <c r="G57" s="761">
        <f>IF(GetFillColor(G57)&lt;0,Planning!$DP66+Planning!$DQ66+Planning!$EP66+Planning!$EQ66,0)</f>
      </c>
      <c r="H57" s="761">
        <v>0</v>
      </c>
      <c r="I57" s="761">
        <v>0</v>
      </c>
      <c r="J57" s="762">
        <f>IF(GetFillColor(J57)&lt;0,Planning!$HB66+Planning!$HC66+Planning!$IB66+Planning!$IC66,0)</f>
      </c>
      <c r="K57" s="762">
        <f>IF(GetFillColor(K57)&lt;0,Planning!$IE66+Planning!$IF66+Planning!$JE66+Planning!$JF66,0)</f>
      </c>
      <c r="L57" s="762">
        <f>IF(GetFillColor(L57)&lt;0,Planning!$JH66+Planning!$JI66+Planning!$KH66+Planning!$KI66,0)</f>
      </c>
      <c r="M57" s="762">
        <f>IF(GetFillColor(M57)&lt;0,Planning!$KK66+Planning!$KL66+Planning!$LK66+Planning!$LL66,0)</f>
      </c>
      <c r="N57" s="762">
        <f>IF(GetFillColor(N57)&lt;0,Planning!$LN66+Planning!$LO66+Planning!$MN66+Planning!$MO66,0)</f>
      </c>
      <c r="O57" s="761">
        <v>0</v>
      </c>
      <c r="P57" s="761">
        <v>0</v>
      </c>
      <c r="Q57" s="762">
        <f>IF(GetFillColor(Q57)&lt;0,Planning!$OZ66+Planning!$PA66+Planning!$PZ66+Planning!$QA66,0)</f>
      </c>
      <c r="R57" s="762">
        <f>IF(GetFillColor(R57)&lt;0,Planning!$QC66+Planning!$QD66+Planning!$RC66+Planning!$RD66,0)</f>
      </c>
      <c r="S57" s="762">
        <f>IF(GetFillColor(S57)&lt;0,Planning!$RF66+Planning!$RG66+Planning!$SF66+Planning!$SG66,0)</f>
      </c>
      <c r="T57" s="762">
        <f>IF(GetFillColor(T57)&lt;0,Planning!$SI66+Planning!$SJ66+Planning!$TI66+Planning!$TJ66,0)</f>
      </c>
      <c r="U57" s="762">
        <f>IF(GetFillColor(U57)&lt;0,Planning!$TL66+Planning!$TM66+Planning!$UL66+Planning!$UM66,0)</f>
      </c>
      <c r="V57" s="761">
        <v>0</v>
      </c>
      <c r="W57" s="761">
        <v>0</v>
      </c>
      <c r="X57" s="762">
        <f>IF(GetFillColor(X57)&lt;0,Planning!$WX66+Planning!$WY66+Planning!$XX66+Planning!$XY66,0)</f>
      </c>
      <c r="Y57" s="762">
        <f>IF(GetFillColor(Y57)&lt;0,Planning!$YA66+Planning!$YB66+Planning!$ZA66+Planning!$ZB66,0)</f>
      </c>
      <c r="Z57" s="762">
        <f>IF(GetFillColor(Z57)&lt;0,Planning!$ZD66+Planning!$ZE66+Planning!$AAD66+Planning!$AAE66,0)</f>
      </c>
      <c r="AA57" s="762">
        <f>IF(GetFillColor(AA57)&lt;0,Planning!$AAG66+Planning!$AAH66+Planning!$ABG66+Planning!$ABH66,0)</f>
      </c>
      <c r="AB57" s="762">
        <f>IF(GetFillColor(AB57)&lt;0,Planning!$ABJ66+Planning!$ABK66+Planning!$ACJ66+Planning!$ACK66,0)</f>
      </c>
      <c r="AC57" s="761">
        <v>0</v>
      </c>
      <c r="AD57" s="761">
        <v>0</v>
      </c>
      <c r="AE57" s="762">
        <f>IF(GetFillColor(AE57)&lt;0,Planning!$AEV66+Planning!$AEW66+Planning!$AFV66+Planning!$AFW66,0)</f>
      </c>
      <c r="AF57" s="762">
        <f>IF(GetFillColor(AF57)&lt;0,Planning!$AFY66+Planning!$AFZ66+Planning!$AGY66+Planning!$AGZ66,0)</f>
      </c>
      <c r="AG57" s="762">
        <f>IF(GetFillColor(AG57)&lt;0,Planning!$AHB66+Planning!$AHC66+Planning!$AIB66+Planning!$AIC66,0)</f>
      </c>
      <c r="AH57" s="762">
        <f>IF(GetFillColor(AH57)&lt;0,Planning!$AIE66+Planning!$AIF66+Planning!$AJE66+Planning!$AJF66,0)</f>
      </c>
      <c r="AI57" s="762">
        <f>IF(GetFillColor(AI57)&lt;0,Planning!$AJH66+Planning!$AJI66+Planning!$AKH66+Planning!$AKI66,0)</f>
      </c>
      <c r="AJ57" s="761">
        <v>0</v>
      </c>
      <c r="AK57" s="760">
        <v>0</v>
      </c>
      <c r="AL57" s="698">
        <f>SUM(C57:AK57)</f>
      </c>
      <c r="AM57" s="4"/>
      <c r="AN57" s="4"/>
    </row>
    <row r="58" ht="20.25" customHeight="1" spans="1:40" x14ac:dyDescent="0.25">
      <c r="A58" s="4">
        <f>A14</f>
      </c>
      <c r="B58" s="4"/>
      <c r="C58" s="760">
        <f>IF(GetFillColor(C58)&lt;0,Planning!$D67+Planning!$E67+Planning!$AD67+Planning!$AE67,0)</f>
      </c>
      <c r="D58" s="760">
        <f>IF(GetFillColor(D58)&lt;0,Planning!$AG67+Planning!$AH67+Planning!$BG67+Planning!$BH67,0)</f>
      </c>
      <c r="E58" s="760">
        <f>IF(GetFillColor(E58)&lt;0,Planning!$BJ67+Planning!$BK67+Planning!$CJ67+Planning!$CK67,0)</f>
      </c>
      <c r="F58" s="761">
        <f>IF(GetFillColor(F58)&lt;0,Planning!$CM67+Planning!$CN67+Planning!$DM67+Planning!$DN67,0)</f>
      </c>
      <c r="G58" s="761">
        <f>IF(GetFillColor(G58)&lt;0,Planning!$DP67+Planning!$DQ67+Planning!$EP67+Planning!$EQ67,0)</f>
      </c>
      <c r="H58" s="761">
        <v>0</v>
      </c>
      <c r="I58" s="761">
        <v>0</v>
      </c>
      <c r="J58" s="762">
        <f>IF(GetFillColor(J58)&lt;0,Planning!$HB67+Planning!$HC67+Planning!$IB67+Planning!$IC67,0)</f>
      </c>
      <c r="K58" s="762">
        <f>IF(GetFillColor(K58)&lt;0,Planning!$IE67+Planning!$IF67+Planning!$JE67+Planning!$JF67,0)</f>
      </c>
      <c r="L58" s="762">
        <f>IF(GetFillColor(L58)&lt;0,Planning!$JH67+Planning!$JI67+Planning!$KH67+Planning!$KI67,0)</f>
      </c>
      <c r="M58" s="762">
        <f>IF(GetFillColor(M58)&lt;0,Planning!$KK67+Planning!$KL67+Planning!$LK67+Planning!$LL67,0)</f>
      </c>
      <c r="N58" s="762">
        <f>IF(GetFillColor(N58)&lt;0,Planning!$LN67+Planning!$LO67+Planning!$MN67+Planning!$MO67,0)</f>
      </c>
      <c r="O58" s="761">
        <v>0</v>
      </c>
      <c r="P58" s="761">
        <v>0</v>
      </c>
      <c r="Q58" s="762">
        <f>IF(GetFillColor(Q58)&lt;0,Planning!$OZ67+Planning!$PA67+Planning!$PZ67+Planning!$QA67,0)</f>
      </c>
      <c r="R58" s="762">
        <f>IF(GetFillColor(R58)&lt;0,Planning!$QC67+Planning!$QD67+Planning!$RC67+Planning!$RD67,0)</f>
      </c>
      <c r="S58" s="762">
        <f>IF(GetFillColor(S58)&lt;0,Planning!$RF67+Planning!$RG67+Planning!$SF67+Planning!$SG67,0)</f>
      </c>
      <c r="T58" s="762">
        <f>IF(GetFillColor(T58)&lt;0,Planning!$SI67+Planning!$SJ67+Planning!$TI67+Planning!$TJ67,0)</f>
      </c>
      <c r="U58" s="762">
        <f>IF(GetFillColor(U58)&lt;0,Planning!$TL67+Planning!$TM67+Planning!$UL67+Planning!$UM67,0)</f>
      </c>
      <c r="V58" s="761">
        <v>0</v>
      </c>
      <c r="W58" s="761">
        <v>0</v>
      </c>
      <c r="X58" s="762">
        <f>IF(GetFillColor(X58)&lt;0,Planning!$WX67+Planning!$WY67+Planning!$XX67+Planning!$XY67,0)</f>
      </c>
      <c r="Y58" s="762">
        <f>IF(GetFillColor(Y58)&lt;0,Planning!$YA67+Planning!$YB67+Planning!$ZA67+Planning!$ZB67,0)</f>
      </c>
      <c r="Z58" s="762">
        <f>IF(GetFillColor(Z58)&lt;0,Planning!$ZD67+Planning!$ZE67+Planning!$AAD67+Planning!$AAE67,0)</f>
      </c>
      <c r="AA58" s="762">
        <f>IF(GetFillColor(AA58)&lt;0,Planning!$AAG67+Planning!$AAH67+Planning!$ABG67+Planning!$ABH67,0)</f>
      </c>
      <c r="AB58" s="762">
        <f>IF(GetFillColor(AB58)&lt;0,Planning!$ABJ67+Planning!$ABK67+Planning!$ACJ67+Planning!$ACK67,0)</f>
      </c>
      <c r="AC58" s="761">
        <v>0</v>
      </c>
      <c r="AD58" s="761">
        <v>0</v>
      </c>
      <c r="AE58" s="762">
        <f>IF(GetFillColor(AE58)&lt;0,Planning!$AEV67+Planning!$AEW67+Planning!$AFV67+Planning!$AFW67,0)</f>
      </c>
      <c r="AF58" s="762">
        <f>IF(GetFillColor(AF58)&lt;0,Planning!$AFY67+Planning!$AFZ67+Planning!$AGY67+Planning!$AGZ67,0)</f>
      </c>
      <c r="AG58" s="762">
        <f>IF(GetFillColor(AG58)&lt;0,Planning!$AHB67+Planning!$AHC67+Planning!$AIB67+Planning!$AIC67,0)</f>
      </c>
      <c r="AH58" s="762">
        <f>IF(GetFillColor(AH58)&lt;0,Planning!$AIE67+Planning!$AIF67+Planning!$AJE67+Planning!$AJF67,0)</f>
      </c>
      <c r="AI58" s="762">
        <f>IF(GetFillColor(AI58)&lt;0,Planning!$AJH67+Planning!$AJI67+Planning!$AKH67+Planning!$AKI67,0)</f>
      </c>
      <c r="AJ58" s="761">
        <v>0</v>
      </c>
      <c r="AK58" s="760">
        <v>0</v>
      </c>
      <c r="AL58" s="698">
        <f>SUM(C58:AK58)</f>
      </c>
      <c r="AM58" s="4"/>
      <c r="AN58" s="4"/>
    </row>
    <row r="59" ht="20.25" customHeight="1" spans="1:40" x14ac:dyDescent="0.25">
      <c r="A59" s="4">
        <f>A15</f>
      </c>
      <c r="B59" s="4"/>
      <c r="C59" s="760">
        <f>IF(GetFillColor(C59)&lt;0,Planning!$D68+Planning!$E68+Planning!$AD68+Planning!$AE68,0)</f>
      </c>
      <c r="D59" s="760">
        <f>IF(GetFillColor(D59)&lt;0,Planning!$AG68+Planning!$AH68+Planning!$BG68+Planning!$BH68,0)</f>
      </c>
      <c r="E59" s="760">
        <f>IF(GetFillColor(E59)&lt;0,Planning!$BJ68+Planning!$BK68+Planning!$CJ68+Planning!$CK68,0)</f>
      </c>
      <c r="F59" s="761">
        <f>IF(GetFillColor(F59)&lt;0,Planning!$CM68+Planning!$CN68+Planning!$DM68+Planning!$DN68,0)</f>
      </c>
      <c r="G59" s="761">
        <f>IF(GetFillColor(G59)&lt;0,Planning!$DP68+Planning!$DQ68+Planning!$EP68+Planning!$EQ68,0)</f>
      </c>
      <c r="H59" s="761">
        <v>0</v>
      </c>
      <c r="I59" s="761">
        <v>0</v>
      </c>
      <c r="J59" s="762">
        <f>IF(GetFillColor(J59)&lt;0,Planning!$HB68+Planning!$HC68+Planning!$IB68+Planning!$IC68,0)</f>
      </c>
      <c r="K59" s="762">
        <f>IF(GetFillColor(K59)&lt;0,Planning!$IE68+Planning!$IF68+Planning!$JE68+Planning!$JF68,0)</f>
      </c>
      <c r="L59" s="762">
        <f>IF(GetFillColor(L59)&lt;0,Planning!$JH68+Planning!$JI68+Planning!$KH68+Planning!$KI68,0)</f>
      </c>
      <c r="M59" s="762">
        <f>IF(GetFillColor(M59)&lt;0,Planning!$KK68+Planning!$KL68+Planning!$LK68+Planning!$LL68,0)</f>
      </c>
      <c r="N59" s="762">
        <f>IF(GetFillColor(N59)&lt;0,Planning!$LN68+Planning!$LO68+Planning!$MN68+Planning!$MO68,0)</f>
      </c>
      <c r="O59" s="761">
        <v>0</v>
      </c>
      <c r="P59" s="761">
        <v>0</v>
      </c>
      <c r="Q59" s="762">
        <f>IF(GetFillColor(Q59)&lt;0,Planning!$OZ68+Planning!$PA68+Planning!$PZ68+Planning!$QA68,0)</f>
      </c>
      <c r="R59" s="762">
        <f>IF(GetFillColor(R59)&lt;0,Planning!$QC68+Planning!$QD68+Planning!$RC68+Planning!$RD68,0)</f>
      </c>
      <c r="S59" s="762">
        <f>IF(GetFillColor(S59)&lt;0,Planning!$RF68+Planning!$RG68+Planning!$SF68+Planning!$SG68,0)</f>
      </c>
      <c r="T59" s="762">
        <f>IF(GetFillColor(T59)&lt;0,Planning!$SI68+Planning!$SJ68+Planning!$TI68+Planning!$TJ68,0)</f>
      </c>
      <c r="U59" s="762">
        <f>IF(GetFillColor(U59)&lt;0,Planning!$TL68+Planning!$TM68+Planning!$UL68+Planning!$UM68,0)</f>
      </c>
      <c r="V59" s="761">
        <v>0</v>
      </c>
      <c r="W59" s="761">
        <v>0</v>
      </c>
      <c r="X59" s="762">
        <f>IF(GetFillColor(X59)&lt;0,Planning!$WX68+Planning!$WY68+Planning!$XX68+Planning!$XY68,0)</f>
      </c>
      <c r="Y59" s="762">
        <f>IF(GetFillColor(Y59)&lt;0,Planning!$YA68+Planning!$YB68+Planning!$ZA68+Planning!$ZB68,0)</f>
      </c>
      <c r="Z59" s="762">
        <f>IF(GetFillColor(Z59)&lt;0,Planning!$ZD68+Planning!$ZE68+Planning!$AAD68+Planning!$AAE68,0)</f>
      </c>
      <c r="AA59" s="762">
        <f>IF(GetFillColor(AA59)&lt;0,Planning!$AAG68+Planning!$AAH68+Planning!$ABG68+Planning!$ABH68,0)</f>
      </c>
      <c r="AB59" s="762">
        <f>IF(GetFillColor(AB59)&lt;0,Planning!$ABJ68+Planning!$ABK68+Planning!$ACJ68+Planning!$ACK68,0)</f>
      </c>
      <c r="AC59" s="761">
        <v>0</v>
      </c>
      <c r="AD59" s="761">
        <v>0</v>
      </c>
      <c r="AE59" s="762">
        <f>IF(GetFillColor(AE59)&lt;0,Planning!$AEV68+Planning!$AEW68+Planning!$AFV68+Planning!$AFW68,0)</f>
      </c>
      <c r="AF59" s="762">
        <f>IF(GetFillColor(AF59)&lt;0,Planning!$AFY68+Planning!$AFZ68+Planning!$AGY68+Planning!$AGZ68,0)</f>
      </c>
      <c r="AG59" s="762">
        <f>IF(GetFillColor(AG59)&lt;0,Planning!$AHB68+Planning!$AHC68+Planning!$AIB68+Planning!$AIC68,0)</f>
      </c>
      <c r="AH59" s="762">
        <f>IF(GetFillColor(AH59)&lt;0,Planning!$AIE68+Planning!$AIF68+Planning!$AJE68+Planning!$AJF68,0)</f>
      </c>
      <c r="AI59" s="762">
        <f>IF(GetFillColor(AI59)&lt;0,Planning!$AJH68+Planning!$AJI68+Planning!$AKH68+Planning!$AKI68,0)</f>
      </c>
      <c r="AJ59" s="761">
        <v>0</v>
      </c>
      <c r="AK59" s="760">
        <v>0</v>
      </c>
      <c r="AL59" s="698">
        <f>SUM(C59:AK59)</f>
      </c>
      <c r="AM59" s="4"/>
      <c r="AN59" s="4"/>
    </row>
    <row r="60" ht="20.25" customHeight="1" spans="1:40" x14ac:dyDescent="0.25">
      <c r="A60" s="4">
        <f>A16</f>
      </c>
      <c r="B60" s="4"/>
      <c r="C60" s="760">
        <f>IF(GetFillColor(C60)&lt;0,Planning!$D69+Planning!$E69+Planning!$AD69+Planning!$AE69,0)</f>
      </c>
      <c r="D60" s="760">
        <f>IF(GetFillColor(D60)&lt;0,Planning!$AG69+Planning!$AH69+Planning!$BG69+Planning!$BH69,0)</f>
      </c>
      <c r="E60" s="760">
        <f>IF(GetFillColor(E60)&lt;0,Planning!$BJ69+Planning!$BK69+Planning!$CJ69+Planning!$CK69,0)</f>
      </c>
      <c r="F60" s="761">
        <f>IF(GetFillColor(F60)&lt;0,Planning!$CM69+Planning!$CN69+Planning!$DM69+Planning!$DN69,0)</f>
      </c>
      <c r="G60" s="761">
        <f>IF(GetFillColor(G60)&lt;0,Planning!$DP69+Planning!$DQ69+Planning!$EP69+Planning!$EQ69,0)</f>
      </c>
      <c r="H60" s="761">
        <v>0</v>
      </c>
      <c r="I60" s="761">
        <v>0</v>
      </c>
      <c r="J60" s="762">
        <f>IF(GetFillColor(J60)&lt;0,Planning!$HB69+Planning!$HC69+Planning!$IB69+Planning!$IC69,0)</f>
      </c>
      <c r="K60" s="762">
        <f>IF(GetFillColor(K60)&lt;0,Planning!$IE69+Planning!$IF69+Planning!$JE69+Planning!$JF69,0)</f>
      </c>
      <c r="L60" s="762">
        <f>IF(GetFillColor(L60)&lt;0,Planning!$JH69+Planning!$JI69+Planning!$KH69+Planning!$KI69,0)</f>
      </c>
      <c r="M60" s="762">
        <f>IF(GetFillColor(M60)&lt;0,Planning!$KK69+Planning!$KL69+Planning!$LK69+Planning!$LL69,0)</f>
      </c>
      <c r="N60" s="762">
        <f>IF(GetFillColor(N60)&lt;0,Planning!$LN69+Planning!$LO69+Planning!$MN69+Planning!$MO69,0)</f>
      </c>
      <c r="O60" s="761">
        <v>0</v>
      </c>
      <c r="P60" s="761">
        <v>0</v>
      </c>
      <c r="Q60" s="762">
        <f>IF(GetFillColor(Q60)&lt;0,Planning!$OZ69+Planning!$PA69+Planning!$PZ69+Planning!$QA69,0)</f>
      </c>
      <c r="R60" s="762">
        <f>IF(GetFillColor(R60)&lt;0,Planning!$QC69+Planning!$QD69+Planning!$RC69+Planning!$RD69,0)</f>
      </c>
      <c r="S60" s="762">
        <f>IF(GetFillColor(S60)&lt;0,Planning!$RF69+Planning!$RG69+Planning!$SF69+Planning!$SG69,0)</f>
      </c>
      <c r="T60" s="762">
        <f>IF(GetFillColor(T60)&lt;0,Planning!$SI69+Planning!$SJ69+Planning!$TI69+Planning!$TJ69,0)</f>
      </c>
      <c r="U60" s="762">
        <f>IF(GetFillColor(U60)&lt;0,Planning!$TL69+Planning!$TM69+Planning!$UL69+Planning!$UM69,0)</f>
      </c>
      <c r="V60" s="761">
        <v>0</v>
      </c>
      <c r="W60" s="761">
        <v>0</v>
      </c>
      <c r="X60" s="762">
        <f>IF(GetFillColor(X60)&lt;0,Planning!$WX69+Planning!$WY69+Planning!$XX69+Planning!$XY69,0)</f>
      </c>
      <c r="Y60" s="762">
        <f>IF(GetFillColor(Y60)&lt;0,Planning!$YA69+Planning!$YB69+Planning!$ZA69+Planning!$ZB69,0)</f>
      </c>
      <c r="Z60" s="762">
        <f>IF(GetFillColor(Z60)&lt;0,Planning!$ZD69+Planning!$ZE69+Planning!$AAD69+Planning!$AAE69,0)</f>
      </c>
      <c r="AA60" s="762">
        <f>IF(GetFillColor(AA60)&lt;0,Planning!$AAG69+Planning!$AAH69+Planning!$ABG69+Planning!$ABH69,0)</f>
      </c>
      <c r="AB60" s="762">
        <f>IF(GetFillColor(AB60)&lt;0,Planning!$ABJ69+Planning!$ABK69+Planning!$ACJ69+Planning!$ACK69,0)</f>
      </c>
      <c r="AC60" s="761">
        <v>0</v>
      </c>
      <c r="AD60" s="761">
        <v>0</v>
      </c>
      <c r="AE60" s="762">
        <f>IF(GetFillColor(AE60)&lt;0,Planning!$AEV69+Planning!$AEW69+Planning!$AFV69+Planning!$AFW69,0)</f>
      </c>
      <c r="AF60" s="762">
        <f>IF(GetFillColor(AF60)&lt;0,Planning!$AFY69+Planning!$AFZ69+Planning!$AGY69+Planning!$AGZ69,0)</f>
      </c>
      <c r="AG60" s="762">
        <f>IF(GetFillColor(AG60)&lt;0,Planning!$AHB69+Planning!$AHC69+Planning!$AIB69+Planning!$AIC69,0)</f>
      </c>
      <c r="AH60" s="762">
        <f>IF(GetFillColor(AH60)&lt;0,Planning!$AIE69+Planning!$AIF69+Planning!$AJE69+Planning!$AJF69,0)</f>
      </c>
      <c r="AI60" s="762">
        <f>IF(GetFillColor(AI60)&lt;0,Planning!$AJH69+Planning!$AJI69+Planning!$AKH69+Planning!$AKI69,0)</f>
      </c>
      <c r="AJ60" s="761">
        <v>0</v>
      </c>
      <c r="AK60" s="760">
        <v>0</v>
      </c>
      <c r="AL60" s="698">
        <f>SUM(C60:AK60)</f>
      </c>
      <c r="AM60" s="4"/>
      <c r="AN60" s="4"/>
    </row>
    <row r="61" ht="20.25" customHeight="1" spans="1:40" x14ac:dyDescent="0.25">
      <c r="A61" s="4">
        <f>A17</f>
      </c>
      <c r="B61" s="4"/>
      <c r="C61" s="760">
        <f>IF(GetFillColor(C61)&lt;0,Planning!$D70+Planning!$E70+Planning!$AD70+Planning!$AE70,0)</f>
      </c>
      <c r="D61" s="760">
        <f>IF(GetFillColor(D61)&lt;0,Planning!$AG70+Planning!$AH70+Planning!$BG70+Planning!$BH70,0)</f>
      </c>
      <c r="E61" s="760">
        <f>IF(GetFillColor(E61)&lt;0,Planning!$BJ70+Planning!$BK70+Planning!$CJ70+Planning!$CK70,0)</f>
      </c>
      <c r="F61" s="761">
        <f>IF(GetFillColor(F61)&lt;0,Planning!$CM70+Planning!$CN70+Planning!$DM70+Planning!$DN70,0)</f>
      </c>
      <c r="G61" s="761">
        <f>IF(GetFillColor(G61)&lt;0,Planning!$DP70+Planning!$DQ70+Planning!$EP70+Planning!$EQ70,0)</f>
      </c>
      <c r="H61" s="761">
        <v>0</v>
      </c>
      <c r="I61" s="761">
        <v>0</v>
      </c>
      <c r="J61" s="762">
        <f>IF(GetFillColor(J61)&lt;0,Planning!$HB70+Planning!$HC70+Planning!$IB70+Planning!$IC70,0)</f>
      </c>
      <c r="K61" s="762">
        <f>IF(GetFillColor(K61)&lt;0,Planning!$IE70+Planning!$IF70+Planning!$JE70+Planning!$JF70,0)</f>
      </c>
      <c r="L61" s="762">
        <f>IF(GetFillColor(L61)&lt;0,Planning!$JH70+Planning!$JI70+Planning!$KH70+Planning!$KI70,0)</f>
      </c>
      <c r="M61" s="762">
        <f>IF(GetFillColor(M61)&lt;0,Planning!$KK70+Planning!$KL70+Planning!$LK70+Planning!$LL70,0)</f>
      </c>
      <c r="N61" s="762">
        <f>IF(GetFillColor(N61)&lt;0,Planning!$LN70+Planning!$LO70+Planning!$MN70+Planning!$MO70,0)</f>
      </c>
      <c r="O61" s="761">
        <v>0</v>
      </c>
      <c r="P61" s="761">
        <v>0</v>
      </c>
      <c r="Q61" s="762">
        <f>IF(GetFillColor(Q61)&lt;0,Planning!$OZ70+Planning!$PA70+Planning!$PZ70+Planning!$QA70,0)</f>
      </c>
      <c r="R61" s="762">
        <f>IF(GetFillColor(R61)&lt;0,Planning!$QC70+Planning!$QD70+Planning!$RC70+Planning!$RD70,0)</f>
      </c>
      <c r="S61" s="762">
        <f>IF(GetFillColor(S61)&lt;0,Planning!$RF70+Planning!$RG70+Planning!$SF70+Planning!$SG70,0)</f>
      </c>
      <c r="T61" s="762">
        <f>IF(GetFillColor(T61)&lt;0,Planning!$SI70+Planning!$SJ70+Planning!$TI70+Planning!$TJ70,0)</f>
      </c>
      <c r="U61" s="762">
        <f>IF(GetFillColor(U61)&lt;0,Planning!$TL70+Planning!$TM70+Planning!$UL70+Planning!$UM70,0)</f>
      </c>
      <c r="V61" s="761">
        <v>0</v>
      </c>
      <c r="W61" s="761">
        <v>0</v>
      </c>
      <c r="X61" s="762">
        <f>IF(GetFillColor(X61)&lt;0,Planning!$WX70+Planning!$WY70+Planning!$XX70+Planning!$XY70,0)</f>
      </c>
      <c r="Y61" s="762">
        <f>IF(GetFillColor(Y61)&lt;0,Planning!$YA70+Planning!$YB70+Planning!$ZA70+Planning!$ZB70,0)</f>
      </c>
      <c r="Z61" s="762">
        <f>IF(GetFillColor(Z61)&lt;0,Planning!$ZD70+Planning!$ZE70+Planning!$AAD70+Planning!$AAE70,0)</f>
      </c>
      <c r="AA61" s="762">
        <f>IF(GetFillColor(AA61)&lt;0,Planning!$AAG70+Planning!$AAH70+Planning!$ABG70+Planning!$ABH70,0)</f>
      </c>
      <c r="AB61" s="762">
        <f>IF(GetFillColor(AB61)&lt;0,Planning!$ABJ70+Planning!$ABK70+Planning!$ACJ70+Planning!$ACK70,0)</f>
      </c>
      <c r="AC61" s="761">
        <v>0</v>
      </c>
      <c r="AD61" s="761">
        <v>0</v>
      </c>
      <c r="AE61" s="762">
        <f>IF(GetFillColor(AE61)&lt;0,Planning!$AEV70+Planning!$AEW70+Planning!$AFV70+Planning!$AFW70,0)</f>
      </c>
      <c r="AF61" s="762">
        <f>IF(GetFillColor(AF61)&lt;0,Planning!$AFY70+Planning!$AFZ70+Planning!$AGY70+Planning!$AGZ70,0)</f>
      </c>
      <c r="AG61" s="762">
        <f>IF(GetFillColor(AG61)&lt;0,Planning!$AHB70+Planning!$AHC70+Planning!$AIB70+Planning!$AIC70,0)</f>
      </c>
      <c r="AH61" s="762">
        <f>IF(GetFillColor(AH61)&lt;0,Planning!$AIE70+Planning!$AIF70+Planning!$AJE70+Planning!$AJF70,0)</f>
      </c>
      <c r="AI61" s="762">
        <f>IF(GetFillColor(AI61)&lt;0,Planning!$AJH70+Planning!$AJI70+Planning!$AKH70+Planning!$AKI70,0)</f>
      </c>
      <c r="AJ61" s="761">
        <v>0</v>
      </c>
      <c r="AK61" s="760">
        <v>0</v>
      </c>
      <c r="AL61" s="698">
        <f>SUM(C61:AK61)</f>
      </c>
      <c r="AM61" s="4"/>
      <c r="AN61" s="4"/>
    </row>
    <row r="62" ht="20.25" customHeight="1" spans="1:40" x14ac:dyDescent="0.25">
      <c r="A62" s="4">
        <f>A18</f>
      </c>
      <c r="B62" s="4"/>
      <c r="C62" s="760">
        <f>IF(GetFillColor(C62)&lt;0,Planning!$D71+Planning!$E71+Planning!$AD71+Planning!$AE71,0)</f>
      </c>
      <c r="D62" s="760">
        <f>IF(GetFillColor(D62)&lt;0,Planning!$AG71+Planning!$AH71+Planning!$BG71+Planning!$BH71,0)</f>
      </c>
      <c r="E62" s="760">
        <f>IF(GetFillColor(E62)&lt;0,Planning!$BJ71+Planning!$BK71+Planning!$CJ71+Planning!$CK71,0)</f>
      </c>
      <c r="F62" s="761">
        <f>IF(GetFillColor(F62)&lt;0,Planning!$CM71+Planning!$CN71+Planning!$DM71+Planning!$DN71,0)</f>
      </c>
      <c r="G62" s="761">
        <f>IF(GetFillColor(G62)&lt;0,Planning!$DP71+Planning!$DQ71+Planning!$EP71+Planning!$EQ71,0)</f>
      </c>
      <c r="H62" s="761">
        <v>0</v>
      </c>
      <c r="I62" s="761">
        <v>0</v>
      </c>
      <c r="J62" s="762">
        <f>IF(GetFillColor(J62)&lt;0,Planning!$HB71+Planning!$HC71+Planning!$IB71+Planning!$IC71,0)</f>
      </c>
      <c r="K62" s="762">
        <f>IF(GetFillColor(K62)&lt;0,Planning!$IE71+Planning!$IF71+Planning!$JE71+Planning!$JF71,0)</f>
      </c>
      <c r="L62" s="762">
        <f>IF(GetFillColor(L62)&lt;0,Planning!$JH71+Planning!$JI71+Planning!$KH71+Planning!$KI71,0)</f>
      </c>
      <c r="M62" s="762">
        <f>IF(GetFillColor(M62)&lt;0,Planning!$KK71+Planning!$KL71+Planning!$LK71+Planning!$LL71,0)</f>
      </c>
      <c r="N62" s="762">
        <f>IF(GetFillColor(N62)&lt;0,Planning!$LN71+Planning!$LO71+Planning!$MN71+Planning!$MO71,0)</f>
      </c>
      <c r="O62" s="761">
        <v>0</v>
      </c>
      <c r="P62" s="761">
        <v>0</v>
      </c>
      <c r="Q62" s="762">
        <f>IF(GetFillColor(Q62)&lt;0,Planning!$OZ71+Planning!$PA71+Planning!$PZ71+Planning!$QA71,0)</f>
      </c>
      <c r="R62" s="762">
        <f>IF(GetFillColor(R62)&lt;0,Planning!$QC71+Planning!$QD71+Planning!$RC71+Planning!$RD71,0)</f>
      </c>
      <c r="S62" s="762">
        <f>IF(GetFillColor(S62)&lt;0,Planning!$RF71+Planning!$RG71+Planning!$SF71+Planning!$SG71,0)</f>
      </c>
      <c r="T62" s="762">
        <f>IF(GetFillColor(T62)&lt;0,Planning!$SI71+Planning!$SJ71+Planning!$TI71+Planning!$TJ71,0)</f>
      </c>
      <c r="U62" s="762">
        <f>IF(GetFillColor(U62)&lt;0,Planning!$TL71+Planning!$TM71+Planning!$UL71+Planning!$UM71,0)</f>
      </c>
      <c r="V62" s="761">
        <v>0</v>
      </c>
      <c r="W62" s="761">
        <v>0</v>
      </c>
      <c r="X62" s="762">
        <f>IF(GetFillColor(X62)&lt;0,Planning!$WX71+Planning!$WY71+Planning!$XX71+Planning!$XY71,0)</f>
      </c>
      <c r="Y62" s="762">
        <f>IF(GetFillColor(Y62)&lt;0,Planning!$YA71+Planning!$YB71+Planning!$ZA71+Planning!$ZB71,0)</f>
      </c>
      <c r="Z62" s="762">
        <f>IF(GetFillColor(Z62)&lt;0,Planning!$ZD71+Planning!$ZE71+Planning!$AAD71+Planning!$AAE71,0)</f>
      </c>
      <c r="AA62" s="762">
        <f>IF(GetFillColor(AA62)&lt;0,Planning!$AAG71+Planning!$AAH71+Planning!$ABG71+Planning!$ABH71,0)</f>
      </c>
      <c r="AB62" s="762">
        <f>IF(GetFillColor(AB62)&lt;0,Planning!$ABJ71+Planning!$ABK71+Planning!$ACJ71+Planning!$ACK71,0)</f>
      </c>
      <c r="AC62" s="761">
        <v>0</v>
      </c>
      <c r="AD62" s="761">
        <v>0</v>
      </c>
      <c r="AE62" s="762">
        <f>IF(GetFillColor(AE62)&lt;0,Planning!$AEV71+Planning!$AEW71+Planning!$AFV71+Planning!$AFW71,0)</f>
      </c>
      <c r="AF62" s="762">
        <f>IF(GetFillColor(AF62)&lt;0,Planning!$AFY71+Planning!$AFZ71+Planning!$AGY71+Planning!$AGZ71,0)</f>
      </c>
      <c r="AG62" s="762">
        <f>IF(GetFillColor(AG62)&lt;0,Planning!$AHB71+Planning!$AHC71+Planning!$AIB71+Planning!$AIC71,0)</f>
      </c>
      <c r="AH62" s="762">
        <f>IF(GetFillColor(AH62)&lt;0,Planning!$AIE71+Planning!$AIF71+Planning!$AJE71+Planning!$AJF71,0)</f>
      </c>
      <c r="AI62" s="762">
        <f>IF(GetFillColor(AI62)&lt;0,Planning!$AJH71+Planning!$AJI71+Planning!$AKH71+Planning!$AKI71,0)</f>
      </c>
      <c r="AJ62" s="761">
        <v>0</v>
      </c>
      <c r="AK62" s="760">
        <v>0</v>
      </c>
      <c r="AL62" s="698">
        <f>SUM(C62:AK62)</f>
      </c>
      <c r="AM62" s="4"/>
      <c r="AN62" s="4"/>
    </row>
    <row r="63" ht="20.25" customHeight="1" spans="1:40" x14ac:dyDescent="0.25">
      <c r="A63" s="4">
        <f>A19</f>
      </c>
      <c r="B63" s="4"/>
      <c r="C63" s="760">
        <f>IF(GetFillColor(C63)&lt;0,Planning!$D72+Planning!$E72+Planning!$AD72+Planning!$AE72,0)</f>
      </c>
      <c r="D63" s="760">
        <f>IF(GetFillColor(D63)&lt;0,Planning!$AG72+Planning!$AH72+Planning!$BG72+Planning!$BH72,0)</f>
      </c>
      <c r="E63" s="760">
        <f>IF(GetFillColor(E63)&lt;0,Planning!$BJ72+Planning!$BK72+Planning!$CJ72+Planning!$CK72,0)</f>
      </c>
      <c r="F63" s="761">
        <f>IF(GetFillColor(F63)&lt;0,Planning!$CM72+Planning!$CN72+Planning!$DM72+Planning!$DN72,0)</f>
      </c>
      <c r="G63" s="761">
        <f>IF(GetFillColor(G63)&lt;0,Planning!$DP72+Planning!$DQ72+Planning!$EP72+Planning!$EQ72,0)</f>
      </c>
      <c r="H63" s="761">
        <v>0</v>
      </c>
      <c r="I63" s="761">
        <v>0</v>
      </c>
      <c r="J63" s="762">
        <f>IF(GetFillColor(J63)&lt;0,Planning!$HB72+Planning!$HC72+Planning!$IB72+Planning!$IC72,0)</f>
      </c>
      <c r="K63" s="762">
        <f>IF(GetFillColor(K63)&lt;0,Planning!$IE72+Planning!$IF72+Planning!$JE72+Planning!$JF72,0)</f>
      </c>
      <c r="L63" s="762">
        <f>IF(GetFillColor(L63)&lt;0,Planning!$JH72+Planning!$JI72+Planning!$KH72+Planning!$KI72,0)</f>
      </c>
      <c r="M63" s="762">
        <f>IF(GetFillColor(M63)&lt;0,Planning!$KK72+Planning!$KL72+Planning!$LK72+Planning!$LL72,0)</f>
      </c>
      <c r="N63" s="762">
        <f>IF(GetFillColor(N63)&lt;0,Planning!$LN72+Planning!$LO72+Planning!$MN72+Planning!$MO72,0)</f>
      </c>
      <c r="O63" s="761">
        <v>0</v>
      </c>
      <c r="P63" s="761">
        <v>0</v>
      </c>
      <c r="Q63" s="762">
        <f>IF(GetFillColor(Q63)&lt;0,Planning!$OZ72+Planning!$PA72+Planning!$PZ72+Planning!$QA72,0)</f>
      </c>
      <c r="R63" s="762">
        <f>IF(GetFillColor(R63)&lt;0,Planning!$QC72+Planning!$QD72+Planning!$RC72+Planning!$RD72,0)</f>
      </c>
      <c r="S63" s="762">
        <f>IF(GetFillColor(S63)&lt;0,Planning!$RF72+Planning!$RG72+Planning!$SF72+Planning!$SG72,0)</f>
      </c>
      <c r="T63" s="762">
        <f>IF(GetFillColor(T63)&lt;0,Planning!$SI72+Planning!$SJ72+Planning!$TI72+Planning!$TJ72,0)</f>
      </c>
      <c r="U63" s="762">
        <f>IF(GetFillColor(U63)&lt;0,Planning!$TL72+Planning!$TM72+Planning!$UL72+Planning!$UM72,0)</f>
      </c>
      <c r="V63" s="761">
        <v>0</v>
      </c>
      <c r="W63" s="761">
        <v>0</v>
      </c>
      <c r="X63" s="762">
        <f>IF(GetFillColor(X63)&lt;0,Planning!$WX72+Planning!$WY72+Planning!$XX72+Planning!$XY72,0)</f>
      </c>
      <c r="Y63" s="762">
        <f>IF(GetFillColor(Y63)&lt;0,Planning!$YA72+Planning!$YB72+Planning!$ZA72+Planning!$ZB72,0)</f>
      </c>
      <c r="Z63" s="762">
        <f>IF(GetFillColor(Z63)&lt;0,Planning!$ZD72+Planning!$ZE72+Planning!$AAD72+Planning!$AAE72,0)</f>
      </c>
      <c r="AA63" s="762">
        <f>IF(GetFillColor(AA63)&lt;0,Planning!$AAG72+Planning!$AAH72+Planning!$ABG72+Planning!$ABH72,0)</f>
      </c>
      <c r="AB63" s="762">
        <f>IF(GetFillColor(AB63)&lt;0,Planning!$ABJ72+Planning!$ABK72+Planning!$ACJ72+Planning!$ACK72,0)</f>
      </c>
      <c r="AC63" s="761">
        <v>0</v>
      </c>
      <c r="AD63" s="761">
        <v>0</v>
      </c>
      <c r="AE63" s="762">
        <f>IF(GetFillColor(AE63)&lt;0,Planning!$AEV72+Planning!$AEW72+Planning!$AFV72+Planning!$AFW72,0)</f>
      </c>
      <c r="AF63" s="762">
        <f>IF(GetFillColor(AF63)&lt;0,Planning!$AFY72+Planning!$AFZ72+Planning!$AGY72+Planning!$AGZ72,0)</f>
      </c>
      <c r="AG63" s="762">
        <f>IF(GetFillColor(AG63)&lt;0,Planning!$AHB72+Planning!$AHC72+Planning!$AIB72+Planning!$AIC72,0)</f>
      </c>
      <c r="AH63" s="762">
        <f>IF(GetFillColor(AH63)&lt;0,Planning!$AIE72+Planning!$AIF72+Planning!$AJE72+Planning!$AJF72,0)</f>
      </c>
      <c r="AI63" s="762">
        <f>IF(GetFillColor(AI63)&lt;0,Planning!$AJH72+Planning!$AJI72+Planning!$AKH72+Planning!$AKI72,0)</f>
      </c>
      <c r="AJ63" s="761">
        <v>0</v>
      </c>
      <c r="AK63" s="760">
        <v>0</v>
      </c>
      <c r="AL63" s="698">
        <f>SUM(C63:AK63)</f>
      </c>
      <c r="AM63" s="4"/>
      <c r="AN63" s="4"/>
    </row>
    <row r="64" ht="20.25" customHeight="1" spans="1:40" x14ac:dyDescent="0.25">
      <c r="A64" s="4">
        <f>A20</f>
      </c>
      <c r="B64" s="4"/>
      <c r="C64" s="760">
        <f>IF(GetFillColor(C64)&lt;0,Planning!$D73+Planning!$E73+Planning!$AD73+Planning!$AE73,0)</f>
      </c>
      <c r="D64" s="760">
        <f>IF(GetFillColor(D64)&lt;0,Planning!$AG73+Planning!$AH73+Planning!$BG73+Planning!$BH73,0)</f>
      </c>
      <c r="E64" s="760">
        <f>IF(GetFillColor(E64)&lt;0,Planning!$BJ73+Planning!$BK73+Planning!$CJ73+Planning!$CK73,0)</f>
      </c>
      <c r="F64" s="761">
        <f>IF(GetFillColor(F64)&lt;0,Planning!$CM73+Planning!$CN73+Planning!$DM73+Planning!$DN73,0)</f>
      </c>
      <c r="G64" s="761">
        <f>IF(GetFillColor(G64)&lt;0,Planning!$DP73+Planning!$DQ73+Planning!$EP73+Planning!$EQ73,0)</f>
      </c>
      <c r="H64" s="761">
        <v>0</v>
      </c>
      <c r="I64" s="761">
        <v>0</v>
      </c>
      <c r="J64" s="762">
        <f>IF(GetFillColor(J64)&lt;0,Planning!$HB73+Planning!$HC73+Planning!$IB73+Planning!$IC73,0)</f>
      </c>
      <c r="K64" s="762">
        <f>IF(GetFillColor(K64)&lt;0,Planning!$IE73+Planning!$IF73+Planning!$JE73+Planning!$JF73,0)</f>
      </c>
      <c r="L64" s="762">
        <f>IF(GetFillColor(L64)&lt;0,Planning!$JH73+Planning!$JI73+Planning!$KH73+Planning!$KI73,0)</f>
      </c>
      <c r="M64" s="762">
        <f>IF(GetFillColor(M64)&lt;0,Planning!$KK73+Planning!$KL73+Planning!$LK73+Planning!$LL73,0)</f>
      </c>
      <c r="N64" s="762">
        <f>IF(GetFillColor(N64)&lt;0,Planning!$LN73+Planning!$LO73+Planning!$MN73+Planning!$MO73,0)</f>
      </c>
      <c r="O64" s="761">
        <v>0</v>
      </c>
      <c r="P64" s="761">
        <v>0</v>
      </c>
      <c r="Q64" s="762">
        <f>IF(GetFillColor(Q64)&lt;0,Planning!$OZ73+Planning!$PA73+Planning!$PZ73+Planning!$QA73,0)</f>
      </c>
      <c r="R64" s="762">
        <f>IF(GetFillColor(R64)&lt;0,Planning!$QC73+Planning!$QD73+Planning!$RC73+Planning!$RD73,0)</f>
      </c>
      <c r="S64" s="762">
        <f>IF(GetFillColor(S64)&lt;0,Planning!$RF73+Planning!$RG73+Planning!$SF73+Planning!$SG73,0)</f>
      </c>
      <c r="T64" s="762">
        <f>IF(GetFillColor(T64)&lt;0,Planning!$SI73+Planning!$SJ73+Planning!$TI73+Planning!$TJ73,0)</f>
      </c>
      <c r="U64" s="762">
        <f>IF(GetFillColor(U64)&lt;0,Planning!$TL73+Planning!$TM73+Planning!$UL73+Planning!$UM73,0)</f>
      </c>
      <c r="V64" s="761">
        <v>0</v>
      </c>
      <c r="W64" s="761">
        <v>0</v>
      </c>
      <c r="X64" s="762">
        <f>IF(GetFillColor(X64)&lt;0,Planning!$WX73+Planning!$WY73+Planning!$XX73+Planning!$XY73,0)</f>
      </c>
      <c r="Y64" s="762">
        <f>IF(GetFillColor(Y64)&lt;0,Planning!$YA73+Planning!$YB73+Planning!$ZA73+Planning!$ZB73,0)</f>
      </c>
      <c r="Z64" s="762">
        <f>IF(GetFillColor(Z64)&lt;0,Planning!$ZD73+Planning!$ZE73+Planning!$AAD73+Planning!$AAE73,0)</f>
      </c>
      <c r="AA64" s="762">
        <f>IF(GetFillColor(AA64)&lt;0,Planning!$AAG73+Planning!$AAH73+Planning!$ABG73+Planning!$ABH73,0)</f>
      </c>
      <c r="AB64" s="762">
        <f>IF(GetFillColor(AB64)&lt;0,Planning!$ABJ73+Planning!$ABK73+Planning!$ACJ73+Planning!$ACK73,0)</f>
      </c>
      <c r="AC64" s="761">
        <v>0</v>
      </c>
      <c r="AD64" s="761">
        <v>0</v>
      </c>
      <c r="AE64" s="762">
        <f>IF(GetFillColor(AE64)&lt;0,Planning!$AEV73+Planning!$AEW73+Planning!$AFV73+Planning!$AFW73,0)</f>
      </c>
      <c r="AF64" s="762">
        <f>IF(GetFillColor(AF64)&lt;0,Planning!$AFY73+Planning!$AFZ73+Planning!$AGY73+Planning!$AGZ73,0)</f>
      </c>
      <c r="AG64" s="762">
        <f>IF(GetFillColor(AG64)&lt;0,Planning!$AHB73+Planning!$AHC73+Planning!$AIB73+Planning!$AIC73,0)</f>
      </c>
      <c r="AH64" s="762">
        <f>IF(GetFillColor(AH64)&lt;0,Planning!$AIE73+Planning!$AIF73+Planning!$AJE73+Planning!$AJF73,0)</f>
      </c>
      <c r="AI64" s="762">
        <f>IF(GetFillColor(AI64)&lt;0,Planning!$AJH73+Planning!$AJI73+Planning!$AKH73+Planning!$AKI73,0)</f>
      </c>
      <c r="AJ64" s="761">
        <v>0</v>
      </c>
      <c r="AK64" s="760">
        <v>0</v>
      </c>
      <c r="AL64" s="698">
        <f>SUM(C64:AK64)</f>
      </c>
      <c r="AM64" s="4"/>
      <c r="AN64" s="4"/>
    </row>
    <row r="65" ht="20.25" customHeight="1" spans="1:40" x14ac:dyDescent="0.25">
      <c r="A65" s="4">
        <f>A21</f>
      </c>
      <c r="B65" s="4"/>
      <c r="C65" s="760">
        <f>IF(GetFillColor(C65)&lt;0,Planning!$D74+Planning!$E74+Planning!$AD74+Planning!$AE74,0)</f>
      </c>
      <c r="D65" s="760">
        <f>IF(GetFillColor(D65)&lt;0,Planning!$AG74+Planning!$AH74+Planning!$BG74+Planning!$BH74,0)</f>
      </c>
      <c r="E65" s="760">
        <f>IF(GetFillColor(E65)&lt;0,Planning!$BJ74+Planning!$BK74+Planning!$CJ74+Planning!$CK74,0)</f>
      </c>
      <c r="F65" s="761">
        <f>IF(GetFillColor(F65)&lt;0,Planning!$CM74+Planning!$CN74+Planning!$DM74+Planning!$DN74,0)</f>
      </c>
      <c r="G65" s="761">
        <f>IF(GetFillColor(G65)&lt;0,Planning!$DP74+Planning!$DQ74+Planning!$EP74+Planning!$EQ74,0)</f>
      </c>
      <c r="H65" s="761">
        <v>0</v>
      </c>
      <c r="I65" s="761">
        <v>0</v>
      </c>
      <c r="J65" s="762">
        <f>IF(GetFillColor(J65)&lt;0,Planning!$HB74+Planning!$HC74+Planning!$IB74+Planning!$IC74,0)</f>
      </c>
      <c r="K65" s="762">
        <f>IF(GetFillColor(K65)&lt;0,Planning!$IE74+Planning!$IF74+Planning!$JE74+Planning!$JF74,0)</f>
      </c>
      <c r="L65" s="762">
        <f>IF(GetFillColor(L65)&lt;0,Planning!$JH74+Planning!$JI74+Planning!$KH74+Planning!$KI74,0)</f>
      </c>
      <c r="M65" s="762">
        <f>IF(GetFillColor(M65)&lt;0,Planning!$KK74+Planning!$KL74+Planning!$LK74+Planning!$LL74,0)</f>
      </c>
      <c r="N65" s="762">
        <f>IF(GetFillColor(N65)&lt;0,Planning!$LN74+Planning!$LO74+Planning!$MN74+Planning!$MO74,0)</f>
      </c>
      <c r="O65" s="761">
        <v>0</v>
      </c>
      <c r="P65" s="761">
        <v>0</v>
      </c>
      <c r="Q65" s="762">
        <f>IF(GetFillColor(Q65)&lt;0,Planning!$OZ74+Planning!$PA74+Planning!$PZ74+Planning!$QA74,0)</f>
      </c>
      <c r="R65" s="762">
        <f>IF(GetFillColor(R65)&lt;0,Planning!$QC74+Planning!$QD74+Planning!$RC74+Planning!$RD74,0)</f>
      </c>
      <c r="S65" s="762">
        <f>IF(GetFillColor(S65)&lt;0,Planning!$RF74+Planning!$RG74+Planning!$SF74+Planning!$SG74,0)</f>
      </c>
      <c r="T65" s="762">
        <f>IF(GetFillColor(T65)&lt;0,Planning!$SI74+Planning!$SJ74+Planning!$TI74+Planning!$TJ74,0)</f>
      </c>
      <c r="U65" s="762">
        <f>IF(GetFillColor(U65)&lt;0,Planning!$TL74+Planning!$TM74+Planning!$UL74+Planning!$UM74,0)</f>
      </c>
      <c r="V65" s="761">
        <v>0</v>
      </c>
      <c r="W65" s="761">
        <v>0</v>
      </c>
      <c r="X65" s="762">
        <f>IF(GetFillColor(X65)&lt;0,Planning!$WX74+Planning!$WY74+Planning!$XX74+Planning!$XY74,0)</f>
      </c>
      <c r="Y65" s="762">
        <f>IF(GetFillColor(Y65)&lt;0,Planning!$YA74+Planning!$YB74+Planning!$ZA74+Planning!$ZB74,0)</f>
      </c>
      <c r="Z65" s="762">
        <f>IF(GetFillColor(Z65)&lt;0,Planning!$ZD74+Planning!$ZE74+Planning!$AAD74+Planning!$AAE74,0)</f>
      </c>
      <c r="AA65" s="762">
        <f>IF(GetFillColor(AA65)&lt;0,Planning!$AAG74+Planning!$AAH74+Planning!$ABG74+Planning!$ABH74,0)</f>
      </c>
      <c r="AB65" s="762">
        <f>IF(GetFillColor(AB65)&lt;0,Planning!$ABJ74+Planning!$ABK74+Planning!$ACJ74+Planning!$ACK74,0)</f>
      </c>
      <c r="AC65" s="761">
        <v>0</v>
      </c>
      <c r="AD65" s="761">
        <v>0</v>
      </c>
      <c r="AE65" s="762">
        <f>IF(GetFillColor(AE65)&lt;0,Planning!$AEV74+Planning!$AEW74+Planning!$AFV74+Planning!$AFW74,0)</f>
      </c>
      <c r="AF65" s="762">
        <f>IF(GetFillColor(AF65)&lt;0,Planning!$AFY74+Planning!$AFZ74+Planning!$AGY74+Planning!$AGZ74,0)</f>
      </c>
      <c r="AG65" s="762">
        <f>IF(GetFillColor(AG65)&lt;0,Planning!$AHB74+Planning!$AHC74+Planning!$AIB74+Planning!$AIC74,0)</f>
      </c>
      <c r="AH65" s="762">
        <f>IF(GetFillColor(AH65)&lt;0,Planning!$AIE74+Planning!$AIF74+Planning!$AJE74+Planning!$AJF74,0)</f>
      </c>
      <c r="AI65" s="762">
        <f>IF(GetFillColor(AI65)&lt;0,Planning!$AJH74+Planning!$AJI74+Planning!$AKH74+Planning!$AKI74,0)</f>
      </c>
      <c r="AJ65" s="761">
        <v>0</v>
      </c>
      <c r="AK65" s="760">
        <v>0</v>
      </c>
      <c r="AL65" s="698">
        <f>SUM(C65:AK65)</f>
      </c>
      <c r="AM65" s="4"/>
      <c r="AN65" s="4"/>
    </row>
    <row r="66" ht="20.25" customHeight="1" spans="1:40" x14ac:dyDescent="0.25">
      <c r="A66" s="4">
        <f>A22</f>
      </c>
      <c r="B66" s="4"/>
      <c r="C66" s="760">
        <f>IF(GetFillColor(C66)&lt;0,Planning!$D75+Planning!$E75+Planning!$AD75+Planning!$AE75,0)</f>
      </c>
      <c r="D66" s="760">
        <f>IF(GetFillColor(D66)&lt;0,Planning!$AG75+Planning!$AH75+Planning!$BG75+Planning!$BH75,0)</f>
      </c>
      <c r="E66" s="760">
        <f>IF(GetFillColor(E66)&lt;0,Planning!$BJ75+Planning!$BK75+Planning!$CJ75+Planning!$CK75,0)</f>
      </c>
      <c r="F66" s="761">
        <f>IF(GetFillColor(F66)&lt;0,Planning!$CM75+Planning!$CN75+Planning!$DM75+Planning!$DN75,0)</f>
      </c>
      <c r="G66" s="761">
        <f>IF(GetFillColor(G66)&lt;0,Planning!$DP75+Planning!$DQ75+Planning!$EP75+Planning!$EQ75,0)</f>
      </c>
      <c r="H66" s="761">
        <v>0</v>
      </c>
      <c r="I66" s="761">
        <v>0</v>
      </c>
      <c r="J66" s="762">
        <f>IF(GetFillColor(J66)&lt;0,Planning!$HB75+Planning!$HC75+Planning!$IB75+Planning!$IC75,0)</f>
      </c>
      <c r="K66" s="762">
        <f>IF(GetFillColor(K66)&lt;0,Planning!$IE75+Planning!$IF75+Planning!$JE75+Planning!$JF75,0)</f>
      </c>
      <c r="L66" s="762">
        <f>IF(GetFillColor(L66)&lt;0,Planning!$JH75+Planning!$JI75+Planning!$KH75+Planning!$KI75,0)</f>
      </c>
      <c r="M66" s="762">
        <f>IF(GetFillColor(M66)&lt;0,Planning!$KK75+Planning!$KL75+Planning!$LK75+Planning!$LL75,0)</f>
      </c>
      <c r="N66" s="762">
        <f>IF(GetFillColor(N66)&lt;0,Planning!$LN75+Planning!$LO75+Planning!$MN75+Planning!$MO75,0)</f>
      </c>
      <c r="O66" s="761">
        <v>0</v>
      </c>
      <c r="P66" s="761">
        <v>0</v>
      </c>
      <c r="Q66" s="762">
        <f>IF(GetFillColor(Q66)&lt;0,Planning!$OZ75+Planning!$PA75+Planning!$PZ75+Planning!$QA75,0)</f>
      </c>
      <c r="R66" s="762">
        <f>IF(GetFillColor(R66)&lt;0,Planning!$QC75+Planning!$QD75+Planning!$RC75+Planning!$RD75,0)</f>
      </c>
      <c r="S66" s="762">
        <f>IF(GetFillColor(S66)&lt;0,Planning!$RF75+Planning!$RG75+Planning!$SF75+Planning!$SG75,0)</f>
      </c>
      <c r="T66" s="762">
        <f>IF(GetFillColor(T66)&lt;0,Planning!$SI75+Planning!$SJ75+Planning!$TI75+Planning!$TJ75,0)</f>
      </c>
      <c r="U66" s="762">
        <f>IF(GetFillColor(U66)&lt;0,Planning!$TL75+Planning!$TM75+Planning!$UL75+Planning!$UM75,0)</f>
      </c>
      <c r="V66" s="761">
        <v>0</v>
      </c>
      <c r="W66" s="761">
        <v>0</v>
      </c>
      <c r="X66" s="762">
        <f>IF(GetFillColor(X66)&lt;0,Planning!$WX75+Planning!$WY75+Planning!$XX75+Planning!$XY75,0)</f>
      </c>
      <c r="Y66" s="762">
        <f>IF(GetFillColor(Y66)&lt;0,Planning!$YA75+Planning!$YB75+Planning!$ZA75+Planning!$ZB75,0)</f>
      </c>
      <c r="Z66" s="762">
        <f>IF(GetFillColor(Z66)&lt;0,Planning!$ZD75+Planning!$ZE75+Planning!$AAD75+Planning!$AAE75,0)</f>
      </c>
      <c r="AA66" s="762">
        <f>IF(GetFillColor(AA66)&lt;0,Planning!$AAG75+Planning!$AAH75+Planning!$ABG75+Planning!$ABH75,0)</f>
      </c>
      <c r="AB66" s="762">
        <f>IF(GetFillColor(AB66)&lt;0,Planning!$ABJ75+Planning!$ABK75+Planning!$ACJ75+Planning!$ACK75,0)</f>
      </c>
      <c r="AC66" s="761">
        <v>0</v>
      </c>
      <c r="AD66" s="761">
        <v>0</v>
      </c>
      <c r="AE66" s="762">
        <f>IF(GetFillColor(AE66)&lt;0,Planning!$AEV75+Planning!$AEW75+Planning!$AFV75+Planning!$AFW75,0)</f>
      </c>
      <c r="AF66" s="762">
        <f>IF(GetFillColor(AF66)&lt;0,Planning!$AFY75+Planning!$AFZ75+Planning!$AGY75+Planning!$AGZ75,0)</f>
      </c>
      <c r="AG66" s="762">
        <f>IF(GetFillColor(AG66)&lt;0,Planning!$AHB75+Planning!$AHC75+Planning!$AIB75+Planning!$AIC75,0)</f>
      </c>
      <c r="AH66" s="762">
        <f>IF(GetFillColor(AH66)&lt;0,Planning!$AIE75+Planning!$AIF75+Planning!$AJE75+Planning!$AJF75,0)</f>
      </c>
      <c r="AI66" s="762">
        <f>IF(GetFillColor(AI66)&lt;0,Planning!$AJH75+Planning!$AJI75+Planning!$AKH75+Planning!$AKI75,0)</f>
      </c>
      <c r="AJ66" s="761">
        <v>0</v>
      </c>
      <c r="AK66" s="760">
        <v>0</v>
      </c>
      <c r="AL66" s="698">
        <f>SUM(C66:AK66)</f>
      </c>
      <c r="AM66" s="4"/>
      <c r="AN66" s="4"/>
    </row>
    <row r="67" ht="20.25" customHeight="1" spans="1:40" x14ac:dyDescent="0.25">
      <c r="A67" s="4">
        <f>A23</f>
      </c>
      <c r="B67" s="4"/>
      <c r="C67" s="760">
        <f>IF(GetFillColor(C67)&lt;0,Planning!$D76+Planning!$E76+Planning!$AD76+Planning!$AE76,0)</f>
      </c>
      <c r="D67" s="760">
        <f>IF(GetFillColor(D67)&lt;0,Planning!$AG76+Planning!$AH76+Planning!$BG76+Planning!$BH76,0)</f>
      </c>
      <c r="E67" s="760">
        <f>IF(GetFillColor(E67)&lt;0,Planning!$BJ76+Planning!$BK76+Planning!$CJ76+Planning!$CK76,0)</f>
      </c>
      <c r="F67" s="761">
        <f>IF(GetFillColor(F67)&lt;0,Planning!$CM76+Planning!$CN76+Planning!$DM76+Planning!$DN76,0)</f>
      </c>
      <c r="G67" s="761">
        <f>IF(GetFillColor(G67)&lt;0,Planning!$DP76+Planning!$DQ76+Planning!$EP76+Planning!$EQ76,0)</f>
      </c>
      <c r="H67" s="761">
        <v>0</v>
      </c>
      <c r="I67" s="761">
        <v>0</v>
      </c>
      <c r="J67" s="762">
        <f>IF(GetFillColor(J67)&lt;0,Planning!$HB76+Planning!$HC76+Planning!$IB76+Planning!$IC76,0)</f>
      </c>
      <c r="K67" s="762">
        <f>IF(GetFillColor(K67)&lt;0,Planning!$IE76+Planning!$IF76+Planning!$JE76+Planning!$JF76,0)</f>
      </c>
      <c r="L67" s="762">
        <f>IF(GetFillColor(L67)&lt;0,Planning!$JH76+Planning!$JI76+Planning!$KH76+Planning!$KI76,0)</f>
      </c>
      <c r="M67" s="762">
        <f>IF(GetFillColor(M67)&lt;0,Planning!$KK76+Planning!$KL76+Planning!$LK76+Planning!$LL76,0)</f>
      </c>
      <c r="N67" s="762">
        <f>IF(GetFillColor(N67)&lt;0,Planning!$LN76+Planning!$LO76+Planning!$MN76+Planning!$MO76,0)</f>
      </c>
      <c r="O67" s="761">
        <v>0</v>
      </c>
      <c r="P67" s="761">
        <v>0</v>
      </c>
      <c r="Q67" s="762">
        <f>IF(GetFillColor(Q67)&lt;0,Planning!$OZ76+Planning!$PA76+Planning!$PZ76+Planning!$QA76,0)</f>
      </c>
      <c r="R67" s="762">
        <f>IF(GetFillColor(R67)&lt;0,Planning!$QC76+Planning!$QD76+Planning!$RC76+Planning!$RD76,0)</f>
      </c>
      <c r="S67" s="762">
        <f>IF(GetFillColor(S67)&lt;0,Planning!$RF76+Planning!$RG76+Planning!$SF76+Planning!$SG76,0)</f>
      </c>
      <c r="T67" s="762">
        <f>IF(GetFillColor(T67)&lt;0,Planning!$SI76+Planning!$SJ76+Planning!$TI76+Planning!$TJ76,0)</f>
      </c>
      <c r="U67" s="762">
        <f>IF(GetFillColor(U67)&lt;0,Planning!$TL76+Planning!$TM76+Planning!$UL76+Planning!$UM76,0)</f>
      </c>
      <c r="V67" s="761">
        <v>0</v>
      </c>
      <c r="W67" s="761">
        <v>0</v>
      </c>
      <c r="X67" s="762">
        <f>IF(GetFillColor(X67)&lt;0,Planning!$WX76+Planning!$WY76+Planning!$XX76+Planning!$XY76,0)</f>
      </c>
      <c r="Y67" s="762">
        <f>IF(GetFillColor(Y67)&lt;0,Planning!$YA76+Planning!$YB76+Planning!$ZA76+Planning!$ZB76,0)</f>
      </c>
      <c r="Z67" s="762">
        <f>IF(GetFillColor(Z67)&lt;0,Planning!$ZD76+Planning!$ZE76+Planning!$AAD76+Planning!$AAE76,0)</f>
      </c>
      <c r="AA67" s="762">
        <f>IF(GetFillColor(AA67)&lt;0,Planning!$AAG76+Planning!$AAH76+Planning!$ABG76+Planning!$ABH76,0)</f>
      </c>
      <c r="AB67" s="762">
        <f>IF(GetFillColor(AB67)&lt;0,Planning!$ABJ76+Planning!$ABK76+Planning!$ACJ76+Planning!$ACK76,0)</f>
      </c>
      <c r="AC67" s="761">
        <v>0</v>
      </c>
      <c r="AD67" s="761">
        <v>0</v>
      </c>
      <c r="AE67" s="762">
        <f>IF(GetFillColor(AE67)&lt;0,Planning!$AEV76+Planning!$AEW76+Planning!$AFV76+Planning!$AFW76,0)</f>
      </c>
      <c r="AF67" s="762">
        <f>IF(GetFillColor(AF67)&lt;0,Planning!$AFY76+Planning!$AFZ76+Planning!$AGY76+Planning!$AGZ76,0)</f>
      </c>
      <c r="AG67" s="762">
        <f>IF(GetFillColor(AG67)&lt;0,Planning!$AHB76+Planning!$AHC76+Planning!$AIB76+Planning!$AIC76,0)</f>
      </c>
      <c r="AH67" s="762">
        <f>IF(GetFillColor(AH67)&lt;0,Planning!$AIE76+Planning!$AIF76+Planning!$AJE76+Planning!$AJF76,0)</f>
      </c>
      <c r="AI67" s="762">
        <f>IF(GetFillColor(AI67)&lt;0,Planning!$AJH76+Planning!$AJI76+Planning!$AKH76+Planning!$AKI76,0)</f>
      </c>
      <c r="AJ67" s="761">
        <v>0</v>
      </c>
      <c r="AK67" s="760">
        <v>0</v>
      </c>
      <c r="AL67" s="698">
        <f>SUM(C67:AK67)</f>
      </c>
      <c r="AM67" s="4"/>
      <c r="AN67" s="4"/>
    </row>
    <row r="68" ht="20.25" customHeight="1" spans="1:40" x14ac:dyDescent="0.25">
      <c r="A68" s="4">
        <f>A24</f>
      </c>
      <c r="B68" s="4"/>
      <c r="C68" s="760">
        <f>IF(GetFillColor(C68)&lt;0,Planning!$D77+Planning!$E77+Planning!$AD77+Planning!$AE77,0)</f>
      </c>
      <c r="D68" s="760">
        <f>IF(GetFillColor(D68)&lt;0,Planning!$AG77+Planning!$AH77+Planning!$BG77+Planning!$BH77,0)</f>
      </c>
      <c r="E68" s="760">
        <f>IF(GetFillColor(E68)&lt;0,Planning!$BJ77+Planning!$BK77+Planning!$CJ77+Planning!$CK77,0)</f>
      </c>
      <c r="F68" s="761">
        <f>IF(GetFillColor(F68)&lt;0,Planning!$CM77+Planning!$CN77+Planning!$DM77+Planning!$DN77,0)</f>
      </c>
      <c r="G68" s="761">
        <f>IF(GetFillColor(G68)&lt;0,Planning!$DP77+Planning!$DQ77+Planning!$EP77+Planning!$EQ77,0)</f>
      </c>
      <c r="H68" s="761">
        <v>0</v>
      </c>
      <c r="I68" s="761">
        <v>0</v>
      </c>
      <c r="J68" s="762">
        <f>IF(GetFillColor(J68)&lt;0,Planning!$HB77+Planning!$HC77+Planning!$IB77+Planning!$IC77,0)</f>
      </c>
      <c r="K68" s="762">
        <f>IF(GetFillColor(K68)&lt;0,Planning!$IE77+Planning!$IF77+Planning!$JE77+Planning!$JF77,0)</f>
      </c>
      <c r="L68" s="762">
        <f>IF(GetFillColor(L68)&lt;0,Planning!$JH77+Planning!$JI77+Planning!$KH77+Planning!$KI77,0)</f>
      </c>
      <c r="M68" s="762">
        <f>IF(GetFillColor(M68)&lt;0,Planning!$KK77+Planning!$KL77+Planning!$LK77+Planning!$LL77,0)</f>
      </c>
      <c r="N68" s="762">
        <f>IF(GetFillColor(N68)&lt;0,Planning!$LN77+Planning!$LO77+Planning!$MN77+Planning!$MO77,0)</f>
      </c>
      <c r="O68" s="761">
        <v>0</v>
      </c>
      <c r="P68" s="761">
        <v>0</v>
      </c>
      <c r="Q68" s="762">
        <f>IF(GetFillColor(Q68)&lt;0,Planning!$OZ77+Planning!$PA77+Planning!$PZ77+Planning!$QA77,0)</f>
      </c>
      <c r="R68" s="762">
        <f>IF(GetFillColor(R68)&lt;0,Planning!$QC77+Planning!$QD77+Planning!$RC77+Planning!$RD77,0)</f>
      </c>
      <c r="S68" s="762">
        <f>IF(GetFillColor(S68)&lt;0,Planning!$RF77+Planning!$RG77+Planning!$SF77+Planning!$SG77,0)</f>
      </c>
      <c r="T68" s="762">
        <f>IF(GetFillColor(T68)&lt;0,Planning!$SI77+Planning!$SJ77+Planning!$TI77+Planning!$TJ77,0)</f>
      </c>
      <c r="U68" s="762">
        <f>IF(GetFillColor(U68)&lt;0,Planning!$TL77+Planning!$TM77+Planning!$UL77+Planning!$UM77,0)</f>
      </c>
      <c r="V68" s="761">
        <v>0</v>
      </c>
      <c r="W68" s="761">
        <v>0</v>
      </c>
      <c r="X68" s="762">
        <f>IF(GetFillColor(X68)&lt;0,Planning!$WX77+Planning!$WY77+Planning!$XX77+Planning!$XY77,0)</f>
      </c>
      <c r="Y68" s="762">
        <f>IF(GetFillColor(Y68)&lt;0,Planning!$YA77+Planning!$YB77+Planning!$ZA77+Planning!$ZB77,0)</f>
      </c>
      <c r="Z68" s="762">
        <f>IF(GetFillColor(Z68)&lt;0,Planning!$ZD77+Planning!$ZE77+Planning!$AAD77+Planning!$AAE77,0)</f>
      </c>
      <c r="AA68" s="762">
        <f>IF(GetFillColor(AA68)&lt;0,Planning!$AAG77+Planning!$AAH77+Planning!$ABG77+Planning!$ABH77,0)</f>
      </c>
      <c r="AB68" s="762">
        <f>IF(GetFillColor(AB68)&lt;0,Planning!$ABJ77+Planning!$ABK77+Planning!$ACJ77+Planning!$ACK77,0)</f>
      </c>
      <c r="AC68" s="761">
        <v>0</v>
      </c>
      <c r="AD68" s="761">
        <v>0</v>
      </c>
      <c r="AE68" s="762">
        <f>IF(GetFillColor(AE68)&lt;0,Planning!$AEV77+Planning!$AEW77+Planning!$AFV77+Planning!$AFW77,0)</f>
      </c>
      <c r="AF68" s="762">
        <f>IF(GetFillColor(AF68)&lt;0,Planning!$AFY77+Planning!$AFZ77+Planning!$AGY77+Planning!$AGZ77,0)</f>
      </c>
      <c r="AG68" s="762">
        <f>IF(GetFillColor(AG68)&lt;0,Planning!$AHB77+Planning!$AHC77+Planning!$AIB77+Planning!$AIC77,0)</f>
      </c>
      <c r="AH68" s="762">
        <f>IF(GetFillColor(AH68)&lt;0,Planning!$AIE77+Planning!$AIF77+Planning!$AJE77+Planning!$AJF77,0)</f>
      </c>
      <c r="AI68" s="762">
        <f>IF(GetFillColor(AI68)&lt;0,Planning!$AJH77+Planning!$AJI77+Planning!$AKH77+Planning!$AKI77,0)</f>
      </c>
      <c r="AJ68" s="761">
        <v>0</v>
      </c>
      <c r="AK68" s="760">
        <v>0</v>
      </c>
      <c r="AL68" s="698">
        <f>SUM(C68:AK68)</f>
      </c>
      <c r="AM68" s="4"/>
      <c r="AN68" s="4"/>
    </row>
    <row r="69" ht="20.25" customHeight="1" spans="1:40" x14ac:dyDescent="0.25">
      <c r="A69" s="4">
        <f>A25</f>
      </c>
      <c r="B69" s="4"/>
      <c r="C69" s="760">
        <f>IF(GetFillColor(C69)&lt;0,Planning!$D78+Planning!$E78+Planning!$AD78+Planning!$AE78,0)</f>
      </c>
      <c r="D69" s="760">
        <f>IF(GetFillColor(D69)&lt;0,Planning!$AG78+Planning!$AH78+Planning!$BG78+Planning!$BH78,0)</f>
      </c>
      <c r="E69" s="760">
        <f>IF(GetFillColor(E69)&lt;0,Planning!$BJ78+Planning!$BK78+Planning!$CJ78+Planning!$CK78,0)</f>
      </c>
      <c r="F69" s="761">
        <f>IF(GetFillColor(F69)&lt;0,Planning!$CM78+Planning!$CN78+Planning!$DM78+Planning!$DN78,0)</f>
      </c>
      <c r="G69" s="761">
        <f>IF(GetFillColor(G69)&lt;0,Planning!$DP78+Planning!$DQ78+Planning!$EP78+Planning!$EQ78,0)</f>
      </c>
      <c r="H69" s="761">
        <v>0</v>
      </c>
      <c r="I69" s="761">
        <v>0</v>
      </c>
      <c r="J69" s="762">
        <f>IF(GetFillColor(J69)&lt;0,Planning!$HB78+Planning!$HC78+Planning!$IB78+Planning!$IC78,0)</f>
      </c>
      <c r="K69" s="762">
        <f>IF(GetFillColor(K69)&lt;0,Planning!$IE78+Planning!$IF78+Planning!$JE78+Planning!$JF78,0)</f>
      </c>
      <c r="L69" s="762">
        <f>IF(GetFillColor(L69)&lt;0,Planning!$JH78+Planning!$JI78+Planning!$KH78+Planning!$KI78,0)</f>
      </c>
      <c r="M69" s="762">
        <f>IF(GetFillColor(M69)&lt;0,Planning!$KK78+Planning!$KL78+Planning!$LK78+Planning!$LL78,0)</f>
      </c>
      <c r="N69" s="762">
        <f>IF(GetFillColor(N69)&lt;0,Planning!$LN78+Planning!$LO78+Planning!$MN78+Planning!$MO78,0)</f>
      </c>
      <c r="O69" s="761">
        <v>0</v>
      </c>
      <c r="P69" s="761">
        <v>0</v>
      </c>
      <c r="Q69" s="762">
        <f>IF(GetFillColor(Q69)&lt;0,Planning!$OZ78+Planning!$PA78+Planning!$PZ78+Planning!$QA78,0)</f>
      </c>
      <c r="R69" s="762">
        <f>IF(GetFillColor(R69)&lt;0,Planning!$QC78+Planning!$QD78+Planning!$RC78+Planning!$RD78,0)</f>
      </c>
      <c r="S69" s="762">
        <f>IF(GetFillColor(S69)&lt;0,Planning!$RF78+Planning!$RG78+Planning!$SF78+Planning!$SG78,0)</f>
      </c>
      <c r="T69" s="762">
        <f>IF(GetFillColor(T69)&lt;0,Planning!$SI78+Planning!$SJ78+Planning!$TI78+Planning!$TJ78,0)</f>
      </c>
      <c r="U69" s="762">
        <f>IF(GetFillColor(U69)&lt;0,Planning!$TL78+Planning!$TM78+Planning!$UL78+Planning!$UM78,0)</f>
      </c>
      <c r="V69" s="761">
        <v>0</v>
      </c>
      <c r="W69" s="761">
        <v>0</v>
      </c>
      <c r="X69" s="762">
        <f>IF(GetFillColor(X69)&lt;0,Planning!$WX78+Planning!$WY78+Planning!$XX78+Planning!$XY78,0)</f>
      </c>
      <c r="Y69" s="762">
        <f>IF(GetFillColor(Y69)&lt;0,Planning!$YA78+Planning!$YB78+Planning!$ZA78+Planning!$ZB78,0)</f>
      </c>
      <c r="Z69" s="762">
        <f>IF(GetFillColor(Z69)&lt;0,Planning!$ZD78+Planning!$ZE78+Planning!$AAD78+Planning!$AAE78,0)</f>
      </c>
      <c r="AA69" s="762">
        <f>IF(GetFillColor(AA69)&lt;0,Planning!$AAG78+Planning!$AAH78+Planning!$ABG78+Planning!$ABH78,0)</f>
      </c>
      <c r="AB69" s="762">
        <f>IF(GetFillColor(AB69)&lt;0,Planning!$ABJ78+Planning!$ABK78+Planning!$ACJ78+Planning!$ACK78,0)</f>
      </c>
      <c r="AC69" s="761">
        <v>0</v>
      </c>
      <c r="AD69" s="761">
        <v>0</v>
      </c>
      <c r="AE69" s="762">
        <f>IF(GetFillColor(AE69)&lt;0,Planning!$AEV78+Planning!$AEW78+Planning!$AFV78+Planning!$AFW78,0)</f>
      </c>
      <c r="AF69" s="762">
        <f>IF(GetFillColor(AF69)&lt;0,Planning!$AFY78+Planning!$AFZ78+Planning!$AGY78+Planning!$AGZ78,0)</f>
      </c>
      <c r="AG69" s="762">
        <f>IF(GetFillColor(AG69)&lt;0,Planning!$AHB78+Planning!$AHC78+Planning!$AIB78+Planning!$AIC78,0)</f>
      </c>
      <c r="AH69" s="762">
        <f>IF(GetFillColor(AH69)&lt;0,Planning!$AIE78+Planning!$AIF78+Planning!$AJE78+Planning!$AJF78,0)</f>
      </c>
      <c r="AI69" s="762">
        <f>IF(GetFillColor(AI69)&lt;0,Planning!$AJH78+Planning!$AJI78+Planning!$AKH78+Planning!$AKI78,0)</f>
      </c>
      <c r="AJ69" s="761">
        <v>0</v>
      </c>
      <c r="AK69" s="760">
        <v>0</v>
      </c>
      <c r="AL69" s="698">
        <f>SUM(C69:AK69)</f>
      </c>
      <c r="AM69" s="4"/>
      <c r="AN69" s="4"/>
    </row>
    <row r="70" ht="20.25" customHeight="1" spans="1:40" x14ac:dyDescent="0.25">
      <c r="A70" s="4">
        <f>A26</f>
      </c>
      <c r="B70" s="4"/>
      <c r="C70" s="760">
        <f>IF(GetFillColor(C70)&lt;0,Planning!$D79+Planning!$E79+Planning!$AD79+Planning!$AE79,0)</f>
      </c>
      <c r="D70" s="760">
        <f>IF(GetFillColor(D70)&lt;0,Planning!$AG79+Planning!$AH79+Planning!$BG79+Planning!$BH79,0)</f>
      </c>
      <c r="E70" s="760">
        <f>IF(GetFillColor(E70)&lt;0,Planning!$BJ79+Planning!$BK79+Planning!$CJ79+Planning!$CK79,0)</f>
      </c>
      <c r="F70" s="761">
        <f>IF(GetFillColor(F70)&lt;0,Planning!$CM79+Planning!$CN79+Planning!$DM79+Planning!$DN79,0)</f>
      </c>
      <c r="G70" s="761">
        <f>IF(GetFillColor(G70)&lt;0,Planning!$DP79+Planning!$DQ79+Planning!$EP79+Planning!$EQ79,0)</f>
      </c>
      <c r="H70" s="761">
        <v>0</v>
      </c>
      <c r="I70" s="761">
        <v>0</v>
      </c>
      <c r="J70" s="762">
        <f>IF(GetFillColor(J70)&lt;0,Planning!$HB79+Planning!$HC79+Planning!$IB79+Planning!$IC79,0)</f>
      </c>
      <c r="K70" s="762">
        <f>IF(GetFillColor(K70)&lt;0,Planning!$IE79+Planning!$IF79+Planning!$JE79+Planning!$JF79,0)</f>
      </c>
      <c r="L70" s="762">
        <f>IF(GetFillColor(L70)&lt;0,Planning!$JH79+Planning!$JI79+Planning!$KH79+Planning!$KI79,0)</f>
      </c>
      <c r="M70" s="762">
        <f>IF(GetFillColor(M70)&lt;0,Planning!$KK79+Planning!$KL79+Planning!$LK79+Planning!$LL79,0)</f>
      </c>
      <c r="N70" s="762">
        <f>IF(GetFillColor(N70)&lt;0,Planning!$LN79+Planning!$LO79+Planning!$MN79+Planning!$MO79,0)</f>
      </c>
      <c r="O70" s="761">
        <v>0</v>
      </c>
      <c r="P70" s="761">
        <v>0</v>
      </c>
      <c r="Q70" s="762">
        <f>IF(GetFillColor(Q70)&lt;0,Planning!$OZ79+Planning!$PA79+Planning!$PZ79+Planning!$QA79,0)</f>
      </c>
      <c r="R70" s="762">
        <f>IF(GetFillColor(R70)&lt;0,Planning!$QC79+Planning!$QD79+Planning!$RC79+Planning!$RD79,0)</f>
      </c>
      <c r="S70" s="762">
        <f>IF(GetFillColor(S70)&lt;0,Planning!$RF79+Planning!$RG79+Planning!$SF79+Planning!$SG79,0)</f>
      </c>
      <c r="T70" s="762">
        <f>IF(GetFillColor(T70)&lt;0,Planning!$SI79+Planning!$SJ79+Planning!$TI79+Planning!$TJ79,0)</f>
      </c>
      <c r="U70" s="762">
        <f>IF(GetFillColor(U70)&lt;0,Planning!$TL79+Planning!$TM79+Planning!$UL79+Planning!$UM79,0)</f>
      </c>
      <c r="V70" s="761">
        <v>0</v>
      </c>
      <c r="W70" s="761">
        <v>0</v>
      </c>
      <c r="X70" s="762">
        <f>IF(GetFillColor(X70)&lt;0,Planning!$WX79+Planning!$WY79+Planning!$XX79+Planning!$XY79,0)</f>
      </c>
      <c r="Y70" s="762">
        <f>IF(GetFillColor(Y70)&lt;0,Planning!$YA79+Planning!$YB79+Planning!$ZA79+Planning!$ZB79,0)</f>
      </c>
      <c r="Z70" s="762">
        <f>IF(GetFillColor(Z70)&lt;0,Planning!$ZD79+Planning!$ZE79+Planning!$AAD79+Planning!$AAE79,0)</f>
      </c>
      <c r="AA70" s="762">
        <f>IF(GetFillColor(AA70)&lt;0,Planning!$AAG79+Planning!$AAH79+Planning!$ABG79+Planning!$ABH79,0)</f>
      </c>
      <c r="AB70" s="762">
        <f>IF(GetFillColor(AB70)&lt;0,Planning!$ABJ79+Planning!$ABK79+Planning!$ACJ79+Planning!$ACK79,0)</f>
      </c>
      <c r="AC70" s="761">
        <v>0</v>
      </c>
      <c r="AD70" s="761">
        <v>0</v>
      </c>
      <c r="AE70" s="762">
        <f>IF(GetFillColor(AE70)&lt;0,Planning!$AEV79+Planning!$AEW79+Planning!$AFV79+Planning!$AFW79,0)</f>
      </c>
      <c r="AF70" s="762">
        <f>IF(GetFillColor(AF70)&lt;0,Planning!$AFY79+Planning!$AFZ79+Planning!$AGY79+Planning!$AGZ79,0)</f>
      </c>
      <c r="AG70" s="762">
        <f>IF(GetFillColor(AG70)&lt;0,Planning!$AHB79+Planning!$AHC79+Planning!$AIB79+Planning!$AIC79,0)</f>
      </c>
      <c r="AH70" s="762">
        <f>IF(GetFillColor(AH70)&lt;0,Planning!$AIE79+Planning!$AIF79+Planning!$AJE79+Planning!$AJF79,0)</f>
      </c>
      <c r="AI70" s="762">
        <f>IF(GetFillColor(AI70)&lt;0,Planning!$AJH79+Planning!$AJI79+Planning!$AKH79+Planning!$AKI79,0)</f>
      </c>
      <c r="AJ70" s="761">
        <v>0</v>
      </c>
      <c r="AK70" s="760">
        <v>0</v>
      </c>
      <c r="AL70" s="698">
        <f>SUM(C70:AK70)</f>
      </c>
      <c r="AM70" s="4"/>
      <c r="AN70" s="4"/>
    </row>
    <row r="71" ht="20.25" customHeight="1" spans="1:40" x14ac:dyDescent="0.25">
      <c r="A71" s="4">
        <f>A27</f>
      </c>
      <c r="B71" s="4"/>
      <c r="C71" s="760">
        <f>IF(GetFillColor(C71)&lt;0,Planning!$D80+Planning!$E80+Planning!$AD80+Planning!$AE80,0)</f>
      </c>
      <c r="D71" s="760">
        <f>IF(GetFillColor(D71)&lt;0,Planning!$AG80+Planning!$AH80+Planning!$BG80+Planning!$BH80,0)</f>
      </c>
      <c r="E71" s="760">
        <f>IF(GetFillColor(E71)&lt;0,Planning!$BJ80+Planning!$BK80+Planning!$CJ80+Planning!$CK80,0)</f>
      </c>
      <c r="F71" s="761">
        <f>IF(GetFillColor(F71)&lt;0,Planning!$CM80+Planning!$CN80+Planning!$DM80+Planning!$DN80,0)</f>
      </c>
      <c r="G71" s="761">
        <f>IF(GetFillColor(G71)&lt;0,Planning!$DP80+Planning!$DQ80+Planning!$EP80+Planning!$EQ80,0)</f>
      </c>
      <c r="H71" s="761">
        <v>0</v>
      </c>
      <c r="I71" s="761">
        <v>0</v>
      </c>
      <c r="J71" s="762">
        <f>IF(GetFillColor(J71)&lt;0,Planning!$HB80+Planning!$HC80+Planning!$IB80+Planning!$IC80,0)</f>
      </c>
      <c r="K71" s="762">
        <f>IF(GetFillColor(K71)&lt;0,Planning!$IE80+Planning!$IF80+Planning!$JE80+Planning!$JF80,0)</f>
      </c>
      <c r="L71" s="762">
        <f>IF(GetFillColor(L71)&lt;0,Planning!$JH80+Planning!$JI80+Planning!$KH80+Planning!$KI80,0)</f>
      </c>
      <c r="M71" s="762">
        <f>IF(GetFillColor(M71)&lt;0,Planning!$KK80+Planning!$KL80+Planning!$LK80+Planning!$LL80,0)</f>
      </c>
      <c r="N71" s="762">
        <f>IF(GetFillColor(N71)&lt;0,Planning!$LN80+Planning!$LO80+Planning!$MN80+Planning!$MO80,0)</f>
      </c>
      <c r="O71" s="761">
        <v>0</v>
      </c>
      <c r="P71" s="761">
        <v>0</v>
      </c>
      <c r="Q71" s="762">
        <f>IF(GetFillColor(Q71)&lt;0,Planning!$OZ80+Planning!$PA80+Planning!$PZ80+Planning!$QA80,0)</f>
      </c>
      <c r="R71" s="762">
        <f>IF(GetFillColor(R71)&lt;0,Planning!$QC80+Planning!$QD80+Planning!$RC80+Planning!$RD80,0)</f>
      </c>
      <c r="S71" s="762">
        <f>IF(GetFillColor(S71)&lt;0,Planning!$RF80+Planning!$RG80+Planning!$SF80+Planning!$SG80,0)</f>
      </c>
      <c r="T71" s="762">
        <f>IF(GetFillColor(T71)&lt;0,Planning!$SI80+Planning!$SJ80+Planning!$TI80+Planning!$TJ80,0)</f>
      </c>
      <c r="U71" s="762">
        <f>IF(GetFillColor(U71)&lt;0,Planning!$TL80+Planning!$TM80+Planning!$UL80+Planning!$UM80,0)</f>
      </c>
      <c r="V71" s="761">
        <v>0</v>
      </c>
      <c r="W71" s="761">
        <v>0</v>
      </c>
      <c r="X71" s="762">
        <f>IF(GetFillColor(X71)&lt;0,Planning!$WX80+Planning!$WY80+Planning!$XX80+Planning!$XY80,0)</f>
      </c>
      <c r="Y71" s="762">
        <f>IF(GetFillColor(Y71)&lt;0,Planning!$YA80+Planning!$YB80+Planning!$ZA80+Planning!$ZB80,0)</f>
      </c>
      <c r="Z71" s="762">
        <f>IF(GetFillColor(Z71)&lt;0,Planning!$ZD80+Planning!$ZE80+Planning!$AAD80+Planning!$AAE80,0)</f>
      </c>
      <c r="AA71" s="762">
        <f>IF(GetFillColor(AA71)&lt;0,Planning!$AAG80+Planning!$AAH80+Planning!$ABG80+Planning!$ABH80,0)</f>
      </c>
      <c r="AB71" s="762">
        <f>IF(GetFillColor(AB71)&lt;0,Planning!$ABJ80+Planning!$ABK80+Planning!$ACJ80+Planning!$ACK80,0)</f>
      </c>
      <c r="AC71" s="761">
        <v>0</v>
      </c>
      <c r="AD71" s="761">
        <v>0</v>
      </c>
      <c r="AE71" s="762">
        <f>IF(GetFillColor(AE71)&lt;0,Planning!$AEV80+Planning!$AEW80+Planning!$AFV80+Planning!$AFW80,0)</f>
      </c>
      <c r="AF71" s="762">
        <f>IF(GetFillColor(AF71)&lt;0,Planning!$AFY80+Planning!$AFZ80+Planning!$AGY80+Planning!$AGZ80,0)</f>
      </c>
      <c r="AG71" s="762">
        <f>IF(GetFillColor(AG71)&lt;0,Planning!$AHB80+Planning!$AHC80+Planning!$AIB80+Planning!$AIC80,0)</f>
      </c>
      <c r="AH71" s="762">
        <f>IF(GetFillColor(AH71)&lt;0,Planning!$AIE80+Planning!$AIF80+Planning!$AJE80+Planning!$AJF80,0)</f>
      </c>
      <c r="AI71" s="762">
        <f>IF(GetFillColor(AI71)&lt;0,Planning!$AJH80+Planning!$AJI80+Planning!$AKH80+Planning!$AKI80,0)</f>
      </c>
      <c r="AJ71" s="761">
        <v>0</v>
      </c>
      <c r="AK71" s="760">
        <v>0</v>
      </c>
      <c r="AL71" s="698">
        <f>SUM(C71:AK71)</f>
      </c>
      <c r="AM71" s="4"/>
      <c r="AN71" s="4"/>
    </row>
    <row r="72" ht="20.25" customHeight="1" spans="1:40" x14ac:dyDescent="0.25">
      <c r="A72" s="4">
        <f>A28</f>
      </c>
      <c r="B72" s="4"/>
      <c r="C72" s="760">
        <f>IF(GetFillColor(C72)&lt;0,Planning!$D81+Planning!$E81+Planning!$AD81+Planning!$AE81,0)</f>
      </c>
      <c r="D72" s="760">
        <f>IF(GetFillColor(D72)&lt;0,Planning!$AG81+Planning!$AH81+Planning!$BG81+Planning!$BH81,0)</f>
      </c>
      <c r="E72" s="760">
        <f>IF(GetFillColor(E72)&lt;0,Planning!$BJ81+Planning!$BK81+Planning!$CJ81+Planning!$CK81,0)</f>
      </c>
      <c r="F72" s="761">
        <f>IF(GetFillColor(F72)&lt;0,Planning!$CM81+Planning!$CN81+Planning!$DM81+Planning!$DN81,0)</f>
      </c>
      <c r="G72" s="761">
        <f>IF(GetFillColor(G72)&lt;0,Planning!$DP81+Planning!$DQ81+Planning!$EP81+Planning!$EQ81,0)</f>
      </c>
      <c r="H72" s="761">
        <v>0</v>
      </c>
      <c r="I72" s="761">
        <v>0</v>
      </c>
      <c r="J72" s="762">
        <f>IF(GetFillColor(J72)&lt;0,Planning!$HB81+Planning!$HC81+Planning!$IB81+Planning!$IC81,0)</f>
      </c>
      <c r="K72" s="762">
        <f>IF(GetFillColor(K72)&lt;0,Planning!$IE81+Planning!$IF81+Planning!$JE81+Planning!$JF81,0)</f>
      </c>
      <c r="L72" s="762">
        <f>IF(GetFillColor(L72)&lt;0,Planning!$JH81+Planning!$JI81+Planning!$KH81+Planning!$KI81,0)</f>
      </c>
      <c r="M72" s="762">
        <f>IF(GetFillColor(M72)&lt;0,Planning!$KK81+Planning!$KL81+Planning!$LK81+Planning!$LL81,0)</f>
      </c>
      <c r="N72" s="762">
        <f>IF(GetFillColor(N72)&lt;0,Planning!$LN81+Planning!$LO81+Planning!$MN81+Planning!$MO81,0)</f>
      </c>
      <c r="O72" s="761">
        <v>0</v>
      </c>
      <c r="P72" s="761">
        <v>0</v>
      </c>
      <c r="Q72" s="762">
        <f>IF(GetFillColor(Q72)&lt;0,Planning!$OZ81+Planning!$PA81+Planning!$PZ81+Planning!$QA81,0)</f>
      </c>
      <c r="R72" s="762">
        <f>IF(GetFillColor(R72)&lt;0,Planning!$QC81+Planning!$QD81+Planning!$RC81+Planning!$RD81,0)</f>
      </c>
      <c r="S72" s="762">
        <f>IF(GetFillColor(S72)&lt;0,Planning!$RF81+Planning!$RG81+Planning!$SF81+Planning!$SG81,0)</f>
      </c>
      <c r="T72" s="762">
        <f>IF(GetFillColor(T72)&lt;0,Planning!$SI81+Planning!$SJ81+Planning!$TI81+Planning!$TJ81,0)</f>
      </c>
      <c r="U72" s="762">
        <f>IF(GetFillColor(U72)&lt;0,Planning!$TL81+Planning!$TM81+Planning!$UL81+Planning!$UM81,0)</f>
      </c>
      <c r="V72" s="761">
        <v>0</v>
      </c>
      <c r="W72" s="761">
        <v>0</v>
      </c>
      <c r="X72" s="762">
        <f>IF(GetFillColor(X72)&lt;0,Planning!$WX81+Planning!$WY81+Planning!$XX81+Planning!$XY81,0)</f>
      </c>
      <c r="Y72" s="762">
        <f>IF(GetFillColor(Y72)&lt;0,Planning!$YA81+Planning!$YB81+Planning!$ZA81+Planning!$ZB81,0)</f>
      </c>
      <c r="Z72" s="762">
        <f>IF(GetFillColor(Z72)&lt;0,Planning!$ZD81+Planning!$ZE81+Planning!$AAD81+Planning!$AAE81,0)</f>
      </c>
      <c r="AA72" s="762">
        <f>IF(GetFillColor(AA72)&lt;0,Planning!$AAG81+Planning!$AAH81+Planning!$ABG81+Planning!$ABH81,0)</f>
      </c>
      <c r="AB72" s="762">
        <f>IF(GetFillColor(AB72)&lt;0,Planning!$ABJ81+Planning!$ABK81+Planning!$ACJ81+Planning!$ACK81,0)</f>
      </c>
      <c r="AC72" s="761">
        <v>0</v>
      </c>
      <c r="AD72" s="761">
        <v>0</v>
      </c>
      <c r="AE72" s="762">
        <f>IF(GetFillColor(AE72)&lt;0,Planning!$AEV81+Planning!$AEW81+Planning!$AFV81+Planning!$AFW81,0)</f>
      </c>
      <c r="AF72" s="762">
        <f>IF(GetFillColor(AF72)&lt;0,Planning!$AFY81+Planning!$AFZ81+Planning!$AGY81+Planning!$AGZ81,0)</f>
      </c>
      <c r="AG72" s="762">
        <f>IF(GetFillColor(AG72)&lt;0,Planning!$AHB81+Planning!$AHC81+Planning!$AIB81+Planning!$AIC81,0)</f>
      </c>
      <c r="AH72" s="762">
        <f>IF(GetFillColor(AH72)&lt;0,Planning!$AIE81+Planning!$AIF81+Planning!$AJE81+Planning!$AJF81,0)</f>
      </c>
      <c r="AI72" s="762">
        <f>IF(GetFillColor(AI72)&lt;0,Planning!$AJH81+Planning!$AJI81+Planning!$AKH81+Planning!$AKI81,0)</f>
      </c>
      <c r="AJ72" s="761">
        <v>0</v>
      </c>
      <c r="AK72" s="760">
        <v>0</v>
      </c>
      <c r="AL72" s="698">
        <f>SUM(C72:AK72)</f>
      </c>
      <c r="AM72" s="4"/>
      <c r="AN72" s="4"/>
    </row>
    <row r="73" ht="20.25" customHeight="1" spans="1:40" x14ac:dyDescent="0.25">
      <c r="A73" s="4">
        <f>A29</f>
      </c>
      <c r="B73" s="4"/>
      <c r="C73" s="760">
        <f>IF(GetFillColor(C73)&lt;0,Planning!$D82+Planning!$E82+Planning!$AD82+Planning!$AE82,0)</f>
      </c>
      <c r="D73" s="760">
        <f>IF(GetFillColor(D73)&lt;0,Planning!$AG82+Planning!$AH82+Planning!$BG82+Planning!$BH82,0)</f>
      </c>
      <c r="E73" s="760">
        <f>IF(GetFillColor(E73)&lt;0,Planning!$BJ82+Planning!$BK82+Planning!$CJ82+Planning!$CK82,0)</f>
      </c>
      <c r="F73" s="761">
        <f>IF(GetFillColor(F73)&lt;0,Planning!$CM82+Planning!$CN82+Planning!$DM82+Planning!$DN82,0)</f>
      </c>
      <c r="G73" s="761">
        <f>IF(GetFillColor(G73)&lt;0,Planning!$DP82+Planning!$DQ82+Planning!$EP82+Planning!$EQ82,0)</f>
      </c>
      <c r="H73" s="761">
        <v>0</v>
      </c>
      <c r="I73" s="761">
        <v>0</v>
      </c>
      <c r="J73" s="762">
        <f>IF(GetFillColor(J73)&lt;0,Planning!$HB82+Planning!$HC82+Planning!$IB82+Planning!$IC82,0)</f>
      </c>
      <c r="K73" s="762">
        <f>IF(GetFillColor(K73)&lt;0,Planning!$IE82+Planning!$IF82+Planning!$JE82+Planning!$JF82,0)</f>
      </c>
      <c r="L73" s="762">
        <f>IF(GetFillColor(L73)&lt;0,Planning!$JH82+Planning!$JI82+Planning!$KH82+Planning!$KI82,0)</f>
      </c>
      <c r="M73" s="762">
        <f>IF(GetFillColor(M73)&lt;0,Planning!$KK82+Planning!$KL82+Planning!$LK82+Planning!$LL82,0)</f>
      </c>
      <c r="N73" s="762">
        <f>IF(GetFillColor(N73)&lt;0,Planning!$LN82+Planning!$LO82+Planning!$MN82+Planning!$MO82,0)</f>
      </c>
      <c r="O73" s="761">
        <v>0</v>
      </c>
      <c r="P73" s="761">
        <v>0</v>
      </c>
      <c r="Q73" s="762">
        <f>IF(GetFillColor(Q73)&lt;0,Planning!$OZ82+Planning!$PA82+Planning!$PZ82+Planning!$QA82,0)</f>
      </c>
      <c r="R73" s="762">
        <f>IF(GetFillColor(R73)&lt;0,Planning!$QC82+Planning!$QD82+Planning!$RC82+Planning!$RD82,0)</f>
      </c>
      <c r="S73" s="762">
        <f>IF(GetFillColor(S73)&lt;0,Planning!$RF82+Planning!$RG82+Planning!$SF82+Planning!$SG82,0)</f>
      </c>
      <c r="T73" s="762">
        <f>IF(GetFillColor(T73)&lt;0,Planning!$SI82+Planning!$SJ82+Planning!$TI82+Planning!$TJ82,0)</f>
      </c>
      <c r="U73" s="762">
        <f>IF(GetFillColor(U73)&lt;0,Planning!$TL82+Planning!$TM82+Planning!$UL82+Planning!$UM82,0)</f>
      </c>
      <c r="V73" s="761">
        <v>0</v>
      </c>
      <c r="W73" s="761">
        <v>0</v>
      </c>
      <c r="X73" s="762">
        <f>IF(GetFillColor(X73)&lt;0,Planning!$WX82+Planning!$WY82+Planning!$XX82+Planning!$XY82,0)</f>
      </c>
      <c r="Y73" s="762">
        <f>IF(GetFillColor(Y73)&lt;0,Planning!$YA82+Planning!$YB82+Planning!$ZA82+Planning!$ZB82,0)</f>
      </c>
      <c r="Z73" s="762">
        <f>IF(GetFillColor(Z73)&lt;0,Planning!$ZD82+Planning!$ZE82+Planning!$AAD82+Planning!$AAE82,0)</f>
      </c>
      <c r="AA73" s="762">
        <f>IF(GetFillColor(AA73)&lt;0,Planning!$AAG82+Planning!$AAH82+Planning!$ABG82+Planning!$ABH82,0)</f>
      </c>
      <c r="AB73" s="762">
        <f>IF(GetFillColor(AB73)&lt;0,Planning!$ABJ82+Planning!$ABK82+Planning!$ACJ82+Planning!$ACK82,0)</f>
      </c>
      <c r="AC73" s="761">
        <v>0</v>
      </c>
      <c r="AD73" s="761">
        <v>0</v>
      </c>
      <c r="AE73" s="762">
        <f>IF(GetFillColor(AE73)&lt;0,Planning!$AEV82+Planning!$AEW82+Planning!$AFV82+Planning!$AFW82,0)</f>
      </c>
      <c r="AF73" s="762">
        <f>IF(GetFillColor(AF73)&lt;0,Planning!$AFY82+Planning!$AFZ82+Planning!$AGY82+Planning!$AGZ82,0)</f>
      </c>
      <c r="AG73" s="762">
        <f>IF(GetFillColor(AG73)&lt;0,Planning!$AHB82+Planning!$AHC82+Planning!$AIB82+Planning!$AIC82,0)</f>
      </c>
      <c r="AH73" s="762">
        <f>IF(GetFillColor(AH73)&lt;0,Planning!$AIE82+Planning!$AIF82+Planning!$AJE82+Planning!$AJF82,0)</f>
      </c>
      <c r="AI73" s="762">
        <f>IF(GetFillColor(AI73)&lt;0,Planning!$AJH82+Planning!$AJI82+Planning!$AKH82+Planning!$AKI82,0)</f>
      </c>
      <c r="AJ73" s="761">
        <v>0</v>
      </c>
      <c r="AK73" s="760">
        <v>0</v>
      </c>
      <c r="AL73" s="698">
        <f>SUM(C73:AK73)</f>
      </c>
      <c r="AM73" s="4"/>
      <c r="AN73" s="4"/>
    </row>
    <row r="74" ht="20.25" customHeight="1" spans="1:40" x14ac:dyDescent="0.25">
      <c r="A74" s="4">
        <f>A30</f>
      </c>
      <c r="B74" s="4"/>
      <c r="C74" s="760">
        <f>IF(GetFillColor(C74)&lt;0,Planning!$D83+Planning!$E83+Planning!$AD83+Planning!$AE83,0)</f>
      </c>
      <c r="D74" s="760">
        <f>IF(GetFillColor(D74)&lt;0,Planning!$AG83+Planning!$AH83+Planning!$BG83+Planning!$BH83,0)</f>
      </c>
      <c r="E74" s="760">
        <f>IF(GetFillColor(E74)&lt;0,Planning!$BJ83+Planning!$BK83+Planning!$CJ83+Planning!$CK83,0)</f>
      </c>
      <c r="F74" s="761">
        <f>IF(GetFillColor(F74)&lt;0,Planning!$CM83+Planning!$CN83+Planning!$DM83+Planning!$DN83,0)</f>
      </c>
      <c r="G74" s="761">
        <f>IF(GetFillColor(G74)&lt;0,Planning!$DP83+Planning!$DQ83+Planning!$EP83+Planning!$EQ83,0)</f>
      </c>
      <c r="H74" s="761">
        <v>0</v>
      </c>
      <c r="I74" s="761">
        <v>0</v>
      </c>
      <c r="J74" s="762">
        <f>IF(GetFillColor(J74)&lt;0,Planning!$HB83+Planning!$HC83+Planning!$IB83+Planning!$IC83,0)</f>
      </c>
      <c r="K74" s="762">
        <f>IF(GetFillColor(K74)&lt;0,Planning!$IE83+Planning!$IF83+Planning!$JE83+Planning!$JF83,0)</f>
      </c>
      <c r="L74" s="762">
        <f>IF(GetFillColor(L74)&lt;0,Planning!$JH83+Planning!$JI83+Planning!$KH83+Planning!$KI83,0)</f>
      </c>
      <c r="M74" s="762">
        <f>IF(GetFillColor(M74)&lt;0,Planning!$KK83+Planning!$KL83+Planning!$LK83+Planning!$LL83,0)</f>
      </c>
      <c r="N74" s="762">
        <f>IF(GetFillColor(N74)&lt;0,Planning!$LN83+Planning!$LO83+Planning!$MN83+Planning!$MO83,0)</f>
      </c>
      <c r="O74" s="761">
        <v>0</v>
      </c>
      <c r="P74" s="761">
        <v>0</v>
      </c>
      <c r="Q74" s="762">
        <f>IF(GetFillColor(Q74)&lt;0,Planning!$OZ83+Planning!$PA83+Planning!$PZ83+Planning!$QA83,0)</f>
      </c>
      <c r="R74" s="762">
        <f>IF(GetFillColor(R74)&lt;0,Planning!$QC83+Planning!$QD83+Planning!$RC83+Planning!$RD83,0)</f>
      </c>
      <c r="S74" s="762">
        <f>IF(GetFillColor(S74)&lt;0,Planning!$RF83+Planning!$RG83+Planning!$SF83+Planning!$SG83,0)</f>
      </c>
      <c r="T74" s="762">
        <f>IF(GetFillColor(T74)&lt;0,Planning!$SI83+Planning!$SJ83+Planning!$TI83+Planning!$TJ83,0)</f>
      </c>
      <c r="U74" s="762">
        <f>IF(GetFillColor(U74)&lt;0,Planning!$TL83+Planning!$TM83+Planning!$UL83+Planning!$UM83,0)</f>
      </c>
      <c r="V74" s="761">
        <v>0</v>
      </c>
      <c r="W74" s="761">
        <v>0</v>
      </c>
      <c r="X74" s="762">
        <f>IF(GetFillColor(X74)&lt;0,Planning!$WX83+Planning!$WY83+Planning!$XX83+Planning!$XY83,0)</f>
      </c>
      <c r="Y74" s="762">
        <f>IF(GetFillColor(Y74)&lt;0,Planning!$YA83+Planning!$YB83+Planning!$ZA83+Planning!$ZB83,0)</f>
      </c>
      <c r="Z74" s="762">
        <f>IF(GetFillColor(Z74)&lt;0,Planning!$ZD83+Planning!$ZE83+Planning!$AAD83+Planning!$AAE83,0)</f>
      </c>
      <c r="AA74" s="762">
        <f>IF(GetFillColor(AA74)&lt;0,Planning!$AAG83+Planning!$AAH83+Planning!$ABG83+Planning!$ABH83,0)</f>
      </c>
      <c r="AB74" s="762">
        <f>IF(GetFillColor(AB74)&lt;0,Planning!$ABJ83+Planning!$ABK83+Planning!$ACJ83+Planning!$ACK83,0)</f>
      </c>
      <c r="AC74" s="761">
        <v>0</v>
      </c>
      <c r="AD74" s="761">
        <v>0</v>
      </c>
      <c r="AE74" s="762">
        <f>IF(GetFillColor(AE74)&lt;0,Planning!$AEV83+Planning!$AEW83+Planning!$AFV83+Planning!$AFW83,0)</f>
      </c>
      <c r="AF74" s="762">
        <f>IF(GetFillColor(AF74)&lt;0,Planning!$AFY83+Planning!$AFZ83+Planning!$AGY83+Planning!$AGZ83,0)</f>
      </c>
      <c r="AG74" s="762">
        <f>IF(GetFillColor(AG74)&lt;0,Planning!$AHB83+Planning!$AHC83+Planning!$AIB83+Planning!$AIC83,0)</f>
      </c>
      <c r="AH74" s="762">
        <f>IF(GetFillColor(AH74)&lt;0,Planning!$AIE83+Planning!$AIF83+Planning!$AJE83+Planning!$AJF83,0)</f>
      </c>
      <c r="AI74" s="762">
        <f>IF(GetFillColor(AI74)&lt;0,Planning!$AJH83+Planning!$AJI83+Planning!$AKH83+Planning!$AKI83,0)</f>
      </c>
      <c r="AJ74" s="761">
        <v>0</v>
      </c>
      <c r="AK74" s="760">
        <v>0</v>
      </c>
      <c r="AL74" s="698">
        <f>SUM(C74:AK74)</f>
      </c>
      <c r="AM74" s="4"/>
      <c r="AN74" s="4"/>
    </row>
    <row r="75" ht="20.25" customHeight="1" spans="1:40" x14ac:dyDescent="0.25">
      <c r="A75" s="4">
        <f>A31</f>
      </c>
      <c r="B75" s="4"/>
      <c r="C75" s="760">
        <f>IF(GetFillColor(C75)&lt;0,Planning!$D84+Planning!$E84+Planning!$AD84+Planning!$AE84,0)</f>
      </c>
      <c r="D75" s="760">
        <f>IF(GetFillColor(D75)&lt;0,Planning!$AG84+Planning!$AH84+Planning!$BG84+Planning!$BH84,0)</f>
      </c>
      <c r="E75" s="760">
        <f>IF(GetFillColor(E75)&lt;0,Planning!$BJ84+Planning!$BK84+Planning!$CJ84+Planning!$CK84,0)</f>
      </c>
      <c r="F75" s="761">
        <f>IF(GetFillColor(F75)&lt;0,Planning!$CM84+Planning!$CN84+Planning!$DM84+Planning!$DN84,0)</f>
      </c>
      <c r="G75" s="761">
        <f>IF(GetFillColor(G75)&lt;0,Planning!$DP84+Planning!$DQ84+Planning!$EP84+Planning!$EQ84,0)</f>
      </c>
      <c r="H75" s="761">
        <v>0</v>
      </c>
      <c r="I75" s="761">
        <v>0</v>
      </c>
      <c r="J75" s="762">
        <f>IF(GetFillColor(J75)&lt;0,Planning!$HB84+Planning!$HC84+Planning!$IB84+Planning!$IC84,0)</f>
      </c>
      <c r="K75" s="762">
        <f>IF(GetFillColor(K75)&lt;0,Planning!$IE84+Planning!$IF84+Planning!$JE84+Planning!$JF84,0)</f>
      </c>
      <c r="L75" s="762">
        <f>IF(GetFillColor(L75)&lt;0,Planning!$JH84+Planning!$JI84+Planning!$KH84+Planning!$KI84,0)</f>
      </c>
      <c r="M75" s="762">
        <f>IF(GetFillColor(M75)&lt;0,Planning!$KK84+Planning!$KL84+Planning!$LK84+Planning!$LL84,0)</f>
      </c>
      <c r="N75" s="762">
        <f>IF(GetFillColor(N75)&lt;0,Planning!$LN84+Planning!$LO84+Planning!$MN84+Planning!$MO84,0)</f>
      </c>
      <c r="O75" s="761">
        <v>0</v>
      </c>
      <c r="P75" s="761">
        <v>0</v>
      </c>
      <c r="Q75" s="762">
        <f>IF(GetFillColor(Q75)&lt;0,Planning!$OZ84+Planning!$PA84+Planning!$PZ84+Planning!$QA84,0)</f>
      </c>
      <c r="R75" s="762">
        <f>IF(GetFillColor(R75)&lt;0,Planning!$QC84+Planning!$QD84+Planning!$RC84+Planning!$RD84,0)</f>
      </c>
      <c r="S75" s="762">
        <f>IF(GetFillColor(S75)&lt;0,Planning!$RF84+Planning!$RG84+Planning!$SF84+Planning!$SG84,0)</f>
      </c>
      <c r="T75" s="762">
        <f>IF(GetFillColor(T75)&lt;0,Planning!$SI84+Planning!$SJ84+Planning!$TI84+Planning!$TJ84,0)</f>
      </c>
      <c r="U75" s="762">
        <f>IF(GetFillColor(U75)&lt;0,Planning!$TL84+Planning!$TM84+Planning!$UL84+Planning!$UM84,0)</f>
      </c>
      <c r="V75" s="761">
        <v>0</v>
      </c>
      <c r="W75" s="761">
        <v>0</v>
      </c>
      <c r="X75" s="762">
        <f>IF(GetFillColor(X75)&lt;0,Planning!$WX84+Planning!$WY84+Planning!$XX84+Planning!$XY84,0)</f>
      </c>
      <c r="Y75" s="762">
        <f>IF(GetFillColor(Y75)&lt;0,Planning!$YA84+Planning!$YB84+Planning!$ZA84+Planning!$ZB84,0)</f>
      </c>
      <c r="Z75" s="762">
        <f>IF(GetFillColor(Z75)&lt;0,Planning!$ZD84+Planning!$ZE84+Planning!$AAD84+Planning!$AAE84,0)</f>
      </c>
      <c r="AA75" s="762">
        <f>IF(GetFillColor(AA75)&lt;0,Planning!$AAG84+Planning!$AAH84+Planning!$ABG84+Planning!$ABH84,0)</f>
      </c>
      <c r="AB75" s="762">
        <f>IF(GetFillColor(AB75)&lt;0,Planning!$ABJ84+Planning!$ABK84+Planning!$ACJ84+Planning!$ACK84,0)</f>
      </c>
      <c r="AC75" s="761">
        <v>0</v>
      </c>
      <c r="AD75" s="761">
        <v>0</v>
      </c>
      <c r="AE75" s="762">
        <f>IF(GetFillColor(AE75)&lt;0,Planning!$AEV84+Planning!$AEW84+Planning!$AFV84+Planning!$AFW84,0)</f>
      </c>
      <c r="AF75" s="762">
        <f>IF(GetFillColor(AF75)&lt;0,Planning!$AFY84+Planning!$AFZ84+Planning!$AGY84+Planning!$AGZ84,0)</f>
      </c>
      <c r="AG75" s="762">
        <f>IF(GetFillColor(AG75)&lt;0,Planning!$AHB84+Planning!$AHC84+Planning!$AIB84+Planning!$AIC84,0)</f>
      </c>
      <c r="AH75" s="762">
        <f>IF(GetFillColor(AH75)&lt;0,Planning!$AIE84+Planning!$AIF84+Planning!$AJE84+Planning!$AJF84,0)</f>
      </c>
      <c r="AI75" s="762">
        <f>IF(GetFillColor(AI75)&lt;0,Planning!$AJH84+Planning!$AJI84+Planning!$AKH84+Planning!$AKI84,0)</f>
      </c>
      <c r="AJ75" s="761">
        <v>0</v>
      </c>
      <c r="AK75" s="760">
        <v>0</v>
      </c>
      <c r="AL75" s="698">
        <f>SUM(C75:AK75)</f>
      </c>
      <c r="AM75" s="4"/>
      <c r="AN75" s="4"/>
    </row>
    <row r="76" ht="20.25" customHeight="1" spans="1:40" x14ac:dyDescent="0.25">
      <c r="A76" s="4">
        <f>A32</f>
      </c>
      <c r="B76" s="4"/>
      <c r="C76" s="760">
        <f>IF(GetFillColor(C76)&lt;0,Planning!$D86+Planning!$E86+Planning!$AD86+Planning!$AE86,0)</f>
      </c>
      <c r="D76" s="760">
        <f>IF(GetFillColor(D76)&lt;0,Planning!$AG86+Planning!$AH86+Planning!$BG86+Planning!$BH86,0)</f>
      </c>
      <c r="E76" s="760">
        <f>IF(GetFillColor(E76)&lt;0,Planning!$BJ86+Planning!$BK86+Planning!$CJ86+Planning!$CK86,0)</f>
      </c>
      <c r="F76" s="761">
        <f>IF(GetFillColor(F76)&lt;0,Planning!$CM86+Planning!$CN86+Planning!$DM86+Planning!$DN86,0)</f>
      </c>
      <c r="G76" s="761">
        <f>IF(GetFillColor(G76)&lt;0,Planning!$DP86+Planning!$DQ86+Planning!$EP86+Planning!$EQ86,0)</f>
      </c>
      <c r="H76" s="761">
        <v>0</v>
      </c>
      <c r="I76" s="761">
        <v>0</v>
      </c>
      <c r="J76" s="762">
        <f>IF(GetFillColor(J76)&lt;0,Planning!$HB86+Planning!$HC86+Planning!$IB86+Planning!$IC86,0)</f>
      </c>
      <c r="K76" s="762">
        <f>IF(GetFillColor(K76)&lt;0,Planning!$IE86+Planning!$IF86+Planning!$JE86+Planning!$JF86,0)</f>
      </c>
      <c r="L76" s="762">
        <f>IF(GetFillColor(L76)&lt;0,Planning!$JH86+Planning!$JI86+Planning!$KH86+Planning!$KI86,0)</f>
      </c>
      <c r="M76" s="762">
        <f>IF(GetFillColor(M76)&lt;0,Planning!$KK86+Planning!$KL86+Planning!$LK86+Planning!$LL86,0)</f>
      </c>
      <c r="N76" s="762">
        <f>IF(GetFillColor(N76)&lt;0,Planning!$LN86+Planning!$LO86+Planning!$MN86+Planning!$MO86,0)</f>
      </c>
      <c r="O76" s="761">
        <v>0</v>
      </c>
      <c r="P76" s="761">
        <v>0</v>
      </c>
      <c r="Q76" s="762">
        <f>IF(GetFillColor(Q76)&lt;0,Planning!$OZ86+Planning!$PA86+Planning!$PZ86+Planning!$QA86,0)</f>
      </c>
      <c r="R76" s="762">
        <f>IF(GetFillColor(R76)&lt;0,Planning!$QC86+Planning!$QD86+Planning!$RC86+Planning!$RD86,0)</f>
      </c>
      <c r="S76" s="762">
        <f>IF(GetFillColor(S76)&lt;0,Planning!$RF86+Planning!$RG86+Planning!$SF86+Planning!$SG86,0)</f>
      </c>
      <c r="T76" s="762">
        <f>IF(GetFillColor(T76)&lt;0,Planning!$SI86+Planning!$SJ86+Planning!$TI86+Planning!$TJ86,0)</f>
      </c>
      <c r="U76" s="762">
        <f>IF(GetFillColor(U76)&lt;0,Planning!$TL86+Planning!$TM86+Planning!$UL86+Planning!$UM86,0)</f>
      </c>
      <c r="V76" s="761">
        <v>0</v>
      </c>
      <c r="W76" s="761">
        <v>0</v>
      </c>
      <c r="X76" s="762">
        <f>IF(GetFillColor(X76)&lt;0,Planning!$WX86+Planning!$WY86+Planning!$XX86+Planning!$XY86,0)</f>
      </c>
      <c r="Y76" s="762">
        <f>IF(GetFillColor(Y76)&lt;0,Planning!$YA86+Planning!$YB86+Planning!$ZA86+Planning!$ZB86,0)</f>
      </c>
      <c r="Z76" s="762">
        <f>IF(GetFillColor(Z76)&lt;0,Planning!$ZD86+Planning!$ZE86+Planning!$AAD86+Planning!$AAE86,0)</f>
      </c>
      <c r="AA76" s="762">
        <f>IF(GetFillColor(AA76)&lt;0,Planning!$AAG86+Planning!$AAH86+Planning!$ABG86+Planning!$ABH86,0)</f>
      </c>
      <c r="AB76" s="762">
        <f>IF(GetFillColor(AB76)&lt;0,Planning!$ABJ86+Planning!$ABK86+Planning!$ACJ86+Planning!$ACK86,0)</f>
      </c>
      <c r="AC76" s="761">
        <v>0</v>
      </c>
      <c r="AD76" s="761">
        <v>0</v>
      </c>
      <c r="AE76" s="762">
        <f>IF(GetFillColor(AE76)&lt;0,Planning!$AEV86+Planning!$AEW86+Planning!$AFV86+Planning!$AFW86,0)</f>
      </c>
      <c r="AF76" s="762">
        <f>IF(GetFillColor(AF76)&lt;0,Planning!$AFY86+Planning!$AFZ86+Planning!$AGY86+Planning!$AGZ86,0)</f>
      </c>
      <c r="AG76" s="762">
        <f>IF(GetFillColor(AG76)&lt;0,Planning!$AHB86+Planning!$AHC86+Planning!$AIB86+Planning!$AIC86,0)</f>
      </c>
      <c r="AH76" s="762">
        <f>IF(GetFillColor(AH76)&lt;0,Planning!$AIE86+Planning!$AIF86+Planning!$AJE86+Planning!$AJF86,0)</f>
      </c>
      <c r="AI76" s="762">
        <f>IF(GetFillColor(AI76)&lt;0,Planning!$AJH86+Planning!$AJI86+Planning!$AKH86+Planning!$AKI86,0)</f>
      </c>
      <c r="AJ76" s="761">
        <v>0</v>
      </c>
      <c r="AK76" s="760">
        <v>0</v>
      </c>
      <c r="AL76" s="698">
        <f>SUM(C76:AK76)</f>
      </c>
      <c r="AM76" s="4"/>
      <c r="AN76" s="4"/>
    </row>
    <row r="77" ht="20.25" customHeight="1" spans="1:40" x14ac:dyDescent="0.25">
      <c r="A77" s="4">
        <f>A33</f>
      </c>
      <c r="B77" s="4"/>
      <c r="C77" s="760">
        <f>IF(GetFillColor(C77)&lt;0,Planning!$D87+Planning!$E87+Planning!$AD87+Planning!$AE87,0)</f>
      </c>
      <c r="D77" s="760">
        <f>IF(GetFillColor(D77)&lt;0,Planning!$AG87+Planning!$AH87+Planning!$BG87+Planning!$BH87,0)</f>
      </c>
      <c r="E77" s="760">
        <f>IF(GetFillColor(E77)&lt;0,Planning!$BJ87+Planning!$BK87+Planning!$CJ87+Planning!$CK87,0)</f>
      </c>
      <c r="F77" s="761">
        <f>IF(GetFillColor(F77)&lt;0,Planning!$CM87+Planning!$CN87+Planning!$DM87+Planning!$DN87,0)</f>
      </c>
      <c r="G77" s="761">
        <f>IF(GetFillColor(G77)&lt;0,Planning!$DP87+Planning!$DQ87+Planning!$EP87+Planning!$EQ87,0)</f>
      </c>
      <c r="H77" s="761">
        <v>0</v>
      </c>
      <c r="I77" s="761">
        <v>0</v>
      </c>
      <c r="J77" s="762">
        <f>IF(GetFillColor(J77)&lt;0,Planning!$HB87+Planning!$HC87+Planning!$IB87+Planning!$IC87,0)</f>
      </c>
      <c r="K77" s="762">
        <f>IF(GetFillColor(K77)&lt;0,Planning!$IE87+Planning!$IF87+Planning!$JE87+Planning!$JF87,0)</f>
      </c>
      <c r="L77" s="762">
        <f>IF(GetFillColor(L77)&lt;0,Planning!$JH87+Planning!$JI87+Planning!$KH87+Planning!$KI87,0)</f>
      </c>
      <c r="M77" s="762">
        <f>IF(GetFillColor(M77)&lt;0,Planning!$KK87+Planning!$KL87+Planning!$LK87+Planning!$LL87,0)</f>
      </c>
      <c r="N77" s="762">
        <f>IF(GetFillColor(N77)&lt;0,Planning!$LN87+Planning!$LO87+Planning!$MN87+Planning!$MO87,0)</f>
      </c>
      <c r="O77" s="761">
        <v>0</v>
      </c>
      <c r="P77" s="761">
        <v>0</v>
      </c>
      <c r="Q77" s="762">
        <f>IF(GetFillColor(Q77)&lt;0,Planning!$OZ87+Planning!$PA87+Planning!$PZ87+Planning!$QA87,0)</f>
      </c>
      <c r="R77" s="762">
        <f>IF(GetFillColor(R77)&lt;0,Planning!$QC87+Planning!$QD87+Planning!$RC87+Planning!$RD87,0)</f>
      </c>
      <c r="S77" s="762">
        <f>IF(GetFillColor(S77)&lt;0,Planning!$RF87+Planning!$RG87+Planning!$SF87+Planning!$SG87,0)</f>
      </c>
      <c r="T77" s="762">
        <f>IF(GetFillColor(T77)&lt;0,Planning!$SI87+Planning!$SJ87+Planning!$TI87+Planning!$TJ87,0)</f>
      </c>
      <c r="U77" s="762">
        <f>IF(GetFillColor(U77)&lt;0,Planning!$TL87+Planning!$TM87+Planning!$UL87+Planning!$UM87,0)</f>
      </c>
      <c r="V77" s="761">
        <v>0</v>
      </c>
      <c r="W77" s="761">
        <v>0</v>
      </c>
      <c r="X77" s="762">
        <f>IF(GetFillColor(X77)&lt;0,Planning!$WX87+Planning!$WY87+Planning!$XX87+Planning!$XY87,0)</f>
      </c>
      <c r="Y77" s="762">
        <f>IF(GetFillColor(Y77)&lt;0,Planning!$YA87+Planning!$YB87+Planning!$ZA87+Planning!$ZB87,0)</f>
      </c>
      <c r="Z77" s="762">
        <f>IF(GetFillColor(Z77)&lt;0,Planning!$ZD87+Planning!$ZE87+Planning!$AAD87+Planning!$AAE87,0)</f>
      </c>
      <c r="AA77" s="762">
        <f>IF(GetFillColor(AA77)&lt;0,Planning!$AAG87+Planning!$AAH87+Planning!$ABG87+Planning!$ABH87,0)</f>
      </c>
      <c r="AB77" s="762">
        <f>IF(GetFillColor(AB77)&lt;0,Planning!$ABJ87+Planning!$ABK87+Planning!$ACJ87+Planning!$ACK87,0)</f>
      </c>
      <c r="AC77" s="761">
        <v>0</v>
      </c>
      <c r="AD77" s="761">
        <v>0</v>
      </c>
      <c r="AE77" s="762">
        <f>IF(GetFillColor(AE77)&lt;0,Planning!$AEV87+Planning!$AEW87+Planning!$AFV87+Planning!$AFW87,0)</f>
      </c>
      <c r="AF77" s="762">
        <f>IF(GetFillColor(AF77)&lt;0,Planning!$AFY87+Planning!$AFZ87+Planning!$AGY87+Planning!$AGZ87,0)</f>
      </c>
      <c r="AG77" s="762">
        <f>IF(GetFillColor(AG77)&lt;0,Planning!$AHB87+Planning!$AHC87+Planning!$AIB87+Planning!$AIC87,0)</f>
      </c>
      <c r="AH77" s="762">
        <f>IF(GetFillColor(AH77)&lt;0,Planning!$AIE87+Planning!$AIF87+Planning!$AJE87+Planning!$AJF87,0)</f>
      </c>
      <c r="AI77" s="762">
        <f>IF(GetFillColor(AI77)&lt;0,Planning!$AJH87+Planning!$AJI87+Planning!$AKH87+Planning!$AKI87,0)</f>
      </c>
      <c r="AJ77" s="761">
        <v>0</v>
      </c>
      <c r="AK77" s="760">
        <v>0</v>
      </c>
      <c r="AL77" s="698">
        <f>SUM(C77:AK77)</f>
      </c>
      <c r="AM77" s="4"/>
      <c r="AN77" s="4"/>
    </row>
    <row r="78" ht="20.25" customHeight="1" spans="1:40" x14ac:dyDescent="0.25">
      <c r="A78" s="4">
        <f>A34</f>
      </c>
      <c r="B78" s="4"/>
      <c r="C78" s="760">
        <f>IF(GetFillColor(C78)&lt;0,Planning!$D88+Planning!$E88+Planning!$AD88+Planning!$AE88,0)</f>
      </c>
      <c r="D78" s="760">
        <f>IF(GetFillColor(D78)&lt;0,Planning!$AG88+Planning!$AH88+Planning!$BG88+Planning!$BH88,0)</f>
      </c>
      <c r="E78" s="760">
        <f>IF(GetFillColor(E78)&lt;0,Planning!$BJ88+Planning!$BK88+Planning!$CJ88+Planning!$CK88,0)</f>
      </c>
      <c r="F78" s="761">
        <f>IF(GetFillColor(F78)&lt;0,Planning!$CM88+Planning!$CN88+Planning!$DM88+Planning!$DN88,0)</f>
      </c>
      <c r="G78" s="761">
        <f>IF(GetFillColor(G78)&lt;0,Planning!$DP88+Planning!$DQ88+Planning!$EP88+Planning!$EQ88,0)</f>
      </c>
      <c r="H78" s="761">
        <v>0</v>
      </c>
      <c r="I78" s="761">
        <v>0</v>
      </c>
      <c r="J78" s="762">
        <f>IF(GetFillColor(J78)&lt;0,Planning!$HB88+Planning!$HC88+Planning!$IB88+Planning!$IC88,0)</f>
      </c>
      <c r="K78" s="762">
        <f>IF(GetFillColor(K78)&lt;0,Planning!$IE88+Planning!$IF88+Planning!$JE88+Planning!$JF88,0)</f>
      </c>
      <c r="L78" s="762">
        <f>IF(GetFillColor(L78)&lt;0,Planning!$JH88+Planning!$JI88+Planning!$KH88+Planning!$KI88,0)</f>
      </c>
      <c r="M78" s="762">
        <f>IF(GetFillColor(M78)&lt;0,Planning!$KK88+Planning!$KL88+Planning!$LK88+Planning!$LL88,0)</f>
      </c>
      <c r="N78" s="762">
        <f>IF(GetFillColor(N78)&lt;0,Planning!$LN88+Planning!$LO88+Planning!$MN88+Planning!$MO88,0)</f>
      </c>
      <c r="O78" s="761">
        <v>0</v>
      </c>
      <c r="P78" s="761">
        <v>0</v>
      </c>
      <c r="Q78" s="762">
        <f>IF(GetFillColor(Q78)&lt;0,Planning!$OZ88+Planning!$PA88+Planning!$PZ88+Planning!$QA88,0)</f>
      </c>
      <c r="R78" s="762">
        <f>IF(GetFillColor(R78)&lt;0,Planning!$QC88+Planning!$QD88+Planning!$RC88+Planning!$RD88,0)</f>
      </c>
      <c r="S78" s="762">
        <f>IF(GetFillColor(S78)&lt;0,Planning!$RF88+Planning!$RG88+Planning!$SF88+Planning!$SG88,0)</f>
      </c>
      <c r="T78" s="762">
        <f>IF(GetFillColor(T78)&lt;0,Planning!$SI88+Planning!$SJ88+Planning!$TI88+Planning!$TJ88,0)</f>
      </c>
      <c r="U78" s="762">
        <f>IF(GetFillColor(U78)&lt;0,Planning!$TL88+Planning!$TM88+Planning!$UL88+Planning!$UM88,0)</f>
      </c>
      <c r="V78" s="761">
        <v>0</v>
      </c>
      <c r="W78" s="761">
        <v>0</v>
      </c>
      <c r="X78" s="762">
        <f>IF(GetFillColor(X78)&lt;0,Planning!$WX88+Planning!$WY88+Planning!$XX88+Planning!$XY88,0)</f>
      </c>
      <c r="Y78" s="762">
        <f>IF(GetFillColor(Y78)&lt;0,Planning!$YA88+Planning!$YB88+Planning!$ZA88+Planning!$ZB88,0)</f>
      </c>
      <c r="Z78" s="762">
        <f>IF(GetFillColor(Z78)&lt;0,Planning!$ZD88+Planning!$ZE88+Planning!$AAD88+Planning!$AAE88,0)</f>
      </c>
      <c r="AA78" s="762">
        <f>IF(GetFillColor(AA78)&lt;0,Planning!$AAG88+Planning!$AAH88+Planning!$ABG88+Planning!$ABH88,0)</f>
      </c>
      <c r="AB78" s="762">
        <f>IF(GetFillColor(AB78)&lt;0,Planning!$ABJ88+Planning!$ABK88+Planning!$ACJ88+Planning!$ACK88,0)</f>
      </c>
      <c r="AC78" s="761">
        <v>0</v>
      </c>
      <c r="AD78" s="761">
        <v>0</v>
      </c>
      <c r="AE78" s="762">
        <f>IF(GetFillColor(AE78)&lt;0,Planning!$AEV88+Planning!$AEW88+Planning!$AFV88+Planning!$AFW88,0)</f>
      </c>
      <c r="AF78" s="762">
        <f>IF(GetFillColor(AF78)&lt;0,Planning!$AFY88+Planning!$AFZ88+Planning!$AGY88+Planning!$AGZ88,0)</f>
      </c>
      <c r="AG78" s="762">
        <f>IF(GetFillColor(AG78)&lt;0,Planning!$AHB88+Planning!$AHC88+Planning!$AIB88+Planning!$AIC88,0)</f>
      </c>
      <c r="AH78" s="762">
        <f>IF(GetFillColor(AH78)&lt;0,Planning!$AIE88+Planning!$AIF88+Planning!$AJE88+Planning!$AJF88,0)</f>
      </c>
      <c r="AI78" s="762">
        <f>IF(GetFillColor(AI78)&lt;0,Planning!$AJH88+Planning!$AJI88+Planning!$AKH88+Planning!$AKI88,0)</f>
      </c>
      <c r="AJ78" s="761">
        <v>0</v>
      </c>
      <c r="AK78" s="760">
        <v>0</v>
      </c>
      <c r="AL78" s="698">
        <f>SUM(C78:AK78)</f>
      </c>
      <c r="AM78" s="4"/>
      <c r="AN78" s="4"/>
    </row>
    <row r="79" ht="20.25" customHeight="1" spans="1:40" x14ac:dyDescent="0.25">
      <c r="A79" s="4">
        <f>A35</f>
      </c>
      <c r="B79" s="4"/>
      <c r="C79" s="760">
        <f>IF(GetFillColor(C79)&lt;0,Planning!$D89+Planning!$E89+Planning!$AD89+Planning!$AE89,0)</f>
      </c>
      <c r="D79" s="760">
        <f>IF(GetFillColor(D79)&lt;0,Planning!$AG89+Planning!$AH89+Planning!$BG89+Planning!$BH89,0)</f>
      </c>
      <c r="E79" s="760">
        <f>IF(GetFillColor(E79)&lt;0,Planning!$BJ89+Planning!$BK89+Planning!$CJ89+Planning!$CK89,0)</f>
      </c>
      <c r="F79" s="761">
        <f>IF(GetFillColor(F79)&lt;0,Planning!$CM89+Planning!$CN89+Planning!$DM89+Planning!$DN89,0)</f>
      </c>
      <c r="G79" s="761">
        <f>IF(GetFillColor(G79)&lt;0,Planning!$DP89+Planning!$DQ89+Planning!$EP89+Planning!$EQ89,0)</f>
      </c>
      <c r="H79" s="761">
        <v>0</v>
      </c>
      <c r="I79" s="761">
        <v>0</v>
      </c>
      <c r="J79" s="762">
        <f>IF(GetFillColor(J79)&lt;0,Planning!$HB89+Planning!$HC89+Planning!$IB89+Planning!$IC89,0)</f>
      </c>
      <c r="K79" s="762">
        <f>IF(GetFillColor(K79)&lt;0,Planning!$IE89+Planning!$IF89+Planning!$JE89+Planning!$JF89,0)</f>
      </c>
      <c r="L79" s="762">
        <f>IF(GetFillColor(L79)&lt;0,Planning!$JH89+Planning!$JI89+Planning!$KH89+Planning!$KI89,0)</f>
      </c>
      <c r="M79" s="762">
        <f>IF(GetFillColor(M79)&lt;0,Planning!$KK89+Planning!$KL89+Planning!$LK89+Planning!$LL89,0)</f>
      </c>
      <c r="N79" s="762">
        <f>IF(GetFillColor(N79)&lt;0,Planning!$LN89+Planning!$LO89+Planning!$MN89+Planning!$MO89,0)</f>
      </c>
      <c r="O79" s="761">
        <v>0</v>
      </c>
      <c r="P79" s="761">
        <v>0</v>
      </c>
      <c r="Q79" s="762">
        <f>IF(GetFillColor(Q79)&lt;0,Planning!$OZ89+Planning!$PA89+Planning!$PZ89+Planning!$QA89,0)</f>
      </c>
      <c r="R79" s="762">
        <f>IF(GetFillColor(R79)&lt;0,Planning!$QC89+Planning!$QD89+Planning!$RC89+Planning!$RD89,0)</f>
      </c>
      <c r="S79" s="762">
        <f>IF(GetFillColor(S79)&lt;0,Planning!$RF89+Planning!$RG89+Planning!$SF89+Planning!$SG89,0)</f>
      </c>
      <c r="T79" s="762">
        <f>IF(GetFillColor(T79)&lt;0,Planning!$SI89+Planning!$SJ89+Planning!$TI89+Planning!$TJ89,0)</f>
      </c>
      <c r="U79" s="762">
        <f>IF(GetFillColor(U79)&lt;0,Planning!$TL89+Planning!$TM89+Planning!$UL89+Planning!$UM89,0)</f>
      </c>
      <c r="V79" s="761">
        <v>0</v>
      </c>
      <c r="W79" s="761">
        <v>0</v>
      </c>
      <c r="X79" s="762">
        <f>IF(GetFillColor(X79)&lt;0,Planning!$WX89+Planning!$WY89+Planning!$XX89+Planning!$XY89,0)</f>
      </c>
      <c r="Y79" s="762">
        <f>IF(GetFillColor(Y79)&lt;0,Planning!$YA89+Planning!$YB89+Planning!$ZA89+Planning!$ZB89,0)</f>
      </c>
      <c r="Z79" s="762">
        <f>IF(GetFillColor(Z79)&lt;0,Planning!$ZD89+Planning!$ZE89+Planning!$AAD89+Planning!$AAE89,0)</f>
      </c>
      <c r="AA79" s="762">
        <f>IF(GetFillColor(AA79)&lt;0,Planning!$AAG89+Planning!$AAH89+Planning!$ABG89+Planning!$ABH89,0)</f>
      </c>
      <c r="AB79" s="762">
        <f>IF(GetFillColor(AB79)&lt;0,Planning!$ABJ89+Planning!$ABK89+Planning!$ACJ89+Planning!$ACK89,0)</f>
      </c>
      <c r="AC79" s="761">
        <v>0</v>
      </c>
      <c r="AD79" s="761">
        <v>0</v>
      </c>
      <c r="AE79" s="762">
        <f>IF(GetFillColor(AE79)&lt;0,Planning!$AEV89+Planning!$AEW89+Planning!$AFV89+Planning!$AFW89,0)</f>
      </c>
      <c r="AF79" s="762">
        <f>IF(GetFillColor(AF79)&lt;0,Planning!$AFY89+Planning!$AFZ89+Planning!$AGY89+Planning!$AGZ89,0)</f>
      </c>
      <c r="AG79" s="762">
        <f>IF(GetFillColor(AG79)&lt;0,Planning!$AHB89+Planning!$AHC89+Planning!$AIB89+Planning!$AIC89,0)</f>
      </c>
      <c r="AH79" s="762">
        <f>IF(GetFillColor(AH79)&lt;0,Planning!$AIE89+Planning!$AIF89+Planning!$AJE89+Planning!$AJF89,0)</f>
      </c>
      <c r="AI79" s="762">
        <f>IF(GetFillColor(AI79)&lt;0,Planning!$AJH89+Planning!$AJI89+Planning!$AKH89+Planning!$AKI89,0)</f>
      </c>
      <c r="AJ79" s="761">
        <v>0</v>
      </c>
      <c r="AK79" s="760">
        <v>0</v>
      </c>
      <c r="AL79" s="698">
        <f>SUM(C79:AK79)</f>
      </c>
      <c r="AM79" s="4"/>
      <c r="AN79" s="4"/>
    </row>
    <row r="80" ht="20.25" customHeight="1" spans="1:40" x14ac:dyDescent="0.25">
      <c r="A80" s="4">
        <f>A36</f>
      </c>
      <c r="B80" s="4"/>
      <c r="C80" s="760">
        <f>IF(GetFillColor(C80)&lt;0,Planning!$D90+Planning!$E90+Planning!$AD90+Planning!$AE90,0)</f>
      </c>
      <c r="D80" s="760">
        <f>IF(GetFillColor(D80)&lt;0,Planning!$AG90+Planning!$AH90+Planning!$BG90+Planning!$BH90,0)</f>
      </c>
      <c r="E80" s="760">
        <f>IF(GetFillColor(E80)&lt;0,Planning!$BJ90+Planning!$BK90+Planning!$CJ90+Planning!$CK90,0)</f>
      </c>
      <c r="F80" s="761">
        <f>IF(GetFillColor(F80)&lt;0,Planning!$CM90+Planning!$CN90+Planning!$DM90+Planning!$DN90,0)</f>
      </c>
      <c r="G80" s="761">
        <f>IF(GetFillColor(G80)&lt;0,Planning!$DP90+Planning!$DQ90+Planning!$EP90+Planning!$EQ90,0)</f>
      </c>
      <c r="H80" s="761">
        <v>0</v>
      </c>
      <c r="I80" s="761">
        <v>0</v>
      </c>
      <c r="J80" s="762">
        <f>IF(GetFillColor(J80)&lt;0,Planning!$HB90+Planning!$HC90+Planning!$IB90+Planning!$IC90,0)</f>
      </c>
      <c r="K80" s="762">
        <f>IF(GetFillColor(K80)&lt;0,Planning!$IE90+Planning!$IF90+Planning!$JE90+Planning!$JF90,0)</f>
      </c>
      <c r="L80" s="762">
        <f>IF(GetFillColor(L80)&lt;0,Planning!$JH90+Planning!$JI90+Planning!$KH90+Planning!$KI90,0)</f>
      </c>
      <c r="M80" s="762">
        <f>IF(GetFillColor(M80)&lt;0,Planning!$KK90+Planning!$KL90+Planning!$LK90+Planning!$LL90,0)</f>
      </c>
      <c r="N80" s="762">
        <f>IF(GetFillColor(N80)&lt;0,Planning!$LN90+Planning!$LO90+Planning!$MN90+Planning!$MO90,0)</f>
      </c>
      <c r="O80" s="761">
        <v>0</v>
      </c>
      <c r="P80" s="761">
        <v>0</v>
      </c>
      <c r="Q80" s="762">
        <f>IF(GetFillColor(Q80)&lt;0,Planning!$OZ90+Planning!$PA90+Planning!$PZ90+Planning!$QA90,0)</f>
      </c>
      <c r="R80" s="762">
        <f>IF(GetFillColor(R80)&lt;0,Planning!$QC90+Planning!$QD90+Planning!$RC90+Planning!$RD90,0)</f>
      </c>
      <c r="S80" s="762">
        <f>IF(GetFillColor(S80)&lt;0,Planning!$RF90+Planning!$RG90+Planning!$SF90+Planning!$SG90,0)</f>
      </c>
      <c r="T80" s="762">
        <f>IF(GetFillColor(T80)&lt;0,Planning!$SI90+Planning!$SJ90+Planning!$TI90+Planning!$TJ90,0)</f>
      </c>
      <c r="U80" s="762">
        <f>IF(GetFillColor(U80)&lt;0,Planning!$TL90+Planning!$TM90+Planning!$UL90+Planning!$UM90,0)</f>
      </c>
      <c r="V80" s="761">
        <v>0</v>
      </c>
      <c r="W80" s="761">
        <v>0</v>
      </c>
      <c r="X80" s="762">
        <f>IF(GetFillColor(X80)&lt;0,Planning!$WX90+Planning!$WY90+Planning!$XX90+Planning!$XY90,0)</f>
      </c>
      <c r="Y80" s="762">
        <f>IF(GetFillColor(Y80)&lt;0,Planning!$YA90+Planning!$YB90+Planning!$ZA90+Planning!$ZB90,0)</f>
      </c>
      <c r="Z80" s="762">
        <f>IF(GetFillColor(Z80)&lt;0,Planning!$ZD90+Planning!$ZE90+Planning!$AAD90+Planning!$AAE90,0)</f>
      </c>
      <c r="AA80" s="762">
        <f>IF(GetFillColor(AA80)&lt;0,Planning!$AAG90+Planning!$AAH90+Planning!$ABG90+Planning!$ABH90,0)</f>
      </c>
      <c r="AB80" s="762">
        <f>IF(GetFillColor(AB80)&lt;0,Planning!$ABJ90+Planning!$ABK90+Planning!$ACJ90+Planning!$ACK90,0)</f>
      </c>
      <c r="AC80" s="761">
        <v>0</v>
      </c>
      <c r="AD80" s="761">
        <v>0</v>
      </c>
      <c r="AE80" s="762">
        <f>IF(GetFillColor(AE80)&lt;0,Planning!$AEV90+Planning!$AEW90+Planning!$AFV90+Planning!$AFW90,0)</f>
      </c>
      <c r="AF80" s="762">
        <f>IF(GetFillColor(AF80)&lt;0,Planning!$AFY90+Planning!$AFZ90+Planning!$AGY90+Planning!$AGZ90,0)</f>
      </c>
      <c r="AG80" s="762">
        <f>IF(GetFillColor(AG80)&lt;0,Planning!$AHB90+Planning!$AHC90+Planning!$AIB90+Planning!$AIC90,0)</f>
      </c>
      <c r="AH80" s="762">
        <f>IF(GetFillColor(AH80)&lt;0,Planning!$AIE90+Planning!$AIF90+Planning!$AJE90+Planning!$AJF90,0)</f>
      </c>
      <c r="AI80" s="762">
        <f>IF(GetFillColor(AI80)&lt;0,Planning!$AJH90+Planning!$AJI90+Planning!$AKH90+Planning!$AKI90,0)</f>
      </c>
      <c r="AJ80" s="761">
        <v>0</v>
      </c>
      <c r="AK80" s="760">
        <v>0</v>
      </c>
      <c r="AL80" s="698">
        <f>SUM(C80:AK80)</f>
      </c>
      <c r="AM80" s="4"/>
      <c r="AN80" s="4"/>
    </row>
    <row r="81" ht="20.25" customHeight="1" spans="1:40" x14ac:dyDescent="0.25">
      <c r="A81" s="4">
        <f>A37</f>
      </c>
      <c r="B81" s="4"/>
      <c r="C81" s="760">
        <f>IF(GetFillColor(C81)&lt;0,Planning!$D91+Planning!$E91+Planning!$AD91+Planning!$AE91,0)</f>
      </c>
      <c r="D81" s="760">
        <f>IF(GetFillColor(D81)&lt;0,Planning!$AG91+Planning!$AH91+Planning!$BG91+Planning!$BH91,0)</f>
      </c>
      <c r="E81" s="760">
        <f>IF(GetFillColor(E81)&lt;0,Planning!$BJ91+Planning!$BK91+Planning!$CJ91+Planning!$CK91,0)</f>
      </c>
      <c r="F81" s="761">
        <f>IF(GetFillColor(F81)&lt;0,Planning!$CM91+Planning!$CN91+Planning!$DM91+Planning!$DN91,0)</f>
      </c>
      <c r="G81" s="761">
        <f>IF(GetFillColor(G81)&lt;0,Planning!$DP91+Planning!$DQ91+Planning!$EP91+Planning!$EQ91,0)</f>
      </c>
      <c r="H81" s="761">
        <v>0</v>
      </c>
      <c r="I81" s="761">
        <v>0</v>
      </c>
      <c r="J81" s="762">
        <f>IF(GetFillColor(J81)&lt;0,Planning!$HB91+Planning!$HC91+Planning!$IB91+Planning!$IC91,0)</f>
      </c>
      <c r="K81" s="762">
        <f>IF(GetFillColor(K81)&lt;0,Planning!$IE91+Planning!$IF91+Planning!$JE91+Planning!$JF91,0)</f>
      </c>
      <c r="L81" s="762">
        <f>IF(GetFillColor(L81)&lt;0,Planning!$JH91+Planning!$JI91+Planning!$KH91+Planning!$KI91,0)</f>
      </c>
      <c r="M81" s="762">
        <f>IF(GetFillColor(M81)&lt;0,Planning!$KK91+Planning!$KL91+Planning!$LK91+Planning!$LL91,0)</f>
      </c>
      <c r="N81" s="762">
        <f>IF(GetFillColor(N81)&lt;0,Planning!$LN91+Planning!$LO91+Planning!$MN91+Planning!$MO91,0)</f>
      </c>
      <c r="O81" s="761">
        <v>0</v>
      </c>
      <c r="P81" s="761">
        <v>0</v>
      </c>
      <c r="Q81" s="762">
        <f>IF(GetFillColor(Q81)&lt;0,Planning!$OZ91+Planning!$PA91+Planning!$PZ91+Planning!$QA91,0)</f>
      </c>
      <c r="R81" s="762">
        <f>IF(GetFillColor(R81)&lt;0,Planning!$QC91+Planning!$QD91+Planning!$RC91+Planning!$RD91,0)</f>
      </c>
      <c r="S81" s="762">
        <f>IF(GetFillColor(S81)&lt;0,Planning!$RF91+Planning!$RG91+Planning!$SF91+Planning!$SG91,0)</f>
      </c>
      <c r="T81" s="762">
        <f>IF(GetFillColor(T81)&lt;0,Planning!$SI91+Planning!$SJ91+Planning!$TI91+Planning!$TJ91,0)</f>
      </c>
      <c r="U81" s="762">
        <f>IF(GetFillColor(U81)&lt;0,Planning!$TL91+Planning!$TM91+Planning!$UL91+Planning!$UM91,0)</f>
      </c>
      <c r="V81" s="761">
        <v>0</v>
      </c>
      <c r="W81" s="761">
        <v>0</v>
      </c>
      <c r="X81" s="762">
        <f>IF(GetFillColor(X81)&lt;0,Planning!$WX91+Planning!$WY91+Planning!$XX91+Planning!$XY91,0)</f>
      </c>
      <c r="Y81" s="762">
        <f>IF(GetFillColor(Y81)&lt;0,Planning!$YA91+Planning!$YB91+Planning!$ZA91+Planning!$ZB91,0)</f>
      </c>
      <c r="Z81" s="762">
        <f>IF(GetFillColor(Z81)&lt;0,Planning!$ZD91+Planning!$ZE91+Planning!$AAD91+Planning!$AAE91,0)</f>
      </c>
      <c r="AA81" s="762">
        <f>IF(GetFillColor(AA81)&lt;0,Planning!$AAG91+Planning!$AAH91+Planning!$ABG91+Planning!$ABH91,0)</f>
      </c>
      <c r="AB81" s="762">
        <f>IF(GetFillColor(AB81)&lt;0,Planning!$ABJ91+Planning!$ABK91+Planning!$ACJ91+Planning!$ACK91,0)</f>
      </c>
      <c r="AC81" s="761">
        <v>0</v>
      </c>
      <c r="AD81" s="761">
        <v>0</v>
      </c>
      <c r="AE81" s="762">
        <f>IF(GetFillColor(AE81)&lt;0,Planning!$AEV91+Planning!$AEW91+Planning!$AFV91+Planning!$AFW91,0)</f>
      </c>
      <c r="AF81" s="762">
        <f>IF(GetFillColor(AF81)&lt;0,Planning!$AFY91+Planning!$AFZ91+Planning!$AGY91+Planning!$AGZ91,0)</f>
      </c>
      <c r="AG81" s="762">
        <f>IF(GetFillColor(AG81)&lt;0,Planning!$AHB91+Planning!$AHC91+Planning!$AIB91+Planning!$AIC91,0)</f>
      </c>
      <c r="AH81" s="762">
        <f>IF(GetFillColor(AH81)&lt;0,Planning!$AIE91+Planning!$AIF91+Planning!$AJE91+Planning!$AJF91,0)</f>
      </c>
      <c r="AI81" s="762">
        <f>IF(GetFillColor(AI81)&lt;0,Planning!$AJH91+Planning!$AJI91+Planning!$AKH91+Planning!$AKI91,0)</f>
      </c>
      <c r="AJ81" s="761">
        <v>0</v>
      </c>
      <c r="AK81" s="760">
        <v>0</v>
      </c>
      <c r="AL81" s="698">
        <f>SUM(C81:AK81)</f>
      </c>
      <c r="AM81" s="4"/>
      <c r="AN81" s="4"/>
    </row>
    <row r="82" ht="20.25" customHeight="1" spans="1:40" x14ac:dyDescent="0.25">
      <c r="A82" s="4">
        <f>A38</f>
      </c>
      <c r="B82" s="4"/>
      <c r="C82" s="760">
        <f>IF(GetFillColor(C82)&lt;0,Planning!$D92+Planning!$E92+Planning!$AD92+Planning!$AE92,0)</f>
      </c>
      <c r="D82" s="760">
        <f>IF(GetFillColor(D82)&lt;0,Planning!$AG92+Planning!$AH92+Planning!$BG92+Planning!$BH92,0)</f>
      </c>
      <c r="E82" s="760">
        <f>IF(GetFillColor(E82)&lt;0,Planning!$BJ92+Planning!$BK92+Planning!$CJ92+Planning!$CK92,0)</f>
      </c>
      <c r="F82" s="761">
        <f>IF(GetFillColor(F82)&lt;0,Planning!$CM92+Planning!$CN92+Planning!$DM92+Planning!$DN92,0)</f>
      </c>
      <c r="G82" s="761">
        <f>IF(GetFillColor(G82)&lt;0,Planning!$DP92+Planning!$DQ92+Planning!$EP92+Planning!$EQ92,0)</f>
      </c>
      <c r="H82" s="761">
        <v>0</v>
      </c>
      <c r="I82" s="761">
        <v>0</v>
      </c>
      <c r="J82" s="762">
        <f>IF(GetFillColor(J82)&lt;0,Planning!$HB92+Planning!$HC92+Planning!$IB92+Planning!$IC92,0)</f>
      </c>
      <c r="K82" s="762">
        <f>IF(GetFillColor(K82)&lt;0,Planning!$IE92+Planning!$IF92+Planning!$JE92+Planning!$JF92,0)</f>
      </c>
      <c r="L82" s="762">
        <f>IF(GetFillColor(L82)&lt;0,Planning!$JH92+Planning!$JI92+Planning!$KH92+Planning!$KI92,0)</f>
      </c>
      <c r="M82" s="762">
        <f>IF(GetFillColor(M82)&lt;0,Planning!$KK92+Planning!$KL92+Planning!$LK92+Planning!$LL92,0)</f>
      </c>
      <c r="N82" s="762">
        <f>IF(GetFillColor(N82)&lt;0,Planning!$LN92+Planning!$LO92+Planning!$MN92+Planning!$MO92,0)</f>
      </c>
      <c r="O82" s="761">
        <v>0</v>
      </c>
      <c r="P82" s="761">
        <v>0</v>
      </c>
      <c r="Q82" s="762">
        <f>IF(GetFillColor(Q82)&lt;0,Planning!$OZ92+Planning!$PA92+Planning!$PZ92+Planning!$QA92,0)</f>
      </c>
      <c r="R82" s="762">
        <f>IF(GetFillColor(R82)&lt;0,Planning!$QC92+Planning!$QD92+Planning!$RC92+Planning!$RD92,0)</f>
      </c>
      <c r="S82" s="762">
        <f>IF(GetFillColor(S82)&lt;0,Planning!$RF92+Planning!$RG92+Planning!$SF92+Planning!$SG92,0)</f>
      </c>
      <c r="T82" s="762">
        <f>IF(GetFillColor(T82)&lt;0,Planning!$SI92+Planning!$SJ92+Planning!$TI92+Planning!$TJ92,0)</f>
      </c>
      <c r="U82" s="762">
        <f>IF(GetFillColor(U82)&lt;0,Planning!$TL92+Planning!$TM92+Planning!$UL92+Planning!$UM92,0)</f>
      </c>
      <c r="V82" s="761">
        <v>0</v>
      </c>
      <c r="W82" s="761">
        <v>0</v>
      </c>
      <c r="X82" s="762">
        <f>IF(GetFillColor(X82)&lt;0,Planning!$WX92+Planning!$WY92+Planning!$XX92+Planning!$XY92,0)</f>
      </c>
      <c r="Y82" s="762">
        <f>IF(GetFillColor(Y82)&lt;0,Planning!$YA92+Planning!$YB92+Planning!$ZA92+Planning!$ZB92,0)</f>
      </c>
      <c r="Z82" s="762">
        <f>IF(GetFillColor(Z82)&lt;0,Planning!$ZD92+Planning!$ZE92+Planning!$AAD92+Planning!$AAE92,0)</f>
      </c>
      <c r="AA82" s="762">
        <f>IF(GetFillColor(AA82)&lt;0,Planning!$AAG92+Planning!$AAH92+Planning!$ABG92+Planning!$ABH92,0)</f>
      </c>
      <c r="AB82" s="762">
        <f>IF(GetFillColor(AB82)&lt;0,Planning!$ABJ92+Planning!$ABK92+Planning!$ACJ92+Planning!$ACK92,0)</f>
      </c>
      <c r="AC82" s="761">
        <v>0</v>
      </c>
      <c r="AD82" s="761">
        <v>0</v>
      </c>
      <c r="AE82" s="762">
        <f>IF(GetFillColor(AE82)&lt;0,Planning!$AEV92+Planning!$AEW92+Planning!$AFV92+Planning!$AFW92,0)</f>
      </c>
      <c r="AF82" s="762">
        <f>IF(GetFillColor(AF82)&lt;0,Planning!$AFY92+Planning!$AFZ92+Planning!$AGY92+Planning!$AGZ92,0)</f>
      </c>
      <c r="AG82" s="762">
        <f>IF(GetFillColor(AG82)&lt;0,Planning!$AHB92+Planning!$AHC92+Planning!$AIB92+Planning!$AIC92,0)</f>
      </c>
      <c r="AH82" s="762">
        <f>IF(GetFillColor(AH82)&lt;0,Planning!$AIE92+Planning!$AIF92+Planning!$AJE92+Planning!$AJF92,0)</f>
      </c>
      <c r="AI82" s="762">
        <f>IF(GetFillColor(AI82)&lt;0,Planning!$AJH92+Planning!$AJI92+Planning!$AKH92+Planning!$AKI92,0)</f>
      </c>
      <c r="AJ82" s="761">
        <v>0</v>
      </c>
      <c r="AK82" s="760">
        <v>0</v>
      </c>
      <c r="AL82" s="698">
        <f>SUM(C82:AK82)</f>
      </c>
      <c r="AM82" s="4"/>
      <c r="AN82" s="4"/>
    </row>
    <row r="83" ht="20.25" customHeight="1" spans="1:40" x14ac:dyDescent="0.25">
      <c r="A83" s="4">
        <f>A39</f>
      </c>
      <c r="B83" s="4"/>
      <c r="C83" s="760">
        <f>IF(GetFillColor(C83)&lt;0,Planning!$D93+Planning!$E93+Planning!$AD93+Planning!$AE93,0)</f>
      </c>
      <c r="D83" s="760">
        <f>IF(GetFillColor(D83)&lt;0,Planning!$AG93+Planning!$AH93+Planning!$BG93+Planning!$BH93,0)</f>
      </c>
      <c r="E83" s="760">
        <f>IF(GetFillColor(E83)&lt;0,Planning!$BJ93+Planning!$BK93+Planning!$CJ93+Planning!$CK93,0)</f>
      </c>
      <c r="F83" s="761">
        <f>IF(GetFillColor(F83)&lt;0,Planning!$CM93+Planning!$CN93+Planning!$DM93+Planning!$DN93,0)</f>
      </c>
      <c r="G83" s="761">
        <f>IF(GetFillColor(G83)&lt;0,Planning!$DP93+Planning!$DQ93+Planning!$EP93+Planning!$EQ93,0)</f>
      </c>
      <c r="H83" s="761">
        <v>0</v>
      </c>
      <c r="I83" s="761">
        <v>0</v>
      </c>
      <c r="J83" s="762">
        <f>IF(GetFillColor(J83)&lt;0,Planning!$HB93+Planning!$HC93+Planning!$IB93+Planning!$IC93,0)</f>
      </c>
      <c r="K83" s="762">
        <f>IF(GetFillColor(K83)&lt;0,Planning!$IE93+Planning!$IF93+Planning!$JE93+Planning!$JF93,0)</f>
      </c>
      <c r="L83" s="762">
        <f>IF(GetFillColor(L83)&lt;0,Planning!$JH93+Planning!$JI93+Planning!$KH93+Planning!$KI93,0)</f>
      </c>
      <c r="M83" s="762">
        <f>IF(GetFillColor(M83)&lt;0,Planning!$KK93+Planning!$KL93+Planning!$LK93+Planning!$LL93,0)</f>
      </c>
      <c r="N83" s="762">
        <f>IF(GetFillColor(N83)&lt;0,Planning!$LN93+Planning!$LO93+Planning!$MN93+Planning!$MO93,0)</f>
      </c>
      <c r="O83" s="761">
        <v>0</v>
      </c>
      <c r="P83" s="761">
        <v>0</v>
      </c>
      <c r="Q83" s="762">
        <f>IF(GetFillColor(Q83)&lt;0,Planning!$OZ93+Planning!$PA93+Planning!$PZ93+Planning!$QA93,0)</f>
      </c>
      <c r="R83" s="762">
        <f>IF(GetFillColor(R83)&lt;0,Planning!$QC93+Planning!$QD93+Planning!$RC93+Planning!$RD93,0)</f>
      </c>
      <c r="S83" s="762">
        <f>IF(GetFillColor(S83)&lt;0,Planning!$RF93+Planning!$RG93+Planning!$SF93+Planning!$SG93,0)</f>
      </c>
      <c r="T83" s="762">
        <f>IF(GetFillColor(T83)&lt;0,Planning!$SI93+Planning!$SJ93+Planning!$TI93+Planning!$TJ93,0)</f>
      </c>
      <c r="U83" s="762">
        <f>IF(GetFillColor(U83)&lt;0,Planning!$TL93+Planning!$TM93+Planning!$UL93+Planning!$UM93,0)</f>
      </c>
      <c r="V83" s="761">
        <v>0</v>
      </c>
      <c r="W83" s="761">
        <v>0</v>
      </c>
      <c r="X83" s="762">
        <f>IF(GetFillColor(X83)&lt;0,Planning!$WX93+Planning!$WY93+Planning!$XX93+Planning!$XY93,0)</f>
      </c>
      <c r="Y83" s="762">
        <f>IF(GetFillColor(Y83)&lt;0,Planning!$YA93+Planning!$YB93+Planning!$ZA93+Planning!$ZB93,0)</f>
      </c>
      <c r="Z83" s="762">
        <f>IF(GetFillColor(Z83)&lt;0,Planning!$ZD93+Planning!$ZE93+Planning!$AAD93+Planning!$AAE93,0)</f>
      </c>
      <c r="AA83" s="762">
        <f>IF(GetFillColor(AA83)&lt;0,Planning!$AAG93+Planning!$AAH93+Planning!$ABG93+Planning!$ABH93,0)</f>
      </c>
      <c r="AB83" s="762">
        <f>IF(GetFillColor(AB83)&lt;0,Planning!$ABJ93+Planning!$ABK93+Planning!$ACJ93+Planning!$ACK93,0)</f>
      </c>
      <c r="AC83" s="761">
        <v>0</v>
      </c>
      <c r="AD83" s="761">
        <v>0</v>
      </c>
      <c r="AE83" s="762">
        <f>IF(GetFillColor(AE83)&lt;0,Planning!$AEV93+Planning!$AEW93+Planning!$AFV93+Planning!$AFW93,0)</f>
      </c>
      <c r="AF83" s="762">
        <f>IF(GetFillColor(AF83)&lt;0,Planning!$AFY93+Planning!$AFZ93+Planning!$AGY93+Planning!$AGZ93,0)</f>
      </c>
      <c r="AG83" s="762">
        <f>IF(GetFillColor(AG83)&lt;0,Planning!$AHB93+Planning!$AHC93+Planning!$AIB93+Planning!$AIC93,0)</f>
      </c>
      <c r="AH83" s="762">
        <f>IF(GetFillColor(AH83)&lt;0,Planning!$AIE93+Planning!$AIF93+Planning!$AJE93+Planning!$AJF93,0)</f>
      </c>
      <c r="AI83" s="762">
        <f>IF(GetFillColor(AI83)&lt;0,Planning!$AJH93+Planning!$AJI93+Planning!$AKH93+Planning!$AKI93,0)</f>
      </c>
      <c r="AJ83" s="761">
        <v>0</v>
      </c>
      <c r="AK83" s="760">
        <v>0</v>
      </c>
      <c r="AL83" s="698">
        <f>SUM(C83:AK83)</f>
      </c>
      <c r="AM83" s="4"/>
      <c r="AN83" s="4"/>
    </row>
    <row r="84" ht="20.25" customHeight="1" spans="1:40" x14ac:dyDescent="0.25">
      <c r="A84" s="4">
        <f>A40</f>
      </c>
      <c r="B84" s="4"/>
      <c r="C84" s="760">
        <f>IF(GetFillColor(C84)&lt;0,Planning!$D94+Planning!$E94+Planning!$AD94+Planning!$AE94,0)</f>
      </c>
      <c r="D84" s="760">
        <f>IF(GetFillColor(D84)&lt;0,Planning!$AG94+Planning!$AH94+Planning!$BG94+Planning!$BH94,0)</f>
      </c>
      <c r="E84" s="760">
        <f>IF(GetFillColor(E84)&lt;0,Planning!$BJ94+Planning!$BK94+Planning!$CJ94+Planning!$CK94,0)</f>
      </c>
      <c r="F84" s="761">
        <f>IF(GetFillColor(F84)&lt;0,Planning!$CM94+Planning!$CN94+Planning!$DM94+Planning!$DN94,0)</f>
      </c>
      <c r="G84" s="761">
        <f>IF(GetFillColor(G84)&lt;0,Planning!$DP94+Planning!$DQ94+Planning!$EP94+Planning!$EQ94,0)</f>
      </c>
      <c r="H84" s="761">
        <v>0</v>
      </c>
      <c r="I84" s="761">
        <v>0</v>
      </c>
      <c r="J84" s="762">
        <f>IF(GetFillColor(J84)&lt;0,Planning!$HB94+Planning!$HC94+Planning!$IB94+Planning!$IC94,0)</f>
      </c>
      <c r="K84" s="762">
        <f>IF(GetFillColor(K84)&lt;0,Planning!$IE94+Planning!$IF94+Planning!$JE94+Planning!$JF94,0)</f>
      </c>
      <c r="L84" s="762">
        <f>IF(GetFillColor(L84)&lt;0,Planning!$JH94+Planning!$JI94+Planning!$KH94+Planning!$KI94,0)</f>
      </c>
      <c r="M84" s="762">
        <f>IF(GetFillColor(M84)&lt;0,Planning!$KK94+Planning!$KL94+Planning!$LK94+Planning!$LL94,0)</f>
      </c>
      <c r="N84" s="762">
        <f>IF(GetFillColor(N84)&lt;0,Planning!$LN94+Planning!$LO94+Planning!$MN94+Planning!$MO94,0)</f>
      </c>
      <c r="O84" s="761">
        <v>0</v>
      </c>
      <c r="P84" s="761">
        <v>0</v>
      </c>
      <c r="Q84" s="762">
        <f>IF(GetFillColor(Q84)&lt;0,Planning!$OZ94+Planning!$PA94+Planning!$PZ94+Planning!$QA94,0)</f>
      </c>
      <c r="R84" s="762">
        <f>IF(GetFillColor(R84)&lt;0,Planning!$QC94+Planning!$QD94+Planning!$RC94+Planning!$RD94,0)</f>
      </c>
      <c r="S84" s="762">
        <f>IF(GetFillColor(S84)&lt;0,Planning!$RF94+Planning!$RG94+Planning!$SF94+Planning!$SG94,0)</f>
      </c>
      <c r="T84" s="762">
        <f>IF(GetFillColor(T84)&lt;0,Planning!$SI94+Planning!$SJ94+Planning!$TI94+Planning!$TJ94,0)</f>
      </c>
      <c r="U84" s="762">
        <f>IF(GetFillColor(U84)&lt;0,Planning!$TL94+Planning!$TM94+Planning!$UL94+Planning!$UM94,0)</f>
      </c>
      <c r="V84" s="761">
        <v>0</v>
      </c>
      <c r="W84" s="761">
        <v>0</v>
      </c>
      <c r="X84" s="762">
        <f>IF(GetFillColor(X84)&lt;0,Planning!$WX94+Planning!$WY94+Planning!$XX94+Planning!$XY94,0)</f>
      </c>
      <c r="Y84" s="762">
        <f>IF(GetFillColor(Y84)&lt;0,Planning!$YA94+Planning!$YB94+Planning!$ZA94+Planning!$ZB94,0)</f>
      </c>
      <c r="Z84" s="762">
        <f>IF(GetFillColor(Z84)&lt;0,Planning!$ZD94+Planning!$ZE94+Planning!$AAD94+Planning!$AAE94,0)</f>
      </c>
      <c r="AA84" s="762">
        <f>IF(GetFillColor(AA84)&lt;0,Planning!$AAG94+Planning!$AAH94+Planning!$ABG94+Planning!$ABH94,0)</f>
      </c>
      <c r="AB84" s="762">
        <f>IF(GetFillColor(AB84)&lt;0,Planning!$ABJ94+Planning!$ABK94+Planning!$ACJ94+Planning!$ACK94,0)</f>
      </c>
      <c r="AC84" s="761">
        <v>0</v>
      </c>
      <c r="AD84" s="761">
        <v>0</v>
      </c>
      <c r="AE84" s="762">
        <f>IF(GetFillColor(AE84)&lt;0,Planning!$AEV94+Planning!$AEW94+Planning!$AFV94+Planning!$AFW94,0)</f>
      </c>
      <c r="AF84" s="762">
        <f>IF(GetFillColor(AF84)&lt;0,Planning!$AFY94+Planning!$AFZ94+Planning!$AGY94+Planning!$AGZ94,0)</f>
      </c>
      <c r="AG84" s="762">
        <f>IF(GetFillColor(AG84)&lt;0,Planning!$AHB94+Planning!$AHC94+Planning!$AIB94+Planning!$AIC94,0)</f>
      </c>
      <c r="AH84" s="762">
        <f>IF(GetFillColor(AH84)&lt;0,Planning!$AIE94+Planning!$AIF94+Planning!$AJE94+Planning!$AJF94,0)</f>
      </c>
      <c r="AI84" s="762">
        <f>IF(GetFillColor(AI84)&lt;0,Planning!$AJH94+Planning!$AJI94+Planning!$AKH94+Planning!$AKI94,0)</f>
      </c>
      <c r="AJ84" s="761">
        <v>0</v>
      </c>
      <c r="AK84" s="760">
        <v>0</v>
      </c>
      <c r="AL84" s="698">
        <f>SUM(C84:AK84)</f>
      </c>
      <c r="AM84" s="4"/>
      <c r="AN84" s="4"/>
    </row>
    <row r="85" ht="20.25" customHeight="1" spans="1:40" x14ac:dyDescent="0.25">
      <c r="A85" s="4">
        <f>A41</f>
      </c>
      <c r="B85" s="4"/>
      <c r="C85" s="760">
        <f>IF(GetFillColor(C85)&lt;0,Planning!$D95+Planning!$E95+Planning!$AD95+Planning!$AE95,0)</f>
      </c>
      <c r="D85" s="760">
        <f>IF(GetFillColor(D85)&lt;0,Planning!$AG95+Planning!$AH95+Planning!$BG95+Planning!$BH95,0)</f>
      </c>
      <c r="E85" s="760">
        <f>IF(GetFillColor(E85)&lt;0,Planning!$BJ95+Planning!$BK95+Planning!$CJ95+Planning!$CK95,0)</f>
      </c>
      <c r="F85" s="761">
        <f>IF(GetFillColor(F85)&lt;0,Planning!$CM95+Planning!$CN95+Planning!$DM95+Planning!$DN95,0)</f>
      </c>
      <c r="G85" s="761">
        <f>IF(GetFillColor(G85)&lt;0,Planning!$DP95+Planning!$DQ95+Planning!$EP95+Planning!$EQ95,0)</f>
      </c>
      <c r="H85" s="761">
        <v>0</v>
      </c>
      <c r="I85" s="761">
        <v>0</v>
      </c>
      <c r="J85" s="762">
        <f>IF(GetFillColor(J85)&lt;0,Planning!$HB95+Planning!$HC95+Planning!$IB95+Planning!$IC95,0)</f>
      </c>
      <c r="K85" s="762">
        <f>IF(GetFillColor(K85)&lt;0,Planning!$IE95+Planning!$IF95+Planning!$JE95+Planning!$JF95,0)</f>
      </c>
      <c r="L85" s="762">
        <f>IF(GetFillColor(L85)&lt;0,Planning!$JH95+Planning!$JI95+Planning!$KH95+Planning!$KI95,0)</f>
      </c>
      <c r="M85" s="762">
        <f>IF(GetFillColor(M85)&lt;0,Planning!$KK95+Planning!$KL95+Planning!$LK95+Planning!$LL95,0)</f>
      </c>
      <c r="N85" s="762">
        <f>IF(GetFillColor(N85)&lt;0,Planning!$LN95+Planning!$LO95+Planning!$MN95+Planning!$MO95,0)</f>
      </c>
      <c r="O85" s="761">
        <v>0</v>
      </c>
      <c r="P85" s="761">
        <v>0</v>
      </c>
      <c r="Q85" s="762">
        <f>IF(GetFillColor(Q85)&lt;0,Planning!$OZ95+Planning!$PA95+Planning!$PZ95+Planning!$QA95,0)</f>
      </c>
      <c r="R85" s="762">
        <f>IF(GetFillColor(R85)&lt;0,Planning!$QC95+Planning!$QD95+Planning!$RC95+Planning!$RD95,0)</f>
      </c>
      <c r="S85" s="762">
        <f>IF(GetFillColor(S85)&lt;0,Planning!$RF95+Planning!$RG95+Planning!$SF95+Planning!$SG95,0)</f>
      </c>
      <c r="T85" s="762">
        <f>IF(GetFillColor(T85)&lt;0,Planning!$SI95+Planning!$SJ95+Planning!$TI95+Planning!$TJ95,0)</f>
      </c>
      <c r="U85" s="762">
        <f>IF(GetFillColor(U85)&lt;0,Planning!$TL95+Planning!$TM95+Planning!$UL95+Planning!$UM95,0)</f>
      </c>
      <c r="V85" s="761">
        <v>0</v>
      </c>
      <c r="W85" s="761">
        <v>0</v>
      </c>
      <c r="X85" s="762">
        <f>IF(GetFillColor(X85)&lt;0,Planning!$WX95+Planning!$WY95+Planning!$XX95+Planning!$XY95,0)</f>
      </c>
      <c r="Y85" s="762">
        <f>IF(GetFillColor(Y85)&lt;0,Planning!$YA95+Planning!$YB95+Planning!$ZA95+Planning!$ZB95,0)</f>
      </c>
      <c r="Z85" s="762">
        <f>IF(GetFillColor(Z85)&lt;0,Planning!$ZD95+Planning!$ZE95+Planning!$AAD95+Planning!$AAE95,0)</f>
      </c>
      <c r="AA85" s="762">
        <f>IF(GetFillColor(AA85)&lt;0,Planning!$AAG95+Planning!$AAH95+Planning!$ABG95+Planning!$ABH95,0)</f>
      </c>
      <c r="AB85" s="762">
        <f>IF(GetFillColor(AB85)&lt;0,Planning!$ABJ95+Planning!$ABK95+Planning!$ACJ95+Planning!$ACK95,0)</f>
      </c>
      <c r="AC85" s="761">
        <v>0</v>
      </c>
      <c r="AD85" s="761">
        <v>0</v>
      </c>
      <c r="AE85" s="762">
        <f>IF(GetFillColor(AE85)&lt;0,Planning!$AEV95+Planning!$AEW95+Planning!$AFV95+Planning!$AFW95,0)</f>
      </c>
      <c r="AF85" s="762">
        <f>IF(GetFillColor(AF85)&lt;0,Planning!$AFY95+Planning!$AFZ95+Planning!$AGY95+Planning!$AGZ95,0)</f>
      </c>
      <c r="AG85" s="762">
        <f>IF(GetFillColor(AG85)&lt;0,Planning!$AHB95+Planning!$AHC95+Planning!$AIB95+Planning!$AIC95,0)</f>
      </c>
      <c r="AH85" s="762">
        <f>IF(GetFillColor(AH85)&lt;0,Planning!$AIE95+Planning!$AIF95+Planning!$AJE95+Planning!$AJF95,0)</f>
      </c>
      <c r="AI85" s="762">
        <f>IF(GetFillColor(AI85)&lt;0,Planning!$AJH95+Planning!$AJI95+Planning!$AKH95+Planning!$AKI95,0)</f>
      </c>
      <c r="AJ85" s="761">
        <v>0</v>
      </c>
      <c r="AK85" s="760">
        <v>0</v>
      </c>
      <c r="AL85" s="698">
        <f>SUM(C85:AK85)</f>
      </c>
      <c r="AM85" s="4"/>
      <c r="AN85" s="4"/>
    </row>
    <row r="86" ht="20.25" customHeight="1" spans="1:40" x14ac:dyDescent="0.25">
      <c r="A86" s="4">
        <f>A42</f>
      </c>
      <c r="B86" s="4"/>
      <c r="C86" s="760">
        <f>IF(GetFillColor(C86)&lt;0,Planning!$D96+Planning!$E96+Planning!$AD96+Planning!$AE96,0)</f>
      </c>
      <c r="D86" s="760">
        <f>IF(GetFillColor(D86)&lt;0,Planning!$AG96+Planning!$AH96+Planning!$BG96+Planning!$BH96,0)</f>
      </c>
      <c r="E86" s="760">
        <f>IF(GetFillColor(E86)&lt;0,Planning!$BJ96+Planning!$BK96+Planning!$CJ96+Planning!$CK96,0)</f>
      </c>
      <c r="F86" s="761">
        <f>IF(GetFillColor(F86)&lt;0,Planning!$CM96+Planning!$CN96+Planning!$DM96+Planning!$DN96,0)</f>
      </c>
      <c r="G86" s="761">
        <f>IF(GetFillColor(G86)&lt;0,Planning!$DP96+Planning!$DQ96+Planning!$EP96+Planning!$EQ96,0)</f>
      </c>
      <c r="H86" s="761">
        <v>0</v>
      </c>
      <c r="I86" s="761">
        <v>0</v>
      </c>
      <c r="J86" s="762">
        <f>IF(GetFillColor(J86)&lt;0,Planning!$HB96+Planning!$HC96+Planning!$IB96+Planning!$IC96,0)</f>
      </c>
      <c r="K86" s="762">
        <f>IF(GetFillColor(K86)&lt;0,Planning!$IE96+Planning!$IF96+Planning!$JE96+Planning!$JF96,0)</f>
      </c>
      <c r="L86" s="762">
        <f>IF(GetFillColor(L86)&lt;0,Planning!$JH96+Planning!$JI96+Planning!$KH96+Planning!$KI96,0)</f>
      </c>
      <c r="M86" s="762">
        <f>IF(GetFillColor(M86)&lt;0,Planning!$KK96+Planning!$KL96+Planning!$LK96+Planning!$LL96,0)</f>
      </c>
      <c r="N86" s="762">
        <f>IF(GetFillColor(N86)&lt;0,Planning!$LN96+Planning!$LO96+Planning!$MN96+Planning!$MO96,0)</f>
      </c>
      <c r="O86" s="761">
        <v>0</v>
      </c>
      <c r="P86" s="761">
        <v>0</v>
      </c>
      <c r="Q86" s="762">
        <f>IF(GetFillColor(Q86)&lt;0,Planning!$OZ96+Planning!$PA96+Planning!$PZ96+Planning!$QA96,0)</f>
      </c>
      <c r="R86" s="762">
        <f>IF(GetFillColor(R86)&lt;0,Planning!$QC96+Planning!$QD96+Planning!$RC96+Planning!$RD96,0)</f>
      </c>
      <c r="S86" s="762">
        <f>IF(GetFillColor(S86)&lt;0,Planning!$RF96+Planning!$RG96+Planning!$SF96+Planning!$SG96,0)</f>
      </c>
      <c r="T86" s="762">
        <f>IF(GetFillColor(T86)&lt;0,Planning!$SI96+Planning!$SJ96+Planning!$TI96+Planning!$TJ96,0)</f>
      </c>
      <c r="U86" s="762">
        <f>IF(GetFillColor(U86)&lt;0,Planning!$TL96+Planning!$TM96+Planning!$UL96+Planning!$UM96,0)</f>
      </c>
      <c r="V86" s="761">
        <v>0</v>
      </c>
      <c r="W86" s="761">
        <v>0</v>
      </c>
      <c r="X86" s="762">
        <f>IF(GetFillColor(X86)&lt;0,Planning!$WX96+Planning!$WY96+Planning!$XX96+Planning!$XY96,0)</f>
      </c>
      <c r="Y86" s="762">
        <f>IF(GetFillColor(Y86)&lt;0,Planning!$YA96+Planning!$YB96+Planning!$ZA96+Planning!$ZB96,0)</f>
      </c>
      <c r="Z86" s="762">
        <f>IF(GetFillColor(Z86)&lt;0,Planning!$ZD96+Planning!$ZE96+Planning!$AAD96+Planning!$AAE96,0)</f>
      </c>
      <c r="AA86" s="762">
        <f>IF(GetFillColor(AA86)&lt;0,Planning!$AAG96+Planning!$AAH96+Planning!$ABG96+Planning!$ABH96,0)</f>
      </c>
      <c r="AB86" s="762">
        <f>IF(GetFillColor(AB86)&lt;0,Planning!$ABJ96+Planning!$ABK96+Planning!$ACJ96+Planning!$ACK96,0)</f>
      </c>
      <c r="AC86" s="761">
        <v>0</v>
      </c>
      <c r="AD86" s="761">
        <v>0</v>
      </c>
      <c r="AE86" s="762">
        <f>IF(GetFillColor(AE86)&lt;0,Planning!$AEV96+Planning!$AEW96+Planning!$AFV96+Planning!$AFW96,0)</f>
      </c>
      <c r="AF86" s="762">
        <f>IF(GetFillColor(AF86)&lt;0,Planning!$AFY96+Planning!$AFZ96+Planning!$AGY96+Planning!$AGZ96,0)</f>
      </c>
      <c r="AG86" s="762">
        <f>IF(GetFillColor(AG86)&lt;0,Planning!$AHB96+Planning!$AHC96+Planning!$AIB96+Planning!$AIC96,0)</f>
      </c>
      <c r="AH86" s="762">
        <f>IF(GetFillColor(AH86)&lt;0,Planning!$AIE96+Planning!$AIF96+Planning!$AJE96+Planning!$AJF96,0)</f>
      </c>
      <c r="AI86" s="762">
        <f>IF(GetFillColor(AI86)&lt;0,Planning!$AJH96+Planning!$AJI96+Planning!$AKH96+Planning!$AKI96,0)</f>
      </c>
      <c r="AJ86" s="761">
        <v>0</v>
      </c>
      <c r="AK86" s="760">
        <v>0</v>
      </c>
      <c r="AL86" s="698">
        <f>SUM(C86:AK86)</f>
      </c>
      <c r="AM86" s="4"/>
      <c r="AN86" s="4"/>
    </row>
    <row r="87" ht="20.25" customHeight="1" spans="1:40" x14ac:dyDescent="0.25">
      <c r="A87" s="4">
        <f>A43</f>
      </c>
      <c r="B87" s="4"/>
      <c r="C87" s="760">
        <f>IF(GetFillColor(C87)&lt;0,Planning!$D97+Planning!$E97+Planning!$AD97+Planning!$AE97,0)</f>
      </c>
      <c r="D87" s="760">
        <f>IF(GetFillColor(D87)&lt;0,Planning!$AG97+Planning!$AH97+Planning!$BG97+Planning!$BH97,0)</f>
      </c>
      <c r="E87" s="760">
        <f>IF(GetFillColor(E87)&lt;0,Planning!$BJ97+Planning!$BK97+Planning!$CJ97+Planning!$CK97,0)</f>
      </c>
      <c r="F87" s="761">
        <f>IF(GetFillColor(F87)&lt;0,Planning!$CM97+Planning!$CN97+Planning!$DM97+Planning!$DN97,0)</f>
      </c>
      <c r="G87" s="761">
        <f>IF(GetFillColor(G87)&lt;0,Planning!$DP97+Planning!$DQ97+Planning!$EP97+Planning!$EQ97,0)</f>
      </c>
      <c r="H87" s="761">
        <v>0</v>
      </c>
      <c r="I87" s="761">
        <v>0</v>
      </c>
      <c r="J87" s="762">
        <f>IF(GetFillColor(J87)&lt;0,Planning!$HB97+Planning!$HC97+Planning!$IB97+Planning!$IC97,0)</f>
      </c>
      <c r="K87" s="762">
        <f>IF(GetFillColor(K87)&lt;0,Planning!$IE97+Planning!$IF97+Planning!$JE97+Planning!$JF97,0)</f>
      </c>
      <c r="L87" s="762">
        <f>IF(GetFillColor(L87)&lt;0,Planning!$JH97+Planning!$JI97+Planning!$KH97+Planning!$KI97,0)</f>
      </c>
      <c r="M87" s="762">
        <f>IF(GetFillColor(M87)&lt;0,Planning!$KK97+Planning!$KL97+Planning!$LK97+Planning!$LL97,0)</f>
      </c>
      <c r="N87" s="762">
        <f>IF(GetFillColor(N87)&lt;0,Planning!$LN97+Planning!$LO97+Planning!$MN97+Planning!$MO97,0)</f>
      </c>
      <c r="O87" s="761">
        <v>0</v>
      </c>
      <c r="P87" s="761">
        <v>0</v>
      </c>
      <c r="Q87" s="762">
        <f>IF(GetFillColor(Q87)&lt;0,Planning!$OZ97+Planning!$PA97+Planning!$PZ97+Planning!$QA97,0)</f>
      </c>
      <c r="R87" s="762">
        <f>IF(GetFillColor(R87)&lt;0,Planning!$QC97+Planning!$QD97+Planning!$RC97+Planning!$RD97,0)</f>
      </c>
      <c r="S87" s="762">
        <f>IF(GetFillColor(S87)&lt;0,Planning!$RF97+Planning!$RG97+Planning!$SF97+Planning!$SG97,0)</f>
      </c>
      <c r="T87" s="762">
        <f>IF(GetFillColor(T87)&lt;0,Planning!$SI97+Planning!$SJ97+Planning!$TI97+Planning!$TJ97,0)</f>
      </c>
      <c r="U87" s="762">
        <f>IF(GetFillColor(U87)&lt;0,Planning!$TL97+Planning!$TM97+Planning!$UL97+Planning!$UM97,0)</f>
      </c>
      <c r="V87" s="761">
        <v>0</v>
      </c>
      <c r="W87" s="761">
        <v>0</v>
      </c>
      <c r="X87" s="762">
        <f>IF(GetFillColor(X87)&lt;0,Planning!$WX97+Planning!$WY97+Planning!$XX97+Planning!$XY97,0)</f>
      </c>
      <c r="Y87" s="762">
        <f>IF(GetFillColor(Y87)&lt;0,Planning!$YA97+Planning!$YB97+Planning!$ZA97+Planning!$ZB97,0)</f>
      </c>
      <c r="Z87" s="762">
        <f>IF(GetFillColor(Z87)&lt;0,Planning!$ZD97+Planning!$ZE97+Planning!$AAD97+Planning!$AAE97,0)</f>
      </c>
      <c r="AA87" s="762">
        <f>IF(GetFillColor(AA87)&lt;0,Planning!$AAG97+Planning!$AAH97+Planning!$ABG97+Planning!$ABH97,0)</f>
      </c>
      <c r="AB87" s="762">
        <f>IF(GetFillColor(AB87)&lt;0,Planning!$ABJ97+Planning!$ABK97+Planning!$ACJ97+Planning!$ACK97,0)</f>
      </c>
      <c r="AC87" s="761">
        <v>0</v>
      </c>
      <c r="AD87" s="761">
        <v>0</v>
      </c>
      <c r="AE87" s="762">
        <f>IF(GetFillColor(AE87)&lt;0,Planning!$AEV97+Planning!$AEW97+Planning!$AFV97+Planning!$AFW97,0)</f>
      </c>
      <c r="AF87" s="762">
        <f>IF(GetFillColor(AF87)&lt;0,Planning!$AFY97+Planning!$AFZ97+Planning!$AGY97+Planning!$AGZ97,0)</f>
      </c>
      <c r="AG87" s="762">
        <f>IF(GetFillColor(AG87)&lt;0,Planning!$AHB97+Planning!$AHC97+Planning!$AIB97+Planning!$AIC97,0)</f>
      </c>
      <c r="AH87" s="762">
        <f>IF(GetFillColor(AH87)&lt;0,Planning!$AIE97+Planning!$AIF97+Planning!$AJE97+Planning!$AJF97,0)</f>
      </c>
      <c r="AI87" s="762">
        <f>IF(GetFillColor(AI87)&lt;0,Planning!$AJH97+Planning!$AJI97+Planning!$AKH97+Planning!$AKI97,0)</f>
      </c>
      <c r="AJ87" s="761">
        <v>0</v>
      </c>
      <c r="AK87" s="760">
        <v>0</v>
      </c>
      <c r="AL87" s="698">
        <f>SUM(C87:AK87)</f>
      </c>
      <c r="AM87" s="4"/>
      <c r="AN87" s="4"/>
    </row>
    <row r="88" ht="20.25" customHeight="1" spans="1:40" x14ac:dyDescent="0.25">
      <c r="A88" s="4">
        <f>A44</f>
      </c>
      <c r="B88" s="4"/>
      <c r="C88" s="760">
        <f>IF(GetFillColor(C88)&lt;0,Planning!$D98+Planning!$E98+Planning!$AD98+Planning!$AE98,0)</f>
      </c>
      <c r="D88" s="760">
        <f>IF(GetFillColor(D88)&lt;0,Planning!$AG98+Planning!$AH98+Planning!$BG98+Planning!$BH98,0)</f>
      </c>
      <c r="E88" s="760">
        <f>IF(GetFillColor(E88)&lt;0,Planning!$BJ98+Planning!$BK98+Planning!$CJ98+Planning!$CK98,0)</f>
      </c>
      <c r="F88" s="761">
        <f>IF(GetFillColor(F88)&lt;0,Planning!$CM98+Planning!$CN98+Planning!$DM98+Planning!$DN98,0)</f>
      </c>
      <c r="G88" s="761">
        <f>IF(GetFillColor(G88)&lt;0,Planning!$DP98+Planning!$DQ98+Planning!$EP98+Planning!$EQ98,0)</f>
      </c>
      <c r="H88" s="761">
        <v>0</v>
      </c>
      <c r="I88" s="761">
        <v>0</v>
      </c>
      <c r="J88" s="762">
        <f>IF(GetFillColor(J88)&lt;0,Planning!$HB98+Planning!$HC98+Planning!$IB98+Planning!$IC98,0)</f>
      </c>
      <c r="K88" s="762">
        <f>IF(GetFillColor(K88)&lt;0,Planning!$IE98+Planning!$IF98+Planning!$JE98+Planning!$JF98,0)</f>
      </c>
      <c r="L88" s="762">
        <f>IF(GetFillColor(L88)&lt;0,Planning!$JH98+Planning!$JI98+Planning!$KH98+Planning!$KI98,0)</f>
      </c>
      <c r="M88" s="762">
        <f>IF(GetFillColor(M88)&lt;0,Planning!$KK98+Planning!$KL98+Planning!$LK98+Planning!$LL98,0)</f>
      </c>
      <c r="N88" s="762">
        <f>IF(GetFillColor(N88)&lt;0,Planning!$LN98+Planning!$LO98+Planning!$MN98+Planning!$MO98,0)</f>
      </c>
      <c r="O88" s="761">
        <v>0</v>
      </c>
      <c r="P88" s="761">
        <v>0</v>
      </c>
      <c r="Q88" s="762">
        <f>IF(GetFillColor(Q88)&lt;0,Planning!$OZ98+Planning!$PA98+Planning!$PZ98+Planning!$QA98,0)</f>
      </c>
      <c r="R88" s="762">
        <f>IF(GetFillColor(R88)&lt;0,Planning!$QC98+Planning!$QD98+Planning!$RC98+Planning!$RD98,0)</f>
      </c>
      <c r="S88" s="762">
        <f>IF(GetFillColor(S88)&lt;0,Planning!$RF98+Planning!$RG98+Planning!$SF98+Planning!$SG98,0)</f>
      </c>
      <c r="T88" s="762">
        <f>IF(GetFillColor(T88)&lt;0,Planning!$SI98+Planning!$SJ98+Planning!$TI98+Planning!$TJ98,0)</f>
      </c>
      <c r="U88" s="762">
        <f>IF(GetFillColor(U88)&lt;0,Planning!$TL98+Planning!$TM98+Planning!$UL98+Planning!$UM98,0)</f>
      </c>
      <c r="V88" s="761">
        <v>0</v>
      </c>
      <c r="W88" s="761">
        <v>0</v>
      </c>
      <c r="X88" s="762">
        <f>IF(GetFillColor(X88)&lt;0,Planning!$WX98+Planning!$WY98+Planning!$XX98+Planning!$XY98,0)</f>
      </c>
      <c r="Y88" s="762">
        <f>IF(GetFillColor(Y88)&lt;0,Planning!$YA98+Planning!$YB98+Planning!$ZA98+Planning!$ZB98,0)</f>
      </c>
      <c r="Z88" s="762">
        <f>IF(GetFillColor(Z88)&lt;0,Planning!$ZD98+Planning!$ZE98+Planning!$AAD98+Planning!$AAE98,0)</f>
      </c>
      <c r="AA88" s="762">
        <f>IF(GetFillColor(AA88)&lt;0,Planning!$AAG98+Planning!$AAH98+Planning!$ABG98+Planning!$ABH98,0)</f>
      </c>
      <c r="AB88" s="762">
        <f>IF(GetFillColor(AB88)&lt;0,Planning!$ABJ98+Planning!$ABK98+Planning!$ACJ98+Planning!$ACK98,0)</f>
      </c>
      <c r="AC88" s="761">
        <v>0</v>
      </c>
      <c r="AD88" s="761">
        <v>0</v>
      </c>
      <c r="AE88" s="762">
        <f>IF(GetFillColor(AE88)&lt;0,Planning!$AEV98+Planning!$AEW98+Planning!$AFV98+Planning!$AFW98,0)</f>
      </c>
      <c r="AF88" s="762">
        <f>IF(GetFillColor(AF88)&lt;0,Planning!$AFY98+Planning!$AFZ98+Planning!$AGY98+Planning!$AGZ98,0)</f>
      </c>
      <c r="AG88" s="762">
        <f>IF(GetFillColor(AG88)&lt;0,Planning!$AHB98+Planning!$AHC98+Planning!$AIB98+Planning!$AIC98,0)</f>
      </c>
      <c r="AH88" s="762">
        <f>IF(GetFillColor(AH88)&lt;0,Planning!$AIE98+Planning!$AIF98+Planning!$AJE98+Planning!$AJF98,0)</f>
      </c>
      <c r="AI88" s="762">
        <f>IF(GetFillColor(AI88)&lt;0,Planning!$AJH98+Planning!$AJI98+Planning!$AKH98+Planning!$AKI98,0)</f>
      </c>
      <c r="AJ88" s="761">
        <v>0</v>
      </c>
      <c r="AK88" s="760">
        <v>0</v>
      </c>
      <c r="AL88" s="698">
        <f>SUM(C88:AK88)</f>
      </c>
      <c r="AM88" s="4"/>
      <c r="AN88" s="4"/>
    </row>
    <row r="89" ht="15" customHeight="1" spans="1:4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ht="80.25" customHeight="1" spans="1:40" s="754" customFormat="1" x14ac:dyDescent="0.25">
      <c r="A90" s="755" t="s">
        <v>244</v>
      </c>
      <c r="B90" s="756"/>
      <c r="C90" s="757">
        <f>C46</f>
      </c>
      <c r="D90" s="757">
        <f>D46</f>
      </c>
      <c r="E90" s="757">
        <f>E46</f>
      </c>
      <c r="F90" s="757">
        <f>F46</f>
      </c>
      <c r="G90" s="757">
        <f>G46</f>
      </c>
      <c r="H90" s="757">
        <f>H46</f>
      </c>
      <c r="I90" s="757">
        <f>I46</f>
      </c>
      <c r="J90" s="757">
        <f>J46</f>
      </c>
      <c r="K90" s="757">
        <f>K46</f>
      </c>
      <c r="L90" s="757">
        <f>L46</f>
      </c>
      <c r="M90" s="757">
        <f>M46</f>
      </c>
      <c r="N90" s="757">
        <f>N46</f>
      </c>
      <c r="O90" s="757">
        <f>O46</f>
      </c>
      <c r="P90" s="757">
        <f>P46</f>
      </c>
      <c r="Q90" s="757">
        <f>Q46</f>
      </c>
      <c r="R90" s="757">
        <f>R46</f>
      </c>
      <c r="S90" s="757">
        <f>S46</f>
      </c>
      <c r="T90" s="757">
        <f>T46</f>
      </c>
      <c r="U90" s="757">
        <f>U46</f>
      </c>
      <c r="V90" s="757">
        <f>V46</f>
      </c>
      <c r="W90" s="757">
        <f>W46</f>
      </c>
      <c r="X90" s="757">
        <f>X46</f>
      </c>
      <c r="Y90" s="757">
        <f>Y46</f>
      </c>
      <c r="Z90" s="757">
        <f>Z46</f>
      </c>
      <c r="AA90" s="757">
        <f>AA46</f>
      </c>
      <c r="AB90" s="757">
        <f>AB46</f>
      </c>
      <c r="AC90" s="757">
        <f>AC46</f>
      </c>
      <c r="AD90" s="757">
        <f>AD46</f>
      </c>
      <c r="AE90" s="757">
        <f>AE46</f>
      </c>
      <c r="AF90" s="757">
        <f>AF46</f>
      </c>
      <c r="AG90" s="757">
        <f>AG46</f>
      </c>
      <c r="AH90" s="757">
        <f>AH46</f>
      </c>
      <c r="AI90" s="757">
        <f>AI46</f>
      </c>
      <c r="AJ90" s="757">
        <f>AJ46</f>
      </c>
      <c r="AK90" s="757">
        <f>AK46</f>
      </c>
      <c r="AL90" s="758" t="s">
        <v>236</v>
      </c>
      <c r="AM90" s="4"/>
      <c r="AN90" s="4"/>
    </row>
    <row r="91" ht="10.5" customHeight="1" spans="1:4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ht="20.25" customHeight="1" spans="1:40" x14ac:dyDescent="0.25">
      <c r="A92" s="4">
        <f>A4</f>
      </c>
      <c r="B92" s="4"/>
      <c r="C92" s="760">
        <f>IF(GetFillColor(C92)=15,SUM(Planning!$D57:$AE57),0)</f>
      </c>
      <c r="D92" s="760">
        <f>IF(GetFillColor(D92)=15,SUM(Planning!$AG57:$BH57),0)</f>
      </c>
      <c r="E92" s="760">
        <f>IF(GetFillColor(E92)=15,SUM(Planning!$BJ57:$CK57),0)</f>
      </c>
      <c r="F92" s="763">
        <f>IF(GetFillColor(F92)=15,SUM(Planning!$CM57:$DN57),0)</f>
      </c>
      <c r="G92" s="763">
        <f>IF(GetFillColor(G92)=15,SUM(Planning!$DP57:$EQ57),0)</f>
      </c>
      <c r="H92" s="763">
        <f>IF(GetFillColor(H92)=15,SUM(Planning!$ES57:$FT57),0)</f>
      </c>
      <c r="I92" s="763">
        <f>IF(GetFillColor(I92)=15,SUM(Planning!$FV57:$GW57),0)</f>
      </c>
      <c r="J92" s="762">
        <f>IF(GetFillColor(J92)=15,SUM(Planning!$HB57:$IC57),0)</f>
      </c>
      <c r="K92" s="762">
        <f>IF(GetFillColor(K92)=15,SUM(Planning!$IE57:$JF57),0)</f>
      </c>
      <c r="L92" s="762">
        <f>IF(GetFillColor(L92)=15,SUM(Planning!$JH57:$KI57),0)</f>
      </c>
      <c r="M92" s="762">
        <f>IF(GetFillColor(M92)=15,SUM(Planning!$KK57:$LL57),0)</f>
      </c>
      <c r="N92" s="762">
        <f>IF(GetFillColor(N92)=15,SUM(Planning!$LN57:$MO57),0)</f>
      </c>
      <c r="O92" s="763">
        <f>IF(GetFillColor(O92)=15,SUM(Planning!$MQ57:$NR57),0)</f>
      </c>
      <c r="P92" s="763">
        <f>IF(GetFillColor(P92)=15,SUM(Planning!$NT57:$OU57),0)</f>
      </c>
      <c r="Q92" s="762">
        <f>IF(GetFillColor(Q92)=15,SUM(Planning!$OZ57:$QA57),0)</f>
      </c>
      <c r="R92" s="762">
        <f>IF(GetFillColor(R92)=15,SUM(Planning!$QC57:$RD57),0)</f>
      </c>
      <c r="S92" s="762">
        <f>IF(GetFillColor(S92)=15,SUM(Planning!$RF57:$SG57),0)</f>
      </c>
      <c r="T92" s="762">
        <f>IF(GetFillColor(T92)=15,SUM(Planning!$SI57:$TJ57),0)</f>
      </c>
      <c r="U92" s="762">
        <f>IF(GetFillColor(U92)=15,SUM(Planning!$TL57:$UM57),0)</f>
      </c>
      <c r="V92" s="763">
        <f>IF(GetFillColor(V92)=15,SUM(Planning!$UO57:$VP57),0)</f>
      </c>
      <c r="W92" s="763">
        <f>IF(GetFillColor(W92)=15,SUM(Planning!$VR57:$WS57),0)</f>
      </c>
      <c r="X92" s="762">
        <f>IF(GetFillColor(X92)=15,SUM(Planning!$WX57:$XY57),0)</f>
      </c>
      <c r="Y92" s="762">
        <f>IF(GetFillColor(Y92)=15,SUM(Planning!$YA57:$ZB57),0)</f>
      </c>
      <c r="Z92" s="762">
        <f>IF(GetFillColor(Z92)=15,SUM(Planning!$ZD57:$AAE57),0)</f>
      </c>
      <c r="AA92" s="762">
        <f>IF(GetFillColor(AA92)=15,SUM(Planning!$AAG57:$ABH57),0)</f>
      </c>
      <c r="AB92" s="762">
        <f>IF(GetFillColor(AB92)=15,SUM(Planning!$ABJ57:$ACK57),0)</f>
      </c>
      <c r="AC92" s="763">
        <f>IF(GetFillColor(AC92)=15,SUM(Planning!$ACM57:$ADN57),0)</f>
      </c>
      <c r="AD92" s="763">
        <f>IF(GetFillColor(AD92)=15,SUM(Planning!$ADP57:$AEQ57),0)</f>
      </c>
      <c r="AE92" s="762">
        <f>IF(GetFillColor(AE92)=15,SUM(Planning!$AEV57:$AFW57),0)</f>
      </c>
      <c r="AF92" s="762">
        <f>IF(GetFillColor(AF92)=15,SUM(Planning!$AFY57:$AGZ57),0)</f>
      </c>
      <c r="AG92" s="762">
        <f>IF(GetFillColor(AG92)=15,SUM(Planning!$AHB57:$AIC57),0)</f>
      </c>
      <c r="AH92" s="762">
        <f>IF(GetFillColor(AH92)=15,SUM(Planning!$AIE57:$AJF57),0)</f>
      </c>
      <c r="AI92" s="762">
        <f>IF(GetFillColor(AI92)=15,SUM(Planning!$AJH57:$AKI57),0)</f>
      </c>
      <c r="AJ92" s="763">
        <f>IF(GetFillColor(AJ92)=15,SUM(Planning!$AKK57:$ALL57),0)</f>
      </c>
      <c r="AK92" s="760">
        <f>IF(GetFillColor(AK92)=15,SUM(Planning!$ALN57:$AMO57),0)</f>
      </c>
      <c r="AL92" s="698">
        <f>SUM(C92:AK92)</f>
      </c>
      <c r="AM92" s="4"/>
      <c r="AN92" s="4"/>
    </row>
    <row r="93" ht="20.25" customHeight="1" spans="1:40" x14ac:dyDescent="0.25">
      <c r="A93" s="4">
        <f>A5</f>
      </c>
      <c r="B93" s="4"/>
      <c r="C93" s="760">
        <f>IF(GetFillColor(C93)=15,SUM(Planning!$D58:$AE58),0)</f>
      </c>
      <c r="D93" s="760">
        <f>IF(GetFillColor(D93)=15,SUM(Planning!$AG58:$BH58),0)</f>
      </c>
      <c r="E93" s="760">
        <f>IF(GetFillColor(E93)=15,SUM(Planning!$BJ58:$CK58),0)</f>
      </c>
      <c r="F93" s="763">
        <f>IF(GetFillColor(F93)=15,SUM(Planning!$CM58:$DN58),0)</f>
      </c>
      <c r="G93" s="763">
        <f>IF(GetFillColor(G93)=15,SUM(Planning!$DP58:$EQ58),0)</f>
      </c>
      <c r="H93" s="763">
        <f>IF(GetFillColor(H93)=15,SUM(Planning!$ES58:$FT58),0)</f>
      </c>
      <c r="I93" s="763">
        <f>IF(GetFillColor(I93)=15,SUM(Planning!$FV58:$GW58),0)</f>
      </c>
      <c r="J93" s="762">
        <f>IF(GetFillColor(J93)=15,SUM(Planning!$HB58:$IC58),0)</f>
      </c>
      <c r="K93" s="762">
        <f>IF(GetFillColor(K93)=15,SUM(Planning!$IE58:$JF58),0)</f>
      </c>
      <c r="L93" s="762">
        <f>IF(GetFillColor(L93)=15,SUM(Planning!$JH58:$KI58),0)</f>
      </c>
      <c r="M93" s="762">
        <f>IF(GetFillColor(M93)=15,SUM(Planning!$KK58:$LL58),0)</f>
      </c>
      <c r="N93" s="762">
        <f>IF(GetFillColor(N93)=15,SUM(Planning!$LN58:$MO58),0)</f>
      </c>
      <c r="O93" s="763">
        <f>IF(GetFillColor(O93)=15,SUM(Planning!$MQ58:$NR58),0)</f>
      </c>
      <c r="P93" s="763">
        <f>IF(GetFillColor(P93)=15,SUM(Planning!$NT58:$OU58),0)</f>
      </c>
      <c r="Q93" s="762">
        <f>IF(GetFillColor(Q93)=15,SUM(Planning!$OZ58:$QA58),0)</f>
      </c>
      <c r="R93" s="762">
        <f>IF(GetFillColor(R93)=15,SUM(Planning!$QC58:$RD58),0)</f>
      </c>
      <c r="S93" s="762">
        <f>IF(GetFillColor(S93)=15,SUM(Planning!$RF58:$SG58),0)</f>
      </c>
      <c r="T93" s="762">
        <f>IF(GetFillColor(T93)=15,SUM(Planning!$SI58:$TJ58),0)</f>
      </c>
      <c r="U93" s="762">
        <f>IF(GetFillColor(U93)=15,SUM(Planning!$TL58:$UM58),0)</f>
      </c>
      <c r="V93" s="763">
        <f>IF(GetFillColor(V93)=15,SUM(Planning!$UO58:$VP58),0)</f>
      </c>
      <c r="W93" s="763">
        <f>IF(GetFillColor(W93)=15,SUM(Planning!$VR58:$WS58),0)</f>
      </c>
      <c r="X93" s="762">
        <f>IF(GetFillColor(X93)=15,SUM(Planning!$WX58:$XY58),0)</f>
      </c>
      <c r="Y93" s="762">
        <f>IF(GetFillColor(Y93)=15,SUM(Planning!$YA58:$ZB58),0)</f>
      </c>
      <c r="Z93" s="762">
        <f>IF(GetFillColor(Z93)=15,SUM(Planning!$ZD58:$AAE58),0)</f>
      </c>
      <c r="AA93" s="762">
        <f>IF(GetFillColor(AA93)=15,SUM(Planning!$AAG58:$ABH58),0)</f>
      </c>
      <c r="AB93" s="762">
        <f>IF(GetFillColor(AB93)=15,SUM(Planning!$ABJ58:$ACK58),0)</f>
      </c>
      <c r="AC93" s="763">
        <f>IF(GetFillColor(AC93)=15,SUM(Planning!$ACM58:$ADN58),0)</f>
      </c>
      <c r="AD93" s="763">
        <f>IF(GetFillColor(AD93)=15,SUM(Planning!$ADP58:$AEQ58),0)</f>
      </c>
      <c r="AE93" s="762">
        <f>IF(GetFillColor(AE93)=15,SUM(Planning!$AEV58:$AFW58),0)</f>
      </c>
      <c r="AF93" s="762">
        <f>IF(GetFillColor(AF93)=15,SUM(Planning!$AFY58:$AGZ58),0)</f>
      </c>
      <c r="AG93" s="762">
        <f>IF(GetFillColor(AG93)=15,SUM(Planning!$AHB58:$AIC58),0)</f>
      </c>
      <c r="AH93" s="762">
        <f>IF(GetFillColor(AH93)=15,SUM(Planning!$AIE58:$AJF58),0)</f>
      </c>
      <c r="AI93" s="762">
        <f>IF(GetFillColor(AI93)=15,SUM(Planning!$AJH58:$AKI58),0)</f>
      </c>
      <c r="AJ93" s="763">
        <f>IF(GetFillColor(AJ93)=15,SUM(Planning!$AKK58:$ALL58),0)</f>
      </c>
      <c r="AK93" s="760">
        <f>IF(GetFillColor(AK93)=15,SUM(Planning!$ALN58:$AMO58),0)</f>
      </c>
      <c r="AL93" s="698">
        <f>SUM(C93:AK93)</f>
      </c>
      <c r="AM93" s="4"/>
      <c r="AN93" s="4"/>
    </row>
    <row r="94" ht="20.25" customHeight="1" spans="1:40" x14ac:dyDescent="0.25">
      <c r="A94" s="4">
        <f>A6</f>
      </c>
      <c r="B94" s="4"/>
      <c r="C94" s="760">
        <f>IF(GetFillColor(C94)=15,SUM(Planning!$D59:$AE59),0)</f>
      </c>
      <c r="D94" s="760">
        <f>IF(GetFillColor(D94)=15,SUM(Planning!$AG59:$BH59),0)</f>
      </c>
      <c r="E94" s="760">
        <f>IF(GetFillColor(E94)=15,SUM(Planning!$BJ59:$CK59),0)</f>
      </c>
      <c r="F94" s="763">
        <f>IF(GetFillColor(F94)=15,SUM(Planning!$CM59:$DN59),0)</f>
      </c>
      <c r="G94" s="763">
        <f>IF(GetFillColor(G94)=15,SUM(Planning!$DP59:$EQ59),0)</f>
      </c>
      <c r="H94" s="763">
        <f>IF(GetFillColor(H94)=15,SUM(Planning!$ES59:$FT59),0)</f>
      </c>
      <c r="I94" s="763">
        <f>IF(GetFillColor(I94)=15,SUM(Planning!$FV59:$GW59),0)</f>
      </c>
      <c r="J94" s="762">
        <f>IF(GetFillColor(J94)=15,SUM(Planning!$HB59:$IC59),0)</f>
      </c>
      <c r="K94" s="762">
        <f>IF(GetFillColor(K94)=15,SUM(Planning!$IE59:$JF59),0)</f>
      </c>
      <c r="L94" s="762">
        <f>IF(GetFillColor(L94)=15,SUM(Planning!$JH59:$KI59),0)</f>
      </c>
      <c r="M94" s="762">
        <f>IF(GetFillColor(M94)=15,SUM(Planning!$KK59:$LL59),0)</f>
      </c>
      <c r="N94" s="762">
        <f>IF(GetFillColor(N94)=15,SUM(Planning!$LN59:$MO59),0)</f>
      </c>
      <c r="O94" s="763">
        <f>IF(GetFillColor(O94)=15,SUM(Planning!$MQ59:$NR59),0)</f>
      </c>
      <c r="P94" s="763">
        <f>IF(GetFillColor(P94)=15,SUM(Planning!$NT59:$OU59),0)</f>
      </c>
      <c r="Q94" s="762">
        <f>IF(GetFillColor(Q94)=15,SUM(Planning!$OZ59:$QA59),0)</f>
      </c>
      <c r="R94" s="762">
        <f>IF(GetFillColor(R94)=15,SUM(Planning!$QC59:$RD59),0)</f>
      </c>
      <c r="S94" s="762">
        <f>IF(GetFillColor(S94)=15,SUM(Planning!$RF59:$SG59),0)</f>
      </c>
      <c r="T94" s="762">
        <f>IF(GetFillColor(T94)=15,SUM(Planning!$SI59:$TJ59),0)</f>
      </c>
      <c r="U94" s="762">
        <f>IF(GetFillColor(U94)=15,SUM(Planning!$TL59:$UM59),0)</f>
      </c>
      <c r="V94" s="763">
        <f>IF(GetFillColor(V94)=15,SUM(Planning!$UO59:$VP59),0)</f>
      </c>
      <c r="W94" s="763">
        <f>IF(GetFillColor(W94)=15,SUM(Planning!$VR59:$WS59),0)</f>
      </c>
      <c r="X94" s="762">
        <f>IF(GetFillColor(X94)=15,SUM(Planning!$WX59:$XY59),0)</f>
      </c>
      <c r="Y94" s="762">
        <f>IF(GetFillColor(Y94)=15,SUM(Planning!$YA59:$ZB59),0)</f>
      </c>
      <c r="Z94" s="762">
        <f>IF(GetFillColor(Z94)=15,SUM(Planning!$ZD59:$AAE59),0)</f>
      </c>
      <c r="AA94" s="762">
        <f>IF(GetFillColor(AA94)=15,SUM(Planning!$AAG59:$ABH59),0)</f>
      </c>
      <c r="AB94" s="762">
        <f>IF(GetFillColor(AB94)=15,SUM(Planning!$ABJ59:$ACK59),0)</f>
      </c>
      <c r="AC94" s="763">
        <f>IF(GetFillColor(AC94)=15,SUM(Planning!$ACM59:$ADN59),0)</f>
      </c>
      <c r="AD94" s="763">
        <f>IF(GetFillColor(AD94)=15,SUM(Planning!$ADP59:$AEQ59),0)</f>
      </c>
      <c r="AE94" s="762">
        <f>IF(GetFillColor(AE94)=15,SUM(Planning!$AEV59:$AFW59),0)</f>
      </c>
      <c r="AF94" s="762">
        <f>IF(GetFillColor(AF94)=15,SUM(Planning!$AFY59:$AGZ59),0)</f>
      </c>
      <c r="AG94" s="762">
        <f>IF(GetFillColor(AG94)=15,SUM(Planning!$AHB59:$AIC59),0)</f>
      </c>
      <c r="AH94" s="762">
        <f>IF(GetFillColor(AH94)=15,SUM(Planning!$AIE59:$AJF59),0)</f>
      </c>
      <c r="AI94" s="762">
        <f>IF(GetFillColor(AI94)=15,SUM(Planning!$AJH59:$AKI59),0)</f>
      </c>
      <c r="AJ94" s="763">
        <f>IF(GetFillColor(AJ94)=15,SUM(Planning!$AKK59:$ALL59),0)</f>
      </c>
      <c r="AK94" s="760">
        <f>IF(GetFillColor(AK94)=15,SUM(Planning!$ALN59:$AMO59),0)</f>
      </c>
      <c r="AL94" s="698">
        <f>SUM(C94:AK94)</f>
      </c>
      <c r="AM94" s="4"/>
      <c r="AN94" s="4"/>
    </row>
    <row r="95" ht="20.25" customHeight="1" spans="1:40" x14ac:dyDescent="0.25">
      <c r="A95" s="4">
        <f>A7</f>
      </c>
      <c r="B95" s="4"/>
      <c r="C95" s="760">
        <f>IF(GetFillColor(C95)=15,SUM(Planning!$D60:$AE60),0)</f>
      </c>
      <c r="D95" s="760">
        <f>IF(GetFillColor(D95)=15,SUM(Planning!$AG60:$BH60),0)</f>
      </c>
      <c r="E95" s="760">
        <f>IF(GetFillColor(E95)=15,SUM(Planning!$BJ60:$CK60),0)</f>
      </c>
      <c r="F95" s="763">
        <f>IF(GetFillColor(F95)=15,SUM(Planning!$CM60:$DN60),0)</f>
      </c>
      <c r="G95" s="763">
        <f>IF(GetFillColor(G95)=15,SUM(Planning!$DP60:$EQ60),0)</f>
      </c>
      <c r="H95" s="763">
        <f>IF(GetFillColor(H95)=15,SUM(Planning!$ES60:$FT60),0)</f>
      </c>
      <c r="I95" s="763">
        <f>IF(GetFillColor(I95)=15,SUM(Planning!$FV60:$GW60),0)</f>
      </c>
      <c r="J95" s="762">
        <f>IF(GetFillColor(J95)=15,SUM(Planning!$HB60:$IC60),0)</f>
      </c>
      <c r="K95" s="762">
        <f>IF(GetFillColor(K95)=15,SUM(Planning!$IE60:$JF60),0)</f>
      </c>
      <c r="L95" s="762">
        <f>IF(GetFillColor(L95)=15,SUM(Planning!$JH60:$KI60),0)</f>
      </c>
      <c r="M95" s="762">
        <f>IF(GetFillColor(M95)=15,SUM(Planning!$KK60:$LL60),0)</f>
      </c>
      <c r="N95" s="762">
        <f>IF(GetFillColor(N95)=15,SUM(Planning!$LN60:$MO60),0)</f>
      </c>
      <c r="O95" s="763">
        <f>IF(GetFillColor(O95)=15,SUM(Planning!$MQ60:$NR60),0)</f>
      </c>
      <c r="P95" s="763">
        <f>IF(GetFillColor(P95)=15,SUM(Planning!$NT60:$OU60),0)</f>
      </c>
      <c r="Q95" s="762">
        <f>IF(GetFillColor(Q95)=15,SUM(Planning!$OZ60:$QA60),0)</f>
      </c>
      <c r="R95" s="762">
        <f>IF(GetFillColor(R95)=15,SUM(Planning!$QC60:$RD60),0)</f>
      </c>
      <c r="S95" s="762">
        <f>IF(GetFillColor(S95)=15,SUM(Planning!$RF60:$SG60),0)</f>
      </c>
      <c r="T95" s="762">
        <f>IF(GetFillColor(T95)=15,SUM(Planning!$SI60:$TJ60),0)</f>
      </c>
      <c r="U95" s="762">
        <f>IF(GetFillColor(U95)=15,SUM(Planning!$TL60:$UM60),0)</f>
      </c>
      <c r="V95" s="763">
        <f>IF(GetFillColor(V95)=15,SUM(Planning!$UO60:$VP60),0)</f>
      </c>
      <c r="W95" s="763">
        <f>IF(GetFillColor(W95)=15,SUM(Planning!$VR60:$WS60),0)</f>
      </c>
      <c r="X95" s="762">
        <f>IF(GetFillColor(X95)=15,SUM(Planning!$WX60:$XY60),0)</f>
      </c>
      <c r="Y95" s="762">
        <f>IF(GetFillColor(Y95)=15,SUM(Planning!$YA60:$ZB60),0)</f>
      </c>
      <c r="Z95" s="762">
        <f>IF(GetFillColor(Z95)=15,SUM(Planning!$ZD60:$AAE60),0)</f>
      </c>
      <c r="AA95" s="762">
        <f>IF(GetFillColor(AA95)=15,SUM(Planning!$AAG60:$ABH60),0)</f>
      </c>
      <c r="AB95" s="762">
        <f>IF(GetFillColor(AB95)=15,SUM(Planning!$ABJ60:$ACK60),0)</f>
      </c>
      <c r="AC95" s="763">
        <f>IF(GetFillColor(AC95)=15,SUM(Planning!$ACM60:$ADN60),0)</f>
      </c>
      <c r="AD95" s="763">
        <f>IF(GetFillColor(AD95)=15,SUM(Planning!$ADP60:$AEQ60),0)</f>
      </c>
      <c r="AE95" s="762">
        <f>IF(GetFillColor(AE95)=15,SUM(Planning!$AEV60:$AFW60),0)</f>
      </c>
      <c r="AF95" s="762">
        <f>IF(GetFillColor(AF95)=15,SUM(Planning!$AFY60:$AGZ60),0)</f>
      </c>
      <c r="AG95" s="762">
        <f>IF(GetFillColor(AG95)=15,SUM(Planning!$AHB60:$AIC60),0)</f>
      </c>
      <c r="AH95" s="762">
        <f>IF(GetFillColor(AH95)=15,SUM(Planning!$AIE60:$AJF60),0)</f>
      </c>
      <c r="AI95" s="762">
        <f>IF(GetFillColor(AI95)=15,SUM(Planning!$AJH60:$AKI60),0)</f>
      </c>
      <c r="AJ95" s="763">
        <f>IF(GetFillColor(AJ95)=15,SUM(Planning!$AKK60:$ALL60),0)</f>
      </c>
      <c r="AK95" s="760">
        <f>IF(GetFillColor(AK95)=15,SUM(Planning!$ALN60:$AMO60),0)</f>
      </c>
      <c r="AL95" s="698">
        <f>SUM(C95:AK95)</f>
      </c>
      <c r="AM95" s="4"/>
      <c r="AN95" s="4"/>
    </row>
    <row r="96" ht="20.25" customHeight="1" spans="1:40" x14ac:dyDescent="0.25">
      <c r="A96" s="4">
        <f>A8</f>
      </c>
      <c r="B96" s="4"/>
      <c r="C96" s="760">
        <f>IF(GetFillColor(C96)=15,SUM(Planning!$D61:$AE61),0)</f>
      </c>
      <c r="D96" s="760">
        <f>IF(GetFillColor(D96)=15,SUM(Planning!$AG61:$BH61),0)</f>
      </c>
      <c r="E96" s="760">
        <f>IF(GetFillColor(E96)=15,SUM(Planning!$BJ61:$CK61),0)</f>
      </c>
      <c r="F96" s="763">
        <f>IF(GetFillColor(F96)=15,SUM(Planning!$CM61:$DN61),0)</f>
      </c>
      <c r="G96" s="763">
        <f>IF(GetFillColor(G96)=15,SUM(Planning!$DP61:$EQ61),0)</f>
      </c>
      <c r="H96" s="763">
        <f>IF(GetFillColor(H96)=15,SUM(Planning!$ES61:$FT61),0)</f>
      </c>
      <c r="I96" s="763">
        <f>IF(GetFillColor(I96)=15,SUM(Planning!$FV61:$GW61),0)</f>
      </c>
      <c r="J96" s="762">
        <f>IF(GetFillColor(J96)=15,SUM(Planning!$HB61:$IC61),0)</f>
      </c>
      <c r="K96" s="762">
        <f>IF(GetFillColor(K96)=15,SUM(Planning!$IE61:$JF61),0)</f>
      </c>
      <c r="L96" s="762">
        <f>IF(GetFillColor(L96)=15,SUM(Planning!$JH61:$KI61),0)</f>
      </c>
      <c r="M96" s="762">
        <f>IF(GetFillColor(M96)=15,SUM(Planning!$KK61:$LL61),0)</f>
      </c>
      <c r="N96" s="762">
        <f>IF(GetFillColor(N96)=15,SUM(Planning!$LN61:$MO61),0)</f>
      </c>
      <c r="O96" s="763">
        <f>IF(GetFillColor(O96)=15,SUM(Planning!$MQ61:$NR61),0)</f>
      </c>
      <c r="P96" s="763">
        <f>IF(GetFillColor(P96)=15,SUM(Planning!$NT61:$OU61),0)</f>
      </c>
      <c r="Q96" s="762">
        <f>IF(GetFillColor(Q96)=15,SUM(Planning!$OZ61:$QA61),0)</f>
      </c>
      <c r="R96" s="762">
        <f>IF(GetFillColor(R96)=15,SUM(Planning!$QC61:$RD61),0)</f>
      </c>
      <c r="S96" s="762">
        <f>IF(GetFillColor(S96)=15,SUM(Planning!$RF61:$SG61),0)</f>
      </c>
      <c r="T96" s="762">
        <f>IF(GetFillColor(T96)=15,SUM(Planning!$SI61:$TJ61),0)</f>
      </c>
      <c r="U96" s="762">
        <f>IF(GetFillColor(U96)=15,SUM(Planning!$TL61:$UM61),0)</f>
      </c>
      <c r="V96" s="763">
        <f>IF(GetFillColor(V96)=15,SUM(Planning!$UO61:$VP61),0)</f>
      </c>
      <c r="W96" s="763">
        <f>IF(GetFillColor(W96)=15,SUM(Planning!$VR61:$WS61),0)</f>
      </c>
      <c r="X96" s="762">
        <f>IF(GetFillColor(X96)=15,SUM(Planning!$WX61:$XY61),0)</f>
      </c>
      <c r="Y96" s="762">
        <f>IF(GetFillColor(Y96)=15,SUM(Planning!$YA61:$ZB61),0)</f>
      </c>
      <c r="Z96" s="762">
        <f>IF(GetFillColor(Z96)=15,SUM(Planning!$ZD61:$AAE61),0)</f>
      </c>
      <c r="AA96" s="762">
        <f>IF(GetFillColor(AA96)=15,SUM(Planning!$AAG61:$ABH61),0)</f>
      </c>
      <c r="AB96" s="762">
        <f>IF(GetFillColor(AB96)=15,SUM(Planning!$ABJ61:$ACK61),0)</f>
      </c>
      <c r="AC96" s="763">
        <f>IF(GetFillColor(AC96)=15,SUM(Planning!$ACM61:$ADN61),0)</f>
      </c>
      <c r="AD96" s="763">
        <f>IF(GetFillColor(AD96)=15,SUM(Planning!$ADP61:$AEQ61),0)</f>
      </c>
      <c r="AE96" s="762">
        <f>IF(GetFillColor(AE96)=15,SUM(Planning!$AEV61:$AFW61),0)</f>
      </c>
      <c r="AF96" s="762">
        <f>IF(GetFillColor(AF96)=15,SUM(Planning!$AFY61:$AGZ61),0)</f>
      </c>
      <c r="AG96" s="762">
        <f>IF(GetFillColor(AG96)=15,SUM(Planning!$AHB61:$AIC61),0)</f>
      </c>
      <c r="AH96" s="762">
        <f>IF(GetFillColor(AH96)=15,SUM(Planning!$AIE61:$AJF61),0)</f>
      </c>
      <c r="AI96" s="762">
        <f>IF(GetFillColor(AI96)=15,SUM(Planning!$AJH61:$AKI61),0)</f>
      </c>
      <c r="AJ96" s="763">
        <f>IF(GetFillColor(AJ96)=15,SUM(Planning!$AKK61:$ALL61),0)</f>
      </c>
      <c r="AK96" s="760">
        <f>IF(GetFillColor(AK96)=15,SUM(Planning!$ALN61:$AMO61),0)</f>
      </c>
      <c r="AL96" s="698">
        <f>SUM(C96:AK96)</f>
      </c>
      <c r="AM96" s="4"/>
      <c r="AN96" s="4"/>
    </row>
    <row r="97" ht="20.25" customHeight="1" spans="1:40" x14ac:dyDescent="0.25">
      <c r="A97" s="4">
        <f>A9</f>
      </c>
      <c r="B97" s="4"/>
      <c r="C97" s="760">
        <f>IF(GetFillColor(C97)=15,SUM(Planning!$D62:$AE62),0)</f>
      </c>
      <c r="D97" s="760">
        <f>IF(GetFillColor(D97)=15,SUM(Planning!$AG62:$BH62),0)</f>
      </c>
      <c r="E97" s="760">
        <f>IF(GetFillColor(E97)=15,SUM(Planning!$BJ62:$CK62),0)</f>
      </c>
      <c r="F97" s="763">
        <f>IF(GetFillColor(F97)=15,SUM(Planning!$CM62:$DN62),0)</f>
      </c>
      <c r="G97" s="763">
        <f>IF(GetFillColor(G97)=15,SUM(Planning!$DP62:$EQ62),0)</f>
      </c>
      <c r="H97" s="763">
        <f>IF(GetFillColor(H97)=15,SUM(Planning!$ES62:$FT62),0)</f>
      </c>
      <c r="I97" s="763">
        <f>IF(GetFillColor(I97)=15,SUM(Planning!$FV62:$GW62),0)</f>
      </c>
      <c r="J97" s="762">
        <f>IF(GetFillColor(J97)=15,SUM(Planning!$HB62:$IC62),0)</f>
      </c>
      <c r="K97" s="762">
        <f>IF(GetFillColor(K97)=15,SUM(Planning!$IE62:$JF62),0)</f>
      </c>
      <c r="L97" s="762">
        <f>IF(GetFillColor(L97)=15,SUM(Planning!$JH62:$KI62),0)</f>
      </c>
      <c r="M97" s="762">
        <f>IF(GetFillColor(M97)=15,SUM(Planning!$KK62:$LL62),0)</f>
      </c>
      <c r="N97" s="762">
        <f>IF(GetFillColor(N97)=15,SUM(Planning!$LN62:$MO62),0)</f>
      </c>
      <c r="O97" s="763">
        <f>IF(GetFillColor(O97)=15,SUM(Planning!$MQ62:$NR62),0)</f>
      </c>
      <c r="P97" s="763">
        <f>IF(GetFillColor(P97)=15,SUM(Planning!$NT62:$OU62),0)</f>
      </c>
      <c r="Q97" s="762">
        <f>IF(GetFillColor(Q97)=15,SUM(Planning!$OZ62:$QA62),0)</f>
      </c>
      <c r="R97" s="762">
        <f>IF(GetFillColor(R97)=15,SUM(Planning!$QC62:$RD62),0)</f>
      </c>
      <c r="S97" s="762">
        <f>IF(GetFillColor(S97)=15,SUM(Planning!$RF62:$SG62),0)</f>
      </c>
      <c r="T97" s="762">
        <f>IF(GetFillColor(T97)=15,SUM(Planning!$SI62:$TJ62),0)</f>
      </c>
      <c r="U97" s="762">
        <f>IF(GetFillColor(U97)=15,SUM(Planning!$TL62:$UM62),0)</f>
      </c>
      <c r="V97" s="763">
        <f>IF(GetFillColor(V97)=15,SUM(Planning!$UO62:$VP62),0)</f>
      </c>
      <c r="W97" s="763">
        <f>IF(GetFillColor(W97)=15,SUM(Planning!$VR62:$WS62),0)</f>
      </c>
      <c r="X97" s="762">
        <f>IF(GetFillColor(X97)=15,SUM(Planning!$WX62:$XY62),0)</f>
      </c>
      <c r="Y97" s="762">
        <f>IF(GetFillColor(Y97)=15,SUM(Planning!$YA62:$ZB62),0)</f>
      </c>
      <c r="Z97" s="762">
        <f>IF(GetFillColor(Z97)=15,SUM(Planning!$ZD62:$AAE62),0)</f>
      </c>
      <c r="AA97" s="762">
        <f>IF(GetFillColor(AA97)=15,SUM(Planning!$AAG62:$ABH62),0)</f>
      </c>
      <c r="AB97" s="762">
        <f>IF(GetFillColor(AB97)=15,SUM(Planning!$ABJ62:$ACK62),0)</f>
      </c>
      <c r="AC97" s="763">
        <f>IF(GetFillColor(AC97)=15,SUM(Planning!$ACM62:$ADN62),0)</f>
      </c>
      <c r="AD97" s="763">
        <f>IF(GetFillColor(AD97)=15,SUM(Planning!$ADP62:$AEQ62),0)</f>
      </c>
      <c r="AE97" s="762">
        <f>IF(GetFillColor(AE97)=15,SUM(Planning!$AEV62:$AFW62),0)</f>
      </c>
      <c r="AF97" s="762">
        <f>IF(GetFillColor(AF97)=15,SUM(Planning!$AFY62:$AGZ62),0)</f>
      </c>
      <c r="AG97" s="762">
        <f>IF(GetFillColor(AG97)=15,SUM(Planning!$AHB62:$AIC62),0)</f>
      </c>
      <c r="AH97" s="762">
        <f>IF(GetFillColor(AH97)=15,SUM(Planning!$AIE62:$AJF62),0)</f>
      </c>
      <c r="AI97" s="762">
        <f>IF(GetFillColor(AI97)=15,SUM(Planning!$AJH62:$AKI62),0)</f>
      </c>
      <c r="AJ97" s="763">
        <f>IF(GetFillColor(AJ97)=15,SUM(Planning!$AKK62:$ALL62),0)</f>
      </c>
      <c r="AK97" s="760">
        <f>IF(GetFillColor(AK97)=15,SUM(Planning!$ALN62:$AMO62),0)</f>
      </c>
      <c r="AL97" s="698">
        <f>SUM(C97:AK97)</f>
      </c>
      <c r="AM97" s="4"/>
      <c r="AN97" s="4"/>
    </row>
    <row r="98" ht="20.25" customHeight="1" spans="1:40" x14ac:dyDescent="0.25">
      <c r="A98" s="4">
        <f>A10</f>
      </c>
      <c r="B98" s="4"/>
      <c r="C98" s="760">
        <f>IF(GetFillColor(C98)=15,SUM(Planning!$D63:$AE63),0)</f>
      </c>
      <c r="D98" s="760">
        <f>IF(GetFillColor(D98)=15,SUM(Planning!$AG63:$BH63),0)</f>
      </c>
      <c r="E98" s="760">
        <f>IF(GetFillColor(E98)=15,SUM(Planning!$BJ63:$CK63),0)</f>
      </c>
      <c r="F98" s="763">
        <f>IF(GetFillColor(F98)=15,SUM(Planning!$CM63:$DN63),0)</f>
      </c>
      <c r="G98" s="763">
        <f>IF(GetFillColor(G98)=15,SUM(Planning!$DP63:$EQ63),0)</f>
      </c>
      <c r="H98" s="763">
        <f>IF(GetFillColor(H98)=15,SUM(Planning!$ES63:$FT63),0)</f>
      </c>
      <c r="I98" s="763">
        <f>IF(GetFillColor(I98)=15,SUM(Planning!$FV63:$GW63),0)</f>
      </c>
      <c r="J98" s="762">
        <f>IF(GetFillColor(J98)=15,SUM(Planning!$HB63:$IC63),0)</f>
      </c>
      <c r="K98" s="762">
        <f>IF(GetFillColor(K98)=15,SUM(Planning!$IE63:$JF63),0)</f>
      </c>
      <c r="L98" s="762">
        <f>IF(GetFillColor(L98)=15,SUM(Planning!$JH63:$KI63),0)</f>
      </c>
      <c r="M98" s="762">
        <f>IF(GetFillColor(M98)=15,SUM(Planning!$KK63:$LL63),0)</f>
      </c>
      <c r="N98" s="762">
        <f>IF(GetFillColor(N98)=15,SUM(Planning!$LN63:$MO63),0)</f>
      </c>
      <c r="O98" s="763">
        <f>IF(GetFillColor(O98)=15,SUM(Planning!$MQ63:$NR63),0)</f>
      </c>
      <c r="P98" s="763">
        <f>IF(GetFillColor(P98)=15,SUM(Planning!$NT63:$OU63),0)</f>
      </c>
      <c r="Q98" s="762">
        <f>IF(GetFillColor(Q98)=15,SUM(Planning!$OZ63:$QA63),0)</f>
      </c>
      <c r="R98" s="762">
        <f>IF(GetFillColor(R98)=15,SUM(Planning!$QC63:$RD63),0)</f>
      </c>
      <c r="S98" s="762">
        <f>IF(GetFillColor(S98)=15,SUM(Planning!$RF63:$SG63),0)</f>
      </c>
      <c r="T98" s="762">
        <f>IF(GetFillColor(T98)=15,SUM(Planning!$SI63:$TJ63),0)</f>
      </c>
      <c r="U98" s="762">
        <f>IF(GetFillColor(U98)=15,SUM(Planning!$TL63:$UM63),0)</f>
      </c>
      <c r="V98" s="763">
        <f>IF(GetFillColor(V98)=15,SUM(Planning!$UO63:$VP63),0)</f>
      </c>
      <c r="W98" s="763">
        <f>IF(GetFillColor(W98)=15,SUM(Planning!$VR63:$WS63),0)</f>
      </c>
      <c r="X98" s="762">
        <f>IF(GetFillColor(X98)=15,SUM(Planning!$WX63:$XY63),0)</f>
      </c>
      <c r="Y98" s="762">
        <f>IF(GetFillColor(Y98)=15,SUM(Planning!$YA63:$ZB63),0)</f>
      </c>
      <c r="Z98" s="762">
        <f>IF(GetFillColor(Z98)=15,SUM(Planning!$ZD63:$AAE63),0)</f>
      </c>
      <c r="AA98" s="762">
        <f>IF(GetFillColor(AA98)=15,SUM(Planning!$AAG63:$ABH63),0)</f>
      </c>
      <c r="AB98" s="762">
        <f>IF(GetFillColor(AB98)=15,SUM(Planning!$ABJ63:$ACK63),0)</f>
      </c>
      <c r="AC98" s="763">
        <f>IF(GetFillColor(AC98)=15,SUM(Planning!$ACM63:$ADN63),0)</f>
      </c>
      <c r="AD98" s="763">
        <f>IF(GetFillColor(AD98)=15,SUM(Planning!$ADP63:$AEQ63),0)</f>
      </c>
      <c r="AE98" s="762">
        <f>IF(GetFillColor(AE98)=15,SUM(Planning!$AEV63:$AFW63),0)</f>
      </c>
      <c r="AF98" s="762">
        <f>IF(GetFillColor(AF98)=15,SUM(Planning!$AFY63:$AGZ63),0)</f>
      </c>
      <c r="AG98" s="762">
        <f>IF(GetFillColor(AG98)=15,SUM(Planning!$AHB63:$AIC63),0)</f>
      </c>
      <c r="AH98" s="762">
        <f>IF(GetFillColor(AH98)=15,SUM(Planning!$AIE63:$AJF63),0)</f>
      </c>
      <c r="AI98" s="762">
        <f>IF(GetFillColor(AI98)=15,SUM(Planning!$AJH63:$AKI63),0)</f>
      </c>
      <c r="AJ98" s="763">
        <f>IF(GetFillColor(AJ98)=15,SUM(Planning!$AKK63:$ALL63),0)</f>
      </c>
      <c r="AK98" s="760">
        <f>IF(GetFillColor(AK98)=15,SUM(Planning!$ALN63:$AMO63),0)</f>
      </c>
      <c r="AL98" s="698">
        <f>SUM(C98:AK98)</f>
      </c>
      <c r="AM98" s="4"/>
      <c r="AN98" s="4"/>
    </row>
    <row r="99" ht="20.25" customHeight="1" spans="1:40" x14ac:dyDescent="0.25">
      <c r="A99" s="4">
        <f>A11</f>
      </c>
      <c r="B99" s="4"/>
      <c r="C99" s="760">
        <f>IF(GetFillColor(C99)=15,SUM(Planning!$D64:$AE64),0)</f>
      </c>
      <c r="D99" s="760">
        <f>IF(GetFillColor(D99)=15,SUM(Planning!$AG64:$BH64),0)</f>
      </c>
      <c r="E99" s="760">
        <f>IF(GetFillColor(E99)=15,SUM(Planning!$BJ64:$CK64),0)</f>
      </c>
      <c r="F99" s="763">
        <f>IF(GetFillColor(F99)=15,SUM(Planning!$CM64:$DN64),0)</f>
      </c>
      <c r="G99" s="763">
        <f>IF(GetFillColor(G99)=15,SUM(Planning!$DP64:$EQ64),0)</f>
      </c>
      <c r="H99" s="763">
        <f>IF(GetFillColor(H99)=15,SUM(Planning!$ES64:$FT64),0)</f>
      </c>
      <c r="I99" s="763">
        <f>IF(GetFillColor(I99)=15,SUM(Planning!$FV64:$GW64),0)</f>
      </c>
      <c r="J99" s="762">
        <f>IF(GetFillColor(J99)=15,SUM(Planning!$HB64:$IC64),0)</f>
      </c>
      <c r="K99" s="762">
        <f>IF(GetFillColor(K99)=15,SUM(Planning!$IE64:$JF64),0)</f>
      </c>
      <c r="L99" s="762">
        <f>IF(GetFillColor(L99)=15,SUM(Planning!$JH64:$KI64),0)</f>
      </c>
      <c r="M99" s="762">
        <f>IF(GetFillColor(M99)=15,SUM(Planning!$KK64:$LL64),0)</f>
      </c>
      <c r="N99" s="762">
        <f>IF(GetFillColor(N99)=15,SUM(Planning!$LN64:$MO64),0)</f>
      </c>
      <c r="O99" s="763">
        <f>IF(GetFillColor(O99)=15,SUM(Planning!$MQ64:$NR64),0)</f>
      </c>
      <c r="P99" s="763">
        <f>IF(GetFillColor(P99)=15,SUM(Planning!$NT64:$OU64),0)</f>
      </c>
      <c r="Q99" s="762">
        <f>IF(GetFillColor(Q99)=15,SUM(Planning!$OZ64:$QA64),0)</f>
      </c>
      <c r="R99" s="762">
        <f>IF(GetFillColor(R99)=15,SUM(Planning!$QC64:$RD64),0)</f>
      </c>
      <c r="S99" s="762">
        <f>IF(GetFillColor(S99)=15,SUM(Planning!$RF64:$SG64),0)</f>
      </c>
      <c r="T99" s="762">
        <f>IF(GetFillColor(T99)=15,SUM(Planning!$SI64:$TJ64),0)</f>
      </c>
      <c r="U99" s="762">
        <f>IF(GetFillColor(U99)=15,SUM(Planning!$TL64:$UM64),0)</f>
      </c>
      <c r="V99" s="763">
        <f>IF(GetFillColor(V99)=15,SUM(Planning!$UO64:$VP64),0)</f>
      </c>
      <c r="W99" s="763">
        <f>IF(GetFillColor(W99)=15,SUM(Planning!$VR64:$WS64),0)</f>
      </c>
      <c r="X99" s="762">
        <f>IF(GetFillColor(X99)=15,SUM(Planning!$WX64:$XY64),0)</f>
      </c>
      <c r="Y99" s="762">
        <f>IF(GetFillColor(Y99)=15,SUM(Planning!$YA64:$ZB64),0)</f>
      </c>
      <c r="Z99" s="762">
        <f>IF(GetFillColor(Z99)=15,SUM(Planning!$ZD64:$AAE64),0)</f>
      </c>
      <c r="AA99" s="762">
        <f>IF(GetFillColor(AA99)=15,SUM(Planning!$AAG64:$ABH64),0)</f>
      </c>
      <c r="AB99" s="762">
        <f>IF(GetFillColor(AB99)=15,SUM(Planning!$ABJ64:$ACK64),0)</f>
      </c>
      <c r="AC99" s="763">
        <f>IF(GetFillColor(AC99)=15,SUM(Planning!$ACM64:$ADN64),0)</f>
      </c>
      <c r="AD99" s="763">
        <f>IF(GetFillColor(AD99)=15,SUM(Planning!$ADP64:$AEQ64),0)</f>
      </c>
      <c r="AE99" s="762">
        <f>IF(GetFillColor(AE99)=15,SUM(Planning!$AEV64:$AFW64),0)</f>
      </c>
      <c r="AF99" s="762">
        <f>IF(GetFillColor(AF99)=15,SUM(Planning!$AFY64:$AGZ64),0)</f>
      </c>
      <c r="AG99" s="762">
        <f>IF(GetFillColor(AG99)=15,SUM(Planning!$AHB64:$AIC64),0)</f>
      </c>
      <c r="AH99" s="762">
        <f>IF(GetFillColor(AH99)=15,SUM(Planning!$AIE64:$AJF64),0)</f>
      </c>
      <c r="AI99" s="762">
        <f>IF(GetFillColor(AI99)=15,SUM(Planning!$AJH64:$AKI64),0)</f>
      </c>
      <c r="AJ99" s="763">
        <f>IF(GetFillColor(AJ99)=15,SUM(Planning!$AKK64:$ALL64),0)</f>
      </c>
      <c r="AK99" s="760">
        <f>IF(GetFillColor(AK99)=15,SUM(Planning!$ALN64:$AMO64),0)</f>
      </c>
      <c r="AL99" s="698">
        <f>SUM(C99:AK99)</f>
      </c>
      <c r="AM99" s="4"/>
      <c r="AN99" s="4"/>
    </row>
    <row r="100" ht="20.25" customHeight="1" spans="1:40" x14ac:dyDescent="0.25">
      <c r="A100" s="4">
        <f>A12</f>
      </c>
      <c r="B100" s="4"/>
      <c r="C100" s="760">
        <f>IF(GetFillColor(C100)=15,SUM(Planning!$D65:$AE65),0)</f>
      </c>
      <c r="D100" s="760">
        <f>IF(GetFillColor(D100)=15,SUM(Planning!$AG65:$BH65),0)</f>
      </c>
      <c r="E100" s="760">
        <f>IF(GetFillColor(E100)=15,SUM(Planning!$BJ65:$CK65),0)</f>
      </c>
      <c r="F100" s="763">
        <f>IF(GetFillColor(F100)=15,SUM(Planning!$CM65:$DN65),0)</f>
      </c>
      <c r="G100" s="763">
        <f>IF(GetFillColor(G100)=15,SUM(Planning!$DP65:$EQ65),0)</f>
      </c>
      <c r="H100" s="763">
        <f>IF(GetFillColor(H100)=15,SUM(Planning!$ES65:$FT65),0)</f>
      </c>
      <c r="I100" s="763">
        <f>IF(GetFillColor(I100)=15,SUM(Planning!$FV65:$GW65),0)</f>
      </c>
      <c r="J100" s="762">
        <f>IF(GetFillColor(J100)=15,SUM(Planning!$HB65:$IC65),0)</f>
      </c>
      <c r="K100" s="762">
        <f>IF(GetFillColor(K100)=15,SUM(Planning!$IE65:$JF65),0)</f>
      </c>
      <c r="L100" s="762">
        <f>IF(GetFillColor(L100)=15,SUM(Planning!$JH65:$KI65),0)</f>
      </c>
      <c r="M100" s="762">
        <f>IF(GetFillColor(M100)=15,SUM(Planning!$KK65:$LL65),0)</f>
      </c>
      <c r="N100" s="762">
        <f>IF(GetFillColor(N100)=15,SUM(Planning!$LN65:$MO65),0)</f>
      </c>
      <c r="O100" s="763">
        <f>IF(GetFillColor(O100)=15,SUM(Planning!$MQ65:$NR65),0)</f>
      </c>
      <c r="P100" s="763">
        <f>IF(GetFillColor(P100)=15,SUM(Planning!$NT65:$OU65),0)</f>
      </c>
      <c r="Q100" s="762">
        <f>IF(GetFillColor(Q100)=15,SUM(Planning!$OZ65:$QA65),0)</f>
      </c>
      <c r="R100" s="762">
        <f>IF(GetFillColor(R100)=15,SUM(Planning!$QC65:$RD65),0)</f>
      </c>
      <c r="S100" s="762">
        <f>IF(GetFillColor(S100)=15,SUM(Planning!$RF65:$SG65),0)</f>
      </c>
      <c r="T100" s="762">
        <f>IF(GetFillColor(T100)=15,SUM(Planning!$SI65:$TJ65),0)</f>
      </c>
      <c r="U100" s="762">
        <f>IF(GetFillColor(U100)=15,SUM(Planning!$TL65:$UM65),0)</f>
      </c>
      <c r="V100" s="763">
        <f>IF(GetFillColor(V100)=15,SUM(Planning!$UO65:$VP65),0)</f>
      </c>
      <c r="W100" s="763">
        <f>IF(GetFillColor(W100)=15,SUM(Planning!$VR65:$WS65),0)</f>
      </c>
      <c r="X100" s="762">
        <f>IF(GetFillColor(X100)=15,SUM(Planning!$WX65:$XY65),0)</f>
      </c>
      <c r="Y100" s="762">
        <f>IF(GetFillColor(Y100)=15,SUM(Planning!$YA65:$ZB65),0)</f>
      </c>
      <c r="Z100" s="762">
        <f>IF(GetFillColor(Z100)=15,SUM(Planning!$ZD65:$AAE65),0)</f>
      </c>
      <c r="AA100" s="762">
        <f>IF(GetFillColor(AA100)=15,SUM(Planning!$AAG65:$ABH65),0)</f>
      </c>
      <c r="AB100" s="762">
        <f>IF(GetFillColor(AB100)=15,SUM(Planning!$ABJ65:$ACK65),0)</f>
      </c>
      <c r="AC100" s="763">
        <f>IF(GetFillColor(AC100)=15,SUM(Planning!$ACM65:$ADN65),0)</f>
      </c>
      <c r="AD100" s="763">
        <f>IF(GetFillColor(AD100)=15,SUM(Planning!$ADP65:$AEQ65),0)</f>
      </c>
      <c r="AE100" s="762">
        <f>IF(GetFillColor(AE100)=15,SUM(Planning!$AEV65:$AFW65),0)</f>
      </c>
      <c r="AF100" s="762">
        <f>IF(GetFillColor(AF100)=15,SUM(Planning!$AFY65:$AGZ65),0)</f>
      </c>
      <c r="AG100" s="762">
        <f>IF(GetFillColor(AG100)=15,SUM(Planning!$AHB65:$AIC65),0)</f>
      </c>
      <c r="AH100" s="762">
        <f>IF(GetFillColor(AH100)=15,SUM(Planning!$AIE65:$AJF65),0)</f>
      </c>
      <c r="AI100" s="762">
        <f>IF(GetFillColor(AI100)=15,SUM(Planning!$AJH65:$AKI65),0)</f>
      </c>
      <c r="AJ100" s="763">
        <f>IF(GetFillColor(AJ100)=15,SUM(Planning!$AKK65:$ALL65),0)</f>
      </c>
      <c r="AK100" s="760">
        <f>IF(GetFillColor(AK100)=15,SUM(Planning!$ALN65:$AMO65),0)</f>
      </c>
      <c r="AL100" s="698">
        <f>SUM(C100:AK100)</f>
      </c>
      <c r="AM100" s="4"/>
      <c r="AN100" s="4"/>
    </row>
    <row r="101" ht="20.25" customHeight="1" spans="1:40" x14ac:dyDescent="0.25">
      <c r="A101" s="4">
        <f>A13</f>
      </c>
      <c r="B101" s="4"/>
      <c r="C101" s="760">
        <f>IF(GetFillColor(C101)=15,SUM(Planning!$D66:$AE66),0)</f>
      </c>
      <c r="D101" s="760">
        <f>IF(GetFillColor(D101)=15,SUM(Planning!$AG66:$BH66),0)</f>
      </c>
      <c r="E101" s="760">
        <f>IF(GetFillColor(E101)=15,SUM(Planning!$BJ66:$CK66),0)</f>
      </c>
      <c r="F101" s="763">
        <f>IF(GetFillColor(F101)=15,SUM(Planning!$CM66:$DN66),0)</f>
      </c>
      <c r="G101" s="763">
        <f>IF(GetFillColor(G101)=15,SUM(Planning!$DP66:$EQ66),0)</f>
      </c>
      <c r="H101" s="763">
        <f>IF(GetFillColor(H101)=15,SUM(Planning!$ES66:$FT66),0)</f>
      </c>
      <c r="I101" s="763">
        <f>IF(GetFillColor(I101)=15,SUM(Planning!$FV66:$GW66),0)</f>
      </c>
      <c r="J101" s="762">
        <f>IF(GetFillColor(J101)=15,SUM(Planning!$HB66:$IC66),0)</f>
      </c>
      <c r="K101" s="762">
        <f>IF(GetFillColor(K101)=15,SUM(Planning!$IE66:$JF66),0)</f>
      </c>
      <c r="L101" s="762">
        <f>IF(GetFillColor(L101)=15,SUM(Planning!$JH66:$KI66),0)</f>
      </c>
      <c r="M101" s="762">
        <f>IF(GetFillColor(M101)=15,SUM(Planning!$KK66:$LL66),0)</f>
      </c>
      <c r="N101" s="762">
        <f>IF(GetFillColor(N101)=15,SUM(Planning!$LN66:$MO66),0)</f>
      </c>
      <c r="O101" s="763">
        <f>IF(GetFillColor(O101)=15,SUM(Planning!$MQ66:$NR66),0)</f>
      </c>
      <c r="P101" s="763">
        <f>IF(GetFillColor(P101)=15,SUM(Planning!$NT66:$OU66),0)</f>
      </c>
      <c r="Q101" s="762">
        <f>IF(GetFillColor(Q101)=15,SUM(Planning!$OZ66:$QA66),0)</f>
      </c>
      <c r="R101" s="762">
        <f>IF(GetFillColor(R101)=15,SUM(Planning!$QC66:$RD66),0)</f>
      </c>
      <c r="S101" s="762">
        <f>IF(GetFillColor(S101)=15,SUM(Planning!$RF66:$SG66),0)</f>
      </c>
      <c r="T101" s="762">
        <f>IF(GetFillColor(T101)=15,SUM(Planning!$SI66:$TJ66),0)</f>
      </c>
      <c r="U101" s="762">
        <f>IF(GetFillColor(U101)=15,SUM(Planning!$TL66:$UM66),0)</f>
      </c>
      <c r="V101" s="763">
        <f>IF(GetFillColor(V101)=15,SUM(Planning!$UO66:$VP66),0)</f>
      </c>
      <c r="W101" s="763">
        <f>IF(GetFillColor(W101)=15,SUM(Planning!$VR66:$WS66),0)</f>
      </c>
      <c r="X101" s="762">
        <f>IF(GetFillColor(X101)=15,SUM(Planning!$WX66:$XY66),0)</f>
      </c>
      <c r="Y101" s="762">
        <f>IF(GetFillColor(Y101)=15,SUM(Planning!$YA66:$ZB66),0)</f>
      </c>
      <c r="Z101" s="762">
        <f>IF(GetFillColor(Z101)=15,SUM(Planning!$ZD66:$AAE66),0)</f>
      </c>
      <c r="AA101" s="762">
        <f>IF(GetFillColor(AA101)=15,SUM(Planning!$AAG66:$ABH66),0)</f>
      </c>
      <c r="AB101" s="762">
        <f>IF(GetFillColor(AB101)=15,SUM(Planning!$ABJ66:$ACK66),0)</f>
      </c>
      <c r="AC101" s="763">
        <f>IF(GetFillColor(AC101)=15,SUM(Planning!$ACM66:$ADN66),0)</f>
      </c>
      <c r="AD101" s="763">
        <f>IF(GetFillColor(AD101)=15,SUM(Planning!$ADP66:$AEQ66),0)</f>
      </c>
      <c r="AE101" s="762">
        <f>IF(GetFillColor(AE101)=15,SUM(Planning!$AEV66:$AFW66),0)</f>
      </c>
      <c r="AF101" s="762">
        <f>IF(GetFillColor(AF101)=15,SUM(Planning!$AFY66:$AGZ66),0)</f>
      </c>
      <c r="AG101" s="762">
        <f>IF(GetFillColor(AG101)=15,SUM(Planning!$AHB66:$AIC66),0)</f>
      </c>
      <c r="AH101" s="762">
        <f>IF(GetFillColor(AH101)=15,SUM(Planning!$AIE66:$AJF66),0)</f>
      </c>
      <c r="AI101" s="762">
        <f>IF(GetFillColor(AI101)=15,SUM(Planning!$AJH66:$AKI66),0)</f>
      </c>
      <c r="AJ101" s="763">
        <f>IF(GetFillColor(AJ101)=15,SUM(Planning!$AKK66:$ALL66),0)</f>
      </c>
      <c r="AK101" s="760">
        <f>IF(GetFillColor(AK101)=15,SUM(Planning!$ALN66:$AMO66),0)</f>
      </c>
      <c r="AL101" s="698">
        <f>SUM(C101:AK101)</f>
      </c>
      <c r="AM101" s="4"/>
      <c r="AN101" s="4"/>
    </row>
    <row r="102" ht="20.25" customHeight="1" spans="1:40" x14ac:dyDescent="0.25">
      <c r="A102" s="4">
        <f>A14</f>
      </c>
      <c r="B102" s="4"/>
      <c r="C102" s="760">
        <f>IF(GetFillColor(C102)=15,SUM(Planning!$D67:$AE67),0)</f>
      </c>
      <c r="D102" s="760">
        <f>IF(GetFillColor(D102)=15,SUM(Planning!$AG67:$BH67),0)</f>
      </c>
      <c r="E102" s="760">
        <f>IF(GetFillColor(E102)=15,SUM(Planning!$BJ67:$CK67),0)</f>
      </c>
      <c r="F102" s="763">
        <f>IF(GetFillColor(F102)=15,SUM(Planning!$CM67:$DN67),0)</f>
      </c>
      <c r="G102" s="763">
        <f>IF(GetFillColor(G102)=15,SUM(Planning!$DP67:$EQ67),0)</f>
      </c>
      <c r="H102" s="763">
        <f>IF(GetFillColor(H102)=15,SUM(Planning!$ES67:$FT67),0)</f>
      </c>
      <c r="I102" s="763">
        <f>IF(GetFillColor(I102)=15,SUM(Planning!$FV67:$GW67),0)</f>
      </c>
      <c r="J102" s="762">
        <f>IF(GetFillColor(J102)=15,SUM(Planning!$HB67:$IC67),0)</f>
      </c>
      <c r="K102" s="762">
        <f>IF(GetFillColor(K102)=15,SUM(Planning!$IE67:$JF67),0)</f>
      </c>
      <c r="L102" s="762">
        <f>IF(GetFillColor(L102)=15,SUM(Planning!$JH67:$KI67),0)</f>
      </c>
      <c r="M102" s="762">
        <f>IF(GetFillColor(M102)=15,SUM(Planning!$KK67:$LL67),0)</f>
      </c>
      <c r="N102" s="762">
        <f>IF(GetFillColor(N102)=15,SUM(Planning!$LN67:$MO67),0)</f>
      </c>
      <c r="O102" s="763">
        <f>IF(GetFillColor(O102)=15,SUM(Planning!$MQ67:$NR67),0)</f>
      </c>
      <c r="P102" s="763">
        <f>IF(GetFillColor(P102)=15,SUM(Planning!$NT67:$OU67),0)</f>
      </c>
      <c r="Q102" s="762">
        <f>IF(GetFillColor(Q102)=15,SUM(Planning!$OZ67:$QA67),0)</f>
      </c>
      <c r="R102" s="762">
        <f>IF(GetFillColor(R102)=15,SUM(Planning!$QC67:$RD67),0)</f>
      </c>
      <c r="S102" s="762">
        <f>IF(GetFillColor(S102)=15,SUM(Planning!$RF67:$SG67),0)</f>
      </c>
      <c r="T102" s="762">
        <f>IF(GetFillColor(T102)=15,SUM(Planning!$SI67:$TJ67),0)</f>
      </c>
      <c r="U102" s="762">
        <f>IF(GetFillColor(U102)=15,SUM(Planning!$TL67:$UM67),0)</f>
      </c>
      <c r="V102" s="763">
        <f>IF(GetFillColor(V102)=15,SUM(Planning!$UO67:$VP67),0)</f>
      </c>
      <c r="W102" s="763">
        <f>IF(GetFillColor(W102)=15,SUM(Planning!$VR67:$WS67),0)</f>
      </c>
      <c r="X102" s="762">
        <f>IF(GetFillColor(X102)=15,SUM(Planning!$WX67:$XY67),0)</f>
      </c>
      <c r="Y102" s="762">
        <f>IF(GetFillColor(Y102)=15,SUM(Planning!$YA67:$ZB67),0)</f>
      </c>
      <c r="Z102" s="762">
        <f>IF(GetFillColor(Z102)=15,SUM(Planning!$ZD67:$AAE67),0)</f>
      </c>
      <c r="AA102" s="762">
        <f>IF(GetFillColor(AA102)=15,SUM(Planning!$AAG67:$ABH67),0)</f>
      </c>
      <c r="AB102" s="762">
        <f>IF(GetFillColor(AB102)=15,SUM(Planning!$ABJ67:$ACK67),0)</f>
      </c>
      <c r="AC102" s="763">
        <f>IF(GetFillColor(AC102)=15,SUM(Planning!$ACM67:$ADN67),0)</f>
      </c>
      <c r="AD102" s="763">
        <f>IF(GetFillColor(AD102)=15,SUM(Planning!$ADP67:$AEQ67),0)</f>
      </c>
      <c r="AE102" s="762">
        <f>IF(GetFillColor(AE102)=15,SUM(Planning!$AEV67:$AFW67),0)</f>
      </c>
      <c r="AF102" s="762">
        <f>IF(GetFillColor(AF102)=15,SUM(Planning!$AFY67:$AGZ67),0)</f>
      </c>
      <c r="AG102" s="762">
        <f>IF(GetFillColor(AG102)=15,SUM(Planning!$AHB67:$AIC67),0)</f>
      </c>
      <c r="AH102" s="762">
        <f>IF(GetFillColor(AH102)=15,SUM(Planning!$AIE67:$AJF67),0)</f>
      </c>
      <c r="AI102" s="762">
        <f>IF(GetFillColor(AI102)=15,SUM(Planning!$AJH67:$AKI67),0)</f>
      </c>
      <c r="AJ102" s="763">
        <f>IF(GetFillColor(AJ102)=15,SUM(Planning!$AKK67:$ALL67),0)</f>
      </c>
      <c r="AK102" s="760">
        <f>IF(GetFillColor(AK102)=15,SUM(Planning!$ALN67:$AMO67),0)</f>
      </c>
      <c r="AL102" s="698">
        <f>SUM(C102:AK102)</f>
      </c>
      <c r="AM102" s="4"/>
      <c r="AN102" s="4"/>
    </row>
    <row r="103" ht="20.25" customHeight="1" spans="1:40" x14ac:dyDescent="0.25">
      <c r="A103" s="4">
        <f>A15</f>
      </c>
      <c r="B103" s="4"/>
      <c r="C103" s="760">
        <f>IF(GetFillColor(C103)=15,SUM(Planning!$D68:$AE68),0)</f>
      </c>
      <c r="D103" s="760">
        <f>IF(GetFillColor(D103)=15,SUM(Planning!$AG68:$BH68),0)</f>
      </c>
      <c r="E103" s="760">
        <f>IF(GetFillColor(E103)=15,SUM(Planning!$BJ68:$CK68),0)</f>
      </c>
      <c r="F103" s="763">
        <f>IF(GetFillColor(F103)=15,SUM(Planning!$CM68:$DN68),0)</f>
      </c>
      <c r="G103" s="763">
        <f>IF(GetFillColor(G103)=15,SUM(Planning!$DP68:$EQ68),0)</f>
      </c>
      <c r="H103" s="763">
        <f>IF(GetFillColor(H103)=15,SUM(Planning!$ES68:$FT68),0)</f>
      </c>
      <c r="I103" s="763">
        <f>IF(GetFillColor(I103)=15,SUM(Planning!$FV68:$GW68),0)</f>
      </c>
      <c r="J103" s="762">
        <f>IF(GetFillColor(J103)=15,SUM(Planning!$HB68:$IC68),0)</f>
      </c>
      <c r="K103" s="762">
        <f>IF(GetFillColor(K103)=15,SUM(Planning!$IE68:$JF68),0)</f>
      </c>
      <c r="L103" s="762">
        <f>IF(GetFillColor(L103)=15,SUM(Planning!$JH68:$KI68),0)</f>
      </c>
      <c r="M103" s="762">
        <f>IF(GetFillColor(M103)=15,SUM(Planning!$KK68:$LL68),0)</f>
      </c>
      <c r="N103" s="762">
        <f>IF(GetFillColor(N103)=15,SUM(Planning!$LN68:$MO68),0)</f>
      </c>
      <c r="O103" s="763">
        <f>IF(GetFillColor(O103)=15,SUM(Planning!$MQ68:$NR68),0)</f>
      </c>
      <c r="P103" s="763">
        <f>IF(GetFillColor(P103)=15,SUM(Planning!$NT68:$OU68),0)</f>
      </c>
      <c r="Q103" s="762">
        <f>IF(GetFillColor(Q103)=15,SUM(Planning!$OZ68:$QA68),0)</f>
      </c>
      <c r="R103" s="762">
        <f>IF(GetFillColor(R103)=15,SUM(Planning!$QC68:$RD68),0)</f>
      </c>
      <c r="S103" s="762">
        <f>IF(GetFillColor(S103)=15,SUM(Planning!$RF68:$SG68),0)</f>
      </c>
      <c r="T103" s="762">
        <f>IF(GetFillColor(T103)=15,SUM(Planning!$SI68:$TJ68),0)</f>
      </c>
      <c r="U103" s="762">
        <f>IF(GetFillColor(U103)=15,SUM(Planning!$TL68:$UM68),0)</f>
      </c>
      <c r="V103" s="763">
        <f>IF(GetFillColor(V103)=15,SUM(Planning!$UO68:$VP68),0)</f>
      </c>
      <c r="W103" s="763">
        <f>IF(GetFillColor(W103)=15,SUM(Planning!$VR68:$WS68),0)</f>
      </c>
      <c r="X103" s="762">
        <f>IF(GetFillColor(X103)=15,SUM(Planning!$WX68:$XY68),0)</f>
      </c>
      <c r="Y103" s="762">
        <f>IF(GetFillColor(Y103)=15,SUM(Planning!$YA68:$ZB68),0)</f>
      </c>
      <c r="Z103" s="762">
        <f>IF(GetFillColor(Z103)=15,SUM(Planning!$ZD68:$AAE68),0)</f>
      </c>
      <c r="AA103" s="762">
        <f>IF(GetFillColor(AA103)=15,SUM(Planning!$AAG68:$ABH68),0)</f>
      </c>
      <c r="AB103" s="762">
        <f>IF(GetFillColor(AB103)=15,SUM(Planning!$ABJ68:$ACK68),0)</f>
      </c>
      <c r="AC103" s="763">
        <f>IF(GetFillColor(AC103)=15,SUM(Planning!$ACM68:$ADN68),0)</f>
      </c>
      <c r="AD103" s="763">
        <f>IF(GetFillColor(AD103)=15,SUM(Planning!$ADP68:$AEQ68),0)</f>
      </c>
      <c r="AE103" s="762">
        <f>IF(GetFillColor(AE103)=15,SUM(Planning!$AEV68:$AFW68),0)</f>
      </c>
      <c r="AF103" s="762">
        <f>IF(GetFillColor(AF103)=15,SUM(Planning!$AFY68:$AGZ68),0)</f>
      </c>
      <c r="AG103" s="762">
        <f>IF(GetFillColor(AG103)=15,SUM(Planning!$AHB68:$AIC68),0)</f>
      </c>
      <c r="AH103" s="762">
        <f>IF(GetFillColor(AH103)=15,SUM(Planning!$AIE68:$AJF68),0)</f>
      </c>
      <c r="AI103" s="762">
        <f>IF(GetFillColor(AI103)=15,SUM(Planning!$AJH68:$AKI68),0)</f>
      </c>
      <c r="AJ103" s="763">
        <f>IF(GetFillColor(AJ103)=15,SUM(Planning!$AKK68:$ALL68),0)</f>
      </c>
      <c r="AK103" s="760">
        <f>IF(GetFillColor(AK103)=15,SUM(Planning!$ALN68:$AMO68),0)</f>
      </c>
      <c r="AL103" s="698">
        <f>SUM(C103:AK103)</f>
      </c>
      <c r="AM103" s="4"/>
      <c r="AN103" s="4"/>
    </row>
    <row r="104" ht="20.25" customHeight="1" spans="1:40" x14ac:dyDescent="0.25">
      <c r="A104" s="4">
        <f>A16</f>
      </c>
      <c r="B104" s="4"/>
      <c r="C104" s="760">
        <f>IF(GetFillColor(C104)=15,SUM(Planning!$D69:$AE69),0)</f>
      </c>
      <c r="D104" s="760">
        <f>IF(GetFillColor(D104)=15,SUM(Planning!$AG69:$BH69),0)</f>
      </c>
      <c r="E104" s="760">
        <f>IF(GetFillColor(E104)=15,SUM(Planning!$BJ69:$CK69),0)</f>
      </c>
      <c r="F104" s="763">
        <f>IF(GetFillColor(F104)=15,SUM(Planning!$CM69:$DN69),0)</f>
      </c>
      <c r="G104" s="763">
        <f>IF(GetFillColor(G104)=15,SUM(Planning!$DP69:$EQ69),0)</f>
      </c>
      <c r="H104" s="763">
        <f>IF(GetFillColor(H104)=15,SUM(Planning!$ES69:$FT69),0)</f>
      </c>
      <c r="I104" s="763">
        <f>IF(GetFillColor(I104)=15,SUM(Planning!$FV69:$GW69),0)</f>
      </c>
      <c r="J104" s="762">
        <f>IF(GetFillColor(J104)=15,SUM(Planning!$HB69:$IC69),0)</f>
      </c>
      <c r="K104" s="762">
        <f>IF(GetFillColor(K104)=15,SUM(Planning!$IE69:$JF69),0)</f>
      </c>
      <c r="L104" s="762">
        <f>IF(GetFillColor(L104)=15,SUM(Planning!$JH69:$KI69),0)</f>
      </c>
      <c r="M104" s="762">
        <f>IF(GetFillColor(M104)=15,SUM(Planning!$KK69:$LL69),0)</f>
      </c>
      <c r="N104" s="762">
        <f>IF(GetFillColor(N104)=15,SUM(Planning!$LN69:$MO69),0)</f>
      </c>
      <c r="O104" s="763">
        <f>IF(GetFillColor(O104)=15,SUM(Planning!$MQ69:$NR69),0)</f>
      </c>
      <c r="P104" s="763">
        <f>IF(GetFillColor(P104)=15,SUM(Planning!$NT69:$OU69),0)</f>
      </c>
      <c r="Q104" s="762">
        <f>IF(GetFillColor(Q104)=15,SUM(Planning!$OZ69:$QA69),0)</f>
      </c>
      <c r="R104" s="762">
        <f>IF(GetFillColor(R104)=15,SUM(Planning!$QC69:$RD69),0)</f>
      </c>
      <c r="S104" s="762">
        <f>IF(GetFillColor(S104)=15,SUM(Planning!$RF69:$SG69),0)</f>
      </c>
      <c r="T104" s="762">
        <f>IF(GetFillColor(T104)=15,SUM(Planning!$SI69:$TJ69),0)</f>
      </c>
      <c r="U104" s="762">
        <f>IF(GetFillColor(U104)=15,SUM(Planning!$TL69:$UM69),0)</f>
      </c>
      <c r="V104" s="763">
        <f>IF(GetFillColor(V104)=15,SUM(Planning!$UO69:$VP69),0)</f>
      </c>
      <c r="W104" s="763">
        <f>IF(GetFillColor(W104)=15,SUM(Planning!$VR69:$WS69),0)</f>
      </c>
      <c r="X104" s="762">
        <f>IF(GetFillColor(X104)=15,SUM(Planning!$WX69:$XY69),0)</f>
      </c>
      <c r="Y104" s="762">
        <f>IF(GetFillColor(Y104)=15,SUM(Planning!$YA69:$ZB69),0)</f>
      </c>
      <c r="Z104" s="762">
        <f>IF(GetFillColor(Z104)=15,SUM(Planning!$ZD69:$AAE69),0)</f>
      </c>
      <c r="AA104" s="762">
        <f>IF(GetFillColor(AA104)=15,SUM(Planning!$AAG69:$ABH69),0)</f>
      </c>
      <c r="AB104" s="762">
        <f>IF(GetFillColor(AB104)=15,SUM(Planning!$ABJ69:$ACK69),0)</f>
      </c>
      <c r="AC104" s="763">
        <f>IF(GetFillColor(AC104)=15,SUM(Planning!$ACM69:$ADN69),0)</f>
      </c>
      <c r="AD104" s="763">
        <f>IF(GetFillColor(AD104)=15,SUM(Planning!$ADP69:$AEQ69),0)</f>
      </c>
      <c r="AE104" s="762">
        <f>IF(GetFillColor(AE104)=15,SUM(Planning!$AEV69:$AFW69),0)</f>
      </c>
      <c r="AF104" s="762">
        <f>IF(GetFillColor(AF104)=15,SUM(Planning!$AFY69:$AGZ69),0)</f>
      </c>
      <c r="AG104" s="762">
        <f>IF(GetFillColor(AG104)=15,SUM(Planning!$AHB69:$AIC69),0)</f>
      </c>
      <c r="AH104" s="762">
        <f>IF(GetFillColor(AH104)=15,SUM(Planning!$AIE69:$AJF69),0)</f>
      </c>
      <c r="AI104" s="762">
        <f>IF(GetFillColor(AI104)=15,SUM(Planning!$AJH69:$AKI69),0)</f>
      </c>
      <c r="AJ104" s="763">
        <f>IF(GetFillColor(AJ104)=15,SUM(Planning!$AKK69:$ALL69),0)</f>
      </c>
      <c r="AK104" s="760">
        <f>IF(GetFillColor(AK104)=15,SUM(Planning!$ALN69:$AMO69),0)</f>
      </c>
      <c r="AL104" s="698">
        <f>SUM(C104:AK104)</f>
      </c>
      <c r="AM104" s="4"/>
      <c r="AN104" s="4"/>
    </row>
    <row r="105" ht="20.25" customHeight="1" spans="1:40" x14ac:dyDescent="0.25">
      <c r="A105" s="4">
        <f>A17</f>
      </c>
      <c r="B105" s="4"/>
      <c r="C105" s="760">
        <f>IF(GetFillColor(C105)=15,SUM(Planning!$D70:$AE70),0)</f>
      </c>
      <c r="D105" s="760">
        <f>IF(GetFillColor(D105)=15,SUM(Planning!$AG70:$BH70),0)</f>
      </c>
      <c r="E105" s="760">
        <f>IF(GetFillColor(E105)=15,SUM(Planning!$BJ70:$CK70),0)</f>
      </c>
      <c r="F105" s="763">
        <f>IF(GetFillColor(F105)=15,SUM(Planning!$CM70:$DN70),0)</f>
      </c>
      <c r="G105" s="763">
        <f>IF(GetFillColor(G105)=15,SUM(Planning!$DP70:$EQ70),0)</f>
      </c>
      <c r="H105" s="763">
        <f>IF(GetFillColor(H105)=15,SUM(Planning!$ES70:$FT70),0)</f>
      </c>
      <c r="I105" s="763">
        <f>IF(GetFillColor(I105)=15,SUM(Planning!$FV70:$GW70),0)</f>
      </c>
      <c r="J105" s="762">
        <f>IF(GetFillColor(J105)=15,SUM(Planning!$HB70:$IC70),0)</f>
      </c>
      <c r="K105" s="762">
        <f>IF(GetFillColor(K105)=15,SUM(Planning!$IE70:$JF70),0)</f>
      </c>
      <c r="L105" s="762">
        <f>IF(GetFillColor(L105)=15,SUM(Planning!$JH70:$KI70),0)</f>
      </c>
      <c r="M105" s="762">
        <f>IF(GetFillColor(M105)=15,SUM(Planning!$KK70:$LL70),0)</f>
      </c>
      <c r="N105" s="762">
        <f>IF(GetFillColor(N105)=15,SUM(Planning!$LN70:$MO70),0)</f>
      </c>
      <c r="O105" s="763">
        <f>IF(GetFillColor(O105)=15,SUM(Planning!$MQ70:$NR70),0)</f>
      </c>
      <c r="P105" s="763">
        <f>IF(GetFillColor(P105)=15,SUM(Planning!$NT70:$OU70),0)</f>
      </c>
      <c r="Q105" s="762">
        <f>IF(GetFillColor(Q105)=15,SUM(Planning!$OZ70:$QA70),0)</f>
      </c>
      <c r="R105" s="762">
        <f>IF(GetFillColor(R105)=15,SUM(Planning!$QC70:$RD70),0)</f>
      </c>
      <c r="S105" s="762">
        <f>IF(GetFillColor(S105)=15,SUM(Planning!$RF70:$SG70),0)</f>
      </c>
      <c r="T105" s="762">
        <f>IF(GetFillColor(T105)=15,SUM(Planning!$SI70:$TJ70),0)</f>
      </c>
      <c r="U105" s="762">
        <f>IF(GetFillColor(U105)=15,SUM(Planning!$TL70:$UM70),0)</f>
      </c>
      <c r="V105" s="763">
        <f>IF(GetFillColor(V105)=15,SUM(Planning!$UO70:$VP70),0)</f>
      </c>
      <c r="W105" s="763">
        <f>IF(GetFillColor(W105)=15,SUM(Planning!$VR70:$WS70),0)</f>
      </c>
      <c r="X105" s="762">
        <f>IF(GetFillColor(X105)=15,SUM(Planning!$WX70:$XY70),0)</f>
      </c>
      <c r="Y105" s="762">
        <f>IF(GetFillColor(Y105)=15,SUM(Planning!$YA70:$ZB70),0)</f>
      </c>
      <c r="Z105" s="762">
        <f>IF(GetFillColor(Z105)=15,SUM(Planning!$ZD70:$AAE70),0)</f>
      </c>
      <c r="AA105" s="762">
        <f>IF(GetFillColor(AA105)=15,SUM(Planning!$AAG70:$ABH70),0)</f>
      </c>
      <c r="AB105" s="762">
        <f>IF(GetFillColor(AB105)=15,SUM(Planning!$ABJ70:$ACK70),0)</f>
      </c>
      <c r="AC105" s="763">
        <f>IF(GetFillColor(AC105)=15,SUM(Planning!$ACM70:$ADN70),0)</f>
      </c>
      <c r="AD105" s="763">
        <f>IF(GetFillColor(AD105)=15,SUM(Planning!$ADP70:$AEQ70),0)</f>
      </c>
      <c r="AE105" s="762">
        <f>IF(GetFillColor(AE105)=15,SUM(Planning!$AEV70:$AFW70),0)</f>
      </c>
      <c r="AF105" s="762">
        <f>IF(GetFillColor(AF105)=15,SUM(Planning!$AFY70:$AGZ70),0)</f>
      </c>
      <c r="AG105" s="762">
        <f>IF(GetFillColor(AG105)=15,SUM(Planning!$AHB70:$AIC70),0)</f>
      </c>
      <c r="AH105" s="762">
        <f>IF(GetFillColor(AH105)=15,SUM(Planning!$AIE70:$AJF70),0)</f>
      </c>
      <c r="AI105" s="762">
        <f>IF(GetFillColor(AI105)=15,SUM(Planning!$AJH70:$AKI70),0)</f>
      </c>
      <c r="AJ105" s="763">
        <f>IF(GetFillColor(AJ105)=15,SUM(Planning!$AKK70:$ALL70),0)</f>
      </c>
      <c r="AK105" s="760">
        <f>IF(GetFillColor(AK105)=15,SUM(Planning!$ALN70:$AMO70),0)</f>
      </c>
      <c r="AL105" s="698">
        <f>SUM(C105:AK105)</f>
      </c>
      <c r="AM105" s="4"/>
      <c r="AN105" s="4"/>
    </row>
    <row r="106" ht="20.25" customHeight="1" spans="1:40" x14ac:dyDescent="0.25">
      <c r="A106" s="4">
        <f>A18</f>
      </c>
      <c r="B106" s="4"/>
      <c r="C106" s="760">
        <f>IF(GetFillColor(C106)=15,SUM(Planning!$D71:$AE71),0)</f>
      </c>
      <c r="D106" s="760">
        <f>IF(GetFillColor(D106)=15,SUM(Planning!$AG71:$BH71),0)</f>
      </c>
      <c r="E106" s="760">
        <f>IF(GetFillColor(E106)=15,SUM(Planning!$BJ71:$CK71),0)</f>
      </c>
      <c r="F106" s="763">
        <f>IF(GetFillColor(F106)=15,SUM(Planning!$CM71:$DN71),0)</f>
      </c>
      <c r="G106" s="763">
        <f>IF(GetFillColor(G106)=15,SUM(Planning!$DP71:$EQ71),0)</f>
      </c>
      <c r="H106" s="763">
        <f>IF(GetFillColor(H106)=15,SUM(Planning!$ES71:$FT71),0)</f>
      </c>
      <c r="I106" s="763">
        <f>IF(GetFillColor(I106)=15,SUM(Planning!$FV71:$GW71),0)</f>
      </c>
      <c r="J106" s="762">
        <f>IF(GetFillColor(J106)=15,SUM(Planning!$HB71:$IC71),0)</f>
      </c>
      <c r="K106" s="762">
        <f>IF(GetFillColor(K106)=15,SUM(Planning!$IE71:$JF71),0)</f>
      </c>
      <c r="L106" s="762">
        <f>IF(GetFillColor(L106)=15,SUM(Planning!$JH71:$KI71),0)</f>
      </c>
      <c r="M106" s="762">
        <f>IF(GetFillColor(M106)=15,SUM(Planning!$KK71:$LL71),0)</f>
      </c>
      <c r="N106" s="762">
        <f>IF(GetFillColor(N106)=15,SUM(Planning!$LN71:$MO71),0)</f>
      </c>
      <c r="O106" s="763">
        <f>IF(GetFillColor(O106)=15,SUM(Planning!$MQ71:$NR71),0)</f>
      </c>
      <c r="P106" s="763">
        <f>IF(GetFillColor(P106)=15,SUM(Planning!$NT71:$OU71),0)</f>
      </c>
      <c r="Q106" s="762">
        <f>IF(GetFillColor(Q106)=15,SUM(Planning!$OZ71:$QA71),0)</f>
      </c>
      <c r="R106" s="762">
        <f>IF(GetFillColor(R106)=15,SUM(Planning!$QC71:$RD71),0)</f>
      </c>
      <c r="S106" s="762">
        <f>IF(GetFillColor(S106)=15,SUM(Planning!$RF71:$SG71),0)</f>
      </c>
      <c r="T106" s="762">
        <f>IF(GetFillColor(T106)=15,SUM(Planning!$SI71:$TJ71),0)</f>
      </c>
      <c r="U106" s="762">
        <f>IF(GetFillColor(U106)=15,SUM(Planning!$TL71:$UM71),0)</f>
      </c>
      <c r="V106" s="763">
        <f>IF(GetFillColor(V106)=15,SUM(Planning!$UO71:$VP71),0)</f>
      </c>
      <c r="W106" s="763">
        <f>IF(GetFillColor(W106)=15,SUM(Planning!$VR71:$WS71),0)</f>
      </c>
      <c r="X106" s="762">
        <f>IF(GetFillColor(X106)=15,SUM(Planning!$WX71:$XY71),0)</f>
      </c>
      <c r="Y106" s="762">
        <f>IF(GetFillColor(Y106)=15,SUM(Planning!$YA71:$ZB71),0)</f>
      </c>
      <c r="Z106" s="762">
        <f>IF(GetFillColor(Z106)=15,SUM(Planning!$ZD71:$AAE71),0)</f>
      </c>
      <c r="AA106" s="762">
        <f>IF(GetFillColor(AA106)=15,SUM(Planning!$AAG71:$ABH71),0)</f>
      </c>
      <c r="AB106" s="762">
        <f>IF(GetFillColor(AB106)=15,SUM(Planning!$ABJ71:$ACK71),0)</f>
      </c>
      <c r="AC106" s="763">
        <f>IF(GetFillColor(AC106)=15,SUM(Planning!$ACM71:$ADN71),0)</f>
      </c>
      <c r="AD106" s="763">
        <f>IF(GetFillColor(AD106)=15,SUM(Planning!$ADP71:$AEQ71),0)</f>
      </c>
      <c r="AE106" s="762">
        <f>IF(GetFillColor(AE106)=15,SUM(Planning!$AEV71:$AFW71),0)</f>
      </c>
      <c r="AF106" s="762">
        <f>IF(GetFillColor(AF106)=15,SUM(Planning!$AFY71:$AGZ71),0)</f>
      </c>
      <c r="AG106" s="762">
        <f>IF(GetFillColor(AG106)=15,SUM(Planning!$AHB71:$AIC71),0)</f>
      </c>
      <c r="AH106" s="762">
        <f>IF(GetFillColor(AH106)=15,SUM(Planning!$AIE71:$AJF71),0)</f>
      </c>
      <c r="AI106" s="762">
        <f>IF(GetFillColor(AI106)=15,SUM(Planning!$AJH71:$AKI71),0)</f>
      </c>
      <c r="AJ106" s="763">
        <f>IF(GetFillColor(AJ106)=15,SUM(Planning!$AKK71:$ALL71),0)</f>
      </c>
      <c r="AK106" s="760">
        <f>IF(GetFillColor(AK106)=15,SUM(Planning!$ALN71:$AMO71),0)</f>
      </c>
      <c r="AL106" s="698">
        <f>SUM(C106:AK106)</f>
      </c>
      <c r="AM106" s="4"/>
      <c r="AN106" s="4"/>
    </row>
    <row r="107" ht="20.25" customHeight="1" spans="1:40" x14ac:dyDescent="0.25">
      <c r="A107" s="4">
        <f>A19</f>
      </c>
      <c r="B107" s="4"/>
      <c r="C107" s="760">
        <f>IF(GetFillColor(C107)=15,SUM(Planning!$D72:$AE72),0)</f>
      </c>
      <c r="D107" s="760">
        <f>IF(GetFillColor(D107)=15,SUM(Planning!$AG72:$BH72),0)</f>
      </c>
      <c r="E107" s="760">
        <f>IF(GetFillColor(E107)=15,SUM(Planning!$BJ72:$CK72),0)</f>
      </c>
      <c r="F107" s="763">
        <f>IF(GetFillColor(F107)=15,SUM(Planning!$CM72:$DN72),0)</f>
      </c>
      <c r="G107" s="763">
        <f>IF(GetFillColor(G107)=15,SUM(Planning!$DP72:$EQ72),0)</f>
      </c>
      <c r="H107" s="763">
        <f>IF(GetFillColor(H107)=15,SUM(Planning!$ES72:$FT72),0)</f>
      </c>
      <c r="I107" s="763">
        <f>IF(GetFillColor(I107)=15,SUM(Planning!$FV72:$GW72),0)</f>
      </c>
      <c r="J107" s="762">
        <f>IF(GetFillColor(J107)=15,SUM(Planning!$HB72:$IC72),0)</f>
      </c>
      <c r="K107" s="762">
        <f>IF(GetFillColor(K107)=15,SUM(Planning!$IE72:$JF72),0)</f>
      </c>
      <c r="L107" s="762">
        <f>IF(GetFillColor(L107)=15,SUM(Planning!$JH72:$KI72),0)</f>
      </c>
      <c r="M107" s="762">
        <f>IF(GetFillColor(M107)=15,SUM(Planning!$KK72:$LL72),0)</f>
      </c>
      <c r="N107" s="762">
        <f>IF(GetFillColor(N107)=15,SUM(Planning!$LN72:$MO72),0)</f>
      </c>
      <c r="O107" s="763">
        <f>IF(GetFillColor(O107)=15,SUM(Planning!$MQ72:$NR72),0)</f>
      </c>
      <c r="P107" s="763">
        <f>IF(GetFillColor(P107)=15,SUM(Planning!$NT72:$OU72),0)</f>
      </c>
      <c r="Q107" s="762">
        <f>IF(GetFillColor(Q107)=15,SUM(Planning!$OZ72:$QA72),0)</f>
      </c>
      <c r="R107" s="762">
        <f>IF(GetFillColor(R107)=15,SUM(Planning!$QC72:$RD72),0)</f>
      </c>
      <c r="S107" s="762">
        <f>IF(GetFillColor(S107)=15,SUM(Planning!$RF72:$SG72),0)</f>
      </c>
      <c r="T107" s="762">
        <f>IF(GetFillColor(T107)=15,SUM(Planning!$SI72:$TJ72),0)</f>
      </c>
      <c r="U107" s="762">
        <f>IF(GetFillColor(U107)=15,SUM(Planning!$TL72:$UM72),0)</f>
      </c>
      <c r="V107" s="763">
        <f>IF(GetFillColor(V107)=15,SUM(Planning!$UO72:$VP72),0)</f>
      </c>
      <c r="W107" s="763">
        <f>IF(GetFillColor(W107)=15,SUM(Planning!$VR72:$WS72),0)</f>
      </c>
      <c r="X107" s="762">
        <f>IF(GetFillColor(X107)=15,SUM(Planning!$WX72:$XY72),0)</f>
      </c>
      <c r="Y107" s="762">
        <f>IF(GetFillColor(Y107)=15,SUM(Planning!$YA72:$ZB72),0)</f>
      </c>
      <c r="Z107" s="762">
        <f>IF(GetFillColor(Z107)=15,SUM(Planning!$ZD72:$AAE72),0)</f>
      </c>
      <c r="AA107" s="762">
        <f>IF(GetFillColor(AA107)=15,SUM(Planning!$AAG72:$ABH72),0)</f>
      </c>
      <c r="AB107" s="762">
        <f>IF(GetFillColor(AB107)=15,SUM(Planning!$ABJ72:$ACK72),0)</f>
      </c>
      <c r="AC107" s="763">
        <f>IF(GetFillColor(AC107)=15,SUM(Planning!$ACM72:$ADN72),0)</f>
      </c>
      <c r="AD107" s="763">
        <f>IF(GetFillColor(AD107)=15,SUM(Planning!$ADP72:$AEQ72),0)</f>
      </c>
      <c r="AE107" s="762">
        <f>IF(GetFillColor(AE107)=15,SUM(Planning!$AEV72:$AFW72),0)</f>
      </c>
      <c r="AF107" s="762">
        <f>IF(GetFillColor(AF107)=15,SUM(Planning!$AFY72:$AGZ72),0)</f>
      </c>
      <c r="AG107" s="762">
        <f>IF(GetFillColor(AG107)=15,SUM(Planning!$AHB72:$AIC72),0)</f>
      </c>
      <c r="AH107" s="762">
        <f>IF(GetFillColor(AH107)=15,SUM(Planning!$AIE72:$AJF72),0)</f>
      </c>
      <c r="AI107" s="762">
        <f>IF(GetFillColor(AI107)=15,SUM(Planning!$AJH72:$AKI72),0)</f>
      </c>
      <c r="AJ107" s="763">
        <f>IF(GetFillColor(AJ107)=15,SUM(Planning!$AKK72:$ALL72),0)</f>
      </c>
      <c r="AK107" s="760">
        <f>IF(GetFillColor(AK107)=15,SUM(Planning!$ALN72:$AMO72),0)</f>
      </c>
      <c r="AL107" s="698">
        <f>SUM(C107:AK107)</f>
      </c>
      <c r="AM107" s="4"/>
      <c r="AN107" s="4"/>
    </row>
    <row r="108" ht="20.25" customHeight="1" spans="1:40" x14ac:dyDescent="0.25">
      <c r="A108" s="4">
        <f>A20</f>
      </c>
      <c r="B108" s="4"/>
      <c r="C108" s="760">
        <f>IF(GetFillColor(C108)=15,SUM(Planning!$D73:$AE73),0)</f>
      </c>
      <c r="D108" s="760">
        <f>IF(GetFillColor(D108)=15,SUM(Planning!$AG73:$BH73),0)</f>
      </c>
      <c r="E108" s="760">
        <f>IF(GetFillColor(E108)=15,SUM(Planning!$BJ73:$CK73),0)</f>
      </c>
      <c r="F108" s="763">
        <f>IF(GetFillColor(F108)=15,SUM(Planning!$CM73:$DN73),0)</f>
      </c>
      <c r="G108" s="763">
        <f>IF(GetFillColor(G108)=15,SUM(Planning!$DP73:$EQ73),0)</f>
      </c>
      <c r="H108" s="763">
        <f>IF(GetFillColor(H108)=15,SUM(Planning!$ES73:$FT73),0)</f>
      </c>
      <c r="I108" s="763">
        <f>IF(GetFillColor(I108)=15,SUM(Planning!$FV73:$GW73),0)</f>
      </c>
      <c r="J108" s="762">
        <f>IF(GetFillColor(J108)=15,SUM(Planning!$HB73:$IC73),0)</f>
      </c>
      <c r="K108" s="762">
        <f>IF(GetFillColor(K108)=15,SUM(Planning!$IE73:$JF73),0)</f>
      </c>
      <c r="L108" s="762">
        <f>IF(GetFillColor(L108)=15,SUM(Planning!$JH73:$KI73),0)</f>
      </c>
      <c r="M108" s="762">
        <f>IF(GetFillColor(M108)=15,SUM(Planning!$KK73:$LL73),0)</f>
      </c>
      <c r="N108" s="762">
        <f>IF(GetFillColor(N108)=15,SUM(Planning!$LN73:$MO73),0)</f>
      </c>
      <c r="O108" s="763">
        <f>IF(GetFillColor(O108)=15,SUM(Planning!$MQ73:$NR73),0)</f>
      </c>
      <c r="P108" s="763">
        <f>IF(GetFillColor(P108)=15,SUM(Planning!$NT73:$OU73),0)</f>
      </c>
      <c r="Q108" s="762">
        <f>IF(GetFillColor(Q108)=15,SUM(Planning!$OZ73:$QA73),0)</f>
      </c>
      <c r="R108" s="762">
        <f>IF(GetFillColor(R108)=15,SUM(Planning!$QC73:$RD73),0)</f>
      </c>
      <c r="S108" s="762">
        <f>IF(GetFillColor(S108)=15,SUM(Planning!$RF73:$SG73),0)</f>
      </c>
      <c r="T108" s="762">
        <f>IF(GetFillColor(T108)=15,SUM(Planning!$SI73:$TJ73),0)</f>
      </c>
      <c r="U108" s="762">
        <f>IF(GetFillColor(U108)=15,SUM(Planning!$TL73:$UM73),0)</f>
      </c>
      <c r="V108" s="763">
        <f>IF(GetFillColor(V108)=15,SUM(Planning!$UO73:$VP73),0)</f>
      </c>
      <c r="W108" s="763">
        <f>IF(GetFillColor(W108)=15,SUM(Planning!$VR73:$WS73),0)</f>
      </c>
      <c r="X108" s="762">
        <f>IF(GetFillColor(X108)=15,SUM(Planning!$WX73:$XY73),0)</f>
      </c>
      <c r="Y108" s="762">
        <f>IF(GetFillColor(Y108)=15,SUM(Planning!$YA73:$ZB73),0)</f>
      </c>
      <c r="Z108" s="762">
        <f>IF(GetFillColor(Z108)=15,SUM(Planning!$ZD73:$AAE73),0)</f>
      </c>
      <c r="AA108" s="762">
        <f>IF(GetFillColor(AA108)=15,SUM(Planning!$AAG73:$ABH73),0)</f>
      </c>
      <c r="AB108" s="762">
        <f>IF(GetFillColor(AB108)=15,SUM(Planning!$ABJ73:$ACK73),0)</f>
      </c>
      <c r="AC108" s="763">
        <f>IF(GetFillColor(AC108)=15,SUM(Planning!$ACM73:$ADN73),0)</f>
      </c>
      <c r="AD108" s="763">
        <f>IF(GetFillColor(AD108)=15,SUM(Planning!$ADP73:$AEQ73),0)</f>
      </c>
      <c r="AE108" s="762">
        <f>IF(GetFillColor(AE108)=15,SUM(Planning!$AEV73:$AFW73),0)</f>
      </c>
      <c r="AF108" s="762">
        <f>IF(GetFillColor(AF108)=15,SUM(Planning!$AFY73:$AGZ73),0)</f>
      </c>
      <c r="AG108" s="762">
        <f>IF(GetFillColor(AG108)=15,SUM(Planning!$AHB73:$AIC73),0)</f>
      </c>
      <c r="AH108" s="762">
        <f>IF(GetFillColor(AH108)=15,SUM(Planning!$AIE73:$AJF73),0)</f>
      </c>
      <c r="AI108" s="762">
        <f>IF(GetFillColor(AI108)=15,SUM(Planning!$AJH73:$AKI73),0)</f>
      </c>
      <c r="AJ108" s="763">
        <f>IF(GetFillColor(AJ108)=15,SUM(Planning!$AKK73:$ALL73),0)</f>
      </c>
      <c r="AK108" s="760">
        <f>IF(GetFillColor(AK108)=15,SUM(Planning!$ALN73:$AMO73),0)</f>
      </c>
      <c r="AL108" s="698">
        <f>SUM(C108:AK108)</f>
      </c>
      <c r="AM108" s="4"/>
      <c r="AN108" s="4"/>
    </row>
    <row r="109" ht="20.25" customHeight="1" spans="1:40" x14ac:dyDescent="0.25">
      <c r="A109" s="4">
        <f>A21</f>
      </c>
      <c r="B109" s="4"/>
      <c r="C109" s="760">
        <f>IF(GetFillColor(C109)=15,SUM(Planning!$D74:$AE74),0)</f>
      </c>
      <c r="D109" s="760">
        <f>IF(GetFillColor(D109)=15,SUM(Planning!$AG74:$BH74),0)</f>
      </c>
      <c r="E109" s="760">
        <f>IF(GetFillColor(E109)=15,SUM(Planning!$BJ74:$CK74),0)</f>
      </c>
      <c r="F109" s="763">
        <f>IF(GetFillColor(F109)=15,SUM(Planning!$CM74:$DN74),0)</f>
      </c>
      <c r="G109" s="763">
        <f>IF(GetFillColor(G109)=15,SUM(Planning!$DP74:$EQ74),0)</f>
      </c>
      <c r="H109" s="763">
        <f>IF(GetFillColor(H109)=15,SUM(Planning!$ES74:$FT74),0)</f>
      </c>
      <c r="I109" s="763">
        <f>IF(GetFillColor(I109)=15,SUM(Planning!$FV74:$GW74),0)</f>
      </c>
      <c r="J109" s="762">
        <f>IF(GetFillColor(J109)=15,SUM(Planning!$HB74:$IC74),0)</f>
      </c>
      <c r="K109" s="762">
        <f>IF(GetFillColor(K109)=15,SUM(Planning!$IE74:$JF74),0)</f>
      </c>
      <c r="L109" s="762">
        <f>IF(GetFillColor(L109)=15,SUM(Planning!$JH74:$KI74),0)</f>
      </c>
      <c r="M109" s="762">
        <f>IF(GetFillColor(M109)=15,SUM(Planning!$KK74:$LL74),0)</f>
      </c>
      <c r="N109" s="762">
        <f>IF(GetFillColor(N109)=15,SUM(Planning!$LN74:$MO74),0)</f>
      </c>
      <c r="O109" s="763">
        <f>IF(GetFillColor(O109)=15,SUM(Planning!$MQ74:$NR74),0)</f>
      </c>
      <c r="P109" s="763">
        <f>IF(GetFillColor(P109)=15,SUM(Planning!$NT74:$OU74),0)</f>
      </c>
      <c r="Q109" s="762">
        <f>IF(GetFillColor(Q109)=15,SUM(Planning!$OZ74:$QA74),0)</f>
      </c>
      <c r="R109" s="762">
        <f>IF(GetFillColor(R109)=15,SUM(Planning!$QC74:$RD74),0)</f>
      </c>
      <c r="S109" s="762">
        <f>IF(GetFillColor(S109)=15,SUM(Planning!$RF74:$SG74),0)</f>
      </c>
      <c r="T109" s="762">
        <f>IF(GetFillColor(T109)=15,SUM(Planning!$SI74:$TJ74),0)</f>
      </c>
      <c r="U109" s="762">
        <f>IF(GetFillColor(U109)=15,SUM(Planning!$TL74:$UM74),0)</f>
      </c>
      <c r="V109" s="763">
        <f>IF(GetFillColor(V109)=15,SUM(Planning!$UO74:$VP74),0)</f>
      </c>
      <c r="W109" s="763">
        <f>IF(GetFillColor(W109)=15,SUM(Planning!$VR74:$WS74),0)</f>
      </c>
      <c r="X109" s="762">
        <f>IF(GetFillColor(X109)=15,SUM(Planning!$WX74:$XY74),0)</f>
      </c>
      <c r="Y109" s="762">
        <f>IF(GetFillColor(Y109)=15,SUM(Planning!$YA74:$ZB74),0)</f>
      </c>
      <c r="Z109" s="762">
        <f>IF(GetFillColor(Z109)=15,SUM(Planning!$ZD74:$AAE74),0)</f>
      </c>
      <c r="AA109" s="762">
        <f>IF(GetFillColor(AA109)=15,SUM(Planning!$AAG74:$ABH74),0)</f>
      </c>
      <c r="AB109" s="762">
        <f>IF(GetFillColor(AB109)=15,SUM(Planning!$ABJ74:$ACK74),0)</f>
      </c>
      <c r="AC109" s="763">
        <f>IF(GetFillColor(AC109)=15,SUM(Planning!$ACM74:$ADN74),0)</f>
      </c>
      <c r="AD109" s="763">
        <f>IF(GetFillColor(AD109)=15,SUM(Planning!$ADP74:$AEQ74),0)</f>
      </c>
      <c r="AE109" s="762">
        <f>IF(GetFillColor(AE109)=15,SUM(Planning!$AEV74:$AFW74),0)</f>
      </c>
      <c r="AF109" s="762">
        <f>IF(GetFillColor(AF109)=15,SUM(Planning!$AFY74:$AGZ74),0)</f>
      </c>
      <c r="AG109" s="762">
        <f>IF(GetFillColor(AG109)=15,SUM(Planning!$AHB74:$AIC74),0)</f>
      </c>
      <c r="AH109" s="762">
        <f>IF(GetFillColor(AH109)=15,SUM(Planning!$AIE74:$AJF74),0)</f>
      </c>
      <c r="AI109" s="762">
        <f>IF(GetFillColor(AI109)=15,SUM(Planning!$AJH74:$AKI74),0)</f>
      </c>
      <c r="AJ109" s="763">
        <f>IF(GetFillColor(AJ109)=15,SUM(Planning!$AKK74:$ALL74),0)</f>
      </c>
      <c r="AK109" s="760">
        <f>IF(GetFillColor(AK109)=15,SUM(Planning!$ALN74:$AMO74),0)</f>
      </c>
      <c r="AL109" s="698">
        <f>SUM(C109:AK109)</f>
      </c>
      <c r="AM109" s="4"/>
      <c r="AN109" s="4"/>
    </row>
    <row r="110" ht="20.25" customHeight="1" spans="1:40" x14ac:dyDescent="0.25">
      <c r="A110" s="4">
        <f>A22</f>
      </c>
      <c r="B110" s="4"/>
      <c r="C110" s="760">
        <f>IF(GetFillColor(C110)=15,SUM(Planning!$D75:$AE75),0)</f>
      </c>
      <c r="D110" s="760">
        <f>IF(GetFillColor(D110)=15,SUM(Planning!$AG75:$BH75),0)</f>
      </c>
      <c r="E110" s="760">
        <f>IF(GetFillColor(E110)=15,SUM(Planning!$BJ75:$CK75),0)</f>
      </c>
      <c r="F110" s="763">
        <f>IF(GetFillColor(F110)=15,SUM(Planning!$CM75:$DN75),0)</f>
      </c>
      <c r="G110" s="763">
        <f>IF(GetFillColor(G110)=15,SUM(Planning!$DP75:$EQ75),0)</f>
      </c>
      <c r="H110" s="763">
        <f>IF(GetFillColor(H110)=15,SUM(Planning!$ES75:$FT75),0)</f>
      </c>
      <c r="I110" s="763">
        <f>IF(GetFillColor(I110)=15,SUM(Planning!$FV75:$GW75),0)</f>
      </c>
      <c r="J110" s="762">
        <f>IF(GetFillColor(J110)=15,SUM(Planning!$HB75:$IC75),0)</f>
      </c>
      <c r="K110" s="762">
        <f>IF(GetFillColor(K110)=15,SUM(Planning!$IE75:$JF75),0)</f>
      </c>
      <c r="L110" s="762">
        <f>IF(GetFillColor(L110)=15,SUM(Planning!$JH75:$KI75),0)</f>
      </c>
      <c r="M110" s="762">
        <f>IF(GetFillColor(M110)=15,SUM(Planning!$KK75:$LL75),0)</f>
      </c>
      <c r="N110" s="762">
        <f>IF(GetFillColor(N110)=15,SUM(Planning!$LN75:$MO75),0)</f>
      </c>
      <c r="O110" s="763">
        <f>IF(GetFillColor(O110)=15,SUM(Planning!$MQ75:$NR75),0)</f>
      </c>
      <c r="P110" s="763">
        <f>IF(GetFillColor(P110)=15,SUM(Planning!$NT75:$OU75),0)</f>
      </c>
      <c r="Q110" s="762">
        <f>IF(GetFillColor(Q110)=15,SUM(Planning!$OZ75:$QA75),0)</f>
      </c>
      <c r="R110" s="762">
        <f>IF(GetFillColor(R110)=15,SUM(Planning!$QC75:$RD75),0)</f>
      </c>
      <c r="S110" s="762">
        <f>IF(GetFillColor(S110)=15,SUM(Planning!$RF75:$SG75),0)</f>
      </c>
      <c r="T110" s="762">
        <f>IF(GetFillColor(T110)=15,SUM(Planning!$SI75:$TJ75),0)</f>
      </c>
      <c r="U110" s="762">
        <f>IF(GetFillColor(U110)=15,SUM(Planning!$TL75:$UM75),0)</f>
      </c>
      <c r="V110" s="763">
        <f>IF(GetFillColor(V110)=15,SUM(Planning!$UO75:$VP75),0)</f>
      </c>
      <c r="W110" s="763">
        <f>IF(GetFillColor(W110)=15,SUM(Planning!$VR75:$WS75),0)</f>
      </c>
      <c r="X110" s="762">
        <f>IF(GetFillColor(X110)=15,SUM(Planning!$WX75:$XY75),0)</f>
      </c>
      <c r="Y110" s="762">
        <f>IF(GetFillColor(Y110)=15,SUM(Planning!$YA75:$ZB75),0)</f>
      </c>
      <c r="Z110" s="762">
        <f>IF(GetFillColor(Z110)=15,SUM(Planning!$ZD75:$AAE75),0)</f>
      </c>
      <c r="AA110" s="762">
        <f>IF(GetFillColor(AA110)=15,SUM(Planning!$AAG75:$ABH75),0)</f>
      </c>
      <c r="AB110" s="762">
        <f>IF(GetFillColor(AB110)=15,SUM(Planning!$ABJ75:$ACK75),0)</f>
      </c>
      <c r="AC110" s="763">
        <f>IF(GetFillColor(AC110)=15,SUM(Planning!$ACM75:$ADN75),0)</f>
      </c>
      <c r="AD110" s="763">
        <f>IF(GetFillColor(AD110)=15,SUM(Planning!$ADP75:$AEQ75),0)</f>
      </c>
      <c r="AE110" s="762">
        <f>IF(GetFillColor(AE110)=15,SUM(Planning!$AEV75:$AFW75),0)</f>
      </c>
      <c r="AF110" s="762">
        <f>IF(GetFillColor(AF110)=15,SUM(Planning!$AFY75:$AGZ75),0)</f>
      </c>
      <c r="AG110" s="762">
        <f>IF(GetFillColor(AG110)=15,SUM(Planning!$AHB75:$AIC75),0)</f>
      </c>
      <c r="AH110" s="762">
        <f>IF(GetFillColor(AH110)=15,SUM(Planning!$AIE75:$AJF75),0)</f>
      </c>
      <c r="AI110" s="762">
        <f>IF(GetFillColor(AI110)=15,SUM(Planning!$AJH75:$AKI75),0)</f>
      </c>
      <c r="AJ110" s="763">
        <f>IF(GetFillColor(AJ110)=15,SUM(Planning!$AKK75:$ALL75),0)</f>
      </c>
      <c r="AK110" s="760">
        <f>IF(GetFillColor(AK110)=15,SUM(Planning!$ALN75:$AMO75),0)</f>
      </c>
      <c r="AL110" s="698">
        <f>SUM(C110:AK110)</f>
      </c>
      <c r="AM110" s="4"/>
      <c r="AN110" s="4"/>
    </row>
    <row r="111" ht="20.25" customHeight="1" spans="1:40" x14ac:dyDescent="0.25">
      <c r="A111" s="4">
        <f>A23</f>
      </c>
      <c r="B111" s="4"/>
      <c r="C111" s="760">
        <f>IF(GetFillColor(C111)=15,SUM(Planning!$D76:$AE76),0)</f>
      </c>
      <c r="D111" s="760">
        <f>IF(GetFillColor(D111)=15,SUM(Planning!$AG76:$BH76),0)</f>
      </c>
      <c r="E111" s="760">
        <f>IF(GetFillColor(E111)=15,SUM(Planning!$BJ76:$CK76),0)</f>
      </c>
      <c r="F111" s="763">
        <f>IF(GetFillColor(F111)=15,SUM(Planning!$CM76:$DN76),0)</f>
      </c>
      <c r="G111" s="763">
        <f>IF(GetFillColor(G111)=15,SUM(Planning!$DP76:$EQ76),0)</f>
      </c>
      <c r="H111" s="763">
        <f>IF(GetFillColor(H111)=15,SUM(Planning!$ES76:$FT76),0)</f>
      </c>
      <c r="I111" s="763">
        <f>IF(GetFillColor(I111)=15,SUM(Planning!$FV76:$GW76),0)</f>
      </c>
      <c r="J111" s="762">
        <f>IF(GetFillColor(J111)=15,SUM(Planning!$HB76:$IC76),0)</f>
      </c>
      <c r="K111" s="762">
        <f>IF(GetFillColor(K111)=15,SUM(Planning!$IE76:$JF76),0)</f>
      </c>
      <c r="L111" s="762">
        <f>IF(GetFillColor(L111)=15,SUM(Planning!$JH76:$KI76),0)</f>
      </c>
      <c r="M111" s="762">
        <f>IF(GetFillColor(M111)=15,SUM(Planning!$KK76:$LL76),0)</f>
      </c>
      <c r="N111" s="762">
        <f>IF(GetFillColor(N111)=15,SUM(Planning!$LN76:$MO76),0)</f>
      </c>
      <c r="O111" s="763">
        <f>IF(GetFillColor(O111)=15,SUM(Planning!$MQ76:$NR76),0)</f>
      </c>
      <c r="P111" s="763">
        <f>IF(GetFillColor(P111)=15,SUM(Planning!$NT76:$OU76),0)</f>
      </c>
      <c r="Q111" s="762">
        <f>IF(GetFillColor(Q111)=15,SUM(Planning!$OZ76:$QA76),0)</f>
      </c>
      <c r="R111" s="762">
        <f>IF(GetFillColor(R111)=15,SUM(Planning!$QC76:$RD76),0)</f>
      </c>
      <c r="S111" s="762">
        <f>IF(GetFillColor(S111)=15,SUM(Planning!$RF76:$SG76),0)</f>
      </c>
      <c r="T111" s="762">
        <f>IF(GetFillColor(T111)=15,SUM(Planning!$SI76:$TJ76),0)</f>
      </c>
      <c r="U111" s="762">
        <f>IF(GetFillColor(U111)=15,SUM(Planning!$TL76:$UM76),0)</f>
      </c>
      <c r="V111" s="763">
        <f>IF(GetFillColor(V111)=15,SUM(Planning!$UO76:$VP76),0)</f>
      </c>
      <c r="W111" s="763">
        <f>IF(GetFillColor(W111)=15,SUM(Planning!$VR76:$WS76),0)</f>
      </c>
      <c r="X111" s="762">
        <f>IF(GetFillColor(X111)=15,SUM(Planning!$WX76:$XY76),0)</f>
      </c>
      <c r="Y111" s="762">
        <f>IF(GetFillColor(Y111)=15,SUM(Planning!$YA76:$ZB76),0)</f>
      </c>
      <c r="Z111" s="762">
        <f>IF(GetFillColor(Z111)=15,SUM(Planning!$ZD76:$AAE76),0)</f>
      </c>
      <c r="AA111" s="762">
        <f>IF(GetFillColor(AA111)=15,SUM(Planning!$AAG76:$ABH76),0)</f>
      </c>
      <c r="AB111" s="762">
        <f>IF(GetFillColor(AB111)=15,SUM(Planning!$ABJ76:$ACK76),0)</f>
      </c>
      <c r="AC111" s="763">
        <f>IF(GetFillColor(AC111)=15,SUM(Planning!$ACM76:$ADN76),0)</f>
      </c>
      <c r="AD111" s="763">
        <f>IF(GetFillColor(AD111)=15,SUM(Planning!$ADP76:$AEQ76),0)</f>
      </c>
      <c r="AE111" s="762">
        <f>IF(GetFillColor(AE111)=15,SUM(Planning!$AEV76:$AFW76),0)</f>
      </c>
      <c r="AF111" s="762">
        <f>IF(GetFillColor(AF111)=15,SUM(Planning!$AFY76:$AGZ76),0)</f>
      </c>
      <c r="AG111" s="762">
        <f>IF(GetFillColor(AG111)=15,SUM(Planning!$AHB76:$AIC76),0)</f>
      </c>
      <c r="AH111" s="762">
        <f>IF(GetFillColor(AH111)=15,SUM(Planning!$AIE76:$AJF76),0)</f>
      </c>
      <c r="AI111" s="762">
        <f>IF(GetFillColor(AI111)=15,SUM(Planning!$AJH76:$AKI76),0)</f>
      </c>
      <c r="AJ111" s="763">
        <f>IF(GetFillColor(AJ111)=15,SUM(Planning!$AKK76:$ALL76),0)</f>
      </c>
      <c r="AK111" s="760">
        <f>IF(GetFillColor(AK111)=15,SUM(Planning!$ALN76:$AMO76),0)</f>
      </c>
      <c r="AL111" s="698">
        <f>SUM(C111:AK111)</f>
      </c>
      <c r="AM111" s="4"/>
      <c r="AN111" s="4"/>
    </row>
    <row r="112" ht="20.25" customHeight="1" spans="1:40" x14ac:dyDescent="0.25">
      <c r="A112" s="4">
        <f>A24</f>
      </c>
      <c r="B112" s="4"/>
      <c r="C112" s="760">
        <f>IF(GetFillColor(C112)=15,SUM(Planning!$D77:$AE77),0)</f>
      </c>
      <c r="D112" s="760">
        <f>IF(GetFillColor(D112)=15,SUM(Planning!$AG77:$BH77),0)</f>
      </c>
      <c r="E112" s="760">
        <f>IF(GetFillColor(E112)=15,SUM(Planning!$BJ77:$CK77),0)</f>
      </c>
      <c r="F112" s="763">
        <f>IF(GetFillColor(F112)=15,SUM(Planning!$CM77:$DN77),0)</f>
      </c>
      <c r="G112" s="763">
        <f>IF(GetFillColor(G112)=15,SUM(Planning!$DP77:$EQ77),0)</f>
      </c>
      <c r="H112" s="763">
        <f>IF(GetFillColor(H112)=15,SUM(Planning!$ES77:$FT77),0)</f>
      </c>
      <c r="I112" s="763">
        <f>IF(GetFillColor(I112)=15,SUM(Planning!$FV77:$GW77),0)</f>
      </c>
      <c r="J112" s="762">
        <f>IF(GetFillColor(J112)=15,SUM(Planning!$HB77:$IC77),0)</f>
      </c>
      <c r="K112" s="762">
        <f>IF(GetFillColor(K112)=15,SUM(Planning!$IE77:$JF77),0)</f>
      </c>
      <c r="L112" s="762">
        <f>IF(GetFillColor(L112)=15,SUM(Planning!$JH77:$KI77),0)</f>
      </c>
      <c r="M112" s="762">
        <f>IF(GetFillColor(M112)=15,SUM(Planning!$KK77:$LL77),0)</f>
      </c>
      <c r="N112" s="762">
        <f>IF(GetFillColor(N112)=15,SUM(Planning!$LN77:$MO77),0)</f>
      </c>
      <c r="O112" s="763">
        <f>IF(GetFillColor(O112)=15,SUM(Planning!$MQ77:$NR77),0)</f>
      </c>
      <c r="P112" s="763">
        <f>IF(GetFillColor(P112)=15,SUM(Planning!$NT77:$OU77),0)</f>
      </c>
      <c r="Q112" s="762">
        <f>IF(GetFillColor(Q112)=15,SUM(Planning!$OZ77:$QA77),0)</f>
      </c>
      <c r="R112" s="762">
        <f>IF(GetFillColor(R112)=15,SUM(Planning!$QC77:$RD77),0)</f>
      </c>
      <c r="S112" s="762">
        <f>IF(GetFillColor(S112)=15,SUM(Planning!$RF77:$SG77),0)</f>
      </c>
      <c r="T112" s="762">
        <f>IF(GetFillColor(T112)=15,SUM(Planning!$SI77:$TJ77),0)</f>
      </c>
      <c r="U112" s="762">
        <f>IF(GetFillColor(U112)=15,SUM(Planning!$TL77:$UM77),0)</f>
      </c>
      <c r="V112" s="763">
        <f>IF(GetFillColor(V112)=15,SUM(Planning!$UO77:$VP77),0)</f>
      </c>
      <c r="W112" s="763">
        <f>IF(GetFillColor(W112)=15,SUM(Planning!$VR77:$WS77),0)</f>
      </c>
      <c r="X112" s="762">
        <f>IF(GetFillColor(X112)=15,SUM(Planning!$WX77:$XY77),0)</f>
      </c>
      <c r="Y112" s="762">
        <f>IF(GetFillColor(Y112)=15,SUM(Planning!$YA77:$ZB77),0)</f>
      </c>
      <c r="Z112" s="762">
        <f>IF(GetFillColor(Z112)=15,SUM(Planning!$ZD77:$AAE77),0)</f>
      </c>
      <c r="AA112" s="762">
        <f>IF(GetFillColor(AA112)=15,SUM(Planning!$AAG77:$ABH77),0)</f>
      </c>
      <c r="AB112" s="762">
        <f>IF(GetFillColor(AB112)=15,SUM(Planning!$ABJ77:$ACK77),0)</f>
      </c>
      <c r="AC112" s="763">
        <f>IF(GetFillColor(AC112)=15,SUM(Planning!$ACM77:$ADN77),0)</f>
      </c>
      <c r="AD112" s="763">
        <f>IF(GetFillColor(AD112)=15,SUM(Planning!$ADP77:$AEQ77),0)</f>
      </c>
      <c r="AE112" s="762">
        <f>IF(GetFillColor(AE112)=15,SUM(Planning!$AEV77:$AFW77),0)</f>
      </c>
      <c r="AF112" s="762">
        <f>IF(GetFillColor(AF112)=15,SUM(Planning!$AFY77:$AGZ77),0)</f>
      </c>
      <c r="AG112" s="762">
        <f>IF(GetFillColor(AG112)=15,SUM(Planning!$AHB77:$AIC77),0)</f>
      </c>
      <c r="AH112" s="762">
        <f>IF(GetFillColor(AH112)=15,SUM(Planning!$AIE77:$AJF77),0)</f>
      </c>
      <c r="AI112" s="762">
        <f>IF(GetFillColor(AI112)=15,SUM(Planning!$AJH77:$AKI77),0)</f>
      </c>
      <c r="AJ112" s="763">
        <f>IF(GetFillColor(AJ112)=15,SUM(Planning!$AKK77:$ALL77),0)</f>
      </c>
      <c r="AK112" s="760">
        <f>IF(GetFillColor(AK112)=15,SUM(Planning!$ALN77:$AMO77),0)</f>
      </c>
      <c r="AL112" s="698">
        <f>SUM(C112:AK112)</f>
      </c>
      <c r="AM112" s="4"/>
      <c r="AN112" s="4"/>
    </row>
    <row r="113" ht="20.25" customHeight="1" spans="1:40" x14ac:dyDescent="0.25">
      <c r="A113" s="4">
        <f>A25</f>
      </c>
      <c r="B113" s="4"/>
      <c r="C113" s="760">
        <f>IF(GetFillColor(C113)=15,SUM(Planning!$D78:$AE78),0)</f>
      </c>
      <c r="D113" s="760">
        <f>IF(GetFillColor(D113)=15,SUM(Planning!$AG78:$BH78),0)</f>
      </c>
      <c r="E113" s="760">
        <f>IF(GetFillColor(E113)=15,SUM(Planning!$BJ78:$CK78),0)</f>
      </c>
      <c r="F113" s="763">
        <f>IF(GetFillColor(F113)=15,SUM(Planning!$CM78:$DN78),0)</f>
      </c>
      <c r="G113" s="763">
        <f>IF(GetFillColor(G113)=15,SUM(Planning!$DP78:$EQ78),0)</f>
      </c>
      <c r="H113" s="763">
        <f>IF(GetFillColor(H113)=15,SUM(Planning!$ES78:$FT78),0)</f>
      </c>
      <c r="I113" s="763">
        <f>IF(GetFillColor(I113)=15,SUM(Planning!$FV78:$GW78),0)</f>
      </c>
      <c r="J113" s="762">
        <f>IF(GetFillColor(J113)=15,SUM(Planning!$HB78:$IC78),0)</f>
      </c>
      <c r="K113" s="762">
        <f>IF(GetFillColor(K113)=15,SUM(Planning!$IE78:$JF78),0)</f>
      </c>
      <c r="L113" s="762">
        <f>IF(GetFillColor(L113)=15,SUM(Planning!$JH78:$KI78),0)</f>
      </c>
      <c r="M113" s="762">
        <f>IF(GetFillColor(M113)=15,SUM(Planning!$KK78:$LL78),0)</f>
      </c>
      <c r="N113" s="762">
        <f>IF(GetFillColor(N113)=15,SUM(Planning!$LN78:$MO78),0)</f>
      </c>
      <c r="O113" s="763">
        <f>IF(GetFillColor(O113)=15,SUM(Planning!$MQ78:$NR78),0)</f>
      </c>
      <c r="P113" s="763">
        <f>IF(GetFillColor(P113)=15,SUM(Planning!$NT78:$OU78),0)</f>
      </c>
      <c r="Q113" s="762">
        <f>IF(GetFillColor(Q113)=15,SUM(Planning!$OZ78:$QA78),0)</f>
      </c>
      <c r="R113" s="762">
        <f>IF(GetFillColor(R113)=15,SUM(Planning!$QC78:$RD78),0)</f>
      </c>
      <c r="S113" s="762">
        <f>IF(GetFillColor(S113)=15,SUM(Planning!$RF78:$SG78),0)</f>
      </c>
      <c r="T113" s="762">
        <f>IF(GetFillColor(T113)=15,SUM(Planning!$SI78:$TJ78),0)</f>
      </c>
      <c r="U113" s="762">
        <f>IF(GetFillColor(U113)=15,SUM(Planning!$TL78:$UM78),0)</f>
      </c>
      <c r="V113" s="763">
        <f>IF(GetFillColor(V113)=15,SUM(Planning!$UO78:$VP78),0)</f>
      </c>
      <c r="W113" s="763">
        <f>IF(GetFillColor(W113)=15,SUM(Planning!$VR78:$WS78),0)</f>
      </c>
      <c r="X113" s="762">
        <f>IF(GetFillColor(X113)=15,SUM(Planning!$WX78:$XY78),0)</f>
      </c>
      <c r="Y113" s="762">
        <f>IF(GetFillColor(Y113)=15,SUM(Planning!$YA78:$ZB78),0)</f>
      </c>
      <c r="Z113" s="762">
        <f>IF(GetFillColor(Z113)=15,SUM(Planning!$ZD78:$AAE78),0)</f>
      </c>
      <c r="AA113" s="762">
        <f>IF(GetFillColor(AA113)=15,SUM(Planning!$AAG78:$ABH78),0)</f>
      </c>
      <c r="AB113" s="762">
        <f>IF(GetFillColor(AB113)=15,SUM(Planning!$ABJ78:$ACK78),0)</f>
      </c>
      <c r="AC113" s="763">
        <f>IF(GetFillColor(AC113)=15,SUM(Planning!$ACM78:$ADN78),0)</f>
      </c>
      <c r="AD113" s="763">
        <f>IF(GetFillColor(AD113)=15,SUM(Planning!$ADP78:$AEQ78),0)</f>
      </c>
      <c r="AE113" s="762">
        <f>IF(GetFillColor(AE113)=15,SUM(Planning!$AEV78:$AFW78),0)</f>
      </c>
      <c r="AF113" s="762">
        <f>IF(GetFillColor(AF113)=15,SUM(Planning!$AFY78:$AGZ78),0)</f>
      </c>
      <c r="AG113" s="762">
        <f>IF(GetFillColor(AG113)=15,SUM(Planning!$AHB78:$AIC78),0)</f>
      </c>
      <c r="AH113" s="762">
        <f>IF(GetFillColor(AH113)=15,SUM(Planning!$AIE78:$AJF78),0)</f>
      </c>
      <c r="AI113" s="762">
        <f>IF(GetFillColor(AI113)=15,SUM(Planning!$AJH78:$AKI78),0)</f>
      </c>
      <c r="AJ113" s="763">
        <f>IF(GetFillColor(AJ113)=15,SUM(Planning!$AKK78:$ALL78),0)</f>
      </c>
      <c r="AK113" s="760">
        <f>IF(GetFillColor(AK113)=15,SUM(Planning!$ALN78:$AMO78),0)</f>
      </c>
      <c r="AL113" s="698">
        <f>SUM(C113:AK113)</f>
      </c>
      <c r="AM113" s="4"/>
      <c r="AN113" s="4"/>
    </row>
    <row r="114" ht="20.25" customHeight="1" spans="1:40" x14ac:dyDescent="0.25">
      <c r="A114" s="4">
        <f>A26</f>
      </c>
      <c r="B114" s="4"/>
      <c r="C114" s="760">
        <f>IF(GetFillColor(C114)=15,SUM(Planning!$D79:$AE79),0)</f>
      </c>
      <c r="D114" s="760">
        <f>IF(GetFillColor(D114)=15,SUM(Planning!$AG79:$BH79),0)</f>
      </c>
      <c r="E114" s="760">
        <f>IF(GetFillColor(E114)=15,SUM(Planning!$BJ79:$CK79),0)</f>
      </c>
      <c r="F114" s="763">
        <f>IF(GetFillColor(F114)=15,SUM(Planning!$CM79:$DN79),0)</f>
      </c>
      <c r="G114" s="763">
        <f>IF(GetFillColor(G114)=15,SUM(Planning!$DP79:$EQ79),0)</f>
      </c>
      <c r="H114" s="763">
        <f>IF(GetFillColor(H114)=15,SUM(Planning!$ES79:$FT79),0)</f>
      </c>
      <c r="I114" s="763">
        <f>IF(GetFillColor(I114)=15,SUM(Planning!$FV79:$GW79),0)</f>
      </c>
      <c r="J114" s="762">
        <f>IF(GetFillColor(J114)=15,SUM(Planning!$HB79:$IC79),0)</f>
      </c>
      <c r="K114" s="762">
        <f>IF(GetFillColor(K114)=15,SUM(Planning!$IE79:$JF79),0)</f>
      </c>
      <c r="L114" s="762">
        <f>IF(GetFillColor(L114)=15,SUM(Planning!$JH79:$KI79),0)</f>
      </c>
      <c r="M114" s="762">
        <f>IF(GetFillColor(M114)=15,SUM(Planning!$KK79:$LL79),0)</f>
      </c>
      <c r="N114" s="762">
        <f>IF(GetFillColor(N114)=15,SUM(Planning!$LN79:$MO79),0)</f>
      </c>
      <c r="O114" s="763">
        <f>IF(GetFillColor(O114)=15,SUM(Planning!$MQ79:$NR79),0)</f>
      </c>
      <c r="P114" s="763">
        <f>IF(GetFillColor(P114)=15,SUM(Planning!$NT79:$OU79),0)</f>
      </c>
      <c r="Q114" s="762">
        <f>IF(GetFillColor(Q114)=15,SUM(Planning!$OZ79:$QA79),0)</f>
      </c>
      <c r="R114" s="762">
        <f>IF(GetFillColor(R114)=15,SUM(Planning!$QC79:$RD79),0)</f>
      </c>
      <c r="S114" s="762">
        <f>IF(GetFillColor(S114)=15,SUM(Planning!$RF79:$SG79),0)</f>
      </c>
      <c r="T114" s="762">
        <f>IF(GetFillColor(T114)=15,SUM(Planning!$SI79:$TJ79),0)</f>
      </c>
      <c r="U114" s="762">
        <f>IF(GetFillColor(U114)=15,SUM(Planning!$TL79:$UM79),0)</f>
      </c>
      <c r="V114" s="763">
        <f>IF(GetFillColor(V114)=15,SUM(Planning!$UO79:$VP79),0)</f>
      </c>
      <c r="W114" s="763">
        <f>IF(GetFillColor(W114)=15,SUM(Planning!$VR79:$WS79),0)</f>
      </c>
      <c r="X114" s="762">
        <f>IF(GetFillColor(X114)=15,SUM(Planning!$WX79:$XY79),0)</f>
      </c>
      <c r="Y114" s="762">
        <f>IF(GetFillColor(Y114)=15,SUM(Planning!$YA79:$ZB79),0)</f>
      </c>
      <c r="Z114" s="762">
        <f>IF(GetFillColor(Z114)=15,SUM(Planning!$ZD79:$AAE79),0)</f>
      </c>
      <c r="AA114" s="762">
        <f>IF(GetFillColor(AA114)=15,SUM(Planning!$AAG79:$ABH79),0)</f>
      </c>
      <c r="AB114" s="762">
        <f>IF(GetFillColor(AB114)=15,SUM(Planning!$ABJ79:$ACK79),0)</f>
      </c>
      <c r="AC114" s="763">
        <f>IF(GetFillColor(AC114)=15,SUM(Planning!$ACM79:$ADN79),0)</f>
      </c>
      <c r="AD114" s="763">
        <f>IF(GetFillColor(AD114)=15,SUM(Planning!$ADP79:$AEQ79),0)</f>
      </c>
      <c r="AE114" s="762">
        <f>IF(GetFillColor(AE114)=15,SUM(Planning!$AEV79:$AFW79),0)</f>
      </c>
      <c r="AF114" s="762">
        <f>IF(GetFillColor(AF114)=15,SUM(Planning!$AFY79:$AGZ79),0)</f>
      </c>
      <c r="AG114" s="762">
        <f>IF(GetFillColor(AG114)=15,SUM(Planning!$AHB79:$AIC79),0)</f>
      </c>
      <c r="AH114" s="762">
        <f>IF(GetFillColor(AH114)=15,SUM(Planning!$AIE79:$AJF79),0)</f>
      </c>
      <c r="AI114" s="762">
        <f>IF(GetFillColor(AI114)=15,SUM(Planning!$AJH79:$AKI79),0)</f>
      </c>
      <c r="AJ114" s="763">
        <f>IF(GetFillColor(AJ114)=15,SUM(Planning!$AKK79:$ALL79),0)</f>
      </c>
      <c r="AK114" s="760">
        <f>IF(GetFillColor(AK114)=15,SUM(Planning!$ALN79:$AMO79),0)</f>
      </c>
      <c r="AL114" s="698">
        <f>SUM(C114:AK114)</f>
      </c>
      <c r="AM114" s="4"/>
      <c r="AN114" s="4"/>
    </row>
    <row r="115" ht="20.25" customHeight="1" spans="1:40" x14ac:dyDescent="0.25">
      <c r="A115" s="4">
        <f>A27</f>
      </c>
      <c r="B115" s="4"/>
      <c r="C115" s="760">
        <f>IF(GetFillColor(C115)=15,SUM(Planning!$D80:$AE80),0)</f>
      </c>
      <c r="D115" s="760">
        <f>IF(GetFillColor(D115)=15,SUM(Planning!$AG80:$BH80),0)</f>
      </c>
      <c r="E115" s="760">
        <f>IF(GetFillColor(E115)=15,SUM(Planning!$BJ80:$CK80),0)</f>
      </c>
      <c r="F115" s="763">
        <f>IF(GetFillColor(F115)=15,SUM(Planning!$CM80:$DN80),0)</f>
      </c>
      <c r="G115" s="763">
        <f>IF(GetFillColor(G115)=15,SUM(Planning!$DP80:$EQ80),0)</f>
      </c>
      <c r="H115" s="763">
        <f>IF(GetFillColor(H115)=15,SUM(Planning!$ES80:$FT80),0)</f>
      </c>
      <c r="I115" s="763">
        <f>IF(GetFillColor(I115)=15,SUM(Planning!$FV80:$GW80),0)</f>
      </c>
      <c r="J115" s="762">
        <f>IF(GetFillColor(J115)=15,SUM(Planning!$HB80:$IC80),0)</f>
      </c>
      <c r="K115" s="762">
        <f>IF(GetFillColor(K115)=15,SUM(Planning!$IE80:$JF80),0)</f>
      </c>
      <c r="L115" s="762">
        <f>IF(GetFillColor(L115)=15,SUM(Planning!$JH80:$KI80),0)</f>
      </c>
      <c r="M115" s="762">
        <f>IF(GetFillColor(M115)=15,SUM(Planning!$KK80:$LL80),0)</f>
      </c>
      <c r="N115" s="762">
        <f>IF(GetFillColor(N115)=15,SUM(Planning!$LN80:$MO80),0)</f>
      </c>
      <c r="O115" s="763">
        <f>IF(GetFillColor(O115)=15,SUM(Planning!$MQ80:$NR80),0)</f>
      </c>
      <c r="P115" s="763">
        <f>IF(GetFillColor(P115)=15,SUM(Planning!$NT80:$OU80),0)</f>
      </c>
      <c r="Q115" s="762">
        <f>IF(GetFillColor(Q115)=15,SUM(Planning!$OZ80:$QA80),0)</f>
      </c>
      <c r="R115" s="762">
        <f>IF(GetFillColor(R115)=15,SUM(Planning!$QC80:$RD80),0)</f>
      </c>
      <c r="S115" s="762">
        <f>IF(GetFillColor(S115)=15,SUM(Planning!$RF80:$SG80),0)</f>
      </c>
      <c r="T115" s="762">
        <f>IF(GetFillColor(T115)=15,SUM(Planning!$SI80:$TJ80),0)</f>
      </c>
      <c r="U115" s="762">
        <f>IF(GetFillColor(U115)=15,SUM(Planning!$TL80:$UM80),0)</f>
      </c>
      <c r="V115" s="763">
        <f>IF(GetFillColor(V115)=15,SUM(Planning!$UO80:$VP80),0)</f>
      </c>
      <c r="W115" s="763">
        <f>IF(GetFillColor(W115)=15,SUM(Planning!$VR80:$WS80),0)</f>
      </c>
      <c r="X115" s="762">
        <f>IF(GetFillColor(X115)=15,SUM(Planning!$WX80:$XY80),0)</f>
      </c>
      <c r="Y115" s="762">
        <f>IF(GetFillColor(Y115)=15,SUM(Planning!$YA80:$ZB80),0)</f>
      </c>
      <c r="Z115" s="762">
        <f>IF(GetFillColor(Z115)=15,SUM(Planning!$ZD80:$AAE80),0)</f>
      </c>
      <c r="AA115" s="762">
        <f>IF(GetFillColor(AA115)=15,SUM(Planning!$AAG80:$ABH80),0)</f>
      </c>
      <c r="AB115" s="762">
        <f>IF(GetFillColor(AB115)=15,SUM(Planning!$ABJ80:$ACK80),0)</f>
      </c>
      <c r="AC115" s="763">
        <f>IF(GetFillColor(AC115)=15,SUM(Planning!$ACM80:$ADN80),0)</f>
      </c>
      <c r="AD115" s="763">
        <f>IF(GetFillColor(AD115)=15,SUM(Planning!$ADP80:$AEQ80),0)</f>
      </c>
      <c r="AE115" s="762">
        <f>IF(GetFillColor(AE115)=15,SUM(Planning!$AEV80:$AFW80),0)</f>
      </c>
      <c r="AF115" s="762">
        <f>IF(GetFillColor(AF115)=15,SUM(Planning!$AFY80:$AGZ80),0)</f>
      </c>
      <c r="AG115" s="762">
        <f>IF(GetFillColor(AG115)=15,SUM(Planning!$AHB80:$AIC80),0)</f>
      </c>
      <c r="AH115" s="762">
        <f>IF(GetFillColor(AH115)=15,SUM(Planning!$AIE80:$AJF80),0)</f>
      </c>
      <c r="AI115" s="762">
        <f>IF(GetFillColor(AI115)=15,SUM(Planning!$AJH80:$AKI80),0)</f>
      </c>
      <c r="AJ115" s="763">
        <f>IF(GetFillColor(AJ115)=15,SUM(Planning!$AKK80:$ALL80),0)</f>
      </c>
      <c r="AK115" s="760">
        <f>IF(GetFillColor(AK115)=15,SUM(Planning!$ALN80:$AMO80),0)</f>
      </c>
      <c r="AL115" s="698">
        <f>SUM(C115:AK115)</f>
      </c>
      <c r="AM115" s="4"/>
      <c r="AN115" s="4"/>
    </row>
    <row r="116" ht="20.25" customHeight="1" spans="1:40" x14ac:dyDescent="0.25">
      <c r="A116" s="4">
        <f>A28</f>
      </c>
      <c r="B116" s="4"/>
      <c r="C116" s="760">
        <f>IF(GetFillColor(C116)=15,SUM(Planning!$D81:$AE81),0)</f>
      </c>
      <c r="D116" s="760">
        <f>IF(GetFillColor(D116)=15,SUM(Planning!$AG81:$BH81),0)</f>
      </c>
      <c r="E116" s="760">
        <f>IF(GetFillColor(E116)=15,SUM(Planning!$BJ81:$CK81),0)</f>
      </c>
      <c r="F116" s="763">
        <f>IF(GetFillColor(F116)=15,SUM(Planning!$CM81:$DN81),0)</f>
      </c>
      <c r="G116" s="763">
        <f>IF(GetFillColor(G116)=15,SUM(Planning!$DP81:$EQ81),0)</f>
      </c>
      <c r="H116" s="763">
        <f>IF(GetFillColor(H116)=15,SUM(Planning!$ES81:$FT81),0)</f>
      </c>
      <c r="I116" s="763">
        <f>IF(GetFillColor(I116)=15,SUM(Planning!$FV81:$GW81),0)</f>
      </c>
      <c r="J116" s="762">
        <f>IF(GetFillColor(J116)=15,SUM(Planning!$HB81:$IC81),0)</f>
      </c>
      <c r="K116" s="762">
        <f>IF(GetFillColor(K116)=15,SUM(Planning!$IE81:$JF81),0)</f>
      </c>
      <c r="L116" s="762">
        <f>IF(GetFillColor(L116)=15,SUM(Planning!$JH81:$KI81),0)</f>
      </c>
      <c r="M116" s="762">
        <f>IF(GetFillColor(M116)=15,SUM(Planning!$KK81:$LL81),0)</f>
      </c>
      <c r="N116" s="762">
        <f>IF(GetFillColor(N116)=15,SUM(Planning!$LN81:$MO81),0)</f>
      </c>
      <c r="O116" s="763">
        <f>IF(GetFillColor(O116)=15,SUM(Planning!$MQ81:$NR81),0)</f>
      </c>
      <c r="P116" s="763">
        <f>IF(GetFillColor(P116)=15,SUM(Planning!$NT81:$OU81),0)</f>
      </c>
      <c r="Q116" s="762">
        <f>IF(GetFillColor(Q116)=15,SUM(Planning!$OZ81:$QA81),0)</f>
      </c>
      <c r="R116" s="762">
        <f>IF(GetFillColor(R116)=15,SUM(Planning!$QC81:$RD81),0)</f>
      </c>
      <c r="S116" s="762">
        <f>IF(GetFillColor(S116)=15,SUM(Planning!$RF81:$SG81),0)</f>
      </c>
      <c r="T116" s="762">
        <f>IF(GetFillColor(T116)=15,SUM(Planning!$SI81:$TJ81),0)</f>
      </c>
      <c r="U116" s="762">
        <f>IF(GetFillColor(U116)=15,SUM(Planning!$TL81:$UM81),0)</f>
      </c>
      <c r="V116" s="763">
        <f>IF(GetFillColor(V116)=15,SUM(Planning!$UO81:$VP81),0)</f>
      </c>
      <c r="W116" s="763">
        <f>IF(GetFillColor(W116)=15,SUM(Planning!$VR81:$WS81),0)</f>
      </c>
      <c r="X116" s="762">
        <f>IF(GetFillColor(X116)=15,SUM(Planning!$WX81:$XY81),0)</f>
      </c>
      <c r="Y116" s="762">
        <f>IF(GetFillColor(Y116)=15,SUM(Planning!$YA81:$ZB81),0)</f>
      </c>
      <c r="Z116" s="762">
        <f>IF(GetFillColor(Z116)=15,SUM(Planning!$ZD81:$AAE81),0)</f>
      </c>
      <c r="AA116" s="762">
        <f>IF(GetFillColor(AA116)=15,SUM(Planning!$AAG81:$ABH81),0)</f>
      </c>
      <c r="AB116" s="762">
        <f>IF(GetFillColor(AB116)=15,SUM(Planning!$ABJ81:$ACK81),0)</f>
      </c>
      <c r="AC116" s="763">
        <f>IF(GetFillColor(AC116)=15,SUM(Planning!$ACM81:$ADN81),0)</f>
      </c>
      <c r="AD116" s="763">
        <f>IF(GetFillColor(AD116)=15,SUM(Planning!$ADP81:$AEQ81),0)</f>
      </c>
      <c r="AE116" s="762">
        <f>IF(GetFillColor(AE116)=15,SUM(Planning!$AEV81:$AFW81),0)</f>
      </c>
      <c r="AF116" s="762">
        <f>IF(GetFillColor(AF116)=15,SUM(Planning!$AFY81:$AGZ81),0)</f>
      </c>
      <c r="AG116" s="762">
        <f>IF(GetFillColor(AG116)=15,SUM(Planning!$AHB81:$AIC81),0)</f>
      </c>
      <c r="AH116" s="762">
        <f>IF(GetFillColor(AH116)=15,SUM(Planning!$AIE81:$AJF81),0)</f>
      </c>
      <c r="AI116" s="762">
        <f>IF(GetFillColor(AI116)=15,SUM(Planning!$AJH81:$AKI81),0)</f>
      </c>
      <c r="AJ116" s="763">
        <f>IF(GetFillColor(AJ116)=15,SUM(Planning!$AKK81:$ALL81),0)</f>
      </c>
      <c r="AK116" s="760">
        <f>IF(GetFillColor(AK116)=15,SUM(Planning!$ALN81:$AMO81),0)</f>
      </c>
      <c r="AL116" s="698">
        <f>SUM(C116:AK116)</f>
      </c>
      <c r="AM116" s="4"/>
      <c r="AN116" s="4"/>
    </row>
    <row r="117" ht="20.25" customHeight="1" spans="1:40" x14ac:dyDescent="0.25">
      <c r="A117" s="4">
        <f>A29</f>
      </c>
      <c r="B117" s="4"/>
      <c r="C117" s="760">
        <f>IF(GetFillColor(C117)=15,SUM(Planning!$D82:$AE82),0)</f>
      </c>
      <c r="D117" s="760">
        <f>IF(GetFillColor(D117)=15,SUM(Planning!$AG82:$BH82),0)</f>
      </c>
      <c r="E117" s="760">
        <f>IF(GetFillColor(E117)=15,SUM(Planning!$BJ82:$CK82),0)</f>
      </c>
      <c r="F117" s="763">
        <f>IF(GetFillColor(F117)=15,SUM(Planning!$CM82:$DN82),0)</f>
      </c>
      <c r="G117" s="763">
        <f>IF(GetFillColor(G117)=15,SUM(Planning!$DP82:$EQ82),0)</f>
      </c>
      <c r="H117" s="763">
        <f>IF(GetFillColor(H117)=15,SUM(Planning!$ES82:$FT82),0)</f>
      </c>
      <c r="I117" s="763">
        <f>IF(GetFillColor(I117)=15,SUM(Planning!$FV82:$GW82),0)</f>
      </c>
      <c r="J117" s="762">
        <f>IF(GetFillColor(J117)=15,SUM(Planning!$HB82:$IC82),0)</f>
      </c>
      <c r="K117" s="762">
        <f>IF(GetFillColor(K117)=15,SUM(Planning!$IE82:$JF82),0)</f>
      </c>
      <c r="L117" s="762">
        <f>IF(GetFillColor(L117)=15,SUM(Planning!$JH82:$KI82),0)</f>
      </c>
      <c r="M117" s="762">
        <f>IF(GetFillColor(M117)=15,SUM(Planning!$KK82:$LL82),0)</f>
      </c>
      <c r="N117" s="762">
        <f>IF(GetFillColor(N117)=15,SUM(Planning!$LN82:$MO82),0)</f>
      </c>
      <c r="O117" s="763">
        <f>IF(GetFillColor(O117)=15,SUM(Planning!$MQ82:$NR82),0)</f>
      </c>
      <c r="P117" s="763">
        <f>IF(GetFillColor(P117)=15,SUM(Planning!$NT82:$OU82),0)</f>
      </c>
      <c r="Q117" s="762">
        <f>IF(GetFillColor(Q117)=15,SUM(Planning!$OZ82:$QA82),0)</f>
      </c>
      <c r="R117" s="762">
        <f>IF(GetFillColor(R117)=15,SUM(Planning!$QC82:$RD82),0)</f>
      </c>
      <c r="S117" s="762">
        <f>IF(GetFillColor(S117)=15,SUM(Planning!$RF82:$SG82),0)</f>
      </c>
      <c r="T117" s="762">
        <f>IF(GetFillColor(T117)=15,SUM(Planning!$SI82:$TJ82),0)</f>
      </c>
      <c r="U117" s="762">
        <f>IF(GetFillColor(U117)=15,SUM(Planning!$TL82:$UM82),0)</f>
      </c>
      <c r="V117" s="763">
        <f>IF(GetFillColor(V117)=15,SUM(Planning!$UO82:$VP82),0)</f>
      </c>
      <c r="W117" s="763">
        <f>IF(GetFillColor(W117)=15,SUM(Planning!$VR82:$WS82),0)</f>
      </c>
      <c r="X117" s="762">
        <f>IF(GetFillColor(X117)=15,SUM(Planning!$WX82:$XY82),0)</f>
      </c>
      <c r="Y117" s="762">
        <f>IF(GetFillColor(Y117)=15,SUM(Planning!$YA82:$ZB82),0)</f>
      </c>
      <c r="Z117" s="762">
        <f>IF(GetFillColor(Z117)=15,SUM(Planning!$ZD82:$AAE82),0)</f>
      </c>
      <c r="AA117" s="762">
        <f>IF(GetFillColor(AA117)=15,SUM(Planning!$AAG82:$ABH82),0)</f>
      </c>
      <c r="AB117" s="762">
        <f>IF(GetFillColor(AB117)=15,SUM(Planning!$ABJ82:$ACK82),0)</f>
      </c>
      <c r="AC117" s="763">
        <f>IF(GetFillColor(AC117)=15,SUM(Planning!$ACM82:$ADN82),0)</f>
      </c>
      <c r="AD117" s="763">
        <f>IF(GetFillColor(AD117)=15,SUM(Planning!$ADP82:$AEQ82),0)</f>
      </c>
      <c r="AE117" s="762">
        <f>IF(GetFillColor(AE117)=15,SUM(Planning!$AEV82:$AFW82),0)</f>
      </c>
      <c r="AF117" s="762">
        <f>IF(GetFillColor(AF117)=15,SUM(Planning!$AFY82:$AGZ82),0)</f>
      </c>
      <c r="AG117" s="762">
        <f>IF(GetFillColor(AG117)=15,SUM(Planning!$AHB82:$AIC82),0)</f>
      </c>
      <c r="AH117" s="762">
        <f>IF(GetFillColor(AH117)=15,SUM(Planning!$AIE82:$AJF82),0)</f>
      </c>
      <c r="AI117" s="762">
        <f>IF(GetFillColor(AI117)=15,SUM(Planning!$AJH82:$AKI82),0)</f>
      </c>
      <c r="AJ117" s="763">
        <f>IF(GetFillColor(AJ117)=15,SUM(Planning!$AKK82:$ALL82),0)</f>
      </c>
      <c r="AK117" s="760">
        <f>IF(GetFillColor(AK117)=15,SUM(Planning!$ALN82:$AMO82),0)</f>
      </c>
      <c r="AL117" s="698">
        <f>SUM(C117:AK117)</f>
      </c>
      <c r="AM117" s="4"/>
      <c r="AN117" s="4"/>
    </row>
    <row r="118" ht="20.25" customHeight="1" spans="1:40" x14ac:dyDescent="0.25">
      <c r="A118" s="4">
        <f>A30</f>
      </c>
      <c r="B118" s="4"/>
      <c r="C118" s="760">
        <f>IF(GetFillColor(C118)=15,SUM(Planning!$D83:$AE83),0)</f>
      </c>
      <c r="D118" s="760">
        <f>IF(GetFillColor(D118)=15,SUM(Planning!$AG83:$BH83),0)</f>
      </c>
      <c r="E118" s="760">
        <f>IF(GetFillColor(E118)=15,SUM(Planning!$BJ83:$CK83),0)</f>
      </c>
      <c r="F118" s="763">
        <f>IF(GetFillColor(F118)=15,SUM(Planning!$CM83:$DN83),0)</f>
      </c>
      <c r="G118" s="763">
        <f>IF(GetFillColor(G118)=15,SUM(Planning!$DP83:$EQ83),0)</f>
      </c>
      <c r="H118" s="763">
        <f>IF(GetFillColor(H118)=15,SUM(Planning!$ES83:$FT83),0)</f>
      </c>
      <c r="I118" s="763">
        <f>IF(GetFillColor(I118)=15,SUM(Planning!$FV83:$GW83),0)</f>
      </c>
      <c r="J118" s="762">
        <f>IF(GetFillColor(J118)=15,SUM(Planning!$HB83:$IC83),0)</f>
      </c>
      <c r="K118" s="762">
        <f>IF(GetFillColor(K118)=15,SUM(Planning!$IE83:$JF83),0)</f>
      </c>
      <c r="L118" s="762">
        <f>IF(GetFillColor(L118)=15,SUM(Planning!$JH83:$KI83),0)</f>
      </c>
      <c r="M118" s="762">
        <f>IF(GetFillColor(M118)=15,SUM(Planning!$KK83:$LL83),0)</f>
      </c>
      <c r="N118" s="762">
        <f>IF(GetFillColor(N118)=15,SUM(Planning!$LN83:$MO83),0)</f>
      </c>
      <c r="O118" s="763">
        <f>IF(GetFillColor(O118)=15,SUM(Planning!$MQ83:$NR83),0)</f>
      </c>
      <c r="P118" s="763">
        <f>IF(GetFillColor(P118)=15,SUM(Planning!$NT83:$OU83),0)</f>
      </c>
      <c r="Q118" s="762">
        <f>IF(GetFillColor(Q118)=15,SUM(Planning!$OZ83:$QA83),0)</f>
      </c>
      <c r="R118" s="762">
        <f>IF(GetFillColor(R118)=15,SUM(Planning!$QC83:$RD83),0)</f>
      </c>
      <c r="S118" s="762">
        <f>IF(GetFillColor(S118)=15,SUM(Planning!$RF83:$SG83),0)</f>
      </c>
      <c r="T118" s="762">
        <f>IF(GetFillColor(T118)=15,SUM(Planning!$SI83:$TJ83),0)</f>
      </c>
      <c r="U118" s="762">
        <f>IF(GetFillColor(U118)=15,SUM(Planning!$TL83:$UM83),0)</f>
      </c>
      <c r="V118" s="763">
        <f>IF(GetFillColor(V118)=15,SUM(Planning!$UO83:$VP83),0)</f>
      </c>
      <c r="W118" s="763">
        <f>IF(GetFillColor(W118)=15,SUM(Planning!$VR83:$WS83),0)</f>
      </c>
      <c r="X118" s="762">
        <f>IF(GetFillColor(X118)=15,SUM(Planning!$WX83:$XY83),0)</f>
      </c>
      <c r="Y118" s="762">
        <f>IF(GetFillColor(Y118)=15,SUM(Planning!$YA83:$ZB83),0)</f>
      </c>
      <c r="Z118" s="762">
        <f>IF(GetFillColor(Z118)=15,SUM(Planning!$ZD83:$AAE83),0)</f>
      </c>
      <c r="AA118" s="762">
        <f>IF(GetFillColor(AA118)=15,SUM(Planning!$AAG83:$ABH83),0)</f>
      </c>
      <c r="AB118" s="762">
        <f>IF(GetFillColor(AB118)=15,SUM(Planning!$ABJ83:$ACK83),0)</f>
      </c>
      <c r="AC118" s="763">
        <f>IF(GetFillColor(AC118)=15,SUM(Planning!$ACM83:$ADN83),0)</f>
      </c>
      <c r="AD118" s="763">
        <f>IF(GetFillColor(AD118)=15,SUM(Planning!$ADP83:$AEQ83),0)</f>
      </c>
      <c r="AE118" s="762">
        <f>IF(GetFillColor(AE118)=15,SUM(Planning!$AEV83:$AFW83),0)</f>
      </c>
      <c r="AF118" s="762">
        <f>IF(GetFillColor(AF118)=15,SUM(Planning!$AFY83:$AGZ83),0)</f>
      </c>
      <c r="AG118" s="762">
        <f>IF(GetFillColor(AG118)=15,SUM(Planning!$AHB83:$AIC83),0)</f>
      </c>
      <c r="AH118" s="762">
        <f>IF(GetFillColor(AH118)=15,SUM(Planning!$AIE83:$AJF83),0)</f>
      </c>
      <c r="AI118" s="762">
        <f>IF(GetFillColor(AI118)=15,SUM(Planning!$AJH83:$AKI83),0)</f>
      </c>
      <c r="AJ118" s="763">
        <f>IF(GetFillColor(AJ118)=15,SUM(Planning!$AKK83:$ALL83),0)</f>
      </c>
      <c r="AK118" s="760">
        <f>IF(GetFillColor(AK118)=15,SUM(Planning!$ALN83:$AMO83),0)</f>
      </c>
      <c r="AL118" s="698">
        <f>SUM(C118:AK118)</f>
      </c>
      <c r="AM118" s="4"/>
      <c r="AN118" s="4"/>
    </row>
    <row r="119" ht="20.25" customHeight="1" spans="1:40" x14ac:dyDescent="0.25">
      <c r="A119" s="4">
        <f>A31</f>
      </c>
      <c r="B119" s="4"/>
      <c r="C119" s="760">
        <f>IF(GetFillColor(C119)=15,SUM(Planning!$D84:$AE84),0)</f>
      </c>
      <c r="D119" s="760">
        <f>IF(GetFillColor(D119)=15,SUM(Planning!$AG84:$BH84),0)</f>
      </c>
      <c r="E119" s="760">
        <f>IF(GetFillColor(E119)=15,SUM(Planning!$BJ84:$CK84),0)</f>
      </c>
      <c r="F119" s="763">
        <f>IF(GetFillColor(F119)=15,SUM(Planning!$CM84:$DN84),0)</f>
      </c>
      <c r="G119" s="763">
        <f>IF(GetFillColor(G119)=15,SUM(Planning!$DP84:$EQ84),0)</f>
      </c>
      <c r="H119" s="763">
        <f>IF(GetFillColor(H119)=15,SUM(Planning!$ES84:$FT84),0)</f>
      </c>
      <c r="I119" s="763">
        <f>IF(GetFillColor(I119)=15,SUM(Planning!$FV84:$GW84),0)</f>
      </c>
      <c r="J119" s="762">
        <f>IF(GetFillColor(J119)=15,SUM(Planning!$HB84:$IC84),0)</f>
      </c>
      <c r="K119" s="762">
        <f>IF(GetFillColor(K119)=15,SUM(Planning!$IE84:$JF84),0)</f>
      </c>
      <c r="L119" s="762">
        <f>IF(GetFillColor(L119)=15,SUM(Planning!$JH84:$KI84),0)</f>
      </c>
      <c r="M119" s="762">
        <f>IF(GetFillColor(M119)=15,SUM(Planning!$KK84:$LL84),0)</f>
      </c>
      <c r="N119" s="762">
        <f>IF(GetFillColor(N119)=15,SUM(Planning!$LN84:$MO84),0)</f>
      </c>
      <c r="O119" s="763">
        <f>IF(GetFillColor(O119)=15,SUM(Planning!$MQ84:$NR84),0)</f>
      </c>
      <c r="P119" s="763">
        <f>IF(GetFillColor(P119)=15,SUM(Planning!$NT84:$OU84),0)</f>
      </c>
      <c r="Q119" s="762">
        <f>IF(GetFillColor(Q119)=15,SUM(Planning!$OZ84:$QA84),0)</f>
      </c>
      <c r="R119" s="762">
        <f>IF(GetFillColor(R119)=15,SUM(Planning!$QC84:$RD84),0)</f>
      </c>
      <c r="S119" s="762">
        <f>IF(GetFillColor(S119)=15,SUM(Planning!$RF84:$SG84),0)</f>
      </c>
      <c r="T119" s="762">
        <f>IF(GetFillColor(T119)=15,SUM(Planning!$SI84:$TJ84),0)</f>
      </c>
      <c r="U119" s="762">
        <f>IF(GetFillColor(U119)=15,SUM(Planning!$TL84:$UM84),0)</f>
      </c>
      <c r="V119" s="763">
        <f>IF(GetFillColor(V119)=15,SUM(Planning!$UO84:$VP84),0)</f>
      </c>
      <c r="W119" s="763">
        <f>IF(GetFillColor(W119)=15,SUM(Planning!$VR84:$WS84),0)</f>
      </c>
      <c r="X119" s="762">
        <f>IF(GetFillColor(X119)=15,SUM(Planning!$WX84:$XY84),0)</f>
      </c>
      <c r="Y119" s="762">
        <f>IF(GetFillColor(Y119)=15,SUM(Planning!$YA84:$ZB84),0)</f>
      </c>
      <c r="Z119" s="762">
        <f>IF(GetFillColor(Z119)=15,SUM(Planning!$ZD84:$AAE84),0)</f>
      </c>
      <c r="AA119" s="762">
        <f>IF(GetFillColor(AA119)=15,SUM(Planning!$AAG84:$ABH84),0)</f>
      </c>
      <c r="AB119" s="762">
        <f>IF(GetFillColor(AB119)=15,SUM(Planning!$ABJ84:$ACK84),0)</f>
      </c>
      <c r="AC119" s="763">
        <f>IF(GetFillColor(AC119)=15,SUM(Planning!$ACM84:$ADN84),0)</f>
      </c>
      <c r="AD119" s="763">
        <f>IF(GetFillColor(AD119)=15,SUM(Planning!$ADP84:$AEQ84),0)</f>
      </c>
      <c r="AE119" s="762">
        <f>IF(GetFillColor(AE119)=15,SUM(Planning!$AEV84:$AFW84),0)</f>
      </c>
      <c r="AF119" s="762">
        <f>IF(GetFillColor(AF119)=15,SUM(Planning!$AFY84:$AGZ84),0)</f>
      </c>
      <c r="AG119" s="762">
        <f>IF(GetFillColor(AG119)=15,SUM(Planning!$AHB84:$AIC84),0)</f>
      </c>
      <c r="AH119" s="762">
        <f>IF(GetFillColor(AH119)=15,SUM(Planning!$AIE84:$AJF84),0)</f>
      </c>
      <c r="AI119" s="762">
        <f>IF(GetFillColor(AI119)=15,SUM(Planning!$AJH84:$AKI84),0)</f>
      </c>
      <c r="AJ119" s="763">
        <f>IF(GetFillColor(AJ119)=15,SUM(Planning!$AKK84:$ALL84),0)</f>
      </c>
      <c r="AK119" s="760">
        <f>IF(GetFillColor(AK119)=15,SUM(Planning!$ALN84:$AMO84),0)</f>
      </c>
      <c r="AL119" s="698">
        <f>SUM(C119:AK119)</f>
      </c>
      <c r="AM119" s="4"/>
      <c r="AN119" s="4"/>
    </row>
    <row r="120" ht="20.25" customHeight="1" spans="1:40" x14ac:dyDescent="0.25">
      <c r="A120" s="4">
        <f>A32</f>
      </c>
      <c r="B120" s="4"/>
      <c r="C120" s="760">
        <f>IF(GetFillColor(C120)=15,SUM(Planning!$D86:$AE86),0)</f>
      </c>
      <c r="D120" s="760">
        <f>IF(GetFillColor(D120)=15,SUM(Planning!$AG86:$BH86),0)</f>
      </c>
      <c r="E120" s="760">
        <f>IF(GetFillColor(E120)=15,SUM(Planning!$BJ86:$CK86),0)</f>
      </c>
      <c r="F120" s="763">
        <f>IF(GetFillColor(F120)=15,SUM(Planning!$CM86:$DN86),0)</f>
      </c>
      <c r="G120" s="763">
        <f>IF(GetFillColor(G120)=15,SUM(Planning!$DP86:$EQ86),0)</f>
      </c>
      <c r="H120" s="763">
        <f>IF(GetFillColor(H120)=15,SUM(Planning!$ES86:$FT86),0)</f>
      </c>
      <c r="I120" s="763">
        <f>IF(GetFillColor(I120)=15,SUM(Planning!$FV86:$GW86),0)</f>
      </c>
      <c r="J120" s="762">
        <f>IF(GetFillColor(J120)=15,SUM(Planning!$HB86:$IC86),0)</f>
      </c>
      <c r="K120" s="762">
        <f>IF(GetFillColor(K120)=15,SUM(Planning!$IE86:$JF86),0)</f>
      </c>
      <c r="L120" s="762">
        <f>IF(GetFillColor(L120)=15,SUM(Planning!$JH86:$KI86),0)</f>
      </c>
      <c r="M120" s="762">
        <f>IF(GetFillColor(M120)=15,SUM(Planning!$KK86:$LL86),0)</f>
      </c>
      <c r="N120" s="762">
        <f>IF(GetFillColor(N120)=15,SUM(Planning!$LN86:$MO86),0)</f>
      </c>
      <c r="O120" s="763">
        <f>IF(GetFillColor(O120)=15,SUM(Planning!$MQ86:$NR86),0)</f>
      </c>
      <c r="P120" s="763">
        <f>IF(GetFillColor(P120)=15,SUM(Planning!$NT86:$OU86),0)</f>
      </c>
      <c r="Q120" s="762">
        <f>IF(GetFillColor(Q120)=15,SUM(Planning!$OZ86:$QA86),0)</f>
      </c>
      <c r="R120" s="762">
        <f>IF(GetFillColor(R120)=15,SUM(Planning!$QC86:$RD86),0)</f>
      </c>
      <c r="S120" s="762">
        <f>IF(GetFillColor(S120)=15,SUM(Planning!$RF86:$SG86),0)</f>
      </c>
      <c r="T120" s="762">
        <f>IF(GetFillColor(T120)=15,SUM(Planning!$SI86:$TJ86),0)</f>
      </c>
      <c r="U120" s="762">
        <f>IF(GetFillColor(U120)=15,SUM(Planning!$TL86:$UM86),0)</f>
      </c>
      <c r="V120" s="763">
        <f>IF(GetFillColor(V120)=15,SUM(Planning!$UO86:$VP86),0)</f>
      </c>
      <c r="W120" s="763">
        <f>IF(GetFillColor(W120)=15,SUM(Planning!$VR86:$WS86),0)</f>
      </c>
      <c r="X120" s="762">
        <f>IF(GetFillColor(X120)=15,SUM(Planning!$WX86:$XY86),0)</f>
      </c>
      <c r="Y120" s="762">
        <f>IF(GetFillColor(Y120)=15,SUM(Planning!$YA86:$ZB86),0)</f>
      </c>
      <c r="Z120" s="762">
        <f>IF(GetFillColor(Z120)=15,SUM(Planning!$ZD86:$AAE86),0)</f>
      </c>
      <c r="AA120" s="762">
        <f>IF(GetFillColor(AA120)=15,SUM(Planning!$AAG86:$ABH86),0)</f>
      </c>
      <c r="AB120" s="762">
        <f>IF(GetFillColor(AB120)=15,SUM(Planning!$ABJ86:$ACK86),0)</f>
      </c>
      <c r="AC120" s="763">
        <f>IF(GetFillColor(AC120)=15,SUM(Planning!$ACM86:$ADN86),0)</f>
      </c>
      <c r="AD120" s="763">
        <f>IF(GetFillColor(AD120)=15,SUM(Planning!$ADP86:$AEQ86),0)</f>
      </c>
      <c r="AE120" s="762">
        <f>IF(GetFillColor(AE120)=15,SUM(Planning!$AEV86:$AFW86),0)</f>
      </c>
      <c r="AF120" s="762">
        <f>IF(GetFillColor(AF120)=15,SUM(Planning!$AFY86:$AGZ86),0)</f>
      </c>
      <c r="AG120" s="762">
        <f>IF(GetFillColor(AG120)=15,SUM(Planning!$AHB86:$AIC86),0)</f>
      </c>
      <c r="AH120" s="762">
        <f>IF(GetFillColor(AH120)=15,SUM(Planning!$AIE86:$AJF86),0)</f>
      </c>
      <c r="AI120" s="762">
        <f>IF(GetFillColor(AI120)=15,SUM(Planning!$AJH86:$AKI86),0)</f>
      </c>
      <c r="AJ120" s="763">
        <f>IF(GetFillColor(AJ120)=15,SUM(Planning!$AKK86:$ALL86),0)</f>
      </c>
      <c r="AK120" s="760">
        <f>IF(GetFillColor(AK120)=15,SUM(Planning!$ALN86:$AMO86),0)</f>
      </c>
      <c r="AL120" s="698">
        <f>SUM(C120:AK120)</f>
      </c>
      <c r="AM120" s="4"/>
      <c r="AN120" s="4"/>
    </row>
    <row r="121" ht="20.25" customHeight="1" spans="1:40" x14ac:dyDescent="0.25">
      <c r="A121" s="4">
        <f>A33</f>
      </c>
      <c r="B121" s="4"/>
      <c r="C121" s="760">
        <f>IF(GetFillColor(C121)=15,SUM(Planning!$D87:$AE87),0)</f>
      </c>
      <c r="D121" s="760">
        <f>IF(GetFillColor(D121)=15,SUM(Planning!$AG87:$BH87),0)</f>
      </c>
      <c r="E121" s="760">
        <f>IF(GetFillColor(E121)=15,SUM(Planning!$BJ87:$CK87),0)</f>
      </c>
      <c r="F121" s="763">
        <f>IF(GetFillColor(F121)=15,SUM(Planning!$CM87:$DN87),0)</f>
      </c>
      <c r="G121" s="763">
        <f>IF(GetFillColor(G121)=15,SUM(Planning!$DP87:$EQ87),0)</f>
      </c>
      <c r="H121" s="763">
        <f>IF(GetFillColor(H121)=15,SUM(Planning!$ES87:$FT87),0)</f>
      </c>
      <c r="I121" s="763">
        <f>IF(GetFillColor(I121)=15,SUM(Planning!$FV87:$GW87),0)</f>
      </c>
      <c r="J121" s="762">
        <f>IF(GetFillColor(J121)=15,SUM(Planning!$HB87:$IC87),0)</f>
      </c>
      <c r="K121" s="762">
        <f>IF(GetFillColor(K121)=15,SUM(Planning!$IE87:$JF87),0)</f>
      </c>
      <c r="L121" s="762">
        <f>IF(GetFillColor(L121)=15,SUM(Planning!$JH87:$KI87),0)</f>
      </c>
      <c r="M121" s="762">
        <f>IF(GetFillColor(M121)=15,SUM(Planning!$KK87:$LL87),0)</f>
      </c>
      <c r="N121" s="762">
        <f>IF(GetFillColor(N121)=15,SUM(Planning!$LN87:$MO87),0)</f>
      </c>
      <c r="O121" s="763">
        <f>IF(GetFillColor(O121)=15,SUM(Planning!$MQ87:$NR87),0)</f>
      </c>
      <c r="P121" s="763">
        <f>IF(GetFillColor(P121)=15,SUM(Planning!$NT87:$OU87),0)</f>
      </c>
      <c r="Q121" s="762">
        <f>IF(GetFillColor(Q121)=15,SUM(Planning!$OZ87:$QA87),0)</f>
      </c>
      <c r="R121" s="762">
        <f>IF(GetFillColor(R121)=15,SUM(Planning!$QC87:$RD87),0)</f>
      </c>
      <c r="S121" s="762">
        <f>IF(GetFillColor(S121)=15,SUM(Planning!$RF87:$SG87),0)</f>
      </c>
      <c r="T121" s="762">
        <f>IF(GetFillColor(T121)=15,SUM(Planning!$SI87:$TJ87),0)</f>
      </c>
      <c r="U121" s="762">
        <f>IF(GetFillColor(U121)=15,SUM(Planning!$TL87:$UM87),0)</f>
      </c>
      <c r="V121" s="763">
        <f>IF(GetFillColor(V121)=15,SUM(Planning!$UO87:$VP87),0)</f>
      </c>
      <c r="W121" s="763">
        <f>IF(GetFillColor(W121)=15,SUM(Planning!$VR87:$WS87),0)</f>
      </c>
      <c r="X121" s="762">
        <f>IF(GetFillColor(X121)=15,SUM(Planning!$WX87:$XY87),0)</f>
      </c>
      <c r="Y121" s="762">
        <f>IF(GetFillColor(Y121)=15,SUM(Planning!$YA87:$ZB87),0)</f>
      </c>
      <c r="Z121" s="762">
        <f>IF(GetFillColor(Z121)=15,SUM(Planning!$ZD87:$AAE87),0)</f>
      </c>
      <c r="AA121" s="762">
        <f>IF(GetFillColor(AA121)=15,SUM(Planning!$AAG87:$ABH87),0)</f>
      </c>
      <c r="AB121" s="762">
        <f>IF(GetFillColor(AB121)=15,SUM(Planning!$ABJ87:$ACK87),0)</f>
      </c>
      <c r="AC121" s="763">
        <f>IF(GetFillColor(AC121)=15,SUM(Planning!$ACM87:$ADN87),0)</f>
      </c>
      <c r="AD121" s="763">
        <f>IF(GetFillColor(AD121)=15,SUM(Planning!$ADP87:$AEQ87),0)</f>
      </c>
      <c r="AE121" s="762">
        <f>IF(GetFillColor(AE121)=15,SUM(Planning!$AEV87:$AFW87),0)</f>
      </c>
      <c r="AF121" s="762">
        <f>IF(GetFillColor(AF121)=15,SUM(Planning!$AFY87:$AGZ87),0)</f>
      </c>
      <c r="AG121" s="762">
        <f>IF(GetFillColor(AG121)=15,SUM(Planning!$AHB87:$AIC87),0)</f>
      </c>
      <c r="AH121" s="762">
        <f>IF(GetFillColor(AH121)=15,SUM(Planning!$AIE87:$AJF87),0)</f>
      </c>
      <c r="AI121" s="762">
        <f>IF(GetFillColor(AI121)=15,SUM(Planning!$AJH87:$AKI87),0)</f>
      </c>
      <c r="AJ121" s="763">
        <f>IF(GetFillColor(AJ121)=15,SUM(Planning!$AKK87:$ALL87),0)</f>
      </c>
      <c r="AK121" s="760">
        <f>IF(GetFillColor(AK121)=15,SUM(Planning!$ALN87:$AMO87),0)</f>
      </c>
      <c r="AL121" s="698">
        <f>SUM(C121:AK121)</f>
      </c>
      <c r="AM121" s="4"/>
      <c r="AN121" s="4"/>
    </row>
    <row r="122" ht="20.25" customHeight="1" spans="1:40" x14ac:dyDescent="0.25">
      <c r="A122" s="4">
        <f>A34</f>
      </c>
      <c r="B122" s="4"/>
      <c r="C122" s="760">
        <f>IF(GetFillColor(C122)=15,SUM(Planning!$D88:$AE88),0)</f>
      </c>
      <c r="D122" s="760">
        <f>IF(GetFillColor(D122)=15,SUM(Planning!$AG88:$BH88),0)</f>
      </c>
      <c r="E122" s="760">
        <f>IF(GetFillColor(E122)=15,SUM(Planning!$BJ88:$CK88),0)</f>
      </c>
      <c r="F122" s="763">
        <f>IF(GetFillColor(F122)=15,SUM(Planning!$CM88:$DN88),0)</f>
      </c>
      <c r="G122" s="763">
        <f>IF(GetFillColor(G122)=15,SUM(Planning!$DP88:$EQ88),0)</f>
      </c>
      <c r="H122" s="763">
        <f>IF(GetFillColor(H122)=15,SUM(Planning!$ES88:$FT88),0)</f>
      </c>
      <c r="I122" s="763">
        <f>IF(GetFillColor(I122)=15,SUM(Planning!$FV88:$GW88),0)</f>
      </c>
      <c r="J122" s="762">
        <f>IF(GetFillColor(J122)=15,SUM(Planning!$HB88:$IC88),0)</f>
      </c>
      <c r="K122" s="762">
        <f>IF(GetFillColor(K122)=15,SUM(Planning!$IE88:$JF88),0)</f>
      </c>
      <c r="L122" s="762">
        <f>IF(GetFillColor(L122)=15,SUM(Planning!$JH88:$KI88),0)</f>
      </c>
      <c r="M122" s="762">
        <f>IF(GetFillColor(M122)=15,SUM(Planning!$KK88:$LL88),0)</f>
      </c>
      <c r="N122" s="762">
        <f>IF(GetFillColor(N122)=15,SUM(Planning!$LN88:$MO88),0)</f>
      </c>
      <c r="O122" s="763">
        <f>IF(GetFillColor(O122)=15,SUM(Planning!$MQ88:$NR88),0)</f>
      </c>
      <c r="P122" s="763">
        <f>IF(GetFillColor(P122)=15,SUM(Planning!$NT88:$OU88),0)</f>
      </c>
      <c r="Q122" s="762">
        <f>IF(GetFillColor(Q122)=15,SUM(Planning!$OZ88:$QA88),0)</f>
      </c>
      <c r="R122" s="762">
        <f>IF(GetFillColor(R122)=15,SUM(Planning!$QC88:$RD88),0)</f>
      </c>
      <c r="S122" s="762">
        <f>IF(GetFillColor(S122)=15,SUM(Planning!$RF88:$SG88),0)</f>
      </c>
      <c r="T122" s="762">
        <f>IF(GetFillColor(T122)=15,SUM(Planning!$SI88:$TJ88),0)</f>
      </c>
      <c r="U122" s="762">
        <f>IF(GetFillColor(U122)=15,SUM(Planning!$TL88:$UM88),0)</f>
      </c>
      <c r="V122" s="763">
        <f>IF(GetFillColor(V122)=15,SUM(Planning!$UO88:$VP88),0)</f>
      </c>
      <c r="W122" s="763">
        <f>IF(GetFillColor(W122)=15,SUM(Planning!$VR88:$WS88),0)</f>
      </c>
      <c r="X122" s="762">
        <f>IF(GetFillColor(X122)=15,SUM(Planning!$WX88:$XY88),0)</f>
      </c>
      <c r="Y122" s="762">
        <f>IF(GetFillColor(Y122)=15,SUM(Planning!$YA88:$ZB88),0)</f>
      </c>
      <c r="Z122" s="762">
        <f>IF(GetFillColor(Z122)=15,SUM(Planning!$ZD88:$AAE88),0)</f>
      </c>
      <c r="AA122" s="762">
        <f>IF(GetFillColor(AA122)=15,SUM(Planning!$AAG88:$ABH88),0)</f>
      </c>
      <c r="AB122" s="762">
        <f>IF(GetFillColor(AB122)=15,SUM(Planning!$ABJ88:$ACK88),0)</f>
      </c>
      <c r="AC122" s="763">
        <f>IF(GetFillColor(AC122)=15,SUM(Planning!$ACM88:$ADN88),0)</f>
      </c>
      <c r="AD122" s="763">
        <f>IF(GetFillColor(AD122)=15,SUM(Planning!$ADP88:$AEQ88),0)</f>
      </c>
      <c r="AE122" s="762">
        <f>IF(GetFillColor(AE122)=15,SUM(Planning!$AEV88:$AFW88),0)</f>
      </c>
      <c r="AF122" s="762">
        <f>IF(GetFillColor(AF122)=15,SUM(Planning!$AFY88:$AGZ88),0)</f>
      </c>
      <c r="AG122" s="762">
        <f>IF(GetFillColor(AG122)=15,SUM(Planning!$AHB88:$AIC88),0)</f>
      </c>
      <c r="AH122" s="762">
        <f>IF(GetFillColor(AH122)=15,SUM(Planning!$AIE88:$AJF88),0)</f>
      </c>
      <c r="AI122" s="762">
        <f>IF(GetFillColor(AI122)=15,SUM(Planning!$AJH88:$AKI88),0)</f>
      </c>
      <c r="AJ122" s="763">
        <f>IF(GetFillColor(AJ122)=15,SUM(Planning!$AKK88:$ALL88),0)</f>
      </c>
      <c r="AK122" s="760">
        <f>IF(GetFillColor(AK122)=15,SUM(Planning!$ALN88:$AMO88),0)</f>
      </c>
      <c r="AL122" s="698">
        <f>SUM(C122:AK122)</f>
      </c>
      <c r="AM122" s="4"/>
      <c r="AN122" s="4"/>
    </row>
    <row r="123" ht="20.25" customHeight="1" spans="1:40" x14ac:dyDescent="0.25">
      <c r="A123" s="4">
        <f>A35</f>
      </c>
      <c r="B123" s="4"/>
      <c r="C123" s="760">
        <f>IF(GetFillColor(C123)=15,SUM(Planning!$D89:$AE89),0)</f>
      </c>
      <c r="D123" s="760">
        <f>IF(GetFillColor(D123)=15,SUM(Planning!$AG89:$BH89),0)</f>
      </c>
      <c r="E123" s="760">
        <f>IF(GetFillColor(E123)=15,SUM(Planning!$BJ89:$CK89),0)</f>
      </c>
      <c r="F123" s="763">
        <f>IF(GetFillColor(F123)=15,SUM(Planning!$CM89:$DN89),0)</f>
      </c>
      <c r="G123" s="763">
        <f>IF(GetFillColor(G123)=15,SUM(Planning!$DP89:$EQ89),0)</f>
      </c>
      <c r="H123" s="763">
        <f>IF(GetFillColor(H123)=15,SUM(Planning!$ES89:$FT89),0)</f>
      </c>
      <c r="I123" s="763">
        <f>IF(GetFillColor(I123)=15,SUM(Planning!$FV89:$GW89),0)</f>
      </c>
      <c r="J123" s="762">
        <f>IF(GetFillColor(J123)=15,SUM(Planning!$HB89:$IC89),0)</f>
      </c>
      <c r="K123" s="762">
        <f>IF(GetFillColor(K123)=15,SUM(Planning!$IE89:$JF89),0)</f>
      </c>
      <c r="L123" s="762">
        <f>IF(GetFillColor(L123)=15,SUM(Planning!$JH89:$KI89),0)</f>
      </c>
      <c r="M123" s="762">
        <f>IF(GetFillColor(M123)=15,SUM(Planning!$KK89:$LL89),0)</f>
      </c>
      <c r="N123" s="762">
        <f>IF(GetFillColor(N123)=15,SUM(Planning!$LN89:$MO89),0)</f>
      </c>
      <c r="O123" s="763">
        <f>IF(GetFillColor(O123)=15,SUM(Planning!$MQ89:$NR89),0)</f>
      </c>
      <c r="P123" s="763">
        <f>IF(GetFillColor(P123)=15,SUM(Planning!$NT89:$OU89),0)</f>
      </c>
      <c r="Q123" s="762">
        <f>IF(GetFillColor(Q123)=15,SUM(Planning!$OZ89:$QA89),0)</f>
      </c>
      <c r="R123" s="762">
        <f>IF(GetFillColor(R123)=15,SUM(Planning!$QC89:$RD89),0)</f>
      </c>
      <c r="S123" s="762">
        <f>IF(GetFillColor(S123)=15,SUM(Planning!$RF89:$SG89),0)</f>
      </c>
      <c r="T123" s="762">
        <f>IF(GetFillColor(T123)=15,SUM(Planning!$SI89:$TJ89),0)</f>
      </c>
      <c r="U123" s="762">
        <f>IF(GetFillColor(U123)=15,SUM(Planning!$TL89:$UM89),0)</f>
      </c>
      <c r="V123" s="763">
        <f>IF(GetFillColor(V123)=15,SUM(Planning!$UO89:$VP89),0)</f>
      </c>
      <c r="W123" s="763">
        <f>IF(GetFillColor(W123)=15,SUM(Planning!$VR89:$WS89),0)</f>
      </c>
      <c r="X123" s="762">
        <f>IF(GetFillColor(X123)=15,SUM(Planning!$WX89:$XY89),0)</f>
      </c>
      <c r="Y123" s="762">
        <f>IF(GetFillColor(Y123)=15,SUM(Planning!$YA89:$ZB89),0)</f>
      </c>
      <c r="Z123" s="762">
        <f>IF(GetFillColor(Z123)=15,SUM(Planning!$ZD89:$AAE89),0)</f>
      </c>
      <c r="AA123" s="762">
        <f>IF(GetFillColor(AA123)=15,SUM(Planning!$AAG89:$ABH89),0)</f>
      </c>
      <c r="AB123" s="762">
        <f>IF(GetFillColor(AB123)=15,SUM(Planning!$ABJ89:$ACK89),0)</f>
      </c>
      <c r="AC123" s="763">
        <f>IF(GetFillColor(AC123)=15,SUM(Planning!$ACM89:$ADN89),0)</f>
      </c>
      <c r="AD123" s="763">
        <f>IF(GetFillColor(AD123)=15,SUM(Planning!$ADP89:$AEQ89),0)</f>
      </c>
      <c r="AE123" s="762">
        <f>IF(GetFillColor(AE123)=15,SUM(Planning!$AEV89:$AFW89),0)</f>
      </c>
      <c r="AF123" s="762">
        <f>IF(GetFillColor(AF123)=15,SUM(Planning!$AFY89:$AGZ89),0)</f>
      </c>
      <c r="AG123" s="762">
        <f>IF(GetFillColor(AG123)=15,SUM(Planning!$AHB89:$AIC89),0)</f>
      </c>
      <c r="AH123" s="762">
        <f>IF(GetFillColor(AH123)=15,SUM(Planning!$AIE89:$AJF89),0)</f>
      </c>
      <c r="AI123" s="762">
        <f>IF(GetFillColor(AI123)=15,SUM(Planning!$AJH89:$AKI89),0)</f>
      </c>
      <c r="AJ123" s="763">
        <f>IF(GetFillColor(AJ123)=15,SUM(Planning!$AKK89:$ALL89),0)</f>
      </c>
      <c r="AK123" s="760">
        <f>IF(GetFillColor(AK123)=15,SUM(Planning!$ALN89:$AMO89),0)</f>
      </c>
      <c r="AL123" s="698">
        <f>SUM(C123:AK123)</f>
      </c>
      <c r="AM123" s="4"/>
      <c r="AN123" s="4"/>
    </row>
    <row r="124" ht="20.25" customHeight="1" spans="1:40" x14ac:dyDescent="0.25">
      <c r="A124" s="4">
        <f>A36</f>
      </c>
      <c r="B124" s="4"/>
      <c r="C124" s="760">
        <f>IF(GetFillColor(C124)=15,SUM(Planning!$D90:$AE90),0)</f>
      </c>
      <c r="D124" s="760">
        <f>IF(GetFillColor(D124)=15,SUM(Planning!$AG90:$BH90),0)</f>
      </c>
      <c r="E124" s="760">
        <f>IF(GetFillColor(E124)=15,SUM(Planning!$BJ90:$CK90),0)</f>
      </c>
      <c r="F124" s="763">
        <f>IF(GetFillColor(F124)=15,SUM(Planning!$CM90:$DN90),0)</f>
      </c>
      <c r="G124" s="763">
        <f>IF(GetFillColor(G124)=15,SUM(Planning!$DP90:$EQ90),0)</f>
      </c>
      <c r="H124" s="763">
        <f>IF(GetFillColor(H124)=15,SUM(Planning!$ES90:$FT90),0)</f>
      </c>
      <c r="I124" s="763">
        <f>IF(GetFillColor(I124)=15,SUM(Planning!$FV90:$GW90),0)</f>
      </c>
      <c r="J124" s="762">
        <f>IF(GetFillColor(J124)=15,SUM(Planning!$HB90:$IC90),0)</f>
      </c>
      <c r="K124" s="762">
        <f>IF(GetFillColor(K124)=15,SUM(Planning!$IE90:$JF90),0)</f>
      </c>
      <c r="L124" s="762">
        <f>IF(GetFillColor(L124)=15,SUM(Planning!$JH90:$KI90),0)</f>
      </c>
      <c r="M124" s="762">
        <f>IF(GetFillColor(M124)=15,SUM(Planning!$KK90:$LL90),0)</f>
      </c>
      <c r="N124" s="762">
        <f>IF(GetFillColor(N124)=15,SUM(Planning!$LN90:$MO90),0)</f>
      </c>
      <c r="O124" s="763">
        <f>IF(GetFillColor(O124)=15,SUM(Planning!$MQ90:$NR90),0)</f>
      </c>
      <c r="P124" s="763">
        <f>IF(GetFillColor(P124)=15,SUM(Planning!$NT90:$OU90),0)</f>
      </c>
      <c r="Q124" s="762">
        <f>IF(GetFillColor(Q124)=15,SUM(Planning!$OZ90:$QA90),0)</f>
      </c>
      <c r="R124" s="762">
        <f>IF(GetFillColor(R124)=15,SUM(Planning!$QC90:$RD90),0)</f>
      </c>
      <c r="S124" s="762">
        <f>IF(GetFillColor(S124)=15,SUM(Planning!$RF90:$SG90),0)</f>
      </c>
      <c r="T124" s="762">
        <f>IF(GetFillColor(T124)=15,SUM(Planning!$SI90:$TJ90),0)</f>
      </c>
      <c r="U124" s="762">
        <f>IF(GetFillColor(U124)=15,SUM(Planning!$TL90:$UM90),0)</f>
      </c>
      <c r="V124" s="763">
        <f>IF(GetFillColor(V124)=15,SUM(Planning!$UO90:$VP90),0)</f>
      </c>
      <c r="W124" s="763">
        <f>IF(GetFillColor(W124)=15,SUM(Planning!$VR90:$WS90),0)</f>
      </c>
      <c r="X124" s="762">
        <f>IF(GetFillColor(X124)=15,SUM(Planning!$WX90:$XY90),0)</f>
      </c>
      <c r="Y124" s="762">
        <f>IF(GetFillColor(Y124)=15,SUM(Planning!$YA90:$ZB90),0)</f>
      </c>
      <c r="Z124" s="762">
        <f>IF(GetFillColor(Z124)=15,SUM(Planning!$ZD90:$AAE90),0)</f>
      </c>
      <c r="AA124" s="762">
        <f>IF(GetFillColor(AA124)=15,SUM(Planning!$AAG90:$ABH90),0)</f>
      </c>
      <c r="AB124" s="762">
        <f>IF(GetFillColor(AB124)=15,SUM(Planning!$ABJ90:$ACK90),0)</f>
      </c>
      <c r="AC124" s="763">
        <f>IF(GetFillColor(AC124)=15,SUM(Planning!$ACM90:$ADN90),0)</f>
      </c>
      <c r="AD124" s="763">
        <f>IF(GetFillColor(AD124)=15,SUM(Planning!$ADP90:$AEQ90),0)</f>
      </c>
      <c r="AE124" s="762">
        <f>IF(GetFillColor(AE124)=15,SUM(Planning!$AEV90:$AFW90),0)</f>
      </c>
      <c r="AF124" s="762">
        <f>IF(GetFillColor(AF124)=15,SUM(Planning!$AFY90:$AGZ90),0)</f>
      </c>
      <c r="AG124" s="762">
        <f>IF(GetFillColor(AG124)=15,SUM(Planning!$AHB90:$AIC90),0)</f>
      </c>
      <c r="AH124" s="762">
        <f>IF(GetFillColor(AH124)=15,SUM(Planning!$AIE90:$AJF90),0)</f>
      </c>
      <c r="AI124" s="762">
        <f>IF(GetFillColor(AI124)=15,SUM(Planning!$AJH90:$AKI90),0)</f>
      </c>
      <c r="AJ124" s="763">
        <f>IF(GetFillColor(AJ124)=15,SUM(Planning!$AKK90:$ALL90),0)</f>
      </c>
      <c r="AK124" s="760">
        <f>IF(GetFillColor(AK124)=15,SUM(Planning!$ALN90:$AMO90),0)</f>
      </c>
      <c r="AL124" s="698">
        <f>SUM(C124:AK124)</f>
      </c>
      <c r="AM124" s="4"/>
      <c r="AN124" s="4"/>
    </row>
    <row r="125" ht="20.25" customHeight="1" spans="1:40" x14ac:dyDescent="0.25">
      <c r="A125" s="4">
        <f>A37</f>
      </c>
      <c r="B125" s="4"/>
      <c r="C125" s="760">
        <f>IF(GetFillColor(C125)=15,SUM(Planning!$D91:$AE91),0)</f>
      </c>
      <c r="D125" s="760">
        <f>IF(GetFillColor(D125)=15,SUM(Planning!$AG91:$BH91),0)</f>
      </c>
      <c r="E125" s="760">
        <f>IF(GetFillColor(E125)=15,SUM(Planning!$BJ91:$CK91),0)</f>
      </c>
      <c r="F125" s="763">
        <f>IF(GetFillColor(F125)=15,SUM(Planning!$CM91:$DN91),0)</f>
      </c>
      <c r="G125" s="763">
        <f>IF(GetFillColor(G125)=15,SUM(Planning!$DP91:$EQ91),0)</f>
      </c>
      <c r="H125" s="763">
        <f>IF(GetFillColor(H125)=15,SUM(Planning!$ES91:$FT91),0)</f>
      </c>
      <c r="I125" s="763">
        <f>IF(GetFillColor(I125)=15,SUM(Planning!$FV91:$GW91),0)</f>
      </c>
      <c r="J125" s="762">
        <f>IF(GetFillColor(J125)=15,SUM(Planning!$HB91:$IC91),0)</f>
      </c>
      <c r="K125" s="762">
        <f>IF(GetFillColor(K125)=15,SUM(Planning!$IE91:$JF91),0)</f>
      </c>
      <c r="L125" s="762">
        <f>IF(GetFillColor(L125)=15,SUM(Planning!$JH91:$KI91),0)</f>
      </c>
      <c r="M125" s="762">
        <f>IF(GetFillColor(M125)=15,SUM(Planning!$KK91:$LL91),0)</f>
      </c>
      <c r="N125" s="762">
        <f>IF(GetFillColor(N125)=15,SUM(Planning!$LN91:$MO91),0)</f>
      </c>
      <c r="O125" s="763">
        <f>IF(GetFillColor(O125)=15,SUM(Planning!$MQ91:$NR91),0)</f>
      </c>
      <c r="P125" s="763">
        <f>IF(GetFillColor(P125)=15,SUM(Planning!$NT91:$OU91),0)</f>
      </c>
      <c r="Q125" s="762">
        <f>IF(GetFillColor(Q125)=15,SUM(Planning!$OZ91:$QA91),0)</f>
      </c>
      <c r="R125" s="762">
        <f>IF(GetFillColor(R125)=15,SUM(Planning!$QC91:$RD91),0)</f>
      </c>
      <c r="S125" s="762">
        <f>IF(GetFillColor(S125)=15,SUM(Planning!$RF91:$SG91),0)</f>
      </c>
      <c r="T125" s="762">
        <f>IF(GetFillColor(T125)=15,SUM(Planning!$SI91:$TJ91),0)</f>
      </c>
      <c r="U125" s="762">
        <f>IF(GetFillColor(U125)=15,SUM(Planning!$TL91:$UM91),0)</f>
      </c>
      <c r="V125" s="763">
        <f>IF(GetFillColor(V125)=15,SUM(Planning!$UO91:$VP91),0)</f>
      </c>
      <c r="W125" s="763">
        <f>IF(GetFillColor(W125)=15,SUM(Planning!$VR91:$WS91),0)</f>
      </c>
      <c r="X125" s="762">
        <f>IF(GetFillColor(X125)=15,SUM(Planning!$WX91:$XY91),0)</f>
      </c>
      <c r="Y125" s="762">
        <f>IF(GetFillColor(Y125)=15,SUM(Planning!$YA91:$ZB91),0)</f>
      </c>
      <c r="Z125" s="762">
        <f>IF(GetFillColor(Z125)=15,SUM(Planning!$ZD91:$AAE91),0)</f>
      </c>
      <c r="AA125" s="762">
        <f>IF(GetFillColor(AA125)=15,SUM(Planning!$AAG91:$ABH91),0)</f>
      </c>
      <c r="AB125" s="762">
        <f>IF(GetFillColor(AB125)=15,SUM(Planning!$ABJ91:$ACK91),0)</f>
      </c>
      <c r="AC125" s="763">
        <f>IF(GetFillColor(AC125)=15,SUM(Planning!$ACM91:$ADN91),0)</f>
      </c>
      <c r="AD125" s="763">
        <f>IF(GetFillColor(AD125)=15,SUM(Planning!$ADP91:$AEQ91),0)</f>
      </c>
      <c r="AE125" s="762">
        <f>IF(GetFillColor(AE125)=15,SUM(Planning!$AEV91:$AFW91),0)</f>
      </c>
      <c r="AF125" s="762">
        <f>IF(GetFillColor(AF125)=15,SUM(Planning!$AFY91:$AGZ91),0)</f>
      </c>
      <c r="AG125" s="762">
        <f>IF(GetFillColor(AG125)=15,SUM(Planning!$AHB91:$AIC91),0)</f>
      </c>
      <c r="AH125" s="762">
        <f>IF(GetFillColor(AH125)=15,SUM(Planning!$AIE91:$AJF91),0)</f>
      </c>
      <c r="AI125" s="762">
        <f>IF(GetFillColor(AI125)=15,SUM(Planning!$AJH91:$AKI91),0)</f>
      </c>
      <c r="AJ125" s="763">
        <f>IF(GetFillColor(AJ125)=15,SUM(Planning!$AKK91:$ALL91),0)</f>
      </c>
      <c r="AK125" s="760">
        <f>IF(GetFillColor(AK125)=15,SUM(Planning!$ALN91:$AMO91),0)</f>
      </c>
      <c r="AL125" s="698">
        <f>SUM(C125:AK125)</f>
      </c>
      <c r="AM125" s="4"/>
      <c r="AN125" s="4"/>
    </row>
    <row r="126" ht="20.25" customHeight="1" spans="1:40" x14ac:dyDescent="0.25">
      <c r="A126" s="4">
        <f>A38</f>
      </c>
      <c r="B126" s="4"/>
      <c r="C126" s="760">
        <f>IF(GetFillColor(C126)=15,SUM(Planning!$D92:$AE92),0)</f>
      </c>
      <c r="D126" s="760">
        <f>IF(GetFillColor(D126)=15,SUM(Planning!$AG92:$BH92),0)</f>
      </c>
      <c r="E126" s="760">
        <f>IF(GetFillColor(E126)=15,SUM(Planning!$BJ92:$CK92),0)</f>
      </c>
      <c r="F126" s="763">
        <f>IF(GetFillColor(F126)=15,SUM(Planning!$CM92:$DN92),0)</f>
      </c>
      <c r="G126" s="763">
        <f>IF(GetFillColor(G126)=15,SUM(Planning!$DP92:$EQ92),0)</f>
      </c>
      <c r="H126" s="763">
        <f>IF(GetFillColor(H126)=15,SUM(Planning!$ES92:$FT92),0)</f>
      </c>
      <c r="I126" s="763">
        <f>IF(GetFillColor(I126)=15,SUM(Planning!$FV92:$GW92),0)</f>
      </c>
      <c r="J126" s="762">
        <f>IF(GetFillColor(J126)=15,SUM(Planning!$HB92:$IC92),0)</f>
      </c>
      <c r="K126" s="762">
        <f>IF(GetFillColor(K126)=15,SUM(Planning!$IE92:$JF92),0)</f>
      </c>
      <c r="L126" s="762">
        <f>IF(GetFillColor(L126)=15,SUM(Planning!$JH92:$KI92),0)</f>
      </c>
      <c r="M126" s="762">
        <f>IF(GetFillColor(M126)=15,SUM(Planning!$KK92:$LL92),0)</f>
      </c>
      <c r="N126" s="762">
        <f>IF(GetFillColor(N126)=15,SUM(Planning!$LN92:$MO92),0)</f>
      </c>
      <c r="O126" s="763">
        <f>IF(GetFillColor(O126)=15,SUM(Planning!$MQ92:$NR92),0)</f>
      </c>
      <c r="P126" s="763">
        <f>IF(GetFillColor(P126)=15,SUM(Planning!$NT92:$OU92),0)</f>
      </c>
      <c r="Q126" s="762">
        <f>IF(GetFillColor(Q126)=15,SUM(Planning!$OZ92:$QA92),0)</f>
      </c>
      <c r="R126" s="762">
        <f>IF(GetFillColor(R126)=15,SUM(Planning!$QC92:$RD92),0)</f>
      </c>
      <c r="S126" s="762">
        <f>IF(GetFillColor(S126)=15,SUM(Planning!$RF92:$SG92),0)</f>
      </c>
      <c r="T126" s="762">
        <f>IF(GetFillColor(T126)=15,SUM(Planning!$SI92:$TJ92),0)</f>
      </c>
      <c r="U126" s="762">
        <f>IF(GetFillColor(U126)=15,SUM(Planning!$TL92:$UM92),0)</f>
      </c>
      <c r="V126" s="763">
        <f>IF(GetFillColor(V126)=15,SUM(Planning!$UO92:$VP92),0)</f>
      </c>
      <c r="W126" s="763">
        <f>IF(GetFillColor(W126)=15,SUM(Planning!$VR92:$WS92),0)</f>
      </c>
      <c r="X126" s="762">
        <f>IF(GetFillColor(X126)=15,SUM(Planning!$WX92:$XY92),0)</f>
      </c>
      <c r="Y126" s="762">
        <f>IF(GetFillColor(Y126)=15,SUM(Planning!$YA92:$ZB92),0)</f>
      </c>
      <c r="Z126" s="762">
        <f>IF(GetFillColor(Z126)=15,SUM(Planning!$ZD92:$AAE92),0)</f>
      </c>
      <c r="AA126" s="762">
        <f>IF(GetFillColor(AA126)=15,SUM(Planning!$AAG92:$ABH92),0)</f>
      </c>
      <c r="AB126" s="762">
        <f>IF(GetFillColor(AB126)=15,SUM(Planning!$ABJ92:$ACK92),0)</f>
      </c>
      <c r="AC126" s="763">
        <f>IF(GetFillColor(AC126)=15,SUM(Planning!$ACM92:$ADN92),0)</f>
      </c>
      <c r="AD126" s="763">
        <f>IF(GetFillColor(AD126)=15,SUM(Planning!$ADP92:$AEQ92),0)</f>
      </c>
      <c r="AE126" s="762">
        <f>IF(GetFillColor(AE126)=15,SUM(Planning!$AEV92:$AFW92),0)</f>
      </c>
      <c r="AF126" s="762">
        <f>IF(GetFillColor(AF126)=15,SUM(Planning!$AFY92:$AGZ92),0)</f>
      </c>
      <c r="AG126" s="762">
        <f>IF(GetFillColor(AG126)=15,SUM(Planning!$AHB92:$AIC92),0)</f>
      </c>
      <c r="AH126" s="762">
        <f>IF(GetFillColor(AH126)=15,SUM(Planning!$AIE92:$AJF92),0)</f>
      </c>
      <c r="AI126" s="762">
        <f>IF(GetFillColor(AI126)=15,SUM(Planning!$AJH92:$AKI92),0)</f>
      </c>
      <c r="AJ126" s="763">
        <f>IF(GetFillColor(AJ126)=15,SUM(Planning!$AKK92:$ALL92),0)</f>
      </c>
      <c r="AK126" s="760">
        <f>IF(GetFillColor(AK126)=15,SUM(Planning!$ALN92:$AMO92),0)</f>
      </c>
      <c r="AL126" s="698">
        <f>SUM(C126:AK126)</f>
      </c>
      <c r="AM126" s="4"/>
      <c r="AN126" s="4"/>
    </row>
    <row r="127" ht="20.25" customHeight="1" spans="1:40" x14ac:dyDescent="0.25">
      <c r="A127" s="4">
        <f>A39</f>
      </c>
      <c r="B127" s="4"/>
      <c r="C127" s="760">
        <f>IF(GetFillColor(C127)=15,SUM(Planning!$D93:$AE93),0)</f>
      </c>
      <c r="D127" s="760">
        <f>IF(GetFillColor(D127)=15,SUM(Planning!$AG93:$BH93),0)</f>
      </c>
      <c r="E127" s="760">
        <f>IF(GetFillColor(E127)=15,SUM(Planning!$BJ93:$CK93),0)</f>
      </c>
      <c r="F127" s="763">
        <f>IF(GetFillColor(F127)=15,SUM(Planning!$CM93:$DN93),0)</f>
      </c>
      <c r="G127" s="763">
        <f>IF(GetFillColor(G127)=15,SUM(Planning!$DP93:$EQ93),0)</f>
      </c>
      <c r="H127" s="763">
        <f>IF(GetFillColor(H127)=15,SUM(Planning!$ES93:$FT93),0)</f>
      </c>
      <c r="I127" s="763">
        <f>IF(GetFillColor(I127)=15,SUM(Planning!$FV93:$GW93),0)</f>
      </c>
      <c r="J127" s="762">
        <f>IF(GetFillColor(J127)=15,SUM(Planning!$HB93:$IC93),0)</f>
      </c>
      <c r="K127" s="762">
        <f>IF(GetFillColor(K127)=15,SUM(Planning!$IE93:$JF93),0)</f>
      </c>
      <c r="L127" s="762">
        <f>IF(GetFillColor(L127)=15,SUM(Planning!$JH93:$KI93),0)</f>
      </c>
      <c r="M127" s="762">
        <f>IF(GetFillColor(M127)=15,SUM(Planning!$KK93:$LL93),0)</f>
      </c>
      <c r="N127" s="762">
        <f>IF(GetFillColor(N127)=15,SUM(Planning!$LN93:$MO93),0)</f>
      </c>
      <c r="O127" s="763">
        <f>IF(GetFillColor(O127)=15,SUM(Planning!$MQ93:$NR93),0)</f>
      </c>
      <c r="P127" s="763">
        <f>IF(GetFillColor(P127)=15,SUM(Planning!$NT93:$OU93),0)</f>
      </c>
      <c r="Q127" s="762">
        <f>IF(GetFillColor(Q127)=15,SUM(Planning!$OZ93:$QA93),0)</f>
      </c>
      <c r="R127" s="762">
        <f>IF(GetFillColor(R127)=15,SUM(Planning!$QC93:$RD93),0)</f>
      </c>
      <c r="S127" s="762">
        <f>IF(GetFillColor(S127)=15,SUM(Planning!$RF93:$SG93),0)</f>
      </c>
      <c r="T127" s="762">
        <f>IF(GetFillColor(T127)=15,SUM(Planning!$SI93:$TJ93),0)</f>
      </c>
      <c r="U127" s="762">
        <f>IF(GetFillColor(U127)=15,SUM(Planning!$TL93:$UM93),0)</f>
      </c>
      <c r="V127" s="763">
        <f>IF(GetFillColor(V127)=15,SUM(Planning!$UO93:$VP93),0)</f>
      </c>
      <c r="W127" s="763">
        <f>IF(GetFillColor(W127)=15,SUM(Planning!$VR93:$WS93),0)</f>
      </c>
      <c r="X127" s="762">
        <f>IF(GetFillColor(X127)=15,SUM(Planning!$WX93:$XY93),0)</f>
      </c>
      <c r="Y127" s="762">
        <f>IF(GetFillColor(Y127)=15,SUM(Planning!$YA93:$ZB93),0)</f>
      </c>
      <c r="Z127" s="762">
        <f>IF(GetFillColor(Z127)=15,SUM(Planning!$ZD93:$AAE93),0)</f>
      </c>
      <c r="AA127" s="762">
        <f>IF(GetFillColor(AA127)=15,SUM(Planning!$AAG93:$ABH93),0)</f>
      </c>
      <c r="AB127" s="762">
        <f>IF(GetFillColor(AB127)=15,SUM(Planning!$ABJ93:$ACK93),0)</f>
      </c>
      <c r="AC127" s="763">
        <f>IF(GetFillColor(AC127)=15,SUM(Planning!$ACM93:$ADN93),0)</f>
      </c>
      <c r="AD127" s="763">
        <f>IF(GetFillColor(AD127)=15,SUM(Planning!$ADP93:$AEQ93),0)</f>
      </c>
      <c r="AE127" s="762">
        <f>IF(GetFillColor(AE127)=15,SUM(Planning!$AEV93:$AFW93),0)</f>
      </c>
      <c r="AF127" s="762">
        <f>IF(GetFillColor(AF127)=15,SUM(Planning!$AFY93:$AGZ93),0)</f>
      </c>
      <c r="AG127" s="762">
        <f>IF(GetFillColor(AG127)=15,SUM(Planning!$AHB93:$AIC93),0)</f>
      </c>
      <c r="AH127" s="762">
        <f>IF(GetFillColor(AH127)=15,SUM(Planning!$AIE93:$AJF93),0)</f>
      </c>
      <c r="AI127" s="762">
        <f>IF(GetFillColor(AI127)=15,SUM(Planning!$AJH93:$AKI93),0)</f>
      </c>
      <c r="AJ127" s="763">
        <f>IF(GetFillColor(AJ127)=15,SUM(Planning!$AKK93:$ALL93),0)</f>
      </c>
      <c r="AK127" s="760">
        <f>IF(GetFillColor(AK127)=15,SUM(Planning!$ALN93:$AMO93),0)</f>
      </c>
      <c r="AL127" s="698">
        <f>SUM(C127:AK127)</f>
      </c>
      <c r="AM127" s="4"/>
      <c r="AN127" s="4"/>
    </row>
    <row r="128" ht="20.25" customHeight="1" spans="1:40" x14ac:dyDescent="0.25">
      <c r="A128" s="4">
        <f>A40</f>
      </c>
      <c r="B128" s="4"/>
      <c r="C128" s="760">
        <f>IF(GetFillColor(C128)=15,SUM(Planning!$D94:$AE94),0)</f>
      </c>
      <c r="D128" s="760">
        <f>IF(GetFillColor(D128)=15,SUM(Planning!$AG94:$BH94),0)</f>
      </c>
      <c r="E128" s="760">
        <f>IF(GetFillColor(E128)=15,SUM(Planning!$BJ94:$CK94),0)</f>
      </c>
      <c r="F128" s="763">
        <f>IF(GetFillColor(F128)=15,SUM(Planning!$CM94:$DN94),0)</f>
      </c>
      <c r="G128" s="763">
        <f>IF(GetFillColor(G128)=15,SUM(Planning!$DP94:$EQ94),0)</f>
      </c>
      <c r="H128" s="763">
        <f>IF(GetFillColor(H128)=15,SUM(Planning!$ES94:$FT94),0)</f>
      </c>
      <c r="I128" s="763">
        <f>IF(GetFillColor(I128)=15,SUM(Planning!$FV94:$GW94),0)</f>
      </c>
      <c r="J128" s="762">
        <f>IF(GetFillColor(J128)=15,SUM(Planning!$HB94:$IC94),0)</f>
      </c>
      <c r="K128" s="762">
        <f>IF(GetFillColor(K128)=15,SUM(Planning!$IE94:$JF94),0)</f>
      </c>
      <c r="L128" s="762">
        <f>IF(GetFillColor(L128)=15,SUM(Planning!$JH94:$KI94),0)</f>
      </c>
      <c r="M128" s="762">
        <f>IF(GetFillColor(M128)=15,SUM(Planning!$KK94:$LL94),0)</f>
      </c>
      <c r="N128" s="762">
        <f>IF(GetFillColor(N128)=15,SUM(Planning!$LN94:$MO94),0)</f>
      </c>
      <c r="O128" s="763">
        <f>IF(GetFillColor(O128)=15,SUM(Planning!$MQ94:$NR94),0)</f>
      </c>
      <c r="P128" s="763">
        <f>IF(GetFillColor(P128)=15,SUM(Planning!$NT94:$OU94),0)</f>
      </c>
      <c r="Q128" s="762">
        <f>IF(GetFillColor(Q128)=15,SUM(Planning!$OZ94:$QA94),0)</f>
      </c>
      <c r="R128" s="762">
        <f>IF(GetFillColor(R128)=15,SUM(Planning!$QC94:$RD94),0)</f>
      </c>
      <c r="S128" s="762">
        <f>IF(GetFillColor(S128)=15,SUM(Planning!$RF94:$SG94),0)</f>
      </c>
      <c r="T128" s="762">
        <f>IF(GetFillColor(T128)=15,SUM(Planning!$SI94:$TJ94),0)</f>
      </c>
      <c r="U128" s="762">
        <f>IF(GetFillColor(U128)=15,SUM(Planning!$TL94:$UM94),0)</f>
      </c>
      <c r="V128" s="763">
        <f>IF(GetFillColor(V128)=15,SUM(Planning!$UO94:$VP94),0)</f>
      </c>
      <c r="W128" s="763">
        <f>IF(GetFillColor(W128)=15,SUM(Planning!$VR94:$WS94),0)</f>
      </c>
      <c r="X128" s="762">
        <f>IF(GetFillColor(X128)=15,SUM(Planning!$WX94:$XY94),0)</f>
      </c>
      <c r="Y128" s="762">
        <f>IF(GetFillColor(Y128)=15,SUM(Planning!$YA94:$ZB94),0)</f>
      </c>
      <c r="Z128" s="762">
        <f>IF(GetFillColor(Z128)=15,SUM(Planning!$ZD94:$AAE94),0)</f>
      </c>
      <c r="AA128" s="762">
        <f>IF(GetFillColor(AA128)=15,SUM(Planning!$AAG94:$ABH94),0)</f>
      </c>
      <c r="AB128" s="762">
        <f>IF(GetFillColor(AB128)=15,SUM(Planning!$ABJ94:$ACK94),0)</f>
      </c>
      <c r="AC128" s="763">
        <f>IF(GetFillColor(AC128)=15,SUM(Planning!$ACM94:$ADN94),0)</f>
      </c>
      <c r="AD128" s="763">
        <f>IF(GetFillColor(AD128)=15,SUM(Planning!$ADP94:$AEQ94),0)</f>
      </c>
      <c r="AE128" s="762">
        <f>IF(GetFillColor(AE128)=15,SUM(Planning!$AEV94:$AFW94),0)</f>
      </c>
      <c r="AF128" s="762">
        <f>IF(GetFillColor(AF128)=15,SUM(Planning!$AFY94:$AGZ94),0)</f>
      </c>
      <c r="AG128" s="762">
        <f>IF(GetFillColor(AG128)=15,SUM(Planning!$AHB94:$AIC94),0)</f>
      </c>
      <c r="AH128" s="762">
        <f>IF(GetFillColor(AH128)=15,SUM(Planning!$AIE94:$AJF94),0)</f>
      </c>
      <c r="AI128" s="762">
        <f>IF(GetFillColor(AI128)=15,SUM(Planning!$AJH94:$AKI94),0)</f>
      </c>
      <c r="AJ128" s="763">
        <f>IF(GetFillColor(AJ128)=15,SUM(Planning!$AKK94:$ALL94),0)</f>
      </c>
      <c r="AK128" s="760">
        <f>IF(GetFillColor(AK128)=15,SUM(Planning!$ALN94:$AMO94),0)</f>
      </c>
      <c r="AL128" s="698">
        <f>SUM(C128:AK128)</f>
      </c>
      <c r="AM128" s="4"/>
      <c r="AN128" s="4"/>
    </row>
    <row r="129" ht="20.25" customHeight="1" spans="1:40" x14ac:dyDescent="0.25">
      <c r="A129" s="4">
        <f>A41</f>
      </c>
      <c r="B129" s="4"/>
      <c r="C129" s="760">
        <f>IF(GetFillColor(C129)=15,SUM(Planning!$D95:$AE95),0)</f>
      </c>
      <c r="D129" s="760">
        <f>IF(GetFillColor(D129)=15,SUM(Planning!$AG95:$BH95),0)</f>
      </c>
      <c r="E129" s="760">
        <f>IF(GetFillColor(E129)=15,SUM(Planning!$BJ95:$CK95),0)</f>
      </c>
      <c r="F129" s="763">
        <f>IF(GetFillColor(F129)=15,SUM(Planning!$CM95:$DN95),0)</f>
      </c>
      <c r="G129" s="763">
        <f>IF(GetFillColor(G129)=15,SUM(Planning!$DP95:$EQ95),0)</f>
      </c>
      <c r="H129" s="763">
        <f>IF(GetFillColor(H129)=15,SUM(Planning!$ES95:$FT95),0)</f>
      </c>
      <c r="I129" s="763">
        <f>IF(GetFillColor(I129)=15,SUM(Planning!$FV95:$GW95),0)</f>
      </c>
      <c r="J129" s="762">
        <f>IF(GetFillColor(J129)=15,SUM(Planning!$HB95:$IC95),0)</f>
      </c>
      <c r="K129" s="762">
        <f>IF(GetFillColor(K129)=15,SUM(Planning!$IE95:$JF95),0)</f>
      </c>
      <c r="L129" s="762">
        <f>IF(GetFillColor(L129)=15,SUM(Planning!$JH95:$KI95),0)</f>
      </c>
      <c r="M129" s="762">
        <f>IF(GetFillColor(M129)=15,SUM(Planning!$KK95:$LL95),0)</f>
      </c>
      <c r="N129" s="762">
        <f>IF(GetFillColor(N129)=15,SUM(Planning!$LN95:$MO95),0)</f>
      </c>
      <c r="O129" s="763">
        <f>IF(GetFillColor(O129)=15,SUM(Planning!$MQ95:$NR95),0)</f>
      </c>
      <c r="P129" s="763">
        <f>IF(GetFillColor(P129)=15,SUM(Planning!$NT95:$OU95),0)</f>
      </c>
      <c r="Q129" s="762">
        <f>IF(GetFillColor(Q129)=15,SUM(Planning!$OZ95:$QA95),0)</f>
      </c>
      <c r="R129" s="762">
        <f>IF(GetFillColor(R129)=15,SUM(Planning!$QC95:$RD95),0)</f>
      </c>
      <c r="S129" s="762">
        <f>IF(GetFillColor(S129)=15,SUM(Planning!$RF95:$SG95),0)</f>
      </c>
      <c r="T129" s="762">
        <f>IF(GetFillColor(T129)=15,SUM(Planning!$SI95:$TJ95),0)</f>
      </c>
      <c r="U129" s="762">
        <f>IF(GetFillColor(U129)=15,SUM(Planning!$TL95:$UM95),0)</f>
      </c>
      <c r="V129" s="763">
        <f>IF(GetFillColor(V129)=15,SUM(Planning!$UO95:$VP95),0)</f>
      </c>
      <c r="W129" s="763">
        <f>IF(GetFillColor(W129)=15,SUM(Planning!$VR95:$WS95),0)</f>
      </c>
      <c r="X129" s="762">
        <f>IF(GetFillColor(X129)=15,SUM(Planning!$WX95:$XY95),0)</f>
      </c>
      <c r="Y129" s="762">
        <f>IF(GetFillColor(Y129)=15,SUM(Planning!$YA95:$ZB95),0)</f>
      </c>
      <c r="Z129" s="762">
        <f>IF(GetFillColor(Z129)=15,SUM(Planning!$ZD95:$AAE95),0)</f>
      </c>
      <c r="AA129" s="762">
        <f>IF(GetFillColor(AA129)=15,SUM(Planning!$AAG95:$ABH95),0)</f>
      </c>
      <c r="AB129" s="762">
        <f>IF(GetFillColor(AB129)=15,SUM(Planning!$ABJ95:$ACK95),0)</f>
      </c>
      <c r="AC129" s="763">
        <f>IF(GetFillColor(AC129)=15,SUM(Planning!$ACM95:$ADN95),0)</f>
      </c>
      <c r="AD129" s="763">
        <f>IF(GetFillColor(AD129)=15,SUM(Planning!$ADP95:$AEQ95),0)</f>
      </c>
      <c r="AE129" s="762">
        <f>IF(GetFillColor(AE129)=15,SUM(Planning!$AEV95:$AFW95),0)</f>
      </c>
      <c r="AF129" s="762">
        <f>IF(GetFillColor(AF129)=15,SUM(Planning!$AFY95:$AGZ95),0)</f>
      </c>
      <c r="AG129" s="762">
        <f>IF(GetFillColor(AG129)=15,SUM(Planning!$AHB95:$AIC95),0)</f>
      </c>
      <c r="AH129" s="762">
        <f>IF(GetFillColor(AH129)=15,SUM(Planning!$AIE95:$AJF95),0)</f>
      </c>
      <c r="AI129" s="762">
        <f>IF(GetFillColor(AI129)=15,SUM(Planning!$AJH95:$AKI95),0)</f>
      </c>
      <c r="AJ129" s="763">
        <f>IF(GetFillColor(AJ129)=15,SUM(Planning!$AKK95:$ALL95),0)</f>
      </c>
      <c r="AK129" s="760">
        <f>IF(GetFillColor(AK129)=15,SUM(Planning!$ALN95:$AMO95),0)</f>
      </c>
      <c r="AL129" s="698">
        <f>SUM(C129:AK129)</f>
      </c>
      <c r="AM129" s="4"/>
      <c r="AN129" s="4"/>
    </row>
    <row r="130" ht="20.25" customHeight="1" spans="1:40" x14ac:dyDescent="0.25">
      <c r="A130" s="4">
        <f>A42</f>
      </c>
      <c r="B130" s="4"/>
      <c r="C130" s="760">
        <f>IF(GetFillColor(C130)=15,SUM(Planning!$D96:$AE96),0)</f>
      </c>
      <c r="D130" s="760">
        <f>IF(GetFillColor(D130)=15,SUM(Planning!$AG96:$BH96),0)</f>
      </c>
      <c r="E130" s="760">
        <f>IF(GetFillColor(E130)=15,SUM(Planning!$BJ96:$CK96),0)</f>
      </c>
      <c r="F130" s="763">
        <f>IF(GetFillColor(F130)=15,SUM(Planning!$CM96:$DN96),0)</f>
      </c>
      <c r="G130" s="763">
        <f>IF(GetFillColor(G130)=15,SUM(Planning!$DP96:$EQ96),0)</f>
      </c>
      <c r="H130" s="763">
        <f>IF(GetFillColor(H130)=15,SUM(Planning!$ES96:$FT96),0)</f>
      </c>
      <c r="I130" s="763">
        <f>IF(GetFillColor(I130)=15,SUM(Planning!$FV96:$GW96),0)</f>
      </c>
      <c r="J130" s="762">
        <f>IF(GetFillColor(J130)=15,SUM(Planning!$HB96:$IC96),0)</f>
      </c>
      <c r="K130" s="762">
        <f>IF(GetFillColor(K130)=15,SUM(Planning!$IE96:$JF96),0)</f>
      </c>
      <c r="L130" s="762">
        <f>IF(GetFillColor(L130)=15,SUM(Planning!$JH96:$KI96),0)</f>
      </c>
      <c r="M130" s="762">
        <f>IF(GetFillColor(M130)=15,SUM(Planning!$KK96:$LL96),0)</f>
      </c>
      <c r="N130" s="762">
        <f>IF(GetFillColor(N130)=15,SUM(Planning!$LN96:$MO96),0)</f>
      </c>
      <c r="O130" s="763">
        <f>IF(GetFillColor(O130)=15,SUM(Planning!$MQ96:$NR96),0)</f>
      </c>
      <c r="P130" s="763">
        <f>IF(GetFillColor(P130)=15,SUM(Planning!$NT96:$OU96),0)</f>
      </c>
      <c r="Q130" s="762">
        <f>IF(GetFillColor(Q130)=15,SUM(Planning!$OZ96:$QA96),0)</f>
      </c>
      <c r="R130" s="762">
        <f>IF(GetFillColor(R130)=15,SUM(Planning!$QC96:$RD96),0)</f>
      </c>
      <c r="S130" s="762">
        <f>IF(GetFillColor(S130)=15,SUM(Planning!$RF96:$SG96),0)</f>
      </c>
      <c r="T130" s="762">
        <f>IF(GetFillColor(T130)=15,SUM(Planning!$SI96:$TJ96),0)</f>
      </c>
      <c r="U130" s="762">
        <f>IF(GetFillColor(U130)=15,SUM(Planning!$TL96:$UM96),0)</f>
      </c>
      <c r="V130" s="763">
        <f>IF(GetFillColor(V130)=15,SUM(Planning!$UO96:$VP96),0)</f>
      </c>
      <c r="W130" s="763">
        <f>IF(GetFillColor(W130)=15,SUM(Planning!$VR96:$WS96),0)</f>
      </c>
      <c r="X130" s="762">
        <f>IF(GetFillColor(X130)=15,SUM(Planning!$WX96:$XY96),0)</f>
      </c>
      <c r="Y130" s="762">
        <f>IF(GetFillColor(Y130)=15,SUM(Planning!$YA96:$ZB96),0)</f>
      </c>
      <c r="Z130" s="762">
        <f>IF(GetFillColor(Z130)=15,SUM(Planning!$ZD96:$AAE96),0)</f>
      </c>
      <c r="AA130" s="762">
        <f>IF(GetFillColor(AA130)=15,SUM(Planning!$AAG96:$ABH96),0)</f>
      </c>
      <c r="AB130" s="762">
        <f>IF(GetFillColor(AB130)=15,SUM(Planning!$ABJ96:$ACK96),0)</f>
      </c>
      <c r="AC130" s="763">
        <f>IF(GetFillColor(AC130)=15,SUM(Planning!$ACM96:$ADN96),0)</f>
      </c>
      <c r="AD130" s="763">
        <f>IF(GetFillColor(AD130)=15,SUM(Planning!$ADP96:$AEQ96),0)</f>
      </c>
      <c r="AE130" s="762">
        <f>IF(GetFillColor(AE130)=15,SUM(Planning!$AEV96:$AFW96),0)</f>
      </c>
      <c r="AF130" s="762">
        <f>IF(GetFillColor(AF130)=15,SUM(Planning!$AFY96:$AGZ96),0)</f>
      </c>
      <c r="AG130" s="762">
        <f>IF(GetFillColor(AG130)=15,SUM(Planning!$AHB96:$AIC96),0)</f>
      </c>
      <c r="AH130" s="762">
        <f>IF(GetFillColor(AH130)=15,SUM(Planning!$AIE96:$AJF96),0)</f>
      </c>
      <c r="AI130" s="762">
        <f>IF(GetFillColor(AI130)=15,SUM(Planning!$AJH96:$AKI96),0)</f>
      </c>
      <c r="AJ130" s="763">
        <f>IF(GetFillColor(AJ130)=15,SUM(Planning!$AKK96:$ALL96),0)</f>
      </c>
      <c r="AK130" s="760">
        <f>IF(GetFillColor(AK130)=15,SUM(Planning!$ALN96:$AMO96),0)</f>
      </c>
      <c r="AL130" s="698">
        <f>SUM(C130:AK130)</f>
      </c>
      <c r="AM130" s="4"/>
      <c r="AN130" s="4"/>
    </row>
    <row r="131" ht="20.25" customHeight="1" spans="1:40" x14ac:dyDescent="0.25">
      <c r="A131" s="4">
        <f>A43</f>
      </c>
      <c r="B131" s="4"/>
      <c r="C131" s="760">
        <f>IF(GetFillColor(C131)=15,SUM(Planning!$D97:$AE97),0)</f>
      </c>
      <c r="D131" s="760">
        <f>IF(GetFillColor(D131)=15,SUM(Planning!$AG97:$BH97),0)</f>
      </c>
      <c r="E131" s="760">
        <f>IF(GetFillColor(E131)=15,SUM(Planning!$BJ97:$CK97),0)</f>
      </c>
      <c r="F131" s="763">
        <f>IF(GetFillColor(F131)=15,SUM(Planning!$CM97:$DN97),0)</f>
      </c>
      <c r="G131" s="763">
        <f>IF(GetFillColor(G131)=15,SUM(Planning!$DP97:$EQ97),0)</f>
      </c>
      <c r="H131" s="763">
        <f>IF(GetFillColor(H131)=15,SUM(Planning!$ES97:$FT97),0)</f>
      </c>
      <c r="I131" s="763">
        <f>IF(GetFillColor(I131)=15,SUM(Planning!$FV97:$GW97),0)</f>
      </c>
      <c r="J131" s="762">
        <f>IF(GetFillColor(J131)=15,SUM(Planning!$HB97:$IC97),0)</f>
      </c>
      <c r="K131" s="762">
        <f>IF(GetFillColor(K131)=15,SUM(Planning!$IE97:$JF97),0)</f>
      </c>
      <c r="L131" s="762">
        <f>IF(GetFillColor(L131)=15,SUM(Planning!$JH97:$KI97),0)</f>
      </c>
      <c r="M131" s="762">
        <f>IF(GetFillColor(M131)=15,SUM(Planning!$KK97:$LL97),0)</f>
      </c>
      <c r="N131" s="762">
        <f>IF(GetFillColor(N131)=15,SUM(Planning!$LN97:$MO97),0)</f>
      </c>
      <c r="O131" s="763">
        <f>IF(GetFillColor(O131)=15,SUM(Planning!$MQ97:$NR97),0)</f>
      </c>
      <c r="P131" s="763">
        <f>IF(GetFillColor(P131)=15,SUM(Planning!$NT97:$OU97),0)</f>
      </c>
      <c r="Q131" s="762">
        <f>IF(GetFillColor(Q131)=15,SUM(Planning!$OZ97:$QA97),0)</f>
      </c>
      <c r="R131" s="762">
        <f>IF(GetFillColor(R131)=15,SUM(Planning!$QC97:$RD97),0)</f>
      </c>
      <c r="S131" s="762">
        <f>IF(GetFillColor(S131)=15,SUM(Planning!$RF97:$SG97),0)</f>
      </c>
      <c r="T131" s="762">
        <f>IF(GetFillColor(T131)=15,SUM(Planning!$SI97:$TJ97),0)</f>
      </c>
      <c r="U131" s="762">
        <f>IF(GetFillColor(U131)=15,SUM(Planning!$TL97:$UM97),0)</f>
      </c>
      <c r="V131" s="763">
        <f>IF(GetFillColor(V131)=15,SUM(Planning!$UO97:$VP97),0)</f>
      </c>
      <c r="W131" s="763">
        <f>IF(GetFillColor(W131)=15,SUM(Planning!$VR97:$WS97),0)</f>
      </c>
      <c r="X131" s="762">
        <f>IF(GetFillColor(X131)=15,SUM(Planning!$WX97:$XY97),0)</f>
      </c>
      <c r="Y131" s="762">
        <f>IF(GetFillColor(Y131)=15,SUM(Planning!$YA97:$ZB97),0)</f>
      </c>
      <c r="Z131" s="762">
        <f>IF(GetFillColor(Z131)=15,SUM(Planning!$ZD97:$AAE97),0)</f>
      </c>
      <c r="AA131" s="762">
        <f>IF(GetFillColor(AA131)=15,SUM(Planning!$AAG97:$ABH97),0)</f>
      </c>
      <c r="AB131" s="762">
        <f>IF(GetFillColor(AB131)=15,SUM(Planning!$ABJ97:$ACK97),0)</f>
      </c>
      <c r="AC131" s="763">
        <f>IF(GetFillColor(AC131)=15,SUM(Planning!$ACM97:$ADN97),0)</f>
      </c>
      <c r="AD131" s="763">
        <f>IF(GetFillColor(AD131)=15,SUM(Planning!$ADP97:$AEQ97),0)</f>
      </c>
      <c r="AE131" s="762">
        <f>IF(GetFillColor(AE131)=15,SUM(Planning!$AEV97:$AFW97),0)</f>
      </c>
      <c r="AF131" s="762">
        <f>IF(GetFillColor(AF131)=15,SUM(Planning!$AFY97:$AGZ97),0)</f>
      </c>
      <c r="AG131" s="762">
        <f>IF(GetFillColor(AG131)=15,SUM(Planning!$AHB97:$AIC97),0)</f>
      </c>
      <c r="AH131" s="762">
        <f>IF(GetFillColor(AH131)=15,SUM(Planning!$AIE97:$AJF97),0)</f>
      </c>
      <c r="AI131" s="762">
        <f>IF(GetFillColor(AI131)=15,SUM(Planning!$AJH97:$AKI97),0)</f>
      </c>
      <c r="AJ131" s="763">
        <f>IF(GetFillColor(AJ131)=15,SUM(Planning!$AKK97:$ALL97),0)</f>
      </c>
      <c r="AK131" s="760">
        <f>IF(GetFillColor(AK131)=15,SUM(Planning!$ALN97:$AMO97),0)</f>
      </c>
      <c r="AL131" s="698">
        <f>SUM(C131:AK131)</f>
      </c>
      <c r="AM131" s="4"/>
      <c r="AN131" s="4"/>
    </row>
    <row r="132" ht="20.25" customHeight="1" spans="1:40" x14ac:dyDescent="0.25">
      <c r="A132" s="4">
        <f>A44</f>
      </c>
      <c r="B132" s="4"/>
      <c r="C132" s="760">
        <f>IF(GetFillColor(C132)=15,SUM(Planning!$D98:$AE98),0)</f>
      </c>
      <c r="D132" s="760">
        <f>IF(GetFillColor(D132)=15,SUM(Planning!$AG98:$BH98),0)</f>
      </c>
      <c r="E132" s="760">
        <f>IF(GetFillColor(E132)=15,SUM(Planning!$BJ98:$CK98),0)</f>
      </c>
      <c r="F132" s="763">
        <f>IF(GetFillColor(F132)=15,SUM(Planning!$CM98:$DN98),0)</f>
      </c>
      <c r="G132" s="763">
        <f>IF(GetFillColor(G132)=15,SUM(Planning!$DP98:$EQ98),0)</f>
      </c>
      <c r="H132" s="763">
        <f>IF(GetFillColor(H132)=15,SUM(Planning!$ES98:$FT98),0)</f>
      </c>
      <c r="I132" s="763">
        <f>IF(GetFillColor(I132)=15,SUM(Planning!$FV98:$GW98),0)</f>
      </c>
      <c r="J132" s="762">
        <f>IF(GetFillColor(J132)=15,SUM(Planning!$HB98:$IC98),0)</f>
      </c>
      <c r="K132" s="762">
        <f>IF(GetFillColor(K132)=15,SUM(Planning!$IE98:$JF98),0)</f>
      </c>
      <c r="L132" s="762">
        <f>IF(GetFillColor(L132)=15,SUM(Planning!$JH98:$KI98),0)</f>
      </c>
      <c r="M132" s="762">
        <f>IF(GetFillColor(M132)=15,SUM(Planning!$KK98:$LL98),0)</f>
      </c>
      <c r="N132" s="762">
        <f>IF(GetFillColor(N132)=15,SUM(Planning!$LN98:$MO98),0)</f>
      </c>
      <c r="O132" s="763">
        <f>IF(GetFillColor(O132)=15,SUM(Planning!$MQ98:$NR98),0)</f>
      </c>
      <c r="P132" s="763">
        <f>IF(GetFillColor(P132)=15,SUM(Planning!$NT98:$OU98),0)</f>
      </c>
      <c r="Q132" s="762">
        <f>IF(GetFillColor(Q132)=15,SUM(Planning!$OZ98:$QA98),0)</f>
      </c>
      <c r="R132" s="762">
        <f>IF(GetFillColor(R132)=15,SUM(Planning!$QC98:$RD98),0)</f>
      </c>
      <c r="S132" s="762">
        <f>IF(GetFillColor(S132)=15,SUM(Planning!$RF98:$SG98),0)</f>
      </c>
      <c r="T132" s="762">
        <f>IF(GetFillColor(T132)=15,SUM(Planning!$SI98:$TJ98),0)</f>
      </c>
      <c r="U132" s="762">
        <f>IF(GetFillColor(U132)=15,SUM(Planning!$TL98:$UM98),0)</f>
      </c>
      <c r="V132" s="763">
        <f>IF(GetFillColor(V132)=15,SUM(Planning!$UO98:$VP98),0)</f>
      </c>
      <c r="W132" s="763">
        <f>IF(GetFillColor(W132)=15,SUM(Planning!$VR98:$WS98),0)</f>
      </c>
      <c r="X132" s="762">
        <f>IF(GetFillColor(X132)=15,SUM(Planning!$WX98:$XY98),0)</f>
      </c>
      <c r="Y132" s="762">
        <f>IF(GetFillColor(Y132)=15,SUM(Planning!$YA98:$ZB98),0)</f>
      </c>
      <c r="Z132" s="762">
        <f>IF(GetFillColor(Z132)=15,SUM(Planning!$ZD98:$AAE98),0)</f>
      </c>
      <c r="AA132" s="762">
        <f>IF(GetFillColor(AA132)=15,SUM(Planning!$AAG98:$ABH98),0)</f>
      </c>
      <c r="AB132" s="762">
        <f>IF(GetFillColor(AB132)=15,SUM(Planning!$ABJ98:$ACK98),0)</f>
      </c>
      <c r="AC132" s="763">
        <f>IF(GetFillColor(AC132)=15,SUM(Planning!$ACM98:$ADN98),0)</f>
      </c>
      <c r="AD132" s="763">
        <f>IF(GetFillColor(AD132)=15,SUM(Planning!$ADP98:$AEQ98),0)</f>
      </c>
      <c r="AE132" s="762">
        <f>IF(GetFillColor(AE132)=15,SUM(Planning!$AEV98:$AFW98),0)</f>
      </c>
      <c r="AF132" s="762">
        <f>IF(GetFillColor(AF132)=15,SUM(Planning!$AFY98:$AGZ98),0)</f>
      </c>
      <c r="AG132" s="762">
        <f>IF(GetFillColor(AG132)=15,SUM(Planning!$AHB98:$AIC98),0)</f>
      </c>
      <c r="AH132" s="762">
        <f>IF(GetFillColor(AH132)=15,SUM(Planning!$AIE98:$AJF98),0)</f>
      </c>
      <c r="AI132" s="762">
        <f>IF(GetFillColor(AI132)=15,SUM(Planning!$AJH98:$AKI98),0)</f>
      </c>
      <c r="AJ132" s="763">
        <f>IF(GetFillColor(AJ132)=15,SUM(Planning!$AKK98:$ALL98),0)</f>
      </c>
      <c r="AK132" s="760">
        <f>IF(GetFillColor(AK132)=15,SUM(Planning!$ALN98:$AMO98),0)</f>
      </c>
      <c r="AL132" s="698">
        <f>SUM(C132:AK132)</f>
      </c>
      <c r="AM132" s="4"/>
      <c r="AN132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11" priority="9164">
      <formula>NOT(ISERROR(SEARCH("Session",AD1)))</formula>
    </cfRule>
    <cfRule type="containsText" dxfId="4812" priority="9165">
      <formula>NOT(ISERROR(SEARCH("Pre",AD1)))</formula>
    </cfRule>
    <cfRule type="containsText" dxfId="4813" priority="9166">
      <formula>NOT(ISERROR(SEARCH("Normal",AD1)))</formula>
    </cfRule>
  </conditionalFormatting>
  <conditionalFormatting sqref="C1:G1 J1:N1 Q1:U1 X1:AB1 AE1:AK1">
    <cfRule type="cellIs" dxfId="4814" priority="9148" operator="equal">
      <formula>"Session"</formula>
    </cfRule>
  </conditionalFormatting>
  <conditionalFormatting sqref="C48:E88 J4:N26 J27:J44 J48:N88 K27:M31 N27:N44 Q4:U26 Q27:S31 Q48:U88 T27:U44 X4:AB26 X27:Y34 X35:X44 X48:AB88 Y35 Z27:AB44 AE4:AI44 AE48:AI88 AK48:AK88">
    <cfRule type="cellIs" dxfId="4815" priority="961" operator="equal">
      <formula>0</formula>
    </cfRule>
    <cfRule type="cellIs" dxfId="4816" priority="962" operator="greaterThan">
      <formula>0</formula>
    </cfRule>
  </conditionalFormatting>
  <conditionalFormatting sqref="C92:AK99 C100:G113 C114:AK132 H100:AG111 H112:AE113 Z100:AK113">
    <cfRule type="cellIs" dxfId="4817" priority="866" operator="greaterThan">
      <formula>0</formula>
    </cfRule>
    <cfRule type="cellIs" dxfId="4818" priority="865" operator="equal">
      <formula>0</formula>
    </cfRule>
  </conditionalFormatting>
  <conditionalFormatting sqref="K32:M32">
    <cfRule type="cellIs" dxfId="4819" priority="635" operator="equal">
      <formula>0</formula>
    </cfRule>
    <cfRule type="cellIs" dxfId="4820" priority="636" operator="greaterThan">
      <formula>0</formula>
    </cfRule>
  </conditionalFormatting>
  <conditionalFormatting sqref="Q32:S32">
    <cfRule type="cellIs" dxfId="4821" priority="633" operator="equal">
      <formula>0</formula>
    </cfRule>
    <cfRule type="cellIs" dxfId="4822" priority="634" operator="greaterThan">
      <formula>0</formula>
    </cfRule>
  </conditionalFormatting>
  <conditionalFormatting sqref="K33:M33">
    <cfRule type="cellIs" dxfId="4823" priority="627" operator="equal">
      <formula>0</formula>
    </cfRule>
    <cfRule type="cellIs" dxfId="4824" priority="628" operator="greaterThan">
      <formula>0</formula>
    </cfRule>
  </conditionalFormatting>
  <conditionalFormatting sqref="Q33:S33">
    <cfRule type="cellIs" dxfId="4825" priority="625" operator="equal">
      <formula>0</formula>
    </cfRule>
    <cfRule type="cellIs" dxfId="4826" priority="626" operator="greaterThan">
      <formula>0</formula>
    </cfRule>
  </conditionalFormatting>
  <conditionalFormatting sqref="K35:M35">
    <cfRule type="cellIs" dxfId="4827" priority="619" operator="equal">
      <formula>0</formula>
    </cfRule>
    <cfRule type="cellIs" dxfId="4828" priority="620" operator="greaterThan">
      <formula>0</formula>
    </cfRule>
  </conditionalFormatting>
  <conditionalFormatting sqref="Q35:S35">
    <cfRule type="cellIs" dxfId="4829" priority="617" operator="equal">
      <formula>0</formula>
    </cfRule>
    <cfRule type="cellIs" dxfId="4830" priority="618" operator="greaterThan">
      <formula>0</formula>
    </cfRule>
  </conditionalFormatting>
  <conditionalFormatting sqref="K36:M36">
    <cfRule type="cellIs" dxfId="4831" priority="603" operator="equal">
      <formula>0</formula>
    </cfRule>
    <cfRule type="cellIs" dxfId="4832" priority="604" operator="greaterThan">
      <formula>0</formula>
    </cfRule>
  </conditionalFormatting>
  <conditionalFormatting sqref="Q36:S36">
    <cfRule type="cellIs" dxfId="4833" priority="601" operator="equal">
      <formula>0</formula>
    </cfRule>
    <cfRule type="cellIs" dxfId="4834" priority="602" operator="greaterThan">
      <formula>0</formula>
    </cfRule>
  </conditionalFormatting>
  <conditionalFormatting sqref="K44:M44">
    <cfRule type="cellIs" dxfId="4835" priority="579" operator="equal">
      <formula>0</formula>
    </cfRule>
    <cfRule type="cellIs" dxfId="4836" priority="580" operator="greaterThan">
      <formula>0</formula>
    </cfRule>
  </conditionalFormatting>
  <conditionalFormatting sqref="R44:S44">
    <cfRule type="cellIs" dxfId="4837" priority="577" operator="equal">
      <formula>0</formula>
    </cfRule>
    <cfRule type="cellIs" dxfId="4838" priority="578" operator="greaterThan">
      <formula>0</formula>
    </cfRule>
  </conditionalFormatting>
  <conditionalFormatting sqref="Y36:Y44">
    <cfRule type="cellIs" dxfId="4839" priority="399" operator="equal">
      <formula>0</formula>
    </cfRule>
    <cfRule type="cellIs" dxfId="4840" priority="400" operator="greaterThan">
      <formula>0</formula>
    </cfRule>
  </conditionalFormatting>
  <conditionalFormatting sqref="Q43:Q44">
    <cfRule type="cellIs" dxfId="4841" priority="111" operator="equal">
      <formula>0</formula>
    </cfRule>
    <cfRule type="cellIs" dxfId="4842" priority="112" operator="greaterThan">
      <formula>0</formula>
    </cfRule>
  </conditionalFormatting>
  <conditionalFormatting sqref="K43:M43">
    <cfRule type="cellIs" dxfId="4843" priority="27" operator="equal">
      <formula>0</formula>
    </cfRule>
    <cfRule type="cellIs" dxfId="4844" priority="28" operator="greaterThan">
      <formula>0</formula>
    </cfRule>
  </conditionalFormatting>
  <conditionalFormatting sqref="R43:S43">
    <cfRule type="cellIs" dxfId="4845" priority="25" operator="equal">
      <formula>0</formula>
    </cfRule>
    <cfRule type="cellIs" dxfId="4846" priority="26" operator="greaterThan">
      <formula>0</formula>
    </cfRule>
  </conditionalFormatting>
  <conditionalFormatting sqref="K37:M38">
    <cfRule type="cellIs" dxfId="4847" priority="23" operator="equal">
      <formula>0</formula>
    </cfRule>
    <cfRule type="cellIs" dxfId="4848" priority="24" operator="greaterThan">
      <formula>0</formula>
    </cfRule>
  </conditionalFormatting>
  <conditionalFormatting sqref="Q37:S38">
    <cfRule type="cellIs" dxfId="4849" priority="21" operator="equal">
      <formula>0</formula>
    </cfRule>
    <cfRule type="cellIs" dxfId="4850" priority="22" operator="greaterThan">
      <formula>0</formula>
    </cfRule>
  </conditionalFormatting>
  <conditionalFormatting sqref="K34:M34">
    <cfRule type="cellIs" dxfId="4851" priority="11" operator="equal">
      <formula>0</formula>
    </cfRule>
    <cfRule type="cellIs" dxfId="4852" priority="12" operator="greaterThan">
      <formula>0</formula>
    </cfRule>
  </conditionalFormatting>
  <conditionalFormatting sqref="Q34:S34">
    <cfRule type="cellIs" dxfId="4853" priority="9" operator="equal">
      <formula>0</formula>
    </cfRule>
    <cfRule type="cellIs" dxfId="4854" priority="10" operator="greaterThan">
      <formula>0</formula>
    </cfRule>
  </conditionalFormatting>
  <conditionalFormatting sqref="K39:M39">
    <cfRule type="cellIs" dxfId="4855" priority="7" operator="equal">
      <formula>0</formula>
    </cfRule>
    <cfRule type="cellIs" dxfId="4856" priority="8" operator="greaterThan">
      <formula>0</formula>
    </cfRule>
  </conditionalFormatting>
  <conditionalFormatting sqref="Q39:S39">
    <cfRule type="cellIs" dxfId="4857" priority="5" operator="equal">
      <formula>0</formula>
    </cfRule>
    <cfRule type="cellIs" dxfId="4858" priority="6" operator="greaterThan">
      <formula>0</formula>
    </cfRule>
  </conditionalFormatting>
  <conditionalFormatting sqref="K40:M42">
    <cfRule type="cellIs" dxfId="4859" priority="3" operator="equal">
      <formula>0</formula>
    </cfRule>
    <cfRule type="cellIs" dxfId="4860" priority="4" operator="greaterThan">
      <formula>0</formula>
    </cfRule>
  </conditionalFormatting>
  <conditionalFormatting sqref="Q40:S42">
    <cfRule type="cellIs" dxfId="4861" priority="1" operator="equal">
      <formula>0</formula>
    </cfRule>
    <cfRule type="cellIs" dxfId="4862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EB8FA"/>
    <outlinePr summaryBelow="1" summaryRight="1"/>
  </sheetPr>
  <dimension ref="A1:AN45"/>
  <sheetViews>
    <sheetView workbookViewId="0" showGridLines="0" zoomScale="80" zoomScaleNormal="80">
      <pane xSplit="1" ySplit="2" topLeftCell="B2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52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54" customFormat="1" x14ac:dyDescent="0.25">
      <c r="A2" s="755" t="s">
        <v>245</v>
      </c>
      <c r="B2" s="756"/>
      <c r="C2" s="757">
        <f>Config!D3</f>
      </c>
      <c r="D2" s="757">
        <f>Config!D4</f>
      </c>
      <c r="E2" s="757">
        <f>Config!D5</f>
      </c>
      <c r="F2" s="757">
        <f>Config!D6</f>
      </c>
      <c r="G2" s="757">
        <f>Config!D7</f>
      </c>
      <c r="H2" s="757">
        <f>Config!D8</f>
      </c>
      <c r="I2" s="757">
        <f>Config!D9</f>
      </c>
      <c r="J2" s="757">
        <f>Config!D10</f>
      </c>
      <c r="K2" s="757">
        <f>Config!D11</f>
      </c>
      <c r="L2" s="757">
        <f>Config!D12</f>
      </c>
      <c r="M2" s="757">
        <f>Config!D13</f>
      </c>
      <c r="N2" s="757">
        <f>Config!D14</f>
      </c>
      <c r="O2" s="757">
        <f>Config!D15</f>
      </c>
      <c r="P2" s="757">
        <f>Config!D16</f>
      </c>
      <c r="Q2" s="757">
        <f>Config!D17</f>
      </c>
      <c r="R2" s="757">
        <f>Config!D18</f>
      </c>
      <c r="S2" s="757">
        <f>Config!D19</f>
      </c>
      <c r="T2" s="757">
        <f>Config!D20</f>
      </c>
      <c r="U2" s="757">
        <f>Config!D21</f>
      </c>
      <c r="V2" s="757">
        <f>Config!D22</f>
      </c>
      <c r="W2" s="757">
        <f>Config!D23</f>
      </c>
      <c r="X2" s="757">
        <f>Config!D24</f>
      </c>
      <c r="Y2" s="757">
        <f>Config!D25</f>
      </c>
      <c r="Z2" s="757">
        <f>Config!D26</f>
      </c>
      <c r="AA2" s="757">
        <f>Config!D27</f>
      </c>
      <c r="AB2" s="757">
        <f>Config!D28</f>
      </c>
      <c r="AC2" s="757">
        <f>Config!D29</f>
      </c>
      <c r="AD2" s="757">
        <f>Config!D30</f>
      </c>
      <c r="AE2" s="757">
        <f>Config!D31</f>
      </c>
      <c r="AF2" s="757">
        <f>Config!D32</f>
      </c>
      <c r="AG2" s="757">
        <f>Config!D33</f>
      </c>
      <c r="AH2" s="757">
        <f>Config!D34</f>
      </c>
      <c r="AI2" s="757">
        <f>Config!D35</f>
      </c>
      <c r="AJ2" s="757">
        <f>Config!D36</f>
      </c>
      <c r="AK2" s="757">
        <f>Config!D37</f>
      </c>
      <c r="AL2" s="758" t="s">
        <v>236</v>
      </c>
      <c r="AM2" s="4"/>
      <c r="AN2" s="4"/>
    </row>
    <row r="3" ht="10.5" customHeight="1" spans="1:40" s="754" customFormat="1" x14ac:dyDescent="0.25">
      <c r="A3" s="756"/>
      <c r="B3" s="756"/>
      <c r="C3" s="759"/>
      <c r="D3" s="759"/>
      <c r="E3" s="759"/>
      <c r="F3" s="759"/>
      <c r="G3" s="759"/>
      <c r="H3" s="759"/>
      <c r="I3" s="759"/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759"/>
      <c r="X3" s="759"/>
      <c r="Y3" s="759"/>
      <c r="Z3" s="759"/>
      <c r="AA3" s="759"/>
      <c r="AB3" s="759"/>
      <c r="AC3" s="759"/>
      <c r="AD3" s="759"/>
      <c r="AE3" s="759"/>
      <c r="AF3" s="759"/>
      <c r="AG3" s="759"/>
      <c r="AH3" s="759"/>
      <c r="AI3" s="757"/>
      <c r="AJ3" s="757"/>
      <c r="AK3" s="757"/>
      <c r="AL3" s="758"/>
      <c r="AM3" s="4"/>
      <c r="AN3" s="4"/>
    </row>
    <row r="4" ht="20.25" customHeight="1" spans="1:40" x14ac:dyDescent="0.25">
      <c r="A4" s="4">
        <f>Planning!B104</f>
      </c>
      <c r="B4" s="4"/>
      <c r="C4" s="760">
        <f>IF(GetFillColor(C4)&lt;0,SUM(Planning!$F104:$AC104),0)</f>
      </c>
      <c r="D4" s="760">
        <f>IF(GetFillColor(D4)&lt;0,SUM(Planning!$AI104:$BF104),0)</f>
      </c>
      <c r="E4" s="760">
        <f>IF(GetFillColor(E4)&lt;0,SUM(Planning!$BL104:$CI104),0)</f>
      </c>
      <c r="F4" s="761">
        <f>IF(GetFillColor(F4)&lt;0,SUM(Planning!$CO104:$DL104),0)</f>
      </c>
      <c r="G4" s="761">
        <f>IF(GetFillColor(G4)&lt;0,SUM(Planning!$DR104:$EO104),0)</f>
      </c>
      <c r="H4" s="761">
        <v>0</v>
      </c>
      <c r="I4" s="761">
        <v>0</v>
      </c>
      <c r="J4" s="762">
        <f>IF(GetFillColor(J4)&lt;0,SUM(Planning!$HD104:$IA104),0)</f>
      </c>
      <c r="K4" s="762">
        <f>IF(GetFillColor(K4)&lt;0,SUM(Planning!$IG104:$JD104),0)</f>
      </c>
      <c r="L4" s="762">
        <f>IF(GetFillColor(L4)&lt;0,SUM(Planning!$JJ104:$KG104),0)</f>
      </c>
      <c r="M4" s="762">
        <f>IF(GetFillColor(M4)&lt;0,SUM(Planning!$KM104:$LJ104),0)</f>
      </c>
      <c r="N4" s="762">
        <f>IF(GetFillColor(N4)&lt;0,SUM(Planning!$LP104:$MM104),0)</f>
      </c>
      <c r="O4" s="761">
        <v>0</v>
      </c>
      <c r="P4" s="761">
        <v>0</v>
      </c>
      <c r="Q4" s="762">
        <f>IF(GetFillColor(Q4)&lt;0,SUM(Planning!$PB104:$PY104),0)</f>
      </c>
      <c r="R4" s="762">
        <f>IF(GetFillColor(R4)&lt;0,SUM(Planning!$QE104:$RB104),0)</f>
      </c>
      <c r="S4" s="762">
        <f>IF(GetFillColor(S4)&lt;0,SUM(Planning!$RH104:$SE104),0)</f>
      </c>
      <c r="T4" s="762">
        <f>IF(GetFillColor(T4)&lt;0,SUM(Planning!$SK104:$TH104),0)</f>
      </c>
      <c r="U4" s="762">
        <f>IF(GetFillColor(U4)&lt;0,SUM(Planning!$TN104:$UK104),0)</f>
      </c>
      <c r="V4" s="761">
        <v>0</v>
      </c>
      <c r="W4" s="761">
        <v>0</v>
      </c>
      <c r="X4" s="762">
        <f>IF(GetFillColor(X4)&lt;0,SUM(Planning!$WZ104:$XW104),0)</f>
      </c>
      <c r="Y4" s="762">
        <f>IF(GetFillColor(Y4)&lt;0,SUM(Planning!$YC104:$YZ104),0)</f>
      </c>
      <c r="Z4" s="762">
        <f>IF(GetFillColor(Z4)&lt;0,SUM(Planning!$ZF104:$AAC104),0)</f>
      </c>
      <c r="AA4" s="762">
        <f>IF(GetFillColor(AA4)&lt;0,SUM(Planning!$AAI104:$ABF104),0)</f>
      </c>
      <c r="AB4" s="762">
        <f>IF(GetFillColor(AB4)&lt;0,SUM(Planning!$ABL104:$ACI104),0)</f>
      </c>
      <c r="AC4" s="761">
        <v>0</v>
      </c>
      <c r="AD4" s="761">
        <v>0</v>
      </c>
      <c r="AE4" s="762">
        <f>IF(GetFillColor(AE4)&lt;0,SUM(Planning!$AEX104:$AFU104),0)</f>
      </c>
      <c r="AF4" s="762">
        <f>IF(GetFillColor(AF4)&lt;0,SUM(Planning!$AGA104:$AGX104),0)</f>
      </c>
      <c r="AG4" s="762">
        <f>IF(GetFillColor(AG4)&lt;0,SUM(Planning!$AHD104:$AIA104),0)</f>
      </c>
      <c r="AH4" s="762">
        <f>IF(GetFillColor(AH4)&lt;0,SUM(Planning!$AIG104:$AJD104),0)</f>
      </c>
      <c r="AI4" s="762">
        <f>IF(GetFillColor(AI4)&lt;0,SUM(Planning!$AJJ104:$AKG104),0)</f>
      </c>
      <c r="AJ4" s="761">
        <v>0</v>
      </c>
      <c r="AK4" s="760">
        <v>0</v>
      </c>
      <c r="AL4" s="698">
        <f>SUM(C4:AK4)</f>
      </c>
      <c r="AM4" s="4"/>
      <c r="AN4" s="4"/>
    </row>
    <row r="5" ht="20.25" customHeight="1" spans="1:40" x14ac:dyDescent="0.25">
      <c r="A5" s="4">
        <f>Planning!B105</f>
      </c>
      <c r="B5" s="4"/>
      <c r="C5" s="760">
        <f>IF(GetFillColor(C5)&lt;0,SUM(Planning!$F105:$AC105),0)</f>
      </c>
      <c r="D5" s="760">
        <f>IF(GetFillColor(D5)&lt;0,SUM(Planning!$AI105:$BF105),0)</f>
      </c>
      <c r="E5" s="760">
        <f>IF(GetFillColor(E5)&lt;0,SUM(Planning!$BL105:$CI105),0)</f>
      </c>
      <c r="F5" s="761">
        <f>IF(GetFillColor(F5)&lt;0,SUM(Planning!$CO105:$DL105),0)</f>
      </c>
      <c r="G5" s="761">
        <f>IF(GetFillColor(G5)&lt;0,SUM(Planning!$DR105:$EO105),0)</f>
      </c>
      <c r="H5" s="761">
        <v>0</v>
      </c>
      <c r="I5" s="761">
        <v>0</v>
      </c>
      <c r="J5" s="762">
        <f>IF(GetFillColor(J5)&lt;0,SUM(Planning!$HD105:$IA105),0)</f>
      </c>
      <c r="K5" s="762">
        <f>IF(GetFillColor(K5)&lt;0,SUM(Planning!$IG105:$JD105),0)</f>
      </c>
      <c r="L5" s="762">
        <f>IF(GetFillColor(L5)&lt;0,SUM(Planning!$JJ105:$KG105),0)</f>
      </c>
      <c r="M5" s="762">
        <f>IF(GetFillColor(M5)&lt;0,SUM(Planning!$KM105:$LJ105),0)</f>
      </c>
      <c r="N5" s="762">
        <f>IF(GetFillColor(N5)&lt;0,SUM(Planning!$LP105:$MM105),0)</f>
      </c>
      <c r="O5" s="761">
        <v>0</v>
      </c>
      <c r="P5" s="761">
        <v>0</v>
      </c>
      <c r="Q5" s="762">
        <f>IF(GetFillColor(Q5)&lt;0,SUM(Planning!$PB105:$PY105),0)</f>
      </c>
      <c r="R5" s="762">
        <f>IF(GetFillColor(R5)&lt;0,SUM(Planning!$QE105:$RB105),0)</f>
      </c>
      <c r="S5" s="762">
        <f>IF(GetFillColor(S5)&lt;0,SUM(Planning!$RH105:$SE105),0)</f>
      </c>
      <c r="T5" s="762">
        <f>IF(GetFillColor(T5)&lt;0,SUM(Planning!$SK105:$TH105),0)</f>
      </c>
      <c r="U5" s="762">
        <f>IF(GetFillColor(U5)&lt;0,SUM(Planning!$TN105:$UK105),0)</f>
      </c>
      <c r="V5" s="761">
        <v>0</v>
      </c>
      <c r="W5" s="761">
        <v>0</v>
      </c>
      <c r="X5" s="762">
        <f>IF(GetFillColor(X5)&lt;0,SUM(Planning!$WZ105:$XW105),0)</f>
      </c>
      <c r="Y5" s="762">
        <f>IF(GetFillColor(Y5)&lt;0,SUM(Planning!$YC105:$YZ105),0)</f>
      </c>
      <c r="Z5" s="762">
        <f>IF(GetFillColor(Z5)&lt;0,SUM(Planning!$ZF105:$AAC105),0)</f>
      </c>
      <c r="AA5" s="762">
        <f>IF(GetFillColor(AA5)&lt;0,SUM(Planning!$AAI105:$ABF105),0)</f>
      </c>
      <c r="AB5" s="762">
        <f>IF(GetFillColor(AB5)&lt;0,SUM(Planning!$ABL105:$ACI105),0)</f>
      </c>
      <c r="AC5" s="761">
        <v>0</v>
      </c>
      <c r="AD5" s="761">
        <v>0</v>
      </c>
      <c r="AE5" s="762">
        <f>IF(GetFillColor(AE5)&lt;0,SUM(Planning!$AEX105:$AFU105),0)</f>
      </c>
      <c r="AF5" s="762">
        <f>IF(GetFillColor(AF5)&lt;0,SUM(Planning!$AGA105:$AGX105),0)</f>
      </c>
      <c r="AG5" s="762">
        <f>IF(GetFillColor(AG5)&lt;0,SUM(Planning!$AHD105:$AIA105),0)</f>
      </c>
      <c r="AH5" s="762">
        <f>IF(GetFillColor(AH5)&lt;0,SUM(Planning!$AIG105:$AJD105),0)</f>
      </c>
      <c r="AI5" s="762">
        <f>IF(GetFillColor(AI5)&lt;0,SUM(Planning!$AJJ105:$AKG105),0)</f>
      </c>
      <c r="AJ5" s="761">
        <v>0</v>
      </c>
      <c r="AK5" s="760">
        <v>0</v>
      </c>
      <c r="AL5" s="698">
        <f>SUM(C5:AK5)</f>
      </c>
      <c r="AM5" s="4"/>
      <c r="AN5" s="4"/>
    </row>
    <row r="6" ht="20.25" customHeight="1" spans="1:40" x14ac:dyDescent="0.25">
      <c r="A6" s="4">
        <f>Planning!B106</f>
      </c>
      <c r="B6" s="4"/>
      <c r="C6" s="760">
        <f>IF(GetFillColor(C6)&lt;0,SUM(Planning!$F106:$AC106),0)</f>
      </c>
      <c r="D6" s="760">
        <f>IF(GetFillColor(D6)&lt;0,SUM(Planning!$AI106:$BF106),0)</f>
      </c>
      <c r="E6" s="760">
        <f>IF(GetFillColor(E6)&lt;0,SUM(Planning!$BL106:$CI106),0)</f>
      </c>
      <c r="F6" s="761">
        <f>IF(GetFillColor(F6)&lt;0,SUM(Planning!$CO106:$DL106),0)</f>
      </c>
      <c r="G6" s="761">
        <f>IF(GetFillColor(G6)&lt;0,SUM(Planning!$DR106:$EO106),0)</f>
      </c>
      <c r="H6" s="761">
        <v>0</v>
      </c>
      <c r="I6" s="761">
        <v>0</v>
      </c>
      <c r="J6" s="762">
        <f>IF(GetFillColor(J6)&lt;0,SUM(Planning!$HD106:$IA106),0)</f>
      </c>
      <c r="K6" s="762">
        <f>IF(GetFillColor(K6)&lt;0,SUM(Planning!$IG106:$JD106),0)</f>
      </c>
      <c r="L6" s="762">
        <f>IF(GetFillColor(L6)&lt;0,SUM(Planning!$JJ106:$KG106),0)</f>
      </c>
      <c r="M6" s="762">
        <f>IF(GetFillColor(M6)&lt;0,SUM(Planning!$KM106:$LJ106),0)</f>
      </c>
      <c r="N6" s="762">
        <f>IF(GetFillColor(N6)&lt;0,SUM(Planning!$LP106:$MM106),0)</f>
      </c>
      <c r="O6" s="761">
        <v>0</v>
      </c>
      <c r="P6" s="761">
        <v>0</v>
      </c>
      <c r="Q6" s="762">
        <f>IF(GetFillColor(Q6)&lt;0,SUM(Planning!$PB106:$PY106),0)</f>
      </c>
      <c r="R6" s="762">
        <f>IF(GetFillColor(R6)&lt;0,SUM(Planning!$QE106:$RB106),0)</f>
      </c>
      <c r="S6" s="762">
        <f>IF(GetFillColor(S6)&lt;0,SUM(Planning!$RH106:$SE106),0)</f>
      </c>
      <c r="T6" s="762">
        <f>IF(GetFillColor(T6)&lt;0,SUM(Planning!$SK106:$TH106),0)</f>
      </c>
      <c r="U6" s="762">
        <f>IF(GetFillColor(U6)&lt;0,SUM(Planning!$TN106:$UK106),0)</f>
      </c>
      <c r="V6" s="761">
        <v>0</v>
      </c>
      <c r="W6" s="761">
        <v>0</v>
      </c>
      <c r="X6" s="762">
        <f>IF(GetFillColor(X6)&lt;0,SUM(Planning!$WZ106:$XW106),0)</f>
      </c>
      <c r="Y6" s="762">
        <f>IF(GetFillColor(Y6)&lt;0,SUM(Planning!$YC106:$YZ106),0)</f>
      </c>
      <c r="Z6" s="762">
        <f>IF(GetFillColor(Z6)&lt;0,SUM(Planning!$ZF106:$AAC106),0)</f>
      </c>
      <c r="AA6" s="762">
        <f>IF(GetFillColor(AA6)&lt;0,SUM(Planning!$AAI106:$ABF106),0)</f>
      </c>
      <c r="AB6" s="762">
        <f>IF(GetFillColor(AB6)&lt;0,SUM(Planning!$ABL106:$ACI106),0)</f>
      </c>
      <c r="AC6" s="761">
        <v>0</v>
      </c>
      <c r="AD6" s="761">
        <v>0</v>
      </c>
      <c r="AE6" s="762">
        <f>IF(GetFillColor(AE6)&lt;0,SUM(Planning!$AEX106:$AFU106),0)</f>
      </c>
      <c r="AF6" s="762">
        <f>IF(GetFillColor(AF6)&lt;0,SUM(Planning!$AGA106:$AGX106),0)</f>
      </c>
      <c r="AG6" s="762">
        <f>IF(GetFillColor(AG6)&lt;0,SUM(Planning!$AHD106:$AIA106),0)</f>
      </c>
      <c r="AH6" s="762">
        <f>IF(GetFillColor(AH6)&lt;0,SUM(Planning!$AIG106:$AJD106),0)</f>
      </c>
      <c r="AI6" s="762">
        <f>IF(GetFillColor(AI6)&lt;0,SUM(Planning!$AJJ106:$AKG106),0)</f>
      </c>
      <c r="AJ6" s="761">
        <v>0</v>
      </c>
      <c r="AK6" s="760">
        <v>0</v>
      </c>
      <c r="AL6" s="698">
        <f>SUM(C6:AK6)</f>
      </c>
      <c r="AM6" s="4"/>
      <c r="AN6" s="4"/>
    </row>
    <row r="7" ht="20.25" customHeight="1" spans="1:40" x14ac:dyDescent="0.25">
      <c r="A7" s="4">
        <f>Planning!B107</f>
      </c>
      <c r="B7" s="4"/>
      <c r="C7" s="760">
        <f>IF(GetFillColor(C7)&lt;0,SUM(Planning!$F107:$AC107),0)</f>
      </c>
      <c r="D7" s="760">
        <f>IF(GetFillColor(D7)&lt;0,SUM(Planning!$AI107:$BF107),0)</f>
      </c>
      <c r="E7" s="760">
        <f>IF(GetFillColor(E7)&lt;0,SUM(Planning!$BL107:$CI107),0)</f>
      </c>
      <c r="F7" s="761">
        <f>IF(GetFillColor(F7)&lt;0,SUM(Planning!$CO107:$DL107),0)</f>
      </c>
      <c r="G7" s="761">
        <f>IF(GetFillColor(G7)&lt;0,SUM(Planning!$DR107:$EO107),0)</f>
      </c>
      <c r="H7" s="761">
        <v>0</v>
      </c>
      <c r="I7" s="761">
        <v>0</v>
      </c>
      <c r="J7" s="762">
        <f>IF(GetFillColor(J7)&lt;0,SUM(Planning!$HD107:$IA107),0)</f>
      </c>
      <c r="K7" s="762">
        <f>IF(GetFillColor(K7)&lt;0,SUM(Planning!$IG107:$JD107),0)</f>
      </c>
      <c r="L7" s="762">
        <f>IF(GetFillColor(L7)&lt;0,SUM(Planning!$JJ107:$KG107),0)</f>
      </c>
      <c r="M7" s="762">
        <f>IF(GetFillColor(M7)&lt;0,SUM(Planning!$KM107:$LJ107),0)</f>
      </c>
      <c r="N7" s="762">
        <f>IF(GetFillColor(N7)&lt;0,SUM(Planning!$LP107:$MM107),0)</f>
      </c>
      <c r="O7" s="761">
        <v>0</v>
      </c>
      <c r="P7" s="761">
        <v>0</v>
      </c>
      <c r="Q7" s="762">
        <f>IF(GetFillColor(Q7)&lt;0,SUM(Planning!$PB107:$PY107),0)</f>
      </c>
      <c r="R7" s="762">
        <f>IF(GetFillColor(R7)&lt;0,SUM(Planning!$QE107:$RB107),0)</f>
      </c>
      <c r="S7" s="762">
        <f>IF(GetFillColor(S7)&lt;0,SUM(Planning!$RH107:$SE107),0)</f>
      </c>
      <c r="T7" s="762">
        <f>IF(GetFillColor(T7)&lt;0,SUM(Planning!$SK107:$TH107),0)</f>
      </c>
      <c r="U7" s="762">
        <f>IF(GetFillColor(U7)&lt;0,SUM(Planning!$TN107:$UK107),0)</f>
      </c>
      <c r="V7" s="761">
        <v>0</v>
      </c>
      <c r="W7" s="761">
        <v>0</v>
      </c>
      <c r="X7" s="762">
        <f>IF(GetFillColor(X7)&lt;0,SUM(Planning!$WZ107:$XW107),0)</f>
      </c>
      <c r="Y7" s="762">
        <f>IF(GetFillColor(Y7)&lt;0,SUM(Planning!$YC107:$YZ107),0)</f>
      </c>
      <c r="Z7" s="762">
        <f>IF(GetFillColor(Z7)&lt;0,SUM(Planning!$ZF107:$AAC107),0)</f>
      </c>
      <c r="AA7" s="762">
        <f>IF(GetFillColor(AA7)&lt;0,SUM(Planning!$AAI107:$ABF107),0)</f>
      </c>
      <c r="AB7" s="762">
        <f>IF(GetFillColor(AB7)&lt;0,SUM(Planning!$ABL107:$ACI107),0)</f>
      </c>
      <c r="AC7" s="761">
        <v>0</v>
      </c>
      <c r="AD7" s="761">
        <v>0</v>
      </c>
      <c r="AE7" s="762">
        <f>IF(GetFillColor(AE7)&lt;0,SUM(Planning!$AEX107:$AFU107),0)</f>
      </c>
      <c r="AF7" s="762">
        <f>IF(GetFillColor(AF7)&lt;0,SUM(Planning!$AGA107:$AGX107),0)</f>
      </c>
      <c r="AG7" s="762">
        <f>IF(GetFillColor(AG7)&lt;0,SUM(Planning!$AHD107:$AIA107),0)</f>
      </c>
      <c r="AH7" s="762">
        <f>IF(GetFillColor(AH7)&lt;0,SUM(Planning!$AIG107:$AJD107),0)</f>
      </c>
      <c r="AI7" s="762">
        <f>IF(GetFillColor(AI7)&lt;0,SUM(Planning!$AJJ107:$AKG107),0)</f>
      </c>
      <c r="AJ7" s="761">
        <v>0</v>
      </c>
      <c r="AK7" s="760">
        <v>0</v>
      </c>
      <c r="AL7" s="698">
        <f>SUM(C7:AK7)</f>
      </c>
      <c r="AM7" s="4"/>
      <c r="AN7" s="4"/>
    </row>
    <row r="8" ht="20.25" customHeight="1" spans="1:40" x14ac:dyDescent="0.25">
      <c r="A8" s="4">
        <f>Planning!B108</f>
      </c>
      <c r="B8" s="4"/>
      <c r="C8" s="760">
        <f>IF(GetFillColor(C8)&lt;0,SUM(Planning!$F108:$AC108),0)</f>
      </c>
      <c r="D8" s="760">
        <f>IF(GetFillColor(D8)&lt;0,SUM(Planning!$AI108:$BF108),0)</f>
      </c>
      <c r="E8" s="760">
        <f>IF(GetFillColor(E8)&lt;0,SUM(Planning!$BL108:$CI108),0)</f>
      </c>
      <c r="F8" s="761">
        <f>IF(GetFillColor(F8)&lt;0,SUM(Planning!$CO108:$DL108),0)</f>
      </c>
      <c r="G8" s="761">
        <f>IF(GetFillColor(G8)&lt;0,SUM(Planning!$DR108:$EO108),0)</f>
      </c>
      <c r="H8" s="761">
        <v>0</v>
      </c>
      <c r="I8" s="761">
        <v>0</v>
      </c>
      <c r="J8" s="762">
        <f>IF(GetFillColor(J8)&lt;0,SUM(Planning!$HD108:$IA108),0)</f>
      </c>
      <c r="K8" s="762">
        <f>IF(GetFillColor(K8)&lt;0,SUM(Planning!$IG108:$JD108),0)</f>
      </c>
      <c r="L8" s="762">
        <f>IF(GetFillColor(L8)&lt;0,SUM(Planning!$JJ108:$KG108),0)</f>
      </c>
      <c r="M8" s="762">
        <f>IF(GetFillColor(M8)&lt;0,SUM(Planning!$KM108:$LJ108),0)</f>
      </c>
      <c r="N8" s="762">
        <f>IF(GetFillColor(N8)&lt;0,SUM(Planning!$LP108:$MM108),0)</f>
      </c>
      <c r="O8" s="761">
        <v>0</v>
      </c>
      <c r="P8" s="761">
        <v>0</v>
      </c>
      <c r="Q8" s="762">
        <f>IF(GetFillColor(Q8)&lt;0,SUM(Planning!$PB108:$PY108),0)</f>
      </c>
      <c r="R8" s="762">
        <f>IF(GetFillColor(R8)&lt;0,SUM(Planning!$QE108:$RB108),0)</f>
      </c>
      <c r="S8" s="762">
        <f>IF(GetFillColor(S8)&lt;0,SUM(Planning!$RH108:$SE108),0)</f>
      </c>
      <c r="T8" s="762">
        <f>IF(GetFillColor(T8)&lt;0,SUM(Planning!$SK108:$TH108),0)</f>
      </c>
      <c r="U8" s="762">
        <f>IF(GetFillColor(U8)&lt;0,SUM(Planning!$TN108:$UK108),0)</f>
      </c>
      <c r="V8" s="761">
        <v>0</v>
      </c>
      <c r="W8" s="761">
        <v>0</v>
      </c>
      <c r="X8" s="762">
        <f>IF(GetFillColor(X8)&lt;0,SUM(Planning!$WZ108:$XW108),0)</f>
      </c>
      <c r="Y8" s="762">
        <f>IF(GetFillColor(Y8)&lt;0,SUM(Planning!$YC108:$YZ108),0)</f>
      </c>
      <c r="Z8" s="762">
        <f>IF(GetFillColor(Z8)&lt;0,SUM(Planning!$ZF108:$AAC108),0)</f>
      </c>
      <c r="AA8" s="762">
        <f>IF(GetFillColor(AA8)&lt;0,SUM(Planning!$AAI108:$ABF108),0)</f>
      </c>
      <c r="AB8" s="762">
        <f>IF(GetFillColor(AB8)&lt;0,SUM(Planning!$ABL108:$ACI108),0)</f>
      </c>
      <c r="AC8" s="761">
        <v>0</v>
      </c>
      <c r="AD8" s="761">
        <v>0</v>
      </c>
      <c r="AE8" s="762">
        <f>IF(GetFillColor(AE8)&lt;0,SUM(Planning!$AEX108:$AFU108),0)</f>
      </c>
      <c r="AF8" s="762">
        <f>IF(GetFillColor(AF8)&lt;0,SUM(Planning!$AGA108:$AGX108),0)</f>
      </c>
      <c r="AG8" s="762">
        <f>IF(GetFillColor(AG8)&lt;0,SUM(Planning!$AHD108:$AIA108),0)</f>
      </c>
      <c r="AH8" s="762">
        <f>IF(GetFillColor(AH8)&lt;0,SUM(Planning!$AIG108:$AJD108),0)</f>
      </c>
      <c r="AI8" s="762">
        <f>IF(GetFillColor(AI8)&lt;0,SUM(Planning!$AJJ108:$AKG108),0)</f>
      </c>
      <c r="AJ8" s="761">
        <v>0</v>
      </c>
      <c r="AK8" s="760">
        <v>0</v>
      </c>
      <c r="AL8" s="698">
        <f>SUM(C8:AK8)</f>
      </c>
      <c r="AM8" s="4"/>
      <c r="AN8" s="4"/>
    </row>
    <row r="9" ht="20.25" customHeight="1" spans="1:40" x14ac:dyDescent="0.25">
      <c r="A9" s="4">
        <f>Planning!B109</f>
      </c>
      <c r="B9" s="4"/>
      <c r="C9" s="760">
        <f>IF(GetFillColor(C9)&lt;0,SUM(Planning!$F109:$AC109),0)</f>
      </c>
      <c r="D9" s="760">
        <f>IF(GetFillColor(D9)&lt;0,SUM(Planning!$AI109:$BF109),0)</f>
      </c>
      <c r="E9" s="760">
        <f>IF(GetFillColor(E9)&lt;0,SUM(Planning!$BL109:$CI109),0)</f>
      </c>
      <c r="F9" s="761">
        <f>IF(GetFillColor(F9)&lt;0,SUM(Planning!$CO109:$DL109),0)</f>
      </c>
      <c r="G9" s="761">
        <f>IF(GetFillColor(G9)&lt;0,SUM(Planning!$DR109:$EO109),0)</f>
      </c>
      <c r="H9" s="761">
        <v>0</v>
      </c>
      <c r="I9" s="761">
        <v>0</v>
      </c>
      <c r="J9" s="762">
        <f>IF(GetFillColor(J9)&lt;0,SUM(Planning!$HD109:$IA109),0)</f>
      </c>
      <c r="K9" s="762">
        <f>IF(GetFillColor(K9)&lt;0,SUM(Planning!$IG109:$JD109),0)</f>
      </c>
      <c r="L9" s="762">
        <f>IF(GetFillColor(L9)&lt;0,SUM(Planning!$JJ109:$KG109),0)</f>
      </c>
      <c r="M9" s="762">
        <f>IF(GetFillColor(M9)&lt;0,SUM(Planning!$KM109:$LJ109),0)</f>
      </c>
      <c r="N9" s="762">
        <f>IF(GetFillColor(N9)&lt;0,SUM(Planning!$LP109:$MM109),0)</f>
      </c>
      <c r="O9" s="761">
        <v>0</v>
      </c>
      <c r="P9" s="761">
        <v>0</v>
      </c>
      <c r="Q9" s="762">
        <f>IF(GetFillColor(Q9)&lt;0,SUM(Planning!$PB109:$PY109),0)</f>
      </c>
      <c r="R9" s="762">
        <f>IF(GetFillColor(R9)&lt;0,SUM(Planning!$QE109:$RB109),0)</f>
      </c>
      <c r="S9" s="762">
        <f>IF(GetFillColor(S9)&lt;0,SUM(Planning!$RH109:$SE109),0)</f>
      </c>
      <c r="T9" s="762">
        <f>IF(GetFillColor(T9)&lt;0,SUM(Planning!$SK109:$TH109),0)</f>
      </c>
      <c r="U9" s="762">
        <f>IF(GetFillColor(U9)&lt;0,SUM(Planning!$TN109:$UK109),0)</f>
      </c>
      <c r="V9" s="761">
        <v>0</v>
      </c>
      <c r="W9" s="761">
        <v>0</v>
      </c>
      <c r="X9" s="762">
        <f>IF(GetFillColor(X9)&lt;0,SUM(Planning!$WZ109:$XW109),0)</f>
      </c>
      <c r="Y9" s="762">
        <f>IF(GetFillColor(Y9)&lt;0,SUM(Planning!$YC109:$YZ109),0)</f>
      </c>
      <c r="Z9" s="762">
        <f>IF(GetFillColor(Z9)&lt;0,SUM(Planning!$ZF109:$AAC109),0)</f>
      </c>
      <c r="AA9" s="762">
        <f>IF(GetFillColor(AA9)&lt;0,SUM(Planning!$AAI109:$ABF109),0)</f>
      </c>
      <c r="AB9" s="762">
        <f>IF(GetFillColor(AB9)&lt;0,SUM(Planning!$ABL109:$ACI109),0)</f>
      </c>
      <c r="AC9" s="761">
        <v>0</v>
      </c>
      <c r="AD9" s="761">
        <v>0</v>
      </c>
      <c r="AE9" s="762">
        <f>IF(GetFillColor(AE9)&lt;0,SUM(Planning!$AEX109:$AFU109),0)</f>
      </c>
      <c r="AF9" s="762">
        <f>IF(GetFillColor(AF9)&lt;0,SUM(Planning!$AGA109:$AGX109),0)</f>
      </c>
      <c r="AG9" s="762">
        <f>IF(GetFillColor(AG9)&lt;0,SUM(Planning!$AHD109:$AIA109),0)</f>
      </c>
      <c r="AH9" s="762">
        <f>IF(GetFillColor(AH9)&lt;0,SUM(Planning!$AIG109:$AJD109),0)</f>
      </c>
      <c r="AI9" s="762">
        <f>IF(GetFillColor(AI9)&lt;0,SUM(Planning!$AJJ109:$AKG109),0)</f>
      </c>
      <c r="AJ9" s="761">
        <v>0</v>
      </c>
      <c r="AK9" s="760">
        <v>0</v>
      </c>
      <c r="AL9" s="698">
        <f>SUM(C9:AK9)</f>
      </c>
      <c r="AM9" s="4"/>
      <c r="AN9" s="4"/>
    </row>
    <row r="10" ht="20.25" customHeight="1" spans="1:40" x14ac:dyDescent="0.25">
      <c r="A10" s="4">
        <f>Planning!B110</f>
      </c>
      <c r="B10" s="4"/>
      <c r="C10" s="760">
        <f>IF(GetFillColor(C10)&lt;0,SUM(Planning!$F110:$AC110),0)</f>
      </c>
      <c r="D10" s="760">
        <f>IF(GetFillColor(D10)&lt;0,SUM(Planning!$AI110:$BF110),0)</f>
      </c>
      <c r="E10" s="760">
        <f>IF(GetFillColor(E10)&lt;0,SUM(Planning!$BL110:$CI110),0)</f>
      </c>
      <c r="F10" s="761">
        <f>IF(GetFillColor(F10)&lt;0,SUM(Planning!$CO110:$DL110),0)</f>
      </c>
      <c r="G10" s="761">
        <f>IF(GetFillColor(G10)&lt;0,SUM(Planning!$DR110:$EO110),0)</f>
      </c>
      <c r="H10" s="761">
        <v>0</v>
      </c>
      <c r="I10" s="761">
        <v>0</v>
      </c>
      <c r="J10" s="762">
        <f>IF(GetFillColor(J10)&lt;0,SUM(Planning!$HD110:$IA110),0)</f>
      </c>
      <c r="K10" s="762">
        <f>IF(GetFillColor(K10)&lt;0,SUM(Planning!$IG110:$JD110),0)</f>
      </c>
      <c r="L10" s="762">
        <f>IF(GetFillColor(L10)&lt;0,SUM(Planning!$JJ110:$KG110),0)</f>
      </c>
      <c r="M10" s="762">
        <f>IF(GetFillColor(M10)&lt;0,SUM(Planning!$KM110:$LJ110),0)</f>
      </c>
      <c r="N10" s="762">
        <f>IF(GetFillColor(N10)&lt;0,SUM(Planning!$LP110:$MM110),0)</f>
      </c>
      <c r="O10" s="761">
        <v>0</v>
      </c>
      <c r="P10" s="761">
        <v>0</v>
      </c>
      <c r="Q10" s="762">
        <f>IF(GetFillColor(Q10)&lt;0,SUM(Planning!$PB110:$PY110),0)</f>
      </c>
      <c r="R10" s="762">
        <f>IF(GetFillColor(R10)&lt;0,SUM(Planning!$QE110:$RB110),0)</f>
      </c>
      <c r="S10" s="762">
        <f>IF(GetFillColor(S10)&lt;0,SUM(Planning!$RH110:$SE110),0)</f>
      </c>
      <c r="T10" s="762">
        <f>IF(GetFillColor(T10)&lt;0,SUM(Planning!$SK110:$TH110),0)</f>
      </c>
      <c r="U10" s="762">
        <f>IF(GetFillColor(U10)&lt;0,SUM(Planning!$TN110:$UK110),0)</f>
      </c>
      <c r="V10" s="761">
        <v>0</v>
      </c>
      <c r="W10" s="761">
        <v>0</v>
      </c>
      <c r="X10" s="762">
        <f>IF(GetFillColor(X10)&lt;0,SUM(Planning!$WZ110:$XW110),0)</f>
      </c>
      <c r="Y10" s="762">
        <f>IF(GetFillColor(Y10)&lt;0,SUM(Planning!$YC110:$YZ110),0)</f>
      </c>
      <c r="Z10" s="762">
        <f>IF(GetFillColor(Z10)&lt;0,SUM(Planning!$ZF110:$AAC110),0)</f>
      </c>
      <c r="AA10" s="762">
        <f>IF(GetFillColor(AA10)&lt;0,SUM(Planning!$AAI110:$ABF110),0)</f>
      </c>
      <c r="AB10" s="762">
        <f>IF(GetFillColor(AB10)&lt;0,SUM(Planning!$ABL110:$ACI110),0)</f>
      </c>
      <c r="AC10" s="761">
        <v>0</v>
      </c>
      <c r="AD10" s="761">
        <v>0</v>
      </c>
      <c r="AE10" s="762">
        <f>IF(GetFillColor(AE10)&lt;0,SUM(Planning!$AEX110:$AFU110),0)</f>
      </c>
      <c r="AF10" s="762">
        <f>IF(GetFillColor(AF10)&lt;0,SUM(Planning!$AGA110:$AGX110),0)</f>
      </c>
      <c r="AG10" s="762">
        <f>IF(GetFillColor(AG10)&lt;0,SUM(Planning!$AHD110:$AIA110),0)</f>
      </c>
      <c r="AH10" s="762">
        <f>IF(GetFillColor(AH10)&lt;0,SUM(Planning!$AIG110:$AJD110),0)</f>
      </c>
      <c r="AI10" s="762">
        <f>IF(GetFillColor(AI10)&lt;0,SUM(Planning!$AJJ110:$AKG110),0)</f>
      </c>
      <c r="AJ10" s="761">
        <v>0</v>
      </c>
      <c r="AK10" s="760">
        <v>0</v>
      </c>
      <c r="AL10" s="698">
        <f>SUM(C10:AK10)</f>
      </c>
      <c r="AM10" s="4"/>
      <c r="AN10" s="4"/>
    </row>
    <row r="11" ht="20.25" customHeight="1" spans="1:40" x14ac:dyDescent="0.25">
      <c r="A11" s="4">
        <f>Planning!B111</f>
      </c>
      <c r="B11" s="4"/>
      <c r="C11" s="760">
        <f>IF(GetFillColor(C11)&lt;0,SUM(Planning!$F111:$AC111),0)</f>
      </c>
      <c r="D11" s="760">
        <f>IF(GetFillColor(D11)&lt;0,SUM(Planning!$AI111:$BF111),0)</f>
      </c>
      <c r="E11" s="760">
        <f>IF(GetFillColor(E11)&lt;0,SUM(Planning!$BL111:$CI111),0)</f>
      </c>
      <c r="F11" s="761">
        <f>IF(GetFillColor(F11)&lt;0,SUM(Planning!$CO111:$DL111),0)</f>
      </c>
      <c r="G11" s="761">
        <f>IF(GetFillColor(G11)&lt;0,SUM(Planning!$DR111:$EO111),0)</f>
      </c>
      <c r="H11" s="761">
        <v>0</v>
      </c>
      <c r="I11" s="761">
        <v>0</v>
      </c>
      <c r="J11" s="762">
        <f>IF(GetFillColor(J11)&lt;0,SUM(Planning!$HD111:$IA111),0)</f>
      </c>
      <c r="K11" s="762">
        <f>IF(GetFillColor(K11)&lt;0,SUM(Planning!$IG111:$JD111),0)</f>
      </c>
      <c r="L11" s="762">
        <f>IF(GetFillColor(L11)&lt;0,SUM(Planning!$JJ111:$KG111),0)</f>
      </c>
      <c r="M11" s="762">
        <f>IF(GetFillColor(M11)&lt;0,SUM(Planning!$KM111:$LJ111),0)</f>
      </c>
      <c r="N11" s="762">
        <f>IF(GetFillColor(N11)&lt;0,SUM(Planning!$LP111:$MM111),0)</f>
      </c>
      <c r="O11" s="761">
        <v>0</v>
      </c>
      <c r="P11" s="761">
        <v>0</v>
      </c>
      <c r="Q11" s="762">
        <f>IF(GetFillColor(Q11)&lt;0,SUM(Planning!$PB111:$PY111),0)</f>
      </c>
      <c r="R11" s="762">
        <f>IF(GetFillColor(R11)&lt;0,SUM(Planning!$QE111:$RB111),0)</f>
      </c>
      <c r="S11" s="762">
        <f>IF(GetFillColor(S11)&lt;0,SUM(Planning!$RH111:$SE111),0)</f>
      </c>
      <c r="T11" s="762">
        <f>IF(GetFillColor(T11)&lt;0,SUM(Planning!$SK111:$TH111),0)</f>
      </c>
      <c r="U11" s="762">
        <f>IF(GetFillColor(U11)&lt;0,SUM(Planning!$TN111:$UK111),0)</f>
      </c>
      <c r="V11" s="761">
        <v>0</v>
      </c>
      <c r="W11" s="761">
        <v>0</v>
      </c>
      <c r="X11" s="762">
        <f>IF(GetFillColor(X11)&lt;0,SUM(Planning!$WZ111:$XW111),0)</f>
      </c>
      <c r="Y11" s="762">
        <f>IF(GetFillColor(Y11)&lt;0,SUM(Planning!$YC111:$YZ111),0)</f>
      </c>
      <c r="Z11" s="762">
        <f>IF(GetFillColor(Z11)&lt;0,SUM(Planning!$ZF111:$AAC111),0)</f>
      </c>
      <c r="AA11" s="762">
        <f>IF(GetFillColor(AA11)&lt;0,SUM(Planning!$AAI111:$ABF111),0)</f>
      </c>
      <c r="AB11" s="762">
        <f>IF(GetFillColor(AB11)&lt;0,SUM(Planning!$ABL111:$ACI111),0)</f>
      </c>
      <c r="AC11" s="761">
        <v>0</v>
      </c>
      <c r="AD11" s="761">
        <v>0</v>
      </c>
      <c r="AE11" s="762">
        <f>IF(GetFillColor(AE11)&lt;0,SUM(Planning!$AEX111:$AFU111),0)</f>
      </c>
      <c r="AF11" s="762">
        <f>IF(GetFillColor(AF11)&lt;0,SUM(Planning!$AGA111:$AGX111),0)</f>
      </c>
      <c r="AG11" s="762">
        <f>IF(GetFillColor(AG11)&lt;0,SUM(Planning!$AHD111:$AIA111),0)</f>
      </c>
      <c r="AH11" s="762">
        <f>IF(GetFillColor(AH11)&lt;0,SUM(Planning!$AIG111:$AJD111),0)</f>
      </c>
      <c r="AI11" s="762">
        <f>IF(GetFillColor(AI11)&lt;0,SUM(Planning!$AJJ111:$AKG111),0)</f>
      </c>
      <c r="AJ11" s="761">
        <v>0</v>
      </c>
      <c r="AK11" s="760">
        <v>0</v>
      </c>
      <c r="AL11" s="698">
        <f>SUM(C11:AK11)</f>
      </c>
      <c r="AM11" s="4"/>
      <c r="AN11" s="4"/>
    </row>
    <row r="12" ht="20.25" customHeight="1" spans="1:40" x14ac:dyDescent="0.25">
      <c r="A12" s="4">
        <f>Planning!B112</f>
      </c>
      <c r="B12" s="4"/>
      <c r="C12" s="760">
        <f>IF(GetFillColor(C12)&lt;0,SUM(Planning!$F112:$AC112),0)</f>
      </c>
      <c r="D12" s="760">
        <f>IF(GetFillColor(D12)&lt;0,SUM(Planning!$AI112:$BF112),0)</f>
      </c>
      <c r="E12" s="760">
        <f>IF(GetFillColor(E12)&lt;0,SUM(Planning!$BL112:$CI112),0)</f>
      </c>
      <c r="F12" s="761">
        <f>IF(GetFillColor(F12)&lt;0,SUM(Planning!$CO112:$DL112),0)</f>
      </c>
      <c r="G12" s="761">
        <f>IF(GetFillColor(G12)&lt;0,SUM(Planning!$DR112:$EO112),0)</f>
      </c>
      <c r="H12" s="761">
        <v>0</v>
      </c>
      <c r="I12" s="761">
        <v>0</v>
      </c>
      <c r="J12" s="762">
        <f>IF(GetFillColor(J12)&lt;0,SUM(Planning!$HD112:$IA112),0)</f>
      </c>
      <c r="K12" s="762">
        <f>IF(GetFillColor(K12)&lt;0,SUM(Planning!$IG112:$JD112),0)</f>
      </c>
      <c r="L12" s="762">
        <f>IF(GetFillColor(L12)&lt;0,SUM(Planning!$JJ112:$KG112),0)</f>
      </c>
      <c r="M12" s="762">
        <f>IF(GetFillColor(M12)&lt;0,SUM(Planning!$KM112:$LJ112),0)</f>
      </c>
      <c r="N12" s="762">
        <f>IF(GetFillColor(N12)&lt;0,SUM(Planning!$LP112:$MM112),0)</f>
      </c>
      <c r="O12" s="761">
        <v>0</v>
      </c>
      <c r="P12" s="761">
        <v>0</v>
      </c>
      <c r="Q12" s="762">
        <f>IF(GetFillColor(Q12)&lt;0,SUM(Planning!$PB112:$PY112),0)</f>
      </c>
      <c r="R12" s="762">
        <f>IF(GetFillColor(R12)&lt;0,SUM(Planning!$QE112:$RB112),0)</f>
      </c>
      <c r="S12" s="762">
        <f>IF(GetFillColor(S12)&lt;0,SUM(Planning!$RH112:$SE112),0)</f>
      </c>
      <c r="T12" s="762">
        <f>IF(GetFillColor(T12)&lt;0,SUM(Planning!$SK112:$TH112),0)</f>
      </c>
      <c r="U12" s="762">
        <f>IF(GetFillColor(U12)&lt;0,SUM(Planning!$TN112:$UK112),0)</f>
      </c>
      <c r="V12" s="761">
        <v>0</v>
      </c>
      <c r="W12" s="761">
        <v>0</v>
      </c>
      <c r="X12" s="762">
        <f>IF(GetFillColor(X12)&lt;0,SUM(Planning!$WZ112:$XW112),0)</f>
      </c>
      <c r="Y12" s="762">
        <f>IF(GetFillColor(Y12)&lt;0,SUM(Planning!$YC112:$YZ112),0)</f>
      </c>
      <c r="Z12" s="762">
        <f>IF(GetFillColor(Z12)&lt;0,SUM(Planning!$ZF112:$AAC112),0)</f>
      </c>
      <c r="AA12" s="762">
        <f>IF(GetFillColor(AA12)&lt;0,SUM(Planning!$AAI112:$ABF112),0)</f>
      </c>
      <c r="AB12" s="762">
        <f>IF(GetFillColor(AB12)&lt;0,SUM(Planning!$ABL112:$ACI112),0)</f>
      </c>
      <c r="AC12" s="761">
        <v>0</v>
      </c>
      <c r="AD12" s="761">
        <v>0</v>
      </c>
      <c r="AE12" s="762">
        <f>IF(GetFillColor(AE12)&lt;0,SUM(Planning!$AEX112:$AFU112),0)</f>
      </c>
      <c r="AF12" s="762">
        <f>IF(GetFillColor(AF12)&lt;0,SUM(Planning!$AGA112:$AGX112),0)</f>
      </c>
      <c r="AG12" s="762">
        <f>IF(GetFillColor(AG12)&lt;0,SUM(Planning!$AHD112:$AIA112),0)</f>
      </c>
      <c r="AH12" s="762">
        <f>IF(GetFillColor(AH12)&lt;0,SUM(Planning!$AIG112:$AJD112),0)</f>
      </c>
      <c r="AI12" s="762">
        <f>IF(GetFillColor(AI12)&lt;0,SUM(Planning!$AJJ112:$AKG112),0)</f>
      </c>
      <c r="AJ12" s="761">
        <v>0</v>
      </c>
      <c r="AK12" s="760">
        <v>0</v>
      </c>
      <c r="AL12" s="698">
        <f>SUM(C12:AK12)</f>
      </c>
      <c r="AM12" s="4"/>
      <c r="AN12" s="4"/>
    </row>
    <row r="13" ht="20.25" customHeight="1" spans="1:40" x14ac:dyDescent="0.25">
      <c r="A13" s="4">
        <f>Planning!B113</f>
      </c>
      <c r="B13" s="4"/>
      <c r="C13" s="760">
        <f>IF(GetFillColor(C13)&lt;0,SUM(Planning!$F113:$AC113),0)</f>
      </c>
      <c r="D13" s="760">
        <f>IF(GetFillColor(D13)&lt;0,SUM(Planning!$AI113:$BF113),0)</f>
      </c>
      <c r="E13" s="760">
        <f>IF(GetFillColor(E13)&lt;0,SUM(Planning!$BL113:$CI113),0)</f>
      </c>
      <c r="F13" s="761">
        <f>IF(GetFillColor(F13)&lt;0,SUM(Planning!$CO113:$DL113),0)</f>
      </c>
      <c r="G13" s="761">
        <f>IF(GetFillColor(G13)&lt;0,SUM(Planning!$DR113:$EO113),0)</f>
      </c>
      <c r="H13" s="761">
        <v>0</v>
      </c>
      <c r="I13" s="761">
        <v>0</v>
      </c>
      <c r="J13" s="762">
        <f>IF(GetFillColor(J13)&lt;0,SUM(Planning!$HD113:$IA113),0)</f>
      </c>
      <c r="K13" s="762">
        <f>IF(GetFillColor(K13)&lt;0,SUM(Planning!$IG113:$JD113),0)</f>
      </c>
      <c r="L13" s="762">
        <f>IF(GetFillColor(L13)&lt;0,SUM(Planning!$JJ113:$KG113),0)</f>
      </c>
      <c r="M13" s="762">
        <f>IF(GetFillColor(M13)&lt;0,SUM(Planning!$KM113:$LJ113),0)</f>
      </c>
      <c r="N13" s="762">
        <f>IF(GetFillColor(N13)&lt;0,SUM(Planning!$LP113:$MM113),0)</f>
      </c>
      <c r="O13" s="761">
        <v>0</v>
      </c>
      <c r="P13" s="761">
        <v>0</v>
      </c>
      <c r="Q13" s="762">
        <f>IF(GetFillColor(Q13)&lt;0,SUM(Planning!$PB113:$PY113),0)</f>
      </c>
      <c r="R13" s="762">
        <f>IF(GetFillColor(R13)&lt;0,SUM(Planning!$QE113:$RB113),0)</f>
      </c>
      <c r="S13" s="762">
        <f>IF(GetFillColor(S13)&lt;0,SUM(Planning!$RH113:$SE113),0)</f>
      </c>
      <c r="T13" s="762">
        <f>IF(GetFillColor(T13)&lt;0,SUM(Planning!$SK113:$TH113),0)</f>
      </c>
      <c r="U13" s="762">
        <f>IF(GetFillColor(U13)&lt;0,SUM(Planning!$TN113:$UK113),0)</f>
      </c>
      <c r="V13" s="761">
        <v>0</v>
      </c>
      <c r="W13" s="761">
        <v>0</v>
      </c>
      <c r="X13" s="762">
        <f>IF(GetFillColor(X13)&lt;0,SUM(Planning!$WZ113:$XW113),0)</f>
      </c>
      <c r="Y13" s="762">
        <f>IF(GetFillColor(Y13)&lt;0,SUM(Planning!$YC113:$YZ113),0)</f>
      </c>
      <c r="Z13" s="762">
        <f>IF(GetFillColor(Z13)&lt;0,SUM(Planning!$ZF113:$AAC113),0)</f>
      </c>
      <c r="AA13" s="762">
        <f>IF(GetFillColor(AA13)&lt;0,SUM(Planning!$AAI113:$ABF113),0)</f>
      </c>
      <c r="AB13" s="762">
        <f>IF(GetFillColor(AB13)&lt;0,SUM(Planning!$ABL113:$ACI113),0)</f>
      </c>
      <c r="AC13" s="761">
        <v>0</v>
      </c>
      <c r="AD13" s="761">
        <v>0</v>
      </c>
      <c r="AE13" s="762">
        <f>IF(GetFillColor(AE13)&lt;0,SUM(Planning!$AEX113:$AFU113),0)</f>
      </c>
      <c r="AF13" s="762">
        <f>IF(GetFillColor(AF13)&lt;0,SUM(Planning!$AGA113:$AGX113),0)</f>
      </c>
      <c r="AG13" s="762">
        <f>IF(GetFillColor(AG13)&lt;0,SUM(Planning!$AHD113:$AIA113),0)</f>
      </c>
      <c r="AH13" s="762">
        <f>IF(GetFillColor(AH13)&lt;0,SUM(Planning!$AIG113:$AJD113),0)</f>
      </c>
      <c r="AI13" s="762">
        <f>IF(GetFillColor(AI13)&lt;0,SUM(Planning!$AJJ113:$AKG113),0)</f>
      </c>
      <c r="AJ13" s="761">
        <v>0</v>
      </c>
      <c r="AK13" s="760">
        <v>0</v>
      </c>
      <c r="AL13" s="698">
        <f>SUM(C13:AK13)</f>
      </c>
      <c r="AM13" s="4"/>
      <c r="AN13" s="4"/>
    </row>
    <row r="14" ht="20.25" customHeight="1" spans="1:40" x14ac:dyDescent="0.25">
      <c r="A14" s="4">
        <f>Planning!B114</f>
      </c>
      <c r="B14" s="4"/>
      <c r="C14" s="760">
        <f>IF(GetFillColor(C14)&lt;0,SUM(Planning!$F114:$AC114),0)</f>
      </c>
      <c r="D14" s="760">
        <f>IF(GetFillColor(D14)&lt;0,SUM(Planning!$AI114:$BF114),0)</f>
      </c>
      <c r="E14" s="760">
        <f>IF(GetFillColor(E14)&lt;0,SUM(Planning!$BL114:$CI114),0)</f>
      </c>
      <c r="F14" s="761">
        <f>IF(GetFillColor(F14)&lt;0,SUM(Planning!$CO114:$DL114),0)</f>
      </c>
      <c r="G14" s="761">
        <f>IF(GetFillColor(G14)&lt;0,SUM(Planning!$DR114:$EO114),0)</f>
      </c>
      <c r="H14" s="761">
        <v>0</v>
      </c>
      <c r="I14" s="761">
        <v>0</v>
      </c>
      <c r="J14" s="762">
        <f>IF(GetFillColor(J14)&lt;0,SUM(Planning!$HD114:$IA114),0)</f>
      </c>
      <c r="K14" s="762">
        <f>IF(GetFillColor(K14)&lt;0,SUM(Planning!$IG114:$JD114),0)</f>
      </c>
      <c r="L14" s="762">
        <f>IF(GetFillColor(L14)&lt;0,SUM(Planning!$JJ114:$KG114),0)</f>
      </c>
      <c r="M14" s="762">
        <f>IF(GetFillColor(M14)&lt;0,SUM(Planning!$KM114:$LJ114),0)</f>
      </c>
      <c r="N14" s="762">
        <f>IF(GetFillColor(N14)&lt;0,SUM(Planning!$LP114:$MM114),0)</f>
      </c>
      <c r="O14" s="761">
        <v>0</v>
      </c>
      <c r="P14" s="761">
        <v>0</v>
      </c>
      <c r="Q14" s="762">
        <f>IF(GetFillColor(Q14)&lt;0,SUM(Planning!$PB114:$PY114),0)</f>
      </c>
      <c r="R14" s="762">
        <f>IF(GetFillColor(R14)&lt;0,SUM(Planning!$QE114:$RB114),0)</f>
      </c>
      <c r="S14" s="762">
        <f>IF(GetFillColor(S14)&lt;0,SUM(Planning!$RH114:$SE114),0)</f>
      </c>
      <c r="T14" s="762">
        <f>IF(GetFillColor(T14)&lt;0,SUM(Planning!$SK114:$TH114),0)</f>
      </c>
      <c r="U14" s="762">
        <f>IF(GetFillColor(U14)&lt;0,SUM(Planning!$TN114:$UK114),0)</f>
      </c>
      <c r="V14" s="761">
        <v>0</v>
      </c>
      <c r="W14" s="761">
        <v>0</v>
      </c>
      <c r="X14" s="762">
        <f>IF(GetFillColor(X14)&lt;0,SUM(Planning!$WZ114:$XW114),0)</f>
      </c>
      <c r="Y14" s="762">
        <f>IF(GetFillColor(Y14)&lt;0,SUM(Planning!$YC114:$YZ114),0)</f>
      </c>
      <c r="Z14" s="762">
        <f>IF(GetFillColor(Z14)&lt;0,SUM(Planning!$ZF114:$AAC114),0)</f>
      </c>
      <c r="AA14" s="762">
        <f>IF(GetFillColor(AA14)&lt;0,SUM(Planning!$AAI114:$ABF114),0)</f>
      </c>
      <c r="AB14" s="762">
        <f>IF(GetFillColor(AB14)&lt;0,SUM(Planning!$ABL114:$ACI114),0)</f>
      </c>
      <c r="AC14" s="761">
        <v>0</v>
      </c>
      <c r="AD14" s="761">
        <v>0</v>
      </c>
      <c r="AE14" s="762">
        <f>IF(GetFillColor(AE14)&lt;0,SUM(Planning!$AEX114:$AFU114),0)</f>
      </c>
      <c r="AF14" s="762">
        <f>IF(GetFillColor(AF14)&lt;0,SUM(Planning!$AGA114:$AGX114),0)</f>
      </c>
      <c r="AG14" s="762">
        <f>IF(GetFillColor(AG14)&lt;0,SUM(Planning!$AHD114:$AIA114),0)</f>
      </c>
      <c r="AH14" s="762">
        <f>IF(GetFillColor(AH14)&lt;0,SUM(Planning!$AIG114:$AJD114),0)</f>
      </c>
      <c r="AI14" s="762">
        <f>IF(GetFillColor(AI14)&lt;0,SUM(Planning!$AJJ114:$AKG114),0)</f>
      </c>
      <c r="AJ14" s="761">
        <v>0</v>
      </c>
      <c r="AK14" s="760">
        <v>0</v>
      </c>
      <c r="AL14" s="698">
        <f>SUM(C14:AK14)</f>
      </c>
      <c r="AM14" s="4"/>
      <c r="AN14" s="4"/>
    </row>
    <row r="15" ht="20.25" customHeight="1" spans="1:40" x14ac:dyDescent="0.25">
      <c r="A15" s="4">
        <f>Planning!B115</f>
      </c>
      <c r="B15" s="4"/>
      <c r="C15" s="760">
        <f>IF(GetFillColor(C15)&lt;0,SUM(Planning!$F115:$AC115),0)</f>
      </c>
      <c r="D15" s="760">
        <f>IF(GetFillColor(D15)&lt;0,SUM(Planning!$AI115:$BF115),0)</f>
      </c>
      <c r="E15" s="760">
        <f>IF(GetFillColor(E15)&lt;0,SUM(Planning!$BL115:$CI115),0)</f>
      </c>
      <c r="F15" s="761">
        <f>IF(GetFillColor(F15)&lt;0,SUM(Planning!$CO115:$DL115),0)</f>
      </c>
      <c r="G15" s="761">
        <f>IF(GetFillColor(G15)&lt;0,SUM(Planning!$DR115:$EO115),0)</f>
      </c>
      <c r="H15" s="761">
        <v>0</v>
      </c>
      <c r="I15" s="761">
        <v>0</v>
      </c>
      <c r="J15" s="762">
        <f>IF(GetFillColor(J15)&lt;0,SUM(Planning!$HD115:$IA115),0)</f>
      </c>
      <c r="K15" s="762">
        <f>IF(GetFillColor(K15)&lt;0,SUM(Planning!$IG115:$JD115),0)</f>
      </c>
      <c r="L15" s="762">
        <f>IF(GetFillColor(L15)&lt;0,SUM(Planning!$JJ115:$KG115),0)</f>
      </c>
      <c r="M15" s="762">
        <f>IF(GetFillColor(M15)&lt;0,SUM(Planning!$KM115:$LJ115),0)</f>
      </c>
      <c r="N15" s="762">
        <f>IF(GetFillColor(N15)&lt;0,SUM(Planning!$LP115:$MM115),0)</f>
      </c>
      <c r="O15" s="761">
        <v>0</v>
      </c>
      <c r="P15" s="761">
        <v>0</v>
      </c>
      <c r="Q15" s="762">
        <f>IF(GetFillColor(Q15)&lt;0,SUM(Planning!$PB115:$PY115),0)</f>
      </c>
      <c r="R15" s="762">
        <f>IF(GetFillColor(R15)&lt;0,SUM(Planning!$QE115:$RB115),0)</f>
      </c>
      <c r="S15" s="762">
        <f>IF(GetFillColor(S15)&lt;0,SUM(Planning!$RH115:$SE115),0)</f>
      </c>
      <c r="T15" s="762">
        <f>IF(GetFillColor(T15)&lt;0,SUM(Planning!$SK115:$TH115),0)</f>
      </c>
      <c r="U15" s="762">
        <f>IF(GetFillColor(U15)&lt;0,SUM(Planning!$TN115:$UK115),0)</f>
      </c>
      <c r="V15" s="761">
        <v>0</v>
      </c>
      <c r="W15" s="761">
        <v>0</v>
      </c>
      <c r="X15" s="762">
        <f>IF(GetFillColor(X15)&lt;0,SUM(Planning!$WZ115:$XW115),0)</f>
      </c>
      <c r="Y15" s="762">
        <f>IF(GetFillColor(Y15)&lt;0,SUM(Planning!$YC115:$YZ115),0)</f>
      </c>
      <c r="Z15" s="762">
        <f>IF(GetFillColor(Z15)&lt;0,SUM(Planning!$ZF115:$AAC115),0)</f>
      </c>
      <c r="AA15" s="762">
        <f>IF(GetFillColor(AA15)&lt;0,SUM(Planning!$AAI115:$ABF115),0)</f>
      </c>
      <c r="AB15" s="762">
        <f>IF(GetFillColor(AB15)&lt;0,SUM(Planning!$ABL115:$ACI115),0)</f>
      </c>
      <c r="AC15" s="761">
        <v>0</v>
      </c>
      <c r="AD15" s="761">
        <v>0</v>
      </c>
      <c r="AE15" s="762">
        <f>IF(GetFillColor(AE15)&lt;0,SUM(Planning!$AEX115:$AFU115),0)</f>
      </c>
      <c r="AF15" s="762">
        <f>IF(GetFillColor(AF15)&lt;0,SUM(Planning!$AGA115:$AGX115),0)</f>
      </c>
      <c r="AG15" s="762">
        <f>IF(GetFillColor(AG15)&lt;0,SUM(Planning!$AHD115:$AIA115),0)</f>
      </c>
      <c r="AH15" s="762">
        <f>IF(GetFillColor(AH15)&lt;0,SUM(Planning!$AIG115:$AJD115),0)</f>
      </c>
      <c r="AI15" s="762">
        <f>IF(GetFillColor(AI15)&lt;0,SUM(Planning!$AJJ115:$AKG115),0)</f>
      </c>
      <c r="AJ15" s="761">
        <v>0</v>
      </c>
      <c r="AK15" s="760">
        <v>0</v>
      </c>
      <c r="AL15" s="698">
        <f>SUM(C15:AK15)</f>
      </c>
      <c r="AM15" s="4"/>
      <c r="AN15" s="4"/>
    </row>
    <row r="16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80.25" customHeight="1" spans="1:40" s="754" customFormat="1" x14ac:dyDescent="0.25">
      <c r="A17" s="755" t="s">
        <v>246</v>
      </c>
      <c r="B17" s="756"/>
      <c r="C17" s="757">
        <f>C2</f>
      </c>
      <c r="D17" s="757">
        <f>D2</f>
      </c>
      <c r="E17" s="757">
        <f>E2</f>
      </c>
      <c r="F17" s="757">
        <f>F2</f>
      </c>
      <c r="G17" s="757">
        <f>G2</f>
      </c>
      <c r="H17" s="757">
        <f>H2</f>
      </c>
      <c r="I17" s="757">
        <f>I2</f>
      </c>
      <c r="J17" s="757">
        <f>J2</f>
      </c>
      <c r="K17" s="757">
        <f>K2</f>
      </c>
      <c r="L17" s="757">
        <f>L2</f>
      </c>
      <c r="M17" s="757">
        <f>M2</f>
      </c>
      <c r="N17" s="757">
        <f>N2</f>
      </c>
      <c r="O17" s="757">
        <f>O2</f>
      </c>
      <c r="P17" s="757">
        <f>P2</f>
      </c>
      <c r="Q17" s="757">
        <f>Q2</f>
      </c>
      <c r="R17" s="757">
        <f>R2</f>
      </c>
      <c r="S17" s="757">
        <f>S2</f>
      </c>
      <c r="T17" s="757">
        <f>T2</f>
      </c>
      <c r="U17" s="757">
        <f>U2</f>
      </c>
      <c r="V17" s="757">
        <f>V2</f>
      </c>
      <c r="W17" s="757">
        <f>W2</f>
      </c>
      <c r="X17" s="757">
        <f>X2</f>
      </c>
      <c r="Y17" s="757">
        <f>Y2</f>
      </c>
      <c r="Z17" s="757">
        <f>Z2</f>
      </c>
      <c r="AA17" s="757">
        <f>AA2</f>
      </c>
      <c r="AB17" s="757">
        <f>AB2</f>
      </c>
      <c r="AC17" s="757">
        <f>AC2</f>
      </c>
      <c r="AD17" s="757">
        <f>AD2</f>
      </c>
      <c r="AE17" s="757">
        <f>AE2</f>
      </c>
      <c r="AF17" s="757">
        <f>AF2</f>
      </c>
      <c r="AG17" s="757">
        <f>AG2</f>
      </c>
      <c r="AH17" s="757">
        <f>AH2</f>
      </c>
      <c r="AI17" s="757">
        <f>AI2</f>
      </c>
      <c r="AJ17" s="757">
        <f>AJ2</f>
      </c>
      <c r="AK17" s="757">
        <f>AK2</f>
      </c>
      <c r="AL17" s="758" t="s">
        <v>236</v>
      </c>
      <c r="AM17" s="4"/>
      <c r="AN17" s="4"/>
    </row>
    <row r="18" ht="10.5" customHeight="1" spans="1:40" s="754" customFormat="1" x14ac:dyDescent="0.25">
      <c r="A18" s="755"/>
      <c r="B18" s="756"/>
      <c r="C18" s="759"/>
      <c r="D18" s="759"/>
      <c r="E18" s="759"/>
      <c r="F18" s="759"/>
      <c r="G18" s="759"/>
      <c r="H18" s="759"/>
      <c r="I18" s="759"/>
      <c r="J18" s="759"/>
      <c r="K18" s="759"/>
      <c r="L18" s="759"/>
      <c r="M18" s="759"/>
      <c r="N18" s="759"/>
      <c r="O18" s="759"/>
      <c r="P18" s="759"/>
      <c r="Q18" s="759"/>
      <c r="R18" s="759"/>
      <c r="S18" s="759"/>
      <c r="T18" s="759"/>
      <c r="U18" s="759"/>
      <c r="V18" s="759"/>
      <c r="W18" s="759"/>
      <c r="X18" s="759"/>
      <c r="Y18" s="759"/>
      <c r="Z18" s="759"/>
      <c r="AA18" s="759"/>
      <c r="AB18" s="759"/>
      <c r="AC18" s="759"/>
      <c r="AD18" s="759"/>
      <c r="AE18" s="759"/>
      <c r="AF18" s="759"/>
      <c r="AG18" s="759"/>
      <c r="AH18" s="759"/>
      <c r="AI18" s="759"/>
      <c r="AJ18" s="759"/>
      <c r="AK18" s="759"/>
      <c r="AL18" s="758"/>
      <c r="AM18" s="4"/>
      <c r="AN18" s="4"/>
    </row>
    <row r="19" ht="20.25" customHeight="1" spans="1:40" x14ac:dyDescent="0.25">
      <c r="A19" s="4">
        <f>A4</f>
      </c>
      <c r="B19" s="4"/>
      <c r="C19" s="760">
        <f>IF(GetFillColor(C19)&lt;0,Planning!$D104+Planning!$E104+Planning!$AD104+Planning!$AE104,0)</f>
      </c>
      <c r="D19" s="760">
        <f>IF(GetFillColor(D19)&lt;0,Planning!$AG104+Planning!$AH104+Planning!$BG104+Planning!$BH104,0)</f>
      </c>
      <c r="E19" s="760">
        <f>IF(GetFillColor(E19)&lt;0,Planning!$BJ104+Planning!$BK104+Planning!$CJ104+Planning!$CK104,0)</f>
      </c>
      <c r="F19" s="761">
        <f>IF(GetFillColor(F19)&lt;0,Planning!$CM104+Planning!$CN104+Planning!$DM104+Planning!$DN104,0)</f>
      </c>
      <c r="G19" s="761">
        <f>IF(GetFillColor(G19)&lt;0,Planning!$DP104+Planning!$DQ104+Planning!$EP104+Planning!$EQ104,0)</f>
      </c>
      <c r="H19" s="761">
        <v>0</v>
      </c>
      <c r="I19" s="761">
        <v>0</v>
      </c>
      <c r="J19" s="762">
        <f>IF(GetFillColor(J19)&lt;0,Planning!$HB104+Planning!$HC104+Planning!$IB104+Planning!$IC104,0)</f>
      </c>
      <c r="K19" s="762">
        <f>IF(GetFillColor(K19)&lt;0,Planning!$IE104+Planning!$IF104+Planning!$JE104+Planning!$JF104,0)</f>
      </c>
      <c r="L19" s="762">
        <f>IF(GetFillColor(L19)&lt;0,Planning!$JH104+Planning!$JI104+Planning!$KH104+Planning!$KI104,0)</f>
      </c>
      <c r="M19" s="762">
        <f>IF(GetFillColor(M19)&lt;0,Planning!$KK104+Planning!$KL104+Planning!$LK104+Planning!$LL104,0)</f>
      </c>
      <c r="N19" s="762">
        <f>IF(GetFillColor(N19)&lt;0,Planning!$LN104+Planning!$LO104+Planning!$MN104+Planning!$MO104,0)</f>
      </c>
      <c r="O19" s="761">
        <v>0</v>
      </c>
      <c r="P19" s="761">
        <v>0</v>
      </c>
      <c r="Q19" s="762">
        <f>IF(GetFillColor(Q19)&lt;0,Planning!$OZ104+Planning!$PA104+Planning!$PZ104+Planning!$QA104,0)</f>
      </c>
      <c r="R19" s="762">
        <f>IF(GetFillColor(R19)&lt;0,Planning!$QC104+Planning!$QD104+Planning!$RC104+Planning!$RD104,0)</f>
      </c>
      <c r="S19" s="762">
        <f>IF(GetFillColor(S19)&lt;0,Planning!$RF104+Planning!$RG104+Planning!$SF104+Planning!$SG104,0)</f>
      </c>
      <c r="T19" s="762">
        <f>IF(GetFillColor(T19)&lt;0,Planning!$SI104+Planning!$SJ104+Planning!$TI104+Planning!$TJ104,0)</f>
      </c>
      <c r="U19" s="762">
        <f>IF(GetFillColor(U19)&lt;0,Planning!$TL104+Planning!$TM104+Planning!$UL104+Planning!$UM104,0)</f>
      </c>
      <c r="V19" s="761">
        <v>0</v>
      </c>
      <c r="W19" s="761">
        <v>0</v>
      </c>
      <c r="X19" s="762">
        <f>IF(GetFillColor(X19)&lt;0,Planning!$WX104+Planning!$WY104+Planning!$XX104+Planning!$XY104,0)</f>
      </c>
      <c r="Y19" s="762">
        <f>IF(GetFillColor(Y19)&lt;0,Planning!$YA104+Planning!$YB104+Planning!$ZA104+Planning!$ZB104,0)</f>
      </c>
      <c r="Z19" s="762">
        <f>IF(GetFillColor(Z19)&lt;0,Planning!$ZD104+Planning!$ZE104+Planning!$AAD104+Planning!$AAE104,0)</f>
      </c>
      <c r="AA19" s="762">
        <f>IF(GetFillColor(AA19)&lt;0,Planning!$AAG104+Planning!$AAH104+Planning!$ABG104+Planning!$ABH104,0)</f>
      </c>
      <c r="AB19" s="762">
        <f>IF(GetFillColor(AB19)&lt;0,Planning!$ABJ104+Planning!$ABK104+Planning!$ACJ104+Planning!$ACK104,0)</f>
      </c>
      <c r="AC19" s="761">
        <v>0</v>
      </c>
      <c r="AD19" s="761">
        <v>0</v>
      </c>
      <c r="AE19" s="762">
        <f>IF(GetFillColor(AE19)&lt;0,Planning!$AEV104+Planning!$AEW104+Planning!$AFV104+Planning!$AFW104,0)</f>
      </c>
      <c r="AF19" s="762">
        <f>IF(GetFillColor(AF19)&lt;0,Planning!$AFY104+Planning!$AFZ104+Planning!$AGY104+Planning!$AGZ104,0)</f>
      </c>
      <c r="AG19" s="762">
        <f>IF(GetFillColor(AG19)&lt;0,Planning!$AHB104+Planning!$AHC104+Planning!$AIB104+Planning!$AIC104,0)</f>
      </c>
      <c r="AH19" s="762">
        <f>IF(GetFillColor(AH19)&lt;0,Planning!$AIE104+Planning!$AIF104+Planning!$AJE104+Planning!$AJF104,0)</f>
      </c>
      <c r="AI19" s="762">
        <f>IF(GetFillColor(AI19)&lt;0,Planning!$AJH104+Planning!$AJI104+Planning!$AKH104+Planning!$AKI104,0)</f>
      </c>
      <c r="AJ19" s="761">
        <v>0</v>
      </c>
      <c r="AK19" s="760">
        <v>0</v>
      </c>
      <c r="AL19" s="698">
        <f>SUM(C19:AK19)</f>
      </c>
      <c r="AM19" s="4"/>
      <c r="AN19" s="4"/>
    </row>
    <row r="20" ht="20.25" customHeight="1" spans="1:40" x14ac:dyDescent="0.25">
      <c r="A20" s="4">
        <f>A5</f>
      </c>
      <c r="B20" s="4"/>
      <c r="C20" s="760">
        <f>IF(GetFillColor(C20)&lt;0,Planning!$D105+Planning!$E105+Planning!$AD105+Planning!$AE105,0)</f>
      </c>
      <c r="D20" s="760">
        <f>IF(GetFillColor(D20)&lt;0,Planning!$AG105+Planning!$AH105+Planning!$BG105+Planning!$BH105,0)</f>
      </c>
      <c r="E20" s="760">
        <f>IF(GetFillColor(E20)&lt;0,Planning!$BJ105+Planning!$BK105+Planning!$CJ105+Planning!$CK105,0)</f>
      </c>
      <c r="F20" s="761">
        <f>IF(GetFillColor(F20)&lt;0,Planning!$CM105+Planning!$CN105+Planning!$DM105+Planning!$DN105,0)</f>
      </c>
      <c r="G20" s="761">
        <f>IF(GetFillColor(G20)&lt;0,Planning!$DP105+Planning!$DQ105+Planning!$EP105+Planning!$EQ105,0)</f>
      </c>
      <c r="H20" s="761">
        <v>0</v>
      </c>
      <c r="I20" s="761">
        <v>0</v>
      </c>
      <c r="J20" s="762">
        <f>IF(GetFillColor(J20)&lt;0,Planning!$HB105+Planning!$HC105+Planning!$IB105+Planning!$IC105,0)</f>
      </c>
      <c r="K20" s="762">
        <f>IF(GetFillColor(K20)&lt;0,Planning!$IE105+Planning!$IF105+Planning!$JE105+Planning!$JF105,0)</f>
      </c>
      <c r="L20" s="762">
        <f>IF(GetFillColor(L20)&lt;0,Planning!$JH105+Planning!$JI105+Planning!$KH105+Planning!$KI105,0)</f>
      </c>
      <c r="M20" s="762">
        <f>IF(GetFillColor(M20)&lt;0,Planning!$KK105+Planning!$KL105+Planning!$LK105+Planning!$LL105,0)</f>
      </c>
      <c r="N20" s="762">
        <f>IF(GetFillColor(N20)&lt;0,Planning!$LN105+Planning!$LO105+Planning!$MN105+Planning!$MO105,0)</f>
      </c>
      <c r="O20" s="761">
        <v>0</v>
      </c>
      <c r="P20" s="761">
        <v>0</v>
      </c>
      <c r="Q20" s="762">
        <f>IF(GetFillColor(Q20)&lt;0,Planning!$OZ105+Planning!$PA105+Planning!$PZ105+Planning!$QA105,0)</f>
      </c>
      <c r="R20" s="762">
        <f>IF(GetFillColor(R20)&lt;0,Planning!$QC105+Planning!$QD105+Planning!$RC105+Planning!$RD105,0)</f>
      </c>
      <c r="S20" s="762">
        <f>IF(GetFillColor(S20)&lt;0,Planning!$RF105+Planning!$RG105+Planning!$SF105+Planning!$SG105,0)</f>
      </c>
      <c r="T20" s="762">
        <f>IF(GetFillColor(T20)&lt;0,Planning!$SI105+Planning!$SJ105+Planning!$TI105+Planning!$TJ105,0)</f>
      </c>
      <c r="U20" s="762">
        <f>IF(GetFillColor(U20)&lt;0,Planning!$TL105+Planning!$TM105+Planning!$UL105+Planning!$UM105,0)</f>
      </c>
      <c r="V20" s="761">
        <v>0</v>
      </c>
      <c r="W20" s="761">
        <v>0</v>
      </c>
      <c r="X20" s="762">
        <f>IF(GetFillColor(X20)&lt;0,Planning!$WX105+Planning!$WY105+Planning!$XX105+Planning!$XY105,0)</f>
      </c>
      <c r="Y20" s="762">
        <f>IF(GetFillColor(Y20)&lt;0,Planning!$YA105+Planning!$YB105+Planning!$ZA105+Planning!$ZB105,0)</f>
      </c>
      <c r="Z20" s="762">
        <f>IF(GetFillColor(Z20)&lt;0,Planning!$ZD105+Planning!$ZE105+Planning!$AAD105+Planning!$AAE105,0)</f>
      </c>
      <c r="AA20" s="762">
        <f>IF(GetFillColor(AA20)&lt;0,Planning!$AAG105+Planning!$AAH105+Planning!$ABG105+Planning!$ABH105,0)</f>
      </c>
      <c r="AB20" s="762">
        <f>IF(GetFillColor(AB20)&lt;0,Planning!$ABJ105+Planning!$ABK105+Planning!$ACJ105+Planning!$ACK105,0)</f>
      </c>
      <c r="AC20" s="761">
        <v>0</v>
      </c>
      <c r="AD20" s="761">
        <v>0</v>
      </c>
      <c r="AE20" s="762">
        <f>IF(GetFillColor(AE20)&lt;0,Planning!$AEV105+Planning!$AEW105+Planning!$AFV105+Planning!$AFW105,0)</f>
      </c>
      <c r="AF20" s="762">
        <f>IF(GetFillColor(AF20)&lt;0,Planning!$AFY105+Planning!$AFZ105+Planning!$AGY105+Planning!$AGZ105,0)</f>
      </c>
      <c r="AG20" s="762">
        <f>IF(GetFillColor(AG20)&lt;0,Planning!$AHB105+Planning!$AHC105+Planning!$AIB105+Planning!$AIC105,0)</f>
      </c>
      <c r="AH20" s="762">
        <f>IF(GetFillColor(AH20)&lt;0,Planning!$AIE105+Planning!$AIF105+Planning!$AJE105+Planning!$AJF105,0)</f>
      </c>
      <c r="AI20" s="762">
        <f>IF(GetFillColor(AI20)&lt;0,Planning!$AJH105+Planning!$AJI105+Planning!$AKH105+Planning!$AKI105,0)</f>
      </c>
      <c r="AJ20" s="761">
        <v>0</v>
      </c>
      <c r="AK20" s="760">
        <v>0</v>
      </c>
      <c r="AL20" s="698">
        <f>SUM(C20:AK20)</f>
      </c>
      <c r="AM20" s="4"/>
      <c r="AN20" s="4"/>
    </row>
    <row r="21" ht="20.25" customHeight="1" spans="1:40" x14ac:dyDescent="0.25">
      <c r="A21" s="4">
        <f>A6</f>
      </c>
      <c r="B21" s="4"/>
      <c r="C21" s="760">
        <f>IF(GetFillColor(C21)&lt;0,Planning!$D106+Planning!$E106+Planning!$AD106+Planning!$AE106,0)</f>
      </c>
      <c r="D21" s="760">
        <f>IF(GetFillColor(D21)&lt;0,Planning!$AG106+Planning!$AH106+Planning!$BG106+Planning!$BH106,0)</f>
      </c>
      <c r="E21" s="760">
        <f>IF(GetFillColor(E21)&lt;0,Planning!$BJ106+Planning!$BK106+Planning!$CJ106+Planning!$CK106,0)</f>
      </c>
      <c r="F21" s="761">
        <f>IF(GetFillColor(F21)&lt;0,Planning!$CM106+Planning!$CN106+Planning!$DM106+Planning!$DN106,0)</f>
      </c>
      <c r="G21" s="761">
        <f>IF(GetFillColor(G21)&lt;0,Planning!$DP106+Planning!$DQ106+Planning!$EP106+Planning!$EQ106,0)</f>
      </c>
      <c r="H21" s="761">
        <v>0</v>
      </c>
      <c r="I21" s="761">
        <v>0</v>
      </c>
      <c r="J21" s="762">
        <f>IF(GetFillColor(J21)&lt;0,Planning!$HB106+Planning!$HC106+Planning!$IB106+Planning!$IC106,0)</f>
      </c>
      <c r="K21" s="762">
        <f>IF(GetFillColor(K21)&lt;0,Planning!$IE106+Planning!$IF106+Planning!$JE106+Planning!$JF106,0)</f>
      </c>
      <c r="L21" s="762">
        <f>IF(GetFillColor(L21)&lt;0,Planning!$JH106+Planning!$JI106+Planning!$KH106+Planning!$KI106,0)</f>
      </c>
      <c r="M21" s="762">
        <f>IF(GetFillColor(M21)&lt;0,Planning!$KK106+Planning!$KL106+Planning!$LK106+Planning!$LL106,0)</f>
      </c>
      <c r="N21" s="762">
        <f>IF(GetFillColor(N21)&lt;0,Planning!$LN106+Planning!$LO106+Planning!$MN106+Planning!$MO106,0)</f>
      </c>
      <c r="O21" s="761">
        <v>0</v>
      </c>
      <c r="P21" s="761">
        <v>0</v>
      </c>
      <c r="Q21" s="762">
        <f>IF(GetFillColor(Q21)&lt;0,Planning!$OZ106+Planning!$PA106+Planning!$PZ106+Planning!$QA106,0)</f>
      </c>
      <c r="R21" s="762">
        <f>IF(GetFillColor(R21)&lt;0,Planning!$QC106+Planning!$QD106+Planning!$RC106+Planning!$RD106,0)</f>
      </c>
      <c r="S21" s="762">
        <f>IF(GetFillColor(S21)&lt;0,Planning!$RF106+Planning!$RG106+Planning!$SF106+Planning!$SG106,0)</f>
      </c>
      <c r="T21" s="762">
        <f>IF(GetFillColor(T21)&lt;0,Planning!$SI106+Planning!$SJ106+Planning!$TI106+Planning!$TJ106,0)</f>
      </c>
      <c r="U21" s="762">
        <f>IF(GetFillColor(U21)&lt;0,Planning!$TL106+Planning!$TM106+Planning!$UL106+Planning!$UM106,0)</f>
      </c>
      <c r="V21" s="761">
        <v>0</v>
      </c>
      <c r="W21" s="761">
        <v>0</v>
      </c>
      <c r="X21" s="762">
        <f>IF(GetFillColor(X21)&lt;0,Planning!$WX106+Planning!$WY106+Planning!$XX106+Planning!$XY106,0)</f>
      </c>
      <c r="Y21" s="762">
        <f>IF(GetFillColor(Y21)&lt;0,Planning!$YA106+Planning!$YB106+Planning!$ZA106+Planning!$ZB106,0)</f>
      </c>
      <c r="Z21" s="762">
        <f>IF(GetFillColor(Z21)&lt;0,Planning!$ZD106+Planning!$ZE106+Planning!$AAD106+Planning!$AAE106,0)</f>
      </c>
      <c r="AA21" s="762">
        <f>IF(GetFillColor(AA21)&lt;0,Planning!$AAG106+Planning!$AAH106+Planning!$ABG106+Planning!$ABH106,0)</f>
      </c>
      <c r="AB21" s="762">
        <f>IF(GetFillColor(AB21)&lt;0,Planning!$ABJ106+Planning!$ABK106+Planning!$ACJ106+Planning!$ACK106,0)</f>
      </c>
      <c r="AC21" s="761">
        <v>0</v>
      </c>
      <c r="AD21" s="761">
        <v>0</v>
      </c>
      <c r="AE21" s="762">
        <f>IF(GetFillColor(AE21)&lt;0,Planning!$AEV106+Planning!$AEW106+Planning!$AFV106+Planning!$AFW106,0)</f>
      </c>
      <c r="AF21" s="762">
        <f>IF(GetFillColor(AF21)&lt;0,Planning!$AFY106+Planning!$AFZ106+Planning!$AGY106+Planning!$AGZ106,0)</f>
      </c>
      <c r="AG21" s="762">
        <f>IF(GetFillColor(AG21)&lt;0,Planning!$AHB106+Planning!$AHC106+Planning!$AIB106+Planning!$AIC106,0)</f>
      </c>
      <c r="AH21" s="762">
        <f>IF(GetFillColor(AH21)&lt;0,Planning!$AIE106+Planning!$AIF106+Planning!$AJE106+Planning!$AJF106,0)</f>
      </c>
      <c r="AI21" s="762">
        <f>IF(GetFillColor(AI21)&lt;0,Planning!$AJH106+Planning!$AJI106+Planning!$AKH106+Planning!$AKI106,0)</f>
      </c>
      <c r="AJ21" s="761">
        <v>0</v>
      </c>
      <c r="AK21" s="760">
        <v>0</v>
      </c>
      <c r="AL21" s="698">
        <f>SUM(C21:AK21)</f>
      </c>
      <c r="AM21" s="4"/>
      <c r="AN21" s="4"/>
    </row>
    <row r="22" ht="20.25" customHeight="1" spans="1:40" x14ac:dyDescent="0.25">
      <c r="A22" s="4">
        <f>A7</f>
      </c>
      <c r="B22" s="4"/>
      <c r="C22" s="760">
        <f>IF(GetFillColor(C22)&lt;0,Planning!$D107+Planning!$E107+Planning!$AD107+Planning!$AE107,0)</f>
      </c>
      <c r="D22" s="760">
        <f>IF(GetFillColor(D22)&lt;0,Planning!$AG107+Planning!$AH107+Planning!$BG107+Planning!$BH107,0)</f>
      </c>
      <c r="E22" s="760">
        <f>IF(GetFillColor(E22)&lt;0,Planning!$BJ107+Planning!$BK107+Planning!$CJ107+Planning!$CK107,0)</f>
      </c>
      <c r="F22" s="761">
        <f>IF(GetFillColor(F22)&lt;0,Planning!$CM107+Planning!$CN107+Planning!$DM107+Planning!$DN107,0)</f>
      </c>
      <c r="G22" s="761">
        <f>IF(GetFillColor(G22)&lt;0,Planning!$DP107+Planning!$DQ107+Planning!$EP107+Planning!$EQ107,0)</f>
      </c>
      <c r="H22" s="761">
        <v>0</v>
      </c>
      <c r="I22" s="761">
        <v>0</v>
      </c>
      <c r="J22" s="762">
        <f>IF(GetFillColor(J22)&lt;0,Planning!$HB107+Planning!$HC107+Planning!$IB107+Planning!$IC107,0)</f>
      </c>
      <c r="K22" s="762">
        <f>IF(GetFillColor(K22)&lt;0,Planning!$IE107+Planning!$IF107+Planning!$JE107+Planning!$JF107,0)</f>
      </c>
      <c r="L22" s="762">
        <f>IF(GetFillColor(L22)&lt;0,Planning!$JH107+Planning!$JI107+Planning!$KH107+Planning!$KI107,0)</f>
      </c>
      <c r="M22" s="762">
        <f>IF(GetFillColor(M22)&lt;0,Planning!$KK107+Planning!$KL107+Planning!$LK107+Planning!$LL107,0)</f>
      </c>
      <c r="N22" s="762">
        <f>IF(GetFillColor(N22)&lt;0,Planning!$LN107+Planning!$LO107+Planning!$MN107+Planning!$MO107,0)</f>
      </c>
      <c r="O22" s="761">
        <v>0</v>
      </c>
      <c r="P22" s="761">
        <v>0</v>
      </c>
      <c r="Q22" s="762">
        <f>IF(GetFillColor(Q22)&lt;0,Planning!$OZ107+Planning!$PA107+Planning!$PZ107+Planning!$QA107,0)</f>
      </c>
      <c r="R22" s="762">
        <f>IF(GetFillColor(R22)&lt;0,Planning!$QC107+Planning!$QD107+Planning!$RC107+Planning!$RD107,0)</f>
      </c>
      <c r="S22" s="762">
        <f>IF(GetFillColor(S22)&lt;0,Planning!$RF107+Planning!$RG107+Planning!$SF107+Planning!$SG107,0)</f>
      </c>
      <c r="T22" s="762">
        <f>IF(GetFillColor(T22)&lt;0,Planning!$SI107+Planning!$SJ107+Planning!$TI107+Planning!$TJ107,0)</f>
      </c>
      <c r="U22" s="762">
        <f>IF(GetFillColor(U22)&lt;0,Planning!$TL107+Planning!$TM107+Planning!$UL107+Planning!$UM107,0)</f>
      </c>
      <c r="V22" s="761">
        <v>0</v>
      </c>
      <c r="W22" s="761">
        <v>0</v>
      </c>
      <c r="X22" s="762">
        <f>IF(GetFillColor(X22)&lt;0,Planning!$WX107+Planning!$WY107+Planning!$XX107+Planning!$XY107,0)</f>
      </c>
      <c r="Y22" s="762">
        <f>IF(GetFillColor(Y22)&lt;0,Planning!$YA107+Planning!$YB107+Planning!$ZA107+Planning!$ZB107,0)</f>
      </c>
      <c r="Z22" s="762">
        <f>IF(GetFillColor(Z22)&lt;0,Planning!$ZD107+Planning!$ZE107+Planning!$AAD107+Planning!$AAE107,0)</f>
      </c>
      <c r="AA22" s="762">
        <f>IF(GetFillColor(AA22)&lt;0,Planning!$AAG107+Planning!$AAH107+Planning!$ABG107+Planning!$ABH107,0)</f>
      </c>
      <c r="AB22" s="762">
        <f>IF(GetFillColor(AB22)&lt;0,Planning!$ABJ107+Planning!$ABK107+Planning!$ACJ107+Planning!$ACK107,0)</f>
      </c>
      <c r="AC22" s="761">
        <v>0</v>
      </c>
      <c r="AD22" s="761">
        <v>0</v>
      </c>
      <c r="AE22" s="762">
        <f>IF(GetFillColor(AE22)&lt;0,Planning!$AEV107+Planning!$AEW107+Planning!$AFV107+Planning!$AFW107,0)</f>
      </c>
      <c r="AF22" s="762">
        <f>IF(GetFillColor(AF22)&lt;0,Planning!$AFY107+Planning!$AFZ107+Planning!$AGY107+Planning!$AGZ107,0)</f>
      </c>
      <c r="AG22" s="762">
        <f>IF(GetFillColor(AG22)&lt;0,Planning!$AHB107+Planning!$AHC107+Planning!$AIB107+Planning!$AIC107,0)</f>
      </c>
      <c r="AH22" s="762">
        <f>IF(GetFillColor(AH22)&lt;0,Planning!$AIE107+Planning!$AIF107+Planning!$AJE107+Planning!$AJF107,0)</f>
      </c>
      <c r="AI22" s="762">
        <f>IF(GetFillColor(AI22)&lt;0,Planning!$AJH107+Planning!$AJI107+Planning!$AKH107+Planning!$AKI107,0)</f>
      </c>
      <c r="AJ22" s="761">
        <v>0</v>
      </c>
      <c r="AK22" s="760">
        <v>0</v>
      </c>
      <c r="AL22" s="698">
        <f>SUM(C22:AK22)</f>
      </c>
      <c r="AM22" s="4"/>
      <c r="AN22" s="4"/>
    </row>
    <row r="23" ht="20.25" customHeight="1" spans="1:40" x14ac:dyDescent="0.25">
      <c r="A23" s="4">
        <f>A8</f>
      </c>
      <c r="B23" s="4"/>
      <c r="C23" s="760">
        <f>IF(GetFillColor(C23)&lt;0,Planning!$D108+Planning!$E108+Planning!$AD108+Planning!$AE108,0)</f>
      </c>
      <c r="D23" s="760">
        <f>IF(GetFillColor(D23)&lt;0,Planning!$AG108+Planning!$AH108+Planning!$BG108+Planning!$BH108,0)</f>
      </c>
      <c r="E23" s="760">
        <f>IF(GetFillColor(E23)&lt;0,Planning!$BJ108+Planning!$BK108+Planning!$CJ108+Planning!$CK108,0)</f>
      </c>
      <c r="F23" s="761">
        <f>IF(GetFillColor(F23)&lt;0,Planning!$CM108+Planning!$CN108+Planning!$DM108+Planning!$DN108,0)</f>
      </c>
      <c r="G23" s="761">
        <f>IF(GetFillColor(G23)&lt;0,Planning!$DP108+Planning!$DQ108+Planning!$EP108+Planning!$EQ108,0)</f>
      </c>
      <c r="H23" s="761">
        <v>0</v>
      </c>
      <c r="I23" s="761">
        <v>0</v>
      </c>
      <c r="J23" s="762">
        <f>IF(GetFillColor(J23)&lt;0,Planning!$HB108+Planning!$HC108+Planning!$IB108+Planning!$IC108,0)</f>
      </c>
      <c r="K23" s="762">
        <f>IF(GetFillColor(K23)&lt;0,Planning!$IE108+Planning!$IF108+Planning!$JE108+Planning!$JF108,0)</f>
      </c>
      <c r="L23" s="762">
        <f>IF(GetFillColor(L23)&lt;0,Planning!$JH108+Planning!$JI108+Planning!$KH108+Planning!$KI108,0)</f>
      </c>
      <c r="M23" s="762">
        <f>IF(GetFillColor(M23)&lt;0,Planning!$KK108+Planning!$KL108+Planning!$LK108+Planning!$LL108,0)</f>
      </c>
      <c r="N23" s="762">
        <f>IF(GetFillColor(N23)&lt;0,Planning!$LN108+Planning!$LO108+Planning!$MN108+Planning!$MO108,0)</f>
      </c>
      <c r="O23" s="761">
        <v>0</v>
      </c>
      <c r="P23" s="761">
        <v>0</v>
      </c>
      <c r="Q23" s="762">
        <f>IF(GetFillColor(Q23)&lt;0,Planning!$OZ108+Planning!$PA108+Planning!$PZ108+Planning!$QA108,0)</f>
      </c>
      <c r="R23" s="762">
        <f>IF(GetFillColor(R23)&lt;0,Planning!$QC108+Planning!$QD108+Planning!$RC108+Planning!$RD108,0)</f>
      </c>
      <c r="S23" s="762">
        <f>IF(GetFillColor(S23)&lt;0,Planning!$RF108+Planning!$RG108+Planning!$SF108+Planning!$SG108,0)</f>
      </c>
      <c r="T23" s="762">
        <f>IF(GetFillColor(T23)&lt;0,Planning!$SI108+Planning!$SJ108+Planning!$TI108+Planning!$TJ108,0)</f>
      </c>
      <c r="U23" s="762">
        <f>IF(GetFillColor(U23)&lt;0,Planning!$TL108+Planning!$TM108+Planning!$UL108+Planning!$UM108,0)</f>
      </c>
      <c r="V23" s="761">
        <v>0</v>
      </c>
      <c r="W23" s="761">
        <v>0</v>
      </c>
      <c r="X23" s="762">
        <f>IF(GetFillColor(X23)&lt;0,Planning!$WX108+Planning!$WY108+Planning!$XX108+Planning!$XY108,0)</f>
      </c>
      <c r="Y23" s="762">
        <f>IF(GetFillColor(Y23)&lt;0,Planning!$YA108+Planning!$YB108+Planning!$ZA108+Planning!$ZB108,0)</f>
      </c>
      <c r="Z23" s="762">
        <f>IF(GetFillColor(Z23)&lt;0,Planning!$ZD108+Planning!$ZE108+Planning!$AAD108+Planning!$AAE108,0)</f>
      </c>
      <c r="AA23" s="762">
        <f>IF(GetFillColor(AA23)&lt;0,Planning!$AAG108+Planning!$AAH108+Planning!$ABG108+Planning!$ABH108,0)</f>
      </c>
      <c r="AB23" s="762">
        <f>IF(GetFillColor(AB23)&lt;0,Planning!$ABJ108+Planning!$ABK108+Planning!$ACJ108+Planning!$ACK108,0)</f>
      </c>
      <c r="AC23" s="761">
        <v>0</v>
      </c>
      <c r="AD23" s="761">
        <v>0</v>
      </c>
      <c r="AE23" s="762">
        <f>IF(GetFillColor(AE23)&lt;0,Planning!$AEV108+Planning!$AEW108+Planning!$AFV108+Planning!$AFW108,0)</f>
      </c>
      <c r="AF23" s="762">
        <f>IF(GetFillColor(AF23)&lt;0,Planning!$AFY108+Planning!$AFZ108+Planning!$AGY108+Planning!$AGZ108,0)</f>
      </c>
      <c r="AG23" s="762">
        <f>IF(GetFillColor(AG23)&lt;0,Planning!$AHB108+Planning!$AHC108+Planning!$AIB108+Planning!$AIC108,0)</f>
      </c>
      <c r="AH23" s="762">
        <f>IF(GetFillColor(AH23)&lt;0,Planning!$AIE108+Planning!$AIF108+Planning!$AJE108+Planning!$AJF108,0)</f>
      </c>
      <c r="AI23" s="762">
        <f>IF(GetFillColor(AI23)&lt;0,Planning!$AJH108+Planning!$AJI108+Planning!$AKH108+Planning!$AKI108,0)</f>
      </c>
      <c r="AJ23" s="761">
        <v>0</v>
      </c>
      <c r="AK23" s="760">
        <v>0</v>
      </c>
      <c r="AL23" s="698">
        <f>SUM(C23:AK23)</f>
      </c>
      <c r="AM23" s="4"/>
      <c r="AN23" s="4"/>
    </row>
    <row r="24" ht="20.25" customHeight="1" spans="1:40" x14ac:dyDescent="0.25">
      <c r="A24" s="4">
        <f>A9</f>
      </c>
      <c r="B24" s="4"/>
      <c r="C24" s="760">
        <f>IF(GetFillColor(C24)&lt;0,Planning!$D109+Planning!$E109+Planning!$AD109+Planning!$AE109,0)</f>
      </c>
      <c r="D24" s="760">
        <f>IF(GetFillColor(D24)&lt;0,Planning!$AG109+Planning!$AH109+Planning!$BG109+Planning!$BH109,0)</f>
      </c>
      <c r="E24" s="760">
        <f>IF(GetFillColor(E24)&lt;0,Planning!$BJ109+Planning!$BK109+Planning!$CJ109+Planning!$CK109,0)</f>
      </c>
      <c r="F24" s="761">
        <f>IF(GetFillColor(F24)&lt;0,Planning!$CM109+Planning!$CN109+Planning!$DM109+Planning!$DN109,0)</f>
      </c>
      <c r="G24" s="761">
        <f>IF(GetFillColor(G24)&lt;0,Planning!$DP109+Planning!$DQ109+Planning!$EP109+Planning!$EQ109,0)</f>
      </c>
      <c r="H24" s="761">
        <v>0</v>
      </c>
      <c r="I24" s="761">
        <v>0</v>
      </c>
      <c r="J24" s="762">
        <f>IF(GetFillColor(J24)&lt;0,Planning!$HB109+Planning!$HC109+Planning!$IB109+Planning!$IC109,0)</f>
      </c>
      <c r="K24" s="762">
        <f>IF(GetFillColor(K24)&lt;0,Planning!$IE109+Planning!$IF109+Planning!$JE109+Planning!$JF109,0)</f>
      </c>
      <c r="L24" s="762">
        <f>IF(GetFillColor(L24)&lt;0,Planning!$JH109+Planning!$JI109+Planning!$KH109+Planning!$KI109,0)</f>
      </c>
      <c r="M24" s="762">
        <f>IF(GetFillColor(M24)&lt;0,Planning!$KK109+Planning!$KL109+Planning!$LK109+Planning!$LL109,0)</f>
      </c>
      <c r="N24" s="762">
        <f>IF(GetFillColor(N24)&lt;0,Planning!$LN109+Planning!$LO109+Planning!$MN109+Planning!$MO109,0)</f>
      </c>
      <c r="O24" s="761">
        <v>0</v>
      </c>
      <c r="P24" s="761">
        <v>0</v>
      </c>
      <c r="Q24" s="762">
        <f>IF(GetFillColor(Q24)&lt;0,Planning!$OZ109+Planning!$PA109+Planning!$PZ109+Planning!$QA109,0)</f>
      </c>
      <c r="R24" s="762">
        <f>IF(GetFillColor(R24)&lt;0,Planning!$QC109+Planning!$QD109+Planning!$RC109+Planning!$RD109,0)</f>
      </c>
      <c r="S24" s="762">
        <f>IF(GetFillColor(S24)&lt;0,Planning!$RF109+Planning!$RG109+Planning!$SF109+Planning!$SG109,0)</f>
      </c>
      <c r="T24" s="762">
        <f>IF(GetFillColor(T24)&lt;0,Planning!$SI109+Planning!$SJ109+Planning!$TI109+Planning!$TJ109,0)</f>
      </c>
      <c r="U24" s="762">
        <f>IF(GetFillColor(U24)&lt;0,Planning!$TL109+Planning!$TM109+Planning!$UL109+Planning!$UM109,0)</f>
      </c>
      <c r="V24" s="761">
        <v>0</v>
      </c>
      <c r="W24" s="761">
        <v>0</v>
      </c>
      <c r="X24" s="762">
        <f>IF(GetFillColor(X24)&lt;0,Planning!$WX109+Planning!$WY109+Planning!$XX109+Planning!$XY109,0)</f>
      </c>
      <c r="Y24" s="762">
        <f>IF(GetFillColor(Y24)&lt;0,Planning!$YA109+Planning!$YB109+Planning!$ZA109+Planning!$ZB109,0)</f>
      </c>
      <c r="Z24" s="762">
        <f>IF(GetFillColor(Z24)&lt;0,Planning!$ZD109+Planning!$ZE109+Planning!$AAD109+Planning!$AAE109,0)</f>
      </c>
      <c r="AA24" s="762">
        <f>IF(GetFillColor(AA24)&lt;0,Planning!$AAG109+Planning!$AAH109+Planning!$ABG109+Planning!$ABH109,0)</f>
      </c>
      <c r="AB24" s="762">
        <f>IF(GetFillColor(AB24)&lt;0,Planning!$ABJ109+Planning!$ABK109+Planning!$ACJ109+Planning!$ACK109,0)</f>
      </c>
      <c r="AC24" s="761">
        <v>0</v>
      </c>
      <c r="AD24" s="761">
        <v>0</v>
      </c>
      <c r="AE24" s="762">
        <f>IF(GetFillColor(AE24)&lt;0,Planning!$AEV109+Planning!$AEW109+Planning!$AFV109+Planning!$AFW109,0)</f>
      </c>
      <c r="AF24" s="762">
        <f>IF(GetFillColor(AF24)&lt;0,Planning!$AFY109+Planning!$AFZ109+Planning!$AGY109+Planning!$AGZ109,0)</f>
      </c>
      <c r="AG24" s="762">
        <f>IF(GetFillColor(AG24)&lt;0,Planning!$AHB109+Planning!$AHC109+Planning!$AIB109+Planning!$AIC109,0)</f>
      </c>
      <c r="AH24" s="762">
        <f>IF(GetFillColor(AH24)&lt;0,Planning!$AIE109+Planning!$AIF109+Planning!$AJE109+Planning!$AJF109,0)</f>
      </c>
      <c r="AI24" s="762">
        <f>IF(GetFillColor(AI24)&lt;0,Planning!$AJH109+Planning!$AJI109+Planning!$AKH109+Planning!$AKI109,0)</f>
      </c>
      <c r="AJ24" s="761">
        <v>0</v>
      </c>
      <c r="AK24" s="760">
        <v>0</v>
      </c>
      <c r="AL24" s="698">
        <f>SUM(C24:AK24)</f>
      </c>
      <c r="AM24" s="4"/>
      <c r="AN24" s="4"/>
    </row>
    <row r="25" ht="20.25" customHeight="1" spans="1:40" x14ac:dyDescent="0.25">
      <c r="A25" s="4">
        <f>A10</f>
      </c>
      <c r="B25" s="4"/>
      <c r="C25" s="760">
        <f>IF(GetFillColor(C25)&lt;0,Planning!$D110+Planning!$E110+Planning!$AD110+Planning!$AE110,0)</f>
      </c>
      <c r="D25" s="760">
        <f>IF(GetFillColor(D25)&lt;0,Planning!$AG110+Planning!$AH110+Planning!$BG110+Planning!$BH110,0)</f>
      </c>
      <c r="E25" s="760">
        <f>IF(GetFillColor(E25)&lt;0,Planning!$BJ110+Planning!$BK110+Planning!$CJ110+Planning!$CK110,0)</f>
      </c>
      <c r="F25" s="761">
        <f>IF(GetFillColor(F25)&lt;0,Planning!$CM110+Planning!$CN110+Planning!$DM110+Planning!$DN110,0)</f>
      </c>
      <c r="G25" s="761">
        <f>IF(GetFillColor(G25)&lt;0,Planning!$DP110+Planning!$DQ110+Planning!$EP110+Planning!$EQ110,0)</f>
      </c>
      <c r="H25" s="761">
        <v>0</v>
      </c>
      <c r="I25" s="761">
        <v>0</v>
      </c>
      <c r="J25" s="762">
        <f>IF(GetFillColor(J25)&lt;0,Planning!$HB110+Planning!$HC110+Planning!$IB110+Planning!$IC110,0)</f>
      </c>
      <c r="K25" s="762">
        <f>IF(GetFillColor(K25)&lt;0,Planning!$IE110+Planning!$IF110+Planning!$JE110+Planning!$JF110,0)</f>
      </c>
      <c r="L25" s="762">
        <f>IF(GetFillColor(L25)&lt;0,Planning!$JH110+Planning!$JI110+Planning!$KH110+Planning!$KI110,0)</f>
      </c>
      <c r="M25" s="762">
        <f>IF(GetFillColor(M25)&lt;0,Planning!$KK110+Planning!$KL110+Planning!$LK110+Planning!$LL110,0)</f>
      </c>
      <c r="N25" s="762">
        <f>IF(GetFillColor(N25)&lt;0,Planning!$LN110+Planning!$LO110+Planning!$MN110+Planning!$MO110,0)</f>
      </c>
      <c r="O25" s="761">
        <v>0</v>
      </c>
      <c r="P25" s="761">
        <v>0</v>
      </c>
      <c r="Q25" s="762">
        <f>IF(GetFillColor(Q25)&lt;0,Planning!$OZ110+Planning!$PA110+Planning!$PZ110+Planning!$QA110,0)</f>
      </c>
      <c r="R25" s="762">
        <f>IF(GetFillColor(R25)&lt;0,Planning!$QC110+Planning!$QD110+Planning!$RC110+Planning!$RD110,0)</f>
      </c>
      <c r="S25" s="762">
        <f>IF(GetFillColor(S25)&lt;0,Planning!$RF110+Planning!$RG110+Planning!$SF110+Planning!$SG110,0)</f>
      </c>
      <c r="T25" s="762">
        <f>IF(GetFillColor(T25)&lt;0,Planning!$SI110+Planning!$SJ110+Planning!$TI110+Planning!$TJ110,0)</f>
      </c>
      <c r="U25" s="762">
        <f>IF(GetFillColor(U25)&lt;0,Planning!$TL110+Planning!$TM110+Planning!$UL110+Planning!$UM110,0)</f>
      </c>
      <c r="V25" s="761">
        <v>0</v>
      </c>
      <c r="W25" s="761">
        <v>0</v>
      </c>
      <c r="X25" s="762">
        <f>IF(GetFillColor(X25)&lt;0,Planning!$WX110+Planning!$WY110+Planning!$XX110+Planning!$XY110,0)</f>
      </c>
      <c r="Y25" s="762">
        <f>IF(GetFillColor(Y25)&lt;0,Planning!$YA110+Planning!$YB110+Planning!$ZA110+Planning!$ZB110,0)</f>
      </c>
      <c r="Z25" s="762">
        <f>IF(GetFillColor(Z25)&lt;0,Planning!$ZD110+Planning!$ZE110+Planning!$AAD110+Planning!$AAE110,0)</f>
      </c>
      <c r="AA25" s="762">
        <f>IF(GetFillColor(AA25)&lt;0,Planning!$AAG110+Planning!$AAH110+Planning!$ABG110+Planning!$ABH110,0)</f>
      </c>
      <c r="AB25" s="762">
        <f>IF(GetFillColor(AB25)&lt;0,Planning!$ABJ110+Planning!$ABK110+Planning!$ACJ110+Planning!$ACK110,0)</f>
      </c>
      <c r="AC25" s="761">
        <v>0</v>
      </c>
      <c r="AD25" s="761">
        <v>0</v>
      </c>
      <c r="AE25" s="762">
        <f>IF(GetFillColor(AE25)&lt;0,Planning!$AEV110+Planning!$AEW110+Planning!$AFV110+Planning!$AFW110,0)</f>
      </c>
      <c r="AF25" s="762">
        <f>IF(GetFillColor(AF25)&lt;0,Planning!$AFY110+Planning!$AFZ110+Planning!$AGY110+Planning!$AGZ110,0)</f>
      </c>
      <c r="AG25" s="762">
        <f>IF(GetFillColor(AG25)&lt;0,Planning!$AHB110+Planning!$AHC110+Planning!$AIB110+Planning!$AIC110,0)</f>
      </c>
      <c r="AH25" s="762">
        <f>IF(GetFillColor(AH25)&lt;0,Planning!$AIE110+Planning!$AIF110+Planning!$AJE110+Planning!$AJF110,0)</f>
      </c>
      <c r="AI25" s="762">
        <f>IF(GetFillColor(AI25)&lt;0,Planning!$AJH110+Planning!$AJI110+Planning!$AKH110+Planning!$AKI110,0)</f>
      </c>
      <c r="AJ25" s="761">
        <v>0</v>
      </c>
      <c r="AK25" s="760">
        <v>0</v>
      </c>
      <c r="AL25" s="698">
        <f>SUM(C25:AK25)</f>
      </c>
      <c r="AM25" s="4"/>
      <c r="AN25" s="4"/>
    </row>
    <row r="26" ht="20.25" customHeight="1" spans="1:40" x14ac:dyDescent="0.25">
      <c r="A26" s="4">
        <f>A11</f>
      </c>
      <c r="B26" s="4"/>
      <c r="C26" s="760">
        <f>IF(GetFillColor(C26)&lt;0,Planning!$D111+Planning!$E111+Planning!$AD111+Planning!$AE111,0)</f>
      </c>
      <c r="D26" s="760">
        <f>IF(GetFillColor(D26)&lt;0,Planning!$AG111+Planning!$AH111+Planning!$BG111+Planning!$BH111,0)</f>
      </c>
      <c r="E26" s="760">
        <f>IF(GetFillColor(E26)&lt;0,Planning!$BJ111+Planning!$BK111+Planning!$CJ111+Planning!$CK111,0)</f>
      </c>
      <c r="F26" s="761">
        <f>IF(GetFillColor(F26)&lt;0,Planning!$CM111+Planning!$CN111+Planning!$DM111+Planning!$DN111,0)</f>
      </c>
      <c r="G26" s="761">
        <f>IF(GetFillColor(G26)&lt;0,Planning!$DP111+Planning!$DQ111+Planning!$EP111+Planning!$EQ111,0)</f>
      </c>
      <c r="H26" s="761">
        <v>0</v>
      </c>
      <c r="I26" s="761">
        <v>0</v>
      </c>
      <c r="J26" s="762">
        <f>IF(GetFillColor(J26)&lt;0,Planning!$HB111+Planning!$HC111+Planning!$IB111+Planning!$IC111,0)</f>
      </c>
      <c r="K26" s="762">
        <f>IF(GetFillColor(K26)&lt;0,Planning!$IE111+Planning!$IF111+Planning!$JE111+Planning!$JF111,0)</f>
      </c>
      <c r="L26" s="762">
        <f>IF(GetFillColor(L26)&lt;0,Planning!$JH111+Planning!$JI111+Planning!$KH111+Planning!$KI111,0)</f>
      </c>
      <c r="M26" s="762">
        <f>IF(GetFillColor(M26)&lt;0,Planning!$KK111+Planning!$KL111+Planning!$LK111+Planning!$LL111,0)</f>
      </c>
      <c r="N26" s="762">
        <f>IF(GetFillColor(N26)&lt;0,Planning!$LN111+Planning!$LO111+Planning!$MN111+Planning!$MO111,0)</f>
      </c>
      <c r="O26" s="761">
        <v>0</v>
      </c>
      <c r="P26" s="761">
        <v>0</v>
      </c>
      <c r="Q26" s="762">
        <f>IF(GetFillColor(Q26)&lt;0,Planning!$OZ111+Planning!$PA111+Planning!$PZ111+Planning!$QA111,0)</f>
      </c>
      <c r="R26" s="762">
        <f>IF(GetFillColor(R26)&lt;0,Planning!$QC111+Planning!$QD111+Planning!$RC111+Planning!$RD111,0)</f>
      </c>
      <c r="S26" s="762">
        <f>IF(GetFillColor(S26)&lt;0,Planning!$RF111+Planning!$RG111+Planning!$SF111+Planning!$SG111,0)</f>
      </c>
      <c r="T26" s="762">
        <f>IF(GetFillColor(T26)&lt;0,Planning!$SI111+Planning!$SJ111+Planning!$TI111+Planning!$TJ111,0)</f>
      </c>
      <c r="U26" s="762">
        <f>IF(GetFillColor(U26)&lt;0,Planning!$TL111+Planning!$TM111+Planning!$UL111+Planning!$UM111,0)</f>
      </c>
      <c r="V26" s="761">
        <v>0</v>
      </c>
      <c r="W26" s="761">
        <v>0</v>
      </c>
      <c r="X26" s="762">
        <f>IF(GetFillColor(X26)&lt;0,Planning!$WX111+Planning!$WY111+Planning!$XX111+Planning!$XY111,0)</f>
      </c>
      <c r="Y26" s="762">
        <f>IF(GetFillColor(Y26)&lt;0,Planning!$YA111+Planning!$YB111+Planning!$ZA111+Planning!$ZB111,0)</f>
      </c>
      <c r="Z26" s="762">
        <f>IF(GetFillColor(Z26)&lt;0,Planning!$ZD111+Planning!$ZE111+Planning!$AAD111+Planning!$AAE111,0)</f>
      </c>
      <c r="AA26" s="762">
        <f>IF(GetFillColor(AA26)&lt;0,Planning!$AAG111+Planning!$AAH111+Planning!$ABG111+Planning!$ABH111,0)</f>
      </c>
      <c r="AB26" s="762">
        <f>IF(GetFillColor(AB26)&lt;0,Planning!$ABJ111+Planning!$ABK111+Planning!$ACJ111+Planning!$ACK111,0)</f>
      </c>
      <c r="AC26" s="761">
        <v>0</v>
      </c>
      <c r="AD26" s="761">
        <v>0</v>
      </c>
      <c r="AE26" s="762">
        <f>IF(GetFillColor(AE26)&lt;0,Planning!$AEV111+Planning!$AEW111+Planning!$AFV111+Planning!$AFW111,0)</f>
      </c>
      <c r="AF26" s="762">
        <f>IF(GetFillColor(AF26)&lt;0,Planning!$AFY111+Planning!$AFZ111+Planning!$AGY111+Planning!$AGZ111,0)</f>
      </c>
      <c r="AG26" s="762">
        <f>IF(GetFillColor(AG26)&lt;0,Planning!$AHB111+Planning!$AHC111+Planning!$AIB111+Planning!$AIC111,0)</f>
      </c>
      <c r="AH26" s="762">
        <f>IF(GetFillColor(AH26)&lt;0,Planning!$AIE111+Planning!$AIF111+Planning!$AJE111+Planning!$AJF111,0)</f>
      </c>
      <c r="AI26" s="762">
        <f>IF(GetFillColor(AI26)&lt;0,Planning!$AJH111+Planning!$AJI111+Planning!$AKH111+Planning!$AKI111,0)</f>
      </c>
      <c r="AJ26" s="761">
        <v>0</v>
      </c>
      <c r="AK26" s="760">
        <v>0</v>
      </c>
      <c r="AL26" s="698">
        <f>SUM(C26:AK26)</f>
      </c>
      <c r="AM26" s="4"/>
      <c r="AN26" s="4"/>
    </row>
    <row r="27" ht="20.25" customHeight="1" spans="1:40" x14ac:dyDescent="0.25">
      <c r="A27" s="4">
        <f>A12</f>
      </c>
      <c r="B27" s="4"/>
      <c r="C27" s="760">
        <f>IF(GetFillColor(C27)&lt;0,Planning!$D112+Planning!$E112+Planning!$AD112+Planning!$AE112,0)</f>
      </c>
      <c r="D27" s="760">
        <f>IF(GetFillColor(D27)&lt;0,Planning!$AG112+Planning!$AH112+Planning!$BG112+Planning!$BH112,0)</f>
      </c>
      <c r="E27" s="760">
        <f>IF(GetFillColor(E27)&lt;0,Planning!$BJ112+Planning!$BK112+Planning!$CJ112+Planning!$CK112,0)</f>
      </c>
      <c r="F27" s="761">
        <f>IF(GetFillColor(F27)&lt;0,Planning!$CM112+Planning!$CN112+Planning!$DM112+Planning!$DN112,0)</f>
      </c>
      <c r="G27" s="761">
        <f>IF(GetFillColor(G27)&lt;0,Planning!$DP112+Planning!$DQ112+Planning!$EP112+Planning!$EQ112,0)</f>
      </c>
      <c r="H27" s="761">
        <v>0</v>
      </c>
      <c r="I27" s="761">
        <v>0</v>
      </c>
      <c r="J27" s="762">
        <f>IF(GetFillColor(J27)&lt;0,Planning!$HB112+Planning!$HC112+Planning!$IB112+Planning!$IC112,0)</f>
      </c>
      <c r="K27" s="762">
        <f>IF(GetFillColor(K27)&lt;0,Planning!$IE112+Planning!$IF112+Planning!$JE112+Planning!$JF112,0)</f>
      </c>
      <c r="L27" s="762">
        <f>IF(GetFillColor(L27)&lt;0,Planning!$JH112+Planning!$JI112+Planning!$KH112+Planning!$KI112,0)</f>
      </c>
      <c r="M27" s="762">
        <f>IF(GetFillColor(M27)&lt;0,Planning!$KK112+Planning!$KL112+Planning!$LK112+Planning!$LL112,0)</f>
      </c>
      <c r="N27" s="762">
        <f>IF(GetFillColor(N27)&lt;0,Planning!$LN112+Planning!$LO112+Planning!$MN112+Planning!$MO112,0)</f>
      </c>
      <c r="O27" s="761">
        <v>0</v>
      </c>
      <c r="P27" s="761">
        <v>0</v>
      </c>
      <c r="Q27" s="762">
        <f>IF(GetFillColor(Q27)&lt;0,Planning!$OZ112+Planning!$PA112+Planning!$PZ112+Planning!$QA112,0)</f>
      </c>
      <c r="R27" s="762">
        <f>IF(GetFillColor(R27)&lt;0,Planning!$QC112+Planning!$QD112+Planning!$RC112+Planning!$RD112,0)</f>
      </c>
      <c r="S27" s="762">
        <f>IF(GetFillColor(S27)&lt;0,Planning!$RF112+Planning!$RG112+Planning!$SF112+Planning!$SG112,0)</f>
      </c>
      <c r="T27" s="762">
        <f>IF(GetFillColor(T27)&lt;0,Planning!$SI112+Planning!$SJ112+Planning!$TI112+Planning!$TJ112,0)</f>
      </c>
      <c r="U27" s="762">
        <f>IF(GetFillColor(U27)&lt;0,Planning!$TL112+Planning!$TM112+Planning!$UL112+Planning!$UM112,0)</f>
      </c>
      <c r="V27" s="761">
        <v>0</v>
      </c>
      <c r="W27" s="761">
        <v>0</v>
      </c>
      <c r="X27" s="762">
        <f>IF(GetFillColor(X27)&lt;0,Planning!$WX112+Planning!$WY112+Planning!$XX112+Planning!$XY112,0)</f>
      </c>
      <c r="Y27" s="762">
        <f>IF(GetFillColor(Y27)&lt;0,Planning!$YA112+Planning!$YB112+Planning!$ZA112+Planning!$ZB112,0)</f>
      </c>
      <c r="Z27" s="762">
        <f>IF(GetFillColor(Z27)&lt;0,Planning!$ZD112+Planning!$ZE112+Planning!$AAD112+Planning!$AAE112,0)</f>
      </c>
      <c r="AA27" s="762">
        <f>IF(GetFillColor(AA27)&lt;0,Planning!$AAG112+Planning!$AAH112+Planning!$ABG112+Planning!$ABH112,0)</f>
      </c>
      <c r="AB27" s="762">
        <f>IF(GetFillColor(AB27)&lt;0,Planning!$ABJ112+Planning!$ABK112+Planning!$ACJ112+Planning!$ACK112,0)</f>
      </c>
      <c r="AC27" s="761">
        <v>0</v>
      </c>
      <c r="AD27" s="761">
        <v>0</v>
      </c>
      <c r="AE27" s="762">
        <f>IF(GetFillColor(AE27)&lt;0,Planning!$AEV112+Planning!$AEW112+Planning!$AFV112+Planning!$AFW112,0)</f>
      </c>
      <c r="AF27" s="762">
        <f>IF(GetFillColor(AF27)&lt;0,Planning!$AFY112+Planning!$AFZ112+Planning!$AGY112+Planning!$AGZ112,0)</f>
      </c>
      <c r="AG27" s="762">
        <f>IF(GetFillColor(AG27)&lt;0,Planning!$AHB112+Planning!$AHC112+Planning!$AIB112+Planning!$AIC112,0)</f>
      </c>
      <c r="AH27" s="762">
        <f>IF(GetFillColor(AH27)&lt;0,Planning!$AIE112+Planning!$AIF112+Planning!$AJE112+Planning!$AJF112,0)</f>
      </c>
      <c r="AI27" s="762">
        <f>IF(GetFillColor(AI27)&lt;0,Planning!$AJH112+Planning!$AJI112+Planning!$AKH112+Planning!$AKI112,0)</f>
      </c>
      <c r="AJ27" s="761">
        <v>0</v>
      </c>
      <c r="AK27" s="760">
        <v>0</v>
      </c>
      <c r="AL27" s="698">
        <f>SUM(C27:AK27)</f>
      </c>
      <c r="AM27" s="4"/>
      <c r="AN27" s="4"/>
    </row>
    <row r="28" ht="20.25" customHeight="1" spans="1:40" x14ac:dyDescent="0.25">
      <c r="A28" s="4">
        <f>A13</f>
      </c>
      <c r="B28" s="4"/>
      <c r="C28" s="760">
        <f>IF(GetFillColor(C28)&lt;0,Planning!$D113+Planning!$E113+Planning!$AD113+Planning!$AE113,0)</f>
      </c>
      <c r="D28" s="760">
        <f>IF(GetFillColor(D28)&lt;0,Planning!$AG113+Planning!$AH113+Planning!$BG113+Planning!$BH113,0)</f>
      </c>
      <c r="E28" s="760">
        <f>IF(GetFillColor(E28)&lt;0,Planning!$BJ113+Planning!$BK113+Planning!$CJ113+Planning!$CK113,0)</f>
      </c>
      <c r="F28" s="761">
        <f>IF(GetFillColor(F28)&lt;0,Planning!$CM113+Planning!$CN113+Planning!$DM113+Planning!$DN113,0)</f>
      </c>
      <c r="G28" s="761">
        <f>IF(GetFillColor(G28)&lt;0,Planning!$DP113+Planning!$DQ113+Planning!$EP113+Planning!$EQ113,0)</f>
      </c>
      <c r="H28" s="761">
        <v>0</v>
      </c>
      <c r="I28" s="761">
        <v>0</v>
      </c>
      <c r="J28" s="762">
        <f>IF(GetFillColor(J28)&lt;0,Planning!$HB113+Planning!$HC113+Planning!$IB113+Planning!$IC113,0)</f>
      </c>
      <c r="K28" s="762">
        <f>IF(GetFillColor(K28)&lt;0,Planning!$IE113+Planning!$IF113+Planning!$JE113+Planning!$JF113,0)</f>
      </c>
      <c r="L28" s="762">
        <f>IF(GetFillColor(L28)&lt;0,Planning!$JH113+Planning!$JI113+Planning!$KH113+Planning!$KI113,0)</f>
      </c>
      <c r="M28" s="762">
        <f>IF(GetFillColor(M28)&lt;0,Planning!$KK113+Planning!$KL113+Planning!$LK113+Planning!$LL113,0)</f>
      </c>
      <c r="N28" s="762">
        <f>IF(GetFillColor(N28)&lt;0,Planning!$LN113+Planning!$LO113+Planning!$MN113+Planning!$MO113,0)</f>
      </c>
      <c r="O28" s="761">
        <v>0</v>
      </c>
      <c r="P28" s="761">
        <v>0</v>
      </c>
      <c r="Q28" s="762">
        <f>IF(GetFillColor(Q28)&lt;0,Planning!$OZ113+Planning!$PA113+Planning!$PZ113+Planning!$QA113,0)</f>
      </c>
      <c r="R28" s="762">
        <f>IF(GetFillColor(R28)&lt;0,Planning!$QC113+Planning!$QD113+Planning!$RC113+Planning!$RD113,0)</f>
      </c>
      <c r="S28" s="762">
        <f>IF(GetFillColor(S28)&lt;0,Planning!$RF113+Planning!$RG113+Planning!$SF113+Planning!$SG113,0)</f>
      </c>
      <c r="T28" s="762">
        <f>IF(GetFillColor(T28)&lt;0,Planning!$SI113+Planning!$SJ113+Planning!$TI113+Planning!$TJ113,0)</f>
      </c>
      <c r="U28" s="762">
        <f>IF(GetFillColor(U28)&lt;0,Planning!$TL113+Planning!$TM113+Planning!$UL113+Planning!$UM113,0)</f>
      </c>
      <c r="V28" s="761">
        <v>0</v>
      </c>
      <c r="W28" s="761">
        <v>0</v>
      </c>
      <c r="X28" s="762">
        <f>IF(GetFillColor(X28)&lt;0,Planning!$WX113+Planning!$WY113+Planning!$XX113+Planning!$XY113,0)</f>
      </c>
      <c r="Y28" s="762">
        <f>IF(GetFillColor(Y28)&lt;0,Planning!$YA113+Planning!$YB113+Planning!$ZA113+Planning!$ZB113,0)</f>
      </c>
      <c r="Z28" s="762">
        <f>IF(GetFillColor(Z28)&lt;0,Planning!$ZD113+Planning!$ZE113+Planning!$AAD113+Planning!$AAE113,0)</f>
      </c>
      <c r="AA28" s="762">
        <f>IF(GetFillColor(AA28)&lt;0,Planning!$AAG113+Planning!$AAH113+Planning!$ABG113+Planning!$ABH113,0)</f>
      </c>
      <c r="AB28" s="762">
        <f>IF(GetFillColor(AB28)&lt;0,Planning!$ABJ113+Planning!$ABK113+Planning!$ACJ113+Planning!$ACK113,0)</f>
      </c>
      <c r="AC28" s="761">
        <v>0</v>
      </c>
      <c r="AD28" s="761">
        <v>0</v>
      </c>
      <c r="AE28" s="762">
        <f>IF(GetFillColor(AE28)&lt;0,Planning!$AEV113+Planning!$AEW113+Planning!$AFV113+Planning!$AFW113,0)</f>
      </c>
      <c r="AF28" s="762">
        <f>IF(GetFillColor(AF28)&lt;0,Planning!$AFY113+Planning!$AFZ113+Planning!$AGY113+Planning!$AGZ113,0)</f>
      </c>
      <c r="AG28" s="762">
        <f>IF(GetFillColor(AG28)&lt;0,Planning!$AHB113+Planning!$AHC113+Planning!$AIB113+Planning!$AIC113,0)</f>
      </c>
      <c r="AH28" s="762">
        <f>IF(GetFillColor(AH28)&lt;0,Planning!$AIE113+Planning!$AIF113+Planning!$AJE113+Planning!$AJF113,0)</f>
      </c>
      <c r="AI28" s="762">
        <f>IF(GetFillColor(AI28)&lt;0,Planning!$AJH113+Planning!$AJI113+Planning!$AKH113+Planning!$AKI113,0)</f>
      </c>
      <c r="AJ28" s="761">
        <v>0</v>
      </c>
      <c r="AK28" s="760">
        <v>0</v>
      </c>
      <c r="AL28" s="698">
        <f>SUM(C28:AK28)</f>
      </c>
      <c r="AM28" s="4"/>
      <c r="AN28" s="4"/>
    </row>
    <row r="29" ht="20.25" customHeight="1" spans="1:40" x14ac:dyDescent="0.25">
      <c r="A29" s="4">
        <f>A14</f>
      </c>
      <c r="B29" s="4"/>
      <c r="C29" s="760">
        <f>IF(GetFillColor(C29)&lt;0,Planning!$D114+Planning!$E114+Planning!$AD114+Planning!$AE114,0)</f>
      </c>
      <c r="D29" s="760">
        <f>IF(GetFillColor(D29)&lt;0,Planning!$AG114+Planning!$AH114+Planning!$BG114+Planning!$BH114,0)</f>
      </c>
      <c r="E29" s="760">
        <f>IF(GetFillColor(E29)&lt;0,Planning!$BJ114+Planning!$BK114+Planning!$CJ114+Planning!$CK114,0)</f>
      </c>
      <c r="F29" s="761">
        <f>IF(GetFillColor(F29)&lt;0,Planning!$CM114+Planning!$CN114+Planning!$DM114+Planning!$DN114,0)</f>
      </c>
      <c r="G29" s="761">
        <f>IF(GetFillColor(G29)&lt;0,Planning!$DP114+Planning!$DQ114+Planning!$EP114+Planning!$EQ114,0)</f>
      </c>
      <c r="H29" s="761">
        <v>0</v>
      </c>
      <c r="I29" s="761">
        <v>0</v>
      </c>
      <c r="J29" s="762">
        <f>IF(GetFillColor(J29)&lt;0,Planning!$HB114+Planning!$HC114+Planning!$IB114+Planning!$IC114,0)</f>
      </c>
      <c r="K29" s="762">
        <f>IF(GetFillColor(K29)&lt;0,Planning!$IE114+Planning!$IF114+Planning!$JE114+Planning!$JF114,0)</f>
      </c>
      <c r="L29" s="762">
        <f>IF(GetFillColor(L29)&lt;0,Planning!$JH114+Planning!$JI114+Planning!$KH114+Planning!$KI114,0)</f>
      </c>
      <c r="M29" s="762">
        <f>IF(GetFillColor(M29)&lt;0,Planning!$KK114+Planning!$KL114+Planning!$LK114+Planning!$LL114,0)</f>
      </c>
      <c r="N29" s="762">
        <f>IF(GetFillColor(N29)&lt;0,Planning!$LN114+Planning!$LO114+Planning!$MN114+Planning!$MO114,0)</f>
      </c>
      <c r="O29" s="761">
        <v>0</v>
      </c>
      <c r="P29" s="761">
        <v>0</v>
      </c>
      <c r="Q29" s="762">
        <f>IF(GetFillColor(Q29)&lt;0,Planning!$OZ114+Planning!$PA114+Planning!$PZ114+Planning!$QA114,0)</f>
      </c>
      <c r="R29" s="762">
        <f>IF(GetFillColor(R29)&lt;0,Planning!$QC114+Planning!$QD114+Planning!$RC114+Planning!$RD114,0)</f>
      </c>
      <c r="S29" s="762">
        <f>IF(GetFillColor(S29)&lt;0,Planning!$RF114+Planning!$RG114+Planning!$SF114+Planning!$SG114,0)</f>
      </c>
      <c r="T29" s="762">
        <f>IF(GetFillColor(T29)&lt;0,Planning!$SI114+Planning!$SJ114+Planning!$TI114+Planning!$TJ114,0)</f>
      </c>
      <c r="U29" s="762">
        <f>IF(GetFillColor(U29)&lt;0,Planning!$TL114+Planning!$TM114+Planning!$UL114+Planning!$UM114,0)</f>
      </c>
      <c r="V29" s="761">
        <v>0</v>
      </c>
      <c r="W29" s="761">
        <v>0</v>
      </c>
      <c r="X29" s="762">
        <f>IF(GetFillColor(X29)&lt;0,Planning!$WX114+Planning!$WY114+Planning!$XX114+Planning!$XY114,0)</f>
      </c>
      <c r="Y29" s="762">
        <f>IF(GetFillColor(Y29)&lt;0,Planning!$YA114+Planning!$YB114+Planning!$ZA114+Planning!$ZB114,0)</f>
      </c>
      <c r="Z29" s="762">
        <f>IF(GetFillColor(Z29)&lt;0,Planning!$ZD114+Planning!$ZE114+Planning!$AAD114+Planning!$AAE114,0)</f>
      </c>
      <c r="AA29" s="762">
        <f>IF(GetFillColor(AA29)&lt;0,Planning!$AAG114+Planning!$AAH114+Planning!$ABG114+Planning!$ABH114,0)</f>
      </c>
      <c r="AB29" s="762">
        <f>IF(GetFillColor(AB29)&lt;0,Planning!$ABJ114+Planning!$ABK114+Planning!$ACJ114+Planning!$ACK114,0)</f>
      </c>
      <c r="AC29" s="761">
        <v>0</v>
      </c>
      <c r="AD29" s="761">
        <v>0</v>
      </c>
      <c r="AE29" s="762">
        <f>IF(GetFillColor(AE29)&lt;0,Planning!$AEV114+Planning!$AEW114+Planning!$AFV114+Planning!$AFW114,0)</f>
      </c>
      <c r="AF29" s="762">
        <f>IF(GetFillColor(AF29)&lt;0,Planning!$AFY114+Planning!$AFZ114+Planning!$AGY114+Planning!$AGZ114,0)</f>
      </c>
      <c r="AG29" s="762">
        <f>IF(GetFillColor(AG29)&lt;0,Planning!$AHB114+Planning!$AHC114+Planning!$AIB114+Planning!$AIC114,0)</f>
      </c>
      <c r="AH29" s="762">
        <f>IF(GetFillColor(AH29)&lt;0,Planning!$AIE114+Planning!$AIF114+Planning!$AJE114+Planning!$AJF114,0)</f>
      </c>
      <c r="AI29" s="762">
        <f>IF(GetFillColor(AI29)&lt;0,Planning!$AJH114+Planning!$AJI114+Planning!$AKH114+Planning!$AKI114,0)</f>
      </c>
      <c r="AJ29" s="761">
        <v>0</v>
      </c>
      <c r="AK29" s="760">
        <v>0</v>
      </c>
      <c r="AL29" s="698">
        <f>SUM(C29:AK29)</f>
      </c>
      <c r="AM29" s="4"/>
      <c r="AN29" s="4"/>
    </row>
    <row r="30" ht="20.25" customHeight="1" spans="1:40" x14ac:dyDescent="0.25">
      <c r="A30" s="4">
        <f>A15</f>
      </c>
      <c r="B30" s="4"/>
      <c r="C30" s="760">
        <f>IF(GetFillColor(C30)&lt;0,Planning!$D115+Planning!$E115+Planning!$AD115+Planning!$AE115,0)</f>
      </c>
      <c r="D30" s="760">
        <f>IF(GetFillColor(D30)&lt;0,Planning!$AG115+Planning!$AH115+Planning!$BG115+Planning!$BH115,0)</f>
      </c>
      <c r="E30" s="760">
        <f>IF(GetFillColor(E30)&lt;0,Planning!$BJ115+Planning!$BK115+Planning!$CJ115+Planning!$CK115,0)</f>
      </c>
      <c r="F30" s="761">
        <f>IF(GetFillColor(F30)&lt;0,Planning!$CM115+Planning!$CN115+Planning!$DM115+Planning!$DN115,0)</f>
      </c>
      <c r="G30" s="761">
        <f>IF(GetFillColor(G30)&lt;0,Planning!$DP115+Planning!$DQ115+Planning!$EP115+Planning!$EQ115,0)</f>
      </c>
      <c r="H30" s="761">
        <v>0</v>
      </c>
      <c r="I30" s="761">
        <v>0</v>
      </c>
      <c r="J30" s="762">
        <f>IF(GetFillColor(J30)&lt;0,Planning!$HB115+Planning!$HC115+Planning!$IB115+Planning!$IC115,0)</f>
      </c>
      <c r="K30" s="762">
        <f>IF(GetFillColor(K30)&lt;0,Planning!$IE115+Planning!$IF115+Planning!$JE115+Planning!$JF115,0)</f>
      </c>
      <c r="L30" s="762">
        <f>IF(GetFillColor(L30)&lt;0,Planning!$JH115+Planning!$JI115+Planning!$KH115+Planning!$KI115,0)</f>
      </c>
      <c r="M30" s="762">
        <f>IF(GetFillColor(M30)&lt;0,Planning!$KK115+Planning!$KL115+Planning!$LK115+Planning!$LL115,0)</f>
      </c>
      <c r="N30" s="762">
        <f>IF(GetFillColor(N30)&lt;0,Planning!$LN115+Planning!$LO115+Planning!$MN115+Planning!$MO115,0)</f>
      </c>
      <c r="O30" s="761">
        <v>0</v>
      </c>
      <c r="P30" s="761">
        <v>0</v>
      </c>
      <c r="Q30" s="762">
        <f>IF(GetFillColor(Q30)&lt;0,Planning!$OZ115+Planning!$PA115+Planning!$PZ115+Planning!$QA115,0)</f>
      </c>
      <c r="R30" s="762">
        <f>IF(GetFillColor(R30)&lt;0,Planning!$QC115+Planning!$QD115+Planning!$RC115+Planning!$RD115,0)</f>
      </c>
      <c r="S30" s="762">
        <f>IF(GetFillColor(S30)&lt;0,Planning!$RF115+Planning!$RG115+Planning!$SF115+Planning!$SG115,0)</f>
      </c>
      <c r="T30" s="762">
        <f>IF(GetFillColor(T30)&lt;0,Planning!$SI115+Planning!$SJ115+Planning!$TI115+Planning!$TJ115,0)</f>
      </c>
      <c r="U30" s="762">
        <f>IF(GetFillColor(U30)&lt;0,Planning!$TL115+Planning!$TM115+Planning!$UL115+Planning!$UM115,0)</f>
      </c>
      <c r="V30" s="761">
        <v>0</v>
      </c>
      <c r="W30" s="761">
        <v>0</v>
      </c>
      <c r="X30" s="762">
        <f>IF(GetFillColor(X30)&lt;0,Planning!$WX115+Planning!$WY115+Planning!$XX115+Planning!$XY115,0)</f>
      </c>
      <c r="Y30" s="762">
        <f>IF(GetFillColor(Y30)&lt;0,Planning!$YA115+Planning!$YB115+Planning!$ZA115+Planning!$ZB115,0)</f>
      </c>
      <c r="Z30" s="762">
        <f>IF(GetFillColor(Z30)&lt;0,Planning!$ZD115+Planning!$ZE115+Planning!$AAD115+Planning!$AAE115,0)</f>
      </c>
      <c r="AA30" s="762">
        <f>IF(GetFillColor(AA30)&lt;0,Planning!$AAG115+Planning!$AAH115+Planning!$ABG115+Planning!$ABH115,0)</f>
      </c>
      <c r="AB30" s="762">
        <f>IF(GetFillColor(AB30)&lt;0,Planning!$ABJ115+Planning!$ABK115+Planning!$ACJ115+Planning!$ACK115,0)</f>
      </c>
      <c r="AC30" s="761">
        <v>0</v>
      </c>
      <c r="AD30" s="761">
        <v>0</v>
      </c>
      <c r="AE30" s="762">
        <f>IF(GetFillColor(AE30)&lt;0,Planning!$AEV115+Planning!$AEW115+Planning!$AFV115+Planning!$AFW115,0)</f>
      </c>
      <c r="AF30" s="762">
        <f>IF(GetFillColor(AF30)&lt;0,Planning!$AFY115+Planning!$AFZ115+Planning!$AGY115+Planning!$AGZ115,0)</f>
      </c>
      <c r="AG30" s="762">
        <f>IF(GetFillColor(AG30)&lt;0,Planning!$AHB115+Planning!$AHC115+Planning!$AIB115+Planning!$AIC115,0)</f>
      </c>
      <c r="AH30" s="762">
        <f>IF(GetFillColor(AH30)&lt;0,Planning!$AIE115+Planning!$AIF115+Planning!$AJE115+Planning!$AJF115,0)</f>
      </c>
      <c r="AI30" s="762">
        <f>IF(GetFillColor(AI30)&lt;0,Planning!$AJH115+Planning!$AJI115+Planning!$AKH115+Planning!$AKI115,0)</f>
      </c>
      <c r="AJ30" s="761">
        <v>0</v>
      </c>
      <c r="AK30" s="760">
        <v>0</v>
      </c>
      <c r="AL30" s="698">
        <f>SUM(C30:AK30)</f>
      </c>
      <c r="AM30" s="4"/>
      <c r="AN30" s="4"/>
    </row>
    <row r="31" spans="1:4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ht="80.25" customHeight="1" spans="1:40" s="754" customFormat="1" x14ac:dyDescent="0.25">
      <c r="A32" s="755" t="s">
        <v>247</v>
      </c>
      <c r="B32" s="756"/>
      <c r="C32" s="757">
        <f>C17</f>
      </c>
      <c r="D32" s="757">
        <f>D17</f>
      </c>
      <c r="E32" s="757">
        <f>E17</f>
      </c>
      <c r="F32" s="757">
        <f>F17</f>
      </c>
      <c r="G32" s="757">
        <f>G17</f>
      </c>
      <c r="H32" s="757">
        <f>H17</f>
      </c>
      <c r="I32" s="757">
        <f>I17</f>
      </c>
      <c r="J32" s="757">
        <f>J17</f>
      </c>
      <c r="K32" s="757">
        <f>K17</f>
      </c>
      <c r="L32" s="757">
        <f>L17</f>
      </c>
      <c r="M32" s="757">
        <f>M17</f>
      </c>
      <c r="N32" s="757">
        <f>N17</f>
      </c>
      <c r="O32" s="757">
        <f>O17</f>
      </c>
      <c r="P32" s="757">
        <f>P17</f>
      </c>
      <c r="Q32" s="757">
        <f>Q17</f>
      </c>
      <c r="R32" s="757">
        <f>R17</f>
      </c>
      <c r="S32" s="757">
        <f>S17</f>
      </c>
      <c r="T32" s="757">
        <f>T17</f>
      </c>
      <c r="U32" s="757">
        <f>U17</f>
      </c>
      <c r="V32" s="757">
        <f>V17</f>
      </c>
      <c r="W32" s="757">
        <f>W17</f>
      </c>
      <c r="X32" s="757">
        <f>X17</f>
      </c>
      <c r="Y32" s="757">
        <f>Y17</f>
      </c>
      <c r="Z32" s="757">
        <f>Z17</f>
      </c>
      <c r="AA32" s="757">
        <f>AA17</f>
      </c>
      <c r="AB32" s="757">
        <f>AB17</f>
      </c>
      <c r="AC32" s="757">
        <f>AC17</f>
      </c>
      <c r="AD32" s="757">
        <f>AD17</f>
      </c>
      <c r="AE32" s="757">
        <f>AE17</f>
      </c>
      <c r="AF32" s="757">
        <f>AF17</f>
      </c>
      <c r="AG32" s="757">
        <f>AG17</f>
      </c>
      <c r="AH32" s="757">
        <f>AH17</f>
      </c>
      <c r="AI32" s="757">
        <f>AI17</f>
      </c>
      <c r="AJ32" s="757">
        <f>AJ17</f>
      </c>
      <c r="AK32" s="757">
        <f>AK17</f>
      </c>
      <c r="AL32" s="758" t="s">
        <v>236</v>
      </c>
      <c r="AM32" s="4"/>
      <c r="AN32" s="4"/>
    </row>
    <row r="33" ht="10.5" customHeight="1" spans="1:40" s="754" customFormat="1" x14ac:dyDescent="0.25">
      <c r="A33" s="755"/>
      <c r="B33" s="756"/>
      <c r="C33" s="759"/>
      <c r="D33" s="759"/>
      <c r="E33" s="759"/>
      <c r="F33" s="759"/>
      <c r="G33" s="759"/>
      <c r="H33" s="759"/>
      <c r="I33" s="759"/>
      <c r="J33" s="759"/>
      <c r="K33" s="759"/>
      <c r="L33" s="759"/>
      <c r="M33" s="759"/>
      <c r="N33" s="759"/>
      <c r="O33" s="759"/>
      <c r="P33" s="759"/>
      <c r="Q33" s="759"/>
      <c r="R33" s="759"/>
      <c r="S33" s="759"/>
      <c r="T33" s="759"/>
      <c r="U33" s="759"/>
      <c r="V33" s="759"/>
      <c r="W33" s="759"/>
      <c r="X33" s="759"/>
      <c r="Y33" s="759"/>
      <c r="Z33" s="759"/>
      <c r="AA33" s="759"/>
      <c r="AB33" s="759"/>
      <c r="AC33" s="759"/>
      <c r="AD33" s="759"/>
      <c r="AE33" s="759"/>
      <c r="AF33" s="759"/>
      <c r="AG33" s="759"/>
      <c r="AH33" s="759"/>
      <c r="AI33" s="759"/>
      <c r="AJ33" s="759"/>
      <c r="AK33" s="759"/>
      <c r="AL33" s="758"/>
      <c r="AM33" s="4"/>
      <c r="AN33" s="4"/>
    </row>
    <row r="34" ht="20.25" customHeight="1" spans="1:40" x14ac:dyDescent="0.25">
      <c r="A34" s="4">
        <f>A4</f>
      </c>
      <c r="B34" s="4"/>
      <c r="C34" s="760">
        <f>IF(GetFillColor(C34)=15,SUM(Planning!$D104:$AE104),0)</f>
      </c>
      <c r="D34" s="760">
        <f>IF(GetFillColor(D34)=15,SUM(Planning!$AG104:$BH104),0)</f>
      </c>
      <c r="E34" s="760">
        <f>IF(GetFillColor(E34)=15,SUM(Planning!$BJ104:$CK104),0)</f>
      </c>
      <c r="F34" s="763">
        <f>IF(GetFillColor(F34)=15,SUM(Planning!$CM104:$DN104),0)</f>
      </c>
      <c r="G34" s="763">
        <f>IF(GetFillColor(G34)=15,SUM(Planning!$DP104:$EQ104),0)</f>
      </c>
      <c r="H34" s="763">
        <f>IF(GetFillColor(H34)=15,SUM(Planning!$ES104:$FT104),0)</f>
      </c>
      <c r="I34" s="763">
        <f>IF(GetFillColor(I34)=15,SUM(Planning!$FV104:$GW104),0)</f>
      </c>
      <c r="J34" s="762">
        <f>IF(GetFillColor(J34)=15,SUM(Planning!$HB104:$IC104),0)</f>
      </c>
      <c r="K34" s="762">
        <f>IF(GetFillColor(K34)=15,SUM(Planning!$IE104:$JF104),0)</f>
      </c>
      <c r="L34" s="762">
        <f>IF(GetFillColor(L34)=15,SUM(Planning!$JH104:$KI104),0)</f>
      </c>
      <c r="M34" s="762">
        <f>IF(GetFillColor(M34)=15,SUM(Planning!$KK104:$LL104),0)</f>
      </c>
      <c r="N34" s="762">
        <f>IF(GetFillColor(N34)=15,SUM(Planning!$LN104:$MO104),0)</f>
      </c>
      <c r="O34" s="763">
        <f>IF(GetFillColor(O34)=15,SUM(Planning!$MQ104:$NR104),0)</f>
      </c>
      <c r="P34" s="763">
        <f>IF(GetFillColor(P34)=15,SUM(Planning!$NT104:$OU104),0)</f>
      </c>
      <c r="Q34" s="762">
        <f>IF(GetFillColor(Q34)=15,SUM(Planning!$OZ104:$QA104),0)</f>
      </c>
      <c r="R34" s="762">
        <f>IF(GetFillColor(R34)=15,SUM(Planning!$QC104:$RD104),0)</f>
      </c>
      <c r="S34" s="762">
        <f>IF(GetFillColor(S34)=15,SUM(Planning!$RF104:$SG104),0)</f>
      </c>
      <c r="T34" s="762">
        <f>IF(GetFillColor(T34)=15,SUM(Planning!$SI104:$TJ104),0)</f>
      </c>
      <c r="U34" s="762">
        <f>IF(GetFillColor(U34)=15,SUM(Planning!$TL104:$UM104),0)</f>
      </c>
      <c r="V34" s="763">
        <f>IF(GetFillColor(V34)=15,SUM(Planning!$UO104:$VP104),0)</f>
      </c>
      <c r="W34" s="763">
        <f>IF(GetFillColor(W34)=15,SUM(Planning!$VR104:$WS104),0)</f>
      </c>
      <c r="X34" s="762">
        <f>IF(GetFillColor(X34)=15,SUM(Planning!$WX104:$XY104),0)</f>
      </c>
      <c r="Y34" s="762">
        <f>IF(GetFillColor(Y34)=15,SUM(Planning!$YA104:$ZB104),0)</f>
      </c>
      <c r="Z34" s="762">
        <f>IF(GetFillColor(Z34)=15,SUM(Planning!$ZD104:$AAE104),0)</f>
      </c>
      <c r="AA34" s="762">
        <f>IF(GetFillColor(AA34)=15,SUM(Planning!$AAG104:$ABH104),0)</f>
      </c>
      <c r="AB34" s="762">
        <f>IF(GetFillColor(AB34)=15,SUM(Planning!$ABJ104:$ACK104),0)</f>
      </c>
      <c r="AC34" s="763">
        <f>IF(GetFillColor(AC34)=15,SUM(Planning!$ACM104:$ADN104),0)</f>
      </c>
      <c r="AD34" s="763">
        <f>IF(GetFillColor(AD34)=15,SUM(Planning!$ADP104:$AEQ104),0)</f>
      </c>
      <c r="AE34" s="762">
        <f>IF(GetFillColor(AE34)=15,SUM(Planning!$AEV104:$AFW104),0)</f>
      </c>
      <c r="AF34" s="762">
        <f>IF(GetFillColor(AF34)=15,SUM(Planning!$AFY104:$AGZ104),0)</f>
      </c>
      <c r="AG34" s="762">
        <f>IF(GetFillColor(AG34)=15,SUM(Planning!$AHB104:$AIC104),0)</f>
      </c>
      <c r="AH34" s="762">
        <f>IF(GetFillColor(AH34)=15,SUM(Planning!$AIE104:$AJF104),0)</f>
      </c>
      <c r="AI34" s="762">
        <f>IF(GetFillColor(AI34)=15,SUM(Planning!$AJH104:$AKI104),0)</f>
      </c>
      <c r="AJ34" s="763">
        <f>IF(GetFillColor(AJ34)=15,SUM(Planning!$AKK104:$ALL104),0)</f>
      </c>
      <c r="AK34" s="760">
        <f>IF(GetFillColor(AK34)=15,SUM(Planning!$ALN104:$AMO104),0)</f>
      </c>
      <c r="AL34" s="698">
        <f>SUM(C34:AK34)</f>
      </c>
      <c r="AM34" s="4"/>
      <c r="AN34" s="4"/>
    </row>
    <row r="35" ht="20.25" customHeight="1" spans="1:40" x14ac:dyDescent="0.25">
      <c r="A35" s="4">
        <f>A5</f>
      </c>
      <c r="B35" s="4"/>
      <c r="C35" s="760">
        <f>IF(GetFillColor(C35)=15,SUM(Planning!$D105:$AE105),0)</f>
      </c>
      <c r="D35" s="760">
        <f>IF(GetFillColor(D35)=15,SUM(Planning!$AG105:$BH105),0)</f>
      </c>
      <c r="E35" s="760">
        <f>IF(GetFillColor(E35)=15,SUM(Planning!$BJ105:$CK105),0)</f>
      </c>
      <c r="F35" s="763">
        <f>IF(GetFillColor(F35)=15,SUM(Planning!$CM105:$DN105),0)</f>
      </c>
      <c r="G35" s="763">
        <f>IF(GetFillColor(G35)=15,SUM(Planning!$DP105:$EQ105),0)</f>
      </c>
      <c r="H35" s="763">
        <f>IF(GetFillColor(H35)=15,SUM(Planning!$ES105:$FT105),0)</f>
      </c>
      <c r="I35" s="763">
        <f>IF(GetFillColor(I35)=15,SUM(Planning!$FV105:$GW105),0)</f>
      </c>
      <c r="J35" s="762">
        <f>IF(GetFillColor(J35)=15,SUM(Planning!$HB105:$IC105),0)</f>
      </c>
      <c r="K35" s="762">
        <f>IF(GetFillColor(K35)=15,SUM(Planning!$IE105:$JF105),0)</f>
      </c>
      <c r="L35" s="762">
        <f>IF(GetFillColor(L35)=15,SUM(Planning!$JH105:$KI105),0)</f>
      </c>
      <c r="M35" s="762">
        <f>IF(GetFillColor(M35)=15,SUM(Planning!$KK105:$LL105),0)</f>
      </c>
      <c r="N35" s="762">
        <f>IF(GetFillColor(N35)=15,SUM(Planning!$LN105:$MO105),0)</f>
      </c>
      <c r="O35" s="763">
        <f>IF(GetFillColor(O35)=15,SUM(Planning!$MQ105:$NR105),0)</f>
      </c>
      <c r="P35" s="763">
        <f>IF(GetFillColor(P35)=15,SUM(Planning!$NT105:$OU105),0)</f>
      </c>
      <c r="Q35" s="762">
        <f>IF(GetFillColor(Q35)=15,SUM(Planning!$OZ105:$QA105),0)</f>
      </c>
      <c r="R35" s="762">
        <f>IF(GetFillColor(R35)=15,SUM(Planning!$QC105:$RD105),0)</f>
      </c>
      <c r="S35" s="762">
        <f>IF(GetFillColor(S35)=15,SUM(Planning!$RF105:$SG105),0)</f>
      </c>
      <c r="T35" s="762">
        <f>IF(GetFillColor(T35)=15,SUM(Planning!$SI105:$TJ105),0)</f>
      </c>
      <c r="U35" s="762">
        <f>IF(GetFillColor(U35)=15,SUM(Planning!$TL105:$UM105),0)</f>
      </c>
      <c r="V35" s="763">
        <f>IF(GetFillColor(V35)=15,SUM(Planning!$UO105:$VP105),0)</f>
      </c>
      <c r="W35" s="763">
        <f>IF(GetFillColor(W35)=15,SUM(Planning!$VR105:$WS105),0)</f>
      </c>
      <c r="X35" s="762">
        <f>IF(GetFillColor(X35)=15,SUM(Planning!$WX105:$XY105),0)</f>
      </c>
      <c r="Y35" s="762">
        <f>IF(GetFillColor(Y35)=15,SUM(Planning!$YA105:$ZB105),0)</f>
      </c>
      <c r="Z35" s="762">
        <f>IF(GetFillColor(Z35)=15,SUM(Planning!$ZD105:$AAE105),0)</f>
      </c>
      <c r="AA35" s="762">
        <f>IF(GetFillColor(AA35)=15,SUM(Planning!$AAG105:$ABH105),0)</f>
      </c>
      <c r="AB35" s="762">
        <f>IF(GetFillColor(AB35)=15,SUM(Planning!$ABJ105:$ACK105),0)</f>
      </c>
      <c r="AC35" s="763">
        <f>IF(GetFillColor(AC35)=15,SUM(Planning!$ACM105:$ADN105),0)</f>
      </c>
      <c r="AD35" s="763">
        <f>IF(GetFillColor(AD35)=15,SUM(Planning!$ADP105:$AEQ105),0)</f>
      </c>
      <c r="AE35" s="762">
        <f>IF(GetFillColor(AE35)=15,SUM(Planning!$AEV105:$AFW105),0)</f>
      </c>
      <c r="AF35" s="762">
        <f>IF(GetFillColor(AF35)=15,SUM(Planning!$AFY105:$AGZ105),0)</f>
      </c>
      <c r="AG35" s="762">
        <f>IF(GetFillColor(AG35)=15,SUM(Planning!$AHB105:$AIC105),0)</f>
      </c>
      <c r="AH35" s="762">
        <f>IF(GetFillColor(AH35)=15,SUM(Planning!$AIE105:$AJF105),0)</f>
      </c>
      <c r="AI35" s="762">
        <f>IF(GetFillColor(AI35)=15,SUM(Planning!$AJH105:$AKI105),0)</f>
      </c>
      <c r="AJ35" s="763">
        <f>IF(GetFillColor(AJ35)=15,SUM(Planning!$AKK105:$ALL105),0)</f>
      </c>
      <c r="AK35" s="760">
        <f>IF(GetFillColor(AK35)=15,SUM(Planning!$ALN105:$AMO105),0)</f>
      </c>
      <c r="AL35" s="698">
        <f>SUM(C35:AK35)</f>
      </c>
      <c r="AM35" s="4"/>
      <c r="AN35" s="4"/>
    </row>
    <row r="36" ht="20.25" customHeight="1" spans="1:40" x14ac:dyDescent="0.25">
      <c r="A36" s="4">
        <f>A6</f>
      </c>
      <c r="B36" s="4"/>
      <c r="C36" s="760">
        <f>IF(GetFillColor(C36)=15,SUM(Planning!$D106:$AE106),0)</f>
      </c>
      <c r="D36" s="760">
        <f>IF(GetFillColor(D36)=15,SUM(Planning!$AG106:$BH106),0)</f>
      </c>
      <c r="E36" s="760">
        <f>IF(GetFillColor(E36)=15,SUM(Planning!$BJ106:$CK106),0)</f>
      </c>
      <c r="F36" s="763">
        <f>IF(GetFillColor(F36)=15,SUM(Planning!$CM106:$DN106),0)</f>
      </c>
      <c r="G36" s="763">
        <f>IF(GetFillColor(G36)=15,SUM(Planning!$DP106:$EQ106),0)</f>
      </c>
      <c r="H36" s="763">
        <f>IF(GetFillColor(H36)=15,SUM(Planning!$ES106:$FT106),0)</f>
      </c>
      <c r="I36" s="763">
        <f>IF(GetFillColor(I36)=15,SUM(Planning!$FV106:$GW106),0)</f>
      </c>
      <c r="J36" s="762">
        <f>IF(GetFillColor(J36)=15,SUM(Planning!$HB106:$IC106),0)</f>
      </c>
      <c r="K36" s="762">
        <f>IF(GetFillColor(K36)=15,SUM(Planning!$IE106:$JF106),0)</f>
      </c>
      <c r="L36" s="762">
        <f>IF(GetFillColor(L36)=15,SUM(Planning!$JH106:$KI106),0)</f>
      </c>
      <c r="M36" s="762">
        <f>IF(GetFillColor(M36)=15,SUM(Planning!$KK106:$LL106),0)</f>
      </c>
      <c r="N36" s="762">
        <f>IF(GetFillColor(N36)=15,SUM(Planning!$LN106:$MO106),0)</f>
      </c>
      <c r="O36" s="763">
        <f>IF(GetFillColor(O36)=15,SUM(Planning!$MQ106:$NR106),0)</f>
      </c>
      <c r="P36" s="763">
        <f>IF(GetFillColor(P36)=15,SUM(Planning!$NT106:$OU106),0)</f>
      </c>
      <c r="Q36" s="762">
        <f>IF(GetFillColor(Q36)=15,SUM(Planning!$OZ106:$QA106),0)</f>
      </c>
      <c r="R36" s="762">
        <f>IF(GetFillColor(R36)=15,SUM(Planning!$QC106:$RD106),0)</f>
      </c>
      <c r="S36" s="762">
        <f>IF(GetFillColor(S36)=15,SUM(Planning!$RF106:$SG106),0)</f>
      </c>
      <c r="T36" s="762">
        <f>IF(GetFillColor(T36)=15,SUM(Planning!$SI106:$TJ106),0)</f>
      </c>
      <c r="U36" s="762">
        <f>IF(GetFillColor(U36)=15,SUM(Planning!$TL106:$UM106),0)</f>
      </c>
      <c r="V36" s="763">
        <f>IF(GetFillColor(V36)=15,SUM(Planning!$UO106:$VP106),0)</f>
      </c>
      <c r="W36" s="763">
        <f>IF(GetFillColor(W36)=15,SUM(Planning!$VR106:$WS106),0)</f>
      </c>
      <c r="X36" s="762">
        <f>IF(GetFillColor(X36)=15,SUM(Planning!$WX106:$XY106),0)</f>
      </c>
      <c r="Y36" s="762">
        <f>IF(GetFillColor(Y36)=15,SUM(Planning!$YA106:$ZB106),0)</f>
      </c>
      <c r="Z36" s="762">
        <f>IF(GetFillColor(Z36)=15,SUM(Planning!$ZD106:$AAE106),0)</f>
      </c>
      <c r="AA36" s="762">
        <f>IF(GetFillColor(AA36)=15,SUM(Planning!$AAG106:$ABH106),0)</f>
      </c>
      <c r="AB36" s="762">
        <f>IF(GetFillColor(AB36)=15,SUM(Planning!$ABJ106:$ACK106),0)</f>
      </c>
      <c r="AC36" s="763">
        <f>IF(GetFillColor(AC36)=15,SUM(Planning!$ACM106:$ADN106),0)</f>
      </c>
      <c r="AD36" s="763">
        <f>IF(GetFillColor(AD36)=15,SUM(Planning!$ADP106:$AEQ106),0)</f>
      </c>
      <c r="AE36" s="762">
        <f>IF(GetFillColor(AE36)=15,SUM(Planning!$AEV106:$AFW106),0)</f>
      </c>
      <c r="AF36" s="762">
        <f>IF(GetFillColor(AF36)=15,SUM(Planning!$AFY106:$AGZ106),0)</f>
      </c>
      <c r="AG36" s="762">
        <f>IF(GetFillColor(AG36)=15,SUM(Planning!$AHB106:$AIC106),0)</f>
      </c>
      <c r="AH36" s="762">
        <f>IF(GetFillColor(AH36)=15,SUM(Planning!$AIE106:$AJF106),0)</f>
      </c>
      <c r="AI36" s="762">
        <f>IF(GetFillColor(AI36)=15,SUM(Planning!$AJH106:$AKI106),0)</f>
      </c>
      <c r="AJ36" s="763">
        <f>IF(GetFillColor(AJ36)=15,SUM(Planning!$AKK106:$ALL106),0)</f>
      </c>
      <c r="AK36" s="760">
        <f>IF(GetFillColor(AK36)=15,SUM(Planning!$ALN106:$AMO106),0)</f>
      </c>
      <c r="AL36" s="698">
        <f>SUM(C36:AK36)</f>
      </c>
      <c r="AM36" s="4"/>
      <c r="AN36" s="4"/>
    </row>
    <row r="37" ht="20.25" customHeight="1" spans="1:40" x14ac:dyDescent="0.25">
      <c r="A37" s="4">
        <f>A7</f>
      </c>
      <c r="B37" s="4"/>
      <c r="C37" s="760">
        <f>IF(GetFillColor(C37)=15,SUM(Planning!$D107:$AE107),0)</f>
      </c>
      <c r="D37" s="760">
        <f>IF(GetFillColor(D37)=15,SUM(Planning!$AG107:$BH107),0)</f>
      </c>
      <c r="E37" s="760">
        <f>IF(GetFillColor(E37)=15,SUM(Planning!$BJ107:$CK107),0)</f>
      </c>
      <c r="F37" s="763">
        <f>IF(GetFillColor(F37)=15,SUM(Planning!$CM107:$DN107),0)</f>
      </c>
      <c r="G37" s="763">
        <f>IF(GetFillColor(G37)=15,SUM(Planning!$DP107:$EQ107),0)</f>
      </c>
      <c r="H37" s="763">
        <f>IF(GetFillColor(H37)=15,SUM(Planning!$ES107:$FT107),0)</f>
      </c>
      <c r="I37" s="763">
        <f>IF(GetFillColor(I37)=15,SUM(Planning!$FV107:$GW107),0)</f>
      </c>
      <c r="J37" s="762">
        <f>IF(GetFillColor(J37)=15,SUM(Planning!$HB107:$IC107),0)</f>
      </c>
      <c r="K37" s="762">
        <f>IF(GetFillColor(K37)=15,SUM(Planning!$IE107:$JF107),0)</f>
      </c>
      <c r="L37" s="762">
        <f>IF(GetFillColor(L37)=15,SUM(Planning!$JH107:$KI107),0)</f>
      </c>
      <c r="M37" s="762">
        <f>IF(GetFillColor(M37)=15,SUM(Planning!$KK107:$LL107),0)</f>
      </c>
      <c r="N37" s="762">
        <f>IF(GetFillColor(N37)=15,SUM(Planning!$LN107:$MO107),0)</f>
      </c>
      <c r="O37" s="763">
        <f>IF(GetFillColor(O37)=15,SUM(Planning!$MQ107:$NR107),0)</f>
      </c>
      <c r="P37" s="763">
        <f>IF(GetFillColor(P37)=15,SUM(Planning!$NT107:$OU107),0)</f>
      </c>
      <c r="Q37" s="762">
        <f>IF(GetFillColor(Q37)=15,SUM(Planning!$OZ107:$QA107),0)</f>
      </c>
      <c r="R37" s="762">
        <f>IF(GetFillColor(R37)=15,SUM(Planning!$QC107:$RD107),0)</f>
      </c>
      <c r="S37" s="762">
        <f>IF(GetFillColor(S37)=15,SUM(Planning!$RF107:$SG107),0)</f>
      </c>
      <c r="T37" s="762">
        <f>IF(GetFillColor(T37)=15,SUM(Planning!$SI107:$TJ107),0)</f>
      </c>
      <c r="U37" s="762">
        <f>IF(GetFillColor(U37)=15,SUM(Planning!$TL107:$UM107),0)</f>
      </c>
      <c r="V37" s="763">
        <f>IF(GetFillColor(V37)=15,SUM(Planning!$UO107:$VP107),0)</f>
      </c>
      <c r="W37" s="763">
        <f>IF(GetFillColor(W37)=15,SUM(Planning!$VR107:$WS107),0)</f>
      </c>
      <c r="X37" s="762">
        <f>IF(GetFillColor(X37)=15,SUM(Planning!$WX107:$XY107),0)</f>
      </c>
      <c r="Y37" s="762">
        <f>IF(GetFillColor(Y37)=15,SUM(Planning!$YA107:$ZB107),0)</f>
      </c>
      <c r="Z37" s="762">
        <f>IF(GetFillColor(Z37)=15,SUM(Planning!$ZD107:$AAE107),0)</f>
      </c>
      <c r="AA37" s="762">
        <f>IF(GetFillColor(AA37)=15,SUM(Planning!$AAG107:$ABH107),0)</f>
      </c>
      <c r="AB37" s="762">
        <f>IF(GetFillColor(AB37)=15,SUM(Planning!$ABJ107:$ACK107),0)</f>
      </c>
      <c r="AC37" s="763">
        <f>IF(GetFillColor(AC37)=15,SUM(Planning!$ACM107:$ADN107),0)</f>
      </c>
      <c r="AD37" s="763">
        <f>IF(GetFillColor(AD37)=15,SUM(Planning!$ADP107:$AEQ107),0)</f>
      </c>
      <c r="AE37" s="762">
        <f>IF(GetFillColor(AE37)=15,SUM(Planning!$AEV107:$AFW107),0)</f>
      </c>
      <c r="AF37" s="762">
        <f>IF(GetFillColor(AF37)=15,SUM(Planning!$AFY107:$AGZ107),0)</f>
      </c>
      <c r="AG37" s="762">
        <f>IF(GetFillColor(AG37)=15,SUM(Planning!$AHB107:$AIC107),0)</f>
      </c>
      <c r="AH37" s="762">
        <f>IF(GetFillColor(AH37)=15,SUM(Planning!$AIE107:$AJF107),0)</f>
      </c>
      <c r="AI37" s="762">
        <f>IF(GetFillColor(AI37)=15,SUM(Planning!$AJH107:$AKI107),0)</f>
      </c>
      <c r="AJ37" s="763">
        <f>IF(GetFillColor(AJ37)=15,SUM(Planning!$AKK107:$ALL107),0)</f>
      </c>
      <c r="AK37" s="760">
        <f>IF(GetFillColor(AK37)=15,SUM(Planning!$ALN107:$AMO107),0)</f>
      </c>
      <c r="AL37" s="698">
        <f>SUM(C37:AK37)</f>
      </c>
      <c r="AM37" s="4"/>
      <c r="AN37" s="4"/>
    </row>
    <row r="38" ht="20.25" customHeight="1" spans="1:40" x14ac:dyDescent="0.25">
      <c r="A38" s="4">
        <f>A8</f>
      </c>
      <c r="B38" s="4"/>
      <c r="C38" s="760">
        <f>IF(GetFillColor(C38)=15,SUM(Planning!$D108:$AE108),0)</f>
      </c>
      <c r="D38" s="760">
        <f>IF(GetFillColor(D38)=15,SUM(Planning!$AG108:$BH108),0)</f>
      </c>
      <c r="E38" s="760">
        <f>IF(GetFillColor(E38)=15,SUM(Planning!$BJ108:$CK108),0)</f>
      </c>
      <c r="F38" s="763">
        <f>IF(GetFillColor(F38)=15,SUM(Planning!$CM108:$DN108),0)</f>
      </c>
      <c r="G38" s="763">
        <f>IF(GetFillColor(G38)=15,SUM(Planning!$DP108:$EQ108),0)</f>
      </c>
      <c r="H38" s="763">
        <f>IF(GetFillColor(H38)=15,SUM(Planning!$ES108:$FT108),0)</f>
      </c>
      <c r="I38" s="763">
        <f>IF(GetFillColor(I38)=15,SUM(Planning!$FV108:$GW108),0)</f>
      </c>
      <c r="J38" s="762">
        <f>IF(GetFillColor(J38)=15,SUM(Planning!$HB108:$IC108),0)</f>
      </c>
      <c r="K38" s="762">
        <f>IF(GetFillColor(K38)=15,SUM(Planning!$IE108:$JF108),0)</f>
      </c>
      <c r="L38" s="762">
        <f>IF(GetFillColor(L38)=15,SUM(Planning!$JH108:$KI108),0)</f>
      </c>
      <c r="M38" s="762">
        <f>IF(GetFillColor(M38)=15,SUM(Planning!$KK108:$LL108),0)</f>
      </c>
      <c r="N38" s="762">
        <f>IF(GetFillColor(N38)=15,SUM(Planning!$LN108:$MO108),0)</f>
      </c>
      <c r="O38" s="763">
        <f>IF(GetFillColor(O38)=15,SUM(Planning!$MQ108:$NR108),0)</f>
      </c>
      <c r="P38" s="763">
        <f>IF(GetFillColor(P38)=15,SUM(Planning!$NT108:$OU108),0)</f>
      </c>
      <c r="Q38" s="762">
        <f>IF(GetFillColor(Q38)=15,SUM(Planning!$OZ108:$QA108),0)</f>
      </c>
      <c r="R38" s="762">
        <f>IF(GetFillColor(R38)=15,SUM(Planning!$QC108:$RD108),0)</f>
      </c>
      <c r="S38" s="762">
        <f>IF(GetFillColor(S38)=15,SUM(Planning!$RF108:$SG108),0)</f>
      </c>
      <c r="T38" s="762">
        <f>IF(GetFillColor(T38)=15,SUM(Planning!$SI108:$TJ108),0)</f>
      </c>
      <c r="U38" s="762">
        <f>IF(GetFillColor(U38)=15,SUM(Planning!$TL108:$UM108),0)</f>
      </c>
      <c r="V38" s="763">
        <f>IF(GetFillColor(V38)=15,SUM(Planning!$UO108:$VP108),0)</f>
      </c>
      <c r="W38" s="763">
        <f>IF(GetFillColor(W38)=15,SUM(Planning!$VR108:$WS108),0)</f>
      </c>
      <c r="X38" s="762">
        <f>IF(GetFillColor(X38)=15,SUM(Planning!$WX108:$XY108),0)</f>
      </c>
      <c r="Y38" s="762">
        <f>IF(GetFillColor(Y38)=15,SUM(Planning!$YA108:$ZB108),0)</f>
      </c>
      <c r="Z38" s="762">
        <f>IF(GetFillColor(Z38)=15,SUM(Planning!$ZD108:$AAE108),0)</f>
      </c>
      <c r="AA38" s="762">
        <f>IF(GetFillColor(AA38)=15,SUM(Planning!$AAG108:$ABH108),0)</f>
      </c>
      <c r="AB38" s="762">
        <f>IF(GetFillColor(AB38)=15,SUM(Planning!$ABJ108:$ACK108),0)</f>
      </c>
      <c r="AC38" s="763">
        <f>IF(GetFillColor(AC38)=15,SUM(Planning!$ACM108:$ADN108),0)</f>
      </c>
      <c r="AD38" s="763">
        <f>IF(GetFillColor(AD38)=15,SUM(Planning!$ADP108:$AEQ108),0)</f>
      </c>
      <c r="AE38" s="762">
        <f>IF(GetFillColor(AE38)=15,SUM(Planning!$AEV108:$AFW108),0)</f>
      </c>
      <c r="AF38" s="762">
        <f>IF(GetFillColor(AF38)=15,SUM(Planning!$AFY108:$AGZ108),0)</f>
      </c>
      <c r="AG38" s="762">
        <f>IF(GetFillColor(AG38)=15,SUM(Planning!$AHB108:$AIC108),0)</f>
      </c>
      <c r="AH38" s="762">
        <f>IF(GetFillColor(AH38)=15,SUM(Planning!$AIE108:$AJF108),0)</f>
      </c>
      <c r="AI38" s="762">
        <f>IF(GetFillColor(AI38)=15,SUM(Planning!$AJH108:$AKI108),0)</f>
      </c>
      <c r="AJ38" s="763">
        <f>IF(GetFillColor(AJ38)=15,SUM(Planning!$AKK108:$ALL108),0)</f>
      </c>
      <c r="AK38" s="760">
        <f>IF(GetFillColor(AK38)=15,SUM(Planning!$ALN108:$AMO108),0)</f>
      </c>
      <c r="AL38" s="698">
        <f>SUM(C38:AK38)</f>
      </c>
      <c r="AM38" s="4"/>
      <c r="AN38" s="4"/>
    </row>
    <row r="39" ht="20.25" customHeight="1" spans="1:40" x14ac:dyDescent="0.25">
      <c r="A39" s="4">
        <f>A9</f>
      </c>
      <c r="B39" s="4"/>
      <c r="C39" s="760">
        <f>IF(GetFillColor(C39)=15,SUM(Planning!$D109:$AE109),0)</f>
      </c>
      <c r="D39" s="760">
        <f>IF(GetFillColor(D39)=15,SUM(Planning!$AG109:$BH109),0)</f>
      </c>
      <c r="E39" s="760">
        <f>IF(GetFillColor(E39)=15,SUM(Planning!$BJ109:$CK109),0)</f>
      </c>
      <c r="F39" s="763">
        <f>IF(GetFillColor(F39)=15,SUM(Planning!$CM109:$DN109),0)</f>
      </c>
      <c r="G39" s="763">
        <f>IF(GetFillColor(G39)=15,SUM(Planning!$DP109:$EQ109),0)</f>
      </c>
      <c r="H39" s="763">
        <f>IF(GetFillColor(H39)=15,SUM(Planning!$ES109:$FT109),0)</f>
      </c>
      <c r="I39" s="763">
        <f>IF(GetFillColor(I39)=15,SUM(Planning!$FV109:$GW109),0)</f>
      </c>
      <c r="J39" s="762">
        <f>IF(GetFillColor(J39)=15,SUM(Planning!$HB109:$IC109),0)</f>
      </c>
      <c r="K39" s="762">
        <f>IF(GetFillColor(K39)=15,SUM(Planning!$IE109:$JF109),0)</f>
      </c>
      <c r="L39" s="762">
        <f>IF(GetFillColor(L39)=15,SUM(Planning!$JH109:$KI109),0)</f>
      </c>
      <c r="M39" s="762">
        <f>IF(GetFillColor(M39)=15,SUM(Planning!$KK109:$LL109),0)</f>
      </c>
      <c r="N39" s="762">
        <f>IF(GetFillColor(N39)=15,SUM(Planning!$LN109:$MO109),0)</f>
      </c>
      <c r="O39" s="763">
        <f>IF(GetFillColor(O39)=15,SUM(Planning!$MQ109:$NR109),0)</f>
      </c>
      <c r="P39" s="763">
        <f>IF(GetFillColor(P39)=15,SUM(Planning!$NT109:$OU109),0)</f>
      </c>
      <c r="Q39" s="762">
        <f>IF(GetFillColor(Q39)=15,SUM(Planning!$OZ109:$QA109),0)</f>
      </c>
      <c r="R39" s="762">
        <f>IF(GetFillColor(R39)=15,SUM(Planning!$QC109:$RD109),0)</f>
      </c>
      <c r="S39" s="762">
        <f>IF(GetFillColor(S39)=15,SUM(Planning!$RF109:$SG109),0)</f>
      </c>
      <c r="T39" s="762">
        <f>IF(GetFillColor(T39)=15,SUM(Planning!$SI109:$TJ109),0)</f>
      </c>
      <c r="U39" s="762">
        <f>IF(GetFillColor(U39)=15,SUM(Planning!$TL109:$UM109),0)</f>
      </c>
      <c r="V39" s="763">
        <f>IF(GetFillColor(V39)=15,SUM(Planning!$UO109:$VP109),0)</f>
      </c>
      <c r="W39" s="763">
        <f>IF(GetFillColor(W39)=15,SUM(Planning!$VR109:$WS109),0)</f>
      </c>
      <c r="X39" s="762">
        <f>IF(GetFillColor(X39)=15,SUM(Planning!$WX109:$XY109),0)</f>
      </c>
      <c r="Y39" s="762">
        <f>IF(GetFillColor(Y39)=15,SUM(Planning!$YA109:$ZB109),0)</f>
      </c>
      <c r="Z39" s="762">
        <f>IF(GetFillColor(Z39)=15,SUM(Planning!$ZD109:$AAE109),0)</f>
      </c>
      <c r="AA39" s="762">
        <f>IF(GetFillColor(AA39)=15,SUM(Planning!$AAG109:$ABH109),0)</f>
      </c>
      <c r="AB39" s="762">
        <f>IF(GetFillColor(AB39)=15,SUM(Planning!$ABJ109:$ACK109),0)</f>
      </c>
      <c r="AC39" s="763">
        <f>IF(GetFillColor(AC39)=15,SUM(Planning!$ACM109:$ADN109),0)</f>
      </c>
      <c r="AD39" s="763">
        <f>IF(GetFillColor(AD39)=15,SUM(Planning!$ADP109:$AEQ109),0)</f>
      </c>
      <c r="AE39" s="762">
        <f>IF(GetFillColor(AE39)=15,SUM(Planning!$AEV109:$AFW109),0)</f>
      </c>
      <c r="AF39" s="762">
        <f>IF(GetFillColor(AF39)=15,SUM(Planning!$AFY109:$AGZ109),0)</f>
      </c>
      <c r="AG39" s="762">
        <f>IF(GetFillColor(AG39)=15,SUM(Planning!$AHB109:$AIC109),0)</f>
      </c>
      <c r="AH39" s="762">
        <f>IF(GetFillColor(AH39)=15,SUM(Planning!$AIE109:$AJF109),0)</f>
      </c>
      <c r="AI39" s="762">
        <f>IF(GetFillColor(AI39)=15,SUM(Planning!$AJH109:$AKI109),0)</f>
      </c>
      <c r="AJ39" s="763">
        <f>IF(GetFillColor(AJ39)=15,SUM(Planning!$AKK109:$ALL109),0)</f>
      </c>
      <c r="AK39" s="760">
        <f>IF(GetFillColor(AK39)=15,SUM(Planning!$ALN109:$AMO109),0)</f>
      </c>
      <c r="AL39" s="698">
        <f>SUM(C39:AK39)</f>
      </c>
      <c r="AM39" s="4"/>
      <c r="AN39" s="4"/>
    </row>
    <row r="40" ht="20.25" customHeight="1" spans="1:40" x14ac:dyDescent="0.25">
      <c r="A40" s="4">
        <f>A10</f>
      </c>
      <c r="B40" s="4"/>
      <c r="C40" s="760">
        <f>IF(GetFillColor(C40)=15,SUM(Planning!$D110:$AE110),0)</f>
      </c>
      <c r="D40" s="760">
        <f>IF(GetFillColor(D40)=15,SUM(Planning!$AG110:$BH110),0)</f>
      </c>
      <c r="E40" s="760">
        <f>IF(GetFillColor(E40)=15,SUM(Planning!$BJ110:$CK110),0)</f>
      </c>
      <c r="F40" s="763">
        <f>IF(GetFillColor(F40)=15,SUM(Planning!$CM110:$DN110),0)</f>
      </c>
      <c r="G40" s="763">
        <f>IF(GetFillColor(G40)=15,SUM(Planning!$DP110:$EQ110),0)</f>
      </c>
      <c r="H40" s="763">
        <f>IF(GetFillColor(H40)=15,SUM(Planning!$ES110:$FT110),0)</f>
      </c>
      <c r="I40" s="763">
        <f>IF(GetFillColor(I40)=15,SUM(Planning!$FV110:$GW110),0)</f>
      </c>
      <c r="J40" s="762">
        <f>IF(GetFillColor(J40)=15,SUM(Planning!$HB110:$IC110),0)</f>
      </c>
      <c r="K40" s="762">
        <f>IF(GetFillColor(K40)=15,SUM(Planning!$IE110:$JF110),0)</f>
      </c>
      <c r="L40" s="762">
        <f>IF(GetFillColor(L40)=15,SUM(Planning!$JH110:$KI110),0)</f>
      </c>
      <c r="M40" s="762">
        <f>IF(GetFillColor(M40)=15,SUM(Planning!$KK110:$LL110),0)</f>
      </c>
      <c r="N40" s="762">
        <f>IF(GetFillColor(N40)=15,SUM(Planning!$LN110:$MO110),0)</f>
      </c>
      <c r="O40" s="763">
        <f>IF(GetFillColor(O40)=15,SUM(Planning!$MQ110:$NR110),0)</f>
      </c>
      <c r="P40" s="763">
        <f>IF(GetFillColor(P40)=15,SUM(Planning!$NT110:$OU110),0)</f>
      </c>
      <c r="Q40" s="762">
        <f>IF(GetFillColor(Q40)=15,SUM(Planning!$OZ110:$QA110),0)</f>
      </c>
      <c r="R40" s="762">
        <f>IF(GetFillColor(R40)=15,SUM(Planning!$QC110:$RD110),0)</f>
      </c>
      <c r="S40" s="762">
        <f>IF(GetFillColor(S40)=15,SUM(Planning!$RF110:$SG110),0)</f>
      </c>
      <c r="T40" s="762">
        <f>IF(GetFillColor(T40)=15,SUM(Planning!$SI110:$TJ110),0)</f>
      </c>
      <c r="U40" s="762">
        <f>IF(GetFillColor(U40)=15,SUM(Planning!$TL110:$UM110),0)</f>
      </c>
      <c r="V40" s="763">
        <f>IF(GetFillColor(V40)=15,SUM(Planning!$UO110:$VP110),0)</f>
      </c>
      <c r="W40" s="763">
        <f>IF(GetFillColor(W40)=15,SUM(Planning!$VR110:$WS110),0)</f>
      </c>
      <c r="X40" s="762">
        <f>IF(GetFillColor(X40)=15,SUM(Planning!$WX110:$XY110),0)</f>
      </c>
      <c r="Y40" s="762">
        <f>IF(GetFillColor(Y40)=15,SUM(Planning!$YA110:$ZB110),0)</f>
      </c>
      <c r="Z40" s="762">
        <f>IF(GetFillColor(Z40)=15,SUM(Planning!$ZD110:$AAE110),0)</f>
      </c>
      <c r="AA40" s="762">
        <f>IF(GetFillColor(AA40)=15,SUM(Planning!$AAG110:$ABH110),0)</f>
      </c>
      <c r="AB40" s="762">
        <f>IF(GetFillColor(AB40)=15,SUM(Planning!$ABJ110:$ACK110),0)</f>
      </c>
      <c r="AC40" s="763">
        <f>IF(GetFillColor(AC40)=15,SUM(Planning!$ACM110:$ADN110),0)</f>
      </c>
      <c r="AD40" s="763">
        <f>IF(GetFillColor(AD40)=15,SUM(Planning!$ADP110:$AEQ110),0)</f>
      </c>
      <c r="AE40" s="762">
        <f>IF(GetFillColor(AE40)=15,SUM(Planning!$AEV110:$AFW110),0)</f>
      </c>
      <c r="AF40" s="762">
        <f>IF(GetFillColor(AF40)=15,SUM(Planning!$AFY110:$AGZ110),0)</f>
      </c>
      <c r="AG40" s="762">
        <f>IF(GetFillColor(AG40)=15,SUM(Planning!$AHB110:$AIC110),0)</f>
      </c>
      <c r="AH40" s="762">
        <f>IF(GetFillColor(AH40)=15,SUM(Planning!$AIE110:$AJF110),0)</f>
      </c>
      <c r="AI40" s="762">
        <f>IF(GetFillColor(AI40)=15,SUM(Planning!$AJH110:$AKI110),0)</f>
      </c>
      <c r="AJ40" s="763">
        <f>IF(GetFillColor(AJ40)=15,SUM(Planning!$AKK110:$ALL110),0)</f>
      </c>
      <c r="AK40" s="760">
        <f>IF(GetFillColor(AK40)=15,SUM(Planning!$ALN110:$AMO110),0)</f>
      </c>
      <c r="AL40" s="698">
        <f>SUM(C40:AK40)</f>
      </c>
      <c r="AM40" s="4"/>
      <c r="AN40" s="4"/>
    </row>
    <row r="41" ht="20.25" customHeight="1" spans="1:40" x14ac:dyDescent="0.25">
      <c r="A41" s="4">
        <f>A11</f>
      </c>
      <c r="B41" s="4"/>
      <c r="C41" s="760">
        <f>IF(GetFillColor(C41)=15,SUM(Planning!$D111:$AE111),0)</f>
      </c>
      <c r="D41" s="760">
        <f>IF(GetFillColor(D41)=15,SUM(Planning!$AG111:$BH111),0)</f>
      </c>
      <c r="E41" s="760">
        <f>IF(GetFillColor(E41)=15,SUM(Planning!$BJ111:$CK111),0)</f>
      </c>
      <c r="F41" s="763">
        <f>IF(GetFillColor(F41)=15,SUM(Planning!$CM111:$DN111),0)</f>
      </c>
      <c r="G41" s="763">
        <f>IF(GetFillColor(G41)=15,SUM(Planning!$DP111:$EQ111),0)</f>
      </c>
      <c r="H41" s="763">
        <f>IF(GetFillColor(H41)=15,SUM(Planning!$ES111:$FT111),0)</f>
      </c>
      <c r="I41" s="763">
        <f>IF(GetFillColor(I41)=15,SUM(Planning!$FV111:$GW111),0)</f>
      </c>
      <c r="J41" s="762">
        <f>IF(GetFillColor(J41)=15,SUM(Planning!$HB111:$IC111),0)</f>
      </c>
      <c r="K41" s="762">
        <f>IF(GetFillColor(K41)=15,SUM(Planning!$IE111:$JF111),0)</f>
      </c>
      <c r="L41" s="762">
        <f>IF(GetFillColor(L41)=15,SUM(Planning!$JH111:$KI111),0)</f>
      </c>
      <c r="M41" s="762">
        <f>IF(GetFillColor(M41)=15,SUM(Planning!$KK111:$LL111),0)</f>
      </c>
      <c r="N41" s="762">
        <f>IF(GetFillColor(N41)=15,SUM(Planning!$LN111:$MO111),0)</f>
      </c>
      <c r="O41" s="763">
        <f>IF(GetFillColor(O41)=15,SUM(Planning!$MQ111:$NR111),0)</f>
      </c>
      <c r="P41" s="763">
        <f>IF(GetFillColor(P41)=15,SUM(Planning!$NT111:$OU111),0)</f>
      </c>
      <c r="Q41" s="762">
        <f>IF(GetFillColor(Q41)=15,SUM(Planning!$OZ111:$QA111),0)</f>
      </c>
      <c r="R41" s="762">
        <f>IF(GetFillColor(R41)=15,SUM(Planning!$QC111:$RD111),0)</f>
      </c>
      <c r="S41" s="762">
        <f>IF(GetFillColor(S41)=15,SUM(Planning!$RF111:$SG111),0)</f>
      </c>
      <c r="T41" s="762">
        <f>IF(GetFillColor(T41)=15,SUM(Planning!$SI111:$TJ111),0)</f>
      </c>
      <c r="U41" s="762">
        <f>IF(GetFillColor(U41)=15,SUM(Planning!$TL111:$UM111),0)</f>
      </c>
      <c r="V41" s="763">
        <f>IF(GetFillColor(V41)=15,SUM(Planning!$UO111:$VP111),0)</f>
      </c>
      <c r="W41" s="763">
        <f>IF(GetFillColor(W41)=15,SUM(Planning!$VR111:$WS111),0)</f>
      </c>
      <c r="X41" s="762">
        <f>IF(GetFillColor(X41)=15,SUM(Planning!$WX111:$XY111),0)</f>
      </c>
      <c r="Y41" s="762">
        <f>IF(GetFillColor(Y41)=15,SUM(Planning!$YA111:$ZB111),0)</f>
      </c>
      <c r="Z41" s="762">
        <f>IF(GetFillColor(Z41)=15,SUM(Planning!$ZD111:$AAE111),0)</f>
      </c>
      <c r="AA41" s="762">
        <f>IF(GetFillColor(AA41)=15,SUM(Planning!$AAG111:$ABH111),0)</f>
      </c>
      <c r="AB41" s="762">
        <f>IF(GetFillColor(AB41)=15,SUM(Planning!$ABJ111:$ACK111),0)</f>
      </c>
      <c r="AC41" s="763">
        <f>IF(GetFillColor(AC41)=15,SUM(Planning!$ACM111:$ADN111),0)</f>
      </c>
      <c r="AD41" s="763">
        <f>IF(GetFillColor(AD41)=15,SUM(Planning!$ADP111:$AEQ111),0)</f>
      </c>
      <c r="AE41" s="762">
        <f>IF(GetFillColor(AE41)=15,SUM(Planning!$AEV111:$AFW111),0)</f>
      </c>
      <c r="AF41" s="762">
        <f>IF(GetFillColor(AF41)=15,SUM(Planning!$AFY111:$AGZ111),0)</f>
      </c>
      <c r="AG41" s="762">
        <f>IF(GetFillColor(AG41)=15,SUM(Planning!$AHB111:$AIC111),0)</f>
      </c>
      <c r="AH41" s="762">
        <f>IF(GetFillColor(AH41)=15,SUM(Planning!$AIE111:$AJF111),0)</f>
      </c>
      <c r="AI41" s="762">
        <f>IF(GetFillColor(AI41)=15,SUM(Planning!$AJH111:$AKI111),0)</f>
      </c>
      <c r="AJ41" s="763">
        <f>IF(GetFillColor(AJ41)=15,SUM(Planning!$AKK111:$ALL111),0)</f>
      </c>
      <c r="AK41" s="760">
        <f>IF(GetFillColor(AK41)=15,SUM(Planning!$ALN111:$AMO111),0)</f>
      </c>
      <c r="AL41" s="698">
        <f>SUM(C41:AK41)</f>
      </c>
      <c r="AM41" s="4"/>
      <c r="AN41" s="4"/>
    </row>
    <row r="42" ht="20.25" customHeight="1" spans="1:40" x14ac:dyDescent="0.25">
      <c r="A42" s="4">
        <f>A12</f>
      </c>
      <c r="B42" s="4"/>
      <c r="C42" s="760">
        <f>IF(GetFillColor(C42)=15,SUM(Planning!$D112:$AE112),0)</f>
      </c>
      <c r="D42" s="760">
        <f>IF(GetFillColor(D42)=15,SUM(Planning!$AG112:$BH112),0)</f>
      </c>
      <c r="E42" s="760">
        <f>IF(GetFillColor(E42)=15,SUM(Planning!$BJ112:$CK112),0)</f>
      </c>
      <c r="F42" s="763">
        <f>IF(GetFillColor(F42)=15,SUM(Planning!$CM112:$DN112),0)</f>
      </c>
      <c r="G42" s="763">
        <f>IF(GetFillColor(G42)=15,SUM(Planning!$DP112:$EQ112),0)</f>
      </c>
      <c r="H42" s="763">
        <f>IF(GetFillColor(H42)=15,SUM(Planning!$ES112:$FT112),0)</f>
      </c>
      <c r="I42" s="763">
        <f>IF(GetFillColor(I42)=15,SUM(Planning!$FV112:$GW112),0)</f>
      </c>
      <c r="J42" s="762">
        <f>IF(GetFillColor(J42)=15,SUM(Planning!$HB112:$IC112),0)</f>
      </c>
      <c r="K42" s="762">
        <f>IF(GetFillColor(K42)=15,SUM(Planning!$IE112:$JF112),0)</f>
      </c>
      <c r="L42" s="762">
        <f>IF(GetFillColor(L42)=15,SUM(Planning!$JH112:$KI112),0)</f>
      </c>
      <c r="M42" s="762">
        <f>IF(GetFillColor(M42)=15,SUM(Planning!$KK112:$LL112),0)</f>
      </c>
      <c r="N42" s="762">
        <f>IF(GetFillColor(N42)=15,SUM(Planning!$LN112:$MO112),0)</f>
      </c>
      <c r="O42" s="763">
        <f>IF(GetFillColor(O42)=15,SUM(Planning!$MQ112:$NR112),0)</f>
      </c>
      <c r="P42" s="763">
        <f>IF(GetFillColor(P42)=15,SUM(Planning!$NT112:$OU112),0)</f>
      </c>
      <c r="Q42" s="762">
        <f>IF(GetFillColor(Q42)=15,SUM(Planning!$OZ112:$QA112),0)</f>
      </c>
      <c r="R42" s="762">
        <f>IF(GetFillColor(R42)=15,SUM(Planning!$QC112:$RD112),0)</f>
      </c>
      <c r="S42" s="762">
        <f>IF(GetFillColor(S42)=15,SUM(Planning!$RF112:$SG112),0)</f>
      </c>
      <c r="T42" s="762">
        <f>IF(GetFillColor(T42)=15,SUM(Planning!$SI112:$TJ112),0)</f>
      </c>
      <c r="U42" s="762">
        <f>IF(GetFillColor(U42)=15,SUM(Planning!$TL112:$UM112),0)</f>
      </c>
      <c r="V42" s="763">
        <f>IF(GetFillColor(V42)=15,SUM(Planning!$UO112:$VP112),0)</f>
      </c>
      <c r="W42" s="763">
        <f>IF(GetFillColor(W42)=15,SUM(Planning!$VR112:$WS112),0)</f>
      </c>
      <c r="X42" s="762">
        <f>IF(GetFillColor(X42)=15,SUM(Planning!$WX112:$XY112),0)</f>
      </c>
      <c r="Y42" s="762">
        <f>IF(GetFillColor(Y42)=15,SUM(Planning!$YA112:$ZB112),0)</f>
      </c>
      <c r="Z42" s="762">
        <f>IF(GetFillColor(Z42)=15,SUM(Planning!$ZD112:$AAE112),0)</f>
      </c>
      <c r="AA42" s="762">
        <f>IF(GetFillColor(AA42)=15,SUM(Planning!$AAG112:$ABH112),0)</f>
      </c>
      <c r="AB42" s="762">
        <f>IF(GetFillColor(AB42)=15,SUM(Planning!$ABJ112:$ACK112),0)</f>
      </c>
      <c r="AC42" s="763">
        <f>IF(GetFillColor(AC42)=15,SUM(Planning!$ACM112:$ADN112),0)</f>
      </c>
      <c r="AD42" s="763">
        <f>IF(GetFillColor(AD42)=15,SUM(Planning!$ADP112:$AEQ112),0)</f>
      </c>
      <c r="AE42" s="762">
        <f>IF(GetFillColor(AE42)=15,SUM(Planning!$AEV112:$AFW112),0)</f>
      </c>
      <c r="AF42" s="762">
        <f>IF(GetFillColor(AF42)=15,SUM(Planning!$AFY112:$AGZ112),0)</f>
      </c>
      <c r="AG42" s="762">
        <f>IF(GetFillColor(AG42)=15,SUM(Planning!$AHB112:$AIC112),0)</f>
      </c>
      <c r="AH42" s="762">
        <f>IF(GetFillColor(AH42)=15,SUM(Planning!$AIE112:$AJF112),0)</f>
      </c>
      <c r="AI42" s="762">
        <f>IF(GetFillColor(AI42)=15,SUM(Planning!$AJH112:$AKI112),0)</f>
      </c>
      <c r="AJ42" s="763">
        <f>IF(GetFillColor(AJ42)=15,SUM(Planning!$AKK112:$ALL112),0)</f>
      </c>
      <c r="AK42" s="760">
        <f>IF(GetFillColor(AK42)=15,SUM(Planning!$ALN112:$AMO112),0)</f>
      </c>
      <c r="AL42" s="698">
        <f>SUM(C42:AK42)</f>
      </c>
      <c r="AM42" s="4"/>
      <c r="AN42" s="4"/>
    </row>
    <row r="43" ht="20.25" customHeight="1" spans="1:40" x14ac:dyDescent="0.25">
      <c r="A43" s="4">
        <f>A13</f>
      </c>
      <c r="B43" s="4"/>
      <c r="C43" s="760">
        <f>IF(GetFillColor(C43)=15,SUM(Planning!$D113:$AE113),0)</f>
      </c>
      <c r="D43" s="760">
        <f>IF(GetFillColor(D43)=15,SUM(Planning!$AG113:$BH113),0)</f>
      </c>
      <c r="E43" s="760">
        <f>IF(GetFillColor(E43)=15,SUM(Planning!$BJ113:$CK113),0)</f>
      </c>
      <c r="F43" s="763">
        <f>IF(GetFillColor(F43)=15,SUM(Planning!$CM113:$DN113),0)</f>
      </c>
      <c r="G43" s="763">
        <f>IF(GetFillColor(G43)=15,SUM(Planning!$DP113:$EQ113),0)</f>
      </c>
      <c r="H43" s="763">
        <f>IF(GetFillColor(H43)=15,SUM(Planning!$ES113:$FT113),0)</f>
      </c>
      <c r="I43" s="763">
        <f>IF(GetFillColor(I43)=15,SUM(Planning!$FV113:$GW113),0)</f>
      </c>
      <c r="J43" s="762">
        <f>IF(GetFillColor(J43)=15,SUM(Planning!$HB113:$IC113),0)</f>
      </c>
      <c r="K43" s="762">
        <f>IF(GetFillColor(K43)=15,SUM(Planning!$IE113:$JF113),0)</f>
      </c>
      <c r="L43" s="762">
        <f>IF(GetFillColor(L43)=15,SUM(Planning!$JH113:$KI113),0)</f>
      </c>
      <c r="M43" s="762">
        <f>IF(GetFillColor(M43)=15,SUM(Planning!$KK113:$LL113),0)</f>
      </c>
      <c r="N43" s="762">
        <f>IF(GetFillColor(N43)=15,SUM(Planning!$LN113:$MO113),0)</f>
      </c>
      <c r="O43" s="763">
        <f>IF(GetFillColor(O43)=15,SUM(Planning!$MQ113:$NR113),0)</f>
      </c>
      <c r="P43" s="763">
        <f>IF(GetFillColor(P43)=15,SUM(Planning!$NT113:$OU113),0)</f>
      </c>
      <c r="Q43" s="762">
        <f>IF(GetFillColor(Q43)=15,SUM(Planning!$OZ113:$QA113),0)</f>
      </c>
      <c r="R43" s="762">
        <f>IF(GetFillColor(R43)=15,SUM(Planning!$QC113:$RD113),0)</f>
      </c>
      <c r="S43" s="762">
        <f>IF(GetFillColor(S43)=15,SUM(Planning!$RF113:$SG113),0)</f>
      </c>
      <c r="T43" s="762">
        <f>IF(GetFillColor(T43)=15,SUM(Planning!$SI113:$TJ113),0)</f>
      </c>
      <c r="U43" s="762">
        <f>IF(GetFillColor(U43)=15,SUM(Planning!$TL113:$UM113),0)</f>
      </c>
      <c r="V43" s="763">
        <f>IF(GetFillColor(V43)=15,SUM(Planning!$UO113:$VP113),0)</f>
      </c>
      <c r="W43" s="763">
        <f>IF(GetFillColor(W43)=15,SUM(Planning!$VR113:$WS113),0)</f>
      </c>
      <c r="X43" s="762">
        <f>IF(GetFillColor(X43)=15,SUM(Planning!$WX113:$XY113),0)</f>
      </c>
      <c r="Y43" s="762">
        <f>IF(GetFillColor(Y43)=15,SUM(Planning!$YA113:$ZB113),0)</f>
      </c>
      <c r="Z43" s="762">
        <f>IF(GetFillColor(Z43)=15,SUM(Planning!$ZD113:$AAE113),0)</f>
      </c>
      <c r="AA43" s="762">
        <f>IF(GetFillColor(AA43)=15,SUM(Planning!$AAG113:$ABH113),0)</f>
      </c>
      <c r="AB43" s="762">
        <f>IF(GetFillColor(AB43)=15,SUM(Planning!$ABJ113:$ACK113),0)</f>
      </c>
      <c r="AC43" s="763">
        <f>IF(GetFillColor(AC43)=15,SUM(Planning!$ACM113:$ADN113),0)</f>
      </c>
      <c r="AD43" s="763">
        <f>IF(GetFillColor(AD43)=15,SUM(Planning!$ADP113:$AEQ113),0)</f>
      </c>
      <c r="AE43" s="762">
        <f>IF(GetFillColor(AE43)=15,SUM(Planning!$AEV113:$AFW113),0)</f>
      </c>
      <c r="AF43" s="762">
        <f>IF(GetFillColor(AF43)=15,SUM(Planning!$AFY113:$AGZ113),0)</f>
      </c>
      <c r="AG43" s="762">
        <f>IF(GetFillColor(AG43)=15,SUM(Planning!$AHB113:$AIC113),0)</f>
      </c>
      <c r="AH43" s="762">
        <f>IF(GetFillColor(AH43)=15,SUM(Planning!$AIE113:$AJF113),0)</f>
      </c>
      <c r="AI43" s="762">
        <f>IF(GetFillColor(AI43)=15,SUM(Planning!$AJH113:$AKI113),0)</f>
      </c>
      <c r="AJ43" s="763">
        <f>IF(GetFillColor(AJ43)=15,SUM(Planning!$AKK113:$ALL113),0)</f>
      </c>
      <c r="AK43" s="760">
        <f>IF(GetFillColor(AK43)=15,SUM(Planning!$ALN113:$AMO113),0)</f>
      </c>
      <c r="AL43" s="698">
        <f>SUM(C43:AK43)</f>
      </c>
      <c r="AM43" s="4"/>
      <c r="AN43" s="4"/>
    </row>
    <row r="44" ht="20.25" customHeight="1" spans="1:40" x14ac:dyDescent="0.25">
      <c r="A44" s="4">
        <f>A14</f>
      </c>
      <c r="B44" s="4"/>
      <c r="C44" s="760">
        <f>IF(GetFillColor(C44)=15,SUM(Planning!$D114:$AE114),0)</f>
      </c>
      <c r="D44" s="760">
        <f>IF(GetFillColor(D44)=15,SUM(Planning!$AG114:$BH114),0)</f>
      </c>
      <c r="E44" s="760">
        <f>IF(GetFillColor(E44)=15,SUM(Planning!$BJ114:$CK114),0)</f>
      </c>
      <c r="F44" s="763">
        <f>IF(GetFillColor(F44)=15,SUM(Planning!$CM114:$DN114),0)</f>
      </c>
      <c r="G44" s="763">
        <f>IF(GetFillColor(G44)=15,SUM(Planning!$DP114:$EQ114),0)</f>
      </c>
      <c r="H44" s="763">
        <f>IF(GetFillColor(H44)=15,SUM(Planning!$ES114:$FT114),0)</f>
      </c>
      <c r="I44" s="763">
        <f>IF(GetFillColor(I44)=15,SUM(Planning!$FV114:$GW114),0)</f>
      </c>
      <c r="J44" s="762">
        <f>IF(GetFillColor(J44)=15,SUM(Planning!$HB114:$IC114),0)</f>
      </c>
      <c r="K44" s="762">
        <f>IF(GetFillColor(K44)=15,SUM(Planning!$IE114:$JF114),0)</f>
      </c>
      <c r="L44" s="762">
        <f>IF(GetFillColor(L44)=15,SUM(Planning!$JH114:$KI114),0)</f>
      </c>
      <c r="M44" s="762">
        <f>IF(GetFillColor(M44)=15,SUM(Planning!$KK114:$LL114),0)</f>
      </c>
      <c r="N44" s="762">
        <f>IF(GetFillColor(N44)=15,SUM(Planning!$LN114:$MO114),0)</f>
      </c>
      <c r="O44" s="763">
        <f>IF(GetFillColor(O44)=15,SUM(Planning!$MQ114:$NR114),0)</f>
      </c>
      <c r="P44" s="763">
        <f>IF(GetFillColor(P44)=15,SUM(Planning!$NT114:$OU114),0)</f>
      </c>
      <c r="Q44" s="762">
        <f>IF(GetFillColor(Q44)=15,SUM(Planning!$OZ114:$QA114),0)</f>
      </c>
      <c r="R44" s="762">
        <f>IF(GetFillColor(R44)=15,SUM(Planning!$QC114:$RD114),0)</f>
      </c>
      <c r="S44" s="762">
        <f>IF(GetFillColor(S44)=15,SUM(Planning!$RF114:$SG114),0)</f>
      </c>
      <c r="T44" s="762">
        <f>IF(GetFillColor(T44)=15,SUM(Planning!$SI114:$TJ114),0)</f>
      </c>
      <c r="U44" s="762">
        <f>IF(GetFillColor(U44)=15,SUM(Planning!$TL114:$UM114),0)</f>
      </c>
      <c r="V44" s="763">
        <f>IF(GetFillColor(V44)=15,SUM(Planning!$UO114:$VP114),0)</f>
      </c>
      <c r="W44" s="763">
        <f>IF(GetFillColor(W44)=15,SUM(Planning!$VR114:$WS114),0)</f>
      </c>
      <c r="X44" s="762">
        <f>IF(GetFillColor(X44)=15,SUM(Planning!$WX114:$XY114),0)</f>
      </c>
      <c r="Y44" s="762">
        <f>IF(GetFillColor(Y44)=15,SUM(Planning!$YA114:$ZB114),0)</f>
      </c>
      <c r="Z44" s="762">
        <f>IF(GetFillColor(Z44)=15,SUM(Planning!$ZD114:$AAE114),0)</f>
      </c>
      <c r="AA44" s="762">
        <f>IF(GetFillColor(AA44)=15,SUM(Planning!$AAG114:$ABH114),0)</f>
      </c>
      <c r="AB44" s="762">
        <f>IF(GetFillColor(AB44)=15,SUM(Planning!$ABJ114:$ACK114),0)</f>
      </c>
      <c r="AC44" s="763">
        <f>IF(GetFillColor(AC44)=15,SUM(Planning!$ACM114:$ADN114),0)</f>
      </c>
      <c r="AD44" s="763">
        <f>IF(GetFillColor(AD44)=15,SUM(Planning!$ADP114:$AEQ114),0)</f>
      </c>
      <c r="AE44" s="762">
        <f>IF(GetFillColor(AE44)=15,SUM(Planning!$AEV114:$AFW114),0)</f>
      </c>
      <c r="AF44" s="762">
        <f>IF(GetFillColor(AF44)=15,SUM(Planning!$AFY114:$AGZ114),0)</f>
      </c>
      <c r="AG44" s="762">
        <f>IF(GetFillColor(AG44)=15,SUM(Planning!$AHB114:$AIC114),0)</f>
      </c>
      <c r="AH44" s="762">
        <f>IF(GetFillColor(AH44)=15,SUM(Planning!$AIE114:$AJF114),0)</f>
      </c>
      <c r="AI44" s="762">
        <f>IF(GetFillColor(AI44)=15,SUM(Planning!$AJH114:$AKI114),0)</f>
      </c>
      <c r="AJ44" s="763">
        <f>IF(GetFillColor(AJ44)=15,SUM(Planning!$AKK114:$ALL114),0)</f>
      </c>
      <c r="AK44" s="760">
        <f>IF(GetFillColor(AK44)=15,SUM(Planning!$ALN114:$AMO114),0)</f>
      </c>
      <c r="AL44" s="698">
        <f>SUM(C44:AK44)</f>
      </c>
      <c r="AM44" s="4"/>
      <c r="AN44" s="4"/>
    </row>
    <row r="45" ht="20.25" customHeight="1" spans="1:40" x14ac:dyDescent="0.25">
      <c r="A45" s="4">
        <f>A15</f>
      </c>
      <c r="B45" s="4"/>
      <c r="C45" s="760">
        <f>IF(GetFillColor(C45)=15,SUM(Planning!$D115:$AE115),0)</f>
      </c>
      <c r="D45" s="760">
        <f>IF(GetFillColor(D45)=15,SUM(Planning!$AG115:$BH115),0)</f>
      </c>
      <c r="E45" s="760">
        <f>IF(GetFillColor(E45)=15,SUM(Planning!$BJ115:$CK115),0)</f>
      </c>
      <c r="F45" s="763">
        <f>IF(GetFillColor(F45)=15,SUM(Planning!$CM115:$DN115),0)</f>
      </c>
      <c r="G45" s="763">
        <f>IF(GetFillColor(G45)=15,SUM(Planning!$DP115:$EQ115),0)</f>
      </c>
      <c r="H45" s="763">
        <f>IF(GetFillColor(H45)=15,SUM(Planning!$ES115:$FT115),0)</f>
      </c>
      <c r="I45" s="763">
        <f>IF(GetFillColor(I45)=15,SUM(Planning!$FV115:$GW115),0)</f>
      </c>
      <c r="J45" s="762">
        <f>IF(GetFillColor(J45)=15,SUM(Planning!$HB115:$IC115),0)</f>
      </c>
      <c r="K45" s="762">
        <f>IF(GetFillColor(K45)=15,SUM(Planning!$IE115:$JF115),0)</f>
      </c>
      <c r="L45" s="762">
        <f>IF(GetFillColor(L45)=15,SUM(Planning!$JH115:$KI115),0)</f>
      </c>
      <c r="M45" s="762">
        <f>IF(GetFillColor(M45)=15,SUM(Planning!$KK115:$LL115),0)</f>
      </c>
      <c r="N45" s="762">
        <f>IF(GetFillColor(N45)=15,SUM(Planning!$LN115:$MO115),0)</f>
      </c>
      <c r="O45" s="763">
        <f>IF(GetFillColor(O45)=15,SUM(Planning!$MQ115:$NR115),0)</f>
      </c>
      <c r="P45" s="763">
        <f>IF(GetFillColor(P45)=15,SUM(Planning!$NT115:$OU115),0)</f>
      </c>
      <c r="Q45" s="762">
        <f>IF(GetFillColor(Q45)=15,SUM(Planning!$OZ115:$QA115),0)</f>
      </c>
      <c r="R45" s="762">
        <f>IF(GetFillColor(R45)=15,SUM(Planning!$QC115:$RD115),0)</f>
      </c>
      <c r="S45" s="762">
        <f>IF(GetFillColor(S45)=15,SUM(Planning!$RF115:$SG115),0)</f>
      </c>
      <c r="T45" s="762">
        <f>IF(GetFillColor(T45)=15,SUM(Planning!$SI115:$TJ115),0)</f>
      </c>
      <c r="U45" s="762">
        <f>IF(GetFillColor(U45)=15,SUM(Planning!$TL115:$UM115),0)</f>
      </c>
      <c r="V45" s="763">
        <f>IF(GetFillColor(V45)=15,SUM(Planning!$UO115:$VP115),0)</f>
      </c>
      <c r="W45" s="763">
        <f>IF(GetFillColor(W45)=15,SUM(Planning!$VR115:$WS115),0)</f>
      </c>
      <c r="X45" s="762">
        <f>IF(GetFillColor(X45)=15,SUM(Planning!$WX115:$XY115),0)</f>
      </c>
      <c r="Y45" s="762">
        <f>IF(GetFillColor(Y45)=15,SUM(Planning!$YA115:$ZB115),0)</f>
      </c>
      <c r="Z45" s="762">
        <f>IF(GetFillColor(Z45)=15,SUM(Planning!$ZD115:$AAE115),0)</f>
      </c>
      <c r="AA45" s="762">
        <f>IF(GetFillColor(AA45)=15,SUM(Planning!$AAG115:$ABH115),0)</f>
      </c>
      <c r="AB45" s="762">
        <f>IF(GetFillColor(AB45)=15,SUM(Planning!$ABJ115:$ACK115),0)</f>
      </c>
      <c r="AC45" s="763">
        <f>IF(GetFillColor(AC45)=15,SUM(Planning!$ACM115:$ADN115),0)</f>
      </c>
      <c r="AD45" s="763">
        <f>IF(GetFillColor(AD45)=15,SUM(Planning!$ADP115:$AEQ115),0)</f>
      </c>
      <c r="AE45" s="762">
        <f>IF(GetFillColor(AE45)=15,SUM(Planning!$AEV115:$AFW115),0)</f>
      </c>
      <c r="AF45" s="762">
        <f>IF(GetFillColor(AF45)=15,SUM(Planning!$AFY115:$AGZ115),0)</f>
      </c>
      <c r="AG45" s="762">
        <f>IF(GetFillColor(AG45)=15,SUM(Planning!$AHB115:$AIC115),0)</f>
      </c>
      <c r="AH45" s="762">
        <f>IF(GetFillColor(AH45)=15,SUM(Planning!$AIE115:$AJF115),0)</f>
      </c>
      <c r="AI45" s="762">
        <f>IF(GetFillColor(AI45)=15,SUM(Planning!$AJH115:$AKI115),0)</f>
      </c>
      <c r="AJ45" s="763">
        <f>IF(GetFillColor(AJ45)=15,SUM(Planning!$AKK115:$ALL115),0)</f>
      </c>
      <c r="AK45" s="760">
        <f>IF(GetFillColor(AK45)=15,SUM(Planning!$ALN115:$AMO115),0)</f>
      </c>
      <c r="AL45" s="698">
        <f>SUM(C45:AK45)</f>
      </c>
      <c r="AM45" s="4"/>
      <c r="AN45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63" priority="4924">
      <formula>NOT(ISERROR(SEARCH("Session",AD1)))</formula>
    </cfRule>
    <cfRule type="containsText" dxfId="4864" priority="4925">
      <formula>NOT(ISERROR(SEARCH("Pre",AD1)))</formula>
    </cfRule>
    <cfRule type="containsText" dxfId="4865" priority="4926">
      <formula>NOT(ISERROR(SEARCH("Normal",AD1)))</formula>
    </cfRule>
  </conditionalFormatting>
  <conditionalFormatting sqref="C1:G1 J1:N1 Q1:U1 X1:AB1 AE1:AK1">
    <cfRule type="cellIs" dxfId="4866" priority="4923" operator="equal">
      <formula>"Session"</formula>
    </cfRule>
  </conditionalFormatting>
  <conditionalFormatting sqref="K4:M11 K14:M15 K20:L26 K29:M30 M19:M26 Q14:S15 Q30:S30 R5:S11 R20:S26 R29:S29">
    <cfRule type="cellIs" dxfId="4867" priority="601" operator="equal">
      <formula>0</formula>
    </cfRule>
    <cfRule type="cellIs" dxfId="4868" priority="602" operator="greaterThan">
      <formula>0</formula>
    </cfRule>
  </conditionalFormatting>
  <conditionalFormatting sqref="R4:S4">
    <cfRule type="cellIs" dxfId="4869" priority="599" operator="equal">
      <formula>0</formula>
    </cfRule>
    <cfRule type="cellIs" dxfId="4870" priority="600" operator="greaterThan">
      <formula>0</formula>
    </cfRule>
  </conditionalFormatting>
  <conditionalFormatting sqref="K19:L19">
    <cfRule type="cellIs" dxfId="4871" priority="557" operator="equal">
      <formula>0</formula>
    </cfRule>
    <cfRule type="cellIs" dxfId="4872" priority="558" operator="greaterThan">
      <formula>0</formula>
    </cfRule>
  </conditionalFormatting>
  <conditionalFormatting sqref="S19">
    <cfRule type="cellIs" dxfId="4873" priority="555" operator="equal">
      <formula>0</formula>
    </cfRule>
    <cfRule type="cellIs" dxfId="4874" priority="556" operator="greaterThan">
      <formula>0</formula>
    </cfRule>
  </conditionalFormatting>
  <conditionalFormatting sqref="R19">
    <cfRule type="cellIs" dxfId="4875" priority="541" operator="equal">
      <formula>0</formula>
    </cfRule>
    <cfRule type="cellIs" dxfId="4876" priority="542" operator="greaterThan">
      <formula>0</formula>
    </cfRule>
  </conditionalFormatting>
  <conditionalFormatting sqref="H34 H35:I41 H44:I45 K35:L41 K44:M45 M34:M41 O35:P41 O44:S45 R35:S41 V35:W41 V44:W45 AC34:AD45">
    <cfRule type="cellIs" dxfId="4877" priority="506" operator="greaterThan">
      <formula>0</formula>
    </cfRule>
    <cfRule type="cellIs" dxfId="4878" priority="505" operator="equal">
      <formula>0</formula>
    </cfRule>
  </conditionalFormatting>
  <conditionalFormatting sqref="I34">
    <cfRule type="cellIs" dxfId="4879" priority="504" operator="greaterThan">
      <formula>0</formula>
    </cfRule>
    <cfRule type="cellIs" dxfId="4880" priority="503" operator="equal">
      <formula>0</formula>
    </cfRule>
  </conditionalFormatting>
  <conditionalFormatting sqref="O34:P34">
    <cfRule type="cellIs" dxfId="4881" priority="502" operator="greaterThan">
      <formula>0</formula>
    </cfRule>
    <cfRule type="cellIs" dxfId="4882" priority="501" operator="equal">
      <formula>0</formula>
    </cfRule>
  </conditionalFormatting>
  <conditionalFormatting sqref="V34:W34">
    <cfRule type="cellIs" dxfId="4883" priority="500" operator="greaterThan">
      <formula>0</formula>
    </cfRule>
    <cfRule type="cellIs" dxfId="4884" priority="499" operator="equal">
      <formula>0</formula>
    </cfRule>
  </conditionalFormatting>
  <conditionalFormatting sqref="AC34:AD34">
    <cfRule type="cellIs" dxfId="4885" priority="498" operator="greaterThan">
      <formula>0</formula>
    </cfRule>
    <cfRule type="cellIs" dxfId="4886" priority="497" operator="equal">
      <formula>0</formula>
    </cfRule>
  </conditionalFormatting>
  <conditionalFormatting sqref="K34:L34">
    <cfRule type="cellIs" dxfId="4887" priority="492" operator="greaterThan">
      <formula>0</formula>
    </cfRule>
    <cfRule type="cellIs" dxfId="4888" priority="491" operator="equal">
      <formula>0</formula>
    </cfRule>
  </conditionalFormatting>
  <conditionalFormatting sqref="R34:S34">
    <cfRule type="cellIs" dxfId="4889" priority="490" operator="greaterThan">
      <formula>0</formula>
    </cfRule>
    <cfRule type="cellIs" dxfId="4890" priority="489" operator="equal">
      <formula>0</formula>
    </cfRule>
  </conditionalFormatting>
  <conditionalFormatting sqref="Y4:Y11 Y14:Y15">
    <cfRule type="cellIs" dxfId="4891" priority="343" operator="equal">
      <formula>0</formula>
    </cfRule>
    <cfRule type="cellIs" dxfId="4892" priority="344" operator="greaterThan">
      <formula>0</formula>
    </cfRule>
  </conditionalFormatting>
  <conditionalFormatting sqref="Y19:Y26 Y29:Y30">
    <cfRule type="cellIs" dxfId="4893" priority="337" operator="equal">
      <formula>0</formula>
    </cfRule>
    <cfRule type="cellIs" dxfId="4894" priority="338" operator="greaterThan">
      <formula>0</formula>
    </cfRule>
  </conditionalFormatting>
  <conditionalFormatting sqref="Y34:Y41 Y44:Y45 Z34:AB45">
    <cfRule type="cellIs" dxfId="4895" priority="330" operator="greaterThan">
      <formula>0</formula>
    </cfRule>
    <cfRule type="cellIs" dxfId="4896" priority="329" operator="equal">
      <formula>0</formula>
    </cfRule>
  </conditionalFormatting>
  <conditionalFormatting sqref="T4:T11 T14:T15">
    <cfRule type="cellIs" dxfId="4897" priority="289" operator="equal">
      <formula>0</formula>
    </cfRule>
    <cfRule type="cellIs" dxfId="4898" priority="290" operator="greaterThan">
      <formula>0</formula>
    </cfRule>
  </conditionalFormatting>
  <conditionalFormatting sqref="T19:T26 T29:T30">
    <cfRule type="cellIs" dxfId="4899" priority="283" operator="equal">
      <formula>0</formula>
    </cfRule>
    <cfRule type="cellIs" dxfId="4900" priority="284" operator="greaterThan">
      <formula>0</formula>
    </cfRule>
  </conditionalFormatting>
  <conditionalFormatting sqref="T34:T41 T44:T45">
    <cfRule type="cellIs" dxfId="4901" priority="274" operator="greaterThan">
      <formula>0</formula>
    </cfRule>
    <cfRule type="cellIs" dxfId="4902" priority="273" operator="equal">
      <formula>0</formula>
    </cfRule>
  </conditionalFormatting>
  <conditionalFormatting sqref="N4:N11 N14:N15">
    <cfRule type="cellIs" dxfId="4903" priority="265" operator="equal">
      <formula>0</formula>
    </cfRule>
    <cfRule type="cellIs" dxfId="4904" priority="266" operator="greaterThan">
      <formula>0</formula>
    </cfRule>
  </conditionalFormatting>
  <conditionalFormatting sqref="N19:N26 N29:N30">
    <cfRule type="cellIs" dxfId="4905" priority="257" operator="equal">
      <formula>0</formula>
    </cfRule>
    <cfRule type="cellIs" dxfId="4906" priority="258" operator="greaterThan">
      <formula>0</formula>
    </cfRule>
  </conditionalFormatting>
  <conditionalFormatting sqref="N34:N41 N44:N45">
    <cfRule type="cellIs" dxfId="4907" priority="250" operator="greaterThan">
      <formula>0</formula>
    </cfRule>
    <cfRule type="cellIs" dxfId="4908" priority="249" operator="equal">
      <formula>0</formula>
    </cfRule>
  </conditionalFormatting>
  <conditionalFormatting sqref="K12:M12 R12:S12">
    <cfRule type="cellIs" dxfId="4909" priority="245" operator="equal">
      <formula>0</formula>
    </cfRule>
    <cfRule type="cellIs" dxfId="4910" priority="246" operator="greaterThan">
      <formula>0</formula>
    </cfRule>
  </conditionalFormatting>
  <conditionalFormatting sqref="Y12">
    <cfRule type="cellIs" dxfId="4911" priority="243" operator="equal">
      <formula>0</formula>
    </cfRule>
    <cfRule type="cellIs" dxfId="4912" priority="244" operator="greaterThan">
      <formula>0</formula>
    </cfRule>
  </conditionalFormatting>
  <conditionalFormatting sqref="T12">
    <cfRule type="cellIs" dxfId="4913" priority="237" operator="equal">
      <formula>0</formula>
    </cfRule>
    <cfRule type="cellIs" dxfId="4914" priority="238" operator="greaterThan">
      <formula>0</formula>
    </cfRule>
  </conditionalFormatting>
  <conditionalFormatting sqref="N12">
    <cfRule type="cellIs" dxfId="4915" priority="231" operator="equal">
      <formula>0</formula>
    </cfRule>
    <cfRule type="cellIs" dxfId="4916" priority="232" operator="greaterThan">
      <formula>0</formula>
    </cfRule>
  </conditionalFormatting>
  <conditionalFormatting sqref="K13:M13 R13:S13">
    <cfRule type="cellIs" dxfId="4917" priority="227" operator="equal">
      <formula>0</formula>
    </cfRule>
    <cfRule type="cellIs" dxfId="4918" priority="228" operator="greaterThan">
      <formula>0</formula>
    </cfRule>
  </conditionalFormatting>
  <conditionalFormatting sqref="Y13">
    <cfRule type="cellIs" dxfId="4919" priority="225" operator="equal">
      <formula>0</formula>
    </cfRule>
    <cfRule type="cellIs" dxfId="4920" priority="226" operator="greaterThan">
      <formula>0</formula>
    </cfRule>
  </conditionalFormatting>
  <conditionalFormatting sqref="T13">
    <cfRule type="cellIs" dxfId="4921" priority="219" operator="equal">
      <formula>0</formula>
    </cfRule>
    <cfRule type="cellIs" dxfId="4922" priority="220" operator="greaterThan">
      <formula>0</formula>
    </cfRule>
  </conditionalFormatting>
  <conditionalFormatting sqref="N13">
    <cfRule type="cellIs" dxfId="4923" priority="213" operator="equal">
      <formula>0</formula>
    </cfRule>
    <cfRule type="cellIs" dxfId="4924" priority="214" operator="greaterThan">
      <formula>0</formula>
    </cfRule>
  </conditionalFormatting>
  <conditionalFormatting sqref="K27:M27 R27:S27">
    <cfRule type="cellIs" dxfId="4925" priority="209" operator="equal">
      <formula>0</formula>
    </cfRule>
    <cfRule type="cellIs" dxfId="4926" priority="210" operator="greaterThan">
      <formula>0</formula>
    </cfRule>
  </conditionalFormatting>
  <conditionalFormatting sqref="Y27">
    <cfRule type="cellIs" dxfId="4927" priority="207" operator="equal">
      <formula>0</formula>
    </cfRule>
    <cfRule type="cellIs" dxfId="4928" priority="208" operator="greaterThan">
      <formula>0</formula>
    </cfRule>
  </conditionalFormatting>
  <conditionalFormatting sqref="T27">
    <cfRule type="cellIs" dxfId="4929" priority="201" operator="equal">
      <formula>0</formula>
    </cfRule>
    <cfRule type="cellIs" dxfId="4930" priority="202" operator="greaterThan">
      <formula>0</formula>
    </cfRule>
  </conditionalFormatting>
  <conditionalFormatting sqref="N27">
    <cfRule type="cellIs" dxfId="4931" priority="193" operator="equal">
      <formula>0</formula>
    </cfRule>
    <cfRule type="cellIs" dxfId="4932" priority="194" operator="greaterThan">
      <formula>0</formula>
    </cfRule>
  </conditionalFormatting>
  <conditionalFormatting sqref="K28:M28 R28:S28">
    <cfRule type="cellIs" dxfId="4933" priority="191" operator="equal">
      <formula>0</formula>
    </cfRule>
    <cfRule type="cellIs" dxfId="4934" priority="192" operator="greaterThan">
      <formula>0</formula>
    </cfRule>
  </conditionalFormatting>
  <conditionalFormatting sqref="Y28">
    <cfRule type="cellIs" dxfId="4935" priority="189" operator="equal">
      <formula>0</formula>
    </cfRule>
    <cfRule type="cellIs" dxfId="4936" priority="190" operator="greaterThan">
      <formula>0</formula>
    </cfRule>
  </conditionalFormatting>
  <conditionalFormatting sqref="T28">
    <cfRule type="cellIs" dxfId="4937" priority="183" operator="equal">
      <formula>0</formula>
    </cfRule>
    <cfRule type="cellIs" dxfId="4938" priority="184" operator="greaterThan">
      <formula>0</formula>
    </cfRule>
  </conditionalFormatting>
  <conditionalFormatting sqref="N28">
    <cfRule type="cellIs" dxfId="4939" priority="175" operator="equal">
      <formula>0</formula>
    </cfRule>
    <cfRule type="cellIs" dxfId="4940" priority="176" operator="greaterThan">
      <formula>0</formula>
    </cfRule>
  </conditionalFormatting>
  <conditionalFormatting sqref="H42:I42 K42:M42 O42:P42 R42:S42 V42:W42 AC42:AD42">
    <cfRule type="cellIs" dxfId="4941" priority="174" operator="greaterThan">
      <formula>0</formula>
    </cfRule>
    <cfRule type="cellIs" dxfId="4942" priority="173" operator="equal">
      <formula>0</formula>
    </cfRule>
  </conditionalFormatting>
  <conditionalFormatting sqref="Y42">
    <cfRule type="cellIs" dxfId="4943" priority="172" operator="greaterThan">
      <formula>0</formula>
    </cfRule>
    <cfRule type="cellIs" dxfId="4944" priority="171" operator="equal">
      <formula>0</formula>
    </cfRule>
  </conditionalFormatting>
  <conditionalFormatting sqref="T42">
    <cfRule type="cellIs" dxfId="4945" priority="166" operator="greaterThan">
      <formula>0</formula>
    </cfRule>
    <cfRule type="cellIs" dxfId="4946" priority="165" operator="equal">
      <formula>0</formula>
    </cfRule>
  </conditionalFormatting>
  <conditionalFormatting sqref="N42">
    <cfRule type="cellIs" dxfId="4947" priority="156" operator="greaterThan">
      <formula>0</formula>
    </cfRule>
    <cfRule type="cellIs" dxfId="4948" priority="155" operator="equal">
      <formula>0</formula>
    </cfRule>
  </conditionalFormatting>
  <conditionalFormatting sqref="H43:I43 K43:M43 O43:P43 R43:S43 V43:W43 AC43:AD43">
    <cfRule type="cellIs" dxfId="4949" priority="154" operator="greaterThan">
      <formula>0</formula>
    </cfRule>
    <cfRule type="cellIs" dxfId="4950" priority="153" operator="equal">
      <formula>0</formula>
    </cfRule>
  </conditionalFormatting>
  <conditionalFormatting sqref="Y43">
    <cfRule type="cellIs" dxfId="4951" priority="152" operator="greaterThan">
      <formula>0</formula>
    </cfRule>
    <cfRule type="cellIs" dxfId="4952" priority="151" operator="equal">
      <formula>0</formula>
    </cfRule>
  </conditionalFormatting>
  <conditionalFormatting sqref="T43">
    <cfRule type="cellIs" dxfId="4953" priority="146" operator="greaterThan">
      <formula>0</formula>
    </cfRule>
    <cfRule type="cellIs" dxfId="4954" priority="145" operator="equal">
      <formula>0</formula>
    </cfRule>
  </conditionalFormatting>
  <conditionalFormatting sqref="N43">
    <cfRule type="cellIs" dxfId="4955" priority="136" operator="greaterThan">
      <formula>0</formula>
    </cfRule>
    <cfRule type="cellIs" dxfId="4956" priority="135" operator="equal">
      <formula>0</formula>
    </cfRule>
  </conditionalFormatting>
  <conditionalFormatting sqref="J4:J15">
    <cfRule type="cellIs" dxfId="4957" priority="127" operator="equal">
      <formula>0</formula>
    </cfRule>
    <cfRule type="cellIs" dxfId="4958" priority="128" operator="greaterThan">
      <formula>0</formula>
    </cfRule>
  </conditionalFormatting>
  <conditionalFormatting sqref="X14:X15">
    <cfRule type="cellIs" dxfId="4959" priority="125" operator="equal">
      <formula>0</formula>
    </cfRule>
    <cfRule type="cellIs" dxfId="4960" priority="126" operator="greaterThan">
      <formula>0</formula>
    </cfRule>
  </conditionalFormatting>
  <conditionalFormatting sqref="J19:J30">
    <cfRule type="cellIs" dxfId="4961" priority="123" operator="equal">
      <formula>0</formula>
    </cfRule>
    <cfRule type="cellIs" dxfId="4962" priority="124" operator="greaterThan">
      <formula>0</formula>
    </cfRule>
  </conditionalFormatting>
  <conditionalFormatting sqref="X29:X30">
    <cfRule type="cellIs" dxfId="4963" priority="121" operator="equal">
      <formula>0</formula>
    </cfRule>
    <cfRule type="cellIs" dxfId="4964" priority="122" operator="greaterThan">
      <formula>0</formula>
    </cfRule>
  </conditionalFormatting>
  <conditionalFormatting sqref="J34:J45">
    <cfRule type="cellIs" dxfId="4965" priority="116" operator="greaterThan">
      <formula>0</formula>
    </cfRule>
    <cfRule type="cellIs" dxfId="4966" priority="115" operator="equal">
      <formula>0</formula>
    </cfRule>
  </conditionalFormatting>
  <conditionalFormatting sqref="X44:X45">
    <cfRule type="cellIs" dxfId="4967" priority="114" operator="greaterThan">
      <formula>0</formula>
    </cfRule>
    <cfRule type="cellIs" dxfId="4968" priority="113" operator="equal">
      <formula>0</formula>
    </cfRule>
  </conditionalFormatting>
  <conditionalFormatting sqref="Q4:Q13">
    <cfRule type="cellIs" dxfId="4969" priority="107" operator="equal">
      <formula>0</formula>
    </cfRule>
    <cfRule type="cellIs" dxfId="4970" priority="108" operator="greaterThan">
      <formula>0</formula>
    </cfRule>
  </conditionalFormatting>
  <conditionalFormatting sqref="Q19:Q29">
    <cfRule type="cellIs" dxfId="4971" priority="105" operator="equal">
      <formula>0</formula>
    </cfRule>
    <cfRule type="cellIs" dxfId="4972" priority="106" operator="greaterThan">
      <formula>0</formula>
    </cfRule>
  </conditionalFormatting>
  <conditionalFormatting sqref="Q34:Q43">
    <cfRule type="cellIs" dxfId="4973" priority="104" operator="greaterThan">
      <formula>0</formula>
    </cfRule>
    <cfRule type="cellIs" dxfId="4974" priority="103" operator="equal">
      <formula>0</formula>
    </cfRule>
  </conditionalFormatting>
  <conditionalFormatting sqref="X4:X13">
    <cfRule type="cellIs" dxfId="4975" priority="93" operator="equal">
      <formula>0</formula>
    </cfRule>
    <cfRule type="cellIs" dxfId="4976" priority="94" operator="greaterThan">
      <formula>0</formula>
    </cfRule>
  </conditionalFormatting>
  <conditionalFormatting sqref="X19:X28">
    <cfRule type="cellIs" dxfId="4977" priority="91" operator="equal">
      <formula>0</formula>
    </cfRule>
    <cfRule type="cellIs" dxfId="4978" priority="92" operator="greaterThan">
      <formula>0</formula>
    </cfRule>
  </conditionalFormatting>
  <conditionalFormatting sqref="X34:X43">
    <cfRule type="cellIs" dxfId="4979" priority="90" operator="greaterThan">
      <formula>0</formula>
    </cfRule>
    <cfRule type="cellIs" dxfId="4980" priority="89" operator="equal">
      <formula>0</formula>
    </cfRule>
  </conditionalFormatting>
  <conditionalFormatting sqref="U4:U15">
    <cfRule type="cellIs" dxfId="4981" priority="73" operator="equal">
      <formula>0</formula>
    </cfRule>
    <cfRule type="cellIs" dxfId="4982" priority="74" operator="greaterThan">
      <formula>0</formula>
    </cfRule>
  </conditionalFormatting>
  <conditionalFormatting sqref="U19:U30">
    <cfRule type="cellIs" dxfId="4983" priority="67" operator="equal">
      <formula>0</formula>
    </cfRule>
    <cfRule type="cellIs" dxfId="4984" priority="68" operator="greaterThan">
      <formula>0</formula>
    </cfRule>
  </conditionalFormatting>
  <conditionalFormatting sqref="U34:U45">
    <cfRule type="cellIs" dxfId="4985" priority="62" operator="greaterThan">
      <formula>0</formula>
    </cfRule>
    <cfRule type="cellIs" dxfId="4986" priority="61" operator="equal">
      <formula>0</formula>
    </cfRule>
  </conditionalFormatting>
  <conditionalFormatting sqref="AK4:AK15">
    <cfRule type="cellIs" dxfId="4987" priority="33" operator="equal">
      <formula>0</formula>
    </cfRule>
    <cfRule type="cellIs" dxfId="4988" priority="34" operator="greaterThan">
      <formula>0</formula>
    </cfRule>
  </conditionalFormatting>
  <conditionalFormatting sqref="AK19:AK30">
    <cfRule type="cellIs" dxfId="4989" priority="29" operator="equal">
      <formula>0</formula>
    </cfRule>
    <cfRule type="cellIs" dxfId="4990" priority="30" operator="greaterThan">
      <formula>0</formula>
    </cfRule>
  </conditionalFormatting>
  <conditionalFormatting sqref="AK34:AK45">
    <cfRule type="cellIs" dxfId="4991" priority="26" operator="greaterThan">
      <formula>0</formula>
    </cfRule>
    <cfRule type="cellIs" dxfId="4992" priority="25" operator="equal">
      <formula>0</formula>
    </cfRule>
  </conditionalFormatting>
  <conditionalFormatting sqref="C4:E15">
    <cfRule type="cellIs" dxfId="4993" priority="21" operator="equal">
      <formula>0</formula>
    </cfRule>
    <cfRule type="cellIs" dxfId="4994" priority="22" operator="greaterThan">
      <formula>0</formula>
    </cfRule>
  </conditionalFormatting>
  <conditionalFormatting sqref="Z4:AB15">
    <cfRule type="cellIs" dxfId="4995" priority="19" operator="equal">
      <formula>0</formula>
    </cfRule>
    <cfRule type="cellIs" dxfId="4996" priority="20" operator="greaterThan">
      <formula>0</formula>
    </cfRule>
  </conditionalFormatting>
  <conditionalFormatting sqref="AE4:AI15">
    <cfRule type="cellIs" dxfId="4997" priority="17" operator="equal">
      <formula>0</formula>
    </cfRule>
    <cfRule type="cellIs" dxfId="4998" priority="18" operator="greaterThan">
      <formula>0</formula>
    </cfRule>
  </conditionalFormatting>
  <conditionalFormatting sqref="C19:E30">
    <cfRule type="cellIs" dxfId="4999" priority="15" operator="equal">
      <formula>0</formula>
    </cfRule>
    <cfRule type="cellIs" dxfId="5000" priority="16" operator="greaterThan">
      <formula>0</formula>
    </cfRule>
  </conditionalFormatting>
  <conditionalFormatting sqref="Z19:AB30">
    <cfRule type="cellIs" dxfId="5001" priority="13" operator="equal">
      <formula>0</formula>
    </cfRule>
    <cfRule type="cellIs" dxfId="5002" priority="14" operator="greaterThan">
      <formula>0</formula>
    </cfRule>
  </conditionalFormatting>
  <conditionalFormatting sqref="AE19:AI30">
    <cfRule type="cellIs" dxfId="5003" priority="11" operator="equal">
      <formula>0</formula>
    </cfRule>
    <cfRule type="cellIs" dxfId="5004" priority="12" operator="greaterThan">
      <formula>0</formula>
    </cfRule>
  </conditionalFormatting>
  <conditionalFormatting sqref="F34:G45">
    <cfRule type="cellIs" dxfId="5005" priority="10" operator="greaterThan">
      <formula>0</formula>
    </cfRule>
    <cfRule type="cellIs" dxfId="5006" priority="9" operator="equal">
      <formula>0</formula>
    </cfRule>
  </conditionalFormatting>
  <conditionalFormatting sqref="C34:E45">
    <cfRule type="cellIs" dxfId="5007" priority="8" operator="greaterThan">
      <formula>0</formula>
    </cfRule>
    <cfRule type="cellIs" dxfId="5008" priority="7" operator="equal">
      <formula>0</formula>
    </cfRule>
  </conditionalFormatting>
  <conditionalFormatting sqref="AE34:AI45">
    <cfRule type="cellIs" dxfId="5009" priority="6" operator="greaterThan">
      <formula>0</formula>
    </cfRule>
    <cfRule type="cellIs" dxfId="5010" priority="5" operator="equal">
      <formula>0</formula>
    </cfRule>
  </conditionalFormatting>
  <conditionalFormatting sqref="AJ34:AJ45">
    <cfRule type="cellIs" dxfId="5011" priority="4" operator="greaterThan">
      <formula>0</formula>
    </cfRule>
    <cfRule type="cellIs" dxfId="5012" priority="3" operator="equal">
      <formula>0</formula>
    </cfRule>
    <cfRule type="cellIs" dxfId="5013" priority="2" operator="greaterThan">
      <formula>0</formula>
    </cfRule>
    <cfRule type="cellIs" dxfId="5014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6E6A2"/>
    <outlinePr summaryBelow="1" summaryRight="1"/>
  </sheetPr>
  <dimension ref="A1:AN3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52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54" customFormat="1" x14ac:dyDescent="0.25">
      <c r="A2" s="755" t="s">
        <v>248</v>
      </c>
      <c r="B2" s="756"/>
      <c r="C2" s="757">
        <f>Config!D3</f>
      </c>
      <c r="D2" s="757">
        <f>Config!D4</f>
      </c>
      <c r="E2" s="757">
        <f>Config!D5</f>
      </c>
      <c r="F2" s="757">
        <f>Config!D6</f>
      </c>
      <c r="G2" s="757">
        <f>Config!D7</f>
      </c>
      <c r="H2" s="757">
        <f>Config!D8</f>
      </c>
      <c r="I2" s="757">
        <f>Config!D9</f>
      </c>
      <c r="J2" s="757">
        <f>Config!D10</f>
      </c>
      <c r="K2" s="757">
        <f>Config!D11</f>
      </c>
      <c r="L2" s="757">
        <f>Config!D12</f>
      </c>
      <c r="M2" s="757">
        <f>Config!D13</f>
      </c>
      <c r="N2" s="757">
        <f>Config!D14</f>
      </c>
      <c r="O2" s="757">
        <f>Config!D15</f>
      </c>
      <c r="P2" s="757">
        <f>Config!D16</f>
      </c>
      <c r="Q2" s="757">
        <f>Config!D17</f>
      </c>
      <c r="R2" s="757">
        <f>Config!D18</f>
      </c>
      <c r="S2" s="757">
        <f>Config!D19</f>
      </c>
      <c r="T2" s="757">
        <f>Config!D20</f>
      </c>
      <c r="U2" s="757">
        <f>Config!D21</f>
      </c>
      <c r="V2" s="757">
        <f>Config!D22</f>
      </c>
      <c r="W2" s="757">
        <f>Config!D23</f>
      </c>
      <c r="X2" s="757">
        <f>Config!D24</f>
      </c>
      <c r="Y2" s="757">
        <f>Config!D25</f>
      </c>
      <c r="Z2" s="757">
        <f>Config!D26</f>
      </c>
      <c r="AA2" s="757">
        <f>Config!D27</f>
      </c>
      <c r="AB2" s="757">
        <f>Config!D28</f>
      </c>
      <c r="AC2" s="757">
        <f>Config!D29</f>
      </c>
      <c r="AD2" s="757">
        <f>Config!D30</f>
      </c>
      <c r="AE2" s="757">
        <f>Config!D31</f>
      </c>
      <c r="AF2" s="757">
        <f>Config!D32</f>
      </c>
      <c r="AG2" s="757">
        <f>Config!D33</f>
      </c>
      <c r="AH2" s="757">
        <f>Config!D34</f>
      </c>
      <c r="AI2" s="757">
        <f>Config!D35</f>
      </c>
      <c r="AJ2" s="757">
        <f>Config!D36</f>
      </c>
      <c r="AK2" s="757">
        <f>Config!D37</f>
      </c>
      <c r="AL2" s="758" t="s">
        <v>236</v>
      </c>
      <c r="AM2" s="4"/>
      <c r="AN2" s="4"/>
    </row>
    <row r="3" ht="10.5" customHeight="1" spans="1:40" s="754" customFormat="1" x14ac:dyDescent="0.25">
      <c r="A3" s="756"/>
      <c r="B3" s="756"/>
      <c r="C3" s="759"/>
      <c r="D3" s="759"/>
      <c r="E3" s="759"/>
      <c r="F3" s="759"/>
      <c r="G3" s="759"/>
      <c r="H3" s="759"/>
      <c r="I3" s="759"/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759"/>
      <c r="X3" s="759"/>
      <c r="Y3" s="759"/>
      <c r="Z3" s="759"/>
      <c r="AA3" s="759"/>
      <c r="AB3" s="759"/>
      <c r="AC3" s="759"/>
      <c r="AD3" s="759"/>
      <c r="AE3" s="759"/>
      <c r="AF3" s="759"/>
      <c r="AG3" s="759"/>
      <c r="AH3" s="759"/>
      <c r="AI3" s="757"/>
      <c r="AJ3" s="757"/>
      <c r="AK3" s="757"/>
      <c r="AL3" s="758"/>
      <c r="AM3" s="4"/>
      <c r="AN3" s="4"/>
    </row>
    <row r="4" ht="20.25" customHeight="1" spans="1:40" x14ac:dyDescent="0.25">
      <c r="A4" s="4">
        <f>Planning!B121</f>
      </c>
      <c r="B4" s="4"/>
      <c r="C4" s="760">
        <f>IF(GetFillColor(C4)&lt;0,SUM(Planning!$F121:$AC121),0)</f>
      </c>
      <c r="D4" s="760">
        <f>IF(GetFillColor(D4)&lt;0,SUM(Planning!$AI121:$BF121),0)</f>
      </c>
      <c r="E4" s="760">
        <f>IF(GetFillColor(E4)&lt;0,SUM(Planning!$BL121:$CI121),0)</f>
      </c>
      <c r="F4" s="761">
        <f>IF(GetFillColor(F4)&lt;0,SUM(Planning!$CO121:$DL121),0)</f>
      </c>
      <c r="G4" s="761">
        <f>IF(GetFillColor(G4)&lt;0,SUM(Planning!$DR121:$EO121),0)</f>
      </c>
      <c r="H4" s="761">
        <v>0</v>
      </c>
      <c r="I4" s="761">
        <v>0</v>
      </c>
      <c r="J4" s="762">
        <f>IF(GetFillColor(J4)&lt;0,SUM(Planning!$HD121:$IA121),0)</f>
      </c>
      <c r="K4" s="762">
        <f>IF(GetFillColor(K4)&lt;0,SUM(Planning!$IG121:$JD121),0)</f>
      </c>
      <c r="L4" s="762">
        <f>IF(GetFillColor(L4)&lt;0,SUM(Planning!$JJ121:$KG121),0)</f>
      </c>
      <c r="M4" s="762">
        <f>IF(GetFillColor(M4)&lt;0,SUM(Planning!$KM121:$LJ121),0)</f>
      </c>
      <c r="N4" s="762">
        <f>IF(GetFillColor(N4)&lt;0,SUM(Planning!$LP121:$MM121),0)</f>
      </c>
      <c r="O4" s="761">
        <v>0</v>
      </c>
      <c r="P4" s="761">
        <v>0</v>
      </c>
      <c r="Q4" s="762">
        <f>IF(GetFillColor(Q4)&lt;0,SUM(Planning!$PB121:$PY121),0)</f>
      </c>
      <c r="R4" s="762">
        <f>IF(GetFillColor(R4)&lt;0,SUM(Planning!$QE121:$RB121),0)</f>
      </c>
      <c r="S4" s="762">
        <f>IF(GetFillColor(S4)&lt;0,SUM(Planning!$RH121:$SE121),0)</f>
      </c>
      <c r="T4" s="762">
        <f>IF(GetFillColor(T4)&lt;0,SUM(Planning!$SK121:$TH121),0)</f>
      </c>
      <c r="U4" s="762">
        <f>IF(GetFillColor(U4)&lt;0,SUM(Planning!$TN121:$UK121),0)</f>
      </c>
      <c r="V4" s="761">
        <v>0</v>
      </c>
      <c r="W4" s="761">
        <v>0</v>
      </c>
      <c r="X4" s="762">
        <f>IF(GetFillColor(X4)&lt;0,SUM(Planning!$WZ121:$XW121),0)</f>
      </c>
      <c r="Y4" s="762">
        <f>IF(GetFillColor(Y4)&lt;0,SUM(Planning!$YC121:$YZ121),0)</f>
      </c>
      <c r="Z4" s="762">
        <f>IF(GetFillColor(Z4)&lt;0,SUM(Planning!$ZF121:$AAC121),0)</f>
      </c>
      <c r="AA4" s="762">
        <f>IF(GetFillColor(AA4)&lt;0,SUM(Planning!$AAI121:$ABF121),0)</f>
      </c>
      <c r="AB4" s="762">
        <f>IF(GetFillColor(AB4)&lt;0,SUM(Planning!$ABL121:$ACI121),0)</f>
      </c>
      <c r="AC4" s="761">
        <v>0</v>
      </c>
      <c r="AD4" s="761">
        <v>0</v>
      </c>
      <c r="AE4" s="762">
        <f>IF(GetFillColor(AE4)&lt;0,SUM(Planning!$AEX121:$AFU121),0)</f>
      </c>
      <c r="AF4" s="762">
        <f>IF(GetFillColor(AF4)&lt;0,SUM(Planning!$AGA121:$AGX121),0)</f>
      </c>
      <c r="AG4" s="762">
        <f>IF(GetFillColor(AG4)&lt;0,SUM(Planning!$AHD121:$AIA121),0)</f>
      </c>
      <c r="AH4" s="762">
        <f>IF(GetFillColor(AH4)&lt;0,SUM(Planning!$AIG121:$AJD121),0)</f>
      </c>
      <c r="AI4" s="762">
        <f>IF(GetFillColor(AI4)&lt;0,SUM(Planning!$AJJ121:$AKG121),0)</f>
      </c>
      <c r="AJ4" s="761">
        <v>0</v>
      </c>
      <c r="AK4" s="760">
        <v>0</v>
      </c>
      <c r="AL4" s="698">
        <f>SUM(C4:AK4)</f>
      </c>
      <c r="AM4" s="4"/>
      <c r="AN4" s="4"/>
    </row>
    <row r="5" ht="20.25" customHeight="1" spans="1:40" x14ac:dyDescent="0.25">
      <c r="A5" s="4">
        <f>Planning!B122</f>
      </c>
      <c r="B5" s="4"/>
      <c r="C5" s="760">
        <f>IF(GetFillColor(C5)&lt;0,SUM(Planning!$F122:$AC122),0)</f>
      </c>
      <c r="D5" s="760">
        <f>IF(GetFillColor(D5)&lt;0,SUM(Planning!$AI122:$BF122),0)</f>
      </c>
      <c r="E5" s="760">
        <f>IF(GetFillColor(E5)&lt;0,SUM(Planning!$BL122:$CI122),0)</f>
      </c>
      <c r="F5" s="761">
        <f>IF(GetFillColor(F5)&lt;0,SUM(Planning!$CO122:$DL122),0)</f>
      </c>
      <c r="G5" s="761">
        <f>IF(GetFillColor(G5)&lt;0,SUM(Planning!$DR122:$EO122),0)</f>
      </c>
      <c r="H5" s="761">
        <v>0</v>
      </c>
      <c r="I5" s="761">
        <v>0</v>
      </c>
      <c r="J5" s="762">
        <f>IF(GetFillColor(J5)&lt;0,SUM(Planning!$HD122:$IA122),0)</f>
      </c>
      <c r="K5" s="762">
        <f>IF(GetFillColor(K5)&lt;0,SUM(Planning!$IG122:$JD122),0)</f>
      </c>
      <c r="L5" s="762">
        <f>IF(GetFillColor(L5)&lt;0,SUM(Planning!$JJ122:$KG122),0)</f>
      </c>
      <c r="M5" s="762">
        <f>IF(GetFillColor(M5)&lt;0,SUM(Planning!$KM122:$LJ122),0)</f>
      </c>
      <c r="N5" s="762">
        <f>IF(GetFillColor(N5)&lt;0,SUM(Planning!$LP122:$MM122),0)</f>
      </c>
      <c r="O5" s="761">
        <v>0</v>
      </c>
      <c r="P5" s="761">
        <v>0</v>
      </c>
      <c r="Q5" s="762">
        <f>IF(GetFillColor(Q5)&lt;0,SUM(Planning!$PB122:$PY122),0)</f>
      </c>
      <c r="R5" s="762">
        <f>IF(GetFillColor(R5)&lt;0,SUM(Planning!$QE122:$RB122),0)</f>
      </c>
      <c r="S5" s="762">
        <f>IF(GetFillColor(S5)&lt;0,SUM(Planning!$RH122:$SE122),0)</f>
      </c>
      <c r="T5" s="762">
        <f>IF(GetFillColor(T5)&lt;0,SUM(Planning!$SK122:$TH122),0)</f>
      </c>
      <c r="U5" s="762">
        <f>IF(GetFillColor(U5)&lt;0,SUM(Planning!$TN122:$UK122),0)</f>
      </c>
      <c r="V5" s="761">
        <v>0</v>
      </c>
      <c r="W5" s="761">
        <v>0</v>
      </c>
      <c r="X5" s="762">
        <f>IF(GetFillColor(X5)&lt;0,SUM(Planning!$WZ122:$XW122),0)</f>
      </c>
      <c r="Y5" s="762">
        <f>IF(GetFillColor(Y5)&lt;0,SUM(Planning!$YC122:$YZ122),0)</f>
      </c>
      <c r="Z5" s="762">
        <f>IF(GetFillColor(Z5)&lt;0,SUM(Planning!$ZF122:$AAC122),0)</f>
      </c>
      <c r="AA5" s="762">
        <f>IF(GetFillColor(AA5)&lt;0,SUM(Planning!$AAI122:$ABF122),0)</f>
      </c>
      <c r="AB5" s="762">
        <f>IF(GetFillColor(AB5)&lt;0,SUM(Planning!$ABL122:$ACI122),0)</f>
      </c>
      <c r="AC5" s="761">
        <v>0</v>
      </c>
      <c r="AD5" s="761">
        <v>0</v>
      </c>
      <c r="AE5" s="762">
        <f>IF(GetFillColor(AE5)&lt;0,SUM(Planning!$AEX122:$AFU122),0)</f>
      </c>
      <c r="AF5" s="762">
        <f>IF(GetFillColor(AF5)&lt;0,SUM(Planning!$AGA122:$AGX122),0)</f>
      </c>
      <c r="AG5" s="762">
        <f>IF(GetFillColor(AG5)&lt;0,SUM(Planning!$AHD122:$AIA122),0)</f>
      </c>
      <c r="AH5" s="762">
        <f>IF(GetFillColor(AH5)&lt;0,SUM(Planning!$AIG122:$AJD122),0)</f>
      </c>
      <c r="AI5" s="762">
        <f>IF(GetFillColor(AI5)&lt;0,SUM(Planning!$AJJ122:$AKG122),0)</f>
      </c>
      <c r="AJ5" s="761">
        <v>0</v>
      </c>
      <c r="AK5" s="760">
        <v>0</v>
      </c>
      <c r="AL5" s="698">
        <f>SUM(C5:AK5)</f>
      </c>
      <c r="AM5" s="4"/>
      <c r="AN5" s="4"/>
    </row>
    <row r="6" ht="20.25" customHeight="1" spans="1:40" x14ac:dyDescent="0.25">
      <c r="A6" s="4">
        <f>Planning!B123</f>
      </c>
      <c r="B6" s="4"/>
      <c r="C6" s="760">
        <f>IF(GetFillColor(C6)&lt;0,SUM(Planning!$F123:$AC123),0)</f>
      </c>
      <c r="D6" s="760">
        <f>IF(GetFillColor(D6)&lt;0,SUM(Planning!$AI123:$BF123),0)</f>
      </c>
      <c r="E6" s="760">
        <f>IF(GetFillColor(E6)&lt;0,SUM(Planning!$BL123:$CI123),0)</f>
      </c>
      <c r="F6" s="761">
        <f>IF(GetFillColor(F6)&lt;0,SUM(Planning!$CO123:$DL123),0)</f>
      </c>
      <c r="G6" s="761">
        <f>IF(GetFillColor(G6)&lt;0,SUM(Planning!$DR123:$EO123),0)</f>
      </c>
      <c r="H6" s="761">
        <v>0</v>
      </c>
      <c r="I6" s="761">
        <v>0</v>
      </c>
      <c r="J6" s="762">
        <f>IF(GetFillColor(J6)&lt;0,SUM(Planning!$HD123:$IA123),0)</f>
      </c>
      <c r="K6" s="762">
        <f>IF(GetFillColor(K6)&lt;0,SUM(Planning!$IG123:$JD123),0)</f>
      </c>
      <c r="L6" s="762">
        <f>IF(GetFillColor(L6)&lt;0,SUM(Planning!$JJ123:$KG123),0)</f>
      </c>
      <c r="M6" s="762">
        <f>IF(GetFillColor(M6)&lt;0,SUM(Planning!$KM123:$LJ123),0)</f>
      </c>
      <c r="N6" s="762">
        <f>IF(GetFillColor(N6)&lt;0,SUM(Planning!$LP123:$MM123),0)</f>
      </c>
      <c r="O6" s="761">
        <v>0</v>
      </c>
      <c r="P6" s="761">
        <v>0</v>
      </c>
      <c r="Q6" s="762">
        <f>IF(GetFillColor(Q6)&lt;0,SUM(Planning!$PB123:$PY123),0)</f>
      </c>
      <c r="R6" s="762">
        <f>IF(GetFillColor(R6)&lt;0,SUM(Planning!$QE123:$RB123),0)</f>
      </c>
      <c r="S6" s="762">
        <f>IF(GetFillColor(S6)&lt;0,SUM(Planning!$RH123:$SE123),0)</f>
      </c>
      <c r="T6" s="762">
        <f>IF(GetFillColor(T6)&lt;0,SUM(Planning!$SK123:$TH123),0)</f>
      </c>
      <c r="U6" s="762">
        <f>IF(GetFillColor(U6)&lt;0,SUM(Planning!$TN123:$UK123),0)</f>
      </c>
      <c r="V6" s="761">
        <v>0</v>
      </c>
      <c r="W6" s="761">
        <v>0</v>
      </c>
      <c r="X6" s="762">
        <f>IF(GetFillColor(X6)&lt;0,SUM(Planning!$WZ123:$XW123),0)</f>
      </c>
      <c r="Y6" s="762">
        <f>IF(GetFillColor(Y6)&lt;0,SUM(Planning!$YC123:$YZ123),0)</f>
      </c>
      <c r="Z6" s="762">
        <f>IF(GetFillColor(Z6)&lt;0,SUM(Planning!$ZF123:$AAC123),0)</f>
      </c>
      <c r="AA6" s="762">
        <f>IF(GetFillColor(AA6)&lt;0,SUM(Planning!$AAI123:$ABF123),0)</f>
      </c>
      <c r="AB6" s="762">
        <f>IF(GetFillColor(AB6)&lt;0,SUM(Planning!$ABL123:$ACI123),0)</f>
      </c>
      <c r="AC6" s="761">
        <v>0</v>
      </c>
      <c r="AD6" s="761">
        <v>0</v>
      </c>
      <c r="AE6" s="762">
        <f>IF(GetFillColor(AE6)&lt;0,SUM(Planning!$AEX123:$AFU123),0)</f>
      </c>
      <c r="AF6" s="762">
        <f>IF(GetFillColor(AF6)&lt;0,SUM(Planning!$AGA123:$AGX123),0)</f>
      </c>
      <c r="AG6" s="762">
        <f>IF(GetFillColor(AG6)&lt;0,SUM(Planning!$AHD123:$AIA123),0)</f>
      </c>
      <c r="AH6" s="762">
        <f>IF(GetFillColor(AH6)&lt;0,SUM(Planning!$AIG123:$AJD123),0)</f>
      </c>
      <c r="AI6" s="762">
        <f>IF(GetFillColor(AI6)&lt;0,SUM(Planning!$AJJ123:$AKG123),0)</f>
      </c>
      <c r="AJ6" s="761">
        <v>0</v>
      </c>
      <c r="AK6" s="760">
        <v>0</v>
      </c>
      <c r="AL6" s="698">
        <f>SUM(C6:AK6)</f>
      </c>
      <c r="AM6" s="4"/>
      <c r="AN6" s="4"/>
    </row>
    <row r="7" ht="20.25" customHeight="1" spans="1:40" x14ac:dyDescent="0.25">
      <c r="A7" s="4">
        <f>Planning!B124</f>
      </c>
      <c r="B7" s="4"/>
      <c r="C7" s="760">
        <f>IF(GetFillColor(C7)&lt;0,SUM(Planning!$F124:$AC124),0)</f>
      </c>
      <c r="D7" s="760">
        <f>IF(GetFillColor(D7)&lt;0,SUM(Planning!$AI124:$BF124),0)</f>
      </c>
      <c r="E7" s="760">
        <f>IF(GetFillColor(E7)&lt;0,SUM(Planning!$BL124:$CI124),0)</f>
      </c>
      <c r="F7" s="761">
        <f>IF(GetFillColor(F7)&lt;0,SUM(Planning!$CO124:$DL124),0)</f>
      </c>
      <c r="G7" s="761">
        <f>IF(GetFillColor(G7)&lt;0,SUM(Planning!$DR124:$EO124),0)</f>
      </c>
      <c r="H7" s="761">
        <v>0</v>
      </c>
      <c r="I7" s="761">
        <v>0</v>
      </c>
      <c r="J7" s="762">
        <f>IF(GetFillColor(J7)&lt;0,SUM(Planning!$HD124:$IA124),0)</f>
      </c>
      <c r="K7" s="762">
        <f>IF(GetFillColor(K7)&lt;0,SUM(Planning!$IG124:$JD124),0)</f>
      </c>
      <c r="L7" s="762">
        <f>IF(GetFillColor(L7)&lt;0,SUM(Planning!$JJ124:$KG124),0)</f>
      </c>
      <c r="M7" s="762">
        <f>IF(GetFillColor(M7)&lt;0,SUM(Planning!$KM124:$LJ124),0)</f>
      </c>
      <c r="N7" s="762">
        <f>IF(GetFillColor(N7)&lt;0,SUM(Planning!$LP124:$MM124),0)</f>
      </c>
      <c r="O7" s="761">
        <v>0</v>
      </c>
      <c r="P7" s="761">
        <v>0</v>
      </c>
      <c r="Q7" s="762">
        <f>IF(GetFillColor(Q7)&lt;0,SUM(Planning!$PB124:$PY124),0)</f>
      </c>
      <c r="R7" s="762">
        <f>IF(GetFillColor(R7)&lt;0,SUM(Planning!$QE124:$RB124),0)</f>
      </c>
      <c r="S7" s="762">
        <f>IF(GetFillColor(S7)&lt;0,SUM(Planning!$RH124:$SE124),0)</f>
      </c>
      <c r="T7" s="762">
        <f>IF(GetFillColor(T7)&lt;0,SUM(Planning!$SK124:$TH124),0)</f>
      </c>
      <c r="U7" s="762">
        <f>IF(GetFillColor(U7)&lt;0,SUM(Planning!$TN124:$UK124),0)</f>
      </c>
      <c r="V7" s="761">
        <v>0</v>
      </c>
      <c r="W7" s="761">
        <v>0</v>
      </c>
      <c r="X7" s="762">
        <f>IF(GetFillColor(X7)&lt;0,SUM(Planning!$WZ124:$XW124),0)</f>
      </c>
      <c r="Y7" s="762">
        <f>IF(GetFillColor(Y7)&lt;0,SUM(Planning!$YC124:$YZ124),0)</f>
      </c>
      <c r="Z7" s="762">
        <f>IF(GetFillColor(Z7)&lt;0,SUM(Planning!$ZF124:$AAC124),0)</f>
      </c>
      <c r="AA7" s="762">
        <f>IF(GetFillColor(AA7)&lt;0,SUM(Planning!$AAI124:$ABF124),0)</f>
      </c>
      <c r="AB7" s="762">
        <f>IF(GetFillColor(AB7)&lt;0,SUM(Planning!$ABL124:$ACI124),0)</f>
      </c>
      <c r="AC7" s="761">
        <v>0</v>
      </c>
      <c r="AD7" s="761">
        <v>0</v>
      </c>
      <c r="AE7" s="762">
        <f>IF(GetFillColor(AE7)&lt;0,SUM(Planning!$AEX124:$AFU124),0)</f>
      </c>
      <c r="AF7" s="762">
        <f>IF(GetFillColor(AF7)&lt;0,SUM(Planning!$AGA124:$AGX124),0)</f>
      </c>
      <c r="AG7" s="762">
        <f>IF(GetFillColor(AG7)&lt;0,SUM(Planning!$AHD124:$AIA124),0)</f>
      </c>
      <c r="AH7" s="762">
        <f>IF(GetFillColor(AH7)&lt;0,SUM(Planning!$AIG124:$AJD124),0)</f>
      </c>
      <c r="AI7" s="762">
        <f>IF(GetFillColor(AI7)&lt;0,SUM(Planning!$AJJ124:$AKG124),0)</f>
      </c>
      <c r="AJ7" s="761">
        <v>0</v>
      </c>
      <c r="AK7" s="760">
        <v>0</v>
      </c>
      <c r="AL7" s="698">
        <f>SUM(C7:AK7)</f>
      </c>
      <c r="AM7" s="4"/>
      <c r="AN7" s="4"/>
    </row>
    <row r="8" ht="20.25" customHeight="1" spans="1:40" x14ac:dyDescent="0.25">
      <c r="A8" s="4">
        <f>Planning!B125</f>
      </c>
      <c r="B8" s="4"/>
      <c r="C8" s="760">
        <f>IF(GetFillColor(C8)&lt;0,SUM(Planning!$F125:$AC125),0)</f>
      </c>
      <c r="D8" s="760">
        <f>IF(GetFillColor(D8)&lt;0,SUM(Planning!$AI125:$BF125),0)</f>
      </c>
      <c r="E8" s="760">
        <f>IF(GetFillColor(E8)&lt;0,SUM(Planning!$BL125:$CI125),0)</f>
      </c>
      <c r="F8" s="761">
        <f>IF(GetFillColor(F8)&lt;0,SUM(Planning!$CO125:$DL125),0)</f>
      </c>
      <c r="G8" s="761">
        <f>IF(GetFillColor(G8)&lt;0,SUM(Planning!$DR125:$EO125),0)</f>
      </c>
      <c r="H8" s="761">
        <v>0</v>
      </c>
      <c r="I8" s="761">
        <v>0</v>
      </c>
      <c r="J8" s="762">
        <f>IF(GetFillColor(J8)&lt;0,SUM(Planning!$HD125:$IA125),0)</f>
      </c>
      <c r="K8" s="762">
        <f>IF(GetFillColor(K8)&lt;0,SUM(Planning!$IG125:$JD125),0)</f>
      </c>
      <c r="L8" s="762">
        <f>IF(GetFillColor(L8)&lt;0,SUM(Planning!$JJ125:$KG125),0)</f>
      </c>
      <c r="M8" s="762">
        <f>IF(GetFillColor(M8)&lt;0,SUM(Planning!$KM125:$LJ125),0)</f>
      </c>
      <c r="N8" s="762">
        <f>IF(GetFillColor(N8)&lt;0,SUM(Planning!$LP125:$MM125),0)</f>
      </c>
      <c r="O8" s="761">
        <v>0</v>
      </c>
      <c r="P8" s="761">
        <v>0</v>
      </c>
      <c r="Q8" s="762">
        <f>IF(GetFillColor(Q8)&lt;0,SUM(Planning!$PB125:$PY125),0)</f>
      </c>
      <c r="R8" s="762">
        <f>IF(GetFillColor(R8)&lt;0,SUM(Planning!$QE125:$RB125),0)</f>
      </c>
      <c r="S8" s="762">
        <f>IF(GetFillColor(S8)&lt;0,SUM(Planning!$RH125:$SE125),0)</f>
      </c>
      <c r="T8" s="762">
        <f>IF(GetFillColor(T8)&lt;0,SUM(Planning!$SK125:$TH125),0)</f>
      </c>
      <c r="U8" s="762">
        <f>IF(GetFillColor(U8)&lt;0,SUM(Planning!$TN125:$UK125),0)</f>
      </c>
      <c r="V8" s="761">
        <v>0</v>
      </c>
      <c r="W8" s="761">
        <v>0</v>
      </c>
      <c r="X8" s="762">
        <f>IF(GetFillColor(X8)&lt;0,SUM(Planning!$WZ125:$XW125),0)</f>
      </c>
      <c r="Y8" s="762">
        <f>IF(GetFillColor(Y8)&lt;0,SUM(Planning!$YC125:$YZ125),0)</f>
      </c>
      <c r="Z8" s="762">
        <f>IF(GetFillColor(Z8)&lt;0,SUM(Planning!$ZF125:$AAC125),0)</f>
      </c>
      <c r="AA8" s="762">
        <f>IF(GetFillColor(AA8)&lt;0,SUM(Planning!$AAI125:$ABF125),0)</f>
      </c>
      <c r="AB8" s="762">
        <f>IF(GetFillColor(AB8)&lt;0,SUM(Planning!$ABL125:$ACI125),0)</f>
      </c>
      <c r="AC8" s="761">
        <v>0</v>
      </c>
      <c r="AD8" s="761">
        <v>0</v>
      </c>
      <c r="AE8" s="762">
        <f>IF(GetFillColor(AE8)&lt;0,SUM(Planning!$AEX125:$AFU125),0)</f>
      </c>
      <c r="AF8" s="762">
        <f>IF(GetFillColor(AF8)&lt;0,SUM(Planning!$AGA125:$AGX125),0)</f>
      </c>
      <c r="AG8" s="762">
        <f>IF(GetFillColor(AG8)&lt;0,SUM(Planning!$AHD125:$AIA125),0)</f>
      </c>
      <c r="AH8" s="762">
        <f>IF(GetFillColor(AH8)&lt;0,SUM(Planning!$AIG125:$AJD125),0)</f>
      </c>
      <c r="AI8" s="762">
        <f>IF(GetFillColor(AI8)&lt;0,SUM(Planning!$AJJ125:$AKG125),0)</f>
      </c>
      <c r="AJ8" s="761">
        <v>0</v>
      </c>
      <c r="AK8" s="760">
        <v>0</v>
      </c>
      <c r="AL8" s="698">
        <f>SUM(C8:AK8)</f>
      </c>
      <c r="AM8" s="4"/>
      <c r="AN8" s="4"/>
    </row>
    <row r="9" ht="20.25" customHeight="1" spans="1:40" x14ac:dyDescent="0.25">
      <c r="A9" s="4">
        <f>Planning!B126</f>
      </c>
      <c r="B9" s="4"/>
      <c r="C9" s="760">
        <f>IF(GetFillColor(C9)&lt;0,SUM(Planning!$F126:$AC126),0)</f>
      </c>
      <c r="D9" s="760">
        <f>IF(GetFillColor(D9)&lt;0,SUM(Planning!$AI126:$BF126),0)</f>
      </c>
      <c r="E9" s="760">
        <f>IF(GetFillColor(E9)&lt;0,SUM(Planning!$BL126:$CI126),0)</f>
      </c>
      <c r="F9" s="761">
        <f>IF(GetFillColor(F9)&lt;0,SUM(Planning!$CO126:$DL126),0)</f>
      </c>
      <c r="G9" s="761">
        <f>IF(GetFillColor(G9)&lt;0,SUM(Planning!$DR126:$EO126),0)</f>
      </c>
      <c r="H9" s="761">
        <v>0</v>
      </c>
      <c r="I9" s="761">
        <v>0</v>
      </c>
      <c r="J9" s="762">
        <f>IF(GetFillColor(J9)&lt;0,SUM(Planning!$HD126:$IA126),0)</f>
      </c>
      <c r="K9" s="762">
        <f>IF(GetFillColor(K9)&lt;0,SUM(Planning!$IG126:$JD126),0)</f>
      </c>
      <c r="L9" s="762">
        <f>IF(GetFillColor(L9)&lt;0,SUM(Planning!$JJ126:$KG126),0)</f>
      </c>
      <c r="M9" s="762">
        <f>IF(GetFillColor(M9)&lt;0,SUM(Planning!$KM126:$LJ126),0)</f>
      </c>
      <c r="N9" s="762">
        <f>IF(GetFillColor(N9)&lt;0,SUM(Planning!$LP126:$MM126),0)</f>
      </c>
      <c r="O9" s="761">
        <v>0</v>
      </c>
      <c r="P9" s="761">
        <v>0</v>
      </c>
      <c r="Q9" s="762">
        <f>IF(GetFillColor(Q9)&lt;0,SUM(Planning!$PB126:$PY126),0)</f>
      </c>
      <c r="R9" s="762">
        <f>IF(GetFillColor(R9)&lt;0,SUM(Planning!$QE126:$RB126),0)</f>
      </c>
      <c r="S9" s="762">
        <f>IF(GetFillColor(S9)&lt;0,SUM(Planning!$RH126:$SE126),0)</f>
      </c>
      <c r="T9" s="762">
        <f>IF(GetFillColor(T9)&lt;0,SUM(Planning!$SK126:$TH126),0)</f>
      </c>
      <c r="U9" s="762">
        <f>IF(GetFillColor(U9)&lt;0,SUM(Planning!$TN126:$UK126),0)</f>
      </c>
      <c r="V9" s="761">
        <v>0</v>
      </c>
      <c r="W9" s="761">
        <v>0</v>
      </c>
      <c r="X9" s="762">
        <f>IF(GetFillColor(X9)&lt;0,SUM(Planning!$WZ126:$XW126),0)</f>
      </c>
      <c r="Y9" s="762">
        <f>IF(GetFillColor(Y9)&lt;0,SUM(Planning!$YC126:$YZ126),0)</f>
      </c>
      <c r="Z9" s="762">
        <f>IF(GetFillColor(Z9)&lt;0,SUM(Planning!$ZF126:$AAC126),0)</f>
      </c>
      <c r="AA9" s="762">
        <f>IF(GetFillColor(AA9)&lt;0,SUM(Planning!$AAI126:$ABF126),0)</f>
      </c>
      <c r="AB9" s="762">
        <f>IF(GetFillColor(AB9)&lt;0,SUM(Planning!$ABL126:$ACI126),0)</f>
      </c>
      <c r="AC9" s="761">
        <v>0</v>
      </c>
      <c r="AD9" s="761">
        <v>0</v>
      </c>
      <c r="AE9" s="762">
        <f>IF(GetFillColor(AE9)&lt;0,SUM(Planning!$AEX126:$AFU126),0)</f>
      </c>
      <c r="AF9" s="762">
        <f>IF(GetFillColor(AF9)&lt;0,SUM(Planning!$AGA126:$AGX126),0)</f>
      </c>
      <c r="AG9" s="762">
        <f>IF(GetFillColor(AG9)&lt;0,SUM(Planning!$AHD126:$AIA126),0)</f>
      </c>
      <c r="AH9" s="762">
        <f>IF(GetFillColor(AH9)&lt;0,SUM(Planning!$AIG126:$AJD126),0)</f>
      </c>
      <c r="AI9" s="762">
        <f>IF(GetFillColor(AI9)&lt;0,SUM(Planning!$AJJ126:$AKG126),0)</f>
      </c>
      <c r="AJ9" s="761">
        <v>0</v>
      </c>
      <c r="AK9" s="760">
        <v>0</v>
      </c>
      <c r="AL9" s="698">
        <f>SUM(C9:AK9)</f>
      </c>
      <c r="AM9" s="4"/>
      <c r="AN9" s="4"/>
    </row>
    <row r="10" ht="20.25" customHeight="1" spans="1:40" x14ac:dyDescent="0.25">
      <c r="A10" s="4">
        <f>Planning!B127</f>
      </c>
      <c r="B10" s="4"/>
      <c r="C10" s="760">
        <f>IF(GetFillColor(C10)&lt;0,SUM(Planning!$F127:$AC127),0)</f>
      </c>
      <c r="D10" s="760">
        <f>IF(GetFillColor(D10)&lt;0,SUM(Planning!$AI127:$BF127),0)</f>
      </c>
      <c r="E10" s="760">
        <f>IF(GetFillColor(E10)&lt;0,SUM(Planning!$BL127:$CI127),0)</f>
      </c>
      <c r="F10" s="761">
        <f>IF(GetFillColor(F10)&lt;0,SUM(Planning!$CO127:$DL127),0)</f>
      </c>
      <c r="G10" s="761">
        <f>IF(GetFillColor(G10)&lt;0,SUM(Planning!$DR127:$EO127),0)</f>
      </c>
      <c r="H10" s="761">
        <v>0</v>
      </c>
      <c r="I10" s="761">
        <v>0</v>
      </c>
      <c r="J10" s="762">
        <f>IF(GetFillColor(J10)&lt;0,SUM(Planning!$HD127:$IA127),0)</f>
      </c>
      <c r="K10" s="762">
        <f>IF(GetFillColor(K10)&lt;0,SUM(Planning!$IG127:$JD127),0)</f>
      </c>
      <c r="L10" s="762">
        <f>IF(GetFillColor(L10)&lt;0,SUM(Planning!$JJ127:$KG127),0)</f>
      </c>
      <c r="M10" s="762">
        <f>IF(GetFillColor(M10)&lt;0,SUM(Planning!$KM127:$LJ127),0)</f>
      </c>
      <c r="N10" s="762">
        <f>IF(GetFillColor(N10)&lt;0,SUM(Planning!$LP127:$MM127),0)</f>
      </c>
      <c r="O10" s="761">
        <v>0</v>
      </c>
      <c r="P10" s="761">
        <v>0</v>
      </c>
      <c r="Q10" s="762">
        <f>IF(GetFillColor(Q10)&lt;0,SUM(Planning!$PB127:$PY127),0)</f>
      </c>
      <c r="R10" s="762">
        <f>IF(GetFillColor(R10)&lt;0,SUM(Planning!$QE127:$RB127),0)</f>
      </c>
      <c r="S10" s="762">
        <f>IF(GetFillColor(S10)&lt;0,SUM(Planning!$RH127:$SE127),0)</f>
      </c>
      <c r="T10" s="762">
        <f>IF(GetFillColor(T10)&lt;0,SUM(Planning!$SK127:$TH127),0)</f>
      </c>
      <c r="U10" s="762">
        <f>IF(GetFillColor(U10)&lt;0,SUM(Planning!$TN127:$UK127),0)</f>
      </c>
      <c r="V10" s="761">
        <v>0</v>
      </c>
      <c r="W10" s="761">
        <v>0</v>
      </c>
      <c r="X10" s="762">
        <f>IF(GetFillColor(X10)&lt;0,SUM(Planning!$WZ127:$XW127),0)</f>
      </c>
      <c r="Y10" s="762">
        <f>IF(GetFillColor(Y10)&lt;0,SUM(Planning!$YC127:$YZ127),0)</f>
      </c>
      <c r="Z10" s="762">
        <f>IF(GetFillColor(Z10)&lt;0,SUM(Planning!$ZF127:$AAC127),0)</f>
      </c>
      <c r="AA10" s="762">
        <f>IF(GetFillColor(AA10)&lt;0,SUM(Planning!$AAI127:$ABF127),0)</f>
      </c>
      <c r="AB10" s="762">
        <f>IF(GetFillColor(AB10)&lt;0,SUM(Planning!$ABL127:$ACI127),0)</f>
      </c>
      <c r="AC10" s="761">
        <v>0</v>
      </c>
      <c r="AD10" s="761">
        <v>0</v>
      </c>
      <c r="AE10" s="762">
        <f>IF(GetFillColor(AE10)&lt;0,SUM(Planning!$AEX127:$AFU127),0)</f>
      </c>
      <c r="AF10" s="762">
        <f>IF(GetFillColor(AF10)&lt;0,SUM(Planning!$AGA127:$AGX127),0)</f>
      </c>
      <c r="AG10" s="762">
        <f>IF(GetFillColor(AG10)&lt;0,SUM(Planning!$AHD127:$AIA127),0)</f>
      </c>
      <c r="AH10" s="762">
        <f>IF(GetFillColor(AH10)&lt;0,SUM(Planning!$AIG127:$AJD127),0)</f>
      </c>
      <c r="AI10" s="762">
        <f>IF(GetFillColor(AI10)&lt;0,SUM(Planning!$AJJ127:$AKG127),0)</f>
      </c>
      <c r="AJ10" s="761">
        <v>0</v>
      </c>
      <c r="AK10" s="760">
        <v>0</v>
      </c>
      <c r="AL10" s="698">
        <f>SUM(C10:AK10)</f>
      </c>
      <c r="AM10" s="4"/>
      <c r="AN10" s="4"/>
    </row>
    <row r="11" ht="20.25" customHeight="1" spans="1:40" x14ac:dyDescent="0.25">
      <c r="A11" s="4">
        <f>Planning!B128</f>
      </c>
      <c r="B11" s="4"/>
      <c r="C11" s="760">
        <f>IF(GetFillColor(C11)&lt;0,SUM(Planning!$F128:$AC128),0)</f>
      </c>
      <c r="D11" s="760">
        <f>IF(GetFillColor(D11)&lt;0,SUM(Planning!$AI128:$BF128),0)</f>
      </c>
      <c r="E11" s="760">
        <f>IF(GetFillColor(E11)&lt;0,SUM(Planning!$BL128:$CI128),0)</f>
      </c>
      <c r="F11" s="761">
        <f>IF(GetFillColor(F11)&lt;0,SUM(Planning!$CO128:$DL128),0)</f>
      </c>
      <c r="G11" s="761">
        <f>IF(GetFillColor(G11)&lt;0,SUM(Planning!$DR128:$EO128),0)</f>
      </c>
      <c r="H11" s="761">
        <v>0</v>
      </c>
      <c r="I11" s="761">
        <v>0</v>
      </c>
      <c r="J11" s="762">
        <f>IF(GetFillColor(J11)&lt;0,SUM(Planning!$HD128:$IA128),0)</f>
      </c>
      <c r="K11" s="762">
        <f>IF(GetFillColor(K11)&lt;0,SUM(Planning!$IG128:$JD128),0)</f>
      </c>
      <c r="L11" s="762">
        <f>IF(GetFillColor(L11)&lt;0,SUM(Planning!$JJ128:$KG128),0)</f>
      </c>
      <c r="M11" s="762">
        <f>IF(GetFillColor(M11)&lt;0,SUM(Planning!$KM128:$LJ128),0)</f>
      </c>
      <c r="N11" s="762">
        <f>IF(GetFillColor(N11)&lt;0,SUM(Planning!$LP128:$MM128),0)</f>
      </c>
      <c r="O11" s="761">
        <v>0</v>
      </c>
      <c r="P11" s="761">
        <v>0</v>
      </c>
      <c r="Q11" s="762">
        <f>IF(GetFillColor(Q11)&lt;0,SUM(Planning!$PB128:$PY128),0)</f>
      </c>
      <c r="R11" s="762">
        <f>IF(GetFillColor(R11)&lt;0,SUM(Planning!$QE128:$RB128),0)</f>
      </c>
      <c r="S11" s="762">
        <f>IF(GetFillColor(S11)&lt;0,SUM(Planning!$RH128:$SE128),0)</f>
      </c>
      <c r="T11" s="762">
        <f>IF(GetFillColor(T11)&lt;0,SUM(Planning!$SK128:$TH128),0)</f>
      </c>
      <c r="U11" s="762">
        <f>IF(GetFillColor(U11)&lt;0,SUM(Planning!$TN128:$UK128),0)</f>
      </c>
      <c r="V11" s="761">
        <v>0</v>
      </c>
      <c r="W11" s="761">
        <v>0</v>
      </c>
      <c r="X11" s="762">
        <f>IF(GetFillColor(X11)&lt;0,SUM(Planning!$WZ128:$XW128),0)</f>
      </c>
      <c r="Y11" s="762">
        <f>IF(GetFillColor(Y11)&lt;0,SUM(Planning!$YC128:$YZ128),0)</f>
      </c>
      <c r="Z11" s="762">
        <f>IF(GetFillColor(Z11)&lt;0,SUM(Planning!$ZF128:$AAC128),0)</f>
      </c>
      <c r="AA11" s="762">
        <f>IF(GetFillColor(AA11)&lt;0,SUM(Planning!$AAI128:$ABF128),0)</f>
      </c>
      <c r="AB11" s="762">
        <f>IF(GetFillColor(AB11)&lt;0,SUM(Planning!$ABL128:$ACI128),0)</f>
      </c>
      <c r="AC11" s="761">
        <v>0</v>
      </c>
      <c r="AD11" s="761">
        <v>0</v>
      </c>
      <c r="AE11" s="762">
        <f>IF(GetFillColor(AE11)&lt;0,SUM(Planning!$AEX128:$AFU128),0)</f>
      </c>
      <c r="AF11" s="762">
        <f>IF(GetFillColor(AF11)&lt;0,SUM(Planning!$AGA128:$AGX128),0)</f>
      </c>
      <c r="AG11" s="762">
        <f>IF(GetFillColor(AG11)&lt;0,SUM(Planning!$AHD128:$AIA128),0)</f>
      </c>
      <c r="AH11" s="762">
        <f>IF(GetFillColor(AH11)&lt;0,SUM(Planning!$AIG128:$AJD128),0)</f>
      </c>
      <c r="AI11" s="762">
        <f>IF(GetFillColor(AI11)&lt;0,SUM(Planning!$AJJ128:$AKG128),0)</f>
      </c>
      <c r="AJ11" s="761">
        <v>0</v>
      </c>
      <c r="AK11" s="760">
        <v>0</v>
      </c>
      <c r="AL11" s="698">
        <f>SUM(C11:AK11)</f>
      </c>
      <c r="AM11" s="4"/>
      <c r="AN11" s="4"/>
    </row>
    <row r="12" ht="20.25" customHeight="1" spans="1:40" x14ac:dyDescent="0.25">
      <c r="A12" s="4">
        <f>Planning!B129</f>
      </c>
      <c r="B12" s="4"/>
      <c r="C12" s="760">
        <f>IF(GetFillColor(C12)&lt;0,SUM(Planning!$F129:$AC129),0)</f>
      </c>
      <c r="D12" s="760">
        <f>IF(GetFillColor(D12)&lt;0,SUM(Planning!$AI129:$BF129),0)</f>
      </c>
      <c r="E12" s="760">
        <f>IF(GetFillColor(E12)&lt;0,SUM(Planning!$BL129:$CI129),0)</f>
      </c>
      <c r="F12" s="761">
        <f>IF(GetFillColor(F12)&lt;0,SUM(Planning!$CO129:$DL129),0)</f>
      </c>
      <c r="G12" s="761">
        <f>IF(GetFillColor(G12)&lt;0,SUM(Planning!$DR129:$EO129),0)</f>
      </c>
      <c r="H12" s="761">
        <v>0</v>
      </c>
      <c r="I12" s="761">
        <v>0</v>
      </c>
      <c r="J12" s="762">
        <f>IF(GetFillColor(J12)&lt;0,SUM(Planning!$HD129:$IA129),0)</f>
      </c>
      <c r="K12" s="762">
        <f>IF(GetFillColor(K12)&lt;0,SUM(Planning!$IG129:$JD129),0)</f>
      </c>
      <c r="L12" s="762">
        <f>IF(GetFillColor(L12)&lt;0,SUM(Planning!$JJ129:$KG129),0)</f>
      </c>
      <c r="M12" s="762">
        <f>IF(GetFillColor(M12)&lt;0,SUM(Planning!$KM129:$LJ129),0)</f>
      </c>
      <c r="N12" s="762">
        <f>IF(GetFillColor(N12)&lt;0,SUM(Planning!$LP129:$MM129),0)</f>
      </c>
      <c r="O12" s="761">
        <v>0</v>
      </c>
      <c r="P12" s="761">
        <v>0</v>
      </c>
      <c r="Q12" s="762">
        <f>IF(GetFillColor(Q12)&lt;0,SUM(Planning!$PB129:$PY129),0)</f>
      </c>
      <c r="R12" s="762">
        <f>IF(GetFillColor(R12)&lt;0,SUM(Planning!$QE129:$RB129),0)</f>
      </c>
      <c r="S12" s="762">
        <f>IF(GetFillColor(S12)&lt;0,SUM(Planning!$RH129:$SE129),0)</f>
      </c>
      <c r="T12" s="762">
        <f>IF(GetFillColor(T12)&lt;0,SUM(Planning!$SK129:$TH129),0)</f>
      </c>
      <c r="U12" s="762">
        <f>IF(GetFillColor(U12)&lt;0,SUM(Planning!$TN129:$UK129),0)</f>
      </c>
      <c r="V12" s="761">
        <v>0</v>
      </c>
      <c r="W12" s="761">
        <v>0</v>
      </c>
      <c r="X12" s="762">
        <f>IF(GetFillColor(X12)&lt;0,SUM(Planning!$WZ129:$XW129),0)</f>
      </c>
      <c r="Y12" s="762">
        <f>IF(GetFillColor(Y12)&lt;0,SUM(Planning!$YC129:$YZ129),0)</f>
      </c>
      <c r="Z12" s="762">
        <f>IF(GetFillColor(Z12)&lt;0,SUM(Planning!$ZF129:$AAC129),0)</f>
      </c>
      <c r="AA12" s="762">
        <f>IF(GetFillColor(AA12)&lt;0,SUM(Planning!$AAI129:$ABF129),0)</f>
      </c>
      <c r="AB12" s="762">
        <f>IF(GetFillColor(AB12)&lt;0,SUM(Planning!$ABL129:$ACI129),0)</f>
      </c>
      <c r="AC12" s="761">
        <v>0</v>
      </c>
      <c r="AD12" s="761">
        <v>0</v>
      </c>
      <c r="AE12" s="762">
        <f>IF(GetFillColor(AE12)&lt;0,SUM(Planning!$AEX129:$AFU129),0)</f>
      </c>
      <c r="AF12" s="762">
        <f>IF(GetFillColor(AF12)&lt;0,SUM(Planning!$AGA129:$AGX129),0)</f>
      </c>
      <c r="AG12" s="762">
        <f>IF(GetFillColor(AG12)&lt;0,SUM(Planning!$AHD129:$AIA129),0)</f>
      </c>
      <c r="AH12" s="762">
        <f>IF(GetFillColor(AH12)&lt;0,SUM(Planning!$AIG129:$AJD129),0)</f>
      </c>
      <c r="AI12" s="762">
        <f>IF(GetFillColor(AI12)&lt;0,SUM(Planning!$AJJ129:$AKG129),0)</f>
      </c>
      <c r="AJ12" s="761">
        <v>0</v>
      </c>
      <c r="AK12" s="760">
        <v>0</v>
      </c>
      <c r="AL12" s="698">
        <f>SUM(C12:AK12)</f>
      </c>
      <c r="AM12" s="4"/>
      <c r="AN12" s="4"/>
    </row>
    <row r="13" ht="20.25" customHeight="1" spans="1:40" x14ac:dyDescent="0.25">
      <c r="A13" s="4">
        <f>Planning!B130</f>
      </c>
      <c r="B13" s="4"/>
      <c r="C13" s="760">
        <f>IF(GetFillColor(C13)&lt;0,SUM(Planning!$F130:$AC130),0)</f>
      </c>
      <c r="D13" s="760">
        <f>IF(GetFillColor(D13)&lt;0,SUM(Planning!$AI130:$BF130),0)</f>
      </c>
      <c r="E13" s="760">
        <f>IF(GetFillColor(E13)&lt;0,SUM(Planning!$BL130:$CI130),0)</f>
      </c>
      <c r="F13" s="761">
        <f>IF(GetFillColor(F13)&lt;0,SUM(Planning!$CO130:$DL130),0)</f>
      </c>
      <c r="G13" s="761">
        <f>IF(GetFillColor(G13)&lt;0,SUM(Planning!$DR130:$EO130),0)</f>
      </c>
      <c r="H13" s="761">
        <v>0</v>
      </c>
      <c r="I13" s="761">
        <v>0</v>
      </c>
      <c r="J13" s="762">
        <f>IF(GetFillColor(J13)&lt;0,SUM(Planning!$HD130:$IA130),0)</f>
      </c>
      <c r="K13" s="762">
        <f>IF(GetFillColor(K13)&lt;0,SUM(Planning!$IG130:$JD130),0)</f>
      </c>
      <c r="L13" s="762">
        <f>IF(GetFillColor(L13)&lt;0,SUM(Planning!$JJ130:$KG130),0)</f>
      </c>
      <c r="M13" s="762">
        <f>IF(GetFillColor(M13)&lt;0,SUM(Planning!$KM130:$LJ130),0)</f>
      </c>
      <c r="N13" s="762">
        <f>IF(GetFillColor(N13)&lt;0,SUM(Planning!$LP130:$MM130),0)</f>
      </c>
      <c r="O13" s="761">
        <v>0</v>
      </c>
      <c r="P13" s="761">
        <v>0</v>
      </c>
      <c r="Q13" s="762">
        <f>IF(GetFillColor(Q13)&lt;0,SUM(Planning!$PB130:$PY130),0)</f>
      </c>
      <c r="R13" s="762">
        <f>IF(GetFillColor(R13)&lt;0,SUM(Planning!$QE130:$RB130),0)</f>
      </c>
      <c r="S13" s="762">
        <f>IF(GetFillColor(S13)&lt;0,SUM(Planning!$RH130:$SE130),0)</f>
      </c>
      <c r="T13" s="762">
        <f>IF(GetFillColor(T13)&lt;0,SUM(Planning!$SK130:$TH130),0)</f>
      </c>
      <c r="U13" s="762">
        <f>IF(GetFillColor(U13)&lt;0,SUM(Planning!$TN130:$UK130),0)</f>
      </c>
      <c r="V13" s="761">
        <v>0</v>
      </c>
      <c r="W13" s="761">
        <v>0</v>
      </c>
      <c r="X13" s="762">
        <f>IF(GetFillColor(X13)&lt;0,SUM(Planning!$WZ130:$XW130),0)</f>
      </c>
      <c r="Y13" s="762">
        <f>IF(GetFillColor(Y13)&lt;0,SUM(Planning!$YC130:$YZ130),0)</f>
      </c>
      <c r="Z13" s="762">
        <f>IF(GetFillColor(Z13)&lt;0,SUM(Planning!$ZF130:$AAC130),0)</f>
      </c>
      <c r="AA13" s="762">
        <f>IF(GetFillColor(AA13)&lt;0,SUM(Planning!$AAI130:$ABF130),0)</f>
      </c>
      <c r="AB13" s="762">
        <f>IF(GetFillColor(AB13)&lt;0,SUM(Planning!$ABL130:$ACI130),0)</f>
      </c>
      <c r="AC13" s="761">
        <v>0</v>
      </c>
      <c r="AD13" s="761">
        <v>0</v>
      </c>
      <c r="AE13" s="762">
        <f>IF(GetFillColor(AE13)&lt;0,SUM(Planning!$AEX130:$AFU130),0)</f>
      </c>
      <c r="AF13" s="762">
        <f>IF(GetFillColor(AF13)&lt;0,SUM(Planning!$AGA130:$AGX130),0)</f>
      </c>
      <c r="AG13" s="762">
        <f>IF(GetFillColor(AG13)&lt;0,SUM(Planning!$AHD130:$AIA130),0)</f>
      </c>
      <c r="AH13" s="762">
        <f>IF(GetFillColor(AH13)&lt;0,SUM(Planning!$AIG130:$AJD130),0)</f>
      </c>
      <c r="AI13" s="762">
        <f>IF(GetFillColor(AI13)&lt;0,SUM(Planning!$AJJ130:$AKG130),0)</f>
      </c>
      <c r="AJ13" s="761">
        <v>0</v>
      </c>
      <c r="AK13" s="760">
        <v>0</v>
      </c>
      <c r="AL13" s="698">
        <f>SUM(C13:AK13)</f>
      </c>
      <c r="AM13" s="4"/>
      <c r="AN13" s="4"/>
    </row>
    <row r="14" spans="1:4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ht="80.25" customHeight="1" spans="1:40" s="754" customFormat="1" x14ac:dyDescent="0.25">
      <c r="A15" s="755" t="s">
        <v>249</v>
      </c>
      <c r="B15" s="756"/>
      <c r="C15" s="757">
        <f>C2</f>
      </c>
      <c r="D15" s="757">
        <f>D2</f>
      </c>
      <c r="E15" s="757">
        <f>E2</f>
      </c>
      <c r="F15" s="757">
        <f>F2</f>
      </c>
      <c r="G15" s="757">
        <f>G2</f>
      </c>
      <c r="H15" s="757">
        <f>H2</f>
      </c>
      <c r="I15" s="757">
        <f>I2</f>
      </c>
      <c r="J15" s="757">
        <f>J2</f>
      </c>
      <c r="K15" s="757">
        <f>K2</f>
      </c>
      <c r="L15" s="757">
        <f>L2</f>
      </c>
      <c r="M15" s="757">
        <f>M2</f>
      </c>
      <c r="N15" s="757">
        <f>N2</f>
      </c>
      <c r="O15" s="757">
        <f>O2</f>
      </c>
      <c r="P15" s="757">
        <f>P2</f>
      </c>
      <c r="Q15" s="757">
        <f>Q2</f>
      </c>
      <c r="R15" s="757">
        <f>R2</f>
      </c>
      <c r="S15" s="757">
        <f>S2</f>
      </c>
      <c r="T15" s="757">
        <f>T2</f>
      </c>
      <c r="U15" s="757">
        <f>U2</f>
      </c>
      <c r="V15" s="757">
        <f>V2</f>
      </c>
      <c r="W15" s="757">
        <f>W2</f>
      </c>
      <c r="X15" s="757">
        <f>X2</f>
      </c>
      <c r="Y15" s="757">
        <f>Y2</f>
      </c>
      <c r="Z15" s="757">
        <f>Z2</f>
      </c>
      <c r="AA15" s="757">
        <f>AA2</f>
      </c>
      <c r="AB15" s="757">
        <f>AB2</f>
      </c>
      <c r="AC15" s="757">
        <f>AC2</f>
      </c>
      <c r="AD15" s="757">
        <f>AD2</f>
      </c>
      <c r="AE15" s="757">
        <f>AE2</f>
      </c>
      <c r="AF15" s="757">
        <f>AF2</f>
      </c>
      <c r="AG15" s="757">
        <f>AG2</f>
      </c>
      <c r="AH15" s="757">
        <f>AH2</f>
      </c>
      <c r="AI15" s="757">
        <f>AI2</f>
      </c>
      <c r="AJ15" s="757">
        <f>AJ2</f>
      </c>
      <c r="AK15" s="757">
        <f>AK2</f>
      </c>
      <c r="AL15" s="758" t="s">
        <v>236</v>
      </c>
      <c r="AM15" s="4"/>
      <c r="AN15" s="4"/>
    </row>
    <row r="16" ht="10.5" customHeight="1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20.25" customHeight="1" spans="1:40" x14ac:dyDescent="0.25">
      <c r="A17" s="4">
        <f>A4</f>
      </c>
      <c r="B17" s="4"/>
      <c r="C17" s="760">
        <f>IF(GetFillColor(C17)&lt;0,Planning!$D121+Planning!$E121+Planning!$AD121+Planning!$AE121,0)</f>
      </c>
      <c r="D17" s="760">
        <f>IF(GetFillColor(D17)&lt;0,Planning!$AG121+Planning!$AH121+Planning!$BG121+Planning!$BH121,0)</f>
      </c>
      <c r="E17" s="760">
        <f>IF(GetFillColor(E17)&lt;0,Planning!$BJ121+Planning!$BK121+Planning!$CJ121+Planning!$CK121,0)</f>
      </c>
      <c r="F17" s="761">
        <f>IF(GetFillColor(F17)&lt;0,Planning!$CM121+Planning!$CN121+Planning!$DM121+Planning!$DN121,0)</f>
      </c>
      <c r="G17" s="761">
        <f>IF(GetFillColor(G17)&lt;0,Planning!$DP121+Planning!$DQ121+Planning!$EP121+Planning!$EQ121,0)</f>
      </c>
      <c r="H17" s="761">
        <v>0</v>
      </c>
      <c r="I17" s="761">
        <v>0</v>
      </c>
      <c r="J17" s="762">
        <f>IF(GetFillColor(J17)&lt;0,Planning!$HB121+Planning!$HC121+Planning!$IB121+Planning!$IC121,0)</f>
      </c>
      <c r="K17" s="762">
        <f>IF(GetFillColor(K17)&lt;0,Planning!$IE121+Planning!$IF121+Planning!$JE121+Planning!$JF121,0)</f>
      </c>
      <c r="L17" s="762">
        <f>IF(GetFillColor(L17)&lt;0,Planning!$JH121+Planning!$JI121+Planning!$KH121+Planning!$KI121,0)</f>
      </c>
      <c r="M17" s="762">
        <f>IF(GetFillColor(M17)&lt;0,Planning!$KK121+Planning!$KL121+Planning!$LK121+Planning!$LL121,0)</f>
      </c>
      <c r="N17" s="762">
        <f>IF(GetFillColor(N17)&lt;0,Planning!$LN121+Planning!$LO121+Planning!$MN121+Planning!$MO121,0)</f>
      </c>
      <c r="O17" s="761">
        <v>0</v>
      </c>
      <c r="P17" s="761">
        <v>0</v>
      </c>
      <c r="Q17" s="762">
        <f>IF(GetFillColor(Q17)&lt;0,Planning!$OZ121+Planning!$PA121+Planning!$PZ121+Planning!$QA121,0)</f>
      </c>
      <c r="R17" s="762">
        <f>IF(GetFillColor(R17)&lt;0,Planning!$QC121+Planning!$QD121+Planning!$RC121+Planning!$RD121,0)</f>
      </c>
      <c r="S17" s="762">
        <f>IF(GetFillColor(S17)&lt;0,Planning!$RF121+Planning!$RG121+Planning!$SF121+Planning!$SG121,0)</f>
      </c>
      <c r="T17" s="762">
        <f>IF(GetFillColor(T17)&lt;0,Planning!$SI121+Planning!$SJ121+Planning!$TI121+Planning!$TJ121,0)</f>
      </c>
      <c r="U17" s="762">
        <f>IF(GetFillColor(U17)&lt;0,Planning!$TL121+Planning!$TM121+Planning!$UL121+Planning!$UM121,0)</f>
      </c>
      <c r="V17" s="761">
        <v>0</v>
      </c>
      <c r="W17" s="761">
        <v>0</v>
      </c>
      <c r="X17" s="762">
        <f>IF(GetFillColor(X17)&lt;0,Planning!$WX121+Planning!$WY121+Planning!$XX121+Planning!$XY121,0)</f>
      </c>
      <c r="Y17" s="762">
        <f>IF(GetFillColor(Y17)&lt;0,Planning!$YA121+Planning!$YB121+Planning!$ZA121+Planning!$ZB121,0)</f>
      </c>
      <c r="Z17" s="762">
        <f>IF(GetFillColor(Z17)&lt;0,Planning!$ZD121+Planning!$ZE121+Planning!$AAD121+Planning!$AAE121,0)</f>
      </c>
      <c r="AA17" s="762">
        <f>IF(GetFillColor(AA17)&lt;0,Planning!$AAG121+Planning!$AAH121+Planning!$ABG121+Planning!$ABH121,0)</f>
      </c>
      <c r="AB17" s="762">
        <f>IF(GetFillColor(AB17)&lt;0,Planning!$ABJ121+Planning!$ABK121+Planning!$ACJ121+Planning!$ACK121,0)</f>
      </c>
      <c r="AC17" s="761">
        <v>0</v>
      </c>
      <c r="AD17" s="761">
        <v>0</v>
      </c>
      <c r="AE17" s="762">
        <f>IF(GetFillColor(AE17)&lt;0,Planning!$AEV121+Planning!$AEW121+Planning!$AFV121+Planning!$AFW121,0)</f>
      </c>
      <c r="AF17" s="762">
        <f>IF(GetFillColor(AF17)&lt;0,Planning!$AFY121+Planning!$AFZ121+Planning!$AGY121+Planning!$AGZ121,0)</f>
      </c>
      <c r="AG17" s="762">
        <f>IF(GetFillColor(AG17)&lt;0,Planning!$AHB121+Planning!$AHC121+Planning!$AIB121+Planning!$AIC121,0)</f>
      </c>
      <c r="AH17" s="762">
        <f>IF(GetFillColor(AH17)&lt;0,Planning!$AIE121+Planning!$AIF121+Planning!$AJE121+Planning!$AJF121,0)</f>
      </c>
      <c r="AI17" s="762">
        <f>IF(GetFillColor(AI17)&lt;0,Planning!$AJH121+Planning!$AJI121+Planning!$AKH121+Planning!$AKI121,0)</f>
      </c>
      <c r="AJ17" s="761">
        <v>0</v>
      </c>
      <c r="AK17" s="760">
        <v>0</v>
      </c>
      <c r="AL17" s="698">
        <f>SUM(C17:AK17)</f>
      </c>
      <c r="AM17" s="4"/>
      <c r="AN17" s="4"/>
    </row>
    <row r="18" ht="20.25" customHeight="1" spans="1:40" x14ac:dyDescent="0.25">
      <c r="A18" s="4">
        <f>A5</f>
      </c>
      <c r="B18" s="4"/>
      <c r="C18" s="760">
        <f>IF(GetFillColor(C18)&lt;0,Planning!$D122+Planning!$E122+Planning!$AD122+Planning!$AE122,0)</f>
      </c>
      <c r="D18" s="760">
        <f>IF(GetFillColor(D18)&lt;0,Planning!$AG122+Planning!$AH122+Planning!$BG122+Planning!$BH122,0)</f>
      </c>
      <c r="E18" s="760">
        <f>IF(GetFillColor(E18)&lt;0,Planning!$BJ122+Planning!$BK122+Planning!$CJ122+Planning!$CK122,0)</f>
      </c>
      <c r="F18" s="761">
        <f>IF(GetFillColor(F18)&lt;0,Planning!$CM122+Planning!$CN122+Planning!$DM122+Planning!$DN122,0)</f>
      </c>
      <c r="G18" s="761">
        <f>IF(GetFillColor(G18)&lt;0,Planning!$DP122+Planning!$DQ122+Planning!$EP122+Planning!$EQ122,0)</f>
      </c>
      <c r="H18" s="761">
        <v>0</v>
      </c>
      <c r="I18" s="761">
        <v>0</v>
      </c>
      <c r="J18" s="762">
        <f>IF(GetFillColor(J18)&lt;0,Planning!$HB122+Planning!$HC122+Planning!$IB122+Planning!$IC122,0)</f>
      </c>
      <c r="K18" s="762">
        <f>IF(GetFillColor(K18)&lt;0,Planning!$IE122+Planning!$IF122+Planning!$JE122+Planning!$JF122,0)</f>
      </c>
      <c r="L18" s="762">
        <f>IF(GetFillColor(L18)&lt;0,Planning!$JH122+Planning!$JI122+Planning!$KH122+Planning!$KI122,0)</f>
      </c>
      <c r="M18" s="762">
        <f>IF(GetFillColor(M18)&lt;0,Planning!$KK122+Planning!$KL122+Planning!$LK122+Planning!$LL122,0)</f>
      </c>
      <c r="N18" s="762">
        <f>IF(GetFillColor(N18)&lt;0,Planning!$LN122+Planning!$LO122+Planning!$MN122+Planning!$MO122,0)</f>
      </c>
      <c r="O18" s="761">
        <v>0</v>
      </c>
      <c r="P18" s="761">
        <v>0</v>
      </c>
      <c r="Q18" s="762">
        <f>IF(GetFillColor(Q18)&lt;0,Planning!$OZ122+Planning!$PA122+Planning!$PZ122+Planning!$QA122,0)</f>
      </c>
      <c r="R18" s="762">
        <f>IF(GetFillColor(R18)&lt;0,Planning!$QC122+Planning!$QD122+Planning!$RC122+Planning!$RD122,0)</f>
      </c>
      <c r="S18" s="762">
        <f>IF(GetFillColor(S18)&lt;0,Planning!$RF122+Planning!$RG122+Planning!$SF122+Planning!$SG122,0)</f>
      </c>
      <c r="T18" s="762">
        <f>IF(GetFillColor(T18)&lt;0,Planning!$SI122+Planning!$SJ122+Planning!$TI122+Planning!$TJ122,0)</f>
      </c>
      <c r="U18" s="762">
        <f>IF(GetFillColor(U18)&lt;0,Planning!$TL122+Planning!$TM122+Planning!$UL122+Planning!$UM122,0)</f>
      </c>
      <c r="V18" s="761">
        <v>0</v>
      </c>
      <c r="W18" s="761">
        <v>0</v>
      </c>
      <c r="X18" s="762">
        <f>IF(GetFillColor(X18)&lt;0,Planning!$WX122+Planning!$WY122+Planning!$XX122+Planning!$XY122,0)</f>
      </c>
      <c r="Y18" s="762">
        <f>IF(GetFillColor(Y18)&lt;0,Planning!$YA122+Planning!$YB122+Planning!$ZA122+Planning!$ZB122,0)</f>
      </c>
      <c r="Z18" s="762">
        <f>IF(GetFillColor(Z18)&lt;0,Planning!$ZD122+Planning!$ZE122+Planning!$AAD122+Planning!$AAE122,0)</f>
      </c>
      <c r="AA18" s="762">
        <f>IF(GetFillColor(AA18)&lt;0,Planning!$AAG122+Planning!$AAH122+Planning!$ABG122+Planning!$ABH122,0)</f>
      </c>
      <c r="AB18" s="762">
        <f>IF(GetFillColor(AB18)&lt;0,Planning!$ABJ122+Planning!$ABK122+Planning!$ACJ122+Planning!$ACK122,0)</f>
      </c>
      <c r="AC18" s="761">
        <v>0</v>
      </c>
      <c r="AD18" s="761">
        <v>0</v>
      </c>
      <c r="AE18" s="762">
        <f>IF(GetFillColor(AE18)&lt;0,Planning!$AEV122+Planning!$AEW122+Planning!$AFV122+Planning!$AFW122,0)</f>
      </c>
      <c r="AF18" s="762">
        <f>IF(GetFillColor(AF18)&lt;0,Planning!$AFY122+Planning!$AFZ122+Planning!$AGY122+Planning!$AGZ122,0)</f>
      </c>
      <c r="AG18" s="762">
        <f>IF(GetFillColor(AG18)&lt;0,Planning!$AHB122+Planning!$AHC122+Planning!$AIB122+Planning!$AIC122,0)</f>
      </c>
      <c r="AH18" s="762">
        <f>IF(GetFillColor(AH18)&lt;0,Planning!$AIE122+Planning!$AIF122+Planning!$AJE122+Planning!$AJF122,0)</f>
      </c>
      <c r="AI18" s="762">
        <f>IF(GetFillColor(AI18)&lt;0,Planning!$AJH122+Planning!$AJI122+Planning!$AKH122+Planning!$AKI122,0)</f>
      </c>
      <c r="AJ18" s="761">
        <v>0</v>
      </c>
      <c r="AK18" s="760">
        <v>0</v>
      </c>
      <c r="AL18" s="698">
        <f>SUM(C18:AK18)</f>
      </c>
      <c r="AM18" s="4"/>
      <c r="AN18" s="4"/>
    </row>
    <row r="19" ht="20.25" customHeight="1" spans="1:40" x14ac:dyDescent="0.25">
      <c r="A19" s="4">
        <f>A6</f>
      </c>
      <c r="B19" s="4"/>
      <c r="C19" s="760">
        <f>IF(GetFillColor(C19)&lt;0,Planning!$D123+Planning!$E123+Planning!$AD123+Planning!$AE123,0)</f>
      </c>
      <c r="D19" s="760">
        <f>IF(GetFillColor(D19)&lt;0,Planning!$AG123+Planning!$AH123+Planning!$BG123+Planning!$BH123,0)</f>
      </c>
      <c r="E19" s="760">
        <f>IF(GetFillColor(E19)&lt;0,Planning!$BJ123+Planning!$BK123+Planning!$CJ123+Planning!$CK123,0)</f>
      </c>
      <c r="F19" s="761">
        <f>IF(GetFillColor(F19)&lt;0,Planning!$CM123+Planning!$CN123+Planning!$DM123+Planning!$DN123,0)</f>
      </c>
      <c r="G19" s="761">
        <f>IF(GetFillColor(G19)&lt;0,Planning!$DP123+Planning!$DQ123+Planning!$EP123+Planning!$EQ123,0)</f>
      </c>
      <c r="H19" s="761">
        <v>0</v>
      </c>
      <c r="I19" s="761">
        <v>0</v>
      </c>
      <c r="J19" s="762">
        <f>IF(GetFillColor(J19)&lt;0,Planning!$HB123+Planning!$HC123+Planning!$IB123+Planning!$IC123,0)</f>
      </c>
      <c r="K19" s="762">
        <f>IF(GetFillColor(K19)&lt;0,Planning!$IE123+Planning!$IF123+Planning!$JE123+Planning!$JF123,0)</f>
      </c>
      <c r="L19" s="762">
        <f>IF(GetFillColor(L19)&lt;0,Planning!$JH123+Planning!$JI123+Planning!$KH123+Planning!$KI123,0)</f>
      </c>
      <c r="M19" s="762">
        <f>IF(GetFillColor(M19)&lt;0,Planning!$KK123+Planning!$KL123+Planning!$LK123+Planning!$LL123,0)</f>
      </c>
      <c r="N19" s="762">
        <f>IF(GetFillColor(N19)&lt;0,Planning!$LN123+Planning!$LO123+Planning!$MN123+Planning!$MO123,0)</f>
      </c>
      <c r="O19" s="761">
        <v>0</v>
      </c>
      <c r="P19" s="761">
        <v>0</v>
      </c>
      <c r="Q19" s="762">
        <f>IF(GetFillColor(Q19)&lt;0,Planning!$OZ123+Planning!$PA123+Planning!$PZ123+Planning!$QA123,0)</f>
      </c>
      <c r="R19" s="762">
        <f>IF(GetFillColor(R19)&lt;0,Planning!$QC123+Planning!$QD123+Planning!$RC123+Planning!$RD123,0)</f>
      </c>
      <c r="S19" s="762">
        <f>IF(GetFillColor(S19)&lt;0,Planning!$RF123+Planning!$RG123+Planning!$SF123+Planning!$SG123,0)</f>
      </c>
      <c r="T19" s="762">
        <f>IF(GetFillColor(T19)&lt;0,Planning!$SI123+Planning!$SJ123+Planning!$TI123+Planning!$TJ123,0)</f>
      </c>
      <c r="U19" s="762">
        <f>IF(GetFillColor(U19)&lt;0,Planning!$TL123+Planning!$TM123+Planning!$UL123+Planning!$UM123,0)</f>
      </c>
      <c r="V19" s="761">
        <v>0</v>
      </c>
      <c r="W19" s="761">
        <v>0</v>
      </c>
      <c r="X19" s="762">
        <f>IF(GetFillColor(X19)&lt;0,Planning!$WX123+Planning!$WY123+Planning!$XX123+Planning!$XY123,0)</f>
      </c>
      <c r="Y19" s="762">
        <f>IF(GetFillColor(Y19)&lt;0,Planning!$YA123+Planning!$YB123+Planning!$ZA123+Planning!$ZB123,0)</f>
      </c>
      <c r="Z19" s="762">
        <f>IF(GetFillColor(Z19)&lt;0,Planning!$ZD123+Planning!$ZE123+Planning!$AAD123+Planning!$AAE123,0)</f>
      </c>
      <c r="AA19" s="762">
        <f>IF(GetFillColor(AA19)&lt;0,Planning!$AAG123+Planning!$AAH123+Planning!$ABG123+Planning!$ABH123,0)</f>
      </c>
      <c r="AB19" s="762">
        <f>IF(GetFillColor(AB19)&lt;0,Planning!$ABJ123+Planning!$ABK123+Planning!$ACJ123+Planning!$ACK123,0)</f>
      </c>
      <c r="AC19" s="761">
        <v>0</v>
      </c>
      <c r="AD19" s="761">
        <v>0</v>
      </c>
      <c r="AE19" s="762">
        <f>IF(GetFillColor(AE19)&lt;0,Planning!$AEV123+Planning!$AEW123+Planning!$AFV123+Planning!$AFW123,0)</f>
      </c>
      <c r="AF19" s="762">
        <f>IF(GetFillColor(AF19)&lt;0,Planning!$AFY123+Planning!$AFZ123+Planning!$AGY123+Planning!$AGZ123,0)</f>
      </c>
      <c r="AG19" s="762">
        <f>IF(GetFillColor(AG19)&lt;0,Planning!$AHB123+Planning!$AHC123+Planning!$AIB123+Planning!$AIC123,0)</f>
      </c>
      <c r="AH19" s="762">
        <f>IF(GetFillColor(AH19)&lt;0,Planning!$AIE123+Planning!$AIF123+Planning!$AJE123+Planning!$AJF123,0)</f>
      </c>
      <c r="AI19" s="762">
        <f>IF(GetFillColor(AI19)&lt;0,Planning!$AJH123+Planning!$AJI123+Planning!$AKH123+Planning!$AKI123,0)</f>
      </c>
      <c r="AJ19" s="761">
        <v>0</v>
      </c>
      <c r="AK19" s="760">
        <v>0</v>
      </c>
      <c r="AL19" s="698">
        <f>SUM(C19:AK19)</f>
      </c>
      <c r="AM19" s="4"/>
      <c r="AN19" s="4"/>
    </row>
    <row r="20" ht="20.25" customHeight="1" spans="1:40" x14ac:dyDescent="0.25">
      <c r="A20" s="4">
        <f>A7</f>
      </c>
      <c r="B20" s="4"/>
      <c r="C20" s="760">
        <f>IF(GetFillColor(C20)&lt;0,Planning!$D124+Planning!$E124+Planning!$AD124+Planning!$AE124,0)</f>
      </c>
      <c r="D20" s="760">
        <f>IF(GetFillColor(D20)&lt;0,Planning!$AG124+Planning!$AH124+Planning!$BG124+Planning!$BH124,0)</f>
      </c>
      <c r="E20" s="760">
        <f>IF(GetFillColor(E20)&lt;0,Planning!$BJ124+Planning!$BK124+Planning!$CJ124+Planning!$CK124,0)</f>
      </c>
      <c r="F20" s="761">
        <f>IF(GetFillColor(F20)&lt;0,Planning!$CM124+Planning!$CN124+Planning!$DM124+Planning!$DN124,0)</f>
      </c>
      <c r="G20" s="761">
        <f>IF(GetFillColor(G20)&lt;0,Planning!$DP124+Planning!$DQ124+Planning!$EP124+Planning!$EQ124,0)</f>
      </c>
      <c r="H20" s="761">
        <v>0</v>
      </c>
      <c r="I20" s="761">
        <v>0</v>
      </c>
      <c r="J20" s="762">
        <f>IF(GetFillColor(J20)&lt;0,Planning!$HB124+Planning!$HC124+Planning!$IB124+Planning!$IC124,0)</f>
      </c>
      <c r="K20" s="762">
        <f>IF(GetFillColor(K20)&lt;0,Planning!$IE124+Planning!$IF124+Planning!$JE124+Planning!$JF124,0)</f>
      </c>
      <c r="L20" s="762">
        <f>IF(GetFillColor(L20)&lt;0,Planning!$JH124+Planning!$JI124+Planning!$KH124+Planning!$KI124,0)</f>
      </c>
      <c r="M20" s="762">
        <f>IF(GetFillColor(M20)&lt;0,Planning!$KK124+Planning!$KL124+Planning!$LK124+Planning!$LL124,0)</f>
      </c>
      <c r="N20" s="762">
        <f>IF(GetFillColor(N20)&lt;0,Planning!$LN124+Planning!$LO124+Planning!$MN124+Planning!$MO124,0)</f>
      </c>
      <c r="O20" s="761">
        <v>0</v>
      </c>
      <c r="P20" s="761">
        <v>0</v>
      </c>
      <c r="Q20" s="762">
        <f>IF(GetFillColor(Q20)&lt;0,Planning!$OZ124+Planning!$PA124+Planning!$PZ124+Planning!$QA124,0)</f>
      </c>
      <c r="R20" s="762">
        <f>IF(GetFillColor(R20)&lt;0,Planning!$QC124+Planning!$QD124+Planning!$RC124+Planning!$RD124,0)</f>
      </c>
      <c r="S20" s="762">
        <f>IF(GetFillColor(S20)&lt;0,Planning!$RF124+Planning!$RG124+Planning!$SF124+Planning!$SG124,0)</f>
      </c>
      <c r="T20" s="762">
        <f>IF(GetFillColor(T20)&lt;0,Planning!$SI124+Planning!$SJ124+Planning!$TI124+Planning!$TJ124,0)</f>
      </c>
      <c r="U20" s="762">
        <f>IF(GetFillColor(U20)&lt;0,Planning!$TL124+Planning!$TM124+Planning!$UL124+Planning!$UM124,0)</f>
      </c>
      <c r="V20" s="761">
        <v>0</v>
      </c>
      <c r="W20" s="761">
        <v>0</v>
      </c>
      <c r="X20" s="762">
        <f>IF(GetFillColor(X20)&lt;0,Planning!$WX124+Planning!$WY124+Planning!$XX124+Planning!$XY124,0)</f>
      </c>
      <c r="Y20" s="762">
        <f>IF(GetFillColor(Y20)&lt;0,Planning!$YA124+Planning!$YB124+Planning!$ZA124+Planning!$ZB124,0)</f>
      </c>
      <c r="Z20" s="762">
        <f>IF(GetFillColor(Z20)&lt;0,Planning!$ZD124+Planning!$ZE124+Planning!$AAD124+Planning!$AAE124,0)</f>
      </c>
      <c r="AA20" s="762">
        <f>IF(GetFillColor(AA20)&lt;0,Planning!$AAG124+Planning!$AAH124+Planning!$ABG124+Planning!$ABH124,0)</f>
      </c>
      <c r="AB20" s="762">
        <f>IF(GetFillColor(AB20)&lt;0,Planning!$ABJ124+Planning!$ABK124+Planning!$ACJ124+Planning!$ACK124,0)</f>
      </c>
      <c r="AC20" s="761">
        <v>0</v>
      </c>
      <c r="AD20" s="761">
        <v>0</v>
      </c>
      <c r="AE20" s="762">
        <f>IF(GetFillColor(AE20)&lt;0,Planning!$AEV124+Planning!$AEW124+Planning!$AFV124+Planning!$AFW124,0)</f>
      </c>
      <c r="AF20" s="762">
        <f>IF(GetFillColor(AF20)&lt;0,Planning!$AFY124+Planning!$AFZ124+Planning!$AGY124+Planning!$AGZ124,0)</f>
      </c>
      <c r="AG20" s="762">
        <f>IF(GetFillColor(AG20)&lt;0,Planning!$AHB124+Planning!$AHC124+Planning!$AIB124+Planning!$AIC124,0)</f>
      </c>
      <c r="AH20" s="762">
        <f>IF(GetFillColor(AH20)&lt;0,Planning!$AIE124+Planning!$AIF124+Planning!$AJE124+Planning!$AJF124,0)</f>
      </c>
      <c r="AI20" s="762">
        <f>IF(GetFillColor(AI20)&lt;0,Planning!$AJH124+Planning!$AJI124+Planning!$AKH124+Planning!$AKI124,0)</f>
      </c>
      <c r="AJ20" s="761">
        <v>0</v>
      </c>
      <c r="AK20" s="760">
        <v>0</v>
      </c>
      <c r="AL20" s="698">
        <f>SUM(C20:AK20)</f>
      </c>
      <c r="AM20" s="4"/>
      <c r="AN20" s="4"/>
    </row>
    <row r="21" ht="20.25" customHeight="1" spans="1:40" x14ac:dyDescent="0.25">
      <c r="A21" s="4">
        <f>A8</f>
      </c>
      <c r="B21" s="4"/>
      <c r="C21" s="760">
        <f>IF(GetFillColor(C21)&lt;0,Planning!$D125+Planning!$E125+Planning!$AD125+Planning!$AE125,0)</f>
      </c>
      <c r="D21" s="760">
        <f>IF(GetFillColor(D21)&lt;0,Planning!$AG125+Planning!$AH125+Planning!$BG125+Planning!$BH125,0)</f>
      </c>
      <c r="E21" s="760">
        <f>IF(GetFillColor(E21)&lt;0,Planning!$BJ125+Planning!$BK125+Planning!$CJ125+Planning!$CK125,0)</f>
      </c>
      <c r="F21" s="761">
        <f>IF(GetFillColor(F21)&lt;0,Planning!$CM125+Planning!$CN125+Planning!$DM125+Planning!$DN125,0)</f>
      </c>
      <c r="G21" s="761">
        <f>IF(GetFillColor(G21)&lt;0,Planning!$DP125+Planning!$DQ125+Planning!$EP125+Planning!$EQ125,0)</f>
      </c>
      <c r="H21" s="761">
        <v>0</v>
      </c>
      <c r="I21" s="761">
        <v>0</v>
      </c>
      <c r="J21" s="762">
        <f>IF(GetFillColor(J21)&lt;0,Planning!$HB125+Planning!$HC125+Planning!$IB125+Planning!$IC125,0)</f>
      </c>
      <c r="K21" s="762">
        <f>IF(GetFillColor(K21)&lt;0,Planning!$IE125+Planning!$IF125+Planning!$JE125+Planning!$JF125,0)</f>
      </c>
      <c r="L21" s="762">
        <f>IF(GetFillColor(L21)&lt;0,Planning!$JH125+Planning!$JI125+Planning!$KH125+Planning!$KI125,0)</f>
      </c>
      <c r="M21" s="762">
        <f>IF(GetFillColor(M21)&lt;0,Planning!$KK125+Planning!$KL125+Planning!$LK125+Planning!$LL125,0)</f>
      </c>
      <c r="N21" s="762">
        <f>IF(GetFillColor(N21)&lt;0,Planning!$LN125+Planning!$LO125+Planning!$MN125+Planning!$MO125,0)</f>
      </c>
      <c r="O21" s="761">
        <v>0</v>
      </c>
      <c r="P21" s="761">
        <v>0</v>
      </c>
      <c r="Q21" s="762">
        <f>IF(GetFillColor(Q21)&lt;0,Planning!$OZ125+Planning!$PA125+Planning!$PZ125+Planning!$QA125,0)</f>
      </c>
      <c r="R21" s="762">
        <f>IF(GetFillColor(R21)&lt;0,Planning!$QC125+Planning!$QD125+Planning!$RC125+Planning!$RD125,0)</f>
      </c>
      <c r="S21" s="762">
        <f>IF(GetFillColor(S21)&lt;0,Planning!$RF125+Planning!$RG125+Planning!$SF125+Planning!$SG125,0)</f>
      </c>
      <c r="T21" s="762">
        <f>IF(GetFillColor(T21)&lt;0,Planning!$SI125+Planning!$SJ125+Planning!$TI125+Planning!$TJ125,0)</f>
      </c>
      <c r="U21" s="762">
        <f>IF(GetFillColor(U21)&lt;0,Planning!$TL125+Planning!$TM125+Planning!$UL125+Planning!$UM125,0)</f>
      </c>
      <c r="V21" s="761">
        <v>0</v>
      </c>
      <c r="W21" s="761">
        <v>0</v>
      </c>
      <c r="X21" s="762">
        <f>IF(GetFillColor(X21)&lt;0,Planning!$WX125+Planning!$WY125+Planning!$XX125+Planning!$XY125,0)</f>
      </c>
      <c r="Y21" s="762">
        <f>IF(GetFillColor(Y21)&lt;0,Planning!$YA125+Planning!$YB125+Planning!$ZA125+Planning!$ZB125,0)</f>
      </c>
      <c r="Z21" s="762">
        <f>IF(GetFillColor(Z21)&lt;0,Planning!$ZD125+Planning!$ZE125+Planning!$AAD125+Planning!$AAE125,0)</f>
      </c>
      <c r="AA21" s="762">
        <f>IF(GetFillColor(AA21)&lt;0,Planning!$AAG125+Planning!$AAH125+Planning!$ABG125+Planning!$ABH125,0)</f>
      </c>
      <c r="AB21" s="762">
        <f>IF(GetFillColor(AB21)&lt;0,Planning!$ABJ125+Planning!$ABK125+Planning!$ACJ125+Planning!$ACK125,0)</f>
      </c>
      <c r="AC21" s="761">
        <v>0</v>
      </c>
      <c r="AD21" s="761">
        <v>0</v>
      </c>
      <c r="AE21" s="762">
        <f>IF(GetFillColor(AE21)&lt;0,Planning!$AEV125+Planning!$AEW125+Planning!$AFV125+Planning!$AFW125,0)</f>
      </c>
      <c r="AF21" s="762">
        <f>IF(GetFillColor(AF21)&lt;0,Planning!$AFY125+Planning!$AFZ125+Planning!$AGY125+Planning!$AGZ125,0)</f>
      </c>
      <c r="AG21" s="762">
        <f>IF(GetFillColor(AG21)&lt;0,Planning!$AHB125+Planning!$AHC125+Planning!$AIB125+Planning!$AIC125,0)</f>
      </c>
      <c r="AH21" s="762">
        <f>IF(GetFillColor(AH21)&lt;0,Planning!$AIE125+Planning!$AIF125+Planning!$AJE125+Planning!$AJF125,0)</f>
      </c>
      <c r="AI21" s="762">
        <f>IF(GetFillColor(AI21)&lt;0,Planning!$AJH125+Planning!$AJI125+Planning!$AKH125+Planning!$AKI125,0)</f>
      </c>
      <c r="AJ21" s="761">
        <v>0</v>
      </c>
      <c r="AK21" s="760">
        <v>0</v>
      </c>
      <c r="AL21" s="698">
        <f>SUM(C21:AK21)</f>
      </c>
      <c r="AM21" s="4"/>
      <c r="AN21" s="4"/>
    </row>
    <row r="22" ht="20.25" customHeight="1" spans="1:40" x14ac:dyDescent="0.25">
      <c r="A22" s="4">
        <f>A9</f>
      </c>
      <c r="B22" s="4"/>
      <c r="C22" s="760">
        <f>IF(GetFillColor(C22)&lt;0,Planning!$D126+Planning!$E126+Planning!$AD126+Planning!$AE126,0)</f>
      </c>
      <c r="D22" s="760">
        <f>IF(GetFillColor(D22)&lt;0,Planning!$AG126+Planning!$AH126+Planning!$BG126+Planning!$BH126,0)</f>
      </c>
      <c r="E22" s="760">
        <f>IF(GetFillColor(E22)&lt;0,Planning!$BJ126+Planning!$BK126+Planning!$CJ126+Planning!$CK126,0)</f>
      </c>
      <c r="F22" s="761">
        <f>IF(GetFillColor(F22)&lt;0,Planning!$CM126+Planning!$CN126+Planning!$DM126+Planning!$DN126,0)</f>
      </c>
      <c r="G22" s="761">
        <f>IF(GetFillColor(G22)&lt;0,Planning!$DP126+Planning!$DQ126+Planning!$EP126+Planning!$EQ126,0)</f>
      </c>
      <c r="H22" s="761">
        <v>0</v>
      </c>
      <c r="I22" s="761">
        <v>0</v>
      </c>
      <c r="J22" s="762">
        <f>IF(GetFillColor(J22)&lt;0,Planning!$HB126+Planning!$HC126+Planning!$IB126+Planning!$IC126,0)</f>
      </c>
      <c r="K22" s="762">
        <f>IF(GetFillColor(K22)&lt;0,Planning!$IE126+Planning!$IF126+Planning!$JE126+Planning!$JF126,0)</f>
      </c>
      <c r="L22" s="762">
        <f>IF(GetFillColor(L22)&lt;0,Planning!$JH126+Planning!$JI126+Planning!$KH126+Planning!$KI126,0)</f>
      </c>
      <c r="M22" s="762">
        <f>IF(GetFillColor(M22)&lt;0,Planning!$KK126+Planning!$KL126+Planning!$LK126+Planning!$LL126,0)</f>
      </c>
      <c r="N22" s="762">
        <f>IF(GetFillColor(N22)&lt;0,Planning!$LN126+Planning!$LO126+Planning!$MN126+Planning!$MO126,0)</f>
      </c>
      <c r="O22" s="761">
        <v>0</v>
      </c>
      <c r="P22" s="761">
        <v>0</v>
      </c>
      <c r="Q22" s="762">
        <f>IF(GetFillColor(Q22)&lt;0,Planning!$OZ126+Planning!$PA126+Planning!$PZ126+Planning!$QA126,0)</f>
      </c>
      <c r="R22" s="762">
        <f>IF(GetFillColor(R22)&lt;0,Planning!$QC126+Planning!$QD126+Planning!$RC126+Planning!$RD126,0)</f>
      </c>
      <c r="S22" s="762">
        <f>IF(GetFillColor(S22)&lt;0,Planning!$RF126+Planning!$RG126+Planning!$SF126+Planning!$SG126,0)</f>
      </c>
      <c r="T22" s="762">
        <f>IF(GetFillColor(T22)&lt;0,Planning!$SI126+Planning!$SJ126+Planning!$TI126+Planning!$TJ126,0)</f>
      </c>
      <c r="U22" s="762">
        <f>IF(GetFillColor(U22)&lt;0,Planning!$TL126+Planning!$TM126+Planning!$UL126+Planning!$UM126,0)</f>
      </c>
      <c r="V22" s="761">
        <v>0</v>
      </c>
      <c r="W22" s="761">
        <v>0</v>
      </c>
      <c r="X22" s="762">
        <f>IF(GetFillColor(X22)&lt;0,Planning!$WX126+Planning!$WY126+Planning!$XX126+Planning!$XY126,0)</f>
      </c>
      <c r="Y22" s="762">
        <f>IF(GetFillColor(Y22)&lt;0,Planning!$YA126+Planning!$YB126+Planning!$ZA126+Planning!$ZB126,0)</f>
      </c>
      <c r="Z22" s="762">
        <f>IF(GetFillColor(Z22)&lt;0,Planning!$ZD126+Planning!$ZE126+Planning!$AAD126+Planning!$AAE126,0)</f>
      </c>
      <c r="AA22" s="762">
        <f>IF(GetFillColor(AA22)&lt;0,Planning!$AAG126+Planning!$AAH126+Planning!$ABG126+Planning!$ABH126,0)</f>
      </c>
      <c r="AB22" s="762">
        <f>IF(GetFillColor(AB22)&lt;0,Planning!$ABJ126+Planning!$ABK126+Planning!$ACJ126+Planning!$ACK126,0)</f>
      </c>
      <c r="AC22" s="761">
        <v>0</v>
      </c>
      <c r="AD22" s="761">
        <v>0</v>
      </c>
      <c r="AE22" s="762">
        <f>IF(GetFillColor(AE22)&lt;0,Planning!$AEV126+Planning!$AEW126+Planning!$AFV126+Planning!$AFW126,0)</f>
      </c>
      <c r="AF22" s="762">
        <f>IF(GetFillColor(AF22)&lt;0,Planning!$AFY126+Planning!$AFZ126+Planning!$AGY126+Planning!$AGZ126,0)</f>
      </c>
      <c r="AG22" s="762">
        <f>IF(GetFillColor(AG22)&lt;0,Planning!$AHB126+Planning!$AHC126+Planning!$AIB126+Planning!$AIC126,0)</f>
      </c>
      <c r="AH22" s="762">
        <f>IF(GetFillColor(AH22)&lt;0,Planning!$AIE126+Planning!$AIF126+Planning!$AJE126+Planning!$AJF126,0)</f>
      </c>
      <c r="AI22" s="762">
        <f>IF(GetFillColor(AI22)&lt;0,Planning!$AJH126+Planning!$AJI126+Planning!$AKH126+Planning!$AKI126,0)</f>
      </c>
      <c r="AJ22" s="761">
        <v>0</v>
      </c>
      <c r="AK22" s="760">
        <v>0</v>
      </c>
      <c r="AL22" s="698">
        <f>SUM(C22:AK22)</f>
      </c>
      <c r="AM22" s="4"/>
      <c r="AN22" s="4"/>
    </row>
    <row r="23" ht="20.25" customHeight="1" spans="1:40" x14ac:dyDescent="0.25">
      <c r="A23" s="4">
        <f>A10</f>
      </c>
      <c r="B23" s="4"/>
      <c r="C23" s="760">
        <f>IF(GetFillColor(C23)&lt;0,Planning!$D127+Planning!$E127+Planning!$AD127+Planning!$AE127,0)</f>
      </c>
      <c r="D23" s="760">
        <f>IF(GetFillColor(D23)&lt;0,Planning!$AG127+Planning!$AH127+Planning!$BG127+Planning!$BH127,0)</f>
      </c>
      <c r="E23" s="760">
        <f>IF(GetFillColor(E23)&lt;0,Planning!$BJ127+Planning!$BK127+Planning!$CJ127+Planning!$CK127,0)</f>
      </c>
      <c r="F23" s="761">
        <f>IF(GetFillColor(F23)&lt;0,Planning!$CM127+Planning!$CN127+Planning!$DM127+Planning!$DN127,0)</f>
      </c>
      <c r="G23" s="761">
        <f>IF(GetFillColor(G23)&lt;0,Planning!$DP127+Planning!$DQ127+Planning!$EP127+Planning!$EQ127,0)</f>
      </c>
      <c r="H23" s="761">
        <v>0</v>
      </c>
      <c r="I23" s="761">
        <v>0</v>
      </c>
      <c r="J23" s="762">
        <f>IF(GetFillColor(J23)&lt;0,Planning!$HB127+Planning!$HC127+Planning!$IB127+Planning!$IC127,0)</f>
      </c>
      <c r="K23" s="762">
        <f>IF(GetFillColor(K23)&lt;0,Planning!$IE127+Planning!$IF127+Planning!$JE127+Planning!$JF127,0)</f>
      </c>
      <c r="L23" s="762">
        <f>IF(GetFillColor(L23)&lt;0,Planning!$JH127+Planning!$JI127+Planning!$KH127+Planning!$KI127,0)</f>
      </c>
      <c r="M23" s="762">
        <f>IF(GetFillColor(M23)&lt;0,Planning!$KK127+Planning!$KL127+Planning!$LK127+Planning!$LL127,0)</f>
      </c>
      <c r="N23" s="762">
        <f>IF(GetFillColor(N23)&lt;0,Planning!$LN127+Planning!$LO127+Planning!$MN127+Planning!$MO127,0)</f>
      </c>
      <c r="O23" s="761">
        <v>0</v>
      </c>
      <c r="P23" s="761">
        <v>0</v>
      </c>
      <c r="Q23" s="762">
        <f>IF(GetFillColor(Q23)&lt;0,Planning!$OZ127+Planning!$PA127+Planning!$PZ127+Planning!$QA127,0)</f>
      </c>
      <c r="R23" s="762">
        <f>IF(GetFillColor(R23)&lt;0,Planning!$QC127+Planning!$QD127+Planning!$RC127+Planning!$RD127,0)</f>
      </c>
      <c r="S23" s="762">
        <f>IF(GetFillColor(S23)&lt;0,Planning!$RF127+Planning!$RG127+Planning!$SF127+Planning!$SG127,0)</f>
      </c>
      <c r="T23" s="762">
        <f>IF(GetFillColor(T23)&lt;0,Planning!$SI127+Planning!$SJ127+Planning!$TI127+Planning!$TJ127,0)</f>
      </c>
      <c r="U23" s="762">
        <f>IF(GetFillColor(U23)&lt;0,Planning!$TL127+Planning!$TM127+Planning!$UL127+Planning!$UM127,0)</f>
      </c>
      <c r="V23" s="761">
        <v>0</v>
      </c>
      <c r="W23" s="761">
        <v>0</v>
      </c>
      <c r="X23" s="762">
        <f>IF(GetFillColor(X23)&lt;0,Planning!$WX127+Planning!$WY127+Planning!$XX127+Planning!$XY127,0)</f>
      </c>
      <c r="Y23" s="762">
        <f>IF(GetFillColor(Y23)&lt;0,Planning!$YA127+Planning!$YB127+Planning!$ZA127+Planning!$ZB127,0)</f>
      </c>
      <c r="Z23" s="762">
        <f>IF(GetFillColor(Z23)&lt;0,Planning!$ZD127+Planning!$ZE127+Planning!$AAD127+Planning!$AAE127,0)</f>
      </c>
      <c r="AA23" s="762">
        <f>IF(GetFillColor(AA23)&lt;0,Planning!$AAG127+Planning!$AAH127+Planning!$ABG127+Planning!$ABH127,0)</f>
      </c>
      <c r="AB23" s="762">
        <f>IF(GetFillColor(AB23)&lt;0,Planning!$ABJ127+Planning!$ABK127+Planning!$ACJ127+Planning!$ACK127,0)</f>
      </c>
      <c r="AC23" s="761">
        <v>0</v>
      </c>
      <c r="AD23" s="761">
        <v>0</v>
      </c>
      <c r="AE23" s="762">
        <f>IF(GetFillColor(AE23)&lt;0,Planning!$AEV127+Planning!$AEW127+Planning!$AFV127+Planning!$AFW127,0)</f>
      </c>
      <c r="AF23" s="762">
        <f>IF(GetFillColor(AF23)&lt;0,Planning!$AFY127+Planning!$AFZ127+Planning!$AGY127+Planning!$AGZ127,0)</f>
      </c>
      <c r="AG23" s="762">
        <f>IF(GetFillColor(AG23)&lt;0,Planning!$AHB127+Planning!$AHC127+Planning!$AIB127+Planning!$AIC127,0)</f>
      </c>
      <c r="AH23" s="762">
        <f>IF(GetFillColor(AH23)&lt;0,Planning!$AIE127+Planning!$AIF127+Planning!$AJE127+Planning!$AJF127,0)</f>
      </c>
      <c r="AI23" s="762">
        <f>IF(GetFillColor(AI23)&lt;0,Planning!$AJH127+Planning!$AJI127+Planning!$AKH127+Planning!$AKI127,0)</f>
      </c>
      <c r="AJ23" s="761">
        <v>0</v>
      </c>
      <c r="AK23" s="760">
        <v>0</v>
      </c>
      <c r="AL23" s="698">
        <f>SUM(C23:AK23)</f>
      </c>
      <c r="AM23" s="4"/>
      <c r="AN23" s="4"/>
    </row>
    <row r="24" ht="20.25" customHeight="1" spans="1:40" x14ac:dyDescent="0.25">
      <c r="A24" s="4">
        <f>A11</f>
      </c>
      <c r="B24" s="4"/>
      <c r="C24" s="760">
        <f>IF(GetFillColor(C24)&lt;0,Planning!$D128+Planning!$E128+Planning!$AD128+Planning!$AE128,0)</f>
      </c>
      <c r="D24" s="760">
        <f>IF(GetFillColor(D24)&lt;0,Planning!$AG128+Planning!$AH128+Planning!$BG128+Planning!$BH128,0)</f>
      </c>
      <c r="E24" s="760">
        <f>IF(GetFillColor(E24)&lt;0,Planning!$BJ128+Planning!$BK128+Planning!$CJ128+Planning!$CK128,0)</f>
      </c>
      <c r="F24" s="761">
        <f>IF(GetFillColor(F24)&lt;0,Planning!$CM128+Planning!$CN128+Planning!$DM128+Planning!$DN128,0)</f>
      </c>
      <c r="G24" s="761">
        <f>IF(GetFillColor(G24)&lt;0,Planning!$DP128+Planning!$DQ128+Planning!$EP128+Planning!$EQ128,0)</f>
      </c>
      <c r="H24" s="761">
        <v>0</v>
      </c>
      <c r="I24" s="761">
        <v>0</v>
      </c>
      <c r="J24" s="762">
        <f>IF(GetFillColor(J24)&lt;0,Planning!$HB128+Planning!$HC128+Planning!$IB128+Planning!$IC128,0)</f>
      </c>
      <c r="K24" s="762">
        <f>IF(GetFillColor(K24)&lt;0,Planning!$IE128+Planning!$IF128+Planning!$JE128+Planning!$JF128,0)</f>
      </c>
      <c r="L24" s="762">
        <f>IF(GetFillColor(L24)&lt;0,Planning!$JH128+Planning!$JI128+Planning!$KH128+Planning!$KI128,0)</f>
      </c>
      <c r="M24" s="762">
        <f>IF(GetFillColor(M24)&lt;0,Planning!$KK128+Planning!$KL128+Planning!$LK128+Planning!$LL128,0)</f>
      </c>
      <c r="N24" s="762">
        <f>IF(GetFillColor(N24)&lt;0,Planning!$LN128+Planning!$LO128+Planning!$MN128+Planning!$MO128,0)</f>
      </c>
      <c r="O24" s="761">
        <v>0</v>
      </c>
      <c r="P24" s="761">
        <v>0</v>
      </c>
      <c r="Q24" s="762">
        <f>IF(GetFillColor(Q24)&lt;0,Planning!$OZ128+Planning!$PA128+Planning!$PZ128+Planning!$QA128,0)</f>
      </c>
      <c r="R24" s="762">
        <f>IF(GetFillColor(R24)&lt;0,Planning!$QC128+Planning!$QD128+Planning!$RC128+Planning!$RD128,0)</f>
      </c>
      <c r="S24" s="762">
        <f>IF(GetFillColor(S24)&lt;0,Planning!$RF128+Planning!$RG128+Planning!$SF128+Planning!$SG128,0)</f>
      </c>
      <c r="T24" s="762">
        <f>IF(GetFillColor(T24)&lt;0,Planning!$SI128+Planning!$SJ128+Planning!$TI128+Planning!$TJ128,0)</f>
      </c>
      <c r="U24" s="762">
        <f>IF(GetFillColor(U24)&lt;0,Planning!$TL128+Planning!$TM128+Planning!$UL128+Planning!$UM128,0)</f>
      </c>
      <c r="V24" s="761">
        <v>0</v>
      </c>
      <c r="W24" s="761">
        <v>0</v>
      </c>
      <c r="X24" s="762">
        <f>IF(GetFillColor(X24)&lt;0,Planning!$WX128+Planning!$WY128+Planning!$XX128+Planning!$XY128,0)</f>
      </c>
      <c r="Y24" s="762">
        <f>IF(GetFillColor(Y24)&lt;0,Planning!$YA128+Planning!$YB128+Planning!$ZA128+Planning!$ZB128,0)</f>
      </c>
      <c r="Z24" s="762">
        <f>IF(GetFillColor(Z24)&lt;0,Planning!$ZD128+Planning!$ZE128+Planning!$AAD128+Planning!$AAE128,0)</f>
      </c>
      <c r="AA24" s="762">
        <f>IF(GetFillColor(AA24)&lt;0,Planning!$AAG128+Planning!$AAH128+Planning!$ABG128+Planning!$ABH128,0)</f>
      </c>
      <c r="AB24" s="762">
        <f>IF(GetFillColor(AB24)&lt;0,Planning!$ABJ128+Planning!$ABK128+Planning!$ACJ128+Planning!$ACK128,0)</f>
      </c>
      <c r="AC24" s="761">
        <v>0</v>
      </c>
      <c r="AD24" s="761">
        <v>0</v>
      </c>
      <c r="AE24" s="762">
        <f>IF(GetFillColor(AE24)&lt;0,Planning!$AEV128+Planning!$AEW128+Planning!$AFV128+Planning!$AFW128,0)</f>
      </c>
      <c r="AF24" s="762">
        <f>IF(GetFillColor(AF24)&lt;0,Planning!$AFY128+Planning!$AFZ128+Planning!$AGY128+Planning!$AGZ128,0)</f>
      </c>
      <c r="AG24" s="762">
        <f>IF(GetFillColor(AG24)&lt;0,Planning!$AHB128+Planning!$AHC128+Planning!$AIB128+Planning!$AIC128,0)</f>
      </c>
      <c r="AH24" s="762">
        <f>IF(GetFillColor(AH24)&lt;0,Planning!$AIE128+Planning!$AIF128+Planning!$AJE128+Planning!$AJF128,0)</f>
      </c>
      <c r="AI24" s="762">
        <f>IF(GetFillColor(AI24)&lt;0,Planning!$AJH128+Planning!$AJI128+Planning!$AKH128+Planning!$AKI128,0)</f>
      </c>
      <c r="AJ24" s="761">
        <v>0</v>
      </c>
      <c r="AK24" s="760">
        <v>0</v>
      </c>
      <c r="AL24" s="698">
        <f>SUM(C24:AK24)</f>
      </c>
      <c r="AM24" s="4"/>
      <c r="AN24" s="4"/>
    </row>
    <row r="25" ht="20.25" customHeight="1" spans="1:40" x14ac:dyDescent="0.25">
      <c r="A25" s="4">
        <f>A12</f>
      </c>
      <c r="B25" s="4"/>
      <c r="C25" s="760">
        <f>IF(GetFillColor(C25)&lt;0,Planning!$D129+Planning!$E129+Planning!$AD129+Planning!$AE129,0)</f>
      </c>
      <c r="D25" s="760">
        <f>IF(GetFillColor(D25)&lt;0,Planning!$AG129+Planning!$AH129+Planning!$BG129+Planning!$BH129,0)</f>
      </c>
      <c r="E25" s="760">
        <f>IF(GetFillColor(E25)&lt;0,Planning!$BJ129+Planning!$BK129+Planning!$CJ129+Planning!$CK129,0)</f>
      </c>
      <c r="F25" s="761">
        <f>IF(GetFillColor(F25)&lt;0,Planning!$CM129+Planning!$CN129+Planning!$DM129+Planning!$DN129,0)</f>
      </c>
      <c r="G25" s="761">
        <f>IF(GetFillColor(G25)&lt;0,Planning!$DP129+Planning!$DQ129+Planning!$EP129+Planning!$EQ129,0)</f>
      </c>
      <c r="H25" s="761">
        <v>0</v>
      </c>
      <c r="I25" s="761">
        <v>0</v>
      </c>
      <c r="J25" s="762">
        <f>IF(GetFillColor(J25)&lt;0,Planning!$HB129+Planning!$HC129+Planning!$IB129+Planning!$IC129,0)</f>
      </c>
      <c r="K25" s="762">
        <f>IF(GetFillColor(K25)&lt;0,Planning!$IE129+Planning!$IF129+Planning!$JE129+Planning!$JF129,0)</f>
      </c>
      <c r="L25" s="762">
        <f>IF(GetFillColor(L25)&lt;0,Planning!$JH129+Planning!$JI129+Planning!$KH129+Planning!$KI129,0)</f>
      </c>
      <c r="M25" s="762">
        <f>IF(GetFillColor(M25)&lt;0,Planning!$KK129+Planning!$KL129+Planning!$LK129+Planning!$LL129,0)</f>
      </c>
      <c r="N25" s="762">
        <f>IF(GetFillColor(N25)&lt;0,Planning!$LN129+Planning!$LO129+Planning!$MN129+Planning!$MO129,0)</f>
      </c>
      <c r="O25" s="761">
        <v>0</v>
      </c>
      <c r="P25" s="761">
        <v>0</v>
      </c>
      <c r="Q25" s="762">
        <f>IF(GetFillColor(Q25)&lt;0,Planning!$OZ129+Planning!$PA129+Planning!$PZ129+Planning!$QA129,0)</f>
      </c>
      <c r="R25" s="762">
        <f>IF(GetFillColor(R25)&lt;0,Planning!$QC129+Planning!$QD129+Planning!$RC129+Planning!$RD129,0)</f>
      </c>
      <c r="S25" s="762">
        <f>IF(GetFillColor(S25)&lt;0,Planning!$RF129+Planning!$RG129+Planning!$SF129+Planning!$SG129,0)</f>
      </c>
      <c r="T25" s="762">
        <f>IF(GetFillColor(T25)&lt;0,Planning!$SI129+Planning!$SJ129+Planning!$TI129+Planning!$TJ129,0)</f>
      </c>
      <c r="U25" s="762">
        <f>IF(GetFillColor(U25)&lt;0,Planning!$TL129+Planning!$TM129+Planning!$UL129+Planning!$UM129,0)</f>
      </c>
      <c r="V25" s="761">
        <v>0</v>
      </c>
      <c r="W25" s="761">
        <v>0</v>
      </c>
      <c r="X25" s="762">
        <f>IF(GetFillColor(X25)&lt;0,Planning!$WX129+Planning!$WY129+Planning!$XX129+Planning!$XY129,0)</f>
      </c>
      <c r="Y25" s="762">
        <f>IF(GetFillColor(Y25)&lt;0,Planning!$YA129+Planning!$YB129+Planning!$ZA129+Planning!$ZB129,0)</f>
      </c>
      <c r="Z25" s="762">
        <f>IF(GetFillColor(Z25)&lt;0,Planning!$ZD129+Planning!$ZE129+Planning!$AAD129+Planning!$AAE129,0)</f>
      </c>
      <c r="AA25" s="762">
        <f>IF(GetFillColor(AA25)&lt;0,Planning!$AAG129+Planning!$AAH129+Planning!$ABG129+Planning!$ABH129,0)</f>
      </c>
      <c r="AB25" s="762">
        <f>IF(GetFillColor(AB25)&lt;0,Planning!$ABJ129+Planning!$ABK129+Planning!$ACJ129+Planning!$ACK129,0)</f>
      </c>
      <c r="AC25" s="761">
        <v>0</v>
      </c>
      <c r="AD25" s="761">
        <v>0</v>
      </c>
      <c r="AE25" s="762">
        <f>IF(GetFillColor(AE25)&lt;0,Planning!$AEV129+Planning!$AEW129+Planning!$AFV129+Planning!$AFW129,0)</f>
      </c>
      <c r="AF25" s="762">
        <f>IF(GetFillColor(AF25)&lt;0,Planning!$AFY129+Planning!$AFZ129+Planning!$AGY129+Planning!$AGZ129,0)</f>
      </c>
      <c r="AG25" s="762">
        <f>IF(GetFillColor(AG25)&lt;0,Planning!$AHB129+Planning!$AHC129+Planning!$AIB129+Planning!$AIC129,0)</f>
      </c>
      <c r="AH25" s="762">
        <f>IF(GetFillColor(AH25)&lt;0,Planning!$AIE129+Planning!$AIF129+Planning!$AJE129+Planning!$AJF129,0)</f>
      </c>
      <c r="AI25" s="762">
        <f>IF(GetFillColor(AI25)&lt;0,Planning!$AJH129+Planning!$AJI129+Planning!$AKH129+Planning!$AKI129,0)</f>
      </c>
      <c r="AJ25" s="761">
        <v>0</v>
      </c>
      <c r="AK25" s="760">
        <v>0</v>
      </c>
      <c r="AL25" s="698">
        <f>SUM(C25:AK25)</f>
      </c>
      <c r="AM25" s="4"/>
      <c r="AN25" s="4"/>
    </row>
    <row r="26" ht="20.25" customHeight="1" spans="1:40" x14ac:dyDescent="0.25">
      <c r="A26" s="4">
        <f>A13</f>
      </c>
      <c r="B26" s="4"/>
      <c r="C26" s="760">
        <f>IF(GetFillColor(C26)&lt;0,Planning!$D130+Planning!$E130+Planning!$AD130+Planning!$AE130,0)</f>
      </c>
      <c r="D26" s="760">
        <f>IF(GetFillColor(D26)&lt;0,Planning!$AG130+Planning!$AH130+Planning!$BG130+Planning!$BH130,0)</f>
      </c>
      <c r="E26" s="760">
        <f>IF(GetFillColor(E26)&lt;0,Planning!$BJ130+Planning!$BK130+Planning!$CJ130+Planning!$CK130,0)</f>
      </c>
      <c r="F26" s="761">
        <f>IF(GetFillColor(F26)&lt;0,Planning!$CM130+Planning!$CN130+Planning!$DM130+Planning!$DN130,0)</f>
      </c>
      <c r="G26" s="761">
        <f>IF(GetFillColor(G26)&lt;0,Planning!$DP130+Planning!$DQ130+Planning!$EP130+Planning!$EQ130,0)</f>
      </c>
      <c r="H26" s="761">
        <v>0</v>
      </c>
      <c r="I26" s="761">
        <v>0</v>
      </c>
      <c r="J26" s="762">
        <f>IF(GetFillColor(J26)&lt;0,Planning!$HB130+Planning!$HC130+Planning!$IB130+Planning!$IC130,0)</f>
      </c>
      <c r="K26" s="762">
        <f>IF(GetFillColor(K26)&lt;0,Planning!$IE130+Planning!$IF130+Planning!$JE130+Planning!$JF130,0)</f>
      </c>
      <c r="L26" s="762">
        <f>IF(GetFillColor(L26)&lt;0,Planning!$JH130+Planning!$JI130+Planning!$KH130+Planning!$KI130,0)</f>
      </c>
      <c r="M26" s="762">
        <f>IF(GetFillColor(M26)&lt;0,Planning!$KK130+Planning!$KL130+Planning!$LK130+Planning!$LL130,0)</f>
      </c>
      <c r="N26" s="762">
        <f>IF(GetFillColor(N26)&lt;0,Planning!$LN130+Planning!$LO130+Planning!$MN130+Planning!$MO130,0)</f>
      </c>
      <c r="O26" s="761">
        <v>0</v>
      </c>
      <c r="P26" s="761">
        <v>0</v>
      </c>
      <c r="Q26" s="762">
        <f>IF(GetFillColor(Q26)&lt;0,Planning!$OZ130+Planning!$PA130+Planning!$PZ130+Planning!$QA130,0)</f>
      </c>
      <c r="R26" s="762">
        <f>IF(GetFillColor(R26)&lt;0,Planning!$QC130+Planning!$QD130+Planning!$RC130+Planning!$RD130,0)</f>
      </c>
      <c r="S26" s="762">
        <f>IF(GetFillColor(S26)&lt;0,Planning!$RF130+Planning!$RG130+Planning!$SF130+Planning!$SG130,0)</f>
      </c>
      <c r="T26" s="762">
        <f>IF(GetFillColor(T26)&lt;0,Planning!$SI130+Planning!$SJ130+Planning!$TI130+Planning!$TJ130,0)</f>
      </c>
      <c r="U26" s="762">
        <f>IF(GetFillColor(U26)&lt;0,Planning!$TL130+Planning!$TM130+Planning!$UL130+Planning!$UM130,0)</f>
      </c>
      <c r="V26" s="761">
        <v>0</v>
      </c>
      <c r="W26" s="761">
        <v>0</v>
      </c>
      <c r="X26" s="762">
        <f>IF(GetFillColor(X26)&lt;0,Planning!$WX130+Planning!$WY130+Planning!$XX130+Planning!$XY130,0)</f>
      </c>
      <c r="Y26" s="762">
        <f>IF(GetFillColor(Y26)&lt;0,Planning!$YA130+Planning!$YB130+Planning!$ZA130+Planning!$ZB130,0)</f>
      </c>
      <c r="Z26" s="762">
        <f>IF(GetFillColor(Z26)&lt;0,Planning!$ZD130+Planning!$ZE130+Planning!$AAD130+Planning!$AAE130,0)</f>
      </c>
      <c r="AA26" s="762">
        <f>IF(GetFillColor(AA26)&lt;0,Planning!$AAG130+Planning!$AAH130+Planning!$ABG130+Planning!$ABH130,0)</f>
      </c>
      <c r="AB26" s="762">
        <f>IF(GetFillColor(AB26)&lt;0,Planning!$ABJ130+Planning!$ABK130+Planning!$ACJ130+Planning!$ACK130,0)</f>
      </c>
      <c r="AC26" s="761">
        <v>0</v>
      </c>
      <c r="AD26" s="761">
        <v>0</v>
      </c>
      <c r="AE26" s="762">
        <f>IF(GetFillColor(AE26)&lt;0,Planning!$AEV130+Planning!$AEW130+Planning!$AFV130+Planning!$AFW130,0)</f>
      </c>
      <c r="AF26" s="762">
        <f>IF(GetFillColor(AF26)&lt;0,Planning!$AFY130+Planning!$AFZ130+Planning!$AGY130+Planning!$AGZ130,0)</f>
      </c>
      <c r="AG26" s="762">
        <f>IF(GetFillColor(AG26)&lt;0,Planning!$AHB130+Planning!$AHC130+Planning!$AIB130+Planning!$AIC130,0)</f>
      </c>
      <c r="AH26" s="762">
        <f>IF(GetFillColor(AH26)&lt;0,Planning!$AIE130+Planning!$AIF130+Planning!$AJE130+Planning!$AJF130,0)</f>
      </c>
      <c r="AI26" s="762">
        <f>IF(GetFillColor(AI26)&lt;0,Planning!$AJH130+Planning!$AJI130+Planning!$AKH130+Planning!$AKI130,0)</f>
      </c>
      <c r="AJ26" s="761">
        <v>0</v>
      </c>
      <c r="AK26" s="760">
        <v>0</v>
      </c>
      <c r="AL26" s="698">
        <f>SUM(C26:AK26)</f>
      </c>
      <c r="AM26" s="4"/>
      <c r="AN26" s="4"/>
    </row>
    <row r="27" spans="1:4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ht="80.25" customHeight="1" spans="1:40" s="754" customFormat="1" x14ac:dyDescent="0.25">
      <c r="A28" s="755" t="s">
        <v>250</v>
      </c>
      <c r="B28" s="756"/>
      <c r="C28" s="757">
        <f>C15</f>
      </c>
      <c r="D28" s="757">
        <f>D15</f>
      </c>
      <c r="E28" s="757">
        <f>E15</f>
      </c>
      <c r="F28" s="757">
        <f>F15</f>
      </c>
      <c r="G28" s="757">
        <f>G15</f>
      </c>
      <c r="H28" s="757">
        <f>H15</f>
      </c>
      <c r="I28" s="757">
        <f>I15</f>
      </c>
      <c r="J28" s="757">
        <f>J15</f>
      </c>
      <c r="K28" s="757">
        <f>K15</f>
      </c>
      <c r="L28" s="757">
        <f>L15</f>
      </c>
      <c r="M28" s="757">
        <f>M15</f>
      </c>
      <c r="N28" s="757">
        <f>N15</f>
      </c>
      <c r="O28" s="757">
        <f>O15</f>
      </c>
      <c r="P28" s="757">
        <f>P15</f>
      </c>
      <c r="Q28" s="757">
        <f>Q15</f>
      </c>
      <c r="R28" s="757">
        <f>R15</f>
      </c>
      <c r="S28" s="757">
        <f>S15</f>
      </c>
      <c r="T28" s="757">
        <f>T15</f>
      </c>
      <c r="U28" s="757">
        <f>U15</f>
      </c>
      <c r="V28" s="757">
        <f>V15</f>
      </c>
      <c r="W28" s="757">
        <f>W15</f>
      </c>
      <c r="X28" s="757">
        <f>X15</f>
      </c>
      <c r="Y28" s="757">
        <f>Y15</f>
      </c>
      <c r="Z28" s="757">
        <f>Z15</f>
      </c>
      <c r="AA28" s="757">
        <f>AA15</f>
      </c>
      <c r="AB28" s="757">
        <f>AB15</f>
      </c>
      <c r="AC28" s="757">
        <f>AC15</f>
      </c>
      <c r="AD28" s="757">
        <f>AD15</f>
      </c>
      <c r="AE28" s="757">
        <f>AE15</f>
      </c>
      <c r="AF28" s="757">
        <f>AF15</f>
      </c>
      <c r="AG28" s="757">
        <f>AG15</f>
      </c>
      <c r="AH28" s="757">
        <f>AH15</f>
      </c>
      <c r="AI28" s="757">
        <f>AI15</f>
      </c>
      <c r="AJ28" s="757">
        <f>AJ15</f>
      </c>
      <c r="AK28" s="757">
        <f>AK15</f>
      </c>
      <c r="AL28" s="758" t="s">
        <v>236</v>
      </c>
      <c r="AM28" s="4"/>
      <c r="AN28" s="4"/>
    </row>
    <row r="29" ht="10.5" customHeight="1" spans="1:4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ht="20.25" customHeight="1" spans="1:40" x14ac:dyDescent="0.25">
      <c r="A30" s="4">
        <f>A4</f>
      </c>
      <c r="B30" s="4"/>
      <c r="C30" s="760">
        <f>IF(GetFillColor(C30)=15,SUM(Planning!$D121:$AE121),0)</f>
      </c>
      <c r="D30" s="760">
        <f>IF(GetFillColor(D30)=15,SUM(Planning!$AG121:$BH121),0)</f>
      </c>
      <c r="E30" s="760">
        <f>IF(GetFillColor(E30)=15,SUM(Planning!$BJ121:$CK121),0)</f>
      </c>
      <c r="F30" s="763">
        <f>IF(GetFillColor(F30)=15,SUM(Planning!$CM121:$DN121),0)</f>
      </c>
      <c r="G30" s="763">
        <f>IF(GetFillColor(G30)=15,SUM(Planning!$DP121:$EQ121),0)</f>
      </c>
      <c r="H30" s="763">
        <f>IF(GetFillColor(H30)=15,SUM(Planning!$ES121:$FT121),0)</f>
      </c>
      <c r="I30" s="763">
        <f>IF(GetFillColor(I30)=15,SUM(Planning!$FV121:$GW121),0)</f>
      </c>
      <c r="J30" s="762">
        <f>IF(GetFillColor(J30)=15,SUM(Planning!$HB121:$IC121),0)</f>
      </c>
      <c r="K30" s="762">
        <f>IF(GetFillColor(K30)=15,SUM(Planning!$IE121:$JF121),0)</f>
      </c>
      <c r="L30" s="762">
        <f>IF(GetFillColor(L30)=15,SUM(Planning!$JH121:$KI121),0)</f>
      </c>
      <c r="M30" s="762">
        <f>IF(GetFillColor(M30)=15,SUM(Planning!$KK121:$LL121),0)</f>
      </c>
      <c r="N30" s="762">
        <f>IF(GetFillColor(N30)=15,SUM(Planning!$LN121:$MO121),0)</f>
      </c>
      <c r="O30" s="763">
        <f>IF(GetFillColor(O30)=15,SUM(Planning!$MQ121:$NR121),0)</f>
      </c>
      <c r="P30" s="763">
        <f>IF(GetFillColor(P30)=15,SUM(Planning!$NT121:$OU121),0)</f>
      </c>
      <c r="Q30" s="762">
        <f>IF(GetFillColor(Q30)=15,SUM(Planning!$OZ121:$QA121),0)</f>
      </c>
      <c r="R30" s="762">
        <f>IF(GetFillColor(R30)=15,SUM(Planning!$QC121:$RD121),0)</f>
      </c>
      <c r="S30" s="762">
        <f>IF(GetFillColor(S30)=15,SUM(Planning!$RF121:$SG121),0)</f>
      </c>
      <c r="T30" s="762">
        <f>IF(GetFillColor(T30)=15,SUM(Planning!$SI121:$TJ121),0)</f>
      </c>
      <c r="U30" s="762">
        <f>IF(GetFillColor(U30)=15,SUM(Planning!$TL121:$UM121),0)</f>
      </c>
      <c r="V30" s="763">
        <f>IF(GetFillColor(V30)=15,SUM(Planning!$UO121:$VP121),0)</f>
      </c>
      <c r="W30" s="763">
        <f>IF(GetFillColor(W30)=15,SUM(Planning!$VR121:$WS121),0)</f>
      </c>
      <c r="X30" s="762">
        <f>IF(GetFillColor(X30)=15,SUM(Planning!$WX121:$XY121),0)</f>
      </c>
      <c r="Y30" s="762">
        <f>IF(GetFillColor(Y30)=15,SUM(Planning!$YA121:$ZB121),0)</f>
      </c>
      <c r="Z30" s="762">
        <f>IF(GetFillColor(Z30)=15,SUM(Planning!$ZD121:$AAE121),0)</f>
      </c>
      <c r="AA30" s="762">
        <f>IF(GetFillColor(AA30)=15,SUM(Planning!$AAG121:$ABH121),0)</f>
      </c>
      <c r="AB30" s="762">
        <f>IF(GetFillColor(AB30)=15,SUM(Planning!$ABJ121:$ACK121),0)</f>
      </c>
      <c r="AC30" s="763">
        <f>IF(GetFillColor(AC30)=15,SUM(Planning!$ACM121:$ADN121),0)</f>
      </c>
      <c r="AD30" s="763">
        <f>IF(GetFillColor(AD30)=15,SUM(Planning!$ADP121:$AEQ121),0)</f>
      </c>
      <c r="AE30" s="762">
        <f>IF(GetFillColor(AE30)=15,SUM(Planning!$AEV121:$AFW121),0)</f>
      </c>
      <c r="AF30" s="762">
        <f>IF(GetFillColor(AF30)=15,SUM(Planning!$AFY121:$AGZ121),0)</f>
      </c>
      <c r="AG30" s="762">
        <f>IF(GetFillColor(AG30)=15,SUM(Planning!$AHB121:$AIC121),0)</f>
      </c>
      <c r="AH30" s="762">
        <f>IF(GetFillColor(AH30)=15,SUM(Planning!$AIE121:$AJF121),0)</f>
      </c>
      <c r="AI30" s="762">
        <f>IF(GetFillColor(AI30)=15,SUM(Planning!$AJH121:$AKI121),0)</f>
      </c>
      <c r="AJ30" s="763">
        <f>IF(GetFillColor(AJ30)=15,SUM(Planning!$AKK121:$ALL121),0)</f>
      </c>
      <c r="AK30" s="760">
        <f>IF(GetFillColor(AK30)=15,SUM(Planning!$ALN121:$AMO121),0)</f>
      </c>
      <c r="AL30" s="698">
        <f>SUM(C30:AK30)</f>
      </c>
      <c r="AM30" s="4"/>
      <c r="AN30" s="4"/>
    </row>
    <row r="31" ht="20.25" customHeight="1" spans="1:40" x14ac:dyDescent="0.25">
      <c r="A31" s="4">
        <f>A5</f>
      </c>
      <c r="B31" s="4"/>
      <c r="C31" s="760">
        <f>IF(GetFillColor(C31)=15,SUM(Planning!$D122:$AE122),0)</f>
      </c>
      <c r="D31" s="760">
        <f>IF(GetFillColor(D31)=15,SUM(Planning!$AG122:$BH122),0)</f>
      </c>
      <c r="E31" s="760">
        <f>IF(GetFillColor(E31)=15,SUM(Planning!$BJ122:$CK122),0)</f>
      </c>
      <c r="F31" s="763">
        <f>IF(GetFillColor(F31)=15,SUM(Planning!$CM122:$DN122),0)</f>
      </c>
      <c r="G31" s="763">
        <f>IF(GetFillColor(G31)=15,SUM(Planning!$DP122:$EQ122),0)</f>
      </c>
      <c r="H31" s="763">
        <f>IF(GetFillColor(H31)=15,SUM(Planning!$ES122:$FT122),0)</f>
      </c>
      <c r="I31" s="763">
        <f>IF(GetFillColor(I31)=15,SUM(Planning!$FV122:$GW122),0)</f>
      </c>
      <c r="J31" s="762">
        <f>IF(GetFillColor(J31)=15,SUM(Planning!$HB122:$IC122),0)</f>
      </c>
      <c r="K31" s="762">
        <f>IF(GetFillColor(K31)=15,SUM(Planning!$IE122:$JF122),0)</f>
      </c>
      <c r="L31" s="762">
        <f>IF(GetFillColor(L31)=15,SUM(Planning!$JH122:$KI122),0)</f>
      </c>
      <c r="M31" s="762">
        <f>IF(GetFillColor(M31)=15,SUM(Planning!$KK122:$LL122),0)</f>
      </c>
      <c r="N31" s="762">
        <f>IF(GetFillColor(N31)=15,SUM(Planning!$LN122:$MO122),0)</f>
      </c>
      <c r="O31" s="763">
        <f>IF(GetFillColor(O31)=15,SUM(Planning!$MQ122:$NR122),0)</f>
      </c>
      <c r="P31" s="763">
        <f>IF(GetFillColor(P31)=15,SUM(Planning!$NT122:$OU122),0)</f>
      </c>
      <c r="Q31" s="762">
        <f>IF(GetFillColor(Q31)=15,SUM(Planning!$OZ122:$QA122),0)</f>
      </c>
      <c r="R31" s="762">
        <f>IF(GetFillColor(R31)=15,SUM(Planning!$QC122:$RD122),0)</f>
      </c>
      <c r="S31" s="762">
        <f>IF(GetFillColor(S31)=15,SUM(Planning!$RF122:$SG122),0)</f>
      </c>
      <c r="T31" s="762">
        <f>IF(GetFillColor(T31)=15,SUM(Planning!$SI122:$TJ122),0)</f>
      </c>
      <c r="U31" s="762">
        <f>IF(GetFillColor(U31)=15,SUM(Planning!$TL122:$UM122),0)</f>
      </c>
      <c r="V31" s="763">
        <f>IF(GetFillColor(V31)=15,SUM(Planning!$UO122:$VP122),0)</f>
      </c>
      <c r="W31" s="763">
        <f>IF(GetFillColor(W31)=15,SUM(Planning!$VR122:$WS122),0)</f>
      </c>
      <c r="X31" s="762">
        <f>IF(GetFillColor(X31)=15,SUM(Planning!$WX122:$XY122),0)</f>
      </c>
      <c r="Y31" s="762">
        <f>IF(GetFillColor(Y31)=15,SUM(Planning!$YA122:$ZB122),0)</f>
      </c>
      <c r="Z31" s="762">
        <f>IF(GetFillColor(Z31)=15,SUM(Planning!$ZD122:$AAE122),0)</f>
      </c>
      <c r="AA31" s="762">
        <f>IF(GetFillColor(AA31)=15,SUM(Planning!$AAG122:$ABH122),0)</f>
      </c>
      <c r="AB31" s="762">
        <f>IF(GetFillColor(AB31)=15,SUM(Planning!$ABJ122:$ACK122),0)</f>
      </c>
      <c r="AC31" s="763">
        <f>IF(GetFillColor(AC31)=15,SUM(Planning!$ACM122:$ADN122),0)</f>
      </c>
      <c r="AD31" s="763">
        <f>IF(GetFillColor(AD31)=15,SUM(Planning!$ADP122:$AEQ122),0)</f>
      </c>
      <c r="AE31" s="762">
        <f>IF(GetFillColor(AE31)=15,SUM(Planning!$AEV122:$AFW122),0)</f>
      </c>
      <c r="AF31" s="762">
        <f>IF(GetFillColor(AF31)=15,SUM(Planning!$AFY122:$AGZ122),0)</f>
      </c>
      <c r="AG31" s="762">
        <f>IF(GetFillColor(AG31)=15,SUM(Planning!$AHB122:$AIC122),0)</f>
      </c>
      <c r="AH31" s="762">
        <f>IF(GetFillColor(AH31)=15,SUM(Planning!$AIE122:$AJF122),0)</f>
      </c>
      <c r="AI31" s="762">
        <f>IF(GetFillColor(AI31)=15,SUM(Planning!$AJH122:$AKI122),0)</f>
      </c>
      <c r="AJ31" s="763">
        <f>IF(GetFillColor(AJ31)=15,SUM(Planning!$AKK122:$ALL122),0)</f>
      </c>
      <c r="AK31" s="760">
        <f>IF(GetFillColor(AK31)=15,SUM(Planning!$ALN122:$AMO122),0)</f>
      </c>
      <c r="AL31" s="698">
        <f>SUM(C31:AK31)</f>
      </c>
      <c r="AM31" s="4"/>
      <c r="AN31" s="4"/>
    </row>
    <row r="32" ht="20.25" customHeight="1" spans="1:40" x14ac:dyDescent="0.25">
      <c r="A32" s="4">
        <f>A6</f>
      </c>
      <c r="B32" s="4"/>
      <c r="C32" s="760">
        <f>IF(GetFillColor(C32)=15,SUM(Planning!$D123:$AE123),0)</f>
      </c>
      <c r="D32" s="760">
        <f>IF(GetFillColor(D32)=15,SUM(Planning!$AG123:$BH123),0)</f>
      </c>
      <c r="E32" s="760">
        <f>IF(GetFillColor(E32)=15,SUM(Planning!$BJ123:$CK123),0)</f>
      </c>
      <c r="F32" s="763">
        <f>IF(GetFillColor(F32)=15,SUM(Planning!$CM123:$DN123),0)</f>
      </c>
      <c r="G32" s="763">
        <f>IF(GetFillColor(G32)=15,SUM(Planning!$DP123:$EQ123),0)</f>
      </c>
      <c r="H32" s="763">
        <f>IF(GetFillColor(H32)=15,SUM(Planning!$ES123:$FT123),0)</f>
      </c>
      <c r="I32" s="763">
        <f>IF(GetFillColor(I32)=15,SUM(Planning!$FV123:$GW123),0)</f>
      </c>
      <c r="J32" s="762">
        <f>IF(GetFillColor(J32)=15,SUM(Planning!$HB123:$IC123),0)</f>
      </c>
      <c r="K32" s="762">
        <f>IF(GetFillColor(K32)=15,SUM(Planning!$IE123:$JF123),0)</f>
      </c>
      <c r="L32" s="762">
        <f>IF(GetFillColor(L32)=15,SUM(Planning!$JH123:$KI123),0)</f>
      </c>
      <c r="M32" s="762">
        <f>IF(GetFillColor(M32)=15,SUM(Planning!$KK123:$LL123),0)</f>
      </c>
      <c r="N32" s="762">
        <f>IF(GetFillColor(N32)=15,SUM(Planning!$LN123:$MO123),0)</f>
      </c>
      <c r="O32" s="763">
        <f>IF(GetFillColor(O32)=15,SUM(Planning!$MQ123:$NR123),0)</f>
      </c>
      <c r="P32" s="763">
        <f>IF(GetFillColor(P32)=15,SUM(Planning!$NT123:$OU123),0)</f>
      </c>
      <c r="Q32" s="762">
        <f>IF(GetFillColor(Q32)=15,SUM(Planning!$OZ123:$QA123),0)</f>
      </c>
      <c r="R32" s="762">
        <f>IF(GetFillColor(R32)=15,SUM(Planning!$QC123:$RD123),0)</f>
      </c>
      <c r="S32" s="762">
        <f>IF(GetFillColor(S32)=15,SUM(Planning!$RF123:$SG123),0)</f>
      </c>
      <c r="T32" s="762">
        <f>IF(GetFillColor(T32)=15,SUM(Planning!$SI123:$TJ123),0)</f>
      </c>
      <c r="U32" s="762">
        <f>IF(GetFillColor(U32)=15,SUM(Planning!$TL123:$UM123),0)</f>
      </c>
      <c r="V32" s="763">
        <f>IF(GetFillColor(V32)=15,SUM(Planning!$UO123:$VP123),0)</f>
      </c>
      <c r="W32" s="763">
        <f>IF(GetFillColor(W32)=15,SUM(Planning!$VR123:$WS123),0)</f>
      </c>
      <c r="X32" s="762">
        <f>IF(GetFillColor(X32)=15,SUM(Planning!$WX123:$XY123),0)</f>
      </c>
      <c r="Y32" s="762">
        <f>IF(GetFillColor(Y32)=15,SUM(Planning!$YA123:$ZB123),0)</f>
      </c>
      <c r="Z32" s="762">
        <f>IF(GetFillColor(Z32)=15,SUM(Planning!$ZD123:$AAE123),0)</f>
      </c>
      <c r="AA32" s="762">
        <f>IF(GetFillColor(AA32)=15,SUM(Planning!$AAG123:$ABH123),0)</f>
      </c>
      <c r="AB32" s="762">
        <f>IF(GetFillColor(AB32)=15,SUM(Planning!$ABJ123:$ACK123),0)</f>
      </c>
      <c r="AC32" s="763">
        <f>IF(GetFillColor(AC32)=15,SUM(Planning!$ACM123:$ADN123),0)</f>
      </c>
      <c r="AD32" s="763">
        <f>IF(GetFillColor(AD32)=15,SUM(Planning!$ADP123:$AEQ123),0)</f>
      </c>
      <c r="AE32" s="762">
        <f>IF(GetFillColor(AE32)=15,SUM(Planning!$AEV123:$AFW123),0)</f>
      </c>
      <c r="AF32" s="762">
        <f>IF(GetFillColor(AF32)=15,SUM(Planning!$AFY123:$AGZ123),0)</f>
      </c>
      <c r="AG32" s="762">
        <f>IF(GetFillColor(AG32)=15,SUM(Planning!$AHB123:$AIC123),0)</f>
      </c>
      <c r="AH32" s="762">
        <f>IF(GetFillColor(AH32)=15,SUM(Planning!$AIE123:$AJF123),0)</f>
      </c>
      <c r="AI32" s="762">
        <f>IF(GetFillColor(AI32)=15,SUM(Planning!$AJH123:$AKI123),0)</f>
      </c>
      <c r="AJ32" s="763">
        <f>IF(GetFillColor(AJ32)=15,SUM(Planning!$AKK123:$ALL123),0)</f>
      </c>
      <c r="AK32" s="760">
        <f>IF(GetFillColor(AK32)=15,SUM(Planning!$ALN123:$AMO123),0)</f>
      </c>
      <c r="AL32" s="698">
        <f>SUM(C32:AK32)</f>
      </c>
      <c r="AM32" s="4"/>
      <c r="AN32" s="4"/>
    </row>
    <row r="33" ht="20.25" customHeight="1" spans="1:40" x14ac:dyDescent="0.25">
      <c r="A33" s="4">
        <f>A7</f>
      </c>
      <c r="B33" s="4"/>
      <c r="C33" s="760">
        <f>IF(GetFillColor(C33)=15,SUM(Planning!$D124:$AE124),0)</f>
      </c>
      <c r="D33" s="760">
        <f>IF(GetFillColor(D33)=15,SUM(Planning!$AG124:$BH124),0)</f>
      </c>
      <c r="E33" s="760">
        <f>IF(GetFillColor(E33)=15,SUM(Planning!$BJ124:$CK124),0)</f>
      </c>
      <c r="F33" s="763">
        <f>IF(GetFillColor(F33)=15,SUM(Planning!$CM124:$DN124),0)</f>
      </c>
      <c r="G33" s="763">
        <f>IF(GetFillColor(G33)=15,SUM(Planning!$DP124:$EQ124),0)</f>
      </c>
      <c r="H33" s="763">
        <f>IF(GetFillColor(H33)=15,SUM(Planning!$ES124:$FT124),0)</f>
      </c>
      <c r="I33" s="763">
        <f>IF(GetFillColor(I33)=15,SUM(Planning!$FV124:$GW124),0)</f>
      </c>
      <c r="J33" s="762">
        <f>IF(GetFillColor(J33)=15,SUM(Planning!$HB124:$IC124),0)</f>
      </c>
      <c r="K33" s="762">
        <f>IF(GetFillColor(K33)=15,SUM(Planning!$IE124:$JF124),0)</f>
      </c>
      <c r="L33" s="762">
        <f>IF(GetFillColor(L33)=15,SUM(Planning!$JH124:$KI124),0)</f>
      </c>
      <c r="M33" s="762">
        <f>IF(GetFillColor(M33)=15,SUM(Planning!$KK124:$LL124),0)</f>
      </c>
      <c r="N33" s="762">
        <f>IF(GetFillColor(N33)=15,SUM(Planning!$LN124:$MO124),0)</f>
      </c>
      <c r="O33" s="763">
        <f>IF(GetFillColor(O33)=15,SUM(Planning!$MQ124:$NR124),0)</f>
      </c>
      <c r="P33" s="763">
        <f>IF(GetFillColor(P33)=15,SUM(Planning!$NT124:$OU124),0)</f>
      </c>
      <c r="Q33" s="762">
        <f>IF(GetFillColor(Q33)=15,SUM(Planning!$OZ124:$QA124),0)</f>
      </c>
      <c r="R33" s="762">
        <f>IF(GetFillColor(R33)=15,SUM(Planning!$QC124:$RD124),0)</f>
      </c>
      <c r="S33" s="762">
        <f>IF(GetFillColor(S33)=15,SUM(Planning!$RF124:$SG124),0)</f>
      </c>
      <c r="T33" s="762">
        <f>IF(GetFillColor(T33)=15,SUM(Planning!$SI124:$TJ124),0)</f>
      </c>
      <c r="U33" s="762">
        <f>IF(GetFillColor(U33)=15,SUM(Planning!$TL124:$UM124),0)</f>
      </c>
      <c r="V33" s="763">
        <f>IF(GetFillColor(V33)=15,SUM(Planning!$UO124:$VP124),0)</f>
      </c>
      <c r="W33" s="763">
        <f>IF(GetFillColor(W33)=15,SUM(Planning!$VR124:$WS124),0)</f>
      </c>
      <c r="X33" s="762">
        <f>IF(GetFillColor(X33)=15,SUM(Planning!$WX124:$XY124),0)</f>
      </c>
      <c r="Y33" s="762">
        <f>IF(GetFillColor(Y33)=15,SUM(Planning!$YA124:$ZB124),0)</f>
      </c>
      <c r="Z33" s="762">
        <f>IF(GetFillColor(Z33)=15,SUM(Planning!$ZD124:$AAE124),0)</f>
      </c>
      <c r="AA33" s="762">
        <f>IF(GetFillColor(AA33)=15,SUM(Planning!$AAG124:$ABH124),0)</f>
      </c>
      <c r="AB33" s="762">
        <f>IF(GetFillColor(AB33)=15,SUM(Planning!$ABJ124:$ACK124),0)</f>
      </c>
      <c r="AC33" s="763">
        <f>IF(GetFillColor(AC33)=15,SUM(Planning!$ACM124:$ADN124),0)</f>
      </c>
      <c r="AD33" s="763">
        <f>IF(GetFillColor(AD33)=15,SUM(Planning!$ADP124:$AEQ124),0)</f>
      </c>
      <c r="AE33" s="762">
        <f>IF(GetFillColor(AE33)=15,SUM(Planning!$AEV124:$AFW124),0)</f>
      </c>
      <c r="AF33" s="762">
        <f>IF(GetFillColor(AF33)=15,SUM(Planning!$AFY124:$AGZ124),0)</f>
      </c>
      <c r="AG33" s="762">
        <f>IF(GetFillColor(AG33)=15,SUM(Planning!$AHB124:$AIC124),0)</f>
      </c>
      <c r="AH33" s="762">
        <f>IF(GetFillColor(AH33)=15,SUM(Planning!$AIE124:$AJF124),0)</f>
      </c>
      <c r="AI33" s="762">
        <f>IF(GetFillColor(AI33)=15,SUM(Planning!$AJH124:$AKI124),0)</f>
      </c>
      <c r="AJ33" s="763">
        <f>IF(GetFillColor(AJ33)=15,SUM(Planning!$AKK124:$ALL124),0)</f>
      </c>
      <c r="AK33" s="760">
        <f>IF(GetFillColor(AK33)=15,SUM(Planning!$ALN124:$AMO124),0)</f>
      </c>
      <c r="AL33" s="698">
        <f>SUM(C33:AK33)</f>
      </c>
      <c r="AM33" s="4"/>
      <c r="AN33" s="4"/>
    </row>
    <row r="34" ht="20.25" customHeight="1" spans="1:40" x14ac:dyDescent="0.25">
      <c r="A34" s="4">
        <f>A8</f>
      </c>
      <c r="B34" s="4"/>
      <c r="C34" s="760">
        <f>IF(GetFillColor(C34)=15,SUM(Planning!$D125:$AE125),0)</f>
      </c>
      <c r="D34" s="760">
        <f>IF(GetFillColor(D34)=15,SUM(Planning!$AG125:$BH125),0)</f>
      </c>
      <c r="E34" s="760">
        <f>IF(GetFillColor(E34)=15,SUM(Planning!$BJ125:$CK125),0)</f>
      </c>
      <c r="F34" s="763">
        <f>IF(GetFillColor(F34)=15,SUM(Planning!$CM125:$DN125),0)</f>
      </c>
      <c r="G34" s="763">
        <f>IF(GetFillColor(G34)=15,SUM(Planning!$DP125:$EQ125),0)</f>
      </c>
      <c r="H34" s="763">
        <f>IF(GetFillColor(H34)=15,SUM(Planning!$ES125:$FT125),0)</f>
      </c>
      <c r="I34" s="763">
        <f>IF(GetFillColor(I34)=15,SUM(Planning!$FV125:$GW125),0)</f>
      </c>
      <c r="J34" s="762">
        <f>IF(GetFillColor(J34)=15,SUM(Planning!$HB125:$IC125),0)</f>
      </c>
      <c r="K34" s="762">
        <f>IF(GetFillColor(K34)=15,SUM(Planning!$IE125:$JF125),0)</f>
      </c>
      <c r="L34" s="762">
        <f>IF(GetFillColor(L34)=15,SUM(Planning!$JH125:$KI125),0)</f>
      </c>
      <c r="M34" s="762">
        <f>IF(GetFillColor(M34)=15,SUM(Planning!$KK125:$LL125),0)</f>
      </c>
      <c r="N34" s="762">
        <f>IF(GetFillColor(N34)=15,SUM(Planning!$LN125:$MO125),0)</f>
      </c>
      <c r="O34" s="763">
        <f>IF(GetFillColor(O34)=15,SUM(Planning!$MQ125:$NR125),0)</f>
      </c>
      <c r="P34" s="763">
        <f>IF(GetFillColor(P34)=15,SUM(Planning!$NT125:$OU125),0)</f>
      </c>
      <c r="Q34" s="762">
        <f>IF(GetFillColor(Q34)=15,SUM(Planning!$OZ125:$QA125),0)</f>
      </c>
      <c r="R34" s="762">
        <f>IF(GetFillColor(R34)=15,SUM(Planning!$QC125:$RD125),0)</f>
      </c>
      <c r="S34" s="762">
        <f>IF(GetFillColor(S34)=15,SUM(Planning!$RF125:$SG125),0)</f>
      </c>
      <c r="T34" s="762">
        <f>IF(GetFillColor(T34)=15,SUM(Planning!$SI125:$TJ125),0)</f>
      </c>
      <c r="U34" s="762">
        <f>IF(GetFillColor(U34)=15,SUM(Planning!$TL125:$UM125),0)</f>
      </c>
      <c r="V34" s="763">
        <f>IF(GetFillColor(V34)=15,SUM(Planning!$UO125:$VP125),0)</f>
      </c>
      <c r="W34" s="763">
        <f>IF(GetFillColor(W34)=15,SUM(Planning!$VR125:$WS125),0)</f>
      </c>
      <c r="X34" s="762">
        <f>IF(GetFillColor(X34)=15,SUM(Planning!$WX125:$XY125),0)</f>
      </c>
      <c r="Y34" s="762">
        <f>IF(GetFillColor(Y34)=15,SUM(Planning!$YA125:$ZB125),0)</f>
      </c>
      <c r="Z34" s="762">
        <f>IF(GetFillColor(Z34)=15,SUM(Planning!$ZD125:$AAE125),0)</f>
      </c>
      <c r="AA34" s="762">
        <f>IF(GetFillColor(AA34)=15,SUM(Planning!$AAG125:$ABH125),0)</f>
      </c>
      <c r="AB34" s="762">
        <f>IF(GetFillColor(AB34)=15,SUM(Planning!$ABJ125:$ACK125),0)</f>
      </c>
      <c r="AC34" s="763">
        <f>IF(GetFillColor(AC34)=15,SUM(Planning!$ACM125:$ADN125),0)</f>
      </c>
      <c r="AD34" s="763">
        <f>IF(GetFillColor(AD34)=15,SUM(Planning!$ADP125:$AEQ125),0)</f>
      </c>
      <c r="AE34" s="762">
        <f>IF(GetFillColor(AE34)=15,SUM(Planning!$AEV125:$AFW125),0)</f>
      </c>
      <c r="AF34" s="762">
        <f>IF(GetFillColor(AF34)=15,SUM(Planning!$AFY125:$AGZ125),0)</f>
      </c>
      <c r="AG34" s="762">
        <f>IF(GetFillColor(AG34)=15,SUM(Planning!$AHB125:$AIC125),0)</f>
      </c>
      <c r="AH34" s="762">
        <f>IF(GetFillColor(AH34)=15,SUM(Planning!$AIE125:$AJF125),0)</f>
      </c>
      <c r="AI34" s="762">
        <f>IF(GetFillColor(AI34)=15,SUM(Planning!$AJH125:$AKI125),0)</f>
      </c>
      <c r="AJ34" s="763">
        <f>IF(GetFillColor(AJ34)=15,SUM(Planning!$AKK125:$ALL125),0)</f>
      </c>
      <c r="AK34" s="760">
        <f>IF(GetFillColor(AK34)=15,SUM(Planning!$ALN125:$AMO125),0)</f>
      </c>
      <c r="AL34" s="698">
        <f>SUM(C34:AK34)</f>
      </c>
      <c r="AM34" s="4"/>
      <c r="AN34" s="4"/>
    </row>
    <row r="35" ht="20.25" customHeight="1" spans="1:40" x14ac:dyDescent="0.25">
      <c r="A35" s="4">
        <f>A9</f>
      </c>
      <c r="B35" s="4"/>
      <c r="C35" s="760">
        <f>IF(GetFillColor(C35)=15,SUM(Planning!$D126:$AE126),0)</f>
      </c>
      <c r="D35" s="760">
        <f>IF(GetFillColor(D35)=15,SUM(Planning!$AG126:$BH126),0)</f>
      </c>
      <c r="E35" s="760">
        <f>IF(GetFillColor(E35)=15,SUM(Planning!$BJ126:$CK126),0)</f>
      </c>
      <c r="F35" s="763">
        <f>IF(GetFillColor(F35)=15,SUM(Planning!$CM126:$DN126),0)</f>
      </c>
      <c r="G35" s="763">
        <f>IF(GetFillColor(G35)=15,SUM(Planning!$DP126:$EQ126),0)</f>
      </c>
      <c r="H35" s="763">
        <f>IF(GetFillColor(H35)=15,SUM(Planning!$ES126:$FT126),0)</f>
      </c>
      <c r="I35" s="763">
        <f>IF(GetFillColor(I35)=15,SUM(Planning!$FV126:$GW126),0)</f>
      </c>
      <c r="J35" s="762">
        <f>IF(GetFillColor(J35)=15,SUM(Planning!$HB126:$IC126),0)</f>
      </c>
      <c r="K35" s="762">
        <f>IF(GetFillColor(K35)=15,SUM(Planning!$IE126:$JF126),0)</f>
      </c>
      <c r="L35" s="762">
        <f>IF(GetFillColor(L35)=15,SUM(Planning!$JH126:$KI126),0)</f>
      </c>
      <c r="M35" s="762">
        <f>IF(GetFillColor(M35)=15,SUM(Planning!$KK126:$LL126),0)</f>
      </c>
      <c r="N35" s="762">
        <f>IF(GetFillColor(N35)=15,SUM(Planning!$LN126:$MO126),0)</f>
      </c>
      <c r="O35" s="763">
        <f>IF(GetFillColor(O35)=15,SUM(Planning!$MQ126:$NR126),0)</f>
      </c>
      <c r="P35" s="763">
        <f>IF(GetFillColor(P35)=15,SUM(Planning!$NT126:$OU126),0)</f>
      </c>
      <c r="Q35" s="762">
        <f>IF(GetFillColor(Q35)=15,SUM(Planning!$OZ126:$QA126),0)</f>
      </c>
      <c r="R35" s="762">
        <f>IF(GetFillColor(R35)=15,SUM(Planning!$QC126:$RD126),0)</f>
      </c>
      <c r="S35" s="762">
        <f>IF(GetFillColor(S35)=15,SUM(Planning!$RF126:$SG126),0)</f>
      </c>
      <c r="T35" s="762">
        <f>IF(GetFillColor(T35)=15,SUM(Planning!$SI126:$TJ126),0)</f>
      </c>
      <c r="U35" s="762">
        <f>IF(GetFillColor(U35)=15,SUM(Planning!$TL126:$UM126),0)</f>
      </c>
      <c r="V35" s="763">
        <f>IF(GetFillColor(V35)=15,SUM(Planning!$UO126:$VP126),0)</f>
      </c>
      <c r="W35" s="763">
        <f>IF(GetFillColor(W35)=15,SUM(Planning!$VR126:$WS126),0)</f>
      </c>
      <c r="X35" s="762">
        <f>IF(GetFillColor(X35)=15,SUM(Planning!$WX126:$XY126),0)</f>
      </c>
      <c r="Y35" s="762">
        <f>IF(GetFillColor(Y35)=15,SUM(Planning!$YA126:$ZB126),0)</f>
      </c>
      <c r="Z35" s="762">
        <f>IF(GetFillColor(Z35)=15,SUM(Planning!$ZD126:$AAE126),0)</f>
      </c>
      <c r="AA35" s="762">
        <f>IF(GetFillColor(AA35)=15,SUM(Planning!$AAG126:$ABH126),0)</f>
      </c>
      <c r="AB35" s="762">
        <f>IF(GetFillColor(AB35)=15,SUM(Planning!$ABJ126:$ACK126),0)</f>
      </c>
      <c r="AC35" s="763">
        <f>IF(GetFillColor(AC35)=15,SUM(Planning!$ACM126:$ADN126),0)</f>
      </c>
      <c r="AD35" s="763">
        <f>IF(GetFillColor(AD35)=15,SUM(Planning!$ADP126:$AEQ126),0)</f>
      </c>
      <c r="AE35" s="762">
        <f>IF(GetFillColor(AE35)=15,SUM(Planning!$AEV126:$AFW126),0)</f>
      </c>
      <c r="AF35" s="762">
        <f>IF(GetFillColor(AF35)=15,SUM(Planning!$AFY126:$AGZ126),0)</f>
      </c>
      <c r="AG35" s="762">
        <f>IF(GetFillColor(AG35)=15,SUM(Planning!$AHB126:$AIC126),0)</f>
      </c>
      <c r="AH35" s="762">
        <f>IF(GetFillColor(AH35)=15,SUM(Planning!$AIE126:$AJF126),0)</f>
      </c>
      <c r="AI35" s="762">
        <f>IF(GetFillColor(AI35)=15,SUM(Planning!$AJH126:$AKI126),0)</f>
      </c>
      <c r="AJ35" s="763">
        <f>IF(GetFillColor(AJ35)=15,SUM(Planning!$AKK126:$ALL126),0)</f>
      </c>
      <c r="AK35" s="760">
        <f>IF(GetFillColor(AK35)=15,SUM(Planning!$ALN126:$AMO126),0)</f>
      </c>
      <c r="AL35" s="698">
        <f>SUM(C35:AK35)</f>
      </c>
      <c r="AM35" s="4"/>
      <c r="AN35" s="4"/>
    </row>
    <row r="36" ht="20.25" customHeight="1" spans="1:40" x14ac:dyDescent="0.25">
      <c r="A36" s="4">
        <f>A10</f>
      </c>
      <c r="B36" s="4"/>
      <c r="C36" s="760">
        <f>IF(GetFillColor(C36)=15,SUM(Planning!$D127:$AE127),0)</f>
      </c>
      <c r="D36" s="760">
        <f>IF(GetFillColor(D36)=15,SUM(Planning!$AG127:$BH127),0)</f>
      </c>
      <c r="E36" s="760">
        <f>IF(GetFillColor(E36)=15,SUM(Planning!$BJ127:$CK127),0)</f>
      </c>
      <c r="F36" s="763">
        <f>IF(GetFillColor(F36)=15,SUM(Planning!$CM127:$DN127),0)</f>
      </c>
      <c r="G36" s="763">
        <f>IF(GetFillColor(G36)=15,SUM(Planning!$DP127:$EQ127),0)</f>
      </c>
      <c r="H36" s="763">
        <f>IF(GetFillColor(H36)=15,SUM(Planning!$ES127:$FT127),0)</f>
      </c>
      <c r="I36" s="763">
        <f>IF(GetFillColor(I36)=15,SUM(Planning!$FV127:$GW127),0)</f>
      </c>
      <c r="J36" s="762">
        <f>IF(GetFillColor(J36)=15,SUM(Planning!$HB127:$IC127),0)</f>
      </c>
      <c r="K36" s="762">
        <f>IF(GetFillColor(K36)=15,SUM(Planning!$IE127:$JF127),0)</f>
      </c>
      <c r="L36" s="762">
        <f>IF(GetFillColor(L36)=15,SUM(Planning!$JH127:$KI127),0)</f>
      </c>
      <c r="M36" s="762">
        <f>IF(GetFillColor(M36)=15,SUM(Planning!$KK127:$LL127),0)</f>
      </c>
      <c r="N36" s="762">
        <f>IF(GetFillColor(N36)=15,SUM(Planning!$LN127:$MO127),0)</f>
      </c>
      <c r="O36" s="763">
        <f>IF(GetFillColor(O36)=15,SUM(Planning!$MQ127:$NR127),0)</f>
      </c>
      <c r="P36" s="763">
        <f>IF(GetFillColor(P36)=15,SUM(Planning!$NT127:$OU127),0)</f>
      </c>
      <c r="Q36" s="762">
        <f>IF(GetFillColor(Q36)=15,SUM(Planning!$OZ127:$QA127),0)</f>
      </c>
      <c r="R36" s="762">
        <f>IF(GetFillColor(R36)=15,SUM(Planning!$QC127:$RD127),0)</f>
      </c>
      <c r="S36" s="762">
        <f>IF(GetFillColor(S36)=15,SUM(Planning!$RF127:$SG127),0)</f>
      </c>
      <c r="T36" s="762">
        <f>IF(GetFillColor(T36)=15,SUM(Planning!$SI127:$TJ127),0)</f>
      </c>
      <c r="U36" s="762">
        <f>IF(GetFillColor(U36)=15,SUM(Planning!$TL127:$UM127),0)</f>
      </c>
      <c r="V36" s="763">
        <f>IF(GetFillColor(V36)=15,SUM(Planning!$UO127:$VP127),0)</f>
      </c>
      <c r="W36" s="763">
        <f>IF(GetFillColor(W36)=15,SUM(Planning!$VR127:$WS127),0)</f>
      </c>
      <c r="X36" s="762">
        <f>IF(GetFillColor(X36)=15,SUM(Planning!$WX127:$XY127),0)</f>
      </c>
      <c r="Y36" s="762">
        <f>IF(GetFillColor(Y36)=15,SUM(Planning!$YA127:$ZB127),0)</f>
      </c>
      <c r="Z36" s="762">
        <f>IF(GetFillColor(Z36)=15,SUM(Planning!$ZD127:$AAE127),0)</f>
      </c>
      <c r="AA36" s="762">
        <f>IF(GetFillColor(AA36)=15,SUM(Planning!$AAG127:$ABH127),0)</f>
      </c>
      <c r="AB36" s="762">
        <f>IF(GetFillColor(AB36)=15,SUM(Planning!$ABJ127:$ACK127),0)</f>
      </c>
      <c r="AC36" s="763">
        <f>IF(GetFillColor(AC36)=15,SUM(Planning!$ACM127:$ADN127),0)</f>
      </c>
      <c r="AD36" s="763">
        <f>IF(GetFillColor(AD36)=15,SUM(Planning!$ADP127:$AEQ127),0)</f>
      </c>
      <c r="AE36" s="762">
        <f>IF(GetFillColor(AE36)=15,SUM(Planning!$AEV127:$AFW127),0)</f>
      </c>
      <c r="AF36" s="762">
        <f>IF(GetFillColor(AF36)=15,SUM(Planning!$AFY127:$AGZ127),0)</f>
      </c>
      <c r="AG36" s="762">
        <f>IF(GetFillColor(AG36)=15,SUM(Planning!$AHB127:$AIC127),0)</f>
      </c>
      <c r="AH36" s="762">
        <f>IF(GetFillColor(AH36)=15,SUM(Planning!$AIE127:$AJF127),0)</f>
      </c>
      <c r="AI36" s="762">
        <f>IF(GetFillColor(AI36)=15,SUM(Planning!$AJH127:$AKI127),0)</f>
      </c>
      <c r="AJ36" s="763">
        <f>IF(GetFillColor(AJ36)=15,SUM(Planning!$AKK127:$ALL127),0)</f>
      </c>
      <c r="AK36" s="760">
        <f>IF(GetFillColor(AK36)=15,SUM(Planning!$ALN127:$AMO127),0)</f>
      </c>
      <c r="AL36" s="698">
        <f>SUM(C36:AK36)</f>
      </c>
      <c r="AM36" s="4"/>
      <c r="AN36" s="4"/>
    </row>
    <row r="37" ht="20.25" customHeight="1" spans="1:40" x14ac:dyDescent="0.25">
      <c r="A37" s="4">
        <f>A11</f>
      </c>
      <c r="B37" s="4"/>
      <c r="C37" s="760">
        <f>IF(GetFillColor(C37)=15,SUM(Planning!$D128:$AE128),0)</f>
      </c>
      <c r="D37" s="760">
        <f>IF(GetFillColor(D37)=15,SUM(Planning!$AG128:$BH128),0)</f>
      </c>
      <c r="E37" s="760">
        <f>IF(GetFillColor(E37)=15,SUM(Planning!$BJ128:$CK128),0)</f>
      </c>
      <c r="F37" s="763">
        <f>IF(GetFillColor(F37)=15,SUM(Planning!$CM128:$DN128),0)</f>
      </c>
      <c r="G37" s="763">
        <f>IF(GetFillColor(G37)=15,SUM(Planning!$DP128:$EQ128),0)</f>
      </c>
      <c r="H37" s="763">
        <f>IF(GetFillColor(H37)=15,SUM(Planning!$ES128:$FT128),0)</f>
      </c>
      <c r="I37" s="763">
        <f>IF(GetFillColor(I37)=15,SUM(Planning!$FV128:$GW128),0)</f>
      </c>
      <c r="J37" s="762">
        <f>IF(GetFillColor(J37)=15,SUM(Planning!$HB128:$IC128),0)</f>
      </c>
      <c r="K37" s="762">
        <f>IF(GetFillColor(K37)=15,SUM(Planning!$IE128:$JF128),0)</f>
      </c>
      <c r="L37" s="762">
        <f>IF(GetFillColor(L37)=15,SUM(Planning!$JH128:$KI128),0)</f>
      </c>
      <c r="M37" s="762">
        <f>IF(GetFillColor(M37)=15,SUM(Planning!$KK128:$LL128),0)</f>
      </c>
      <c r="N37" s="762">
        <f>IF(GetFillColor(N37)=15,SUM(Planning!$LN128:$MO128),0)</f>
      </c>
      <c r="O37" s="763">
        <f>IF(GetFillColor(O37)=15,SUM(Planning!$MQ128:$NR128),0)</f>
      </c>
      <c r="P37" s="763">
        <f>IF(GetFillColor(P37)=15,SUM(Planning!$NT128:$OU128),0)</f>
      </c>
      <c r="Q37" s="762">
        <f>IF(GetFillColor(Q37)=15,SUM(Planning!$OZ128:$QA128),0)</f>
      </c>
      <c r="R37" s="762">
        <f>IF(GetFillColor(R37)=15,SUM(Planning!$QC128:$RD128),0)</f>
      </c>
      <c r="S37" s="762">
        <f>IF(GetFillColor(S37)=15,SUM(Planning!$RF128:$SG128),0)</f>
      </c>
      <c r="T37" s="762">
        <f>IF(GetFillColor(T37)=15,SUM(Planning!$SI128:$TJ128),0)</f>
      </c>
      <c r="U37" s="762">
        <f>IF(GetFillColor(U37)=15,SUM(Planning!$TL128:$UM128),0)</f>
      </c>
      <c r="V37" s="763">
        <f>IF(GetFillColor(V37)=15,SUM(Planning!$UO128:$VP128),0)</f>
      </c>
      <c r="W37" s="763">
        <f>IF(GetFillColor(W37)=15,SUM(Planning!$VR128:$WS128),0)</f>
      </c>
      <c r="X37" s="762">
        <f>IF(GetFillColor(X37)=15,SUM(Planning!$WX128:$XY128),0)</f>
      </c>
      <c r="Y37" s="762">
        <f>IF(GetFillColor(Y37)=15,SUM(Planning!$YA128:$ZB128),0)</f>
      </c>
      <c r="Z37" s="762">
        <f>IF(GetFillColor(Z37)=15,SUM(Planning!$ZD128:$AAE128),0)</f>
      </c>
      <c r="AA37" s="762">
        <f>IF(GetFillColor(AA37)=15,SUM(Planning!$AAG128:$ABH128),0)</f>
      </c>
      <c r="AB37" s="762">
        <f>IF(GetFillColor(AB37)=15,SUM(Planning!$ABJ128:$ACK128),0)</f>
      </c>
      <c r="AC37" s="763">
        <f>IF(GetFillColor(AC37)=15,SUM(Planning!$ACM128:$ADN128),0)</f>
      </c>
      <c r="AD37" s="763">
        <f>IF(GetFillColor(AD37)=15,SUM(Planning!$ADP128:$AEQ128),0)</f>
      </c>
      <c r="AE37" s="762">
        <f>IF(GetFillColor(AE37)=15,SUM(Planning!$AEV128:$AFW128),0)</f>
      </c>
      <c r="AF37" s="762">
        <f>IF(GetFillColor(AF37)=15,SUM(Planning!$AFY128:$AGZ128),0)</f>
      </c>
      <c r="AG37" s="762">
        <f>IF(GetFillColor(AG37)=15,SUM(Planning!$AHB128:$AIC128),0)</f>
      </c>
      <c r="AH37" s="762">
        <f>IF(GetFillColor(AH37)=15,SUM(Planning!$AIE128:$AJF128),0)</f>
      </c>
      <c r="AI37" s="762">
        <f>IF(GetFillColor(AI37)=15,SUM(Planning!$AJH128:$AKI128),0)</f>
      </c>
      <c r="AJ37" s="763">
        <f>IF(GetFillColor(AJ37)=15,SUM(Planning!$AKK128:$ALL128),0)</f>
      </c>
      <c r="AK37" s="760">
        <f>IF(GetFillColor(AK37)=15,SUM(Planning!$ALN128:$AMO128),0)</f>
      </c>
      <c r="AL37" s="698">
        <f>SUM(C37:AK37)</f>
      </c>
      <c r="AM37" s="4"/>
      <c r="AN37" s="4"/>
    </row>
    <row r="38" ht="20.25" customHeight="1" spans="1:40" x14ac:dyDescent="0.25">
      <c r="A38" s="4">
        <f>A12</f>
      </c>
      <c r="B38" s="4"/>
      <c r="C38" s="760">
        <f>IF(GetFillColor(C38)=15,SUM(Planning!$D129:$AE129),0)</f>
      </c>
      <c r="D38" s="760">
        <f>IF(GetFillColor(D38)=15,SUM(Planning!$AG129:$BH129),0)</f>
      </c>
      <c r="E38" s="760">
        <f>IF(GetFillColor(E38)=15,SUM(Planning!$BJ129:$CK129),0)</f>
      </c>
      <c r="F38" s="763">
        <f>IF(GetFillColor(F38)=15,SUM(Planning!$CM129:$DN129),0)</f>
      </c>
      <c r="G38" s="763">
        <f>IF(GetFillColor(G38)=15,SUM(Planning!$DP129:$EQ129),0)</f>
      </c>
      <c r="H38" s="763">
        <f>IF(GetFillColor(H38)=15,SUM(Planning!$ES129:$FT129),0)</f>
      </c>
      <c r="I38" s="763">
        <f>IF(GetFillColor(I38)=15,SUM(Planning!$FV129:$GW129),0)</f>
      </c>
      <c r="J38" s="762">
        <f>IF(GetFillColor(J38)=15,SUM(Planning!$HB129:$IC129),0)</f>
      </c>
      <c r="K38" s="762">
        <f>IF(GetFillColor(K38)=15,SUM(Planning!$IE129:$JF129),0)</f>
      </c>
      <c r="L38" s="762">
        <f>IF(GetFillColor(L38)=15,SUM(Planning!$JH129:$KI129),0)</f>
      </c>
      <c r="M38" s="762">
        <f>IF(GetFillColor(M38)=15,SUM(Planning!$KK129:$LL129),0)</f>
      </c>
      <c r="N38" s="762">
        <f>IF(GetFillColor(N38)=15,SUM(Planning!$LN129:$MO129),0)</f>
      </c>
      <c r="O38" s="763">
        <f>IF(GetFillColor(O38)=15,SUM(Planning!$MQ129:$NR129),0)</f>
      </c>
      <c r="P38" s="763">
        <f>IF(GetFillColor(P38)=15,SUM(Planning!$NT129:$OU129),0)</f>
      </c>
      <c r="Q38" s="762">
        <f>IF(GetFillColor(Q38)=15,SUM(Planning!$OZ129:$QA129),0)</f>
      </c>
      <c r="R38" s="762">
        <f>IF(GetFillColor(R38)=15,SUM(Planning!$QC129:$RD129),0)</f>
      </c>
      <c r="S38" s="762">
        <f>IF(GetFillColor(S38)=15,SUM(Planning!$RF129:$SG129),0)</f>
      </c>
      <c r="T38" s="762">
        <f>IF(GetFillColor(T38)=15,SUM(Planning!$SI129:$TJ129),0)</f>
      </c>
      <c r="U38" s="762">
        <f>IF(GetFillColor(U38)=15,SUM(Planning!$TL129:$UM129),0)</f>
      </c>
      <c r="V38" s="763">
        <f>IF(GetFillColor(V38)=15,SUM(Planning!$UO129:$VP129),0)</f>
      </c>
      <c r="W38" s="763">
        <f>IF(GetFillColor(W38)=15,SUM(Planning!$VR129:$WS129),0)</f>
      </c>
      <c r="X38" s="762">
        <f>IF(GetFillColor(X38)=15,SUM(Planning!$WX129:$XY129),0)</f>
      </c>
      <c r="Y38" s="762">
        <f>IF(GetFillColor(Y38)=15,SUM(Planning!$YA129:$ZB129),0)</f>
      </c>
      <c r="Z38" s="762">
        <f>IF(GetFillColor(Z38)=15,SUM(Planning!$ZD129:$AAE129),0)</f>
      </c>
      <c r="AA38" s="762">
        <f>IF(GetFillColor(AA38)=15,SUM(Planning!$AAG129:$ABH129),0)</f>
      </c>
      <c r="AB38" s="762">
        <f>IF(GetFillColor(AB38)=15,SUM(Planning!$ABJ129:$ACK129),0)</f>
      </c>
      <c r="AC38" s="763">
        <f>IF(GetFillColor(AC38)=15,SUM(Planning!$ACM129:$ADN129),0)</f>
      </c>
      <c r="AD38" s="763">
        <f>IF(GetFillColor(AD38)=15,SUM(Planning!$ADP129:$AEQ129),0)</f>
      </c>
      <c r="AE38" s="762">
        <f>IF(GetFillColor(AE38)=15,SUM(Planning!$AEV129:$AFW129),0)</f>
      </c>
      <c r="AF38" s="762">
        <f>IF(GetFillColor(AF38)=15,SUM(Planning!$AFY129:$AGZ129),0)</f>
      </c>
      <c r="AG38" s="762">
        <f>IF(GetFillColor(AG38)=15,SUM(Planning!$AHB129:$AIC129),0)</f>
      </c>
      <c r="AH38" s="762">
        <f>IF(GetFillColor(AH38)=15,SUM(Planning!$AIE129:$AJF129),0)</f>
      </c>
      <c r="AI38" s="762">
        <f>IF(GetFillColor(AI38)=15,SUM(Planning!$AJH129:$AKI129),0)</f>
      </c>
      <c r="AJ38" s="763">
        <f>IF(GetFillColor(AJ38)=15,SUM(Planning!$AKK129:$ALL129),0)</f>
      </c>
      <c r="AK38" s="760">
        <f>IF(GetFillColor(AK38)=15,SUM(Planning!$ALN129:$AMO129),0)</f>
      </c>
      <c r="AL38" s="698">
        <f>SUM(C38:AK38)</f>
      </c>
      <c r="AM38" s="4"/>
      <c r="AN38" s="4"/>
    </row>
    <row r="39" ht="20.25" customHeight="1" spans="1:40" x14ac:dyDescent="0.25">
      <c r="A39" s="4">
        <f>A13</f>
      </c>
      <c r="B39" s="4"/>
      <c r="C39" s="760">
        <f>IF(GetFillColor(C39)=15,SUM(Planning!$D130:$AE130),0)</f>
      </c>
      <c r="D39" s="760">
        <f>IF(GetFillColor(D39)=15,SUM(Planning!$AG130:$BH130),0)</f>
      </c>
      <c r="E39" s="760">
        <f>IF(GetFillColor(E39)=15,SUM(Planning!$BJ130:$CK130),0)</f>
      </c>
      <c r="F39" s="763">
        <f>IF(GetFillColor(F39)=15,SUM(Planning!$CM130:$DN130),0)</f>
      </c>
      <c r="G39" s="763">
        <f>IF(GetFillColor(G39)=15,SUM(Planning!$DP130:$EQ130),0)</f>
      </c>
      <c r="H39" s="763">
        <f>IF(GetFillColor(H39)=15,SUM(Planning!$ES130:$FT130),0)</f>
      </c>
      <c r="I39" s="763">
        <f>IF(GetFillColor(I39)=15,SUM(Planning!$FV130:$GW130),0)</f>
      </c>
      <c r="J39" s="762">
        <f>IF(GetFillColor(J39)=15,SUM(Planning!$HB130:$IC130),0)</f>
      </c>
      <c r="K39" s="762">
        <f>IF(GetFillColor(K39)=15,SUM(Planning!$IE130:$JF130),0)</f>
      </c>
      <c r="L39" s="762">
        <f>IF(GetFillColor(L39)=15,SUM(Planning!$JH130:$KI130),0)</f>
      </c>
      <c r="M39" s="762">
        <f>IF(GetFillColor(M39)=15,SUM(Planning!$KK130:$LL130),0)</f>
      </c>
      <c r="N39" s="762">
        <f>IF(GetFillColor(N39)=15,SUM(Planning!$LN130:$MO130),0)</f>
      </c>
      <c r="O39" s="763">
        <f>IF(GetFillColor(O39)=15,SUM(Planning!$MQ130:$NR130),0)</f>
      </c>
      <c r="P39" s="763">
        <f>IF(GetFillColor(P39)=15,SUM(Planning!$NT130:$OU130),0)</f>
      </c>
      <c r="Q39" s="762">
        <f>IF(GetFillColor(Q39)=15,SUM(Planning!$OZ130:$QA130),0)</f>
      </c>
      <c r="R39" s="762">
        <f>IF(GetFillColor(R39)=15,SUM(Planning!$QC130:$RD130),0)</f>
      </c>
      <c r="S39" s="762">
        <f>IF(GetFillColor(S39)=15,SUM(Planning!$RF130:$SG130),0)</f>
      </c>
      <c r="T39" s="762">
        <f>IF(GetFillColor(T39)=15,SUM(Planning!$SI130:$TJ130),0)</f>
      </c>
      <c r="U39" s="762">
        <f>IF(GetFillColor(U39)=15,SUM(Planning!$TL130:$UM130),0)</f>
      </c>
      <c r="V39" s="763">
        <f>IF(GetFillColor(V39)=15,SUM(Planning!$UO130:$VP130),0)</f>
      </c>
      <c r="W39" s="763">
        <f>IF(GetFillColor(W39)=15,SUM(Planning!$VR130:$WS130),0)</f>
      </c>
      <c r="X39" s="762">
        <f>IF(GetFillColor(X39)=15,SUM(Planning!$WX130:$XY130),0)</f>
      </c>
      <c r="Y39" s="762">
        <f>IF(GetFillColor(Y39)=15,SUM(Planning!$YA130:$ZB130),0)</f>
      </c>
      <c r="Z39" s="762">
        <f>IF(GetFillColor(Z39)=15,SUM(Planning!$ZD130:$AAE130),0)</f>
      </c>
      <c r="AA39" s="762">
        <f>IF(GetFillColor(AA39)=15,SUM(Planning!$AAG130:$ABH130),0)</f>
      </c>
      <c r="AB39" s="762">
        <f>IF(GetFillColor(AB39)=15,SUM(Planning!$ABJ130:$ACK130),0)</f>
      </c>
      <c r="AC39" s="763">
        <f>IF(GetFillColor(AC39)=15,SUM(Planning!$ACM130:$ADN130),0)</f>
      </c>
      <c r="AD39" s="763">
        <f>IF(GetFillColor(AD39)=15,SUM(Planning!$ADP130:$AEQ130),0)</f>
      </c>
      <c r="AE39" s="762">
        <f>IF(GetFillColor(AE39)=15,SUM(Planning!$AEV130:$AFW130),0)</f>
      </c>
      <c r="AF39" s="762">
        <f>IF(GetFillColor(AF39)=15,SUM(Planning!$AFY130:$AGZ130),0)</f>
      </c>
      <c r="AG39" s="762">
        <f>IF(GetFillColor(AG39)=15,SUM(Planning!$AHB130:$AIC130),0)</f>
      </c>
      <c r="AH39" s="762">
        <f>IF(GetFillColor(AH39)=15,SUM(Planning!$AIE130:$AJF130),0)</f>
      </c>
      <c r="AI39" s="762">
        <f>IF(GetFillColor(AI39)=15,SUM(Planning!$AJH130:$AKI130),0)</f>
      </c>
      <c r="AJ39" s="763">
        <f>IF(GetFillColor(AJ39)=15,SUM(Planning!$AKK130:$ALL130),0)</f>
      </c>
      <c r="AK39" s="760">
        <f>IF(GetFillColor(AK39)=15,SUM(Planning!$ALN130:$AMO130),0)</f>
      </c>
      <c r="AL39" s="698">
        <f>SUM(C39:AK39)</f>
      </c>
      <c r="AM39" s="4"/>
      <c r="AN3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5015" priority="2590">
      <formula>NOT(ISERROR(SEARCH("Session",AD1)))</formula>
    </cfRule>
    <cfRule type="containsText" dxfId="5016" priority="2591">
      <formula>NOT(ISERROR(SEARCH("Pre",AD1)))</formula>
    </cfRule>
    <cfRule type="containsText" dxfId="5017" priority="2592">
      <formula>NOT(ISERROR(SEARCH("Normal",AD1)))</formula>
    </cfRule>
  </conditionalFormatting>
  <conditionalFormatting sqref="C1:G1 J1:N1 Q1:U1 X1:AB1 AE1:AK1">
    <cfRule type="cellIs" dxfId="5018" priority="2589" operator="equal">
      <formula>"Session"</formula>
    </cfRule>
  </conditionalFormatting>
  <conditionalFormatting sqref="S19:S26">
    <cfRule type="cellIs" dxfId="5019" priority="511" operator="equal">
      <formula>0</formula>
    </cfRule>
    <cfRule type="cellIs" dxfId="5020" priority="512" operator="greaterThan">
      <formula>0</formula>
    </cfRule>
  </conditionalFormatting>
  <conditionalFormatting sqref="K17:L17">
    <cfRule type="cellIs" dxfId="5021" priority="539" operator="equal">
      <formula>0</formula>
    </cfRule>
    <cfRule type="cellIs" dxfId="5022" priority="540" operator="greaterThan">
      <formula>0</formula>
    </cfRule>
  </conditionalFormatting>
  <conditionalFormatting sqref="Q19:R26">
    <cfRule type="cellIs" dxfId="5023" priority="497" operator="equal">
      <formula>0</formula>
    </cfRule>
    <cfRule type="cellIs" dxfId="5024" priority="498" operator="greaterThan">
      <formula>0</formula>
    </cfRule>
  </conditionalFormatting>
  <conditionalFormatting sqref="K4:L4">
    <cfRule type="cellIs" dxfId="5025" priority="557" operator="equal">
      <formula>0</formula>
    </cfRule>
    <cfRule type="cellIs" dxfId="5026" priority="558" operator="greaterThan">
      <formula>0</formula>
    </cfRule>
  </conditionalFormatting>
  <conditionalFormatting sqref="Q4:S4">
    <cfRule type="cellIs" dxfId="5027" priority="555" operator="equal">
      <formula>0</formula>
    </cfRule>
    <cfRule type="cellIs" dxfId="5028" priority="556" operator="greaterThan">
      <formula>0</formula>
    </cfRule>
  </conditionalFormatting>
  <conditionalFormatting sqref="K6:L13">
    <cfRule type="cellIs" dxfId="5029" priority="547" operator="equal">
      <formula>0</formula>
    </cfRule>
    <cfRule type="cellIs" dxfId="5030" priority="548" operator="greaterThan">
      <formula>0</formula>
    </cfRule>
  </conditionalFormatting>
  <conditionalFormatting sqref="Q6:S13">
    <cfRule type="cellIs" dxfId="5031" priority="545" operator="equal">
      <formula>0</formula>
    </cfRule>
    <cfRule type="cellIs" dxfId="5032" priority="546" operator="greaterThan">
      <formula>0</formula>
    </cfRule>
  </conditionalFormatting>
  <conditionalFormatting sqref="S17">
    <cfRule type="cellIs" dxfId="5033" priority="537" operator="equal">
      <formula>0</formula>
    </cfRule>
    <cfRule type="cellIs" dxfId="5034" priority="538" operator="greaterThan">
      <formula>0</formula>
    </cfRule>
  </conditionalFormatting>
  <conditionalFormatting sqref="Q17:R17">
    <cfRule type="cellIs" dxfId="5035" priority="523" operator="equal">
      <formula>0</formula>
    </cfRule>
    <cfRule type="cellIs" dxfId="5036" priority="524" operator="greaterThan">
      <formula>0</formula>
    </cfRule>
  </conditionalFormatting>
  <conditionalFormatting sqref="K19:L26">
    <cfRule type="cellIs" dxfId="5037" priority="513" operator="equal">
      <formula>0</formula>
    </cfRule>
    <cfRule type="cellIs" dxfId="5038" priority="514" operator="greaterThan">
      <formula>0</formula>
    </cfRule>
  </conditionalFormatting>
  <conditionalFormatting sqref="H30">
    <cfRule type="cellIs" dxfId="5039" priority="488" operator="greaterThan">
      <formula>0</formula>
    </cfRule>
    <cfRule type="cellIs" dxfId="5040" priority="487" operator="equal">
      <formula>0</formula>
    </cfRule>
  </conditionalFormatting>
  <conditionalFormatting sqref="I30">
    <cfRule type="cellIs" dxfId="5041" priority="486" operator="greaterThan">
      <formula>0</formula>
    </cfRule>
    <cfRule type="cellIs" dxfId="5042" priority="485" operator="equal">
      <formula>0</formula>
    </cfRule>
  </conditionalFormatting>
  <conditionalFormatting sqref="O30:P30">
    <cfRule type="cellIs" dxfId="5043" priority="484" operator="greaterThan">
      <formula>0</formula>
    </cfRule>
    <cfRule type="cellIs" dxfId="5044" priority="483" operator="equal">
      <formula>0</formula>
    </cfRule>
  </conditionalFormatting>
  <conditionalFormatting sqref="V30:W30">
    <cfRule type="cellIs" dxfId="5045" priority="482" operator="greaterThan">
      <formula>0</formula>
    </cfRule>
    <cfRule type="cellIs" dxfId="5046" priority="481" operator="equal">
      <formula>0</formula>
    </cfRule>
  </conditionalFormatting>
  <conditionalFormatting sqref="AC30:AD30">
    <cfRule type="cellIs" dxfId="5047" priority="480" operator="greaterThan">
      <formula>0</formula>
    </cfRule>
    <cfRule type="cellIs" dxfId="5048" priority="479" operator="equal">
      <formula>0</formula>
    </cfRule>
  </conditionalFormatting>
  <conditionalFormatting sqref="K30:L30">
    <cfRule type="cellIs" dxfId="5049" priority="474" operator="greaterThan">
      <formula>0</formula>
    </cfRule>
    <cfRule type="cellIs" dxfId="5050" priority="473" operator="equal">
      <formula>0</formula>
    </cfRule>
  </conditionalFormatting>
  <conditionalFormatting sqref="Q30:S30">
    <cfRule type="cellIs" dxfId="5051" priority="472" operator="greaterThan">
      <formula>0</formula>
    </cfRule>
    <cfRule type="cellIs" dxfId="5052" priority="471" operator="equal">
      <formula>0</formula>
    </cfRule>
  </conditionalFormatting>
  <conditionalFormatting sqref="H32:H39">
    <cfRule type="cellIs" dxfId="5053" priority="466" operator="greaterThan">
      <formula>0</formula>
    </cfRule>
    <cfRule type="cellIs" dxfId="5054" priority="465" operator="equal">
      <formula>0</formula>
    </cfRule>
  </conditionalFormatting>
  <conditionalFormatting sqref="I32:I39">
    <cfRule type="cellIs" dxfId="5055" priority="464" operator="greaterThan">
      <formula>0</formula>
    </cfRule>
    <cfRule type="cellIs" dxfId="5056" priority="463" operator="equal">
      <formula>0</formula>
    </cfRule>
  </conditionalFormatting>
  <conditionalFormatting sqref="O32:P39">
    <cfRule type="cellIs" dxfId="5057" priority="462" operator="greaterThan">
      <formula>0</formula>
    </cfRule>
    <cfRule type="cellIs" dxfId="5058" priority="461" operator="equal">
      <formula>0</formula>
    </cfRule>
  </conditionalFormatting>
  <conditionalFormatting sqref="V32:W39">
    <cfRule type="cellIs" dxfId="5059" priority="460" operator="greaterThan">
      <formula>0</formula>
    </cfRule>
    <cfRule type="cellIs" dxfId="5060" priority="459" operator="equal">
      <formula>0</formula>
    </cfRule>
  </conditionalFormatting>
  <conditionalFormatting sqref="AC30:AD39">
    <cfRule type="cellIs" dxfId="5061" priority="458" operator="greaterThan">
      <formula>0</formula>
    </cfRule>
    <cfRule type="cellIs" dxfId="5062" priority="457" operator="equal">
      <formula>0</formula>
    </cfRule>
  </conditionalFormatting>
  <conditionalFormatting sqref="K32:L39">
    <cfRule type="cellIs" dxfId="5063" priority="452" operator="greaterThan">
      <formula>0</formula>
    </cfRule>
    <cfRule type="cellIs" dxfId="5064" priority="451" operator="equal">
      <formula>0</formula>
    </cfRule>
  </conditionalFormatting>
  <conditionalFormatting sqref="Q32:S39">
    <cfRule type="cellIs" dxfId="5065" priority="450" operator="greaterThan">
      <formula>0</formula>
    </cfRule>
    <cfRule type="cellIs" dxfId="5066" priority="449" operator="equal">
      <formula>0</formula>
    </cfRule>
  </conditionalFormatting>
  <conditionalFormatting sqref="M4 M6:M13">
    <cfRule type="cellIs" dxfId="5067" priority="423" operator="equal">
      <formula>0</formula>
    </cfRule>
    <cfRule type="cellIs" dxfId="5068" priority="424" operator="greaterThan">
      <formula>0</formula>
    </cfRule>
  </conditionalFormatting>
  <conditionalFormatting sqref="M17 M19:M26">
    <cfRule type="cellIs" dxfId="5069" priority="415" operator="equal">
      <formula>0</formula>
    </cfRule>
    <cfRule type="cellIs" dxfId="5070" priority="416" operator="greaterThan">
      <formula>0</formula>
    </cfRule>
  </conditionalFormatting>
  <conditionalFormatting sqref="M30 M32:M39">
    <cfRule type="cellIs" dxfId="5071" priority="412" operator="greaterThan">
      <formula>0</formula>
    </cfRule>
    <cfRule type="cellIs" dxfId="5072" priority="411" operator="equal">
      <formula>0</formula>
    </cfRule>
  </conditionalFormatting>
  <conditionalFormatting sqref="K5:L5">
    <cfRule type="cellIs" dxfId="5073" priority="351" operator="equal">
      <formula>0</formula>
    </cfRule>
    <cfRule type="cellIs" dxfId="5074" priority="352" operator="greaterThan">
      <formula>0</formula>
    </cfRule>
  </conditionalFormatting>
  <conditionalFormatting sqref="Q5:S5">
    <cfRule type="cellIs" dxfId="5075" priority="349" operator="equal">
      <formula>0</formula>
    </cfRule>
    <cfRule type="cellIs" dxfId="5076" priority="350" operator="greaterThan">
      <formula>0</formula>
    </cfRule>
  </conditionalFormatting>
  <conditionalFormatting sqref="M5">
    <cfRule type="cellIs" dxfId="5077" priority="343" operator="equal">
      <formula>0</formula>
    </cfRule>
    <cfRule type="cellIs" dxfId="5078" priority="344" operator="greaterThan">
      <formula>0</formula>
    </cfRule>
  </conditionalFormatting>
  <conditionalFormatting sqref="K18:L18">
    <cfRule type="cellIs" dxfId="5079" priority="327" operator="equal">
      <formula>0</formula>
    </cfRule>
    <cfRule type="cellIs" dxfId="5080" priority="328" operator="greaterThan">
      <formula>0</formula>
    </cfRule>
  </conditionalFormatting>
  <conditionalFormatting sqref="S18">
    <cfRule type="cellIs" dxfId="5081" priority="325" operator="equal">
      <formula>0</formula>
    </cfRule>
    <cfRule type="cellIs" dxfId="5082" priority="326" operator="greaterThan">
      <formula>0</formula>
    </cfRule>
  </conditionalFormatting>
  <conditionalFormatting sqref="Q18:R18">
    <cfRule type="cellIs" dxfId="5083" priority="315" operator="equal">
      <formula>0</formula>
    </cfRule>
    <cfRule type="cellIs" dxfId="5084" priority="316" operator="greaterThan">
      <formula>0</formula>
    </cfRule>
  </conditionalFormatting>
  <conditionalFormatting sqref="M18">
    <cfRule type="cellIs" dxfId="5085" priority="309" operator="equal">
      <formula>0</formula>
    </cfRule>
    <cfRule type="cellIs" dxfId="5086" priority="310" operator="greaterThan">
      <formula>0</formula>
    </cfRule>
  </conditionalFormatting>
  <conditionalFormatting sqref="H31">
    <cfRule type="cellIs" dxfId="5087" priority="296" operator="greaterThan">
      <formula>0</formula>
    </cfRule>
    <cfRule type="cellIs" dxfId="5088" priority="295" operator="equal">
      <formula>0</formula>
    </cfRule>
  </conditionalFormatting>
  <conditionalFormatting sqref="I31">
    <cfRule type="cellIs" dxfId="5089" priority="294" operator="greaterThan">
      <formula>0</formula>
    </cfRule>
    <cfRule type="cellIs" dxfId="5090" priority="293" operator="equal">
      <formula>0</formula>
    </cfRule>
  </conditionalFormatting>
  <conditionalFormatting sqref="O31:P31">
    <cfRule type="cellIs" dxfId="5091" priority="292" operator="greaterThan">
      <formula>0</formula>
    </cfRule>
    <cfRule type="cellIs" dxfId="5092" priority="291" operator="equal">
      <formula>0</formula>
    </cfRule>
  </conditionalFormatting>
  <conditionalFormatting sqref="V31:W31">
    <cfRule type="cellIs" dxfId="5093" priority="290" operator="greaterThan">
      <formula>0</formula>
    </cfRule>
    <cfRule type="cellIs" dxfId="5094" priority="289" operator="equal">
      <formula>0</formula>
    </cfRule>
  </conditionalFormatting>
  <conditionalFormatting sqref="AC31:AD31">
    <cfRule type="cellIs" dxfId="5095" priority="288" operator="greaterThan">
      <formula>0</formula>
    </cfRule>
    <cfRule type="cellIs" dxfId="5096" priority="287" operator="equal">
      <formula>0</formula>
    </cfRule>
  </conditionalFormatting>
  <conditionalFormatting sqref="K31:L31">
    <cfRule type="cellIs" dxfId="5097" priority="286" operator="greaterThan">
      <formula>0</formula>
    </cfRule>
    <cfRule type="cellIs" dxfId="5098" priority="285" operator="equal">
      <formula>0</formula>
    </cfRule>
  </conditionalFormatting>
  <conditionalFormatting sqref="Q31:S31">
    <cfRule type="cellIs" dxfId="5099" priority="284" operator="greaterThan">
      <formula>0</formula>
    </cfRule>
    <cfRule type="cellIs" dxfId="5100" priority="283" operator="equal">
      <formula>0</formula>
    </cfRule>
  </conditionalFormatting>
  <conditionalFormatting sqref="M31">
    <cfRule type="cellIs" dxfId="5101" priority="278" operator="greaterThan">
      <formula>0</formula>
    </cfRule>
    <cfRule type="cellIs" dxfId="5102" priority="277" operator="equal">
      <formula>0</formula>
    </cfRule>
  </conditionalFormatting>
  <conditionalFormatting sqref="Y4:Y13">
    <cfRule type="cellIs" dxfId="5103" priority="227" operator="equal">
      <formula>0</formula>
    </cfRule>
    <cfRule type="cellIs" dxfId="5104" priority="228" operator="greaterThan">
      <formula>0</formula>
    </cfRule>
  </conditionalFormatting>
  <conditionalFormatting sqref="Y17:Y26">
    <cfRule type="cellIs" dxfId="5105" priority="221" operator="equal">
      <formula>0</formula>
    </cfRule>
    <cfRule type="cellIs" dxfId="5106" priority="222" operator="greaterThan">
      <formula>0</formula>
    </cfRule>
  </conditionalFormatting>
  <conditionalFormatting sqref="Y30:Y39">
    <cfRule type="cellIs" dxfId="5107" priority="214" operator="greaterThan">
      <formula>0</formula>
    </cfRule>
    <cfRule type="cellIs" dxfId="5108" priority="213" operator="equal">
      <formula>0</formula>
    </cfRule>
  </conditionalFormatting>
  <conditionalFormatting sqref="T4 T6 T8 T10 T12">
    <cfRule type="cellIs" dxfId="5109" priority="173" operator="equal">
      <formula>0</formula>
    </cfRule>
    <cfRule type="cellIs" dxfId="5110" priority="174" operator="greaterThan">
      <formula>0</formula>
    </cfRule>
  </conditionalFormatting>
  <conditionalFormatting sqref="T5 T7 T9 T11 T13">
    <cfRule type="cellIs" dxfId="5111" priority="171" operator="equal">
      <formula>0</formula>
    </cfRule>
    <cfRule type="cellIs" dxfId="5112" priority="172" operator="greaterThan">
      <formula>0</formula>
    </cfRule>
  </conditionalFormatting>
  <conditionalFormatting sqref="T17:T26">
    <cfRule type="cellIs" dxfId="5113" priority="165" operator="equal">
      <formula>0</formula>
    </cfRule>
    <cfRule type="cellIs" dxfId="5114" priority="166" operator="greaterThan">
      <formula>0</formula>
    </cfRule>
  </conditionalFormatting>
  <conditionalFormatting sqref="T30:T39">
    <cfRule type="cellIs" dxfId="5115" priority="156" operator="greaterThan">
      <formula>0</formula>
    </cfRule>
    <cfRule type="cellIs" dxfId="5116" priority="155" operator="equal">
      <formula>0</formula>
    </cfRule>
  </conditionalFormatting>
  <conditionalFormatting sqref="N4:N13">
    <cfRule type="cellIs" dxfId="5117" priority="145" operator="equal">
      <formula>0</formula>
    </cfRule>
    <cfRule type="cellIs" dxfId="5118" priority="146" operator="greaterThan">
      <formula>0</formula>
    </cfRule>
  </conditionalFormatting>
  <conditionalFormatting sqref="N17:N26">
    <cfRule type="cellIs" dxfId="5119" priority="141" operator="equal">
      <formula>0</formula>
    </cfRule>
    <cfRule type="cellIs" dxfId="5120" priority="142" operator="greaterThan">
      <formula>0</formula>
    </cfRule>
  </conditionalFormatting>
  <conditionalFormatting sqref="N30:N39">
    <cfRule type="cellIs" dxfId="5121" priority="134" operator="greaterThan">
      <formula>0</formula>
    </cfRule>
    <cfRule type="cellIs" dxfId="5122" priority="133" operator="equal">
      <formula>0</formula>
    </cfRule>
  </conditionalFormatting>
  <conditionalFormatting sqref="J4:J13">
    <cfRule type="cellIs" dxfId="5123" priority="125" operator="equal">
      <formula>0</formula>
    </cfRule>
    <cfRule type="cellIs" dxfId="5124" priority="126" operator="greaterThan">
      <formula>0</formula>
    </cfRule>
  </conditionalFormatting>
  <conditionalFormatting sqref="X13">
    <cfRule type="cellIs" dxfId="5125" priority="123" operator="equal">
      <formula>0</formula>
    </cfRule>
    <cfRule type="cellIs" dxfId="5126" priority="124" operator="greaterThan">
      <formula>0</formula>
    </cfRule>
  </conditionalFormatting>
  <conditionalFormatting sqref="J17:J26">
    <cfRule type="cellIs" dxfId="5127" priority="117" operator="equal">
      <formula>0</formula>
    </cfRule>
    <cfRule type="cellIs" dxfId="5128" priority="118" operator="greaterThan">
      <formula>0</formula>
    </cfRule>
  </conditionalFormatting>
  <conditionalFormatting sqref="X26">
    <cfRule type="cellIs" dxfId="5129" priority="115" operator="equal">
      <formula>0</formula>
    </cfRule>
    <cfRule type="cellIs" dxfId="5130" priority="116" operator="greaterThan">
      <formula>0</formula>
    </cfRule>
  </conditionalFormatting>
  <conditionalFormatting sqref="J30:J39">
    <cfRule type="cellIs" dxfId="5131" priority="110" operator="greaterThan">
      <formula>0</formula>
    </cfRule>
    <cfRule type="cellIs" dxfId="5132" priority="109" operator="equal">
      <formula>0</formula>
    </cfRule>
  </conditionalFormatting>
  <conditionalFormatting sqref="X39">
    <cfRule type="cellIs" dxfId="5133" priority="108" operator="greaterThan">
      <formula>0</formula>
    </cfRule>
    <cfRule type="cellIs" dxfId="5134" priority="107" operator="equal">
      <formula>0</formula>
    </cfRule>
  </conditionalFormatting>
  <conditionalFormatting sqref="X30:X38">
    <cfRule type="cellIs" dxfId="5135" priority="96" operator="greaterThan">
      <formula>0</formula>
    </cfRule>
    <cfRule type="cellIs" dxfId="5136" priority="95" operator="equal">
      <formula>0</formula>
    </cfRule>
  </conditionalFormatting>
  <conditionalFormatting sqref="X17:X25">
    <cfRule type="cellIs" dxfId="5137" priority="93" operator="equal">
      <formula>0</formula>
    </cfRule>
    <cfRule type="cellIs" dxfId="5138" priority="94" operator="greaterThan">
      <formula>0</formula>
    </cfRule>
  </conditionalFormatting>
  <conditionalFormatting sqref="X4:X12">
    <cfRule type="cellIs" dxfId="5139" priority="91" operator="equal">
      <formula>0</formula>
    </cfRule>
    <cfRule type="cellIs" dxfId="5140" priority="92" operator="greaterThan">
      <formula>0</formula>
    </cfRule>
  </conditionalFormatting>
  <conditionalFormatting sqref="U4:U13">
    <cfRule type="cellIs" dxfId="5141" priority="75" operator="equal">
      <formula>0</formula>
    </cfRule>
    <cfRule type="cellIs" dxfId="5142" priority="76" operator="greaterThan">
      <formula>0</formula>
    </cfRule>
  </conditionalFormatting>
  <conditionalFormatting sqref="U17:U26">
    <cfRule type="cellIs" dxfId="5143" priority="69" operator="equal">
      <formula>0</formula>
    </cfRule>
    <cfRule type="cellIs" dxfId="5144" priority="70" operator="greaterThan">
      <formula>0</formula>
    </cfRule>
  </conditionalFormatting>
  <conditionalFormatting sqref="U30:U39">
    <cfRule type="cellIs" dxfId="5145" priority="64" operator="greaterThan">
      <formula>0</formula>
    </cfRule>
    <cfRule type="cellIs" dxfId="5146" priority="63" operator="equal">
      <formula>0</formula>
    </cfRule>
  </conditionalFormatting>
  <conditionalFormatting sqref="AK4:AK13">
    <cfRule type="cellIs" dxfId="5147" priority="37" operator="equal">
      <formula>0</formula>
    </cfRule>
    <cfRule type="cellIs" dxfId="5148" priority="38" operator="greaterThan">
      <formula>0</formula>
    </cfRule>
  </conditionalFormatting>
  <conditionalFormatting sqref="AK17:AK26">
    <cfRule type="cellIs" dxfId="5149" priority="33" operator="equal">
      <formula>0</formula>
    </cfRule>
    <cfRule type="cellIs" dxfId="5150" priority="34" operator="greaterThan">
      <formula>0</formula>
    </cfRule>
  </conditionalFormatting>
  <conditionalFormatting sqref="AK30:AK39">
    <cfRule type="cellIs" dxfId="5151" priority="30" operator="greaterThan">
      <formula>0</formula>
    </cfRule>
    <cfRule type="cellIs" dxfId="5152" priority="29" operator="equal">
      <formula>0</formula>
    </cfRule>
  </conditionalFormatting>
  <conditionalFormatting sqref="C4:E13">
    <cfRule type="cellIs" dxfId="5153" priority="25" operator="equal">
      <formula>0</formula>
    </cfRule>
    <cfRule type="cellIs" dxfId="5154" priority="26" operator="greaterThan">
      <formula>0</formula>
    </cfRule>
  </conditionalFormatting>
  <conditionalFormatting sqref="AJ4:AJ13">
    <cfRule type="cellIs" dxfId="5155" priority="23" operator="equal">
      <formula>0</formula>
    </cfRule>
    <cfRule type="cellIs" dxfId="5156" priority="24" operator="greaterThan">
      <formula>0</formula>
    </cfRule>
  </conditionalFormatting>
  <conditionalFormatting sqref="Z4:AB13">
    <cfRule type="cellIs" dxfId="5157" priority="21" operator="equal">
      <formula>0</formula>
    </cfRule>
    <cfRule type="cellIs" dxfId="5158" priority="22" operator="greaterThan">
      <formula>0</formula>
    </cfRule>
  </conditionalFormatting>
  <conditionalFormatting sqref="AE4:AI13">
    <cfRule type="cellIs" dxfId="5159" priority="19" operator="equal">
      <formula>0</formula>
    </cfRule>
    <cfRule type="cellIs" dxfId="5160" priority="20" operator="greaterThan">
      <formula>0</formula>
    </cfRule>
  </conditionalFormatting>
  <conditionalFormatting sqref="C17:E26">
    <cfRule type="cellIs" dxfId="5161" priority="17" operator="equal">
      <formula>0</formula>
    </cfRule>
    <cfRule type="cellIs" dxfId="5162" priority="18" operator="greaterThan">
      <formula>0</formula>
    </cfRule>
  </conditionalFormatting>
  <conditionalFormatting sqref="Z17:AB26">
    <cfRule type="cellIs" dxfId="5163" priority="15" operator="equal">
      <formula>0</formula>
    </cfRule>
    <cfRule type="cellIs" dxfId="5164" priority="16" operator="greaterThan">
      <formula>0</formula>
    </cfRule>
  </conditionalFormatting>
  <conditionalFormatting sqref="AE17:AI26">
    <cfRule type="cellIs" dxfId="5165" priority="13" operator="equal">
      <formula>0</formula>
    </cfRule>
    <cfRule type="cellIs" dxfId="5166" priority="14" operator="greaterThan">
      <formula>0</formula>
    </cfRule>
  </conditionalFormatting>
  <conditionalFormatting sqref="C30:E39">
    <cfRule type="cellIs" dxfId="5167" priority="12" operator="greaterThan">
      <formula>0</formula>
    </cfRule>
    <cfRule type="cellIs" dxfId="5168" priority="11" operator="equal">
      <formula>0</formula>
    </cfRule>
  </conditionalFormatting>
  <conditionalFormatting sqref="F30:G39">
    <cfRule type="cellIs" dxfId="5169" priority="10" operator="greaterThan">
      <formula>0</formula>
    </cfRule>
    <cfRule type="cellIs" dxfId="5170" priority="9" operator="equal">
      <formula>0</formula>
    </cfRule>
  </conditionalFormatting>
  <conditionalFormatting sqref="Z30:AB39">
    <cfRule type="cellIs" dxfId="5171" priority="8" operator="greaterThan">
      <formula>0</formula>
    </cfRule>
    <cfRule type="cellIs" dxfId="5172" priority="7" operator="equal">
      <formula>0</formula>
    </cfRule>
  </conditionalFormatting>
  <conditionalFormatting sqref="AE30:AI39">
    <cfRule type="cellIs" dxfId="5173" priority="6" operator="greaterThan">
      <formula>0</formula>
    </cfRule>
    <cfRule type="cellIs" dxfId="5174" priority="5" operator="equal">
      <formula>0</formula>
    </cfRule>
  </conditionalFormatting>
  <conditionalFormatting sqref="AJ30:AJ39">
    <cfRule type="cellIs" dxfId="5175" priority="4" operator="greaterThan">
      <formula>0</formula>
    </cfRule>
    <cfRule type="cellIs" dxfId="5176" priority="3" operator="equal">
      <formula>0</formula>
    </cfRule>
    <cfRule type="cellIs" dxfId="5177" priority="2" operator="greaterThan">
      <formula>0</formula>
    </cfRule>
    <cfRule type="cellIs" dxfId="5178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outlinePr summaryBelow="1" summaryRight="1"/>
  </sheetPr>
  <dimension ref="A1:F62"/>
  <sheetViews>
    <sheetView workbookViewId="0" showGridLines="0" zoomScale="80" zoomScaleNormal="80">
      <pane ySplit="1" topLeftCell="A2" activePane="bottomLeft" state="frozen"/>
      <selection pane="bottomLeft" activeCell="A1" sqref="A1"/>
    </sheetView>
  </sheetViews>
  <sheetFormatPr defaultRowHeight="15" outlineLevelRow="0" outlineLevelCol="0" x14ac:dyDescent="0" defaultColWidth="9"/>
  <cols>
    <col min="2" max="2" width="14" customWidth="1"/>
    <col min="3" max="3" width="11" customWidth="1"/>
    <col min="4" max="4" width="19" style="1" customWidth="1"/>
    <col min="5" max="5" width="14.85546875" customWidth="1"/>
    <col min="6" max="6" width="1.85546875" customWidth="1"/>
    <col min="7" max="12" width="6" customWidth="1"/>
    <col min="13" max="13" width="8" customWidth="1"/>
    <col min="14" max="48" width="3.85546875" customWidth="1"/>
  </cols>
  <sheetData>
    <row r="1" ht="21.75" customHeight="1" spans="1:6" x14ac:dyDescent="0.25">
      <c r="A1" s="767" t="s">
        <v>0</v>
      </c>
      <c r="B1" s="4"/>
      <c r="C1" s="768" t="s">
        <v>251</v>
      </c>
      <c r="D1" s="769" t="s">
        <v>252</v>
      </c>
      <c r="E1" s="768" t="s">
        <v>253</v>
      </c>
      <c r="F1" s="277"/>
    </row>
    <row r="2" ht="18" customHeight="1" spans="1:6" x14ac:dyDescent="0.25">
      <c r="A2" s="4"/>
      <c r="B2" s="770" t="s">
        <v>254</v>
      </c>
      <c r="C2" s="770"/>
      <c r="D2" s="771">
        <v>46019</v>
      </c>
      <c r="E2" s="770"/>
      <c r="F2" s="4"/>
    </row>
    <row r="3" ht="18" customHeight="1" spans="1:6" x14ac:dyDescent="0.25">
      <c r="A3" s="772" t="s">
        <v>255</v>
      </c>
      <c r="B3" s="4" t="s">
        <v>182</v>
      </c>
      <c r="C3" s="773">
        <v>1</v>
      </c>
      <c r="D3" s="774">
        <f>D2+1</f>
      </c>
      <c r="E3" s="775">
        <v>0</v>
      </c>
      <c r="F3" s="4"/>
    </row>
    <row r="4" ht="18" customHeight="1" spans="1:6" x14ac:dyDescent="0.25">
      <c r="A4" s="4"/>
      <c r="B4" s="4" t="s">
        <v>183</v>
      </c>
      <c r="C4" s="4"/>
      <c r="D4" s="774">
        <f>D3+1</f>
      </c>
      <c r="E4" s="4"/>
      <c r="F4" s="4"/>
    </row>
    <row r="5" ht="18" customHeight="1" spans="1:6" x14ac:dyDescent="0.25">
      <c r="A5" s="4"/>
      <c r="B5" s="4" t="s">
        <v>184</v>
      </c>
      <c r="C5" s="4"/>
      <c r="D5" s="774">
        <f>D4+1</f>
      </c>
      <c r="E5" s="4"/>
      <c r="F5" s="4"/>
    </row>
    <row r="6" ht="18" customHeight="1" spans="1:6" x14ac:dyDescent="0.25">
      <c r="A6" s="4"/>
      <c r="B6" s="4" t="s">
        <v>185</v>
      </c>
      <c r="C6" s="4"/>
      <c r="D6" s="774">
        <f>D5+1</f>
      </c>
      <c r="E6" s="4"/>
      <c r="F6" s="4"/>
    </row>
    <row r="7" ht="18" customHeight="1" spans="1:6" x14ac:dyDescent="0.25">
      <c r="A7" s="4"/>
      <c r="B7" s="4" t="s">
        <v>186</v>
      </c>
      <c r="C7" s="4"/>
      <c r="D7" s="774">
        <f>D6+1</f>
      </c>
      <c r="E7" s="4"/>
      <c r="F7" s="4"/>
    </row>
    <row r="8" ht="18" customHeight="1" spans="1:6" x14ac:dyDescent="0.25">
      <c r="A8" s="4"/>
      <c r="B8" s="776" t="s">
        <v>256</v>
      </c>
      <c r="C8" s="776"/>
      <c r="D8" s="777">
        <f>D7+1</f>
      </c>
      <c r="E8" s="776"/>
      <c r="F8" s="4"/>
    </row>
    <row r="9" ht="18" customHeight="1" spans="1:6" x14ac:dyDescent="0.25">
      <c r="A9" s="4"/>
      <c r="B9" s="776" t="s">
        <v>254</v>
      </c>
      <c r="C9" s="770"/>
      <c r="D9" s="771">
        <f>D8+1</f>
      </c>
      <c r="E9" s="770"/>
      <c r="F9" s="4"/>
    </row>
    <row r="10" ht="18" customHeight="1" spans="1:6" x14ac:dyDescent="0.25">
      <c r="A10" s="772" t="s">
        <v>255</v>
      </c>
      <c r="B10" s="279" t="s">
        <v>182</v>
      </c>
      <c r="C10" s="773">
        <f>C3+1</f>
      </c>
      <c r="D10" s="774">
        <f>D9+1</f>
      </c>
      <c r="E10" s="773">
        <v>5</v>
      </c>
      <c r="F10" s="4"/>
    </row>
    <row r="11" ht="18" customHeight="1" spans="1:6" x14ac:dyDescent="0.25">
      <c r="A11" s="4"/>
      <c r="B11" s="4" t="s">
        <v>183</v>
      </c>
      <c r="C11" s="4"/>
      <c r="D11" s="774">
        <f>D10+1</f>
      </c>
      <c r="E11" s="4"/>
      <c r="F11" s="4"/>
    </row>
    <row r="12" ht="18" customHeight="1" spans="1:6" x14ac:dyDescent="0.25">
      <c r="A12" s="4"/>
      <c r="B12" s="4" t="s">
        <v>184</v>
      </c>
      <c r="C12" s="4"/>
      <c r="D12" s="774">
        <f>D11+1</f>
      </c>
      <c r="E12" s="4"/>
      <c r="F12" s="4"/>
    </row>
    <row r="13" ht="18" customHeight="1" spans="1:6" x14ac:dyDescent="0.25">
      <c r="A13" s="4"/>
      <c r="B13" s="4" t="s">
        <v>185</v>
      </c>
      <c r="C13" s="4"/>
      <c r="D13" s="774">
        <f>D12+1</f>
      </c>
      <c r="E13" s="4"/>
      <c r="F13" s="4"/>
    </row>
    <row r="14" ht="18" customHeight="1" spans="1:6" x14ac:dyDescent="0.25">
      <c r="A14" s="4"/>
      <c r="B14" s="4" t="s">
        <v>186</v>
      </c>
      <c r="C14" s="4"/>
      <c r="D14" s="774">
        <f>D13+1</f>
      </c>
      <c r="E14" s="4"/>
      <c r="F14" s="4"/>
    </row>
    <row r="15" ht="18" customHeight="1" spans="1:6" x14ac:dyDescent="0.25">
      <c r="A15" s="4"/>
      <c r="B15" s="776" t="s">
        <v>256</v>
      </c>
      <c r="C15" s="776"/>
      <c r="D15" s="777">
        <f>D14+1</f>
      </c>
      <c r="E15" s="776"/>
      <c r="F15" s="4"/>
    </row>
    <row r="16" ht="18" customHeight="1" spans="1:6" x14ac:dyDescent="0.25">
      <c r="A16" s="4"/>
      <c r="B16" s="776" t="s">
        <v>254</v>
      </c>
      <c r="C16" s="770"/>
      <c r="D16" s="771">
        <f>D15+1</f>
      </c>
      <c r="E16" s="770"/>
      <c r="F16" s="4"/>
    </row>
    <row r="17" ht="18" customHeight="1" spans="1:6" x14ac:dyDescent="0.25">
      <c r="A17" s="772" t="s">
        <v>257</v>
      </c>
      <c r="B17" s="279" t="s">
        <v>182</v>
      </c>
      <c r="C17" s="773">
        <f>C10+1</f>
      </c>
      <c r="D17" s="774">
        <f>D16+1</f>
      </c>
      <c r="E17" s="773">
        <v>5</v>
      </c>
      <c r="F17" s="4"/>
    </row>
    <row r="18" ht="18" customHeight="1" spans="1:6" x14ac:dyDescent="0.25">
      <c r="A18" s="4"/>
      <c r="B18" s="4" t="s">
        <v>183</v>
      </c>
      <c r="C18" s="4"/>
      <c r="D18" s="774">
        <f>D17+1</f>
      </c>
      <c r="E18" s="4"/>
      <c r="F18" s="4"/>
    </row>
    <row r="19" ht="18" customHeight="1" spans="1:6" x14ac:dyDescent="0.25">
      <c r="A19" s="4"/>
      <c r="B19" s="4" t="s">
        <v>184</v>
      </c>
      <c r="C19" s="4"/>
      <c r="D19" s="774">
        <f>D18+1</f>
      </c>
      <c r="E19" s="4"/>
      <c r="F19" s="4"/>
    </row>
    <row r="20" ht="18" customHeight="1" spans="1:6" x14ac:dyDescent="0.25">
      <c r="A20" s="4"/>
      <c r="B20" s="4" t="s">
        <v>185</v>
      </c>
      <c r="C20" s="4"/>
      <c r="D20" s="774">
        <f>D19+1</f>
      </c>
      <c r="E20" s="4"/>
      <c r="F20" s="4"/>
    </row>
    <row r="21" ht="18" customHeight="1" spans="1:6" x14ac:dyDescent="0.25">
      <c r="A21" s="4"/>
      <c r="B21" s="4" t="s">
        <v>186</v>
      </c>
      <c r="C21" s="4"/>
      <c r="D21" s="774">
        <f>D20+1</f>
      </c>
      <c r="E21" s="4"/>
      <c r="F21" s="4"/>
    </row>
    <row r="22" ht="18" customHeight="1" spans="1:6" x14ac:dyDescent="0.25">
      <c r="A22" s="4"/>
      <c r="B22" s="776" t="s">
        <v>256</v>
      </c>
      <c r="C22" s="776"/>
      <c r="D22" s="777">
        <f>D21+1</f>
      </c>
      <c r="E22" s="776"/>
      <c r="F22" s="4"/>
    </row>
    <row r="23" ht="18" customHeight="1" spans="1:6" x14ac:dyDescent="0.25">
      <c r="A23" s="4"/>
      <c r="B23" s="776" t="s">
        <v>254</v>
      </c>
      <c r="C23" s="770"/>
      <c r="D23" s="771">
        <f>D22+1</f>
      </c>
      <c r="E23" s="770"/>
      <c r="F23" s="4"/>
    </row>
    <row r="24" ht="18" customHeight="1" spans="1:6" x14ac:dyDescent="0.25">
      <c r="A24" s="772" t="s">
        <v>258</v>
      </c>
      <c r="B24" s="279" t="s">
        <v>182</v>
      </c>
      <c r="C24" s="773">
        <f>C17+1</f>
      </c>
      <c r="D24" s="774">
        <f>D23+1</f>
      </c>
      <c r="E24" s="773">
        <v>5</v>
      </c>
      <c r="F24" s="4"/>
    </row>
    <row r="25" ht="18" customHeight="1" spans="1:6" x14ac:dyDescent="0.25">
      <c r="A25" s="4"/>
      <c r="B25" s="4" t="s">
        <v>183</v>
      </c>
      <c r="C25" s="4"/>
      <c r="D25" s="774">
        <f>D24+1</f>
      </c>
      <c r="E25" s="4"/>
      <c r="F25" s="4"/>
    </row>
    <row r="26" ht="18" customHeight="1" spans="1:6" x14ac:dyDescent="0.25">
      <c r="A26" s="4"/>
      <c r="B26" s="4" t="s">
        <v>184</v>
      </c>
      <c r="C26" s="4"/>
      <c r="D26" s="774">
        <f>D25+1</f>
      </c>
      <c r="E26" s="4"/>
      <c r="F26" s="4"/>
    </row>
    <row r="27" ht="18" customHeight="1" spans="1:6" x14ac:dyDescent="0.25">
      <c r="A27" s="4"/>
      <c r="B27" s="4" t="s">
        <v>185</v>
      </c>
      <c r="C27" s="4"/>
      <c r="D27" s="774">
        <f>D26+1</f>
      </c>
      <c r="E27" s="4"/>
      <c r="F27" s="4"/>
    </row>
    <row r="28" ht="18" customHeight="1" spans="1:6" x14ac:dyDescent="0.25">
      <c r="A28" s="4"/>
      <c r="B28" s="4" t="s">
        <v>186</v>
      </c>
      <c r="C28" s="4"/>
      <c r="D28" s="774">
        <f>D27+1</f>
      </c>
      <c r="E28" s="4"/>
      <c r="F28" s="4"/>
    </row>
    <row r="29" ht="18" customHeight="1" spans="1:6" x14ac:dyDescent="0.25">
      <c r="A29" s="4"/>
      <c r="B29" s="776" t="s">
        <v>256</v>
      </c>
      <c r="C29" s="776"/>
      <c r="D29" s="777">
        <f>D28+1</f>
      </c>
      <c r="E29" s="776"/>
      <c r="F29" s="4"/>
    </row>
    <row r="30" ht="18" customHeight="1" spans="1:6" x14ac:dyDescent="0.25">
      <c r="A30" s="4"/>
      <c r="B30" s="770" t="s">
        <v>254</v>
      </c>
      <c r="C30" s="770"/>
      <c r="D30" s="771">
        <f>D29+1</f>
      </c>
      <c r="E30" s="770"/>
      <c r="F30" s="4"/>
    </row>
    <row r="31" ht="18" customHeight="1" spans="1:6" x14ac:dyDescent="0.25">
      <c r="A31" s="772" t="s">
        <v>255</v>
      </c>
      <c r="B31" s="4" t="s">
        <v>182</v>
      </c>
      <c r="C31" s="773">
        <f>C24+1</f>
      </c>
      <c r="D31" s="774">
        <f>D30+1</f>
      </c>
      <c r="E31" s="773">
        <v>5</v>
      </c>
      <c r="F31" s="4"/>
    </row>
    <row r="32" ht="18" customHeight="1" spans="1:6" x14ac:dyDescent="0.25">
      <c r="A32" s="4"/>
      <c r="B32" s="4" t="s">
        <v>183</v>
      </c>
      <c r="C32" s="4"/>
      <c r="D32" s="774">
        <f>D31+1</f>
      </c>
      <c r="E32" s="4"/>
      <c r="F32" s="4"/>
    </row>
    <row r="33" ht="18" customHeight="1" spans="1:6" x14ac:dyDescent="0.25">
      <c r="A33" s="4"/>
      <c r="B33" s="4" t="s">
        <v>184</v>
      </c>
      <c r="C33" s="4"/>
      <c r="D33" s="774">
        <f>D32+1</f>
      </c>
      <c r="E33" s="4"/>
      <c r="F33" s="4"/>
    </row>
    <row r="34" ht="18" customHeight="1" spans="1:6" x14ac:dyDescent="0.25">
      <c r="A34" s="4"/>
      <c r="B34" s="4" t="s">
        <v>185</v>
      </c>
      <c r="C34" s="4"/>
      <c r="D34" s="774">
        <f>D33+1</f>
      </c>
      <c r="E34" s="4"/>
      <c r="F34" s="4"/>
    </row>
    <row r="35" ht="18" customHeight="1" spans="1:6" x14ac:dyDescent="0.25">
      <c r="A35" s="4"/>
      <c r="B35" s="4" t="s">
        <v>186</v>
      </c>
      <c r="C35" s="4"/>
      <c r="D35" s="774">
        <f>D34+1</f>
      </c>
      <c r="E35" s="4"/>
      <c r="F35" s="4"/>
    </row>
    <row r="36" ht="18" customHeight="1" spans="1:6" x14ac:dyDescent="0.25">
      <c r="A36" s="4"/>
      <c r="B36" s="776" t="s">
        <v>256</v>
      </c>
      <c r="C36" s="776"/>
      <c r="D36" s="777">
        <f>D35+1</f>
      </c>
      <c r="E36" s="776"/>
      <c r="F36" s="4"/>
    </row>
    <row r="37" ht="18" customHeight="1" spans="1:6" x14ac:dyDescent="0.25">
      <c r="A37" s="4"/>
      <c r="B37" s="770" t="s">
        <v>254</v>
      </c>
      <c r="C37" s="770"/>
      <c r="D37" s="771">
        <f>D36+1</f>
      </c>
      <c r="E37" s="770"/>
      <c r="F37" s="4"/>
    </row>
    <row r="38" spans="1:6" x14ac:dyDescent="0.25">
      <c r="A38" s="4"/>
      <c r="B38" s="4"/>
      <c r="C38" s="4"/>
      <c r="D38" s="4"/>
      <c r="E38" s="778">
        <f>SUM(E3:E35)</f>
      </c>
      <c r="F38" s="4"/>
    </row>
    <row r="39" spans="1:6" x14ac:dyDescent="0.25">
      <c r="A39" s="4"/>
      <c r="B39" s="4"/>
      <c r="C39" s="4"/>
      <c r="D39" s="4"/>
      <c r="E39" s="4"/>
      <c r="F39" s="4"/>
    </row>
    <row r="40" spans="1:6" x14ac:dyDescent="0.25">
      <c r="A40" s="4"/>
      <c r="B40" s="4"/>
      <c r="C40" s="4"/>
      <c r="D40" s="4"/>
      <c r="E40" s="4"/>
      <c r="F40" s="4"/>
    </row>
    <row r="41" spans="1:6" x14ac:dyDescent="0.25">
      <c r="A41" s="4"/>
      <c r="B41" s="4"/>
      <c r="C41" s="4"/>
      <c r="D41" s="4"/>
      <c r="E41" s="4"/>
      <c r="F41" s="4"/>
    </row>
    <row r="42" spans="1:6" x14ac:dyDescent="0.25">
      <c r="A42" s="4"/>
      <c r="B42" s="4"/>
      <c r="C42" s="4"/>
      <c r="D42" s="4"/>
      <c r="E42" s="4"/>
      <c r="F42" s="4"/>
    </row>
    <row r="43" spans="1:6" x14ac:dyDescent="0.25">
      <c r="A43" s="4"/>
      <c r="B43" s="4"/>
      <c r="C43" s="4"/>
      <c r="D43" s="4"/>
      <c r="E43" s="4"/>
      <c r="F43" s="4"/>
    </row>
    <row r="44" spans="1:6" x14ac:dyDescent="0.25">
      <c r="A44" s="4"/>
      <c r="B44" s="4"/>
      <c r="C44" s="4"/>
      <c r="D44" s="4"/>
      <c r="E44" s="4"/>
      <c r="F44" s="4"/>
    </row>
    <row r="45" spans="1:6" x14ac:dyDescent="0.25">
      <c r="A45" s="4"/>
      <c r="B45" s="4"/>
      <c r="C45" s="4"/>
      <c r="D45" s="4"/>
      <c r="E45" s="4"/>
      <c r="F45" s="4"/>
    </row>
    <row r="46" spans="1:6" x14ac:dyDescent="0.25">
      <c r="A46" s="4"/>
      <c r="B46" s="4"/>
      <c r="C46" s="4"/>
      <c r="D46" s="4"/>
      <c r="E46" s="4"/>
      <c r="F46" s="4"/>
    </row>
    <row r="47" spans="1:6" x14ac:dyDescent="0.25">
      <c r="A47" s="4"/>
      <c r="B47" s="4"/>
      <c r="C47" s="4"/>
      <c r="D47" s="4"/>
      <c r="E47" s="4"/>
      <c r="F47" s="4"/>
    </row>
    <row r="48" spans="1:6" x14ac:dyDescent="0.25">
      <c r="A48" s="4"/>
      <c r="B48" s="4"/>
      <c r="C48" s="4"/>
      <c r="D48" s="4"/>
      <c r="E48" s="4"/>
      <c r="F48" s="4"/>
    </row>
    <row r="49" spans="1:6" x14ac:dyDescent="0.25">
      <c r="A49" s="4"/>
      <c r="B49" s="4"/>
      <c r="C49" s="4"/>
      <c r="D49" s="4"/>
      <c r="E49" s="4"/>
      <c r="F49" s="4"/>
    </row>
    <row r="50" spans="1:6" x14ac:dyDescent="0.25">
      <c r="A50" s="4"/>
      <c r="B50" s="4"/>
      <c r="C50" s="4"/>
      <c r="D50" s="4"/>
      <c r="E50" s="4"/>
      <c r="F50" s="4"/>
    </row>
    <row r="51" spans="1:6" x14ac:dyDescent="0.25">
      <c r="A51" s="4"/>
      <c r="B51" s="4"/>
      <c r="C51" s="4"/>
      <c r="D51" s="4"/>
      <c r="E51" s="4"/>
      <c r="F51" s="4"/>
    </row>
    <row r="52" spans="1:6" x14ac:dyDescent="0.25">
      <c r="A52" s="4"/>
      <c r="B52" s="4"/>
      <c r="C52" s="4"/>
      <c r="D52" s="4"/>
      <c r="E52" s="4"/>
      <c r="F52" s="4"/>
    </row>
    <row r="53" spans="1:6" x14ac:dyDescent="0.25">
      <c r="A53" s="4"/>
      <c r="B53" s="4"/>
      <c r="C53" s="4"/>
      <c r="D53" s="4"/>
      <c r="E53" s="4"/>
      <c r="F53" s="4"/>
    </row>
    <row r="54" spans="1:6" x14ac:dyDescent="0.25">
      <c r="A54" s="4"/>
      <c r="B54" s="4"/>
      <c r="C54" s="4"/>
      <c r="D54" s="4"/>
      <c r="E54" s="4"/>
      <c r="F54" s="4"/>
    </row>
    <row r="55" spans="1:6" x14ac:dyDescent="0.25">
      <c r="A55" s="4"/>
      <c r="B55" s="4"/>
      <c r="C55" s="4"/>
      <c r="D55" s="4"/>
      <c r="E55" s="4"/>
      <c r="F55" s="4"/>
    </row>
    <row r="56" spans="1:6" x14ac:dyDescent="0.25">
      <c r="A56" s="4"/>
      <c r="B56" s="4"/>
      <c r="C56" s="4"/>
      <c r="D56" s="4"/>
      <c r="E56" s="4"/>
      <c r="F56" s="4"/>
    </row>
    <row r="57" spans="1:6" x14ac:dyDescent="0.25">
      <c r="A57" s="4"/>
      <c r="B57" s="4"/>
      <c r="C57" s="4"/>
      <c r="D57" s="4"/>
      <c r="E57" s="4"/>
      <c r="F57" s="4"/>
    </row>
    <row r="58" spans="1:6" x14ac:dyDescent="0.25">
      <c r="A58" s="8"/>
      <c r="B58" s="8"/>
      <c r="C58" s="8"/>
      <c r="D58" s="4"/>
      <c r="E58" s="4"/>
      <c r="F58" s="4"/>
    </row>
    <row r="59" spans="1:6" x14ac:dyDescent="0.25">
      <c r="A59" s="8"/>
      <c r="B59" s="8"/>
      <c r="C59" s="8"/>
      <c r="D59" s="4"/>
      <c r="E59" s="4"/>
      <c r="F59" s="4"/>
    </row>
    <row r="60" spans="1:6" x14ac:dyDescent="0.25">
      <c r="A60" s="8"/>
      <c r="B60" s="8"/>
      <c r="C60" s="8"/>
      <c r="D60" s="4"/>
      <c r="E60" s="4"/>
      <c r="F60" s="4"/>
    </row>
    <row r="61" spans="1:6" x14ac:dyDescent="0.25">
      <c r="A61" s="8"/>
      <c r="B61" s="8"/>
      <c r="C61" s="8"/>
      <c r="D61" s="4"/>
      <c r="E61" s="4"/>
      <c r="F61" s="4"/>
    </row>
    <row r="62" spans="1:6" x14ac:dyDescent="0.25">
      <c r="A62" s="8"/>
      <c r="B62" s="8"/>
      <c r="C62" s="8"/>
      <c r="D62" s="4"/>
      <c r="E62" s="4"/>
      <c r="F62" s="4"/>
    </row>
  </sheetData>
  <mergeCells count="16">
    <mergeCell ref="A1:B1"/>
    <mergeCell ref="A3:A7"/>
    <mergeCell ref="C3:C7"/>
    <mergeCell ref="E3:E7"/>
    <mergeCell ref="A10:A14"/>
    <mergeCell ref="C10:C14"/>
    <mergeCell ref="E10:E14"/>
    <mergeCell ref="A17:A21"/>
    <mergeCell ref="C17:C21"/>
    <mergeCell ref="E17:E21"/>
    <mergeCell ref="A24:A28"/>
    <mergeCell ref="C24:C28"/>
    <mergeCell ref="E24:E28"/>
    <mergeCell ref="A31:A35"/>
    <mergeCell ref="C31:C35"/>
    <mergeCell ref="E31:E35"/>
  </mergeCells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Planning</vt:lpstr>
      <vt:lpstr>Patterns</vt:lpstr>
      <vt:lpstr>SD</vt:lpstr>
      <vt:lpstr>APP-SUP</vt:lpstr>
      <vt:lpstr>PROX-MOB-MDM-VC</vt:lpstr>
      <vt:lpstr>Workstation</vt:lpstr>
      <vt:lpstr>LSA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NOEL Pascal</dc:creator>
  <cp:lastModifiedBy>EL MESSAOUDI Mourad</cp:lastModifiedBy>
  <dcterms:created xsi:type="dcterms:W3CDTF">2019-09-16T08:06:16Z</dcterms:created>
  <dcterms:modified xsi:type="dcterms:W3CDTF">2026-01-13T10:46:07Z</dcterms:modified>
</cp:coreProperties>
</file>